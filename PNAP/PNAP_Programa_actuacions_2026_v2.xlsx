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updateLinks="never"/>
  <mc:AlternateContent xmlns:mc="http://schemas.openxmlformats.org/markup-compatibility/2006">
    <mc:Choice Requires="x15">
      <x15ac:absPath xmlns:x15ac="http://schemas.microsoft.com/office/spreadsheetml/2010/11/ac" url="Z:\34X\349\04476\PN_ALT PIRINEU\1. Direccio\1.02 Programa d'actuació i pressupost anual\2026\"/>
    </mc:Choice>
  </mc:AlternateContent>
  <xr:revisionPtr revIDLastSave="0" documentId="13_ncr:1_{7818DC55-C141-4A5E-BAE3-A895E4C7293A}" xr6:coauthVersionLast="47" xr6:coauthVersionMax="47" xr10:uidLastSave="{00000000-0000-0000-0000-000000000000}"/>
  <bookViews>
    <workbookView xWindow="-120" yWindow="-120" windowWidth="29040" windowHeight="15840" tabRatio="990" activeTab="1" xr2:uid="{00000000-000D-0000-FFFF-FFFF00000000}"/>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 r:id="rId8"/>
    <externalReference r:id="rId9"/>
    <externalReference r:id="rId10"/>
  </externalReferences>
  <definedNames>
    <definedName name="_xlnm._FilterDatabase" localSheetId="2" hidden="1">'PLA ESTRATÈGIC'!$A$4:$P$185</definedName>
    <definedName name="_xlnm._FilterDatabase" localSheetId="1" hidden="1">'PROGRAMA ANUAL'!$A$3:$N$146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7" i="14" l="1"/>
  <c r="J54" i="14" l="1"/>
  <c r="J52" i="14"/>
  <c r="J7" i="14" l="1"/>
  <c r="J9" i="14" l="1"/>
  <c r="J451" i="16" l="1"/>
  <c r="J447" i="16"/>
  <c r="J445" i="16"/>
  <c r="J443" i="16"/>
  <c r="J440" i="16"/>
  <c r="J437" i="16"/>
  <c r="J434" i="16"/>
  <c r="J432" i="16"/>
  <c r="J427" i="16"/>
  <c r="J424" i="16"/>
  <c r="J419" i="16"/>
  <c r="J416" i="16"/>
  <c r="J412" i="16"/>
  <c r="J409" i="16"/>
  <c r="J407" i="16"/>
  <c r="J400" i="16"/>
  <c r="J397" i="16"/>
  <c r="J392" i="16"/>
  <c r="J389" i="16"/>
  <c r="J387" i="16"/>
  <c r="J374" i="16"/>
  <c r="J373" i="16"/>
  <c r="J371" i="16"/>
  <c r="J369" i="16"/>
  <c r="J367" i="16"/>
  <c r="J366" i="16"/>
  <c r="J364" i="16"/>
  <c r="J363" i="16"/>
  <c r="J360" i="16"/>
  <c r="J357" i="16"/>
  <c r="J353" i="16"/>
  <c r="J351" i="16"/>
  <c r="J347" i="16"/>
  <c r="J344" i="16"/>
  <c r="J336" i="16"/>
  <c r="J332" i="16"/>
  <c r="J331" i="16"/>
  <c r="J330" i="16"/>
  <c r="J328" i="16"/>
  <c r="J327" i="16"/>
  <c r="J324" i="16"/>
  <c r="J322" i="16"/>
  <c r="J317" i="16"/>
  <c r="J313" i="16"/>
  <c r="J312" i="16"/>
  <c r="J310" i="16"/>
  <c r="J308" i="16"/>
  <c r="J306" i="16"/>
  <c r="J305" i="16"/>
  <c r="J299" i="16"/>
  <c r="J289" i="16"/>
  <c r="J284" i="16"/>
  <c r="J280" i="16"/>
  <c r="J279" i="16"/>
  <c r="J276" i="16"/>
  <c r="J275" i="16"/>
  <c r="J274" i="16"/>
  <c r="J273" i="16"/>
  <c r="J272" i="16"/>
  <c r="J269" i="16"/>
  <c r="J268" i="16"/>
  <c r="J266" i="16"/>
  <c r="J264" i="16"/>
  <c r="J262" i="16"/>
  <c r="J261" i="16"/>
  <c r="J258" i="16"/>
  <c r="J254" i="16"/>
  <c r="J253" i="16"/>
  <c r="J237" i="16"/>
  <c r="J230" i="16"/>
  <c r="J222" i="16"/>
  <c r="J219" i="16"/>
  <c r="J217" i="16"/>
  <c r="J213" i="16"/>
  <c r="J211" i="16"/>
  <c r="J208" i="16"/>
  <c r="J206" i="16"/>
  <c r="J192" i="16"/>
  <c r="J181" i="16"/>
  <c r="J179" i="16"/>
  <c r="J178" i="16"/>
  <c r="J177" i="16"/>
  <c r="J175" i="16"/>
  <c r="J174" i="16"/>
  <c r="J170" i="16"/>
  <c r="J169" i="16"/>
  <c r="J163" i="16"/>
  <c r="J161" i="16"/>
  <c r="J160" i="16"/>
  <c r="J155" i="16"/>
  <c r="J153" i="16"/>
  <c r="J152" i="16"/>
  <c r="J146" i="16"/>
  <c r="J145" i="16"/>
  <c r="J144" i="16"/>
  <c r="J142" i="16"/>
  <c r="J140" i="16"/>
  <c r="J135" i="16"/>
  <c r="J134" i="16"/>
  <c r="J129" i="16"/>
  <c r="J126" i="16"/>
  <c r="J124" i="16"/>
  <c r="J119" i="16"/>
  <c r="J115" i="16"/>
  <c r="J113" i="16"/>
  <c r="J111" i="16"/>
  <c r="J110" i="16"/>
  <c r="J109" i="16"/>
  <c r="J107" i="16"/>
  <c r="J101" i="16"/>
  <c r="J93" i="16"/>
  <c r="J91" i="16"/>
  <c r="J84" i="16"/>
  <c r="J83" i="16"/>
  <c r="J82" i="16"/>
  <c r="J79" i="16"/>
  <c r="J78" i="16"/>
  <c r="J77" i="16"/>
  <c r="J75" i="16"/>
  <c r="J69" i="16"/>
  <c r="J67" i="16"/>
  <c r="J66" i="16"/>
  <c r="J65" i="16"/>
  <c r="J63" i="16"/>
  <c r="J62" i="16"/>
  <c r="J58" i="16"/>
  <c r="J57" i="16"/>
  <c r="J56" i="16"/>
  <c r="J55" i="16"/>
  <c r="J54" i="16"/>
  <c r="J53" i="16"/>
  <c r="J51" i="16"/>
  <c r="J49" i="16"/>
  <c r="J47" i="16"/>
  <c r="J42" i="16"/>
  <c r="J41" i="16"/>
  <c r="J39" i="16"/>
  <c r="J37" i="16"/>
  <c r="J36" i="16"/>
  <c r="J35" i="16"/>
  <c r="J30" i="16"/>
  <c r="J29" i="16"/>
  <c r="J27" i="16"/>
  <c r="J26" i="16"/>
  <c r="J24" i="16"/>
  <c r="J21" i="16"/>
  <c r="J18" i="16"/>
  <c r="J14" i="16"/>
  <c r="J13" i="16"/>
  <c r="J10" i="16"/>
  <c r="J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Garriga Lujan, Marc</author>
  </authors>
  <commentList>
    <comment ref="G4" authorId="0" shapeId="0" xr:uid="{00000000-0006-0000-02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 ref="S42" authorId="1" shapeId="0" xr:uid="{00000000-0006-0000-0200-000002000000}">
      <text>
        <r>
          <rPr>
            <b/>
            <sz val="9"/>
            <color indexed="81"/>
            <rFont val="Tahoma"/>
            <family val="2"/>
          </rPr>
          <t>Garriga Lujan, Marc:</t>
        </r>
        <r>
          <rPr>
            <sz val="9"/>
            <color indexed="81"/>
            <rFont val="Tahoma"/>
            <family val="2"/>
          </rPr>
          <t xml:space="preserve">
</t>
        </r>
      </text>
    </comment>
    <comment ref="S47" authorId="1" shapeId="0" xr:uid="{00000000-0006-0000-0200-000003000000}">
      <text>
        <r>
          <rPr>
            <b/>
            <sz val="9"/>
            <color indexed="81"/>
            <rFont val="Tahoma"/>
            <family val="2"/>
          </rPr>
          <t>Garriga Lujan, Marc:</t>
        </r>
        <r>
          <rPr>
            <sz val="9"/>
            <color indexed="81"/>
            <rFont val="Tahoma"/>
            <family val="2"/>
          </rPr>
          <t xml:space="preserve">
</t>
        </r>
      </text>
    </comment>
  </commentList>
</comments>
</file>

<file path=xl/sharedStrings.xml><?xml version="1.0" encoding="utf-8"?>
<sst xmlns="http://schemas.openxmlformats.org/spreadsheetml/2006/main" count="7182" uniqueCount="2473">
  <si>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</si>
  <si>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</si>
  <si>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</si>
  <si>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</si>
  <si>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</si>
  <si>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</si>
  <si>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</si>
  <si>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</si>
  <si>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</si>
  <si>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</si>
  <si>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</si>
  <si>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</si>
  <si>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</si>
  <si>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</si>
  <si>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</si>
  <si>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</si>
  <si>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</si>
  <si>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</si>
  <si>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</si>
  <si>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</si>
  <si>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01.3.1</t>
  </si>
  <si>
    <t>Identificar espais pel foment de la dinàmica natural i l'aprofitament no extractiu</t>
  </si>
  <si>
    <t>01.3.2</t>
  </si>
  <si>
    <t>Afavorir la maduresa dels sistemes forestals</t>
  </si>
  <si>
    <t>01.3.3</t>
  </si>
  <si>
    <t>01.3.4</t>
  </si>
  <si>
    <t>01.3.5</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</si>
  <si>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</si>
  <si>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</si>
  <si>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</si>
  <si>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</si>
  <si>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</si>
  <si>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</si>
  <si>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</si>
  <si>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</si>
  <si>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</si>
  <si>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</si>
  <si>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</si>
  <si>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</si>
  <si>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</si>
  <si>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</si>
  <si>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</si>
  <si>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</si>
  <si>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</si>
  <si>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</si>
  <si>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</si>
  <si>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</si>
  <si>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</si>
  <si>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</si>
  <si>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</si>
  <si>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</si>
  <si>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</si>
  <si>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</si>
  <si>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</si>
  <si>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</si>
  <si>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</si>
  <si>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</si>
  <si>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</si>
  <si>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</si>
  <si>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</si>
  <si>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</si>
  <si>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</si>
  <si>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</si>
  <si>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</si>
  <si>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</si>
  <si>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</si>
  <si>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</si>
  <si>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</si>
  <si>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</si>
  <si>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</si>
  <si>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</si>
  <si>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</si>
  <si>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</si>
  <si>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</si>
  <si>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</si>
  <si>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</si>
  <si>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</si>
  <si>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</si>
  <si>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</si>
  <si>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</si>
  <si>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</si>
  <si>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</si>
  <si>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</si>
  <si>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</si>
  <si>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</si>
  <si>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</si>
  <si>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</si>
  <si>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</si>
  <si>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</si>
  <si>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</si>
  <si>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</si>
  <si>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</si>
  <si>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</si>
  <si>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</si>
  <si>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</si>
  <si>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</si>
  <si>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</si>
  <si>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</si>
  <si>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</si>
  <si>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</si>
  <si>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</si>
  <si>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</si>
  <si>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</si>
  <si>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</si>
  <si>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</si>
  <si>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</si>
  <si>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</si>
  <si>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</si>
  <si>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</si>
  <si>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</si>
  <si>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</si>
  <si>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</si>
  <si>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</si>
  <si>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</si>
  <si>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</si>
  <si>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</si>
  <si>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</si>
  <si>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Desplegar actuacions de restauració dels elements d'interès paisatgístic degradats</t>
  </si>
  <si>
    <t>05.2.2</t>
  </si>
  <si>
    <t>05.2.3</t>
  </si>
  <si>
    <t>Minimitzar la brutícia, deixalles, vandalisme i males praxis dins l'ENP</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</si>
  <si>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</si>
  <si>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</si>
  <si>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</si>
  <si>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</si>
  <si>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</si>
  <si>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</si>
  <si>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</si>
  <si>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</si>
  <si>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</si>
  <si>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</si>
  <si>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</si>
  <si>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</si>
  <si>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</si>
  <si>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</si>
  <si>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</si>
  <si>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</si>
  <si>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</si>
  <si>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</si>
  <si>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</si>
  <si>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</si>
  <si>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</si>
  <si>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</si>
  <si>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</si>
  <si>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</si>
  <si>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</si>
  <si>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 xml:space="preserve">Estandaritzar els seguiments periòdics dels grups clau </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</si>
  <si>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</si>
  <si>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</si>
  <si>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</si>
  <si>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</si>
  <si>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</si>
  <si>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</si>
  <si>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</si>
  <si>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Participar en el grups de treball per a la definició i organització del SINATCAT</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</si>
  <si>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</si>
  <si>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</si>
  <si>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</si>
  <si>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</si>
  <si>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</si>
  <si>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</si>
  <si>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</si>
  <si>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</si>
  <si>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</si>
  <si>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</si>
  <si>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</si>
  <si>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</si>
  <si>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</si>
  <si>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</si>
  <si>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</si>
  <si>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06.5.2</t>
  </si>
  <si>
    <t xml:space="preserve">Disposar de dades de freqüentació i perfil d'usuari en l'ENP i en especial en equipaments i en zones d'alta freqüentació segons el model de DG </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</si>
  <si>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</si>
  <si>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</si>
  <si>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</si>
  <si>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</si>
  <si>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</si>
  <si>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</si>
  <si>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</si>
  <si>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</si>
  <si>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</si>
  <si>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</si>
  <si>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</si>
  <si>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</si>
  <si>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</si>
  <si>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Impulsar models productius agraris i forestals per tal d'afavorir la conservació dels hàbitats i els paisatges modelats per aquestes, i contribuir a la millora socioeconòmica de les persones que la fan possible</t>
  </si>
  <si>
    <t>08.1.1</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</si>
  <si>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</si>
  <si>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</si>
  <si>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</si>
  <si>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</si>
  <si>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</si>
  <si>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</si>
  <si>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</si>
  <si>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</si>
  <si>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</si>
  <si>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</si>
  <si>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</si>
  <si>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</si>
  <si>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</si>
  <si>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</si>
  <si>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</si>
  <si>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</si>
  <si>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</si>
  <si>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</si>
  <si>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</si>
  <si>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</si>
  <si>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</si>
  <si>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</si>
  <si>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</si>
  <si>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</si>
  <si>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</si>
  <si>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</si>
  <si>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</si>
  <si>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</si>
  <si>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</si>
  <si>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</si>
  <si>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</si>
  <si>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</si>
  <si>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</si>
  <si>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</si>
  <si>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</si>
  <si>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</si>
  <si>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</si>
  <si>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</si>
  <si>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</si>
  <si>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</si>
  <si>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Estandarditzar de regulació d'usos i aprofitaments  en base al model de Pla de protecció</t>
  </si>
  <si>
    <t>10.1.1</t>
  </si>
  <si>
    <t>Establir un model de construcció a l'ENP en base al model de Pla de protecció</t>
  </si>
  <si>
    <t>ORDENAR L'ÚS PÚBLIC I SOCIAL per a la protecció dels hàbitats, espècies i elements geològics</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</si>
  <si>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</si>
  <si>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</si>
  <si>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</si>
  <si>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</si>
  <si>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</si>
  <si>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</si>
  <si>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</si>
  <si>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</si>
  <si>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</si>
  <si>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</si>
  <si>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</si>
  <si>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</si>
  <si>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</si>
  <si>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</si>
  <si>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</si>
  <si>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</si>
  <si>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</si>
  <si>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</si>
  <si>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</si>
  <si>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</si>
  <si>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</si>
  <si>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</si>
  <si>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</si>
  <si>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</si>
  <si>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</si>
  <si>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</si>
  <si>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</si>
  <si>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</si>
  <si>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</si>
  <si>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</si>
  <si>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</si>
  <si>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</si>
  <si>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</si>
  <si>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</si>
  <si>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</si>
  <si>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</si>
  <si>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</si>
  <si>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</si>
  <si>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</si>
  <si>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</si>
  <si>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</si>
  <si>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</si>
  <si>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</si>
  <si>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</si>
  <si>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</si>
  <si>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</si>
  <si>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</si>
  <si>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</si>
  <si>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11.5.2</t>
  </si>
  <si>
    <t xml:space="preserve">Implantar el programa de senyalització i manteniment </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</si>
  <si>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</si>
  <si>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</si>
  <si>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</si>
  <si>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</si>
  <si>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</si>
  <si>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</si>
  <si>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</si>
  <si>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</si>
  <si>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</si>
  <si>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11.7.3</t>
  </si>
  <si>
    <t>Desenvolupar el Pla d'acollida als visitants en base al model de la DG</t>
  </si>
  <si>
    <t>11.7.4</t>
  </si>
  <si>
    <t>Adaptar els missatges a donar des d'oficines d’informació, pròpies i alienes, d'acord amb el model de la DG</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</si>
  <si>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</si>
  <si>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</si>
  <si>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</si>
  <si>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</si>
  <si>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</si>
  <si>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</si>
  <si>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</si>
  <si>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</si>
  <si>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</si>
  <si>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</si>
  <si>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</si>
  <si>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</si>
  <si>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</si>
  <si>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</si>
  <si>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</si>
  <si>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</si>
  <si>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</si>
  <si>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</si>
  <si>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</si>
  <si>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</si>
  <si>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</si>
  <si>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</si>
  <si>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</si>
  <si>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</si>
  <si>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</si>
  <si>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</si>
  <si>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</si>
  <si>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</si>
  <si>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</si>
  <si>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</si>
  <si>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</si>
  <si>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</si>
  <si>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</si>
  <si>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</si>
  <si>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</si>
  <si>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</si>
  <si>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</si>
  <si>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</si>
  <si>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</si>
  <si>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</si>
  <si>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</si>
  <si>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</si>
  <si>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</si>
  <si>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</si>
  <si>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</si>
  <si>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</si>
  <si>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</si>
  <si>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</si>
  <si>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</si>
  <si>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</si>
  <si>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</si>
  <si>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</si>
  <si>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</si>
  <si>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</si>
  <si>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</si>
  <si>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</si>
  <si>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</si>
  <si>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</si>
  <si>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</si>
  <si>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</si>
  <si>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</si>
  <si>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</si>
  <si>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</si>
  <si>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</si>
  <si>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</si>
  <si>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</si>
  <si>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</si>
  <si>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</si>
  <si>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</si>
  <si>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</si>
  <si>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</si>
  <si>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</si>
  <si>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</si>
  <si>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</si>
  <si>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</si>
  <si>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</si>
  <si>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</si>
  <si>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</si>
  <si>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</si>
  <si>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</si>
  <si>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</si>
  <si>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</si>
  <si>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</si>
  <si>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</si>
  <si>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</si>
  <si>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</si>
  <si>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</si>
  <si>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</si>
  <si>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</si>
  <si>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</si>
  <si>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</si>
  <si>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</si>
  <si>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</si>
  <si>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</si>
  <si>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</si>
  <si>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</si>
  <si>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</si>
  <si>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</si>
  <si>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</si>
  <si>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</si>
  <si>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</si>
  <si>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</si>
  <si>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</si>
  <si>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</si>
  <si>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</si>
  <si>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</si>
  <si>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Millorar el sistema de control de l'execució del pressupost, d'acord amb les indicacions de Serveis Centrals</t>
  </si>
  <si>
    <t>Planificar i optimitzar els processos de contractació, concessió d'ajuts, i les col·laboracions amb ens públics i privats</t>
  </si>
  <si>
    <t>16.2.1</t>
  </si>
  <si>
    <t>Planificar i detectar les necessitats de contractació del l'ENP per a l'optimització dels contractes a nivell de Xarxa</t>
  </si>
  <si>
    <t>16.2.2</t>
  </si>
  <si>
    <t>Planificar i detectar les tasques de convocatòries d'ajuts de l'ENP</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</si>
  <si>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</si>
  <si>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</si>
  <si>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</si>
  <si>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</si>
  <si>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</si>
  <si>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</si>
  <si>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</si>
  <si>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</si>
  <si>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</si>
  <si>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</si>
  <si>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</si>
  <si>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</si>
  <si>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Millorar i mantenir el material i infraestructures de gestió</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</si>
  <si>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</si>
  <si>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</si>
  <si>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</si>
  <si>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</si>
  <si>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</si>
  <si>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</si>
  <si>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</si>
  <si>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Millorar l'accessibilitat i la gestió documental del centre o punt de documentació de l'ENP</t>
  </si>
  <si>
    <t>Gestionar recursos humans</t>
  </si>
  <si>
    <t>16.6.1</t>
  </si>
  <si>
    <t>Gestió de la brigada de manteniment</t>
  </si>
  <si>
    <t>16.6.2</t>
  </si>
  <si>
    <t>Gestió de personal</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</si>
  <si>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</si>
  <si>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</si>
  <si>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</si>
  <si>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</si>
  <si>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</si>
  <si>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</si>
  <si>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</si>
  <si>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</si>
  <si>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</si>
  <si>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</si>
  <si>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</si>
  <si>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</si>
  <si>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</si>
  <si>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</si>
  <si>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</si>
  <si>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</si>
  <si>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</si>
  <si>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</si>
  <si>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</si>
  <si>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</si>
  <si>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</si>
  <si>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</si>
  <si>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</si>
  <si>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</si>
  <si>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</si>
  <si>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</si>
  <si>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</si>
  <si>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</si>
  <si>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</si>
  <si>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</si>
  <si>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</si>
  <si>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DGEFMN: Redacció d'IOF en finques públiques</t>
  </si>
  <si>
    <t>02.2</t>
  </si>
  <si>
    <t>Equip de PPI: Disseny del protocol de treball</t>
  </si>
  <si>
    <t>SPEN: Elaboració d'un model de pla de gestió</t>
  </si>
  <si>
    <t>03.1</t>
  </si>
  <si>
    <t>03.2</t>
  </si>
  <si>
    <t>SPEN: Elaboració del Pla rector d'usos i gestió.
SPEN: Elaboració del Pla rector d'usos i gestió</t>
  </si>
  <si>
    <t>03.3</t>
  </si>
  <si>
    <t>ACA/CHE: Determinar els cabals ecològics en espais naturals protegits</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</si>
  <si>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</si>
  <si>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</si>
  <si>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</si>
  <si>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</si>
  <si>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</si>
  <si>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</si>
  <si>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</si>
  <si>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</si>
  <si>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</si>
  <si>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</si>
  <si>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</si>
  <si>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</si>
  <si>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</si>
  <si>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</si>
  <si>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</si>
  <si>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</si>
  <si>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</si>
  <si>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</si>
  <si>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</si>
  <si>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UIC/SENP: Crear i coordinar una metodologia participativa per a la definició del SINATCAT</t>
  </si>
  <si>
    <t>06.4</t>
  </si>
  <si>
    <t>SENP: Elaborar un mapa d'agents de referència</t>
  </si>
  <si>
    <t>SENP: Elaborar un mapa d'agents de referècia</t>
  </si>
  <si>
    <t>SENP: Suport en l'organització de les jornades</t>
  </si>
  <si>
    <t>UIC: Suport en la creació de l'Observatori de reserca</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</si>
  <si>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</si>
  <si>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</si>
  <si>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</si>
  <si>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</si>
  <si>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</si>
  <si>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</si>
  <si>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</si>
  <si>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</si>
  <si>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</si>
  <si>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</si>
  <si>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</si>
  <si>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</si>
  <si>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</si>
  <si>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</si>
  <si>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</si>
  <si>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</si>
  <si>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</si>
  <si>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</si>
  <si>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</si>
  <si>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</si>
  <si>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</si>
  <si>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</si>
  <si>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</si>
  <si>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11.6</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</si>
  <si>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</si>
  <si>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</si>
  <si>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</si>
  <si>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</si>
  <si>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</si>
  <si>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</si>
  <si>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</si>
  <si>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</si>
  <si>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</si>
  <si>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</si>
  <si>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</si>
  <si>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</si>
  <si>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</si>
  <si>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</si>
  <si>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</si>
  <si>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</si>
  <si>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</si>
  <si>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</si>
  <si>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</si>
  <si>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</si>
  <si>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</si>
  <si>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</si>
  <si>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</si>
  <si>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</si>
  <si>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</si>
  <si>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</si>
  <si>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</si>
  <si>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</si>
  <si>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</si>
  <si>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</si>
  <si>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</si>
  <si>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</si>
  <si>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UGA: Coordinar l'elaboració dels catàlegs col·lectius amb ENP, universitats i centres documentació</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</si>
  <si>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</si>
  <si>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</si>
  <si>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</si>
  <si>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</si>
  <si>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</si>
  <si>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</si>
  <si>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</si>
  <si>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</si>
  <si>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</si>
  <si>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</si>
  <si>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</si>
  <si>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</si>
  <si>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</si>
  <si>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</si>
  <si>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</si>
  <si>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</si>
  <si>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</si>
  <si>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</si>
  <si>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</si>
  <si>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</si>
  <si>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</si>
  <si>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</si>
  <si>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</si>
  <si>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</si>
  <si>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</si>
  <si>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</si>
  <si>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</si>
  <si>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</si>
  <si>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</si>
  <si>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</si>
  <si>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</si>
  <si>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</si>
  <si>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</si>
  <si>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</si>
  <si>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</si>
  <si>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</si>
  <si>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</si>
  <si>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</si>
  <si>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</si>
  <si>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</si>
  <si>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</si>
  <si>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</si>
  <si>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</si>
  <si>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</si>
  <si>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</si>
  <si>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</si>
  <si>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</si>
  <si>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</si>
  <si>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</si>
  <si>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</si>
  <si>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</si>
  <si>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Posar els Obj. Operatius tal i com surten al Pla estratègic i les actuacions previstes en ell amb la concreció pel 2025.</t>
  </si>
  <si>
    <t>1.Natura</t>
  </si>
  <si>
    <t>Codi RAE, si s'escau</t>
  </si>
  <si>
    <t>Model despesa</t>
  </si>
  <si>
    <t>Encomana Forestal Catalana</t>
  </si>
  <si>
    <t>Contracte programa CREAF</t>
  </si>
  <si>
    <t>Contracte programa CTFC</t>
  </si>
  <si>
    <t>Partida RAE</t>
  </si>
  <si>
    <t>Llistat tipologies MAP</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</si>
  <si>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</si>
  <si>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</si>
  <si>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</si>
  <si>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</si>
  <si>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</si>
  <si>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</si>
  <si>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</si>
  <si>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</si>
  <si>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</si>
  <si>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</si>
  <si>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</si>
  <si>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</si>
  <si>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</si>
  <si>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</si>
  <si>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</si>
  <si>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</si>
  <si>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</si>
  <si>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</si>
  <si>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</si>
  <si>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</si>
  <si>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</si>
  <si>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</si>
  <si>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</si>
  <si>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</si>
  <si>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</si>
  <si>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</si>
  <si>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</si>
  <si>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</si>
  <si>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</si>
  <si>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</si>
  <si>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</si>
  <si>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</si>
  <si>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</si>
  <si>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</si>
  <si>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</si>
  <si>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</si>
  <si>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</si>
  <si>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</si>
  <si>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</si>
  <si>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</si>
  <si>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</si>
  <si>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</si>
  <si>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</si>
  <si>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</si>
  <si>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</si>
  <si>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</si>
  <si>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</si>
  <si>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</si>
  <si>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</si>
  <si>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</si>
  <si>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</si>
  <si>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</si>
  <si>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</si>
  <si>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</si>
  <si>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</si>
  <si>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</si>
  <si>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</si>
  <si>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</si>
  <si>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</si>
  <si>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</si>
  <si>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</si>
  <si>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</si>
  <si>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</si>
  <si>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</si>
  <si>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</si>
  <si>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</si>
  <si>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</si>
  <si>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</si>
  <si>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</si>
  <si>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</si>
  <si>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</si>
  <si>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</si>
  <si>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</si>
  <si>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</si>
  <si>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</si>
  <si>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</si>
  <si>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</si>
  <si>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</si>
  <si>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</si>
  <si>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</si>
  <si>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</si>
  <si>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</si>
  <si>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</si>
  <si>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</si>
  <si>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</si>
  <si>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</si>
  <si>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</si>
  <si>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</si>
  <si>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</si>
  <si>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</si>
  <si>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</si>
  <si>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</si>
  <si>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</si>
  <si>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</si>
  <si>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</si>
  <si>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</si>
  <si>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</si>
  <si>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</si>
  <si>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</si>
  <si>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</si>
  <si>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</si>
  <si>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</si>
  <si>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</si>
  <si>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</si>
  <si>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</si>
  <si>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</si>
  <si>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</si>
  <si>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</si>
  <si>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</si>
  <si>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</si>
  <si>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</si>
  <si>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</si>
  <si>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</si>
  <si>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</si>
  <si>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</si>
  <si>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</si>
  <si>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</si>
  <si>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</si>
  <si>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</si>
  <si>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</si>
  <si>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</si>
  <si>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</si>
  <si>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</si>
  <si>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</si>
  <si>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</si>
  <si>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</si>
  <si>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</si>
  <si>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</si>
  <si>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</si>
  <si>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</si>
  <si>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</si>
  <si>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</si>
  <si>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</si>
  <si>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</si>
  <si>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</si>
  <si>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</si>
  <si>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</si>
  <si>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MODEL DE PLA ESTRATÈGIC PELS ENP</t>
  </si>
  <si>
    <t>Alt Pirineu</t>
  </si>
  <si>
    <t>Fita a assolir en 4 anys</t>
  </si>
  <si>
    <t>Gestió interna</t>
  </si>
  <si>
    <t>OBJECTIUS operatius / Línia estratègica</t>
  </si>
  <si>
    <t>Objectiu operatiu concret a l'espai</t>
  </si>
  <si>
    <t>indicadors</t>
  </si>
  <si>
    <t>Mínima</t>
  </si>
  <si>
    <t>Màxim (Desitjable)</t>
  </si>
  <si>
    <t>Hores de dedicació</t>
  </si>
  <si>
    <t>Àrea responsable</t>
  </si>
  <si>
    <t>Persona responsable</t>
  </si>
  <si>
    <t>Si</t>
  </si>
  <si>
    <t>MÀXIMA</t>
  </si>
  <si>
    <t xml:space="preserve">Realització d'accions per a la millora dels elements prioritzats a l'espai, incloent les accions previstes de conservació al Marc d’Acció Prioritària dels espais Xarxa Natura 2000 “Alt Pallars” i “la Torrassa” 
</t>
  </si>
  <si>
    <t>Número d'accions</t>
  </si>
  <si>
    <t>Patrimoni</t>
  </si>
  <si>
    <t>Eli</t>
  </si>
  <si>
    <t>Realització d’actuacions de control i eradicació d’espècies invasores (exòtiques o no) que afecten a l’estat de conservació d’hàbitats i espècies</t>
  </si>
  <si>
    <t>Millora rural</t>
  </si>
  <si>
    <t>Natalia</t>
  </si>
  <si>
    <t>Realització de les actuacions de conservació d’hàbitats i espècies aquàtiques d’alta muntanya previstes al projecte LIFE RESQUE ALPYR i projectes Next Generation (Pla de Salito, Estanys dels Rosari i Garrabea)</t>
  </si>
  <si>
    <t>Número d’accions de conservació  executades</t>
  </si>
  <si>
    <t>Direcció</t>
  </si>
  <si>
    <t>Marc</t>
  </si>
  <si>
    <t>ALTA</t>
  </si>
  <si>
    <t xml:space="preserve">Elaboració de plans de gestió per elements prioritzats a l'espai </t>
  </si>
  <si>
    <t>Número de plans</t>
  </si>
  <si>
    <t>(tots perill extincio + habitats prioritaris)</t>
  </si>
  <si>
    <t>MITJANA</t>
  </si>
  <si>
    <t>Afavorir la custòdia del territori amb entitats i potenciar projectes de conservació de forma col·laborativa entre el parc, els ens locals i les entitats de custòdia</t>
  </si>
  <si>
    <t>Número d’acords de custòdia implementats</t>
  </si>
  <si>
    <t>BAIXA</t>
  </si>
  <si>
    <t xml:space="preserve">Actualitzar i digitalitzar l'inventari d'elements geològics a l'espai
</t>
  </si>
  <si>
    <t>Fitxes noves/actualitzades</t>
  </si>
  <si>
    <t xml:space="preserve">Actualitzar i digitalitzat l'inventari d'elements geomorfologic a l'espai
</t>
  </si>
  <si>
    <t>Oriol</t>
  </si>
  <si>
    <t>Aplicació de les directrius de gestió de l'inventari de patrimoni geològic (ICGC) i els inventaris gologics i geomorfologics de l'espai</t>
  </si>
  <si>
    <t>Número accions conservació</t>
  </si>
  <si>
    <t>No</t>
  </si>
  <si>
    <t>Implentar metodologia Open Standards als processos més rellevants de l'espai</t>
  </si>
  <si>
    <t>Número OP</t>
  </si>
  <si>
    <t xml:space="preserve">Implicació i participació en la redacció dels plans de conservació /recuperació d'espècies amenaçades. Reforç poblacional quan s'escaigui
</t>
  </si>
  <si>
    <t>Número plans implicats</t>
  </si>
  <si>
    <t>Execució de les accions dins els plans que pertoquin a cada espai (incorporar totes les mesures que surten als plans ja aprovats que tenen incidència a l'espai)</t>
  </si>
  <si>
    <t>Número accions</t>
  </si>
  <si>
    <t xml:space="preserve">Col.laboració en l'obtenció de la informació necessària dins els espais per al desenvolupament dels Plans </t>
  </si>
  <si>
    <t>Número plans s'ha obtingut informació</t>
  </si>
  <si>
    <t>Acompanyament de la Comissió Ramadera amb l’òrgan competent per abordar  de forma específica la millora de la convivència entre la ramaderia i la presència de grans depredadors, i l’ús de gossos de protecció</t>
  </si>
  <si>
    <t>Número de reunions realitzades</t>
  </si>
  <si>
    <t xml:space="preserve">Implicació  i participació en la redacció (cal identificar els plans que estan ja en marxa o previstos i posar les mesures concretes) 
</t>
  </si>
  <si>
    <t>Execució de les accions dins els plans que pertoquin a cada espai</t>
  </si>
  <si>
    <t>Presentar candidatura a la GREEN List UICN</t>
  </si>
  <si>
    <t>Execució</t>
  </si>
  <si>
    <t>no</t>
  </si>
  <si>
    <t>si</t>
  </si>
  <si>
    <t>Presentar candidatura Wild Rivers Noguera Pallaresa</t>
  </si>
  <si>
    <t>Preparar candidatura a Reserva Biosfera Transfronterera o Transboundary Park Europarc  PP3N</t>
  </si>
  <si>
    <t>Afavorir ecosistemes complexes, resilients, i d'alta biodiversitat per garantir la recuperació dels processos ecosistèmics</t>
  </si>
  <si>
    <t xml:space="preserve">Participar en la identificació de boscos madurs pel foment de la dinàmica natural i l'aprofitament no extractiu dins l'ENP en base a uns criteris metodològics predefinits (DG Boscos i boscos BAVE POCTEFA RedBio)
</t>
  </si>
  <si>
    <t>Número participacions</t>
  </si>
  <si>
    <t>Afavorir la creació o recuperació d'hàbitats per a la conservació d'espècies (Pla de Salito, cua embassament de Boren, llacuna de Llagunes, basses aigua) i ordenació de l’ús públic del seu entorn</t>
  </si>
  <si>
    <t>Número habitats creats</t>
  </si>
  <si>
    <t>Participar i impulsar la planificació i execució d'accions d'acceleració de la maduresa forestal en zones boscoses dins l'ENP en base als criteris metodològics predefinits</t>
  </si>
  <si>
    <t>Superficie amb accelaració maduresa</t>
  </si>
  <si>
    <t>Procurar un règim de pertorbacions que afavoreixi l'ús sostenible dels recursos, la biodiversitat i el funcionament del ecosistemes</t>
  </si>
  <si>
    <t xml:space="preserve">Elaboració d'una planificació d'actuacions de simulació d'incendis forestals naturals (cremes controlades i criteris d'actuació en cas d'incendi) dins l'espai en base als criteris metodològics predefinits (POCTEFA Desbosiguem) a través de la figura de Pla de Prevenció d'Incendis Forestals
</t>
  </si>
  <si>
    <t>Redacció i aprovació del Pla</t>
  </si>
  <si>
    <t>Redacció</t>
  </si>
  <si>
    <t>Redacció i aprovació</t>
  </si>
  <si>
    <t>Realització de cremes controlades impulsades des del Parc</t>
  </si>
  <si>
    <t>Número de cremes sol·licitades formalment</t>
  </si>
  <si>
    <t>Restaurar la dinàmica natural dels rius i altres ecosistemes aquàtics que estiguin dregradats</t>
  </si>
  <si>
    <t>Càlcul i sol·licitud implementació de cabals ecològics en aprofitaments hidroelèctrics dels rius del Parc o  bé per desviament d'aigua per rec de prats</t>
  </si>
  <si>
    <t>Número d'aforaments de cabal ecològic calculats i tramitats</t>
  </si>
  <si>
    <t xml:space="preserve">Fomentar mosaics de paisatges resilients i diversos </t>
  </si>
  <si>
    <t>Establir taules de treball entre l’equip del Parc i Comissió Ramadera per desenvolupar una proposta de línies d’ajut que respongui de forma més efectiva a les necessitats del sector i a la preservació dels hàbitats i la cultura associada, incloent la possibilitat de subvencionar pastors, vaquers i eugassers</t>
  </si>
  <si>
    <t>Número de sessions de treball realitzades</t>
  </si>
  <si>
    <t xml:space="preserve">Tramitació d'ajuts per explotacions ramaderes per gestionar l'herbivoria domèstica associada a la ramaderia extensiva
</t>
  </si>
  <si>
    <t>Número expedients d'ajut de maneig de pastures</t>
  </si>
  <si>
    <t>Tots els sol·licitats</t>
  </si>
  <si>
    <t>Tots els sol·licitats dins del termini establert</t>
  </si>
  <si>
    <t>Josep</t>
  </si>
  <si>
    <t>Realització d'un manual tècnic de bones pràctiques en ramaderia extensiva i recuperació i manteniment de pastures aplicat a l'ENP (Projecte REPICA)</t>
  </si>
  <si>
    <t>Progrés del manual tècnic</t>
  </si>
  <si>
    <t>Redacció, aprovació i divulgació</t>
  </si>
  <si>
    <t>Acords amb ramaders locals per actuacions de restauració i manteniment de pastures al voltant de pobles (POCTEFA Desbosiguem)</t>
  </si>
  <si>
    <t>Número acords implementats</t>
  </si>
  <si>
    <t>Afavorir la custòdia del territori amb entitats, per tal d’aconseguir fomentar el paisatge en mosaic i potenciar projectes de forma col·laborativa entre el parc, els ens locals i les entitats de custòdia</t>
  </si>
  <si>
    <t xml:space="preserve">Realització d'acords amb societats de caçadors mitjançant informes en els PTGMC
</t>
  </si>
  <si>
    <t>Número informes preceptius de PTGMC</t>
  </si>
  <si>
    <t>Tots els sol·licitats dins de termini</t>
  </si>
  <si>
    <t>Realització d'acords de custòdia aplicant el model d'acord elaborat per Serveis Centrals</t>
  </si>
  <si>
    <t>Número d'acords de custòdia duts a terme</t>
  </si>
  <si>
    <t>Direccio</t>
  </si>
  <si>
    <t>Realització d'actuacions demostratives en finques pròpies per al foment de bones pràctiques</t>
  </si>
  <si>
    <t>Número d'actuacions demostratives en forests i finques patrimonials</t>
  </si>
  <si>
    <t xml:space="preserve">Impulsar la coordinació amb els ens locals i entitats del tercer sector en la gestió finques públiques situades dins d’ENP </t>
  </si>
  <si>
    <t xml:space="preserve">Realització de projectes de forma col·laborativa amb els ens locals i entitats del tercer sector per a la gestió de les forests comunals </t>
  </si>
  <si>
    <t>Nombre de projectes col·laboratius CEINR X PNCTF X GENCAT</t>
  </si>
  <si>
    <t xml:space="preserve">Nombre de projectes col·laboratius </t>
  </si>
  <si>
    <t>Implementació d'accions des del Parc previstes als plans d'adaptació al canvi climàtic municipals aprovats</t>
  </si>
  <si>
    <t>Nombre d'accions d'adaptació al canvi climàtic municipal implementades</t>
  </si>
  <si>
    <t>Implementació d'accions de mitigació i adaptació al canvi climàtic previst per les empreses i equipaments acreditades per la CETS</t>
  </si>
  <si>
    <t>Nombre d'accions implementades</t>
  </si>
  <si>
    <t>Us Public</t>
  </si>
  <si>
    <t>Nuria</t>
  </si>
  <si>
    <t>Diagnosi dels cabals dels rius del Parc i establiment dels cabals ecològics</t>
  </si>
  <si>
    <t>Redacció de l'informe</t>
  </si>
  <si>
    <t xml:space="preserve">Participació en la redacció d'IOF de finques públiques en la fase de zonificació i planificació
</t>
  </si>
  <si>
    <t>Nombre de IOF amb participació activa</t>
  </si>
  <si>
    <t>tots els que es redactin</t>
  </si>
  <si>
    <t>Realització d'accions demostratives en finques públiques o amb acord de custòdia de mutu acord amb el DARP i la propietat</t>
  </si>
  <si>
    <t>Nombre accions demostratives</t>
  </si>
  <si>
    <t xml:space="preserve">Direccio </t>
  </si>
  <si>
    <t>Realització de tractaments silvícoles per afavorir la biodiversitat de mutu acord amb el DARP i la propietat</t>
  </si>
  <si>
    <t>Ha intervingudes</t>
  </si>
  <si>
    <t>Promoure als ens locals la sol·licitud d'ajuts disponibles per incentivar els serveis ecosistèmics per a la gestió forestal sostenible en finques publiques, incloent les finques patrimonials de la Generalitat amb drets comunals</t>
  </si>
  <si>
    <t>Número expedients d'ajut sol·licitats promoguts</t>
  </si>
  <si>
    <t>Divulgar i implementar les instruccions acordades entre el DTER i el DARP per compatibilitzar la gestió forestal i la conservació del gall fer, els rapinyaires forestals i altres elements de conservació que s’acordin</t>
  </si>
  <si>
    <t>Número d’implementacions de les directrius</t>
  </si>
  <si>
    <t>Tots els aprofitaments sol·licitats</t>
  </si>
  <si>
    <t xml:space="preserve">Promoció i participació en la redacció d'IOF de finques privades en la fase de zonificació i planificació
</t>
  </si>
  <si>
    <t>Promoure als propietaris privats la solicitud d'ajuts disponibles per incentivar els serveis ecosistèmics per a la gestió forestal sostenible en finques privades</t>
  </si>
  <si>
    <t xml:space="preserve">Elaboració i aprovació del Pla de Prevenció d'Incendis i gestió del foc (POCTEFA Desbosiguem) de mutu acord amb el DARP i ens locals
</t>
  </si>
  <si>
    <t>Redaccio i aprovació</t>
  </si>
  <si>
    <t>Realització d'accions de prevenció d'incendis forestals planificades: linies de defensa en vials forestals,  punts d’aigua i actuacions en punts estratègics de gestió</t>
  </si>
  <si>
    <t>Número accions de prevenció d'incendis forestals</t>
  </si>
  <si>
    <t xml:space="preserve">Elaboració i aprovació del Pla de Prevenció d'Incendis  i gestió del foc (POCTEFA Desbosiguem)
</t>
  </si>
  <si>
    <t>Número de cremes controlades</t>
  </si>
  <si>
    <t xml:space="preserve">Execució d'altres actuacions de prevenció d'incendis forestals no recollides al Pla </t>
  </si>
  <si>
    <t>Participació a les taules d'avaluació via informe preceptiu</t>
  </si>
  <si>
    <t>% de participació sobre els processos d'avaluació ambiental</t>
  </si>
  <si>
    <t>Número d'informes preceptius d'AIA</t>
  </si>
  <si>
    <t>Seguiment de les obres i altres actuacions informades que afecten i es realitzen dins dels límits del PNAP+XN2000 Alt Pallars</t>
  </si>
  <si>
    <t>Número d'actes de visites</t>
  </si>
  <si>
    <t>10% dels que requereixin visita</t>
  </si>
  <si>
    <t>100% dels que requereixin visita</t>
  </si>
  <si>
    <t>Establiment de mesures compensatories en cas de projectes que ho requereixin</t>
  </si>
  <si>
    <t>Número de mesures compensatories informades</t>
  </si>
  <si>
    <t xml:space="preserve">Participació en l'elaboració del Pla de Protecció (PP) i Pla Rector d'usos i Gestió (PRUG) juntament amb l'SPEN
</t>
  </si>
  <si>
    <t>Participació realitzada</t>
  </si>
  <si>
    <t xml:space="preserve">Participació en el seguiment del cabal en els trams dins ENP 
</t>
  </si>
  <si>
    <t>Número estacions de seguiment del Parc</t>
  </si>
  <si>
    <t xml:space="preserve">Impuls del control per incompliment de la normativa i el seu trasllat cap a l'administració competent
</t>
  </si>
  <si>
    <t>Número d'informes per incompliment tramesos al CAR i/o ACA i/o CHE</t>
  </si>
  <si>
    <t>Tots els que es detectin</t>
  </si>
  <si>
    <t>Participació en el Pla Hidrològic de la Conca de l'Ebre</t>
  </si>
  <si>
    <t>Redacció informe preceptiu vers el Pla</t>
  </si>
  <si>
    <t>Integració i participació en les comissions de desembassament prevegi la CHE</t>
  </si>
  <si>
    <t>Número de participacions</t>
  </si>
  <si>
    <t>Totes les comissions es facin</t>
  </si>
  <si>
    <t>Informes preceptius i requeriments emesos d'aquest àmbit</t>
  </si>
  <si>
    <t>Número informes preceptius i requeriments</t>
  </si>
  <si>
    <t>Tots els que es demanin</t>
  </si>
  <si>
    <t xml:space="preserve">Participació, de forma coordinada amb l'administració competent, en l'avaluació i control d'actuacions dins els límits de l'ENP.
</t>
  </si>
  <si>
    <t>Número informes precepetius</t>
  </si>
  <si>
    <t>Impuls del control per incompliment de la normativa i el seu trasllat cap a l'administració competent</t>
  </si>
  <si>
    <t>Participació en la identificació de finques prioritàries en base als criteris indicats</t>
  </si>
  <si>
    <t>Número de finques identificades</t>
  </si>
  <si>
    <t xml:space="preserve">Participació en la identificació de finques prioritàries en base als criteris indicats
</t>
  </si>
  <si>
    <t xml:space="preserve">Participació i foment de la compra o adquisició de drets d’aprofitament </t>
  </si>
  <si>
    <t>Número d'expedients de compra o adquisició de drets tramesos</t>
  </si>
  <si>
    <t>Actualització i georeferenciació dels inventaris del patrimoni arquitectònic i arqueològic existents del Parc</t>
  </si>
  <si>
    <t>Número d'elements actualitzats</t>
  </si>
  <si>
    <t>Prospecció arqueològica de zones alpines del Parc: massís Marimanha, Vall d'Unarre, Vall de Tavascan i capçalera de la Vall Ferrera</t>
  </si>
  <si>
    <t>Número d'elements prospectats</t>
  </si>
  <si>
    <t>Continuar les excavacions arqueològiques de l'explotació siderúrgica de Virós, Cova de l'Home Mort, Santa Creu de Llagunes, i iniciar l'excavació de Sant Martí del Pui i Sant Joan de l’Erm vell, i accions de conservació i divulgació d’aquests jaciments</t>
  </si>
  <si>
    <t>Número de campanyes d'excavació realitzades</t>
  </si>
  <si>
    <t>Actualització de l'inventari de les infraestructures agroramaderes històriques del Parc</t>
  </si>
  <si>
    <t>Número d'infraestructures inventariades i/o actualitzades</t>
  </si>
  <si>
    <t xml:space="preserve">Inventari del llegat cultural de la zona "Wild Rivers" del curs alt del Noguera Pallaresa </t>
  </si>
  <si>
    <t>Número d'elements inventariats</t>
  </si>
  <si>
    <t>Elaborar un registre del patrimoni etnogràfic i immaterial no georeferenciable</t>
  </si>
  <si>
    <t>Número d'elements registrats</t>
  </si>
  <si>
    <t>Recopilació i georeferenciació de toponimia popular del Parc no present o errònia de la cartografia ICGC en base a la memòria oral amb col·laboració amb les entitats locals</t>
  </si>
  <si>
    <t>Número de topònims recopilats</t>
  </si>
  <si>
    <t>Donar suport a les iniciatives i publicacions dedicades a recuperar  la parla pallaresa</t>
  </si>
  <si>
    <t>Número d’accions de suport</t>
  </si>
  <si>
    <t>Actualització i millora de la precisió del traçat de l'inventari de camins ramaders i històrics del Parc (en base a l'inventari del 1999 del CCPS) junt amb els ens locals</t>
  </si>
  <si>
    <t xml:space="preserve">Número de camins actualitzats </t>
  </si>
  <si>
    <t>Actualització del mapa d'entitats, associacions, museus, ecomuseus, OPEI (Observatori del Patrimoni Etnològic i Immaterial), etc.</t>
  </si>
  <si>
    <t>Número d'ens actualitzats</t>
  </si>
  <si>
    <t xml:space="preserve">Continuar impulsant el projecte de parcs i museus junt amb l'Ecomuseu de les Vals d'Àneu
</t>
  </si>
  <si>
    <t>Número d'accions realitzades vinculades al projecte</t>
  </si>
  <si>
    <t>Impulsar la bona cooperació, i si s'escau, establir convenis de col·laboració amb els equipaments culturals de l'àmbit del Parc, conjuntament amb el grup de treball de cultura de la CETS (acció 32): Ecomuseu de les Valls d'Àneu (principal), Espai Ermengol de la Seu, Museu Diocesà de la Seu, Centre d'Interpretació de l'Aigua de Tavascan, Molí de Casa Bellera de Rialp, Museu de les Papalllones, Museu de la Fusta d'Àreu (MNAC), Era d'Ortega de Peramea, Museu del Despoblat de Sta Creu de Llagunes, Museu de Camins, Presó Museu del Camí de la llibertat, Museu de la Sal (MNAC), Ecomuseu de Casa Sintet, Casa Cerdà d'Àreu, Casa de l'Os Bru dels Pirineus, Cente d'Interpretació de les Viles Closes d'Escaló, el Centre de Descoberta de les Ciències de la Terra, l’espai Puiolo de Pujalt, el Romànic visitable a través del Bisbat d’Urgell i  altres entitats, ruta de les esglésies barroques de la Vall de Cardós i altres es puguin afegir o inaugurar properament. Alguns d’aquests convenis s’estudiarà la possible integració com equipament propi del Parc, com seria la Casa de l’Os Bru,  el Centre de Descoberta de ciències de la Terra o ús compartit com l’espai Puiolo de Pujalt</t>
  </si>
  <si>
    <t>Número d'acords o convenis realitzats</t>
  </si>
  <si>
    <t>Fomentar la cooperació tècnica del gestors del PNAP amb els gestors de l'Ecomuseu de les Valls d'Àneu com a centre estructrual de gestió del Parc en l'àmbit cultural</t>
  </si>
  <si>
    <t>Número d'accions realitzades conjuntament</t>
  </si>
  <si>
    <t xml:space="preserve">Coordinació i participació de l'equip tècnic (propi) i servei de manteniment amb els responsables pertinents en els treballs de restauració arquitectònica i del patrimoni cultural 
</t>
  </si>
  <si>
    <t>Número d'accions realitzades</t>
  </si>
  <si>
    <t>Formació del personal tècnic de l'ENP i entitats col·laboradores en la gestió i conservació dels valors culturals de l'ENP</t>
  </si>
  <si>
    <t>Número d'activitats formatives realitzades</t>
  </si>
  <si>
    <t>Donar suport material i logístic a les activitats vinculades al patrimoni immaterial de l'àmbit del Parc per ajudar a conservar-les i visibilitzar-les: baixada de falles, aplecs, fira del ferro pirinenc, fires ramaderes, activitats agrícoles tradicionals, fer comú, raiers, musica popular pirinenca, bitlles pallareses, la parla pallaresa, art local, ...</t>
  </si>
  <si>
    <t>Número d'activitats del patrimoni immaterial del Parc a que se'ls dona suport</t>
  </si>
  <si>
    <t>Iniciar noves recerques sobre l’àmbit etnològic i immaterial del Parc. Incorporant elements vinculats amb el món de les creences, mitologia, espiritualitat, rondallística, etc...</t>
  </si>
  <si>
    <t>Número de recerques efectuades</t>
  </si>
  <si>
    <t>Donar suport a activitats i accions que divulguen la mitologia popular Pirinenca (festivals, rutes,...)</t>
  </si>
  <si>
    <t>Fomentar la recerca en l'àmbit del patrimoni artesà de l'Alt Pirineu (fusta, ferro, tèxtil, terrissa, pintura, etc.), la seva relació amb la natura i la seva divulgació a través del Festival Terra Roia i altres activitats</t>
  </si>
  <si>
    <t xml:space="preserve">Tramitar un conveni de col·laboració estable per l’organització del Festival Terra Roia de Vilamur i els intercanvis amb festivals d’art agermanats del Parc Pirinenc de les Tres Nacions de divulgació del patrimoni artesà i artístic de l’Alt Pirineu </t>
  </si>
  <si>
    <t>Conveni</t>
  </si>
  <si>
    <t>Tramitat</t>
  </si>
  <si>
    <t>Aprovat i executat</t>
  </si>
  <si>
    <t>Fomentar la recerca en memòria oral de les activitats tradicionals de l'àmbit del Parc i la seva divulgació</t>
  </si>
  <si>
    <t xml:space="preserve">Coordinar i  implementar les accions previstes pel PNAP del projecte POCTEFA Pyrfer + de posada en valor i dinamització de la Vall Ferrera entorn el ferro i la forja </t>
  </si>
  <si>
    <t>Continuar realitzant activitats formatives de la tècnica de pedra en sec (murs, empedrats, cabanes, ..)</t>
  </si>
  <si>
    <t>Número d'activitats formatives de pedra seca realitzades</t>
  </si>
  <si>
    <t>Natàlia</t>
  </si>
  <si>
    <t>Creació d'un Parc Arqueològic d'Alta Muntanya de la pedra seca (possiblement el Pla de Sartari)</t>
  </si>
  <si>
    <t>Creació del Parc Arqueològic</t>
  </si>
  <si>
    <t>Divulgació i foment de l'aplicació del nou manual de bones pràctiques per la rehabilitació de construccions rurals aïllades del Parc</t>
  </si>
  <si>
    <t>Número de construccions en que s'ha aplicat el manual</t>
  </si>
  <si>
    <t>Continuar les recerques i investigacions iniciades sobre arquitectura tradicional, tant d’interior com d’exterior, vinculada amb agricultura i ramaderia, patrimoni preindustrial (molins, serradores, batans, etc...), esglésies, capelles i ermites, en tot l’àmbit del Parc. Cal fer una menció específica a l’interès que desperta l’antiga explotació fustera La Matussiere a Bonabé, a partir de la qual es poden desenvolupar interessants relats patrimonials com la frontera, la gestió del bosc, etc...</t>
  </si>
  <si>
    <t>Continuar donant ajuts, i realitzar campanyes de difusió i informació,  per a la rehabilitació de bordes, cabanes i altres construccions rurals aïllades del Parc d'ús agroramader o patrimonial (moles, serradores,..), valorant incloure la redacció dels projectes tècnics i estudis ambientals</t>
  </si>
  <si>
    <t>Número d'ajuts concedits i campanyes d’informació realitzades</t>
  </si>
  <si>
    <t>Continuar en la restauració del patrimoni moble de Casa Bringué de Ginestarre</t>
  </si>
  <si>
    <t>Número de mobles restaurats</t>
  </si>
  <si>
    <t>Executar el projecte de rehabilització de Casa Bringué de Ginestarre com espai museistic, formatiu i alberg de joventut</t>
  </si>
  <si>
    <t>Execució del projecte</t>
  </si>
  <si>
    <t>Mantenir la coberta vegetal de la Borda de Llosaus</t>
  </si>
  <si>
    <t>Número d'acions de manteniment</t>
  </si>
  <si>
    <t>Redacció projecte i rehabilitació de les cases forestals patrimonials de Mas Llavaners,  Borda de l’Orient i el Soi destinats a l’educació ambiental i conservació de la biodiversitat</t>
  </si>
  <si>
    <t>Acció realitzada</t>
  </si>
  <si>
    <t>Redacció del projecte</t>
  </si>
  <si>
    <t>Redacció i rehabilitació</t>
  </si>
  <si>
    <t>Realització d'accions de conservació del patrimoni arquitectònic públic del Parc a través del servei de manteniment, obres o ajuts</t>
  </si>
  <si>
    <t>Número d'accions de conservació</t>
  </si>
  <si>
    <t>Donar suport a les entitats que ajuden a identificar, conservar, multiplicar i fomentar l'ús del banc de llavors de les varietats agrícoles i ornamentals de l'Alt Pirineu, incloent les seves activitats formatives</t>
  </si>
  <si>
    <t>Número d'accions de suport realitzades</t>
  </si>
  <si>
    <t>Manteniment i millora dels espais de conservació i multiplicació de les varietats agrícoles i ornamentals locals: planter de Gerri, fruiterar de salvaguarda de la Deixalleria de Sort, banc de llavors del Paller d’Antonet</t>
  </si>
  <si>
    <t>Difondre el coneixement  de les varietats locals, incentivar la producció de planter i fomentar el seu ús en fires, cultius, tastos, visites a horts, activitats inclusives i de salut,  etc.</t>
  </si>
  <si>
    <t>Número d’activitats realitzades</t>
  </si>
  <si>
    <t>Donar suport a la conservació de les races locals de bestiar del Parc a través de les fires i concursos de raça</t>
  </si>
  <si>
    <t>Número d'accions de suport en fires i concursos</t>
  </si>
  <si>
    <t>Divulgar i donar a conèixer les races locals de bestiar del Parc a través de diferents mitjans</t>
  </si>
  <si>
    <t>Número d'accions de divulgació</t>
  </si>
  <si>
    <t>Moi</t>
  </si>
  <si>
    <t>Integrar el patrimoni cultural als itineraris, cartelleria i exposicions itinerants de l'ENP</t>
  </si>
  <si>
    <t>Cal incloure les exposicions itinerants</t>
  </si>
  <si>
    <t>Integrar el patrimoni cultural en la senyalització informativa i interpretativa, especialment el reconegut per la UNESCO</t>
  </si>
  <si>
    <t>Número de noves senyals en que s'ha integrat el patrimoni cultural</t>
  </si>
  <si>
    <t>Fomentar i divulgar les activitats de guiatge interpretatiu i educatives i xerrades que incorporen el patrimoni cultural, especialment el reconegut per la UNESCO</t>
  </si>
  <si>
    <t>Número d'activitats divulgades</t>
  </si>
  <si>
    <t>Fomentar l’accessibilitat als monuments i edificis històrics als guies intèrprets acreditats, sota la seva responsabilitat, per tal de garantir als guies-intèrprets la programació de les activitats amb comoditat i antelació davant de la imprevisibilitat del sector turístic</t>
  </si>
  <si>
    <t>Número edificis i/o monuments en que s’ha aconseguit</t>
  </si>
  <si>
    <t>Realitzar activitats de formació en valor culturals al personal d'informació del Parc, especialment el reconegut per la UNESCO</t>
  </si>
  <si>
    <t>Actualitzar l'inventari d'elements paisatgístics del Parc</t>
  </si>
  <si>
    <t>Actualització  de l'inventari</t>
  </si>
  <si>
    <t xml:space="preserve">Observatori </t>
  </si>
  <si>
    <t>Realitzar o donar suport amb ajuts a actuacions de restauració dels elements del paisatge degradats</t>
  </si>
  <si>
    <t xml:space="preserve">Número d'accions de restauració </t>
  </si>
  <si>
    <t>Realització de murals de divulgació dels valors naturals i culturals del Parc en parets d’elements paisatgístics degradats</t>
  </si>
  <si>
    <t>Número de murals realitzats</t>
  </si>
  <si>
    <t>Gestionar l'abandonament i eventual desmantellament d'infraestructures i instal·lacions amb impactes sobre els valors de l'espai</t>
  </si>
  <si>
    <t>Restauració del paisatge a través de l'eliminació d'infrasstructures obsoletes via servei de manteniment, voluntariat o ajuts</t>
  </si>
  <si>
    <t>Número d'infraestructures retirades</t>
  </si>
  <si>
    <t>Tramitar i retirar vehicles abandonats a l'interior del Parc</t>
  </si>
  <si>
    <t>Número de vehicles retirats</t>
  </si>
  <si>
    <t>Retirar deixalles acumulades a l'interior del Parc a través del servei de manteniment, prioritzant els espais més freqüentats i integrar-ho als plans periòdics de manteniment de la brigada</t>
  </si>
  <si>
    <t>Número de dipósits de deixalles retirats</t>
  </si>
  <si>
    <t>Donar suport a activitats de voluntariat de retirada de deialles</t>
  </si>
  <si>
    <t>Número d'activitats a que s'ha donat suport</t>
  </si>
  <si>
    <t>Instal·lació de senyalització divulgativa d'emportar-se i no llençar deixalles i respectar l'entorn</t>
  </si>
  <si>
    <t>Número de senyals instal·lades</t>
  </si>
  <si>
    <t>Fomentar el reciclatge i la minimització de generació de residus a les empreses i equipaments del Parc a través de la seva acreditació per la CETS (Fase 2)</t>
  </si>
  <si>
    <t>Número d'empreses i equipaments acreditats per la CETS</t>
  </si>
  <si>
    <t>Núria</t>
  </si>
  <si>
    <t>Implementar les accions previstes al Pla d'Acció del Punt de Referencia de la Qualitat Lumínica del Parc</t>
  </si>
  <si>
    <t>Número d'accions implementades</t>
  </si>
  <si>
    <t>Implementar les accions previstes al projecte POCTEFA Pyre neit per l’àmbit del Parc</t>
  </si>
  <si>
    <t>Impulsar i obtenir una certificació de qualitat del cel nocturn internacional (Starlight, Darksky,..)</t>
  </si>
  <si>
    <t>Obtenció de la certificació</t>
  </si>
  <si>
    <t>Realitzar activitats divulgatives i educatives de la importància de conservar la qualitat del cel nocturn i reduir la contaminació lumínica</t>
  </si>
  <si>
    <t>Número d'activitats realitzades</t>
  </si>
  <si>
    <t>Fomentar l'adaptació de la il·luminació exterior a LED PC ambre a través dels ajuts convoca la DGQA</t>
  </si>
  <si>
    <t>Número de pobles i empreses que han adaptat la il·luminació exterior</t>
  </si>
  <si>
    <t>Implementar les accions previstes al Pla d'Acció de la ZEPQA  del Parc als tres municipis acreditats</t>
  </si>
  <si>
    <t>Ampliar la ZEPQA a altres municipis del Parc</t>
  </si>
  <si>
    <t>Número de municipis que s'ha ampliat la ZEPQA</t>
  </si>
  <si>
    <t>Identificar i prioritzar els elements clau i d'interès per la gestió de la biodiversitat i geodiversitat de Catalunya es troben dins l'ENP (especies amenaçades, espècies clau, espècies típiques, espècies exòtiques invasores,.. )</t>
  </si>
  <si>
    <t>Participació en la definició dels objectes de conservació clau (hàbitats, espècies, processos i elements d’interès geològic) comuns a nivell de Xarxa d'ENP o clúster territorial amb el suport de la Comissió Científica</t>
  </si>
  <si>
    <t>Realitzar la diagnosi de l'estat de conservació les poblacions des elements d'interès del Parc</t>
  </si>
  <si>
    <t>Número de diagnosis realitzades</t>
  </si>
  <si>
    <t>Identificació i compleció dels checklists de biodiveristat del Parc</t>
  </si>
  <si>
    <t>Número de checklists completats</t>
  </si>
  <si>
    <t>Generació d'informació per a l'inventari i cartografia d'espais fràgils (catàleg d'espais fràgils) i fer l'avaluació de la seva vulnerabilitat i proposta de solucions per revertir-ho</t>
  </si>
  <si>
    <t>Número d'espais fràgils identificats</t>
  </si>
  <si>
    <t>Realització aportacions a l'inventari de zones humides</t>
  </si>
  <si>
    <t>Número de noves zones humides catalogades</t>
  </si>
  <si>
    <t>Actualització de l'inventari d'espais d'interès geològic</t>
  </si>
  <si>
    <t>Número de nous espais d'interès geològics inventariats i/o actualitzats</t>
  </si>
  <si>
    <t>Participar en l'elaboració de la cartografia ambiental que elabora la UIC</t>
  </si>
  <si>
    <t>Participació en la programació de la realització de la cartografia d'hàbitats en el contracte pluriennal que existeix amb GeoVeg-UB</t>
  </si>
  <si>
    <t>Col·laboració amb la UIC per mantenir actualitzada la cartografia dels elements de conservació del Parc</t>
  </si>
  <si>
    <t>Periodicitat dels traspassos</t>
  </si>
  <si>
    <t>Anual</t>
  </si>
  <si>
    <t>Semestral</t>
  </si>
  <si>
    <t>Foment i coordinació dels estudis, des de l'Observatori de Recerca del Parc, sobre ecologia del foc, el règim hidrològic, la pol·linització, la tipificació i funcionament de les cadenes tròfiques pròpies de l’espai, la maduresa dels boscos, la dinàmica de la neu i les allaus, dinàmica geomorfològica i morfodinàmica de les roques, etc. i identificació dels buits de coneixement i fer passos per omplir aquests buits</t>
  </si>
  <si>
    <t>Número d'estudis realitzats</t>
  </si>
  <si>
    <t xml:space="preserve">Foment de l'estudi, en coordinació amb l'Observatori de Recerca del Parc, de l'afectació de determinats processos naturals o activitats antròpiques (contaminació, fragmentació d'hàbitats, atropellaments, noves arts de pesca, els agrupaments de bestiar per prevenció de danys  o pràctiques agrícoles de muntanya, etc.) en l’ENP (amenaces i impacte ambiental) i identificació dels buits de coneixement i fer passos per omplir aquests buits
</t>
  </si>
  <si>
    <t>Realització d’ estudis del món de les ciències socials, culturals, etc. per entendre la coevolució entra natura i societat, així com donar valor al llegat social i humà de l'espai natural</t>
  </si>
  <si>
    <t>Avaluació de l'impacte del canvi climàtic i les activitats antròpiques en l'ENP i la seva capacitat d'adaptació i resiliència, a través de projectes específics (Integradapta,REPICA,..)</t>
  </si>
  <si>
    <t>Número de projectes realitzats</t>
  </si>
  <si>
    <t>Avaluació dels resultats de les estratègies de gestió aplicades en l'ENP</t>
  </si>
  <si>
    <t>Número d'avaluacions realitzades</t>
  </si>
  <si>
    <t>Col.laboració amb l'Observatori de recerca i amb l'OPNB per aportar els coneixements generats a l'ENP</t>
  </si>
  <si>
    <t>Número coneixements aportats a l'observatori</t>
  </si>
  <si>
    <t xml:space="preserve">Programa de seguiment de l’estat hidrològic de les masses d’aigua per garantir el compliment dels cabals ecològics adaptat a les espècies i hàbitats en perill o vulnerables. Incloure la participació en el grup de treball de cabals i almesquera per garantir una bona gestió dels cabals evitant canvis sobtats de cabal o alteracions hidrològiques que puguin ser perjudicials per la biodiversitat
</t>
  </si>
  <si>
    <t>Realització del programa de seguiment</t>
  </si>
  <si>
    <t>Establiment d’una xarxa automatitzada de control (sensors, inventaris, models hidrològics, etc.).</t>
  </si>
  <si>
    <t>Número de sensors de cabals instal·lats</t>
  </si>
  <si>
    <t>Participació en dels estudis d'espècies plaga (escolítids, ungulats, fongs patògens, tuberculosis, etc.) de les autoritats competents i centres de recerca</t>
  </si>
  <si>
    <t>Número d'estudis en que s'ha participat</t>
  </si>
  <si>
    <t>Acompanyament de la Comissió Ramadera amb les unitats del DARP competents en la gestió i control de la sobrepoblació d’ungulats</t>
  </si>
  <si>
    <t>Número de sessions realitzades</t>
  </si>
  <si>
    <t>Realització i foment d'estudis de forma coordinada amb el SFF i divulgar-los</t>
  </si>
  <si>
    <t>Elaboració d'una cartografia detallada i actualitzada de connectors ecològics</t>
  </si>
  <si>
    <t>Cartografia realitzada</t>
  </si>
  <si>
    <t xml:space="preserve">Suport a la UIC en la definició dels sistemes de seguiment </t>
  </si>
  <si>
    <t>Número reunions realitzades</t>
  </si>
  <si>
    <t>Adequar i executar el Programa de Seguiment de la Biodiversitat (PSB) de seguiment periòdic dels grups clau de l'ENP al sistema estàndard de seguiment</t>
  </si>
  <si>
    <t>disposem d'un Programa de Seguiment de la Biodiversitat específic des del 2005</t>
  </si>
  <si>
    <t xml:space="preserve">Adaptació del PSB del Parc a la versió més recent sel sistema estàndard de seguiment aportada per la UIC
</t>
  </si>
  <si>
    <t>Adaptació del PSB realitzada</t>
  </si>
  <si>
    <t>Reforç i estabilització de la xarxa de voluntariat per a determinats seguiments de biodiversitat a través de les associacions vinculades al Parc</t>
  </si>
  <si>
    <t>Número de voluntaris nous donats d'alta</t>
  </si>
  <si>
    <t>Contractació d’especialistes (anual o plurianual) per a seguiments específics del PSB</t>
  </si>
  <si>
    <t>Número de seguiments contractats</t>
  </si>
  <si>
    <t xml:space="preserve">Aplicació del protocol establert de compartir informació per al seguiment global d’indicadors de l’estat de la natura, el seguiment dels pol·linitzadors silvestres, o altres </t>
  </si>
  <si>
    <t>Número de seguiments compartits</t>
  </si>
  <si>
    <t xml:space="preserve">Mantenir la base de dades del programa de seguiment de la biodiversitat (PSB) del Parc actualitzada i ordenada </t>
  </si>
  <si>
    <t>Mantenir i actualitzar la base de dades del programa de seguiment de la biodiversitat (PSB) del Parc</t>
  </si>
  <si>
    <t>Número d'actualitzacions realitzades</t>
  </si>
  <si>
    <t>Realització de reunions de participació dels grups de treball del SINATCAT</t>
  </si>
  <si>
    <t>Realitzar accions conjuntes de col·laboració en l’àmbit cultural amb l'Ecomuseu de les Valls d'Àneu i el Centre d'Art i Natura de Farrera o altres entitats o iniciatives d'impuls del coneixement cultural o social</t>
  </si>
  <si>
    <t>Realitzar accions conjuntes de col·laboració en l'àmbit natural amb museus de ciències naturals (Granollers,..), la Casa de l’Ós Bru dels Pirineus, MonNatura Pirineus i altres equipaments de referènca</t>
  </si>
  <si>
    <t>Continuar impulsant les beques Salvador Grau i Tort de suport a la recerca al Parc</t>
  </si>
  <si>
    <t>Número de beques de recerca impulsades</t>
  </si>
  <si>
    <t>Acollida d'estudiants en pràctiques de suport a l'equip gestor o a grups de recerca al Parc a través de convenis amb universitats o entitats acadèmiques I Fomentant la participació de joves estudiants en projectes innovadors al parc</t>
  </si>
  <si>
    <t>Número d’estudiants en pràctiques</t>
  </si>
  <si>
    <t>Crear programes que connectin el PNAP amb universitats i centres educatius, aprofitant els recursos del CAN i altres equipaments de referència com a pont per al desenvolupament de tallers, recerques i activitats formatives</t>
  </si>
  <si>
    <t xml:space="preserve">Número de programes creats </t>
  </si>
  <si>
    <t>Crear grup de treball des de la comissió científica  per abordar aquest tema</t>
  </si>
  <si>
    <t>Creació del grup de treball</t>
  </si>
  <si>
    <t>Participació en redacció de projectes de recerca i sessions de treball conjunt amb la comissió científica o altres membres del món acadèmic i científic per promoure la investigació al Parc</t>
  </si>
  <si>
    <t>Projectes redactats</t>
  </si>
  <si>
    <t>Promoció de projectes de ciència ciutadana existents com Fenocat</t>
  </si>
  <si>
    <t>Projectes de ciència ciutadana  promocionats</t>
  </si>
  <si>
    <t>Desenvolupar la IV Jornades de Recerca del Parc (2026)</t>
  </si>
  <si>
    <t>Realització de les jornades</t>
  </si>
  <si>
    <t>Realització anual del Cicle de Xerrades de Ciència (els anys que no hi ha jornades de recerca)</t>
  </si>
  <si>
    <t>Número de xerrades de ciència realitzades</t>
  </si>
  <si>
    <t>Rehabilitar Casa Bringué de Ginestarre com espai d'allotjament de suport a la recerca</t>
  </si>
  <si>
    <t>Rehabilitació efectuada</t>
  </si>
  <si>
    <t>Rehabilitar Casa Forestal de Pallerols com a espai d'allotjament i laboratori de camp</t>
  </si>
  <si>
    <t>Promoure el Centre d'Art i Natura de Farrera com a centre estructural de gestió de suport a la recerca</t>
  </si>
  <si>
    <t>Número accions realitzades en aquest àmbit</t>
  </si>
  <si>
    <t>Establir un acord de col·laboració amb Mon Natura Pirineus Fundació la Pedrera) pel suport a la recerca al Parc</t>
  </si>
  <si>
    <t>Realització de l'acord</t>
  </si>
  <si>
    <t>Participar a la Xarxa Interact d'estacions de suport a la recerca polars i alpines de l'hemisferi nord</t>
  </si>
  <si>
    <t>Impulsar l'Observatori de recerca de l'ENP, vinculat a l'Observatori del Patrimoni natural i la biodiversitat, i la Comissió Científica del Parc</t>
  </si>
  <si>
    <t>Ja esta creat</t>
  </si>
  <si>
    <t>Impuls a les funcions de l'Observatori de recerca de l'ENP en col·laboració amb la UIC i de la coordinació de la Comissió Científica</t>
  </si>
  <si>
    <t>Manteniment de l'Observatori i de la Comissió Científica</t>
  </si>
  <si>
    <t>Participar en la definició del sistema estàndard de seguiment de l'ús públic amb el SENP</t>
  </si>
  <si>
    <t>Realització de reunions de participació per definir el sistema</t>
  </si>
  <si>
    <t xml:space="preserve">Implementació del sistema estandaritzat de presa de dades i seguiment de la freqüentació en ENP del SENP
</t>
  </si>
  <si>
    <t>Implementació realitzada</t>
  </si>
  <si>
    <t>Mantenir, actualitzar i ampliar la xarxa d'ecocomptadors del Parc</t>
  </si>
  <si>
    <t>Número d'ecomptadors reparats, actualitzats o implementats</t>
  </si>
  <si>
    <t>Revisió dels estudis de capacitat de càrrega turística de Bonabé i la Pica d'Estats</t>
  </si>
  <si>
    <t>Revisions efectuades</t>
  </si>
  <si>
    <t>Realització d'un nou estudi de capacitat de càrrega turística de la capçalera de les Valls de Cardós</t>
  </si>
  <si>
    <t>Nou estudi realitzat</t>
  </si>
  <si>
    <t>Realitzar un 3er estudi global de freqüentació turística del Parc</t>
  </si>
  <si>
    <t>Estudi realitzat</t>
  </si>
  <si>
    <t>Desenvolupar i potenciar  l'eina de recollida de punts negres a nivell d'ús públic que va crear INEFC pel Parc i volcar-la cartogràficament</t>
  </si>
  <si>
    <t>Eina i cartografia operativa</t>
  </si>
  <si>
    <t xml:space="preserve">Identificar cartogràficament els punts i zones sensibles i la seva temporalitat de cara a les activiats </t>
  </si>
  <si>
    <t>Cartografia operativa</t>
  </si>
  <si>
    <t>Realització del registre d'activitats, actors i inciències en ús públic del Parc</t>
  </si>
  <si>
    <t>Número de registres realitzats</t>
  </si>
  <si>
    <t>Realització de l'estudi d'identificació d'impactes de les activitats d'ús públic en base al registre vigent</t>
  </si>
  <si>
    <t>Realització de l'estudi</t>
  </si>
  <si>
    <t xml:space="preserve">Fomentar i donar suport tècnic als Plans de desenvolupament socioecomònic local sostenible dels municipis </t>
  </si>
  <si>
    <t>Renovar PDLS VallFerrera i Ribera d'Isil i Alós, amb la corresponent revisió, valoració d’assoliment d’objectius i actualització, fer seguiment dels de Cardós, i redactar un de vall de Siarb</t>
  </si>
  <si>
    <t>Número de PDLS vigents i actius</t>
  </si>
  <si>
    <t>Implementació de les accions previstes dins els PDLS que siguin competència del Parc i promoure junt amb els ens locals respectius les que son competència d’altres unitats administratives, donant prioritat a la Vall Ferrera, tal com preveu  la disposició addicional tercera del decret del Parc</t>
  </si>
  <si>
    <t>Nímero d'accions implementades</t>
  </si>
  <si>
    <t>Acompanyar i assessorar els productors agraris i forestals per millorar les tècniques productives agràries i forestals i afavorir la conservació dels hàbitats i paisatges</t>
  </si>
  <si>
    <t xml:space="preserve">Manual tècnic de bones pràctiques en ramaderia extensiva i recuperació i manteniment de pastures en espais naturals protegits (Projecte REPICA)
</t>
  </si>
  <si>
    <t>Redacció i presentació del manual</t>
  </si>
  <si>
    <t>Observatori Recerca</t>
  </si>
  <si>
    <t>Programa de suport tècnic a sector agraroramader en ajuts maneig pastures</t>
  </si>
  <si>
    <t>Número de tallers/reunions informatius al sector agroramader</t>
  </si>
  <si>
    <t>Marc/Josep</t>
  </si>
  <si>
    <t>Impulsar la creació de la línia de suport a l’activitat ramadera en la conservació dels hàbitats i els paisatges a través dels contractes de gestió que preveu el Decret del Parc</t>
  </si>
  <si>
    <t>Es realitzen els primers contractes de gestió</t>
  </si>
  <si>
    <t>Promoció i assessorament sobre l'adhesió als distintius la marca Fet al Parc (si s'aprova pel Departament) i la CETS (fase 2)</t>
  </si>
  <si>
    <t>Número d'explotacions que s'han acollit a una de les dos marques</t>
  </si>
  <si>
    <t>Us public</t>
  </si>
  <si>
    <t>Promoció de la bioenginyeria del paisatge com a tècnica que afavoreix l’ús sostenible dels recursos naturals i la reducció de l’erosió</t>
  </si>
  <si>
    <t>Número d’accions realitzades</t>
  </si>
  <si>
    <t>Fomentar laboratoris d’innovació forestal, conjuntament amb les autoritats competents, com el de la Fundació Projecte Boscos de Muntanya al municipi d’Esterri de Cardós, amb models de col·laboració publico-privada</t>
  </si>
  <si>
    <t>S’ha realitzat aquest foment</t>
  </si>
  <si>
    <t xml:space="preserve">Col·laborar amb les Escoles Agràries i Forestals de Catalunya en la realització de formacions i estades de pràctiques d’alumnes al Parc per contribuir a la creació de llocs de treball agroramader i  forestal, i millorar les tècniques productives amb equilibri amb la conservació de la natura. </t>
  </si>
  <si>
    <t>Número d’alumnes formats i/o acollits</t>
  </si>
  <si>
    <t>Acompanyar als ens locals propietaris de boscos comunals  i privats per tal que l’autoritat competent en la matèria (DARP) realitzi un pla d’explotació i comercialització de la biomassa i foment de la bioeconomia</t>
  </si>
  <si>
    <t>S’ha realitzat l’acompanyament</t>
  </si>
  <si>
    <t>Organitzar estades de càrrecs electes i tècnics públics en explotacions agroramaderes de l’àmbit del Parc per tal de facilitar el coneixement mutu i entendre en profunditat la realitat i problemàtiques del sector</t>
  </si>
  <si>
    <t>Número de visites realitzades</t>
  </si>
  <si>
    <t>Facilitar a les explotacions ramaderes del Parc noves tecnologies via ajut o cessió temporal per afavorir el maneig del bestiar com collars GPS, antenes vinculades a aquest collars per donar cobertura i malles elèctriques per prevenció de danys</t>
  </si>
  <si>
    <t>Número explotacions ramaderes beneficiades</t>
  </si>
  <si>
    <t>Formar i assessorar als apicultors del coneixement i  tècniques adients per fomentar l’equilibri entre abelles domèstiques i silvestres.</t>
  </si>
  <si>
    <t>Realització de formacions a sector primari</t>
  </si>
  <si>
    <t>Número jornades formatives</t>
  </si>
  <si>
    <t>Promoure la recuperació i conservació de marges, punts d'aigua i altres infraestructures associats a l'activitat agroramadera i d'interès per la biodiversitat</t>
  </si>
  <si>
    <t>Creació de nous abeuradors (coms) per ramaderia</t>
  </si>
  <si>
    <t>Número abeuradors nous</t>
  </si>
  <si>
    <t>Reparació/millora abeuradors existents, adequar-los al pas dels amfibis i amb paviment perimetral per evitar possibles propagacions de malalties als ramats</t>
  </si>
  <si>
    <t>Número abeuradors millorats</t>
  </si>
  <si>
    <t>Reconstrucció de murs i altres infraestructures de pedra seca directament, a través de la convocatòria d’ajuts, mitjançant accions de voluntariat i el propi servei de manteniment del Parc</t>
  </si>
  <si>
    <t>Metres quadrats de murs reconstruïts</t>
  </si>
  <si>
    <t>Manteniment i instal·lació de nous llosats i tancaments a les cabanes de pastor comunals i patrimonials del Parc</t>
  </si>
  <si>
    <t>Número de cabanes mantingudes o millorades</t>
  </si>
  <si>
    <t>Reparació/millora infraestructures ramaderes existents i creació d’aquelles de titularitat pública que es considerin prioritàries pel maneig d’hàbitats de pastura del Parc</t>
  </si>
  <si>
    <t>Número infraestructures millorades i/o creades</t>
  </si>
  <si>
    <t>Establir una relació contínua amb agents socioeconòmics del territori a través de l'Associacio de Productors i Elaboradors Agroalimentaris del Parc "del Parc al Plat", la Comissió Ramadera (de nova creació)  i per la resta amb taules específiques (artesans, sector forestal,...)</t>
  </si>
  <si>
    <t>Per que ja es disposa...</t>
  </si>
  <si>
    <t>Crear, convocar i impulsar la participació de la Comissió Ramadera de la Junta Rectora i desplegament dels plans de treball</t>
  </si>
  <si>
    <t>Número sessions participació amb la comissió ramadera</t>
  </si>
  <si>
    <t>Convocar i impulsar la participació de l'Associació de Productors i desplegament dels plans de treball</t>
  </si>
  <si>
    <t>Número de sessions participació amb Associació Productors</t>
  </si>
  <si>
    <t xml:space="preserve">Impulsar accions de promoció dels productes locals </t>
  </si>
  <si>
    <t>Número accions de promoció</t>
  </si>
  <si>
    <t>Publicació, difusió i actualització del nou catàleg de productors agroalimentaris “Fet al Parc”</t>
  </si>
  <si>
    <t>Número d’edicions del catàleg</t>
  </si>
  <si>
    <t>Crear una taula de treball específica amb el sector artesania</t>
  </si>
  <si>
    <t>Creació de la taula</t>
  </si>
  <si>
    <t>Dissenyar i publicar el nou catàleg de productors artesans no agroalimentaris “Fet al Parc”</t>
  </si>
  <si>
    <t>Crear una taula de treball específica amb les empreses sector forestal</t>
  </si>
  <si>
    <t>Participació en la definició i desplegament dels plans de treball amb cada tipus de taula de desenvolupament local (Del Parc al Plat, Comissio Ramadera, artesans i forestal)</t>
  </si>
  <si>
    <t>Número plans de treball</t>
  </si>
  <si>
    <t xml:space="preserve">Generació d'un segell comú per a tota la xarxa de Parcs (responsabilitat de SENP)
</t>
  </si>
  <si>
    <t xml:space="preserve">Generació de la marca </t>
  </si>
  <si>
    <t>SENP</t>
  </si>
  <si>
    <t>Lluis Balaguer</t>
  </si>
  <si>
    <t>Establiment de criteris propis de l'ENP per poder facilitar identificació de productes de qualitat i respectuosos</t>
  </si>
  <si>
    <t>Establiment de criteris propis</t>
  </si>
  <si>
    <t>Inclusió de visites a productors o artesans en el catàleg d'activitats de l'ENP</t>
  </si>
  <si>
    <t>Número propostes visita diferents a l'agenda d'activitats del Parc</t>
  </si>
  <si>
    <t xml:space="preserve">Elaboració i actualització periòdica del catàleg de productors agroalimentaris 
</t>
  </si>
  <si>
    <t>Número de fitxes del catàleg creades</t>
  </si>
  <si>
    <t>Elaboració nou catàleg d'artesans</t>
  </si>
  <si>
    <t>Realitzar la Fira dels Productes del Parc</t>
  </si>
  <si>
    <t>Número edicions de la Fira</t>
  </si>
  <si>
    <t>Donar suport a fires d'artesania i productes locals dels municipis de la CETS Alt Pirineu</t>
  </si>
  <si>
    <t>Número edicions de fires es dona suport</t>
  </si>
  <si>
    <t>Accions de suport a l'Escola Slow Food del Pallars</t>
  </si>
  <si>
    <t>Número accions de suport</t>
  </si>
  <si>
    <t>Creació i posada en funcionament de l'obrador compartit de Casa Bringué</t>
  </si>
  <si>
    <t>Es crea i es posa en marxa obrador</t>
  </si>
  <si>
    <t>Accions de suport a l'obrador comunitari i escorxador de Sort</t>
  </si>
  <si>
    <t>Ja ho fa IDAPA i Sobirà Dinàmic</t>
  </si>
  <si>
    <t>Suport al projecte Pallars Gastronòmic de treball comú del sector agroalimentari i restauració al Pallars</t>
  </si>
  <si>
    <t>Donar visibilitat als establiments turístics adherits a la CETS de l'Alt Pirineu, fet que inclou el seu compromís envers el producte local</t>
  </si>
  <si>
    <t xml:space="preserve">Nombre de canals comunicatius del Parc usats per donar visibilitat a les empreses adherides a la CETS </t>
  </si>
  <si>
    <t>Us Públic</t>
  </si>
  <si>
    <t>Col·laboració amb la Reserva Nacional de Caça de l'Alt Pallars per a incorporar objectius de conservació d’espècies i hàbitats en la gestió de la reserva</t>
  </si>
  <si>
    <t>Número de reunions</t>
  </si>
  <si>
    <t>Col·laboració amb la Zona de Caça Controlada de Sort, Soriguera i Rialp per a incorporar objectius de conservació d’espècies i hàbitats en la ZCC</t>
  </si>
  <si>
    <t>Foment d'acords amb les Societats de Caçadors per a incorporar objectius de conservació d’espècies i hàbitats en la revisió dels Plans de Gestió Cinegètica</t>
  </si>
  <si>
    <t>Número d'acords</t>
  </si>
  <si>
    <t>Impuls a la declaració de refugis de caça i pesca, i zones de pesca sense mort amb l’autoritat competent</t>
  </si>
  <si>
    <t>Número de refugis creats</t>
  </si>
  <si>
    <t xml:space="preserve">Foment de la implicació dels caçadors i pescadors del territori en la conservació dels valors de l'espai i en promoure la pesca i la caça per a la conservació i restauració d’hàbitats i regulació de les sobrepoblacions de fauna </t>
  </si>
  <si>
    <t xml:space="preserve">Junt amb l’autoritat competent, catalogar, conservar i fomentar les zones de fresa de peixos </t>
  </si>
  <si>
    <t>Número de zones de fresa de peixos catalogades</t>
  </si>
  <si>
    <t>Foment del voluntariat ambiental entre els pescadors i caçadors  i les seves entitats</t>
  </si>
  <si>
    <t>Número d’accions de voluntariat realitzades</t>
  </si>
  <si>
    <t>Junt amb l’autoritat competent, mantenir el millor tractament per als pescadors riberencs com a eina d’integració local</t>
  </si>
  <si>
    <t>Participació de l’òrgan gestor del PN en l’elaboració i criteris del Pla anual de gestió dels corbs marins i d'altres espècies amb perill potencial</t>
  </si>
  <si>
    <t>Col·laborar amb l’autoritat competent del DARP per establir un sistema de comunicació àgil i efectiu de les batudes a la població local i visitant del Parc</t>
  </si>
  <si>
    <t>S’ha establert el sistema i és funcional</t>
  </si>
  <si>
    <t>Accions ja realitzades per la RNC Alt Pallars i ZCC Sort, Soriguera Rialp</t>
  </si>
  <si>
    <t>Continuar amb el desplegament de la CETS de l'Alt Pirineu: Fase I: execució del Programa d'Actuacions 2023-2027, memòries anuals i seguiment d'indicadors</t>
  </si>
  <si>
    <t>Número d'accions del Pla realitzades</t>
  </si>
  <si>
    <t>Continuar la Fase II: adhesió d'empreses turístiques a la CETS Alt Pirineu</t>
  </si>
  <si>
    <t>Número empreses adherides noves CETS a partir del 2025</t>
  </si>
  <si>
    <t>Iniciar Fase III: adhesió d'agències de viatges el 2028</t>
  </si>
  <si>
    <t>Número agencies adherides</t>
  </si>
  <si>
    <t>Coordinar les tasques i contractació de la secretaria tècnica que acompanya el projecte</t>
  </si>
  <si>
    <t>Formalització del nou contracte de secretaria tècnica</t>
  </si>
  <si>
    <t>Coordinació amb el grup CETSCAT de Parcs Naturals de Catalunya que desenvolupen la CETS</t>
  </si>
  <si>
    <t>Número de reunions assistides</t>
  </si>
  <si>
    <t>Tramitar la certificació Wild Rivers</t>
  </si>
  <si>
    <t>La certificació Biosphere ja la fa la Diputació de Lleida. I estem tramitant la de Wild Rivers pel Noguera Pallaresa</t>
  </si>
  <si>
    <t>Tramitar l'acreditació Wild Rivers</t>
  </si>
  <si>
    <t>Aprovació de l'acreditació</t>
  </si>
  <si>
    <t xml:space="preserve">Direcció </t>
  </si>
  <si>
    <t>Desplegar les accions previstes al Pla d'acció 2025-2029</t>
  </si>
  <si>
    <t>09.1.3</t>
  </si>
  <si>
    <t>Fomentar el guiatge interpretatiu al Parc Natural</t>
  </si>
  <si>
    <t>Afavorir els guies intèrprets acreditats pel Parc com actors principals en la difusió dels valors i el patrimoni del Parc, tot donant-los prioritat en la realització d’activitats i guiatges, en especial aquells acreditats per la CETS</t>
  </si>
  <si>
    <t>Número d’accions de foment</t>
  </si>
  <si>
    <t>Promocionar les activitats dels guies intèrprets acreditats del Parc en els mitjans de difusió del Parc</t>
  </si>
  <si>
    <t>Número d’accions de difusió realitzades</t>
  </si>
  <si>
    <t>Treballar amb les empreses turístiques per trobar eines de canvi cap a un model de turisme regeneratiu</t>
  </si>
  <si>
    <t>Canviem per turisme regeneratiu per que es el que s'esta treballant des de la CETS</t>
  </si>
  <si>
    <t>Fomentar les compensacions del carboni generat pels visitants a través de Gratitud Pallars</t>
  </si>
  <si>
    <t>Número de causes tancades mitjançant donació</t>
  </si>
  <si>
    <t>Promoure grups de treball específics en els diferetns àmbits del sector turístic</t>
  </si>
  <si>
    <t>No ens pertoca crear productes, pero promourem la seva creació a través dels grups de treball en el marc de la CETS</t>
  </si>
  <si>
    <t>Creació i desplegament dels grups de treball en l'àmbit turístic (cultura, esqui, dades, empreses CETS, etc..)</t>
  </si>
  <si>
    <t>Donar continuïtat al conveni de col·laboració amb l’estació de Port Ainé (FGC) per la realització d’accions conjuntes en matèria ambiental, adaptació al canvi climàtic i d’ús públic a l’entorn de l’estació</t>
  </si>
  <si>
    <t>Número d’accions realitzades via conveni</t>
  </si>
  <si>
    <t>Realitzar nous convenis de col·laboració amb la resta d’estacions de muntanya de l’àmbit del Parc (Tavascan, Virós Vallferrera, Sant Joan de l’Erm i Baqueira) ) per la realització d’accions conjuntes en matèria ambiental, adaptació al canvi climàtic i d’ús públic a l’entorn de les estacions</t>
  </si>
  <si>
    <t>Número de convenis realitzats</t>
  </si>
  <si>
    <t>Participar com agent col·laborador al Pla de Turisme Sostenible de Sort 2024-2028 en les diferents accions previstes relacionades amb el Parc</t>
  </si>
  <si>
    <t>Número d’accions en que s’ha participat</t>
  </si>
  <si>
    <t>Establir un model arquitectònic de construcció a l'ENP adaptat als seus valors naturals i culturals</t>
  </si>
  <si>
    <t>No tenim pla de protecció</t>
  </si>
  <si>
    <t>Actualitzar, imprimir i divulgar la nova guia de bones pràctiques de rehabilitació de construccions rurals aïllades del PNAP</t>
  </si>
  <si>
    <t>Accions de divulgació</t>
  </si>
  <si>
    <t xml:space="preserve">Regular l'acampada i pernoctació </t>
  </si>
  <si>
    <t>Mantenir, divulgar i supervisar la regulació d'acampada i pernoctació en base a lo acordat en Junta Rectora</t>
  </si>
  <si>
    <t>Percentatge de tramitació d'autoritzacions d'acampada sol·licitades</t>
  </si>
  <si>
    <t>Regular la circulació rodada no motoritzada  (BTT)</t>
  </si>
  <si>
    <t>Requerir i tramitar autorització empreses BTT fan circuits al Parc</t>
  </si>
  <si>
    <t>Percentatge de tramitació d'autoritzacions per part de les empreses BTT existents</t>
  </si>
  <si>
    <t>Regular vies ferrades, activitats hivernals de neu, barranquisme, i espeleologia</t>
  </si>
  <si>
    <t>No tenim pla de protecció, i l'escalada és anecdòtica</t>
  </si>
  <si>
    <t>Actualització de l'acord de regulació de l'espeleologia</t>
  </si>
  <si>
    <t>Acord actualitzat i implementat</t>
  </si>
  <si>
    <t>Realització d'un acord de regulació del barranquisme</t>
  </si>
  <si>
    <t>Acord realitzat i implementat</t>
  </si>
  <si>
    <t>Creació i divulgació d'àrees de tranquil·litat hivernal per fer compatible activitats hivernals de neu amb la conservació de fauna sensible</t>
  </si>
  <si>
    <t>Número àrees de tranquil·litat hivernal creades</t>
  </si>
  <si>
    <t xml:space="preserve">Regular les curses i altres activitats esportives organitzades </t>
  </si>
  <si>
    <t xml:space="preserve">Implementació del protocol de regulació de curses i altres activitats esportives organitzades a través de segells de qualitat (Segell verd o GREEN CXM Trail) </t>
  </si>
  <si>
    <t>Número de curses acreditades amb segell</t>
  </si>
  <si>
    <t>Regular els enregistraments i l'observació de fauna i natura</t>
  </si>
  <si>
    <t>Divulgar la regulació d'enregistraments i observació de fauna i natura  en base a la normativa sectorial, en especial el gall fer</t>
  </si>
  <si>
    <t>Número d'accions comunicatives</t>
  </si>
  <si>
    <t>Regular les activitats científiques en base al Decret de creació del Parc</t>
  </si>
  <si>
    <t>Mantenir i supervisar la regulació de recerca científica</t>
  </si>
  <si>
    <t>Percentatge de tramitació d'autoritzacions de recerca sol·licitades</t>
  </si>
  <si>
    <t>Divulgar la regulació del bany als ecosistemes aquàtics (senyals, web, XXSS,..)</t>
  </si>
  <si>
    <t>Mantenir i supervisar la regulació de vol sense motor  en base a la normativa sectorial</t>
  </si>
  <si>
    <t>Percentatge de tramitació d'autoritzacions de vol sol·licitades</t>
  </si>
  <si>
    <t>Regular el submarinisme en estanys alpins</t>
  </si>
  <si>
    <t>Mantenir i supervisar la regulació de submarinisme en estanys  en base a la normativa sectorial</t>
  </si>
  <si>
    <t>Percentatge de tramitació d'autoritzacions de submarinisme sol·licitades</t>
  </si>
  <si>
    <t>Regular les activitats aquàtiques (kayak) dins del Parc</t>
  </si>
  <si>
    <t>Mantenir i supervisar la regulació de navegació en base a la normativa sectorial als rius del Parc</t>
  </si>
  <si>
    <t>Percentatge de tramitació d'autoritzacions de kayak sol·licitades</t>
  </si>
  <si>
    <t>Creació de punts de desinfecció d'embarcacions per prevenir entrada espècies invasores</t>
  </si>
  <si>
    <t>Número de punts de desinfecció realitzats en funcionament</t>
  </si>
  <si>
    <t>Divulgar la regulació de gos lligat per acord de Junta Rectora  (senyals, web, XXSS,..)</t>
  </si>
  <si>
    <t>Estar informats de les activitats de lleure educatiu</t>
  </si>
  <si>
    <t>L'educació ambiental no es regula</t>
  </si>
  <si>
    <t>Coordinació amb agents implicats en la promoció i regulació les activitats de lleure educatiu</t>
  </si>
  <si>
    <t>Número de reunions de coordinació realitzades</t>
  </si>
  <si>
    <t>Realització d'activitats d'educació ambiental a les estades de lleure educatiu</t>
  </si>
  <si>
    <t>Número d'activitats educatives realitzades</t>
  </si>
  <si>
    <t>Actualització del pla d'ordenació de la circulació motoritzada (2004) i de senderisme (2006) de forma participativa i tenint en compte les necessitats dels guies intèrprets acreditats i la població local</t>
  </si>
  <si>
    <t>Plans actualitzats</t>
  </si>
  <si>
    <t xml:space="preserve">Direccció </t>
  </si>
  <si>
    <t>Incorporació de les tecnologies de Wikiloc o Google Maps</t>
  </si>
  <si>
    <t>Número de rutes noves publicades</t>
  </si>
  <si>
    <t>Promoció  dels itineraris i miradors accessibles</t>
  </si>
  <si>
    <t>Número d'accions de promoció</t>
  </si>
  <si>
    <t>No tenim pla de protecció però tenim Pla d'Ordenació de la Circulació Motoritzada</t>
  </si>
  <si>
    <t xml:space="preserve">Promoció del pla de regulació de circulació rodada motoritzada </t>
  </si>
  <si>
    <t>Actualització i difusió del Planol de Mobilitat Sostenible</t>
  </si>
  <si>
    <t>Continuar i millorar la regulació per reserva  (Vall de Bonabe, Pica Estats,..)</t>
  </si>
  <si>
    <t>Regulacions per reserva operatives</t>
  </si>
  <si>
    <t>Instal·lació o renovació de barreres</t>
  </si>
  <si>
    <t>Número barreres instal·lades/renovades</t>
  </si>
  <si>
    <t>Millora Rural</t>
  </si>
  <si>
    <t>Instal·lació o renovació de senyas circulació motoritzada</t>
  </si>
  <si>
    <t>Número de senyals instal·lades/renovades</t>
  </si>
  <si>
    <t>Implementació del protocol de regulació de drons, d'enlairament i aterratge (mapa de zones d'exclusió de vol temporals)</t>
  </si>
  <si>
    <t>Percentatge de tramitació d'autoritzacions de vol de dron</t>
  </si>
  <si>
    <t xml:space="preserve">Implementació de les regulacions temporals amb reserva d'aparcament d'estiu de Bonabé i Pica d'Estats
</t>
  </si>
  <si>
    <t>Número de reserves realitzades</t>
  </si>
  <si>
    <t>Administració</t>
  </si>
  <si>
    <t>Mercè</t>
  </si>
  <si>
    <t>Implementació de les regulacions temporals hivern-primavera per neu i fauna</t>
  </si>
  <si>
    <t>Número d'accions de difusió de regulació temporal</t>
  </si>
  <si>
    <t>Coordinar amb el CAR les regulacions temporals d'accés i curculació (tant estiu com hivern)</t>
  </si>
  <si>
    <t>Reunions amb CAR sobre el tema</t>
  </si>
  <si>
    <t>Millora i manteniment dels aparcaments de vehicles existents de suport a la regulació</t>
  </si>
  <si>
    <t>Accions de millora  i manteniment d'aparcaments</t>
  </si>
  <si>
    <t>Jonades participatives de desplegament i seguiment de la gestió de l'UP</t>
  </si>
  <si>
    <t>Número de jornades de participació</t>
  </si>
  <si>
    <r>
      <t>Aplicació del Manual jurídic d'U</t>
    </r>
    <r>
      <rPr>
        <sz val="11"/>
        <color rgb="FF000000"/>
        <rFont val="Calibri"/>
        <family val="2"/>
        <scheme val="minor"/>
      </rPr>
      <t>P i model d'ordenança municipal</t>
    </r>
  </si>
  <si>
    <t>Número d'ordenances municipals noves o actualitzades</t>
  </si>
  <si>
    <t>Realitzar l'inventari de senyalització de l'ENP</t>
  </si>
  <si>
    <t>Actualització de l'inventari de senyalització adaptant-ho a la metodologia de la resta de Parcs</t>
  </si>
  <si>
    <t>Número actualitzacions</t>
  </si>
  <si>
    <t xml:space="preserve">Realització de programes de senyalització informativa i direccional per sectors del Parc, incloent la de carreteres vinculada als valors del parc
</t>
  </si>
  <si>
    <t>Número de programes de senyalització realitzats</t>
  </si>
  <si>
    <t>Revisió i actualització de la senyalització en base al manual de senyalització vigent</t>
  </si>
  <si>
    <t>Números senyals renovades/noves instal·lades</t>
  </si>
  <si>
    <t>Manteniment de senyalització existent</t>
  </si>
  <si>
    <t>Número senyals mantingudes</t>
  </si>
  <si>
    <t>Promoció del bany i navegació a la Torrassa i rius fora del Parc</t>
  </si>
  <si>
    <t>Mantenir el servei de reserves i vigilància de Fornet i Marimanha (Vall de Bonabé) i pista de Boet (Àreu Pica d'Estats) de mutu acord amb els ens locals implicats</t>
  </si>
  <si>
    <t>Serveis de vigilància mantinguts</t>
  </si>
  <si>
    <t>Estudiar i implementar un nou servei de regulació i vigilància de l’accés motoritzat a l’accés a la presa de Montalto i Font de la Costa</t>
  </si>
  <si>
    <t>Nou sistema  regulació implementat</t>
  </si>
  <si>
    <t xml:space="preserve">Mantenir i millorar la regulació temporal i permanent existent als accessos principals del Parc amb noves senyals i barreres </t>
  </si>
  <si>
    <t>Número de senyals instal·lades o reposades</t>
  </si>
  <si>
    <t>Promoure sistemes de transport públic en zones freqüentades de mutu acord amb els ens locals implicats, incloent l’opció de transport de bicicletes</t>
  </si>
  <si>
    <t>Número serveis de transport promoguts</t>
  </si>
  <si>
    <t>Millora i manteniment d'accessos rodats principals del Parc de forma planificada</t>
  </si>
  <si>
    <t>Km accessos mantinguts i/o millorats</t>
  </si>
  <si>
    <r>
      <t>Treballar amb els ens locals del Parc perquè el Pla zonal de Carreteres de la Diputació de Lleida incorpori més camins de titularitat municipal a la xarxa de carreteres legalment constituïda</t>
    </r>
    <r>
      <rPr>
        <sz val="11"/>
        <color rgb="FFFF0000"/>
        <rFont val="Trebuchet MS"/>
        <family val="2"/>
      </rPr>
      <t>.</t>
    </r>
  </si>
  <si>
    <t>Número de vials en que s’ha donat suport</t>
  </si>
  <si>
    <t>Realitzar reunions periòdiques amb les Taules de Camins comarcals i de vegueria (IDAPA) per millorar la gestió del manteniment i millora dels camins implicant a tots els actors del territori</t>
  </si>
  <si>
    <t>Millora i manteniment de la xarxa de camins senyalitzats a peu, bicicleta i la xarxa de camins ramaders públics</t>
  </si>
  <si>
    <t>Km camins senyalitzats mantinguts i/o millorats</t>
  </si>
  <si>
    <t>Millora i manteniment de centres d'interès amb un ús elevat (aparcaments, àrees d'esbarjo, miradors, refugis lliures, aixoplucs..)</t>
  </si>
  <si>
    <t>Número centres millorats/mantinguts</t>
  </si>
  <si>
    <t>Disposar dels equipaments i infraestructures necessàries,  accessibles  i inclusives per acollir, informar, facilitar la visita i garantir la seguretat dels visitants i la protecció de l'entorn</t>
  </si>
  <si>
    <t>Revisió i actualització els equipaments al SIEQ i la seva vinculació al SINATCAT</t>
  </si>
  <si>
    <t>Número actualitzacions equipaments</t>
  </si>
  <si>
    <t>Revisió de necessitats d'inversió i redacció de projectes d'inversió</t>
  </si>
  <si>
    <t>Número de projectes redactats</t>
  </si>
  <si>
    <t>Adaptació d’itineraris, equipaments i infraestructures a persones amb diversitat funcional (Paller d’Antonet, Casa dels Parcs dels Pirineus, Edifici Biuse, Bordes de Virós, Refugi Gall fer, embassament de Boren, Mollera d’Escalarre, Mirador del Mont Roig, etc..)</t>
  </si>
  <si>
    <t>Número equipaments adaptats</t>
  </si>
  <si>
    <t xml:space="preserve">Donar continuïtat a la participació al projecte ”Apropa Cultura” per apropar els equipaments vinculats al Parc a persones en situació de vulnerabilitat 	</t>
  </si>
  <si>
    <t>Número d’equipaments adherits</t>
  </si>
  <si>
    <t xml:space="preserve">Instal·lació de lavabos secs en zones freqüentades sense serveis </t>
  </si>
  <si>
    <t>Número lavabos secs instal·lats</t>
  </si>
  <si>
    <t>Creació de vies verdes o carrils per bicicleta per facilitar la mobilitat lenta als fons de les valls principals (vall principal Noguera Pallaresa, Vall de Cardós, Vall Ferrera i vall principal riu Valira)</t>
  </si>
  <si>
    <t>Número de km de vies verdes creades</t>
  </si>
  <si>
    <t>Adequar espais i equipaments  per rebre grups de lleure i voluntariat (Llavaners, Casa Pallerols, Casa Bringué..)</t>
  </si>
  <si>
    <t>Número espais/equipaments adequats</t>
  </si>
  <si>
    <t>Adequar i millorar els punts d'informació existents del Parc Natural (9)</t>
  </si>
  <si>
    <t>Número punts informació adequats</t>
  </si>
  <si>
    <t>Adquisició, redacció projecte i adequació de la Rectoria d’Àreu com a punt d’informació i interpretació del Parc</t>
  </si>
  <si>
    <t>Adquisició realitzada</t>
  </si>
  <si>
    <t>Adquisició i adequació realitzada</t>
  </si>
  <si>
    <t>Redacció de l’avantprojecte, projecte executiu i execució de les obres de creació del centre d'interpretació de la prehistòria del despoblat de la  Santa Creu de Llagunes.</t>
  </si>
  <si>
    <t>Redacció realitzada</t>
  </si>
  <si>
    <t>Redacció i adequació realitzada</t>
  </si>
  <si>
    <t>Desenvolupar el Pla d'Acollida als Visitants</t>
  </si>
  <si>
    <t>Redacció del Pla</t>
  </si>
  <si>
    <t>Proveir i estocar tot el material de difusió i venda adreçat als visitants</t>
  </si>
  <si>
    <t>Número materials de difusió proveïts i estocats</t>
  </si>
  <si>
    <t>Planificar calendaris d'obertura dels Centres d'Informació</t>
  </si>
  <si>
    <t>Anys planificats</t>
  </si>
  <si>
    <t>Coordinar els equips d'informadors del PNAP</t>
  </si>
  <si>
    <t>Número reunions coordinació</t>
  </si>
  <si>
    <t>Dinamitzar els Centres d'Informació amb activitats, exposicions, etc.</t>
  </si>
  <si>
    <t>Número d'activitats dedinamització</t>
  </si>
  <si>
    <t>Establir un sistema d’informació útil automatitzat en temps real: meteorologia, espais en obres, incidències, batudes, ocupació dels pàrquings, etc.</t>
  </si>
  <si>
    <t>Número d’automatismes incorporats al sistema</t>
  </si>
  <si>
    <t>Creació d'un argumentari sobre aspectes de normativa perinformar els visitants unificadament</t>
  </si>
  <si>
    <t>Argumentari creat</t>
  </si>
  <si>
    <t>Garantir el compliment de la normativa dins els ENP, especialment en l'accés motoritzat, zones amb hiperfreqüentació i elements amb aprofitament comercial</t>
  </si>
  <si>
    <t>Pla de vigilància de l’espai d'acord amb els cossos d’inspecció i seguretat, incloent les relatives al  seguiment de l’os bru amb el CAR</t>
  </si>
  <si>
    <t>Número de plans actualitzats</t>
  </si>
  <si>
    <t>Identificació dels punts i rutes clau de vigilància, temes clau, el calendari i els recursos necessaris</t>
  </si>
  <si>
    <t>Número de punts clau i rutes de vigilància diferents identificats</t>
  </si>
  <si>
    <t>Reunions periódiques per controlar compliment del Pla  de vigilància</t>
  </si>
  <si>
    <t xml:space="preserve">Implementar càmeres de videovigilància en zones problemàtiques amb coordinació amb els cossos de vigilància </t>
  </si>
  <si>
    <t>Número de càmeres de videovigilància operatives</t>
  </si>
  <si>
    <t>Informes i autoritzacions enviats al CAR i altres cossos de vigilància per supervisar</t>
  </si>
  <si>
    <t>Número d'informes i/o autoritzacions enviades a supervisar</t>
  </si>
  <si>
    <t>Contractació servei d’agents cívics o informadors itinerants per informar als visitants i veïns de la normativa del Parc</t>
  </si>
  <si>
    <t>Número d’agents cívics contractats de mitjana cada any</t>
  </si>
  <si>
    <t>Redactar el pla d'autoprotecció del Parc</t>
  </si>
  <si>
    <t>Pla redactat</t>
  </si>
  <si>
    <t>Col·laboració en instal·lacio i manteniment senyals cobertura 112</t>
  </si>
  <si>
    <t>Número senyals instal·lades</t>
  </si>
  <si>
    <t>Redacció del Pla de Prevenció i protecció d'incendis del Parc (POCTEFA Desbosiguem)</t>
  </si>
  <si>
    <t>Realització d'actuacions de prevenció d'incendis forestals</t>
  </si>
  <si>
    <t>Superfície actuada de prevenció d'incendis</t>
  </si>
  <si>
    <t>20 ha</t>
  </si>
  <si>
    <t>100 ha</t>
  </si>
  <si>
    <t>Col·laboració amb el ICGC en l’avaluació dels riscos dintre de l’ENP</t>
  </si>
  <si>
    <t>Número d’actuacions realitzades amb col·laboració</t>
  </si>
  <si>
    <t xml:space="preserve">Actualització d'un mapa d'agents col·laboradors: cercar entitats i institucions locals que col·laborin amb la Xarxa (CRPs, administració local, entitats ambientals i educatives...). 
</t>
  </si>
  <si>
    <t>Número agents identificats</t>
  </si>
  <si>
    <t>Reunions periòdiques amb centres educatius per definir objectius i necessitats de la xarxa</t>
  </si>
  <si>
    <t>Treballar de forma coordinada amb centres educatius de l'ENP</t>
  </si>
  <si>
    <t>No existeix un model general, i ens agrada treballar segons les necessitats de les escoles del territori</t>
  </si>
  <si>
    <t xml:space="preserve">Constitució i dinamització dels espais de treball conjunt amb els agents col·laboradors
</t>
  </si>
  <si>
    <t>Número de trobades realitzades</t>
  </si>
  <si>
    <t>Crear un mapa d'activitats que fan les escoles vinculades al Parc</t>
  </si>
  <si>
    <t>Mapa realitzat</t>
  </si>
  <si>
    <t>Disseny i desenvolupament de projectes compartits (Agenda escolar, Homo pirinensis,..)</t>
  </si>
  <si>
    <t>Número projectes compartits realitzats</t>
  </si>
  <si>
    <t xml:space="preserve">Coordinació amb els Centres de Recursos Pedagògics (CRP) i centres educatius per detectar les necessitats formatives i estiguin reconegudes </t>
  </si>
  <si>
    <t>Realització de formacions al professorat</t>
  </si>
  <si>
    <t>Número de formacions realitzades</t>
  </si>
  <si>
    <t>Ampliar l'oferta pedagògica amb noves activitats, com el projecte “De l’estudi al Tros” de visita a les explotacions ramaderes del Parc</t>
  </si>
  <si>
    <t xml:space="preserve">Número activitats noves oferides </t>
  </si>
  <si>
    <t>Revisar i millorar les activitats existents, i adaptar-les a situacions d'aprenentatge i treballs  per projecte</t>
  </si>
  <si>
    <t>Número activitats millorades oferides</t>
  </si>
  <si>
    <t xml:space="preserve">Col·laborar amb projectes d'ApS ambiental i Ciència ciutadana i projectes compartits amb entitats del territori </t>
  </si>
  <si>
    <t>No creiem que calgui incloure-ho a l'oferta pedagògica</t>
  </si>
  <si>
    <t xml:space="preserve">Cerca d'entitats del territori amb qui elaborar projectes d'ApS o ciència ciutadana que donin resposta a les necessitats del Parc </t>
  </si>
  <si>
    <t>Número de projectes amb col·laboració</t>
  </si>
  <si>
    <t>Crear nous recursos educatius vinculats a una problemàtica del Parc</t>
  </si>
  <si>
    <t>Número de recursos educatius nous</t>
  </si>
  <si>
    <t xml:space="preserve">Elaboració d'una proposta de possibles temàtiques per oferir als centres educatius de projectes vinculats a l'espai natural (treball de recerca, crèdit de síntesi, servei comunitari, pràctiques, etc.).
</t>
  </si>
  <si>
    <t>Número de propostes ofertes</t>
  </si>
  <si>
    <t>Observatori</t>
  </si>
  <si>
    <t>Acompanyament de l'alumnat en la relació dels projectes.</t>
  </si>
  <si>
    <t>Número de convenis de practiques o projectes acompanyats</t>
  </si>
  <si>
    <t>Realitzar una trobada anual territorial amb els agents clau de l'educació ambiental</t>
  </si>
  <si>
    <t>Número de trobades</t>
  </si>
  <si>
    <t>Establir col·laboracions i projectes conjunts</t>
  </si>
  <si>
    <t>Número de projectes conjunts</t>
  </si>
  <si>
    <t xml:space="preserve">Curs del bon coneixedor de l'ENP
</t>
  </si>
  <si>
    <t>Número de cursos realitzats</t>
  </si>
  <si>
    <t>Formacions continuades en el marc del contracte del servei d'informació i educació ambiental.</t>
  </si>
  <si>
    <t>Número de jornades formatives</t>
  </si>
  <si>
    <t>Curs d'informador de la CETS</t>
  </si>
  <si>
    <t>Formació dels actors implicats en la gestió dels ENP en base a les necessitats detectades</t>
  </si>
  <si>
    <t xml:space="preserve">Participació en la concreció dels missatges i peces creatives de la campanya de la DG.  
</t>
  </si>
  <si>
    <t>Número d'aportacions</t>
  </si>
  <si>
    <t xml:space="preserve">Difusió de la campanya aprofintant les eines i equipaments de l'ENP. </t>
  </si>
  <si>
    <t>Número d'accions de difusió</t>
  </si>
  <si>
    <t xml:space="preserve">Establiment de col·laboracions amb entitats i institucions locals i empreses CETS per a la difusió local de la campanya.  </t>
  </si>
  <si>
    <t>Número de col·laboracions</t>
  </si>
  <si>
    <t>Adaptar el programa de divulgació i sensibilització de l'ENP perquè incorpori una oferta d’activitats adequada per a famílies i altres perfils</t>
  </si>
  <si>
    <t>Creiem es pot ajuntar els diferents perfils</t>
  </si>
  <si>
    <t xml:space="preserve">Disseny d'una oferta d’activitats d’educació ambiental de lleure educatiu adreçada a famílies i altres perfils
</t>
  </si>
  <si>
    <t>Número activitats ofertades</t>
  </si>
  <si>
    <t>Realitzar activitats familiars del projecte "Explora el Parc"</t>
  </si>
  <si>
    <t>Número activitats realitzades</t>
  </si>
  <si>
    <t>Realitzar activitats accessibles del projecte "Tothom és Parc"</t>
  </si>
  <si>
    <t>Realització de Jornades Micològiques per divulgar la diversitat fúngica del Parc i les bones pautes de comportament per boletaires</t>
  </si>
  <si>
    <t>Establiment de vincles entre entitats que realitzen campaments i estades al Parc i l’activitat d’EiVA del Parc (Campaments amb empremta positiva).</t>
  </si>
  <si>
    <t>Número reunions amb entitats de lleure</t>
  </si>
  <si>
    <t>Ús Públic</t>
  </si>
  <si>
    <t xml:space="preserve">Realització activitats d'educació ambiental als campaments i estades </t>
  </si>
  <si>
    <t>Número d'activitats realitzades als campaments</t>
  </si>
  <si>
    <t>Coordinació amb l'agencia catalana de joventut per coordinar accions</t>
  </si>
  <si>
    <t>Número reunions</t>
  </si>
  <si>
    <t>Generar una BBDD amb els col·lectius estratègics del territori.</t>
  </si>
  <si>
    <t>Número contactes de la BBDD</t>
  </si>
  <si>
    <t>Executar els projectes de sensibilització i formació dirigits al sector esportiu i de lleure</t>
  </si>
  <si>
    <t>Treiem el sector turistic per que ja disposem de la CETS que aborda aquet tema</t>
  </si>
  <si>
    <t>Realitzar càpsules informatives/divuLgatives dels valors i la normativa del Parc en actes i/o proves esportives</t>
  </si>
  <si>
    <t>Número càpsules realitzades</t>
  </si>
  <si>
    <t>Fomentar l'acreditació de curses de muntanya amb certificació ambiental (catalana o espanyola)</t>
  </si>
  <si>
    <t>Número de curses acreditades</t>
  </si>
  <si>
    <t>Considerem es igual que la 13.4.4</t>
  </si>
  <si>
    <t>Desenvolupar el projecte "De l'estudi al tros"</t>
  </si>
  <si>
    <t>Realització de formacions de conservació dirigides al sector primari</t>
  </si>
  <si>
    <t xml:space="preserve">Promocionar els reptes de l'Agenda dels Pirineus
</t>
  </si>
  <si>
    <t>Accions de promoció</t>
  </si>
  <si>
    <t>Realització i suport a activitats de la Taula de Voluntariat i altres que contribueixin a fomentar el sentiment de pertinença i la implicació en la conservació de l'ENP</t>
  </si>
  <si>
    <t>Número participants locals a les activitats de voluntariat</t>
  </si>
  <si>
    <t>Donar suport a la nova Associació de persones amigues del Parc Natural de l'Alt Pirineu per a la realització d'activitats i accions</t>
  </si>
  <si>
    <t>Número d'accions/activitats a les que s'ha donat suport</t>
  </si>
  <si>
    <t>Realització i suport a activitats i altres que contribueixin a fomentar el sentiment de pertinença de la població local (programa Vivim al Parc) i la implicació en la conservació de
l'ENP</t>
  </si>
  <si>
    <t xml:space="preserve">Realitzar reunions periòdiques de les entitats de voluntariat amb equip de gestió per fer les propostes de possibles accions </t>
  </si>
  <si>
    <t>Número reunions de l'equip tècnic</t>
  </si>
  <si>
    <t>Coordinació amb la secretaria de la Taula de Voluntariat del Pirineu Occidental</t>
  </si>
  <si>
    <t>Número activitats proposades des de l'ENP</t>
  </si>
  <si>
    <t>Impulsar línies específiques de finançament (via subvencions, contractes públics o d’altres) per tal de finançar les iniciatives de voluntariat existents al parc (Iniciativa Rius, Mountain Calling, Projecte Boscos de Muntanya, Museu de Camins,..)</t>
  </si>
  <si>
    <t>Accions de voluntariat finançades</t>
  </si>
  <si>
    <t xml:space="preserve">Elaboració i actualització periòdica del mapa d’agents de voluntariat que actuen a l’ENP, incloent entitats ambientals i altres entitats que participen en activitats de voluntariat ambiental
</t>
  </si>
  <si>
    <t>Reunions periòdiques amb la Taula de Voluntariat del Pirineu Occidental per establir acords i col·laboracions i projectes conjunts</t>
  </si>
  <si>
    <t>Número reunions de la Taula realitzades</t>
  </si>
  <si>
    <t>Vincular algunes accions de voluntariat a l'Associació de persones amigues del Parc</t>
  </si>
  <si>
    <t>Accions vinculades</t>
  </si>
  <si>
    <t>Dissenyar una proposta d'activitat inclusiva amb una entitat/empresa experta</t>
  </si>
  <si>
    <t>Realitzar una formació anual per a informadors/es, guies i personal del Parc en accessibilitat i diversitat funcional.</t>
  </si>
  <si>
    <t>Número formacions realitzades</t>
  </si>
  <si>
    <t>Realitzar una formació anual per a informadors/es i personal del Parc en perspectiva de gènere</t>
  </si>
  <si>
    <t xml:space="preserve">Contractar serveis d'assessorament extern i formació per incorporar la perspectiva de gènere entre l'equip del Parc i l'empresa que realitza el servei d'informació, educació i voluntariat ambiental. </t>
  </si>
  <si>
    <t xml:space="preserve">Promoure itineraris saludables                                                                                                                                                                                             </t>
  </si>
  <si>
    <t>Número itineraris promocionats</t>
  </si>
  <si>
    <t>Incorporació i promoció de guiatges terapèutics en els itineraris saludables acompanyats de guies intèrprets i professionals de la salut</t>
  </si>
  <si>
    <t>Número de guiatges incorporats</t>
  </si>
  <si>
    <t xml:space="preserve">Desplegament, de forma coordinada amb els CAPs  i Àrees Bàsiques de Salut, una proposta pilot adreçada a col·lectius diana dins l'ENP (Ex: prescripció de natura (recepta verda i blava) i fomentar la pràctica de l’activitat física saludable
</t>
  </si>
  <si>
    <t>Número propostes realitzades</t>
  </si>
  <si>
    <t>Col·laboració amb el projecte ESMOLET del ABS del Pallars que identifica la sinistralitat produïda als 2 Pallars durant la pràctica d’activitat física al medi natural amb la finalitat de prevenir-la, identificar punts negres en la geografia i anàlisi de les causes i conseqüències per sensibilitzar a federacions, clubs, empreses de turisme actiu, agrupacions d’esplai, medis de comunicació, sanitaris i també als usuaris</t>
  </si>
  <si>
    <t>Tenir en compte l'eix Salut i Natura en la renovació del pla d'acció de la CETS</t>
  </si>
  <si>
    <t>Número accions del Pla d'acció vinculades a l'eix salut i natura</t>
  </si>
  <si>
    <t>Inclusió del concepte de Salut i Natura en els missatges comunicatius de conservació i sensibilització</t>
  </si>
  <si>
    <t>Número comunicacions amb informació sobre salut i natura</t>
  </si>
  <si>
    <t>Participació a les Taules de Salut i Natura</t>
  </si>
  <si>
    <t>Número sessions en que s'ha participat</t>
  </si>
  <si>
    <t xml:space="preserve">Elaborar els productes comunicatius que es determinin conjuntament amb Serveis Centrals:  ex. un telegrama mensual, butlletí, agenda activitats trimestral, fulletó informatiu vinculats amb ús públic, etc.
</t>
  </si>
  <si>
    <t>Número productes comunicatius elaborats</t>
  </si>
  <si>
    <t>Mantenir i reforçar la comunicació de les actuacions del Parc a través de les xarxes socials (facebook, X, instagram, youtube, tiktok)</t>
  </si>
  <si>
    <t>Número de posts  mitjà realitzats a la setmana</t>
  </si>
  <si>
    <t>Elaborar un butlletí comunicatiu anual del Parc pensat per a la població local, sectoritzat per valls o sectors del Parc, utilitzant la parla pallaresa, i amb un butlletí específic per l’Alt Urgell</t>
  </si>
  <si>
    <t>Número de butlletins editats</t>
  </si>
  <si>
    <t>Donar a conèixer l'equip del Parc a través dels diferents canals comunicatius</t>
  </si>
  <si>
    <t>Número d'accions de difusió sobre l'equip del Parc</t>
  </si>
  <si>
    <t>Inclusió d'aspectes de transparència informativa sobre el que s’està treballant des de l’ENP a la Junta Rectora</t>
  </si>
  <si>
    <t>Número Juntes Rectores realitzades</t>
  </si>
  <si>
    <t>Realització d’un treball tècnic de diagnosis de la percepció social existent del Parc i establiment d’un pla d’acció comunicatiu per millorar-lo</t>
  </si>
  <si>
    <t xml:space="preserve">Realització del treball	</t>
  </si>
  <si>
    <t>Realització de xerrades i presentacions del Parc específiques per a la població local per incrementar el sentiment de pertinença, procurant fer-ne per cada tema un mínim d’una xerrada a cada una de les dos comarques del Pallars Sobirà i Alt Urgell amb col·laboració amb entitats del territori</t>
  </si>
  <si>
    <t>Número de xerrades i/o presentacions realitzades</t>
  </si>
  <si>
    <t>Creació d'un banc d’imatges, vídeos, vídeos amb vols de dron</t>
  </si>
  <si>
    <t>Número de contractes de creació i/o adquisició d'imatges i vídeos</t>
  </si>
  <si>
    <t>Posar a disposició de la societat els estudis i informes que s'han fet del Parc (realització de xerrades de ciència, infografies, etc.)</t>
  </si>
  <si>
    <t>Número d'accions de comunicació realitzades</t>
  </si>
  <si>
    <t>Generació d'un servei geogràfic d'oferta de senders oficials i equipaments (google maps)</t>
  </si>
  <si>
    <t>Realització del google maps dels senders i equipaments del Parc</t>
  </si>
  <si>
    <t xml:space="preserve">Actualització de l'apartat web i la plataforma Wikiloc amb l'oferta d'itineraris oficials (CaminaCat) </t>
  </si>
  <si>
    <t>Número d'itineraris nous incorporats</t>
  </si>
  <si>
    <t>Recuperar i actualitzar l’App “Deixa’t Guiar pel Parc Natural de l’Alt Pirineu” amb suport del CTTI</t>
  </si>
  <si>
    <t>L’app torna a estar operativa</t>
  </si>
  <si>
    <t>Vetllar pel correcte tractament i emmagatzematge d'aquests estudis i informes (repositori al web del Parc)</t>
  </si>
  <si>
    <t>Número de nous estudis i informes penjats al web del Parc</t>
  </si>
  <si>
    <t>Realització de diferents versions idiomàtiques dels materials de difusió</t>
  </si>
  <si>
    <t>Número fulletons realitzats amb diferents idiomes</t>
  </si>
  <si>
    <t>Crear un nou espai al web de Preguntes freqüents</t>
  </si>
  <si>
    <t xml:space="preserve">Creació de material divulgatiu específic i en positiu a partir de les campanyes de comunicació elaborades conjuntament amb Serveis Centrals i de les necessitats del territori del Parc (bany en estanys, acampada, gos lligat circulació motoritzada, comportament en zona d’ós bru,..)(comunicació externa)
</t>
  </si>
  <si>
    <t>Número materials realitzats</t>
  </si>
  <si>
    <t>Realització de sessions d'intercanvi de coneixements i projectes en marxa entre l'equip gestor (Comunicació interna)</t>
  </si>
  <si>
    <t>Número sessions realitzades</t>
  </si>
  <si>
    <t>Potenciació de la doble funció dels Centres de documentació: generar informació (material de recerca) i oferir informació als visitants.</t>
  </si>
  <si>
    <t>Número accions difusió realitzades</t>
  </si>
  <si>
    <t>Definició i clarificació dels rols de l'equip del parc i una correcta definició de les tasques de cada membre.</t>
  </si>
  <si>
    <t>Actualització del web segons el format i estàndards establerts des de Serveis Centrals</t>
  </si>
  <si>
    <t xml:space="preserve">Tenir un responsable/equip de comunicació amb formació tècnica que estudi la necessitat i viabilitat d'obrir nous canals comunicatius (butlletí, xxss, revistes etc.) conjuntament amb Serveis Centrals
</t>
  </si>
  <si>
    <t>Hi ha un responsable</t>
  </si>
  <si>
    <t>Reunions d'equip periòdiques amb una freqüència no superior a 15 dies.</t>
  </si>
  <si>
    <t>Reunions bimensuals de coordinació de la Xarxa dels grups de conservació, d’ús públic i turisme, de gestió econòmica o RAE, d’educació ambiental, de centres de documentació, de millora rural, i de direcció.</t>
  </si>
  <si>
    <t xml:space="preserve">Planificació i disseny de la comunicació de cada Parc conjuntament amb els Serveis Centrals,  per garantir-ne la imatge corporativa i la coherència com a xarxa (publicacions, xxss, web, NP, merxandatge etc.)
</t>
  </si>
  <si>
    <t xml:space="preserve">Elaboració i aplicació del Pla de comunicació de l'ENP que inclogui: els protocols vigents d'informació i comunicació, l'aplicació dels manuals existents i vigents en quan a comunicació corporativa i el protocol comunicatiu específic per a Juntes Rectores d'ENP
</t>
  </si>
  <si>
    <t>Participació en els espais d'intercanvi d'informació entre ENP</t>
  </si>
  <si>
    <t>Creació i dinamització de la comissió ramadera del Parc</t>
  </si>
  <si>
    <t>Número de sessions de la comissió</t>
  </si>
  <si>
    <t>Recuperar les reunions de la Comissió permanent del Parc</t>
  </si>
  <si>
    <t>Activar de forma transparent i participativa el Consell de Cooperació del Parc del Pallars Sobirà i de l’Alt Urgell per donar veu a entitats de cada comarca</t>
  </si>
  <si>
    <t>Crear i convocar el Consell Municipal del Parc per donar més pes als ens locals, abans de cada junta rectora</t>
  </si>
  <si>
    <t xml:space="preserve">Rebre assessorament professional extern per tal de millorar el sistema de funcionament i participació de la Junta Rectora </t>
  </si>
  <si>
    <t xml:space="preserve">Número de millores realitzades en el funcionament </t>
  </si>
  <si>
    <t>Creació d’una taula de treball tècnic transfronterer entre els equips de gestió del Parc Pirinenc de les Tres Nacions en el marc del POCTEFA PP3N i desenvolupar les accions previstes</t>
  </si>
  <si>
    <t>Número d’accions realitzades conjuntament</t>
  </si>
  <si>
    <t>Creació d’una taula de treball tècnic transfronterer entre els equips de gestió de la Xarxa de Parcs Pirinencs i generar projectes POCTEFA conjunts i intercanvis</t>
  </si>
  <si>
    <t>Dinamització de la comissió científica del Parc ja existent</t>
  </si>
  <si>
    <t>Ja estan inclosos a la Junta Rectora per Decret de creació del Parc</t>
  </si>
  <si>
    <t>Presentació i aprovació de la proposta de Pla Estratègic a la Junta Rectora i engegar un procés participatiu per rebre aportacions</t>
  </si>
  <si>
    <t>Realitzar un procés participatiu el 2028 per avaluar el Pla present i preparar el proper Pla Estratègic 2029 - 2032</t>
  </si>
  <si>
    <t>Creació d’un nou model de governança a nivell transfronterer del Parc Pirinenc de les Tres Nacions en el marc del POCTEFA PP3N</t>
  </si>
  <si>
    <t xml:space="preserve">Aplicació del nou sistema de seguiment pressupostari conjunt per a tots els ENP per al control de les despeses (quan entri en funcionament).
</t>
  </si>
  <si>
    <t>Gestió Econòmica</t>
  </si>
  <si>
    <t>Aza</t>
  </si>
  <si>
    <t>Aplicació del manual per al règim de gestió econòmica als ENP per traspassar dades al RAE</t>
  </si>
  <si>
    <t>Participació dels espais de coordinació entre ENP per identificar les despeses comunes tramitables a càrrec del pressupost de la DG</t>
  </si>
  <si>
    <t>Establir un sistema de ponderació (a aprovar per la Junta Rectora) alhora de preparar el pressupost del Parc i actuacions de la brigada a nivell de cada municipi que tingui en compte la superfície que aporta cada municipi al Parc i la seva població resident</t>
  </si>
  <si>
    <t xml:space="preserve">Realització i aplicació del sistema </t>
  </si>
  <si>
    <t xml:space="preserve">Amb els espais de coordinació entre ENP, detecció de les necessitats conjuntes que es puguin agrupar en contractes únics (amb o sense lots) o en convocatòries amb concurrència
</t>
  </si>
  <si>
    <t>Número de agrupacions identificades</t>
  </si>
  <si>
    <t>Encaix de les necessitats específiques de cada ENP a les necessitats conjuntes detectades a nivell de Xarxa</t>
  </si>
  <si>
    <t>Preveure amb una antelació mínima de 6 mesos les necessitats de contractació per augmentar l'eficiència de la tramitació i disposar de marge de maniobra davant qualsevol eventualitat</t>
  </si>
  <si>
    <t>Número de previsions realitzades</t>
  </si>
  <si>
    <t xml:space="preserve">Preveure amb una antelació mínima de 6 mesos les convocatòries d'ajuts per augmentar l'eficiència de la tramitació i disposar de marge de maniobra davant qualsevol eventualitat.
</t>
  </si>
  <si>
    <t>Participar amb el SENP en la redacció de les bases reguladores dels ajuts per tal que s’ampliin els criteris dels ajuts i es pugui invertir també al sòl urbà fora del límit del Parc per accions vinculades a aquest</t>
  </si>
  <si>
    <t>Número de revisions realitzades</t>
  </si>
  <si>
    <t>Participar amb el SENP i Turisme en la redacció de les bases reguladores dels ajuts per tal que incorporin ajuts per a les empreses que s’acrediten per la CETS per desenvolupar les accions previstes alss seus plans d’acció</t>
  </si>
  <si>
    <t>Implementació de gestor d'expedients</t>
  </si>
  <si>
    <t>Treballar amb SSCC per adaptar les convocatòries d'ajuts a les necessitats de l'ENP</t>
  </si>
  <si>
    <t xml:space="preserve">Número de reunions realitzades </t>
  </si>
  <si>
    <t xml:space="preserve">Elaboració d'un llistat de convenis i altres instruments de col·laboració vigents i planificar les pròrrogues que es requereixin
</t>
  </si>
  <si>
    <t>Direció</t>
  </si>
  <si>
    <t>Participació en l'elaboració coordinada dels catàlegs col·lectius amb universitats i centres documentació</t>
  </si>
  <si>
    <t>Implementació del gestor d'expedients (d'un registre únic de convenis)</t>
  </si>
  <si>
    <t xml:space="preserve">Optimitzar la comunicació i acompanyament durant els processos administratius amb el personal tècnic de Serveis Centrals
</t>
  </si>
  <si>
    <t>Designació d'interlocutors tècnics per al desenvolupament d'accions que requereixen procediments administratius.</t>
  </si>
  <si>
    <t>Manteniment d'una comunicació continuada amb l'UGA.</t>
  </si>
  <si>
    <t>Elaboració d'una llista dels tràmits realitzats pels ENP per detectar necessitats de suport i acompanyament administratiu.</t>
  </si>
  <si>
    <t xml:space="preserve">Ús dels formularis simplificats
</t>
  </si>
  <si>
    <t xml:space="preserve">Participació de les formacions oferides des del Centre de formació i estudis agrorurals per al personal administratiu
</t>
  </si>
  <si>
    <t>Respondre a la demanda activa de formacions quan es planifica el Pla anual de formació oferides des del Centre de formació i estudis agrorurals</t>
  </si>
  <si>
    <t>Número de formacions proposades</t>
  </si>
  <si>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sol·licituds accés informació ambiental)</t>
  </si>
  <si>
    <t xml:space="preserve">Difondre o permetre l'accés a la informació pública
</t>
  </si>
  <si>
    <t>Atendre les sol·licituds d'informació</t>
  </si>
  <si>
    <t>Número de sol·licituds d'informació ateses</t>
  </si>
  <si>
    <t>Teresa</t>
  </si>
  <si>
    <t>Realització i divulgació d’un informe públic sobre els compromisos adquirits en el Decret de creació del Parc i valoració de les actuacions realitzades i no realitzades</t>
  </si>
  <si>
    <t>Realització i publicació de l’informe</t>
  </si>
  <si>
    <t>Millora del material i els serveis informàtics</t>
  </si>
  <si>
    <t>Número de millores realitzades</t>
  </si>
  <si>
    <t>Compra de material d'oficina</t>
  </si>
  <si>
    <t>Número de contractes realitzats</t>
  </si>
  <si>
    <t>Reparació i millora del material de la brigada</t>
  </si>
  <si>
    <t xml:space="preserve">Revisió de tota la documentació relativa als béns patrimonials de l'ENP
</t>
  </si>
  <si>
    <t xml:space="preserve">Traspàs de tota la informació del béns patrimonials i col·laborar amb el Servei de Contractació i Patrimoni per tramitar els expedients de cessió de titularitat, declaracions d'obra nova, compra, lloguer...             </t>
  </si>
  <si>
    <t>Expedients tramitats</t>
  </si>
  <si>
    <t>Revisió que tots els equipaments del parc estiguin correctament assegurats dins la pòlissa d'assegurança de danys materials (número 86-5034332) de la Generalitat, en col·laboració amb  serveis centrals i d'acord amb les seves directrius</t>
  </si>
  <si>
    <t>Col·laboració amb el Servei de Contractació i Patrimoni per tramitar les assegurances dels béns patrimonials</t>
  </si>
  <si>
    <t>Número d'assegurances tramitades</t>
  </si>
  <si>
    <t>Desenvolupament del repositori digital, recollint, preservant i difonent la informació generada</t>
  </si>
  <si>
    <t>Catalogar i digitalitzar el fons documental.</t>
  </si>
  <si>
    <t>Millora de l'accessibilitat documental al web.</t>
  </si>
  <si>
    <t>Redacció i difusió Plans periòdics del Servei de Manteniment</t>
  </si>
  <si>
    <t>Número plans redactats i difosos</t>
  </si>
  <si>
    <t>Millorar la comunicació directe amb els representants dels ens locals de les actuacions de la brigada que es duen a terme al seus municipis</t>
  </si>
  <si>
    <t>Número de sistemes de comunicació nous establerts</t>
  </si>
  <si>
    <t>Contractes de despesa de material pel manteniment i millora per la brigada</t>
  </si>
  <si>
    <t>Número contractes</t>
  </si>
  <si>
    <t>Incrementar la dotació de personal al Servei de Mantneiment del Parc</t>
  </si>
  <si>
    <t>Nompre de persones  estructurals a la brigada de manteniment</t>
  </si>
  <si>
    <t>Dotació de personal estructural del parc</t>
  </si>
  <si>
    <t>Necessitat d'un equip de gestió amb coneixements en els diferents àmbits</t>
  </si>
  <si>
    <t>Dotació de dues persones per àrea en l'organigrama del parc natural</t>
  </si>
  <si>
    <t>Nombre de persones estructurals a l'equip de gestió</t>
  </si>
  <si>
    <t>Elaboració d'una planificació d'actuacions de simulació d'incendis forestals naturals (cremes controlades i criteris d'actuació en cas d'incendi) dins l'espai en base als criteris metodològics predefinits (POCTEFA Desbosiguem) a través de la figura de Pla de Prevenció d'Incendis Forestals</t>
  </si>
  <si>
    <t>Realització de cremes controlades impulsades des del Parc. Cremes de solanes de Gavas i Burg</t>
  </si>
  <si>
    <t>Participació en la redacció d'IOF de finques públiques en la fase de zonificació i planificació</t>
  </si>
  <si>
    <t>Promoure als ens locals la solicitud d'ajuts disponibles per incentivar els serveis ecosistèmics per a la gestió forestal sostenible en finques publiques</t>
  </si>
  <si>
    <t>Execució d'altres actuacions de prevenció d'incendis forestals no recollides al Pla.  Accions de prevenció d'incendis realitzades a través del servei de manteniment</t>
  </si>
  <si>
    <t>Participació a les taules d'avaluació ambiental via informe preceptiu</t>
  </si>
  <si>
    <t xml:space="preserve">Participació en el seguiment del cabal en els trams dins ENP </t>
  </si>
  <si>
    <t>26_NA_01</t>
  </si>
  <si>
    <t>26_NA_05</t>
  </si>
  <si>
    <t>26_NA_06</t>
  </si>
  <si>
    <t>26_NA_08</t>
  </si>
  <si>
    <t>26_NA_09</t>
  </si>
  <si>
    <t>26_NA_10</t>
  </si>
  <si>
    <t>26_NA_11</t>
  </si>
  <si>
    <t>26_NA_12</t>
  </si>
  <si>
    <t>26_NA_13</t>
  </si>
  <si>
    <t>26_NA_15</t>
  </si>
  <si>
    <t>26_NA_16</t>
  </si>
  <si>
    <t>26_NA_17</t>
  </si>
  <si>
    <t>26_NA_18</t>
  </si>
  <si>
    <t>26_NA_19</t>
  </si>
  <si>
    <t>26_NA_20</t>
  </si>
  <si>
    <t>26_NA_21</t>
  </si>
  <si>
    <t>26_NA_23</t>
  </si>
  <si>
    <t>26_NA_24</t>
  </si>
  <si>
    <t>26_NA_25</t>
  </si>
  <si>
    <t>26_NA_26</t>
  </si>
  <si>
    <t>26_NA_27</t>
  </si>
  <si>
    <t>26_NA_28</t>
  </si>
  <si>
    <t xml:space="preserve">Implicació i participació en la redacció dels plans de conservació /recuperació d'espècies amenaçades. Reforç poblacional quan s'escaigui.
</t>
  </si>
  <si>
    <t>Execució de les accions dins els plans que pertoquin a cada espai. Accions d'erradicació de flora exòtica invasora realitzades a través del servei de manteniment  (Falsa acàcia)</t>
  </si>
  <si>
    <t>Execució de les accions dins els plans que pertoquin a cada espai. Col·laboració amb SFF en l'erradicació de flora exòtica invasora al PNAP a través de la brigada d'exòtiques  (Buddleja i falsa acàcia)</t>
  </si>
  <si>
    <t>Execució de les accions dins els plans que pertoquin a cada espai. Col·laboració amb SFF en l'execució del projecte d'erradicació de flora exòtica invasora al PNAP  (Seneci del cap i ailant)</t>
  </si>
  <si>
    <t>Participar en la identificació de boscos madurs pel foment de la dinàmica natural i l'aprofitament no extractiu dins l'ENP en base a uns criteris metodològics predefinits (DG Boscos i boscos BAVE POCTEFA RedBio)</t>
  </si>
  <si>
    <t>Realització d'acords amb societats de caçadors mitjançant informes en els PTGMC</t>
  </si>
  <si>
    <t>02.1.2, 03.3.1</t>
  </si>
  <si>
    <t>12.1.2, 02.2.2</t>
  </si>
  <si>
    <t>26_NA_29</t>
  </si>
  <si>
    <t>26_NA_30</t>
  </si>
  <si>
    <t>26_NA_31</t>
  </si>
  <si>
    <t>26_NA_32</t>
  </si>
  <si>
    <t>26_NA_33</t>
  </si>
  <si>
    <t>Execució de les accions dins els plans que pertoquin a cada espai. Col·laboració amb SFF en l'execució del projecte de control i d'erradicació de flora exòtica invasora al PNAP  (Elodea)</t>
  </si>
  <si>
    <t>Accions demanades pel Parc que executa les brigades GEPIF</t>
  </si>
  <si>
    <t>Queda asssessorament i que nosaltres realitzem el seguiment, poso una mica mes perque hi ha un equip malmes</t>
  </si>
  <si>
    <t>Producte resultat del projecte REPICA</t>
  </si>
  <si>
    <t>A realitzar per la Fundació Pau Costa dins del projecte POCTEFA Desbosiguem</t>
  </si>
  <si>
    <t>Acció del POCTEFA Desbosiguem</t>
  </si>
  <si>
    <t>A realitzar amb mitjans propis</t>
  </si>
  <si>
    <t>Foment de l'estudi de l'afectació de determinats processos naturals o activitats antròpiques  en l’ENP. Seguiment de l'estat i productivitat de les pastures amb seguiment remot (NDVI)</t>
  </si>
  <si>
    <t>Foment de l'estudi de l'afectació de determinats processos naturals o activitats antròpiques  en l’ENP. Diagnosi de l'ús i impacte dels fàrmacs utilitzats en ramaderia extensiva sobre la biodiversitat</t>
  </si>
  <si>
    <t>Avaluació de l'impacte del canvi climàtic i les activitas antròpiques en l'ENP i la seva capacitat d'adaptació i resiliència, a través de projectes específics (Integradapta,REPICA,..). Seguiment dels efectes de la pastura sobre les comunitats de lepidòpters.</t>
  </si>
  <si>
    <t>06.1.1</t>
  </si>
  <si>
    <t>Mitjans propis</t>
  </si>
  <si>
    <t>Mantenir i actualitzar la base de dades del programa de seguiment de la biodiversitat (PSB) del Parc. Adquisició d'aparells per seguiments del PSB</t>
  </si>
  <si>
    <t>Mantenir i actualitzar la base de dades del programa de seguiment de la biodiversitat (PSB) del Parc. Seguiment de Trencalòs</t>
  </si>
  <si>
    <t>Mantenir i actualitzar la base de dades del programa de seguiment de la biodiversitat (PSB) del Parc: Seguiment de micromamífers: SEMICE</t>
  </si>
  <si>
    <t xml:space="preserve">Mantenir i actualitzar la base de dades del programa de seguiment de la biodiversitat (PSB) del Parc: Seguiment de rapinyaires forestals: SEGRE  </t>
  </si>
  <si>
    <t xml:space="preserve">Mantenir i actualitzar la base de dades del programa de seguiment de la biodiversitat (PSB) del Parc: Seguiment de Ratpenats </t>
  </si>
  <si>
    <t xml:space="preserve">Mantenir i actualitzar la base de dades del programa de seguiment de la biodiversitat (PSB) del Parc: Seguiment de mussol pirinenc </t>
  </si>
  <si>
    <t xml:space="preserve">Mantenir i actualitzar la base de dades del programa de seguiment de la biodiversitat (PSB) del Parc. Seguiment de gall fer </t>
  </si>
  <si>
    <t xml:space="preserve">Mantenir i actualitzar la base de dades del programa de seguiment de la biodiversitat (PSB) del Parc. Seguiment de perdiu blanca </t>
  </si>
  <si>
    <t xml:space="preserve">Mantenir i actualitzar la base de dades del programa de seguiment de la biodiversitat (PSB) del Parc. Seguiment de d'aufrany </t>
  </si>
  <si>
    <t xml:space="preserve">Mantenir i actualitzar la base de dades del programa de seguiment de la biodiversitat (PSB) del Parc. Seguiment de milà reial </t>
  </si>
  <si>
    <t xml:space="preserve">Mantenir i actualitzar la base de dades del programa de seguiment de la biodiversitat (PSB) del Parc. Seguiment de papallona del boix </t>
  </si>
  <si>
    <t xml:space="preserve">Mantenir i actualitzar la base de dades del programa de seguiment de la biodiversitat (PSB) del Parc.Seguiment d'almesquera </t>
  </si>
  <si>
    <t xml:space="preserve">Mantenir i actualitzar la base de dades del programa de seguiment de la biodiversitat (PSB) del Parc. Seguiment de gat fer </t>
  </si>
  <si>
    <t>Mantenir i actualitzar la base de dades del programa de seguiment de la biodiversitat (PSB) del Parc.Seguiment de Eriogaster catax.</t>
  </si>
  <si>
    <t>Mantenir i actualitzar la base de dades del programa de seguiment de la biodiversitat (PSB) del Parc. Realització de itineraris del CBMS.</t>
  </si>
  <si>
    <t>Mantenir i actualitzar la base de dades del programa de seguiment de la biodiversitat (PSB) del Parc.Seguiment de Boloria Eunomia.</t>
  </si>
  <si>
    <t>mitjans propis</t>
  </si>
  <si>
    <t>mitjans propis i equip ERA</t>
  </si>
  <si>
    <t>mitjans propis i SFF</t>
  </si>
  <si>
    <t>mitjans propis i CAR</t>
  </si>
  <si>
    <t>mitjans propis i SFF via ERA</t>
  </si>
  <si>
    <t>mitjans propis hi ha una part d'assistencia incorporada a seguiment de lepidòpteres</t>
  </si>
  <si>
    <t>mitjans propis col·laboració</t>
  </si>
  <si>
    <t>Cerinthe, Hippuris, Geranium, Epipogium, Hypericum, Mathiola, Alyssium</t>
  </si>
  <si>
    <t>A realitzar amb mitjans propis en el marc LIFE PAME</t>
  </si>
  <si>
    <t xml:space="preserve">Elaboració de plans de gestió per elements prioritzats a l'espai: Document d'avaluació d'eficàcia de la gestió del Parc (LIFE PAME)  </t>
  </si>
  <si>
    <t>Import aproximat, en funció del previst finalment al projecte executiu</t>
  </si>
  <si>
    <t>Xifra final pendent d'adjudicació del contracte</t>
  </si>
  <si>
    <t>Realització d’actuacions de control i eradicació d’espècies invasores (exòtiques o no) que afecten a l’estat de conservació d’hàbitats i espècies: actuacions de control de flora invasora</t>
  </si>
  <si>
    <t>Xifra aproximada dins un contracte més global</t>
  </si>
  <si>
    <t>Realització de les actuacions de conservació d’hàbitats i espècies aquàtiques d’alta muntanya previstes al projecte LIFE RESQUE ALPYR: restauració estanys Muntanyó d'Arreu i Naorte, molleres de Comes de Rubió, Sartari i Pallerols</t>
  </si>
  <si>
    <t>Brigades extra que s'aporten al Projecte</t>
  </si>
  <si>
    <t>Afavorir la custòdia del territori amb entitats i potenciar projectes de conservació de forma col·laborativa entre el parc, els ens locals i les entitats de custòdia: Fomentar les compensacions del carboni generat pels visitants a través de Gratitud Pallars - Coordinació del projecte</t>
  </si>
  <si>
    <t>Realització d'accions per a la millora dels elements prioritzats a l'espai, incloent les accions previstes de conservació al Marc d’Acció Prioritària dels espais Xarxa Natura 2000 “Alt Pallars” i “la Torrassa”: Realització d'accions d'exclusió d'herbivors en molleres</t>
  </si>
  <si>
    <t>5% de l'encomana de manteniment</t>
  </si>
  <si>
    <t>Participació en eles reunions que el SFF ens convoqui</t>
  </si>
  <si>
    <t>A través de les brigades d'exotiques de FC</t>
  </si>
  <si>
    <t>Contracte menor a través de l'encomana de control de flora exotica de FC</t>
  </si>
  <si>
    <t>Preparar candidatura a  Transboundary Park Europarc  PP3N. Assessorament</t>
  </si>
  <si>
    <t>Vinculat al POCTEFA PP3N</t>
  </si>
  <si>
    <t>Afavorir la creació d'hàbitats per a la conservació d'espècies i ordenació de l'ús públic del seu entorn. Introducció i seguiment de cavalls camarguesos a la Mollera d’Escalarre</t>
  </si>
  <si>
    <t>Les simulacions seran realitzades pel la UPC i el pla prev incendis per FPC, socis del projecte POCTEFA Desbosiguem en que hi participem</t>
  </si>
  <si>
    <t>Calcul i solicitud implementació de cabals ecològics en aprofitaments hidroelèctics dels rius del Parc. Seguiment cabals ecològics</t>
  </si>
  <si>
    <t>Correspon als tancaments per bestiar</t>
  </si>
  <si>
    <t>Acords amb ramaders locals per actuacions de restauració i manteniment de pastures al voltant de pobles (POCTEFA Desbosiguem). Adquisició de tancaments per pasturatge</t>
  </si>
  <si>
    <t>Qua surti la nova convocatoria el 2026</t>
  </si>
  <si>
    <t>Amb mitjans propis</t>
  </si>
  <si>
    <t>Mitjans propis a través d'informes previs</t>
  </si>
  <si>
    <t>01.3.2, 01.4.2, 02.1.3</t>
  </si>
  <si>
    <t>Elaboració i aprovació del Pla de Prevenció d'Incendis  i gestió del foc (POCTEFA Desbosiguem). Redacció del pla i procés participatiu</t>
  </si>
  <si>
    <t>SI ens demanen desbrossar pistes a través de la brigada (Montsclado,..)</t>
  </si>
  <si>
    <t>02.2.2</t>
  </si>
  <si>
    <t>Realització d'accions per a la millora dels elements prioritzats a l'espai, incloent les accions previstes de conservació al Marc d’Acció Prioritària dels espais Xarxa Natura 2000 “Alt Pallars” i “la Torrassa”: Millora de les poblacions d'Hippuris a la Torrassa</t>
  </si>
  <si>
    <t xml:space="preserve">Realització d'accions per a la millora dels elements prioritzats a l'espai, incloent les accions previstes de conservació al Marc d’Acció Prioritària dels espais Xarxa Natura 2000 “Alt Pallars” i “la Torrassa”: Revisió, modificació i/o visibilització de filats perillosos per a fauna amenaçada, en especial gall fer. </t>
  </si>
  <si>
    <t>Participació, de forma coordinada amb l'administració competent, en l'avaluació i control d'actuacions de captacions dins els límits de l'ENP.</t>
  </si>
  <si>
    <t>Participació en la identificació de finques prioritàries per comprar en base als criteris indicats</t>
  </si>
  <si>
    <t>Continuar les excavacions arqueològiques; Santa Creu de Llagunes, i accions de conservació i divulgació d’aquests jaciments</t>
  </si>
  <si>
    <t>iniciar l'excavació de Sant Martí del Pui</t>
  </si>
  <si>
    <t>2,5% de l'encomana de manteniment</t>
  </si>
  <si>
    <t>1% de l'encomana de manteniment</t>
  </si>
  <si>
    <t>Continuar impulsant el projecte de parcs i museus junt amb l'Ecomuseu de les Vals d'Àneu</t>
  </si>
  <si>
    <t>A realitzar amb mtjans propis i altres actuacions vinculades</t>
  </si>
  <si>
    <t>Impulsar la bona cooperació, i si s'escau, establir convenis de col·laboració amb els equipaments culturals de l'àmbit del Parc, conjuntament amb el grup de treball de cultura de la CETS</t>
  </si>
  <si>
    <t>Donar suport material i logístic a les activitats vinculades al patrimoni immaterial de l'àmbit del Parc per ajudar a conservar-les i visibilitzar-les: queviures per tastos de productes locals de les activiats</t>
  </si>
  <si>
    <t>Donar suport material i logístic a les activitats vinculades al patrimoni immaterial de l'àmbit del Parc per ajudar a conservar-les i visibilitzar-les: subministrament de material promocional i de merxandatge</t>
  </si>
  <si>
    <t>Donar suport a activitats i accions que divulguen la mitologia popular Pirinenca (festivals, rutes,...): organització i realització de tallers</t>
  </si>
  <si>
    <t>Donar suport a activitats i accions que divulguen la mitologia popular Pirinenca (festivals, rutes,...): itinerari mitologic Ainet de Cardós</t>
  </si>
  <si>
    <t>Tramitar un conveni de col·laboració estable per l’organització del Festival Terra Roia de Vilamur i els intercanvis amb festivals d’art agermanats del Parc Pirinenc de les Tres Nacions de divulgació del patrimoni artesà i artístic de l’Alt Pirineu</t>
  </si>
  <si>
    <t>Coordinar i  implementar les accions previstes pel PNAP del projecte POCTEFA Pyrfer + de posada en valor i dinamització de la Vall Ferrera entorn el ferro i la forja: aasitencia tècnica llançament projecte</t>
  </si>
  <si>
    <t>Coordinar i  implementar les accions previstes pel PNAP del projecte POCTEFA Pyrfer + de posada en valor i dinamització de la Vall Ferrera entorn el ferro i la forja: organització fira del ferro</t>
  </si>
  <si>
    <t>Coordinar i  implementar les accions previstes pel PNAP del projecte POCTEFA Pyrfer + de posada en valor i dinamització de la Vall Ferrera entorn el ferro i la forja: excavació arqueològica</t>
  </si>
  <si>
    <t>Coordinar i  implementar les accions previstes pel PNAP del projecte POCTEFA Pyrfer + de posada en valor i dinamització de la Vall Ferrera entorn el ferro i la forja: formació en forja</t>
  </si>
  <si>
    <t>Coordinar i  implementar les accions previstes pel PNAP del projecte POCTEFA Pyrfer + de posada en valor i dinamització de la Vall Ferrera entorn el ferro i la forja: exposició itinerant</t>
  </si>
  <si>
    <t>Coordinar i  implementar les accions previstes pel PNAP del projecte POCTEFA Pyrfer + de posada en valor i dinamització de la Vall Ferrera entorn el ferro i la forja: material pedagogic escolar</t>
  </si>
  <si>
    <t>Coordinar i  implementar les accions previstes pel PNAP del projecte POCTEFA Pyrfer + de posada en valor i dinamització de la Vall Ferrera entorn el ferro i la forja: compra de carbó i ferro</t>
  </si>
  <si>
    <t>Continuar realitzant activitats formatives de la tècnica de pedra en sec (murs, empedrats, cabanes, ..): Cursos vinculats a la pedra seca</t>
  </si>
  <si>
    <t>227.014 Serveis de formació</t>
  </si>
  <si>
    <t>Divulgació i foment de l'aplicació del nou manual de bones pràctiques per la rehabilitació de construccions rurals aïllades del Parc: impressió nova edició</t>
  </si>
  <si>
    <t>1a edició esgotada</t>
  </si>
  <si>
    <t>Restauració del patrimoni moble de Casa Bringué: Ventadora, bauls i fresquera</t>
  </si>
  <si>
    <t>Executar el projecte de rehabilització de Casa Bringué de Ginestarre com espai museistic, formatiu i alberg de joventut - Licitació de l'obra</t>
  </si>
  <si>
    <t>Es licita el 2026, pero com l'obra s'iniciarà el 2027, s'imputarà el cost pel 2027</t>
  </si>
  <si>
    <t>Actuació a realitzar amb servei de manteniment FC</t>
  </si>
  <si>
    <t>Promoció i conservació de la biodiversitat cultivada del Parc</t>
  </si>
  <si>
    <t>Donar suport a la conservació de les races locals de bestiar del Parc a través de les fires i concursos de raça - Transport dels animals de les fires ramaderes de cavall pirinenc</t>
  </si>
  <si>
    <t>Donar suport a la conservació de les races locals de bestiar del Parc a través de les fires i concursos de raça - Farratge pels animals de les fires ramaderes</t>
  </si>
  <si>
    <t>Donar suport a la conservació de les races locals de bestiar del Parc a través de les fires i concursos de raça  - Organització i premis pels participants de les fires ramaderes. Lots de productes locals</t>
  </si>
  <si>
    <t xml:space="preserve">Divulgar i donar a conèixer les races locals de bestiar del Parc a través de diferents mitjans - Disseny, maquetació i impressió d’un plafó divulgatiu i d’un díptic informatiu sobre la mostra d’ovella xisqueta i el concurs nacional morfològic de la fira de tardor de Sort. </t>
  </si>
  <si>
    <t>104.2</t>
  </si>
  <si>
    <t>Donar suport a la conservació de les races locals de bestiar del Parc a través de les fires i concursos de raça  - Muntatge i desmuntatge dels tancats  i carpes de les fires ramaderes</t>
  </si>
  <si>
    <t>Realització de murals de divulgació dels valors naturals i culturals del Parc en parets d’elements paisatgístics degradats - mural de Rialp</t>
  </si>
  <si>
    <t>Donar suport a activitats de voluntariat de retirada de deialles - Organització del projecte Mountain Calling</t>
  </si>
  <si>
    <t>Donar suport a activitats de voluntariat de retirada de deialles - Organització del projecte Iniciativa Rius</t>
  </si>
  <si>
    <t>A realitzar amb mitjans propis i com a aprt secretaria cETS</t>
  </si>
  <si>
    <t>Implementar les accions previstes al projecte POCTEFA Pyre neit per l’àmbit del Parc - Diagnosi dels fluxos migratoris d’insectes al Pirineu i els efectes de la contaminació lumínica al Parc</t>
  </si>
  <si>
    <t>Implementar les accions previstes al projecte POCTEFA Pyre neit per l’àmbit del Parc - Accions de coordinació i seguiment</t>
  </si>
  <si>
    <t>A realitzar amb mitjans propis i nova plaça contractada per al projecte</t>
  </si>
  <si>
    <t>Realitzar activitats divulgatives i educatives de la importància de conservar la qualitat del cel nocturn i reduir la contaminació lumínica - activitats d’astronomia en jornades i fires durant l’any 2026.</t>
  </si>
  <si>
    <t xml:space="preserve">A realitzar amb mitjans propis </t>
  </si>
  <si>
    <t>Mantenir i actualitzar la base de dades del programa de seguiment de la biodiversitat (PSB) del Parc. Adquisició de material fungible per seguiments del PSB</t>
  </si>
  <si>
    <t xml:space="preserve">Contractació d’especialistes (anual o plurianual) per a seguiments específics del PSB. Seguiment de flora amenaçada </t>
  </si>
  <si>
    <t xml:space="preserve">Contractació d’especialistes per a seguiments específics del PSB. Seguiment de lepidòpters. </t>
  </si>
  <si>
    <t>Contractació d’especialistes (anual o plurianual) per a seguiments específics del PSB. Seguiment sargantana pallaresa</t>
  </si>
  <si>
    <t xml:space="preserve">Realitzar accions conjuntes de col·laboració en làmbit cultural amb l'Ecomuseu de les Valls d'Àneu  i el Centre d'Art i Natura de Farrera - organització de cursos i activitats </t>
  </si>
  <si>
    <t>227.0014 - Serveis de formació</t>
  </si>
  <si>
    <t xml:space="preserve">Impulsar les beques Salvador Grau i Tort de suport a la recerca al Parc. Promoció dels valors científics del PNAP </t>
  </si>
  <si>
    <t>Impuls a l'Observatori de recerca de l'ENP en col·laboració amb la UIC. Assessorament i direcció de l'observatori. Suport al projecte REPICA</t>
  </si>
  <si>
    <t>Mantenir, actualitzar i ampliar la xarxa d'ecocomptadors del Parc . Reparació i manteniment d'ecocomptadors</t>
  </si>
  <si>
    <t>212.0001 - Conservació, reparació i manteniment d'equips per a procés de dades, programari i reprografia</t>
  </si>
  <si>
    <t>A realitzar amb mitjans propis quan surti la convocatoria</t>
  </si>
  <si>
    <t>Impulsar la creació de la línia de suport a l’activitat ramadera en la conservació dels hàbitats i els paisatges a través dels contractes de gestió que preveu el Decret del Parc. Estudi juridic de contractes de conservació pastures</t>
  </si>
  <si>
    <t>Promoció de la bioenginyeria del paisatge com a tècnica que afavoreix l’ús sostenible dels recursos naturals i la reducció de l’erosió. Curs bioenginyeria paisatge</t>
  </si>
  <si>
    <t>A través equip ERA</t>
  </si>
  <si>
    <t>Realització de formacions de conservació dirigides al sector primari - Escola de Pastors</t>
  </si>
  <si>
    <t>Reparació/millora infraestructures ramaderes existents i creació d’aquelles de titularitat pública que es considerin prioritàries pel maneig d’hàbitats de pastura del Parc - Subministrament material ramader</t>
  </si>
  <si>
    <t>Crear, convocar i impulsar la participació de la Comissió Ramadera de la Junta Rectora i desplegament dels plans de treball - Secretaria tècnica</t>
  </si>
  <si>
    <t>Impulsar accions de promoció dels productes locals. Activitats transfrontereres de promoció dels productes locals - divulgació productes locals del Parc a fires</t>
  </si>
  <si>
    <t>Publicació, difusió i actualització del nou catàleg de productors agroalimentaris “Fet al Parc” . Impressió noves fitxes catàleg Fet al Parc</t>
  </si>
  <si>
    <t>Publicació, difusió i actualització del nou catàleg de productors agroalimentaris “Fet al Parc” . Actualització de fitxes productors durant el 2026</t>
  </si>
  <si>
    <t>Realitzar la Fira dels Productes del Parc - Organització de la fira de productes del Parc Natural de l'Alt Pirineu i de l'auvella aranesa</t>
  </si>
  <si>
    <t>226.0001 -  Exposicions, certàmens i altres activitats de promoció</t>
  </si>
  <si>
    <t>Realitzar la Fira dels Productes del Parc - Realització de tallers per a la fira de productes del PNAP i de l'auvella aranesa</t>
  </si>
  <si>
    <t>Donar suport a fires d'artesania i productes locals dels municipis de la CETS Alt Pirineu. Organització Mostra Formatges de Sort</t>
  </si>
  <si>
    <t>Donar suport a fires d'artesania i productes locals dels municipis de la CETS Alt Pirineu. Organització Mostra Formatges de Sort. Construcció relat Mostra de formatges de Sort i manteniment de la seva pàgina web.</t>
  </si>
  <si>
    <t>Donar suport a fires d'artesania i productes locals dels municipis de la CETS Alt Pirineu. Organització festivals d'art locals</t>
  </si>
  <si>
    <t>Donar suport a fires d'artesania i productes locals dels municipis de la CETS Alt Pirineu. Organització Festival Pirineu Pastor</t>
  </si>
  <si>
    <t>Donar suport a fires d'artesania i productes locals dels municipis de la CETS Alt Pirineu. Tallers promocionals</t>
  </si>
  <si>
    <t>Donar suport a fires d'artesania i productes locals dels municipis de la CETS Alt Pirineu. Premis per fires i concursos</t>
  </si>
  <si>
    <t>Donar suport a fires d'artesania i productes locals dels municipis de la CETS Alt Pirineu. Organització Fira de Tardor de Sort</t>
  </si>
  <si>
    <t>Projecte Pallars Gastronòmic de treball comú del sector agroalimentari i restauració al Pallars - Realització de les tasques de secretaria tècnica per al desenvolupament del pla d’acció del 2026.</t>
  </si>
  <si>
    <t>Amb mitjans propis i indirectament a través d'altres accions</t>
  </si>
  <si>
    <t>Amb mitjans propis i a través del POCTEFA PP3N</t>
  </si>
  <si>
    <t>Amb mitjans propis i a través del POCTEFA RESQUE ALPYR</t>
  </si>
  <si>
    <t>Continuar amb el desplegament de la CETS de l'Alt Pirineu: Fase I: execució del Programa d'Actuacions 2023-2027, memòries anuals i seguiment d'indicadors - Activitats vinculades al Pla d'Acció</t>
  </si>
  <si>
    <t xml:space="preserve">Coordinar les tasques i contractació de la secretaria tècnica que acompanya el projecte CETS </t>
  </si>
  <si>
    <t>Import previs per l'any 2026</t>
  </si>
  <si>
    <t>Tramitar l'acreditació Wild Rivers - Quota associat Xarxa Wild Rivers</t>
  </si>
  <si>
    <t>Desplegar les accions previstes al Pla d'acció Wild Rivers 2025-2029</t>
  </si>
  <si>
    <t>Amb mitjans propis i indirectament a través d'altrres accions</t>
  </si>
  <si>
    <t>Fomentar les compensacions del carboni generat pels visitants a través de Gratitud Pallars - Coordinació del projecte</t>
  </si>
  <si>
    <t>Requerir i tramitar autorització empreses BTT fan circuits al Parc - projecte Bike Natura</t>
  </si>
  <si>
    <t>Implementació el protocol de regulació de curses i altres activitats esportives organitzades a través de segells de qualitat (Seell Verd) - Material promocional i de merchandising: samarretes adults Skyrace</t>
  </si>
  <si>
    <t>Implementació el protocol de regulació de curses i altres activitats esportives organitzades a través de segells de qualitat (Segell Verd) - Material promocional i de merchandising: jaquetes voluntaris Skyrace</t>
  </si>
  <si>
    <t>Implementació el protocol de regulació de curses i altres activitats esportives organitzades a través de segells de qualitat (Segell Verd) - Material promocional i de merchandising: samarretes Ribalera</t>
  </si>
  <si>
    <t xml:space="preserve"> Implementació el protocol de regulació de curses i altres activitats esportives organitzades a través de segells de qualitat (Segell Verd) - Material promocional i de merchandising: samarretes Matxicots</t>
  </si>
  <si>
    <t>Amb mitjans propis i servei de manteniment (senyals ja adquirides)</t>
  </si>
  <si>
    <t>Continuar i millorar la regulació per reserva  (Vall de Bonabe, Pica Estats,..) - Manteniment plataforma de reserves dels aparcaments de la vall de Bonabé i Pica d'estats</t>
  </si>
  <si>
    <t>Amb servei de manteniment</t>
  </si>
  <si>
    <t>Amb RAE i servei de manteniment</t>
  </si>
  <si>
    <t>Instal·lació o renovació de senyals circulació motoritzada</t>
  </si>
  <si>
    <t>227.0002 - Seguretat</t>
  </si>
  <si>
    <t>Aplicació del Manual jurídic d'UP i model d'ordenança municipal</t>
  </si>
  <si>
    <t>Realització de programes de senyalització informativa i direccional per sectors del Parc, incloent la de carreteres vinculada als valors del parc - preparació enomana senyalització 2026</t>
  </si>
  <si>
    <t>Revisió i actualització de la senyalització en base al manual de senyalització vigent - Partida subministrament senyalització</t>
  </si>
  <si>
    <t>Revisió i actualització de la senyalització en base al manual de senyalització vigent - Contracte de senyalització de Parcs</t>
  </si>
  <si>
    <t>Mantenir el servei de reserves i vigilància de Fornet i Marimanha (Vall de Bonabé) i pista de Boet (Àreu Pica d'Estats) de mutu acord amb els ens locals implicats - Vall de Bonabé</t>
  </si>
  <si>
    <t>Implementació de les regulacions temporals amb reserva d'aparcament d'estiu de Bonabé i Pica d'Estats - Mantenir el servei de vigilància del Fornet, Marimanha i pista de Boet</t>
  </si>
  <si>
    <t>Mantenir el servei de reserves i vigilància de Fornet i Marimanha (Vall de Bonabé) i pista de Boet (Àreu Pica d'Estats) de mutu acord amb els ens locals implicats - Vall Ferrera</t>
  </si>
  <si>
    <t>11.3.1, 11.3.4</t>
  </si>
  <si>
    <t>11.3.1, 11.6.2</t>
  </si>
  <si>
    <t>Millora i manteniment d'accessos rodats principals del Parc de forma planificada - Redacció i direcció d'obra de projectes de millora de pistes i aparcaments</t>
  </si>
  <si>
    <t>600.0000 - Inversions en terrenys i bens naturals</t>
  </si>
  <si>
    <t>Millora i manteniment d'accessos rodats principals del Parc de forma planificada - Desbrossada vorals pistes i cunetes</t>
  </si>
  <si>
    <t>Millora i manteniment d'accessos rodats principals del Parc de forma planificada - Repàs general del ferm i actuacions urgents d'esllavissades</t>
  </si>
  <si>
    <t>Millora i manteniment d'accessos rodats principals del Parc de forma planificada - Retirada de neu</t>
  </si>
  <si>
    <t>Treballar amb els ens locals del Parc perquè el Pla zonal de Carreteres de la Diputació de Lleida incorpori més camins de titularitat municipal a la xarxa de carreteres legalment constituïda.</t>
  </si>
  <si>
    <t>Millora i manteniment de la xarxa de camins senyalitzats a peu, bicicleta i la xarxa de camins ramaders públics - Subministrament de fusta tractada</t>
  </si>
  <si>
    <t>Millora i manteniment de la xarxa de camins senyalitzats a peu, bicicleta i la xarxa de camins ramaders públics - Servei de manteniment</t>
  </si>
  <si>
    <t>Millora i manteniment de la xarxa de camins senyalitzats a peu, bicicleta i la xarxa de camins ramaders públics - Subministrament de ferreteria</t>
  </si>
  <si>
    <t>Millora i manteniment de la xarxa de camins senyalitzats a peu, bicicleta i la xarxa de camins ramaders públics - Subministrament de material de construcció</t>
  </si>
  <si>
    <t>Millora i manteniment de la xarxa de camins senyalitzats a peu, bicicleta i la xarxa de camins ramaders públics - Subministrament de pintura</t>
  </si>
  <si>
    <t>Millora i manteniment de la xarxa de camins senyalitzats a peu, bicicleta i la xarxa de camins ramaders públics - Manteniment de passos ferrats de camins</t>
  </si>
  <si>
    <t>Millora i manteniment de la xarxa de camins senyalitzats a peu, bicicleta i la xarxa de camins ramaders públics - Remarcatge de camins d'alta muntanya</t>
  </si>
  <si>
    <t>Millora i manteniment de centres d'interès amb un ús elevat (aparcaments, àrees d'esbarjo, miradors, refugis lliures, aixoplucs..) - Servei de manteniment</t>
  </si>
  <si>
    <t>Millora i manteniment de centres d'interès amb un ús elevat (aparcaments, àrees d'esbarjo, miradors, refugis lliures, aixoplucs..) - Subministrament de mobiliari exterior</t>
  </si>
  <si>
    <t>Millora i manteniment de centres d'interès amb un ús elevat (aparcaments, àrees d'esbarjo, miradors, refugis lliures, aixoplucs..) - Subministrament de banderoles mòbils pels punts d'informació</t>
  </si>
  <si>
    <t>Millora i manteniment de centres d'interès amb un ús elevat (aparcaments, àrees d'esbarjo, miradors, refugis lliures, aixoplucs..) - Subministrament de material naturalista</t>
  </si>
  <si>
    <t>Millora i manteniment de centres d'interès amb un ús elevat (aparcaments, àrees d'esbarjo, miradors, refugis lliures, aixoplucs..) - Trasllat del toro d'Ainet de Besan</t>
  </si>
  <si>
    <t>Millora i manteniment d'accessos rodats principals del Parc de forma planificada - Adquisició maquina llevaneus</t>
  </si>
  <si>
    <t xml:space="preserve">Donar continuïtat a la participació al projecte ”Apropa Cultura” per apropar els equipaments vinculats al Parc a persones en situació de vulnerabilitat </t>
  </si>
  <si>
    <t>A través d'altres actuacions</t>
  </si>
  <si>
    <t>Instal·lació de lavabos secs en zones freqüentades sense serveis - Manteniment i reparació de vàters secs existents</t>
  </si>
  <si>
    <t>Instal·lació de lavabos secs en zones freqüentades sense serveis - Lloguer i neteja de WC secs portàtils</t>
  </si>
  <si>
    <t>A través de la DG de Muntanya</t>
  </si>
  <si>
    <t>A través del servei de Manteniment</t>
  </si>
  <si>
    <t xml:space="preserve">Adequar i millorar els punts d'informació existents del Parc Natural </t>
  </si>
  <si>
    <t>Proveir i estocar tot el material de difusió i venda adreçat als visitants - Adquisició de material per botiga</t>
  </si>
  <si>
    <t>Proveir i estocar tot el material de difusió i venda adreçat als visitants - Tributs estatals IVA, IRPF i locals</t>
  </si>
  <si>
    <t>Dinamitzar els Centres d'Informació amb activitats, exposicions, etc. - Activitats dinamització despoblat de Santa Creu de Llagunes</t>
  </si>
  <si>
    <t>Amb mitjans propis i amb coordinació amb el cAR</t>
  </si>
  <si>
    <t>Dins del contracte del servei d'informació i vigilància</t>
  </si>
  <si>
    <t>Amb mitjans propis i Fundació Pau Costa en el marc del POCTEFA Desbosiguem</t>
  </si>
  <si>
    <t>Realització d'actuacions de prevenció d'incendis forestals. Creació franges perimetrals de Ronií i Vilamur</t>
  </si>
  <si>
    <t>12.1.12</t>
  </si>
  <si>
    <t xml:space="preserve">Amb mitjans propis </t>
  </si>
  <si>
    <t>Disseny i desenvolupament de projectes compartits (Agenda escolar, Homo pirinensis,..) . Agenda escolar Pirineus 2026-2027</t>
  </si>
  <si>
    <t>Amb mitjans propis i a través contractes RAE de publicacions</t>
  </si>
  <si>
    <t>Realització de formacions al professorat. Formació us cadira Joelette</t>
  </si>
  <si>
    <t>A través del contracte servei informació i educació ambiental</t>
  </si>
  <si>
    <t>Elaboració d'una proposta de possibles temàtiques per oferir als centres educatius de projectes vinculats a l'espai natural (treball de recerca, crèdit de síntesi, servei comunitari, pràctiques, etc.).</t>
  </si>
  <si>
    <t>Formació dels actors implicats en la gestió dels ENP en base a les necessitats detectades. Curs primers auxilis avançats al medi natural</t>
  </si>
  <si>
    <t xml:space="preserve">Participació en la concreció dels missatges i peces creatives de la campanya de la DG.  </t>
  </si>
  <si>
    <t>Realitzar activitats familiars del projecte "Explora el Parc". Subministrament de segells i material de marxandatge i promocional</t>
  </si>
  <si>
    <t>Amb mitjans propis divulgant les ja creades en anys anteriors</t>
  </si>
  <si>
    <t>Amb mitjans propis i altres contractes RAE</t>
  </si>
  <si>
    <t>Realització de formacions de conservació dirigides al sector primari. Escola de pastors</t>
  </si>
  <si>
    <t>Promocionar els reptes de l'Agenda dels Pirineus</t>
  </si>
  <si>
    <t>Amb mitjans propis i a través contracte servei informació i voluntariat</t>
  </si>
  <si>
    <t>Realitzar reunions periòdiques de les entitats de voluntariat amb equip de gestió per fer les propostes de possibles accions</t>
  </si>
  <si>
    <t xml:space="preserve">Promoure itineraris saludables   </t>
  </si>
  <si>
    <t>A través conveni Caminacat</t>
  </si>
  <si>
    <t>Mitajsn propis junt amb CTTI</t>
  </si>
  <si>
    <t>Creació de material divulgatiu específic i en positiu a partir de les campanyes de comunicació elaborades conjuntament amb Serveis Centrals i de les necessitats del territori del Parc (bany en estanys, acampada, gos lligat circulació motoritzada, comportament en zona d’ós bru,..)(comunicació externa)</t>
  </si>
  <si>
    <t>Tenir un responsable/equip de comunicació amb formació tècnica que estudi la necessitat i viabilitat d'obrir nous canals comunicatius (butlletí, xxss, revistes etc.) conjuntament amb Serveis Centrals</t>
  </si>
  <si>
    <t>Reparació i millora del material de la brigada - Reparació de maquinària forestal</t>
  </si>
  <si>
    <t>RAE i a través contracte manteniment FC</t>
  </si>
  <si>
    <t>A través del contracte de mantneiment FC</t>
  </si>
  <si>
    <t>Millora i manteniment de centres d'interès amb un ús elevat  - Conservació, reparació i manteniment d'altres equipaments del Parc</t>
  </si>
  <si>
    <t>Millora i manteniment de centres d'interès amb un ús elevat - Servei de camió grua</t>
  </si>
  <si>
    <t>Millora i manteniment de centres d'interès amb un ús elevat - Mantneiment antenes satelitals</t>
  </si>
  <si>
    <t>Millora i manteniment de centres d'interès amb un ús elevat - Subministrament d'aigua a la Casa dels Parcs dels Pirineus</t>
  </si>
  <si>
    <t>Millora i manteniment de centres d'interès amb un ús elevat - Subministrament d'aigua al Paller d'Antonet</t>
  </si>
  <si>
    <t>Millora i manteniment de centres d'interès amb un ús elevat - Subministrament d'electricitat al Centre de Descoberta de Ciències de la Terra</t>
  </si>
  <si>
    <t>Dotació i manteniment de vehicles necessaris per garantir la mobilitat i l'execució de les tasques programades del personals del parc -combustible per vehicles</t>
  </si>
  <si>
    <t>Dotació del personal del vestuari i EPIs reglementaris</t>
  </si>
  <si>
    <t>Instal·lació o renovació de barreres - Partida serralleria per reparació barreres, infraestructures ramaderes i altres</t>
  </si>
  <si>
    <t>RAE i servei de manteniment</t>
  </si>
  <si>
    <t>Disseny d'una oferta d’activitats d’educació ambiental de lleure educatiu adreçada a famílies i altres perfils - serveis de transport bus</t>
  </si>
  <si>
    <t>Millora i manteniment de centres d'interès amb un ús elevat - Taxa clavegaram Paller d'Antonet</t>
  </si>
  <si>
    <t>Millora i manteniment de centres d'interès amb un ús elevat- Taxa d'escombreries Pallars Sobirà</t>
  </si>
  <si>
    <t>Millora i manteniment de centres d'interès amb un ús elevat- Taxa d'escombreries Alt Urgell</t>
  </si>
  <si>
    <t>Jornades participatives de desplegament i seguiment de la gestió de l'UP - queviures per reunions amb ens locals i veinals</t>
  </si>
  <si>
    <t>Reunions d'equip periòdiques amb una freqüència no superior a 15 dies - àpats de reunions d'equip</t>
  </si>
  <si>
    <t>Aplicació del manual per al règim de gestió econòmica als ENP per traspassar dades al RAE - despeses de serveis bancaris</t>
  </si>
  <si>
    <t>Dotació i manteniment de vehicles necessaris per garantir la mobilitat i l'execució de les tasques programades del personals del parc - neteja de vehicles</t>
  </si>
  <si>
    <t xml:space="preserve">Elaborar els productes comunicatius que es determinin conjuntament amb Serveis Centrals - Realització de càpsules de video
</t>
  </si>
  <si>
    <t>Elaborar els productes comunicatius que es determinin conjuntament amb Serveis Centrals  - divulgació de curtmetratges de valors ambientals i culturals - Curtaneu 2026</t>
  </si>
  <si>
    <t>Divulgació i foment de l'aplicació del nou manual de bones pràctiques per la rehabilitació de construccions rurals aïllades del Parc:xerrada de presentació a l'Alt Urgell i a les jornades de parcs i museus</t>
  </si>
  <si>
    <t>Fomentar i divulgar les activitats de guiatge interpretatiu i educatives i xerrades que incorporen el patrimoni cultural, especialment el reconegut per la UNESCO: Realització d'activitats culturals escenificades en esdeveniments al Parc Natural de l'Alt pirineu per l'any 2026</t>
  </si>
  <si>
    <t>Realització i suport a activitats i altres que contribueixin a fomentar el sentiment de pertinença de la població local (programa Vivim al Parc) i la implicació en la conservació de
l'ENP - activitats i tallers d'educació ambiental</t>
  </si>
  <si>
    <t>Realització i suport a activitats i altres que contribueixin a fomentar el sentiment de pertinença de la població local (programa Vivim al Parc) i la implicació en la conservació de
l'ENP - Manteniment i activitats al PAS d'Embonui</t>
  </si>
  <si>
    <t>Aplicació del manual per al règim de gestió econòmica als ENP per traspassar dades al RAE - serveis de gestoria</t>
  </si>
  <si>
    <t xml:space="preserve">Elaborar els productes comunicatius que es determinin conjuntament amb Serveis Centrals - maquetació conte Ivet i flor sis pètals
</t>
  </si>
  <si>
    <t xml:space="preserve">Elaborar els productes comunicatius que es determinin conjuntament amb Serveis Centrals - maquetació de publicacions del PNAP
</t>
  </si>
  <si>
    <t xml:space="preserve">Elaborar els productes comunicatius que es determinin conjuntament amb Serveis Centrals - impressió de publicacions del PNAP
</t>
  </si>
  <si>
    <t xml:space="preserve">Elaborar els productes comunicatius que es determinin conjuntament amb Serveis Centrals - plastificacions i serveis de repografia
</t>
  </si>
  <si>
    <t>Execució d'altres actuacions de prevenció d'incendis forestals no recollides al Pla.  Redacció projecte i direcció tècnica franja perimetral de protecció de Roní (POCTEFA Desbosiguem!)</t>
  </si>
  <si>
    <t>Establir col·laboracions i projectes conjunts - Activitats del Festival Senderi</t>
  </si>
  <si>
    <t>Fomentar i divulgar les activitats de guiatge interpretatiu i educatives i xerrades que incorporen el patrimoni cultural, especialment el reconegut per la UNESCO - revisió hotel d'insectes</t>
  </si>
  <si>
    <t>Continuar i millorar la regulació per reserva  (Vall de Bonabe, Pica Estats,..) - Ocupació Finca a Àreu com aparcament temporal</t>
  </si>
  <si>
    <t xml:space="preserve">Coordinar i  implementar les accions previstes pel PNAP del projecte POCTEFA Pyrfer + de posada en valor i dinamització de la Vall Ferrera entorn el ferro i la forja: Treballs previs de forja de la Fira del Ferro Pirinenc </t>
  </si>
  <si>
    <t>Millora i manteniment de centres d'interès amb un ús elevat- Adquisió material Refugi Comes de Rubió</t>
  </si>
  <si>
    <t>Realització de les actuacions de conservació d’hàbitats i espècies aquàtiques d’alta muntanya previstes al projecte LIFE RESQUE ALPYR:programa d'educació ambiental</t>
  </si>
  <si>
    <t>Adequar i millorar els punts d'informació existents del Parc Natural  - obertura i servei d'informació temporal comarcal a Sort</t>
  </si>
  <si>
    <t>Creació d’una taula de treball tècnic transfronterer entre els equips de gestió del Parc Pirinenc de les Tres Nacions en el marc del POCTEFA PP3N i desenvolupar les accions previstes - realització d'una maqueta 3D del PP3N</t>
  </si>
  <si>
    <t>Realització de les actuacions de conservació d’hàbitats i espècies aquàtiques d’alta muntanya previstes al projecte LIFE RESQUE ALPYR: impressió i instalació senyalització</t>
  </si>
  <si>
    <t>Realització de les actuacions de conservació d’hàbitats i espècies aquàtiques d’alta muntanya previstes al projecte LIFE RESQUE ALPYR: Treballs de disseny i maquetació de plafons i cartelleres per Muntanyó, Sartari, Comes de Rubió, mirador de la Font de la Tosca i Tavascan</t>
  </si>
  <si>
    <t>Adequar i millorar els punts d'informació existents del Parc Natural  - instalació pantalla informativa a Sort</t>
  </si>
  <si>
    <t>Execució d'altres actuacions de prevenció d'incendis forestals no recollides al Pla.  Creació de franges de protecció contra incendis forestals al voltant dels pobles de Vilamur (Soriguera) i Roní (Rialp). Projecte POCTEFA Desbosiguem!</t>
  </si>
  <si>
    <t>Millora i manteniment de la xarxa de camins senyalitzats a peu, bicicleta i la xarxa de camins ramaders públics - Treballs de sanejament i consoldació via ferrada d'Alins</t>
  </si>
  <si>
    <t>Millora i manteniment d'accessos rodats principals del Parc de forma planificada - Arranjament de la pista forestal de Montesclado a Juberri</t>
  </si>
  <si>
    <t>Millora i manteniment de centres d'interès amb un ús elevat- Mantenimen ti millora miradors Vall de Cardós</t>
  </si>
  <si>
    <t>Gestor responsable</t>
  </si>
  <si>
    <t>Actuació recurrent</t>
  </si>
  <si>
    <t>Espai natural</t>
  </si>
  <si>
    <t>Referència Taula</t>
  </si>
  <si>
    <t>Paratge Natural d'Interès Nacional de l'Albera</t>
  </si>
  <si>
    <t>Paratge Natural d'Interès Nacional de Poblet</t>
  </si>
  <si>
    <t>Parc Nacional d'Aigüestortes i Estany de Sant Maurici</t>
  </si>
  <si>
    <t>Parc Natural de Cap de Creus</t>
  </si>
  <si>
    <t>Parc Natural de la Serra de Montsant</t>
  </si>
  <si>
    <t>Parc Natural de la Zona Volcànica de la Garrotxa</t>
  </si>
  <si>
    <t>Parc Natural de l'Alt Pirineu</t>
  </si>
  <si>
    <t>Parc Natural de les Capçaleres del Ter i el Freser</t>
  </si>
  <si>
    <t>Parc Natural del Cadí-Moixeró</t>
  </si>
  <si>
    <t>Parc Natural del Delta de l'Ebre</t>
  </si>
  <si>
    <t>Parc Natural del Montgrí, les Illes Medes i el Baix Ter</t>
  </si>
  <si>
    <t>Parc Natural dels Aiguamolls de l'Empordà</t>
  </si>
  <si>
    <t>Parc Natural dels Ports</t>
  </si>
  <si>
    <t>Secans de Lleida</t>
  </si>
  <si>
    <t>ALB</t>
  </si>
  <si>
    <t>Gerard Carrion Salip</t>
  </si>
  <si>
    <t>David Bove Jordana</t>
  </si>
  <si>
    <t>Alba Jordana Lapedra</t>
  </si>
  <si>
    <t>Danae Garcia Sanagustin</t>
  </si>
  <si>
    <t>Alexandre Español Poblet</t>
  </si>
  <si>
    <t>Andreu del Rio i Vilatge</t>
  </si>
  <si>
    <t>Anna Planella Bosch</t>
  </si>
  <si>
    <t>Carmen Alcantara Guirado</t>
  </si>
  <si>
    <t>Alícia Bo Mauri</t>
  </si>
  <si>
    <t>Ana Maria Ortiz Velasco</t>
  </si>
  <si>
    <t>Albert Burgas Riera</t>
  </si>
  <si>
    <t>Ana Avila Aguila</t>
  </si>
  <si>
    <t>ADRIA URREA MORA</t>
  </si>
  <si>
    <t>POB</t>
  </si>
  <si>
    <t>Mªpilar Sanllehi Puig</t>
  </si>
  <si>
    <t>Eloy Josa Cos</t>
  </si>
  <si>
    <t>Albert Petit Saludes</t>
  </si>
  <si>
    <t>Francesc Xavier Turra Caussa</t>
  </si>
  <si>
    <t>Berta Navarro Bertran</t>
  </si>
  <si>
    <t>Arnau Dorca Tomas</t>
  </si>
  <si>
    <t>Elena Julia Alsina</t>
  </si>
  <si>
    <t>Gisela Picañol Vall</t>
  </si>
  <si>
    <t>Clara Franch Fosch</t>
  </si>
  <si>
    <t>Ariadna Purroy Albet</t>
  </si>
  <si>
    <t>Cecilia Cano Navarro</t>
  </si>
  <si>
    <t>Antoni Curco Masip</t>
  </si>
  <si>
    <t>JOEL PEREZ VIDAL</t>
  </si>
  <si>
    <t>AES</t>
  </si>
  <si>
    <t>Sergio Romero de Tejada Martinez</t>
  </si>
  <si>
    <t>Ester Trullols Sanchez</t>
  </si>
  <si>
    <t>Andrea Benabarre Felez</t>
  </si>
  <si>
    <t>Francesc Xavier Vilabella Pecondon</t>
  </si>
  <si>
    <t>David Iturria March</t>
  </si>
  <si>
    <t>Bernat Perramon Ramos</t>
  </si>
  <si>
    <t>Fatima Rebollo Domingo</t>
  </si>
  <si>
    <t>Joan Casoliva Armengou</t>
  </si>
  <si>
    <t>Fermin Morales Subirats</t>
  </si>
  <si>
    <t>Daniel Salvador Carretero</t>
  </si>
  <si>
    <t>Glòria Rosas Carrion</t>
  </si>
  <si>
    <t>Claudio Baiges Casanova</t>
  </si>
  <si>
    <t>Jordi Parpal Servole</t>
  </si>
  <si>
    <t>CRE</t>
  </si>
  <si>
    <t>Montserrat Sancho Blasco</t>
  </si>
  <si>
    <t>Carlos Gonzalez Farrando</t>
  </si>
  <si>
    <t>Joan Bech Sabat</t>
  </si>
  <si>
    <t>David Martra Colomes</t>
  </si>
  <si>
    <t>Emili Bassols Isamat</t>
  </si>
  <si>
    <t>Josep Pique Palacin</t>
  </si>
  <si>
    <t>Jaume Farriol Rafel</t>
  </si>
  <si>
    <t>Joana Canals Ribó</t>
  </si>
  <si>
    <t>Helena Fanlo Lopez</t>
  </si>
  <si>
    <t>Joaquin Aragones Rabassa</t>
  </si>
  <si>
    <t>Ivan Bustamante Galera</t>
  </si>
  <si>
    <t>Erica Bel Queralt</t>
  </si>
  <si>
    <t>JORDI RODERO PAU</t>
  </si>
  <si>
    <t>MON</t>
  </si>
  <si>
    <t>Ricardo Jesus Collado Tortosa</t>
  </si>
  <si>
    <t>Francesca Gil Gomez</t>
  </si>
  <si>
    <t>Montserrat Pascual Manich</t>
  </si>
  <si>
    <t>Montserrat Bonet Porcel</t>
  </si>
  <si>
    <t>Eva Calm Puig</t>
  </si>
  <si>
    <t>Xavier Grive Isern</t>
  </si>
  <si>
    <t>Lorena Dominguez Pons</t>
  </si>
  <si>
    <t>Inmaculada Juan Franch</t>
  </si>
  <si>
    <t>Maria Pilar Carabus Saballs</t>
  </si>
  <si>
    <t>Jorge Planella Santias</t>
  </si>
  <si>
    <t>Joan Mestre Querol</t>
  </si>
  <si>
    <t>Lluis Cullere Garcia</t>
  </si>
  <si>
    <t>ZVG</t>
  </si>
  <si>
    <t>Salvador Nogues Feliu</t>
  </si>
  <si>
    <t>Gerard Giménez Pérez</t>
  </si>
  <si>
    <t>Patricia Hebrard Gras</t>
  </si>
  <si>
    <t>Montserrat Sola Rivera</t>
  </si>
  <si>
    <t>Gerard Roca Canal</t>
  </si>
  <si>
    <t>Marc Garriga Lujan</t>
  </si>
  <si>
    <t>Maria Carme Orriols Alsina</t>
  </si>
  <si>
    <t>Joan Francesc Vidal Esquerre</t>
  </si>
  <si>
    <t>Monica Matencio Cardenas</t>
  </si>
  <si>
    <t>Maria Antonia Rojas Gonzalez</t>
  </si>
  <si>
    <t>Josep Maria Forcadell Roig</t>
  </si>
  <si>
    <t>Oliana Carrasco Aparicio</t>
  </si>
  <si>
    <t>API</t>
  </si>
  <si>
    <t>Jordi Vicente Canillas</t>
  </si>
  <si>
    <t>Ponç Feliu Latorre</t>
  </si>
  <si>
    <t>Noemi Aymami Ortiz</t>
  </si>
  <si>
    <t>Javier Oliver Martinez-Fornes</t>
  </si>
  <si>
    <t>Maria de las Merce Frade Palau</t>
  </si>
  <si>
    <t>Marina Vergés Sánchez</t>
  </si>
  <si>
    <t>Jose Maria Queral Casanova</t>
  </si>
  <si>
    <t>Ramon Alberto Alturo Monne</t>
  </si>
  <si>
    <t>MARTA REIXACH ESTRAGUES</t>
  </si>
  <si>
    <t>Josep Sabate Balsells</t>
  </si>
  <si>
    <t>Sebastia Camarasa Arbos</t>
  </si>
  <si>
    <t>TFR</t>
  </si>
  <si>
    <t>Jose Luis Gomez Bringue</t>
  </si>
  <si>
    <t>Susana Vilares Rubio</t>
  </si>
  <si>
    <t>RAFEL GUARDIA MIQUEL</t>
  </si>
  <si>
    <t>Joan Montserrat Reig</t>
  </si>
  <si>
    <t>Montserrat Raurell Sola</t>
  </si>
  <si>
    <t>Juan Carlos Garrido Lomeña</t>
  </si>
  <si>
    <t>Santiago Ramos Lopez</t>
  </si>
  <si>
    <t>Mireia Jimenez Monegal</t>
  </si>
  <si>
    <t>Marc Aixarch Curto</t>
  </si>
  <si>
    <t>CMO</t>
  </si>
  <si>
    <t>Jose Maria Rispa Pifarre</t>
  </si>
  <si>
    <t>Joan Pijoan Coromina</t>
  </si>
  <si>
    <t>Moises Villanueva Coello</t>
  </si>
  <si>
    <t>Queralt Tor Guitart</t>
  </si>
  <si>
    <t>Julia Piccardo Valdemarin</t>
  </si>
  <si>
    <t>Oscar Palou Teixidor</t>
  </si>
  <si>
    <t>Maria Merce San Jose Amat</t>
  </si>
  <si>
    <t>DEB</t>
  </si>
  <si>
    <t>Lluís F. Florit Molina</t>
  </si>
  <si>
    <t>Jordi Giro Quer</t>
  </si>
  <si>
    <t>Maria Lurdes Fontanet Paga</t>
  </si>
  <si>
    <t>Rosa Llinàs Viola</t>
  </si>
  <si>
    <t>Miriam Ralda Albiol</t>
  </si>
  <si>
    <t>MMB</t>
  </si>
  <si>
    <t>Luis Pifarre Marti</t>
  </si>
  <si>
    <t>Josep Riera Massegur</t>
  </si>
  <si>
    <t>Nuria Canals Sangra</t>
  </si>
  <si>
    <t>Maria Lurdes Queral Castells</t>
  </si>
  <si>
    <t>Salvi Ruiz Cruset</t>
  </si>
  <si>
    <t>Salomé Mulet Muria</t>
  </si>
  <si>
    <t>AEM</t>
  </si>
  <si>
    <t>Marc Plans Farrero</t>
  </si>
  <si>
    <t>Marta Ledesma i Bruch</t>
  </si>
  <si>
    <t>Miquel Angel Franch Casanova</t>
  </si>
  <si>
    <t>Sonia Blanco Esparza</t>
  </si>
  <si>
    <t>Veronica Perez Peña</t>
  </si>
  <si>
    <t>POR</t>
  </si>
  <si>
    <t>Marcel Elias Sanllehy</t>
  </si>
  <si>
    <t>Montserrat Grabolosa Sellabona</t>
  </si>
  <si>
    <t>Oriol Grau Fernandez</t>
  </si>
  <si>
    <t>Natividad Franch Ventura</t>
  </si>
  <si>
    <t>SEC</t>
  </si>
  <si>
    <t>Maria Isabel Sebastia Urbano</t>
  </si>
  <si>
    <t>Nuria Cruset Tonietti</t>
  </si>
  <si>
    <t>Xavier Abril Ferrer</t>
  </si>
  <si>
    <t>Maria Pou Palau</t>
  </si>
  <si>
    <t>Mari-Sol Garcia Ardanuy</t>
  </si>
  <si>
    <t>Miriam Aznar Galan</t>
  </si>
  <si>
    <t>Rosana Senis Garrido</t>
  </si>
  <si>
    <t>Silvia Mara Martins Bazzo</t>
  </si>
  <si>
    <t>Xavier Llimiñana Sabate</t>
  </si>
  <si>
    <t>Daniel Maresma Fernandez</t>
  </si>
  <si>
    <t>Nil Bacardit Tudela</t>
  </si>
  <si>
    <t>Oriol Martinez Cañas</t>
  </si>
  <si>
    <t>Mariona Martinez Salvador</t>
  </si>
  <si>
    <t>Neus Artigas Piñero</t>
  </si>
  <si>
    <t>Pol Alcalde Floriach</t>
  </si>
  <si>
    <t>26_NA_02</t>
  </si>
  <si>
    <t>26_NA_03</t>
  </si>
  <si>
    <t>26_NA_04</t>
  </si>
  <si>
    <t>26_NA_07</t>
  </si>
  <si>
    <t>26_NA_14</t>
  </si>
  <si>
    <t>26_NA_22</t>
  </si>
  <si>
    <t>26_NA_34</t>
  </si>
  <si>
    <t>26_NA_35</t>
  </si>
  <si>
    <t>26_NA_36</t>
  </si>
  <si>
    <t>26_NA_37</t>
  </si>
  <si>
    <t>26_NA_38</t>
  </si>
  <si>
    <t>26_NA_39</t>
  </si>
  <si>
    <t>26_NA_40</t>
  </si>
  <si>
    <t>26_NA_41</t>
  </si>
  <si>
    <t>26_NA_42</t>
  </si>
  <si>
    <t>26_NA_43</t>
  </si>
  <si>
    <t>26_NA_44</t>
  </si>
  <si>
    <t>26_NA_45</t>
  </si>
  <si>
    <t>26_NA_46</t>
  </si>
  <si>
    <t>26_CU_01</t>
  </si>
  <si>
    <t>26_CU_02</t>
  </si>
  <si>
    <t>26_CU_03</t>
  </si>
  <si>
    <t>26_CU_04</t>
  </si>
  <si>
    <t>26_CU_05</t>
  </si>
  <si>
    <t>26_CU_06</t>
  </si>
  <si>
    <t>26_CU_07</t>
  </si>
  <si>
    <t>26_CU_08</t>
  </si>
  <si>
    <t>26_CU_09</t>
  </si>
  <si>
    <t>26_CU_10</t>
  </si>
  <si>
    <t>26_CU_11</t>
  </si>
  <si>
    <t>26_CU_12</t>
  </si>
  <si>
    <t>26_CU_13</t>
  </si>
  <si>
    <t>26_CU_14</t>
  </si>
  <si>
    <t>26_CU_15</t>
  </si>
  <si>
    <t>26_CU_16</t>
  </si>
  <si>
    <t>26_CU_17</t>
  </si>
  <si>
    <t>26_CU_18</t>
  </si>
  <si>
    <t>26_CU_19</t>
  </si>
  <si>
    <t>26_CU_20</t>
  </si>
  <si>
    <t>26_CU_21</t>
  </si>
  <si>
    <t>26_CU_22</t>
  </si>
  <si>
    <t>26_CU_23</t>
  </si>
  <si>
    <t>26_CU_24</t>
  </si>
  <si>
    <t>26_CU_25</t>
  </si>
  <si>
    <t>26_CU_26</t>
  </si>
  <si>
    <t>26_CU_27</t>
  </si>
  <si>
    <t>26_CU_28</t>
  </si>
  <si>
    <t>26_CU_29</t>
  </si>
  <si>
    <t>26_CU_30</t>
  </si>
  <si>
    <t>26_CU_31</t>
  </si>
  <si>
    <t>26_CU_32</t>
  </si>
  <si>
    <t>26_CU_33</t>
  </si>
  <si>
    <t>26_CU_34</t>
  </si>
  <si>
    <t>26_CU_35</t>
  </si>
  <si>
    <t>26_CU_36</t>
  </si>
  <si>
    <t>26_CU_37</t>
  </si>
  <si>
    <t>26_CU_38</t>
  </si>
  <si>
    <t>26_CU_39</t>
  </si>
  <si>
    <t>26_CU_40</t>
  </si>
  <si>
    <t>26_CU_41</t>
  </si>
  <si>
    <t>26_CU_42</t>
  </si>
  <si>
    <t>26_CU_43</t>
  </si>
  <si>
    <t>26_CU_44</t>
  </si>
  <si>
    <t>26_CU_45</t>
  </si>
  <si>
    <t>26_CU_46</t>
  </si>
  <si>
    <t>26_CU_47</t>
  </si>
  <si>
    <t>26_CO_01</t>
  </si>
  <si>
    <t>26_CO_02</t>
  </si>
  <si>
    <t>26_CO_03</t>
  </si>
  <si>
    <t>26_CO_04</t>
  </si>
  <si>
    <t>26_CO_05</t>
  </si>
  <si>
    <t>26_CO_06</t>
  </si>
  <si>
    <t>26_CO_07</t>
  </si>
  <si>
    <t>26_CO_08</t>
  </si>
  <si>
    <t>26_CO_09</t>
  </si>
  <si>
    <t>26_CO_10</t>
  </si>
  <si>
    <t>26_CO_11</t>
  </si>
  <si>
    <t>26_CO_12</t>
  </si>
  <si>
    <t>26_CO_13</t>
  </si>
  <si>
    <t>26_CO_14</t>
  </si>
  <si>
    <t>26_CO_15</t>
  </si>
  <si>
    <t>26_CO_16</t>
  </si>
  <si>
    <t>26_CO_17</t>
  </si>
  <si>
    <t>26_CO_18</t>
  </si>
  <si>
    <t>26_CO_19</t>
  </si>
  <si>
    <t>26_CO_20</t>
  </si>
  <si>
    <t>26_CO_21</t>
  </si>
  <si>
    <t>26_CO_22</t>
  </si>
  <si>
    <t>26_CO_23</t>
  </si>
  <si>
    <t>26_CO_24</t>
  </si>
  <si>
    <t>26_CO_25</t>
  </si>
  <si>
    <t>26_CO_26</t>
  </si>
  <si>
    <t>26_CO_27</t>
  </si>
  <si>
    <t>26_CO_28</t>
  </si>
  <si>
    <t>26_CO_29</t>
  </si>
  <si>
    <t>26_CO_30</t>
  </si>
  <si>
    <t>26_CO_31</t>
  </si>
  <si>
    <t>26_CO_32</t>
  </si>
  <si>
    <t>26_CO_33</t>
  </si>
  <si>
    <t>26_CO_34</t>
  </si>
  <si>
    <t>26_CO_35</t>
  </si>
  <si>
    <t>26_CO_36</t>
  </si>
  <si>
    <t>26_DE_01</t>
  </si>
  <si>
    <t>26_DE_02</t>
  </si>
  <si>
    <t>26_DE_03</t>
  </si>
  <si>
    <t>26_DE_04</t>
  </si>
  <si>
    <t>26_DE_05</t>
  </si>
  <si>
    <t>26_DE_06</t>
  </si>
  <si>
    <t>26_DE_07</t>
  </si>
  <si>
    <t>26_DE_08</t>
  </si>
  <si>
    <t>26_DE_09</t>
  </si>
  <si>
    <t>26_DE_10</t>
  </si>
  <si>
    <t>26_DE_11</t>
  </si>
  <si>
    <t>26_DE_12</t>
  </si>
  <si>
    <t>26_DE_13</t>
  </si>
  <si>
    <t>26_DE_14</t>
  </si>
  <si>
    <t>26_DE_16</t>
  </si>
  <si>
    <t>26_DE_17</t>
  </si>
  <si>
    <t>26_DE_18</t>
  </si>
  <si>
    <t>26_DE_19</t>
  </si>
  <si>
    <t>26_DE_20</t>
  </si>
  <si>
    <t>26_DE_21</t>
  </si>
  <si>
    <t>26_DE_22</t>
  </si>
  <si>
    <t>26_DE_23</t>
  </si>
  <si>
    <t>26_DE_24</t>
  </si>
  <si>
    <t>26_DE_25</t>
  </si>
  <si>
    <t>26_DE_26</t>
  </si>
  <si>
    <t>26_DE_27</t>
  </si>
  <si>
    <t>26_DE_28</t>
  </si>
  <si>
    <t>26_DE_29</t>
  </si>
  <si>
    <t>26_DE_30</t>
  </si>
  <si>
    <t>26_DE_31</t>
  </si>
  <si>
    <t>26_DE_32</t>
  </si>
  <si>
    <t>26_DE_33</t>
  </si>
  <si>
    <t>26_DE_34</t>
  </si>
  <si>
    <t>26_DE_35</t>
  </si>
  <si>
    <t>26_DE_36</t>
  </si>
  <si>
    <t>26_DE_37</t>
  </si>
  <si>
    <t>26_DE_38</t>
  </si>
  <si>
    <t>26_DE_39</t>
  </si>
  <si>
    <t>26_DE_40</t>
  </si>
  <si>
    <t>26_DE_41</t>
  </si>
  <si>
    <t>26_DE_42</t>
  </si>
  <si>
    <t>26_US_01</t>
  </si>
  <si>
    <t>26_US_02</t>
  </si>
  <si>
    <t>26_US_03</t>
  </si>
  <si>
    <t>26_US_04</t>
  </si>
  <si>
    <t>26_US_05</t>
  </si>
  <si>
    <t>26_US_06</t>
  </si>
  <si>
    <t>26_US_07</t>
  </si>
  <si>
    <t>26_US_08</t>
  </si>
  <si>
    <t>26_US_09</t>
  </si>
  <si>
    <t>26_US_10</t>
  </si>
  <si>
    <t>26_US_11</t>
  </si>
  <si>
    <t>26_US_12</t>
  </si>
  <si>
    <t>26_US_13</t>
  </si>
  <si>
    <t>26_US_14</t>
  </si>
  <si>
    <t>26_US_15</t>
  </si>
  <si>
    <t>26_US_16</t>
  </si>
  <si>
    <t>26_US_17</t>
  </si>
  <si>
    <t>26_US_18</t>
  </si>
  <si>
    <t>26_US_19</t>
  </si>
  <si>
    <t>26_US_20</t>
  </si>
  <si>
    <t>26_US_21</t>
  </si>
  <si>
    <t>26_US_22</t>
  </si>
  <si>
    <t>26_US_23</t>
  </si>
  <si>
    <t>26_US_24</t>
  </si>
  <si>
    <t>26_US_25</t>
  </si>
  <si>
    <t>26_US_26</t>
  </si>
  <si>
    <t>26_US_27</t>
  </si>
  <si>
    <t>26_US_28</t>
  </si>
  <si>
    <t>26_US_29</t>
  </si>
  <si>
    <t>26_US_30</t>
  </si>
  <si>
    <t>26_US_31</t>
  </si>
  <si>
    <t>26_US_32</t>
  </si>
  <si>
    <t>26_US_33</t>
  </si>
  <si>
    <t>26_US_34</t>
  </si>
  <si>
    <t>26_US_35</t>
  </si>
  <si>
    <t>26_US_36</t>
  </si>
  <si>
    <t>26_US_37</t>
  </si>
  <si>
    <t>26_US_38</t>
  </si>
  <si>
    <t>26_US_39</t>
  </si>
  <si>
    <t>26_US_40</t>
  </si>
  <si>
    <t>26_US_41</t>
  </si>
  <si>
    <t>26_US_42</t>
  </si>
  <si>
    <t>26_US_43</t>
  </si>
  <si>
    <t>26_US_44</t>
  </si>
  <si>
    <t>26_US_45</t>
  </si>
  <si>
    <t>26_US_46</t>
  </si>
  <si>
    <t>26_US_47</t>
  </si>
  <si>
    <t>26_US_48</t>
  </si>
  <si>
    <t>26_US_49</t>
  </si>
  <si>
    <t>26_US_50</t>
  </si>
  <si>
    <t>26_US_51</t>
  </si>
  <si>
    <t>26_US_52</t>
  </si>
  <si>
    <t>26_US_53</t>
  </si>
  <si>
    <t>26_US_54</t>
  </si>
  <si>
    <t>26_US_55</t>
  </si>
  <si>
    <t>26_US_56</t>
  </si>
  <si>
    <t>26_US_57</t>
  </si>
  <si>
    <t>26_US_58</t>
  </si>
  <si>
    <t>26_US_59</t>
  </si>
  <si>
    <t>26_US_60</t>
  </si>
  <si>
    <t>26_US_61</t>
  </si>
  <si>
    <t>26_US_62</t>
  </si>
  <si>
    <t>26_US_63</t>
  </si>
  <si>
    <t>26_US_64</t>
  </si>
  <si>
    <t>26_US_65</t>
  </si>
  <si>
    <t>26_US_66</t>
  </si>
  <si>
    <t>26_US_67</t>
  </si>
  <si>
    <t>26_US_68</t>
  </si>
  <si>
    <t>26_US_69</t>
  </si>
  <si>
    <t>26_US_70</t>
  </si>
  <si>
    <t>26_US_71</t>
  </si>
  <si>
    <t>26_US_72</t>
  </si>
  <si>
    <t>26_US_73</t>
  </si>
  <si>
    <t>26_US_74</t>
  </si>
  <si>
    <t>26_US_75</t>
  </si>
  <si>
    <t>26_US_76</t>
  </si>
  <si>
    <t>26_US_77</t>
  </si>
  <si>
    <t>26_US_78</t>
  </si>
  <si>
    <t>26_US_79</t>
  </si>
  <si>
    <t>26_US_80</t>
  </si>
  <si>
    <t>26_US_81</t>
  </si>
  <si>
    <t>26_US_82</t>
  </si>
  <si>
    <t>26_US_83</t>
  </si>
  <si>
    <t>26_US_84</t>
  </si>
  <si>
    <t>26_US_85</t>
  </si>
  <si>
    <t>26_US_86</t>
  </si>
  <si>
    <t>26_US_87</t>
  </si>
  <si>
    <t>26_US_88</t>
  </si>
  <si>
    <t>26_US_89</t>
  </si>
  <si>
    <t>26_US_90</t>
  </si>
  <si>
    <t>26_US_91</t>
  </si>
  <si>
    <t>26_ED_01</t>
  </si>
  <si>
    <t>26_ED_02</t>
  </si>
  <si>
    <t>26_ED_03</t>
  </si>
  <si>
    <t>26_ED_04</t>
  </si>
  <si>
    <t>26_ED_05</t>
  </si>
  <si>
    <t>26_ED_06</t>
  </si>
  <si>
    <t>26_ED_07</t>
  </si>
  <si>
    <t>26_ED_08</t>
  </si>
  <si>
    <t>26_ED_09</t>
  </si>
  <si>
    <t>26_ED_10</t>
  </si>
  <si>
    <t>26_ED_11</t>
  </si>
  <si>
    <t>26_ED_12</t>
  </si>
  <si>
    <t>26_ED_13</t>
  </si>
  <si>
    <t>26_ED_14</t>
  </si>
  <si>
    <t>26_ED_15</t>
  </si>
  <si>
    <t>26_ED_16</t>
  </si>
  <si>
    <t>26_ED_17</t>
  </si>
  <si>
    <t>26_ED_18</t>
  </si>
  <si>
    <t>26_ED_19</t>
  </si>
  <si>
    <t>26_ED_20</t>
  </si>
  <si>
    <t>26_ED_21</t>
  </si>
  <si>
    <t>26_ED_22</t>
  </si>
  <si>
    <t>26_ED_23</t>
  </si>
  <si>
    <t>26_ED_24</t>
  </si>
  <si>
    <t>26_ED_25</t>
  </si>
  <si>
    <t>26_ED_26</t>
  </si>
  <si>
    <t>26_ED_27</t>
  </si>
  <si>
    <t>26_ED_28</t>
  </si>
  <si>
    <t>26_ED_29</t>
  </si>
  <si>
    <t>26_ED_30</t>
  </si>
  <si>
    <t>26_ED_31</t>
  </si>
  <si>
    <t>26_ED_32</t>
  </si>
  <si>
    <t>26_ED_33</t>
  </si>
  <si>
    <t>26_ED_34</t>
  </si>
  <si>
    <t>26_ED_35</t>
  </si>
  <si>
    <t>26_ED_36</t>
  </si>
  <si>
    <t>26_ED_37</t>
  </si>
  <si>
    <t>26_ED_38</t>
  </si>
  <si>
    <t>26_ED_39</t>
  </si>
  <si>
    <t>26_ED_40</t>
  </si>
  <si>
    <t>26_ED_41</t>
  </si>
  <si>
    <t>26_ED_42</t>
  </si>
  <si>
    <t>26_ED_43</t>
  </si>
  <si>
    <t>26_ED_44</t>
  </si>
  <si>
    <t>26_ED_45</t>
  </si>
  <si>
    <t>26_ED_46</t>
  </si>
  <si>
    <t>26_ED_47</t>
  </si>
  <si>
    <t>26_ED_48</t>
  </si>
  <si>
    <t>26_ED_49</t>
  </si>
  <si>
    <t>26_ED_50</t>
  </si>
  <si>
    <t>26_ED_51</t>
  </si>
  <si>
    <t>26_ED_52</t>
  </si>
  <si>
    <t>26_ED_53</t>
  </si>
  <si>
    <t>26_ED_54</t>
  </si>
  <si>
    <t>26_ED_55</t>
  </si>
  <si>
    <t>26_ED_56</t>
  </si>
  <si>
    <t>26_ED_57</t>
  </si>
  <si>
    <t>26_GE_01</t>
  </si>
  <si>
    <t>26_GE_02</t>
  </si>
  <si>
    <t>26_GE_03</t>
  </si>
  <si>
    <t>26_GE_04</t>
  </si>
  <si>
    <t>26_GE_05</t>
  </si>
  <si>
    <t>26_GE_06</t>
  </si>
  <si>
    <t>26_GE_07</t>
  </si>
  <si>
    <t>26_GE_08</t>
  </si>
  <si>
    <t>26_GE_09</t>
  </si>
  <si>
    <t>26_GE_10</t>
  </si>
  <si>
    <t>26_GE_11</t>
  </si>
  <si>
    <t>26_GE_12</t>
  </si>
  <si>
    <t>26_GE_13</t>
  </si>
  <si>
    <t>26_GE_14</t>
  </si>
  <si>
    <t>26_GE_15</t>
  </si>
  <si>
    <t>26_GE_16</t>
  </si>
  <si>
    <t>26_GE_17</t>
  </si>
  <si>
    <t>26_GE_18</t>
  </si>
  <si>
    <t>26_GE_19</t>
  </si>
  <si>
    <t>26_GE_20</t>
  </si>
  <si>
    <t>26_GE_21</t>
  </si>
  <si>
    <t>26_GE_22</t>
  </si>
  <si>
    <t>26_GE_23</t>
  </si>
  <si>
    <t>26_GE_24</t>
  </si>
  <si>
    <t>Realització d'accions per a la millora dels elements prioritzats a l'espai, incloent les accions previstes de conservació al Marc d’Acció Prioritària dels espais Xarxa Natura 2000 “Alt Pallars” i “la Torrassa”: Canalització del camí d'accés a la Pica d'estats al seu pas per la tartera de Sotllo. Redacció del projecte</t>
  </si>
  <si>
    <t>Realització d'accions per a la millora dels elements prioritzats a l'espai, incloent les accions previstes de conservació al Marc d’Acció Prioritària dels espais Xarxa Natura 2000 “Alt Pallars” i “la Torrassa”: Restauració de la cua de l'embassament de Boren. Redacció del proejcte</t>
  </si>
  <si>
    <t>Realització d'accions per a la millora dels elements prioritzats a l'espai, incloent les accions previstes de conservació al Marc d’Acció Prioritària dels espais Xarxa Natura 2000 “Alt Pallars” i “la Torrassa”: Realització d'accions de millora d'habitat de gall ger en boscos patrimonials. Redacció del projecte.</t>
  </si>
  <si>
    <t>Realització d'accions per a la millora dels elements prioritzats a l'espai, incloent les accions previstes de conservació al Marc d’Acció Prioritària dels espais Xarxa Natura 2000 “Alt Pallars” i “la Torrassa”: seguiment d'actuacions de conservació en molleres</t>
  </si>
  <si>
    <t>Promocionar les activitats dels guies intèrprets acreditats del Parc en els mitjans de difusió del Parc - nou catàleg dels guies interprets del Parc</t>
  </si>
  <si>
    <t>Instal·lació de lavabos secs en zones freqüentades sense serveis - Adquisició nou WC secs portàtil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</si>
</sst>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164" formatCode="_-* #,##0.00\ _€_-;\-* #,##0.00\ _€_-;_-* &quot;-&quot;??\ _€_-;_-@_-"/>
    <numFmt numFmtId="165" formatCode="#,##0.00\ &quot;€&quot;"/>
  </numFmts>
  <fonts count="37">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C00000"/>
      <name val="Arial"/>
      <family val="2"/>
    </font>
    <font>
      <sz val="10"/>
      <color theme="1"/>
      <name val="Calibri"/>
      <family val="2"/>
      <scheme val="minor"/>
    </font>
    <font>
      <sz val="9"/>
      <color rgb="FF000000"/>
      <name val="Arial"/>
      <family val="2"/>
    </font>
    <font>
      <sz val="9"/>
      <color rgb="FF071D49"/>
      <name val="Arial"/>
      <family val="2"/>
    </font>
    <font>
      <b/>
      <sz val="9"/>
      <name val="Arial"/>
      <family val="2"/>
    </font>
    <font>
      <sz val="9"/>
      <color theme="1"/>
      <name val="Arial"/>
      <family val="2"/>
    </font>
    <font>
      <b/>
      <sz val="11"/>
      <color rgb="FF000000"/>
      <name val="Arial"/>
      <family val="2"/>
    </font>
    <font>
      <sz val="11"/>
      <color rgb="FF000000"/>
      <name val="Arial"/>
      <family val="2"/>
    </font>
    <font>
      <sz val="10"/>
      <color theme="1"/>
      <name val="Arimo"/>
      <family val="2"/>
    </font>
    <font>
      <sz val="11"/>
      <color theme="1"/>
      <name val="Calibri"/>
      <family val="2"/>
      <scheme val="minor"/>
    </font>
    <font>
      <b/>
      <sz val="11"/>
      <name val="Calibri"/>
      <family val="2"/>
    </font>
    <font>
      <sz val="11"/>
      <color rgb="FF242424"/>
      <name val="Calibri"/>
      <family val="2"/>
      <scheme val="minor"/>
    </font>
    <font>
      <sz val="11"/>
      <color rgb="FFFF0000"/>
      <name val="Trebuchet MS"/>
      <family val="2"/>
    </font>
    <font>
      <b/>
      <sz val="9"/>
      <color indexed="81"/>
      <name val="Tahoma"/>
      <family val="2"/>
    </font>
    <font>
      <sz val="9"/>
      <color indexed="81"/>
      <name val="Tahoma"/>
      <family val="2"/>
    </font>
    <font>
      <sz val="9"/>
      <name val="Calibri"/>
      <family val="2"/>
      <scheme val="minor"/>
    </font>
    <font>
      <b/>
      <sz val="11"/>
      <color theme="0"/>
      <name val="Calibri"/>
      <family val="2"/>
      <scheme val="minor"/>
    </font>
    <font>
      <sz val="9"/>
      <color rgb="FFFF0000"/>
      <name val="Calibri"/>
      <family val="2"/>
      <scheme val="minor"/>
    </font>
    <font>
      <sz val="8"/>
      <name val="Calibri"/>
      <family val="2"/>
      <scheme val="minor"/>
    </font>
  </fonts>
  <fills count="33">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0"/>
        <bgColor indexed="64"/>
      </patternFill>
    </fill>
    <fill>
      <patternFill patternType="solid">
        <fgColor rgb="FF99CC0D"/>
        <bgColor indexed="64"/>
      </patternFill>
    </fill>
    <fill>
      <patternFill patternType="solid">
        <fgColor theme="0"/>
        <bgColor rgb="FF000000"/>
      </patternFill>
    </fill>
    <fill>
      <patternFill patternType="solid">
        <fgColor rgb="FFFFFFFF"/>
        <bgColor rgb="FF000000"/>
      </patternFill>
    </fill>
    <fill>
      <patternFill patternType="solid">
        <fgColor theme="3" tint="0.79998168889431442"/>
        <bgColor indexed="64"/>
      </patternFill>
    </fill>
    <fill>
      <patternFill patternType="solid">
        <fgColor theme="4"/>
        <bgColor theme="4"/>
      </patternFill>
    </fill>
    <fill>
      <patternFill patternType="solid">
        <fgColor rgb="FFDEEAF6"/>
        <bgColor indexed="64"/>
      </patternFill>
    </fill>
  </fills>
  <borders count="101">
    <border>
      <left/>
      <right/>
      <top/>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theme="5"/>
      </top>
      <bottom/>
      <diagonal/>
    </border>
    <border>
      <left style="thin">
        <color indexed="64"/>
      </left>
      <right style="thin">
        <color indexed="64"/>
      </right>
      <top style="thin">
        <color indexed="64"/>
      </top>
      <bottom/>
      <diagonal/>
    </border>
    <border>
      <left style="thin">
        <color theme="5"/>
      </left>
      <right/>
      <top/>
      <bottom/>
      <diagonal/>
    </border>
    <border>
      <left/>
      <right style="thin">
        <color theme="5"/>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5"/>
      </left>
      <right/>
      <top/>
      <bottom style="thin">
        <color theme="5"/>
      </bottom>
      <diagonal/>
    </border>
    <border>
      <left/>
      <right style="thin">
        <color indexed="64"/>
      </right>
      <top/>
      <bottom style="thin">
        <color theme="5"/>
      </bottom>
      <diagonal/>
    </border>
    <border>
      <left style="thin">
        <color rgb="FF00B050"/>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theme="5"/>
      </bottom>
      <diagonal/>
    </border>
    <border>
      <left/>
      <right style="thin">
        <color theme="4"/>
      </right>
      <top/>
      <bottom/>
      <diagonal/>
    </border>
    <border>
      <left style="thin">
        <color theme="4"/>
      </left>
      <right/>
      <top/>
      <bottom style="thin">
        <color theme="4"/>
      </bottom>
      <diagonal/>
    </border>
    <border>
      <left/>
      <right style="thin">
        <color indexed="64"/>
      </right>
      <top/>
      <bottom style="thin">
        <color theme="4"/>
      </bottom>
      <diagonal/>
    </border>
    <border>
      <left style="thin">
        <color theme="4"/>
      </left>
      <right/>
      <top style="thin">
        <color theme="4"/>
      </top>
      <bottom/>
      <diagonal/>
    </border>
    <border>
      <left/>
      <right style="thin">
        <color indexed="64"/>
      </right>
      <top style="thin">
        <color theme="4"/>
      </top>
      <bottom/>
      <diagonal/>
    </border>
    <border>
      <left style="thin">
        <color theme="4"/>
      </left>
      <right/>
      <top/>
      <bottom style="thin">
        <color theme="6"/>
      </bottom>
      <diagonal/>
    </border>
    <border>
      <left/>
      <right/>
      <top/>
      <bottom style="thin">
        <color theme="6"/>
      </bottom>
      <diagonal/>
    </border>
    <border>
      <left/>
      <right style="thin">
        <color indexed="64"/>
      </right>
      <top/>
      <bottom style="thin">
        <color theme="6"/>
      </bottom>
      <diagonal/>
    </border>
    <border>
      <left/>
      <right style="thin">
        <color indexed="64"/>
      </right>
      <top style="thin">
        <color theme="6"/>
      </top>
      <bottom/>
      <diagonal/>
    </border>
    <border>
      <left style="thin">
        <color theme="6"/>
      </left>
      <right/>
      <top/>
      <bottom/>
      <diagonal/>
    </border>
    <border>
      <left style="thin">
        <color theme="6"/>
      </left>
      <right/>
      <top/>
      <bottom style="thin">
        <color theme="6"/>
      </bottom>
      <diagonal/>
    </border>
    <border>
      <left style="thin">
        <color theme="6"/>
      </left>
      <right/>
      <top/>
      <bottom style="thin">
        <color rgb="FF00B0F0"/>
      </bottom>
      <diagonal/>
    </border>
    <border>
      <left/>
      <right style="thin">
        <color indexed="64"/>
      </right>
      <top/>
      <bottom style="thin">
        <color rgb="FF00B0F0"/>
      </bottom>
      <diagonal/>
    </border>
    <border>
      <left/>
      <right style="thin">
        <color rgb="FF00B0F0"/>
      </right>
      <top/>
      <bottom/>
      <diagonal/>
    </border>
    <border>
      <left/>
      <right style="thin">
        <color indexed="64"/>
      </right>
      <top style="thin">
        <color rgb="FF00B0F0"/>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bottom/>
      <diagonal/>
    </border>
    <border>
      <left/>
      <right style="thin">
        <color indexed="64"/>
      </right>
      <top style="thin">
        <color theme="8"/>
      </top>
      <bottom/>
      <diagonal/>
    </border>
    <border>
      <left style="thin">
        <color theme="8"/>
      </left>
      <right/>
      <top/>
      <bottom/>
      <diagonal/>
    </border>
    <border>
      <left/>
      <right style="thin">
        <color theme="8"/>
      </right>
      <top/>
      <bottom/>
      <diagonal/>
    </border>
    <border>
      <left/>
      <right style="thin">
        <color indexed="64"/>
      </right>
      <top/>
      <bottom style="thin">
        <color theme="8"/>
      </bottom>
      <diagonal/>
    </border>
    <border>
      <left/>
      <right/>
      <top/>
      <bottom style="thin">
        <color theme="8"/>
      </bottom>
      <diagonal/>
    </border>
    <border>
      <left/>
      <right/>
      <top style="thin">
        <color theme="8" tint="-0.24994659260841701"/>
      </top>
      <bottom/>
      <diagonal/>
    </border>
    <border>
      <left style="thin">
        <color theme="9"/>
      </left>
      <right/>
      <top/>
      <bottom style="thin">
        <color theme="9"/>
      </bottom>
      <diagonal/>
    </border>
    <border>
      <left/>
      <right style="thin">
        <color indexed="64"/>
      </right>
      <top/>
      <bottom style="thin">
        <color theme="9"/>
      </bottom>
      <diagonal/>
    </border>
    <border>
      <left/>
      <right style="thin">
        <color indexed="64"/>
      </right>
      <top style="thin">
        <color theme="9"/>
      </top>
      <bottom/>
      <diagonal/>
    </border>
    <border>
      <left/>
      <right/>
      <top/>
      <bottom style="thin">
        <color theme="9"/>
      </bottom>
      <diagonal/>
    </border>
    <border>
      <left/>
      <right style="thin">
        <color theme="9"/>
      </right>
      <top/>
      <bottom style="thin">
        <color theme="9"/>
      </bottom>
      <diagonal/>
    </border>
    <border>
      <left/>
      <right/>
      <top/>
      <bottom style="thin">
        <color theme="3" tint="0.39994506668294322"/>
      </bottom>
      <diagonal/>
    </border>
    <border>
      <left/>
      <right style="thin">
        <color indexed="64"/>
      </right>
      <top/>
      <bottom style="thin">
        <color theme="3" tint="0.39994506668294322"/>
      </bottom>
      <diagonal/>
    </border>
    <border>
      <left style="thin">
        <color rgb="FF8497B0"/>
      </left>
      <right/>
      <top/>
      <bottom/>
      <diagonal/>
    </border>
    <border>
      <left style="thin">
        <color rgb="FF8497B0"/>
      </left>
      <right/>
      <top/>
      <bottom style="thin">
        <color theme="3" tint="0.39994506668294322"/>
      </bottom>
      <diagonal/>
    </border>
    <border>
      <left/>
      <right style="thin">
        <color rgb="FF8497B0"/>
      </right>
      <top/>
      <bottom/>
      <diagonal/>
    </border>
    <border>
      <left/>
      <right style="thin">
        <color indexed="64"/>
      </right>
      <top style="thin">
        <color rgb="FF8497B0"/>
      </top>
      <bottom/>
      <diagonal/>
    </border>
    <border>
      <left style="thin">
        <color rgb="FF8497B0"/>
      </left>
      <right/>
      <top/>
      <bottom style="thin">
        <color rgb="FF8497B0"/>
      </bottom>
      <diagonal/>
    </border>
    <border>
      <left/>
      <right style="thin">
        <color indexed="64"/>
      </right>
      <top/>
      <bottom style="thin">
        <color rgb="FF8497B0"/>
      </bottom>
      <diagonal/>
    </border>
    <border>
      <left/>
      <right style="thin">
        <color indexed="64"/>
      </right>
      <top style="thin">
        <color theme="3" tint="0.39994506668294322"/>
      </top>
      <bottom/>
      <diagonal/>
    </border>
    <border>
      <left/>
      <right/>
      <top/>
      <bottom style="thin">
        <color rgb="FF8497B0"/>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2">
    <xf numFmtId="0" fontId="0" fillId="0" borderId="0"/>
    <xf numFmtId="164" fontId="27" fillId="0" borderId="0" applyFont="0" applyFill="0" applyBorder="0" applyAlignment="0" applyProtection="0"/>
  </cellStyleXfs>
  <cellXfs count="516">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3" fillId="0" borderId="13"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2" fillId="17" borderId="0" xfId="0" applyFont="1" applyFill="1" applyAlignment="1">
      <alignment horizontal="center" vertical="center" wrapText="1"/>
    </xf>
    <xf numFmtId="0" fontId="3" fillId="17" borderId="0" xfId="0" applyFont="1" applyFill="1" applyAlignment="1">
      <alignment horizontal="center" vertical="center"/>
    </xf>
    <xf numFmtId="0" fontId="3" fillId="17" borderId="0" xfId="0" applyFont="1" applyFill="1" applyAlignment="1">
      <alignment horizontal="center" vertical="center" wrapText="1"/>
    </xf>
    <xf numFmtId="0" fontId="2" fillId="0" borderId="13" xfId="0" applyFont="1" applyBorder="1" applyAlignment="1">
      <alignment horizontal="center" vertical="center"/>
    </xf>
    <xf numFmtId="0" fontId="2" fillId="17" borderId="13" xfId="0" applyFont="1" applyFill="1" applyBorder="1" applyAlignment="1">
      <alignment horizontal="center" vertical="center"/>
    </xf>
    <xf numFmtId="0" fontId="2" fillId="17" borderId="13" xfId="0" applyFont="1" applyFill="1" applyBorder="1" applyAlignment="1">
      <alignment horizontal="center" vertical="center" wrapText="1"/>
    </xf>
    <xf numFmtId="0" fontId="2" fillId="0" borderId="0" xfId="0" applyFont="1" applyAlignment="1">
      <alignment horizontal="center" vertical="center"/>
    </xf>
    <xf numFmtId="0" fontId="1" fillId="17" borderId="13" xfId="0" applyFont="1" applyFill="1" applyBorder="1" applyAlignment="1">
      <alignment horizontal="left" vertical="center" wrapText="1"/>
    </xf>
    <xf numFmtId="0" fontId="1" fillId="0" borderId="13" xfId="0" applyFont="1" applyBorder="1" applyAlignment="1">
      <alignment horizontal="left" vertical="center" wrapText="1"/>
    </xf>
    <xf numFmtId="0" fontId="1" fillId="0" borderId="13" xfId="0" applyFont="1" applyBorder="1" applyAlignment="1">
      <alignment horizontal="center" vertical="center"/>
    </xf>
    <xf numFmtId="0" fontId="1" fillId="0" borderId="13" xfId="0" applyFont="1" applyBorder="1" applyAlignment="1">
      <alignment vertical="top" wrapText="1"/>
    </xf>
    <xf numFmtId="0" fontId="0" fillId="0" borderId="13" xfId="0" applyBorder="1" applyAlignment="1">
      <alignment horizontal="center" vertical="center"/>
    </xf>
    <xf numFmtId="0" fontId="0" fillId="17" borderId="13" xfId="0" applyFill="1" applyBorder="1" applyAlignment="1">
      <alignment horizontal="center" vertical="center"/>
    </xf>
    <xf numFmtId="0" fontId="0" fillId="17" borderId="13" xfId="0" applyFill="1" applyBorder="1" applyAlignment="1">
      <alignment horizontal="left" vertical="center" wrapText="1"/>
    </xf>
    <xf numFmtId="0" fontId="1" fillId="0" borderId="13" xfId="0" applyFont="1" applyBorder="1" applyAlignment="1">
      <alignment vertical="top"/>
    </xf>
    <xf numFmtId="0" fontId="8" fillId="17" borderId="13" xfId="0" applyFont="1" applyFill="1" applyBorder="1" applyAlignment="1">
      <alignment horizontal="left" vertical="center" wrapText="1"/>
    </xf>
    <xf numFmtId="0" fontId="0" fillId="17" borderId="13" xfId="0" applyFill="1" applyBorder="1" applyAlignment="1">
      <alignment horizontal="center" vertical="center" wrapText="1"/>
    </xf>
    <xf numFmtId="0" fontId="1" fillId="0" borderId="13" xfId="0" applyFont="1" applyBorder="1" applyAlignment="1">
      <alignment horizontal="center" vertical="center" wrapText="1"/>
    </xf>
    <xf numFmtId="49" fontId="2" fillId="3" borderId="0" xfId="0" applyNumberFormat="1" applyFont="1" applyFill="1" applyAlignment="1">
      <alignment horizontal="center" vertical="top" wrapText="1"/>
    </xf>
    <xf numFmtId="0" fontId="1" fillId="0" borderId="13" xfId="0" applyFont="1" applyBorder="1" applyAlignment="1">
      <alignment horizontal="left" vertical="top" wrapText="1"/>
    </xf>
    <xf numFmtId="0" fontId="1" fillId="0" borderId="13" xfId="0" quotePrefix="1" applyFont="1" applyBorder="1" applyAlignment="1">
      <alignment vertical="top" wrapText="1"/>
    </xf>
    <xf numFmtId="0" fontId="4" fillId="0" borderId="13" xfId="0" applyFont="1" applyBorder="1" applyAlignment="1">
      <alignment vertical="top"/>
    </xf>
    <xf numFmtId="0" fontId="4" fillId="0" borderId="13" xfId="0" applyFont="1" applyBorder="1" applyAlignment="1">
      <alignment vertical="top" wrapText="1"/>
    </xf>
    <xf numFmtId="0" fontId="6" fillId="17" borderId="13" xfId="0" applyFont="1" applyFill="1" applyBorder="1" applyAlignment="1">
      <alignment horizontal="center" vertical="center" wrapText="1"/>
    </xf>
    <xf numFmtId="0" fontId="6" fillId="0" borderId="13" xfId="0" applyFont="1" applyBorder="1" applyAlignment="1">
      <alignment vertical="top" wrapText="1"/>
    </xf>
    <xf numFmtId="0" fontId="12" fillId="17" borderId="13" xfId="0" applyFont="1" applyFill="1" applyBorder="1" applyAlignment="1">
      <alignment horizontal="left" vertical="center" wrapText="1"/>
    </xf>
    <xf numFmtId="0" fontId="13" fillId="0" borderId="13" xfId="0" applyFont="1" applyBorder="1" applyAlignment="1">
      <alignment vertical="top" wrapText="1"/>
    </xf>
    <xf numFmtId="49" fontId="2" fillId="0" borderId="0" xfId="0" applyNumberFormat="1" applyFont="1" applyAlignment="1">
      <alignment horizontal="center" vertical="top" wrapText="1"/>
    </xf>
    <xf numFmtId="0" fontId="0" fillId="23" borderId="0" xfId="0" applyFill="1"/>
    <xf numFmtId="0" fontId="2" fillId="23" borderId="0" xfId="0" applyFont="1" applyFill="1"/>
    <xf numFmtId="0" fontId="0" fillId="0" borderId="0" xfId="0" applyAlignment="1">
      <alignment horizontal="left"/>
    </xf>
    <xf numFmtId="0" fontId="0" fillId="0" borderId="0" xfId="0" applyAlignment="1">
      <alignment wrapText="1"/>
    </xf>
    <xf numFmtId="0" fontId="2" fillId="16" borderId="13" xfId="0" applyFont="1" applyFill="1" applyBorder="1" applyAlignment="1">
      <alignment wrapText="1"/>
    </xf>
    <xf numFmtId="0" fontId="0" fillId="0" borderId="13" xfId="0" applyBorder="1" applyAlignment="1">
      <alignment wrapText="1"/>
    </xf>
    <xf numFmtId="0" fontId="2" fillId="9" borderId="13" xfId="0" applyFont="1" applyFill="1" applyBorder="1" applyAlignment="1">
      <alignment wrapText="1"/>
    </xf>
    <xf numFmtId="0" fontId="2" fillId="0" borderId="0" xfId="0" applyFont="1"/>
    <xf numFmtId="0" fontId="0" fillId="0" borderId="0" xfId="0" applyAlignment="1">
      <alignment horizontal="left" wrapText="1"/>
    </xf>
    <xf numFmtId="0" fontId="15" fillId="17" borderId="37" xfId="0" applyFont="1" applyFill="1" applyBorder="1" applyAlignment="1">
      <alignment horizontal="center" vertical="center" wrapText="1"/>
    </xf>
    <xf numFmtId="0" fontId="15" fillId="17" borderId="38" xfId="0" applyFont="1" applyFill="1" applyBorder="1" applyAlignment="1">
      <alignment horizontal="center" vertical="center" wrapText="1"/>
    </xf>
    <xf numFmtId="0" fontId="15" fillId="17" borderId="38" xfId="0" applyFont="1" applyFill="1" applyBorder="1" applyAlignment="1">
      <alignment horizontal="left" vertical="center" wrapText="1"/>
    </xf>
    <xf numFmtId="0" fontId="17" fillId="23" borderId="0" xfId="0" applyFont="1" applyFill="1" applyAlignment="1"/>
    <xf numFmtId="0" fontId="17" fillId="0" borderId="0" xfId="0" applyFont="1" applyAlignment="1"/>
    <xf numFmtId="0" fontId="16" fillId="17" borderId="38" xfId="0" applyFont="1" applyFill="1" applyBorder="1" applyAlignment="1">
      <alignment vertical="top"/>
    </xf>
    <xf numFmtId="0" fontId="15" fillId="17" borderId="41" xfId="0" applyFont="1" applyFill="1" applyBorder="1" applyAlignment="1">
      <alignment horizontal="center" vertical="center" wrapText="1"/>
    </xf>
    <xf numFmtId="0" fontId="0" fillId="0" borderId="0" xfId="0" applyFill="1"/>
    <xf numFmtId="0" fontId="15" fillId="17" borderId="38" xfId="0" applyFont="1" applyFill="1" applyBorder="1" applyAlignment="1">
      <alignment vertical="center" wrapText="1"/>
    </xf>
    <xf numFmtId="0" fontId="16" fillId="17" borderId="38" xfId="0" applyFont="1" applyFill="1" applyBorder="1" applyAlignment="1">
      <alignment vertical="top" wrapText="1"/>
    </xf>
    <xf numFmtId="0" fontId="16" fillId="17" borderId="39" xfId="0" applyFont="1" applyFill="1" applyBorder="1" applyAlignment="1">
      <alignment vertical="top" wrapText="1"/>
    </xf>
    <xf numFmtId="0" fontId="19" fillId="0" borderId="0" xfId="0" applyFont="1"/>
    <xf numFmtId="0" fontId="18" fillId="0" borderId="0" xfId="0" applyFont="1"/>
    <xf numFmtId="0" fontId="23" fillId="0" borderId="0" xfId="0" applyFont="1"/>
    <xf numFmtId="0" fontId="0" fillId="20" borderId="13" xfId="0" applyFill="1" applyBorder="1" applyAlignment="1">
      <alignment vertical="center"/>
    </xf>
    <xf numFmtId="0" fontId="0" fillId="20" borderId="13" xfId="0" applyFill="1" applyBorder="1"/>
    <xf numFmtId="0" fontId="24" fillId="24" borderId="0" xfId="0" applyFont="1" applyFill="1" applyAlignment="1">
      <alignment horizontal="center"/>
    </xf>
    <xf numFmtId="0" fontId="25" fillId="24" borderId="0" xfId="0" applyFont="1" applyFill="1"/>
    <xf numFmtId="0" fontId="26" fillId="25" borderId="43" xfId="0" applyFont="1" applyFill="1" applyBorder="1" applyAlignment="1">
      <alignment horizontal="left" vertical="center"/>
    </xf>
    <xf numFmtId="0" fontId="26" fillId="0" borderId="43" xfId="0" applyFont="1" applyBorder="1" applyAlignment="1">
      <alignment horizontal="left" vertical="center"/>
    </xf>
    <xf numFmtId="49" fontId="9" fillId="0" borderId="0" xfId="0" applyNumberFormat="1" applyFont="1" applyAlignment="1">
      <alignment horizontal="left" vertical="top"/>
    </xf>
    <xf numFmtId="0" fontId="10" fillId="0" borderId="0" xfId="0" applyFont="1" applyAlignment="1">
      <alignment vertical="top"/>
    </xf>
    <xf numFmtId="0" fontId="10" fillId="0" borderId="0" xfId="0" applyFont="1" applyAlignment="1">
      <alignment horizontal="left" vertical="top" wrapText="1"/>
    </xf>
    <xf numFmtId="49" fontId="1" fillId="0" borderId="0" xfId="0" applyNumberFormat="1"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0" fillId="0" borderId="0" xfId="0" applyAlignment="1">
      <alignment horizontal="left" vertical="top"/>
    </xf>
    <xf numFmtId="0" fontId="10" fillId="17" borderId="13" xfId="0" applyFont="1" applyFill="1" applyBorder="1" applyAlignment="1">
      <alignment horizontal="left" vertical="top" wrapText="1"/>
    </xf>
    <xf numFmtId="49" fontId="3" fillId="17" borderId="0" xfId="0" applyNumberFormat="1" applyFont="1" applyFill="1" applyAlignment="1">
      <alignment horizontal="center" vertical="top" wrapText="1"/>
    </xf>
    <xf numFmtId="0" fontId="3" fillId="17" borderId="0" xfId="0" applyFont="1" applyFill="1" applyAlignment="1">
      <alignment horizontal="center" vertical="top" wrapText="1"/>
    </xf>
    <xf numFmtId="0" fontId="3" fillId="17" borderId="13" xfId="0" applyFont="1" applyFill="1" applyBorder="1" applyAlignment="1">
      <alignment horizontal="center" vertical="top" wrapText="1"/>
    </xf>
    <xf numFmtId="0" fontId="3" fillId="17" borderId="13" xfId="0" applyFont="1" applyFill="1" applyBorder="1" applyAlignment="1">
      <alignment horizontal="center" vertical="top"/>
    </xf>
    <xf numFmtId="0" fontId="3" fillId="0" borderId="13" xfId="0" applyFont="1" applyBorder="1" applyAlignment="1">
      <alignment horizontal="center" vertical="top" wrapText="1"/>
    </xf>
    <xf numFmtId="0" fontId="2" fillId="0" borderId="13" xfId="0" applyFont="1" applyBorder="1" applyAlignment="1">
      <alignment horizontal="center" vertical="center" wrapText="1"/>
    </xf>
    <xf numFmtId="0" fontId="2" fillId="0" borderId="13" xfId="0" applyFont="1" applyBorder="1" applyAlignment="1">
      <alignment horizontal="left" vertical="center" wrapText="1"/>
    </xf>
    <xf numFmtId="49" fontId="2" fillId="2" borderId="12" xfId="0" applyNumberFormat="1" applyFont="1" applyFill="1" applyBorder="1" applyAlignment="1">
      <alignment horizontal="center" vertical="top" wrapText="1"/>
    </xf>
    <xf numFmtId="0" fontId="3" fillId="8" borderId="14" xfId="0" applyFont="1" applyFill="1" applyBorder="1" applyAlignment="1">
      <alignment horizontal="center" vertical="top"/>
    </xf>
    <xf numFmtId="0" fontId="28" fillId="8" borderId="1" xfId="0" applyFont="1" applyFill="1" applyBorder="1" applyAlignment="1">
      <alignment horizontal="left" vertical="top" wrapText="1"/>
    </xf>
    <xf numFmtId="0" fontId="0" fillId="0" borderId="47" xfId="0" applyBorder="1" applyAlignment="1">
      <alignment horizontal="center" vertical="center"/>
    </xf>
    <xf numFmtId="0" fontId="1" fillId="0" borderId="47" xfId="0" applyFont="1" applyBorder="1" applyAlignment="1">
      <alignment vertical="top" wrapText="1"/>
    </xf>
    <xf numFmtId="0" fontId="0" fillId="17" borderId="47" xfId="0" applyFill="1" applyBorder="1" applyAlignment="1">
      <alignment horizontal="center" vertical="center"/>
    </xf>
    <xf numFmtId="0" fontId="0" fillId="17" borderId="47" xfId="0" applyFill="1" applyBorder="1" applyAlignment="1">
      <alignment horizontal="left" vertical="center" wrapText="1"/>
    </xf>
    <xf numFmtId="0" fontId="0" fillId="0" borderId="47" xfId="0" applyBorder="1" applyAlignment="1">
      <alignment vertical="top" wrapText="1"/>
    </xf>
    <xf numFmtId="0" fontId="0" fillId="0" borderId="47" xfId="0" applyBorder="1" applyAlignment="1">
      <alignment horizontal="left" vertical="top"/>
    </xf>
    <xf numFmtId="0" fontId="0" fillId="0" borderId="13" xfId="0" applyBorder="1" applyAlignment="1">
      <alignment vertical="top"/>
    </xf>
    <xf numFmtId="0" fontId="0" fillId="2" borderId="0" xfId="0" applyFill="1" applyAlignment="1">
      <alignment horizontal="center" vertical="top" wrapText="1"/>
    </xf>
    <xf numFmtId="0" fontId="3" fillId="8" borderId="48" xfId="0" applyFont="1" applyFill="1" applyBorder="1" applyAlignment="1">
      <alignment horizontal="center" vertical="top"/>
    </xf>
    <xf numFmtId="0" fontId="28" fillId="8" borderId="49" xfId="0" applyFont="1" applyFill="1" applyBorder="1" applyAlignment="1">
      <alignment horizontal="left" vertical="top" wrapText="1"/>
    </xf>
    <xf numFmtId="0" fontId="0" fillId="0" borderId="42" xfId="0" applyBorder="1" applyAlignment="1">
      <alignment vertical="top"/>
    </xf>
    <xf numFmtId="0" fontId="0" fillId="26" borderId="13" xfId="0" applyFill="1" applyBorder="1" applyAlignment="1">
      <alignment vertical="top"/>
    </xf>
    <xf numFmtId="0" fontId="3" fillId="8" borderId="49" xfId="0" applyFont="1" applyFill="1" applyBorder="1" applyAlignment="1">
      <alignment horizontal="left" vertical="top" wrapText="1"/>
    </xf>
    <xf numFmtId="0" fontId="0" fillId="0" borderId="13" xfId="0" applyBorder="1" applyAlignment="1">
      <alignment horizontal="left" vertical="top"/>
    </xf>
    <xf numFmtId="0" fontId="0" fillId="0" borderId="52" xfId="0" applyBorder="1" applyAlignment="1">
      <alignment horizontal="center" vertical="center"/>
    </xf>
    <xf numFmtId="0" fontId="1" fillId="0" borderId="52" xfId="0" applyFont="1" applyBorder="1" applyAlignment="1">
      <alignment vertical="top" wrapText="1"/>
    </xf>
    <xf numFmtId="0" fontId="0" fillId="17" borderId="52" xfId="0" applyFill="1" applyBorder="1" applyAlignment="1">
      <alignment horizontal="center" vertical="center"/>
    </xf>
    <xf numFmtId="0" fontId="0" fillId="17" borderId="52" xfId="0" applyFill="1" applyBorder="1" applyAlignment="1">
      <alignment horizontal="left" vertical="center" wrapText="1"/>
    </xf>
    <xf numFmtId="0" fontId="0" fillId="0" borderId="52" xfId="0" applyBorder="1" applyAlignment="1">
      <alignment vertical="top" wrapText="1"/>
    </xf>
    <xf numFmtId="0" fontId="0" fillId="0" borderId="52" xfId="0" applyBorder="1" applyAlignment="1">
      <alignment horizontal="left" vertical="top"/>
    </xf>
    <xf numFmtId="0" fontId="0" fillId="0" borderId="52" xfId="0" applyBorder="1" applyAlignment="1">
      <alignment horizontal="left" vertical="top" wrapText="1"/>
    </xf>
    <xf numFmtId="0" fontId="0" fillId="0" borderId="52" xfId="0" applyBorder="1" applyAlignment="1">
      <alignment vertical="top"/>
    </xf>
    <xf numFmtId="0" fontId="0" fillId="26" borderId="52" xfId="0" applyFill="1" applyBorder="1" applyAlignment="1">
      <alignment vertical="top"/>
    </xf>
    <xf numFmtId="0" fontId="0" fillId="0" borderId="13" xfId="0" applyBorder="1" applyAlignment="1">
      <alignment vertical="top" wrapText="1"/>
    </xf>
    <xf numFmtId="0" fontId="1" fillId="17" borderId="13" xfId="0" applyFont="1" applyFill="1" applyBorder="1" applyAlignment="1">
      <alignment horizontal="center" vertical="top"/>
    </xf>
    <xf numFmtId="0" fontId="1" fillId="17" borderId="13" xfId="0" applyFont="1" applyFill="1" applyBorder="1" applyAlignment="1">
      <alignment vertical="top" wrapText="1"/>
    </xf>
    <xf numFmtId="0" fontId="1" fillId="0" borderId="47" xfId="0" applyFont="1" applyBorder="1" applyAlignment="1">
      <alignment vertical="center"/>
    </xf>
    <xf numFmtId="0" fontId="1" fillId="0" borderId="52" xfId="0" applyFont="1" applyBorder="1" applyAlignment="1">
      <alignment vertical="center"/>
    </xf>
    <xf numFmtId="0" fontId="1" fillId="17" borderId="13" xfId="0" applyFont="1" applyFill="1" applyBorder="1" applyAlignment="1">
      <alignment horizontal="center" vertical="top" wrapText="1"/>
    </xf>
    <xf numFmtId="0" fontId="1" fillId="0" borderId="44" xfId="0" applyFont="1" applyBorder="1" applyAlignment="1">
      <alignment horizontal="center" vertical="center"/>
    </xf>
    <xf numFmtId="0" fontId="0" fillId="0" borderId="13" xfId="0" applyBorder="1" applyAlignment="1">
      <alignment horizontal="left" vertical="top" wrapText="1"/>
    </xf>
    <xf numFmtId="0" fontId="3" fillId="8" borderId="55" xfId="0" applyFont="1" applyFill="1" applyBorder="1" applyAlignment="1">
      <alignment horizontal="center" vertical="top"/>
    </xf>
    <xf numFmtId="0" fontId="0" fillId="0" borderId="47" xfId="0" applyBorder="1" applyAlignment="1">
      <alignment horizontal="left" vertical="top" wrapText="1"/>
    </xf>
    <xf numFmtId="0" fontId="0" fillId="0" borderId="44" xfId="0" applyBorder="1" applyAlignment="1">
      <alignment vertical="top" wrapText="1"/>
    </xf>
    <xf numFmtId="0" fontId="17" fillId="0" borderId="56" xfId="0" applyFont="1" applyBorder="1" applyAlignment="1">
      <alignment horizontal="left" vertical="top" wrapText="1"/>
    </xf>
    <xf numFmtId="0" fontId="3" fillId="8" borderId="48" xfId="0" applyFont="1" applyFill="1" applyBorder="1" applyAlignment="1">
      <alignment horizontal="left" vertical="top" wrapText="1"/>
    </xf>
    <xf numFmtId="0" fontId="4" fillId="0" borderId="13" xfId="0" applyFont="1" applyBorder="1" applyAlignment="1">
      <alignment horizontal="left" vertical="top"/>
    </xf>
    <xf numFmtId="0" fontId="3" fillId="8" borderId="14" xfId="0" applyFont="1" applyFill="1" applyBorder="1" applyAlignment="1">
      <alignment horizontal="left" vertical="top" wrapText="1"/>
    </xf>
    <xf numFmtId="0" fontId="3" fillId="8" borderId="1" xfId="0" applyFont="1" applyFill="1" applyBorder="1" applyAlignment="1">
      <alignment horizontal="left" vertical="top" wrapText="1"/>
    </xf>
    <xf numFmtId="0" fontId="17" fillId="0" borderId="57" xfId="0" applyFont="1" applyBorder="1" applyAlignment="1">
      <alignment horizontal="left" vertical="top" wrapText="1"/>
    </xf>
    <xf numFmtId="0" fontId="17" fillId="0" borderId="58" xfId="0" applyFont="1" applyBorder="1" applyAlignment="1">
      <alignment horizontal="left" vertical="top" wrapText="1"/>
    </xf>
    <xf numFmtId="49" fontId="1" fillId="9" borderId="15" xfId="0" applyNumberFormat="1" applyFont="1" applyFill="1" applyBorder="1" applyAlignment="1">
      <alignment horizontal="center" vertical="top" wrapText="1"/>
    </xf>
    <xf numFmtId="0" fontId="1" fillId="9" borderId="16" xfId="0" applyFont="1" applyFill="1" applyBorder="1" applyAlignment="1">
      <alignment horizontal="left" vertical="top" wrapText="1"/>
    </xf>
    <xf numFmtId="0" fontId="0" fillId="26" borderId="13" xfId="0" applyFill="1" applyBorder="1" applyAlignment="1">
      <alignment vertical="top" wrapText="1"/>
    </xf>
    <xf numFmtId="0" fontId="0" fillId="26" borderId="13" xfId="0" applyFill="1" applyBorder="1" applyAlignment="1">
      <alignment horizontal="left" vertical="top"/>
    </xf>
    <xf numFmtId="49" fontId="2" fillId="2" borderId="0" xfId="0" applyNumberFormat="1" applyFont="1" applyFill="1" applyAlignment="1">
      <alignment horizontal="center" vertical="top" wrapText="1"/>
    </xf>
    <xf numFmtId="49" fontId="2" fillId="27" borderId="0" xfId="0" applyNumberFormat="1" applyFont="1" applyFill="1" applyAlignment="1">
      <alignment horizontal="center" vertical="top" wrapText="1"/>
    </xf>
    <xf numFmtId="0" fontId="3" fillId="19" borderId="17" xfId="0" applyFont="1" applyFill="1" applyBorder="1" applyAlignment="1">
      <alignment horizontal="center" vertical="top" wrapText="1"/>
    </xf>
    <xf numFmtId="0" fontId="3" fillId="19" borderId="11" xfId="0" applyFont="1" applyFill="1" applyBorder="1" applyAlignment="1">
      <alignment horizontal="left" vertical="top" wrapText="1"/>
    </xf>
    <xf numFmtId="0" fontId="0" fillId="27" borderId="0" xfId="0" applyFill="1" applyAlignment="1">
      <alignment horizontal="center" vertical="top" wrapText="1"/>
    </xf>
    <xf numFmtId="0" fontId="3" fillId="19" borderId="18" xfId="0" applyFont="1" applyFill="1" applyBorder="1" applyAlignment="1">
      <alignment vertical="top"/>
    </xf>
    <xf numFmtId="0" fontId="3" fillId="19" borderId="60" xfId="0" applyFont="1" applyFill="1" applyBorder="1" applyAlignment="1">
      <alignment horizontal="left" vertical="top" wrapText="1"/>
    </xf>
    <xf numFmtId="0" fontId="1" fillId="20" borderId="63" xfId="0" applyFont="1" applyFill="1" applyBorder="1" applyAlignment="1">
      <alignment horizontal="center" vertical="top" wrapText="1"/>
    </xf>
    <xf numFmtId="0" fontId="1" fillId="20" borderId="64" xfId="0" applyFont="1" applyFill="1" applyBorder="1" applyAlignment="1">
      <alignment horizontal="left" vertical="top" wrapText="1"/>
    </xf>
    <xf numFmtId="0" fontId="1" fillId="20" borderId="18" xfId="0" applyFont="1" applyFill="1" applyBorder="1" applyAlignment="1">
      <alignment horizontal="center" vertical="top" wrapText="1"/>
    </xf>
    <xf numFmtId="0" fontId="1" fillId="20" borderId="50" xfId="0" applyFont="1" applyFill="1" applyBorder="1" applyAlignment="1">
      <alignment horizontal="left" vertical="top" wrapText="1"/>
    </xf>
    <xf numFmtId="0" fontId="1" fillId="20" borderId="61" xfId="0" applyFont="1" applyFill="1" applyBorder="1" applyAlignment="1">
      <alignment horizontal="center" vertical="top" wrapText="1"/>
    </xf>
    <xf numFmtId="0" fontId="1" fillId="20" borderId="62" xfId="0" applyFont="1" applyFill="1" applyBorder="1" applyAlignment="1">
      <alignment horizontal="left" vertical="top" wrapText="1"/>
    </xf>
    <xf numFmtId="0" fontId="3" fillId="19" borderId="0" xfId="0" applyFont="1" applyFill="1" applyAlignment="1">
      <alignment horizontal="left" vertical="top" wrapText="1"/>
    </xf>
    <xf numFmtId="0" fontId="3" fillId="0" borderId="0" xfId="0" applyFont="1" applyAlignment="1">
      <alignment vertical="top"/>
    </xf>
    <xf numFmtId="0" fontId="3" fillId="0" borderId="0" xfId="0" applyFont="1" applyAlignment="1">
      <alignment horizontal="left" vertical="top" wrapText="1"/>
    </xf>
    <xf numFmtId="0" fontId="3" fillId="19" borderId="0" xfId="0" applyFont="1" applyFill="1" applyAlignment="1">
      <alignment horizontal="center" vertical="top"/>
    </xf>
    <xf numFmtId="0" fontId="3" fillId="19" borderId="19" xfId="0" applyFont="1" applyFill="1" applyBorder="1" applyAlignment="1">
      <alignment horizontal="center" vertical="top"/>
    </xf>
    <xf numFmtId="0" fontId="3" fillId="19" borderId="19" xfId="0" applyFont="1" applyFill="1" applyBorder="1" applyAlignment="1">
      <alignment horizontal="left" vertical="top" wrapText="1"/>
    </xf>
    <xf numFmtId="49" fontId="1" fillId="20" borderId="8" xfId="0" applyNumberFormat="1" applyFont="1" applyFill="1" applyBorder="1" applyAlignment="1">
      <alignment horizontal="center" vertical="top" wrapText="1"/>
    </xf>
    <xf numFmtId="0" fontId="1" fillId="20" borderId="8" xfId="0" applyFont="1" applyFill="1" applyBorder="1" applyAlignment="1">
      <alignment horizontal="left" vertical="top" wrapText="1"/>
    </xf>
    <xf numFmtId="49" fontId="1" fillId="20" borderId="63" xfId="0" applyNumberFormat="1" applyFont="1" applyFill="1" applyBorder="1" applyAlignment="1">
      <alignment horizontal="center" vertical="top" wrapText="1"/>
    </xf>
    <xf numFmtId="49" fontId="1" fillId="20" borderId="18" xfId="0" applyNumberFormat="1" applyFont="1" applyFill="1" applyBorder="1" applyAlignment="1">
      <alignment horizontal="center" vertical="top" wrapText="1"/>
    </xf>
    <xf numFmtId="49" fontId="1" fillId="20" borderId="65" xfId="0" applyNumberFormat="1" applyFont="1" applyFill="1" applyBorder="1" applyAlignment="1">
      <alignment horizontal="center" vertical="top" wrapText="1"/>
    </xf>
    <xf numFmtId="49" fontId="2" fillId="3" borderId="2" xfId="0" applyNumberFormat="1" applyFont="1" applyFill="1" applyBorder="1" applyAlignment="1">
      <alignment horizontal="center" vertical="top" wrapText="1"/>
    </xf>
    <xf numFmtId="0" fontId="3" fillId="10" borderId="21" xfId="0" applyFont="1" applyFill="1" applyBorder="1" applyAlignment="1">
      <alignment horizontal="center" vertical="top"/>
    </xf>
    <xf numFmtId="0" fontId="3" fillId="10" borderId="69" xfId="0" applyFont="1" applyFill="1" applyBorder="1" applyAlignment="1">
      <alignment vertical="top"/>
    </xf>
    <xf numFmtId="0" fontId="3" fillId="10" borderId="2" xfId="0" applyFont="1" applyFill="1" applyBorder="1" applyAlignment="1">
      <alignment horizontal="left" vertical="top" wrapText="1"/>
    </xf>
    <xf numFmtId="0" fontId="3" fillId="10" borderId="2" xfId="0" applyFont="1" applyFill="1" applyBorder="1" applyAlignment="1">
      <alignment vertical="top" wrapText="1"/>
    </xf>
    <xf numFmtId="49" fontId="2" fillId="4" borderId="73" xfId="0" applyNumberFormat="1" applyFont="1" applyFill="1" applyBorder="1" applyAlignment="1">
      <alignment horizontal="left" vertical="top" wrapText="1"/>
    </xf>
    <xf numFmtId="0" fontId="0" fillId="0" borderId="44" xfId="0" applyBorder="1" applyAlignment="1">
      <alignment horizontal="center" vertical="center"/>
    </xf>
    <xf numFmtId="0" fontId="0" fillId="17" borderId="42" xfId="0" applyFill="1" applyBorder="1" applyAlignment="1">
      <alignment horizontal="center" vertical="center"/>
    </xf>
    <xf numFmtId="0" fontId="29" fillId="0" borderId="0" xfId="0" applyFont="1" applyAlignment="1">
      <alignment wrapText="1"/>
    </xf>
    <xf numFmtId="0" fontId="3" fillId="13" borderId="23" xfId="0" applyFont="1" applyFill="1" applyBorder="1" applyAlignment="1">
      <alignment vertical="top"/>
    </xf>
    <xf numFmtId="0" fontId="3" fillId="13" borderId="4" xfId="0" applyFont="1" applyFill="1" applyBorder="1" applyAlignment="1">
      <alignment horizontal="left" vertical="top" wrapText="1"/>
    </xf>
    <xf numFmtId="0" fontId="1" fillId="28" borderId="13" xfId="0" applyFont="1" applyFill="1" applyBorder="1" applyAlignment="1">
      <alignment vertical="top" wrapText="1"/>
    </xf>
    <xf numFmtId="0" fontId="3" fillId="13" borderId="77" xfId="0" applyFont="1" applyFill="1" applyBorder="1" applyAlignment="1">
      <alignment vertical="top"/>
    </xf>
    <xf numFmtId="0" fontId="3" fillId="13" borderId="73" xfId="0" applyFont="1" applyFill="1" applyBorder="1" applyAlignment="1">
      <alignment horizontal="left" vertical="top" wrapText="1"/>
    </xf>
    <xf numFmtId="0" fontId="1" fillId="26" borderId="13" xfId="0" applyFont="1" applyFill="1" applyBorder="1" applyAlignment="1">
      <alignment vertical="top" wrapText="1"/>
    </xf>
    <xf numFmtId="0" fontId="0" fillId="26" borderId="13" xfId="0" applyFill="1" applyBorder="1" applyAlignment="1">
      <alignment horizontal="center" vertical="center"/>
    </xf>
    <xf numFmtId="0" fontId="0" fillId="26" borderId="13" xfId="0" applyFill="1" applyBorder="1" applyAlignment="1">
      <alignment horizontal="left" vertical="center" wrapText="1"/>
    </xf>
    <xf numFmtId="0" fontId="1" fillId="26" borderId="13" xfId="0" applyFont="1" applyFill="1" applyBorder="1" applyAlignment="1">
      <alignment horizontal="left" vertical="center" wrapText="1"/>
    </xf>
    <xf numFmtId="49" fontId="2" fillId="4" borderId="0" xfId="0" applyNumberFormat="1" applyFont="1" applyFill="1" applyAlignment="1">
      <alignment horizontal="left" vertical="top" wrapText="1"/>
    </xf>
    <xf numFmtId="0" fontId="3" fillId="13" borderId="0" xfId="0" applyFont="1" applyFill="1" applyAlignment="1">
      <alignment vertical="top"/>
    </xf>
    <xf numFmtId="0" fontId="3" fillId="13" borderId="0" xfId="0" applyFont="1" applyFill="1" applyAlignment="1">
      <alignment horizontal="left" vertical="top" wrapText="1"/>
    </xf>
    <xf numFmtId="0" fontId="0" fillId="0" borderId="13" xfId="0" applyBorder="1" applyAlignment="1">
      <alignment horizontal="center" vertical="center" wrapText="1"/>
    </xf>
    <xf numFmtId="0" fontId="3" fillId="14" borderId="27" xfId="0" applyFont="1" applyFill="1" applyBorder="1" applyAlignment="1">
      <alignment vertical="top"/>
    </xf>
    <xf numFmtId="0" fontId="3" fillId="14" borderId="5" xfId="0" applyFont="1" applyFill="1" applyBorder="1" applyAlignment="1">
      <alignment horizontal="left" vertical="top" wrapText="1"/>
    </xf>
    <xf numFmtId="49" fontId="1" fillId="15" borderId="28" xfId="0" applyNumberFormat="1" applyFont="1" applyFill="1" applyBorder="1" applyAlignment="1">
      <alignment horizontal="center" vertical="top" wrapText="1"/>
    </xf>
    <xf numFmtId="0" fontId="4" fillId="15" borderId="26" xfId="0" applyFont="1" applyFill="1" applyBorder="1" applyAlignment="1">
      <alignment horizontal="left" vertical="top" wrapText="1"/>
    </xf>
    <xf numFmtId="0" fontId="3" fillId="14" borderId="29" xfId="0" applyFont="1" applyFill="1" applyBorder="1" applyAlignment="1">
      <alignment horizontal="center" vertical="top"/>
    </xf>
    <xf numFmtId="9" fontId="0" fillId="0" borderId="13" xfId="0" applyNumberFormat="1" applyBorder="1" applyAlignment="1">
      <alignment horizontal="left" vertical="top"/>
    </xf>
    <xf numFmtId="0" fontId="3" fillId="14" borderId="79" xfId="0" applyFont="1" applyFill="1" applyBorder="1" applyAlignment="1">
      <alignment horizontal="center" vertical="top"/>
    </xf>
    <xf numFmtId="0" fontId="3" fillId="14" borderId="80" xfId="0" applyFont="1" applyFill="1" applyBorder="1" applyAlignment="1">
      <alignment horizontal="left" vertical="top" wrapText="1"/>
    </xf>
    <xf numFmtId="0" fontId="3" fillId="14" borderId="79" xfId="0" applyFont="1" applyFill="1" applyBorder="1" applyAlignment="1">
      <alignment vertical="top"/>
    </xf>
    <xf numFmtId="0" fontId="4" fillId="0" borderId="0" xfId="0" applyFont="1" applyAlignment="1">
      <alignment vertical="center"/>
    </xf>
    <xf numFmtId="0" fontId="4" fillId="0" borderId="13" xfId="0" applyFont="1" applyBorder="1" applyAlignment="1">
      <alignment vertical="center"/>
    </xf>
    <xf numFmtId="0" fontId="6" fillId="17" borderId="13" xfId="0" applyFont="1" applyFill="1" applyBorder="1" applyAlignment="1">
      <alignment vertical="top" wrapText="1"/>
    </xf>
    <xf numFmtId="0" fontId="3" fillId="14" borderId="0" xfId="0" applyFont="1" applyFill="1" applyAlignment="1">
      <alignment horizontal="center" vertical="top"/>
    </xf>
    <xf numFmtId="0" fontId="3" fillId="14" borderId="0" xfId="0" applyFont="1" applyFill="1" applyAlignment="1">
      <alignment horizontal="left" vertical="top" wrapText="1"/>
    </xf>
    <xf numFmtId="49" fontId="1" fillId="15" borderId="0" xfId="0" applyNumberFormat="1" applyFont="1" applyFill="1" applyAlignment="1">
      <alignment horizontal="center" vertical="top" wrapText="1"/>
    </xf>
    <xf numFmtId="0" fontId="1" fillId="15" borderId="0" xfId="0" applyFont="1" applyFill="1" applyAlignment="1">
      <alignment horizontal="left" vertical="top" wrapText="1"/>
    </xf>
    <xf numFmtId="0" fontId="1" fillId="0" borderId="13" xfId="0" applyFont="1" applyFill="1" applyBorder="1" applyAlignment="1">
      <alignment vertical="top" wrapText="1"/>
    </xf>
    <xf numFmtId="0" fontId="6" fillId="23" borderId="13" xfId="0" applyFont="1" applyFill="1" applyBorder="1" applyAlignment="1">
      <alignment horizontal="center" vertical="center" wrapText="1"/>
    </xf>
    <xf numFmtId="0" fontId="0" fillId="23" borderId="13" xfId="0" applyFill="1" applyBorder="1" applyAlignment="1">
      <alignment horizontal="left" vertical="center" wrapText="1"/>
    </xf>
    <xf numFmtId="0" fontId="0" fillId="0" borderId="13" xfId="0" applyFill="1" applyBorder="1" applyAlignment="1">
      <alignment horizontal="left" vertical="top"/>
    </xf>
    <xf numFmtId="0" fontId="0" fillId="0" borderId="13" xfId="0" applyFill="1" applyBorder="1" applyAlignment="1">
      <alignment vertical="top"/>
    </xf>
    <xf numFmtId="0" fontId="6" fillId="17" borderId="13" xfId="0" applyFont="1" applyFill="1" applyBorder="1" applyAlignment="1">
      <alignment horizontal="center" vertical="top"/>
    </xf>
    <xf numFmtId="0" fontId="1" fillId="26" borderId="13" xfId="0" applyFont="1" applyFill="1" applyBorder="1" applyAlignment="1">
      <alignment horizontal="left" vertical="top" wrapText="1"/>
    </xf>
    <xf numFmtId="0" fontId="3" fillId="18" borderId="10" xfId="0" applyFont="1" applyFill="1" applyBorder="1" applyAlignment="1">
      <alignment vertical="top"/>
    </xf>
    <xf numFmtId="0" fontId="3" fillId="21" borderId="9" xfId="0" applyFont="1" applyFill="1" applyBorder="1" applyAlignment="1">
      <alignment horizontal="left" vertical="top" wrapText="1"/>
    </xf>
    <xf numFmtId="0" fontId="1" fillId="22" borderId="34" xfId="0" applyFont="1" applyFill="1" applyBorder="1" applyAlignment="1">
      <alignment horizontal="center" vertical="top" wrapText="1"/>
    </xf>
    <xf numFmtId="0" fontId="1" fillId="22" borderId="10" xfId="0" applyFont="1" applyFill="1" applyBorder="1" applyAlignment="1">
      <alignment horizontal="left" vertical="top" wrapText="1"/>
    </xf>
    <xf numFmtId="0" fontId="3" fillId="18" borderId="0" xfId="0" applyFont="1" applyFill="1" applyAlignment="1">
      <alignment vertical="top"/>
    </xf>
    <xf numFmtId="0" fontId="3" fillId="21" borderId="93" xfId="0" applyFont="1" applyFill="1" applyBorder="1" applyAlignment="1">
      <alignment horizontal="left" vertical="top" wrapText="1"/>
    </xf>
    <xf numFmtId="0" fontId="1" fillId="22" borderId="91" xfId="0" applyFont="1" applyFill="1" applyBorder="1" applyAlignment="1">
      <alignment horizontal="center" vertical="top" wrapText="1"/>
    </xf>
    <xf numFmtId="0" fontId="1" fillId="22" borderId="0" xfId="0" applyFont="1" applyFill="1" applyAlignment="1">
      <alignment horizontal="left" vertical="top" wrapText="1"/>
    </xf>
    <xf numFmtId="0" fontId="1" fillId="22" borderId="35" xfId="0" applyFont="1" applyFill="1" applyBorder="1" applyAlignment="1">
      <alignment vertical="top" wrapText="1"/>
    </xf>
    <xf numFmtId="0" fontId="1" fillId="22" borderId="36" xfId="0" applyFont="1" applyFill="1" applyBorder="1" applyAlignment="1">
      <alignment horizontal="left" vertical="top" wrapText="1"/>
    </xf>
    <xf numFmtId="0" fontId="1" fillId="22" borderId="91" xfId="0" applyFont="1" applyFill="1" applyBorder="1" applyAlignment="1">
      <alignment vertical="top" wrapText="1"/>
    </xf>
    <xf numFmtId="0" fontId="4" fillId="29" borderId="13" xfId="0" applyFont="1" applyFill="1" applyBorder="1" applyAlignment="1">
      <alignment vertical="center" wrapText="1"/>
    </xf>
    <xf numFmtId="0" fontId="1" fillId="29" borderId="13" xfId="0" applyFont="1" applyFill="1" applyBorder="1" applyAlignment="1">
      <alignment vertical="top" wrapText="1"/>
    </xf>
    <xf numFmtId="0" fontId="1" fillId="29" borderId="13" xfId="0" applyFont="1" applyFill="1" applyBorder="1" applyAlignment="1">
      <alignment horizontal="center" vertical="center" wrapText="1"/>
    </xf>
    <xf numFmtId="0" fontId="1" fillId="29" borderId="13" xfId="0" applyFont="1" applyFill="1" applyBorder="1" applyAlignment="1">
      <alignment vertical="center" wrapText="1"/>
    </xf>
    <xf numFmtId="0" fontId="4" fillId="29" borderId="13" xfId="0" applyFont="1" applyFill="1" applyBorder="1" applyAlignment="1">
      <alignment horizontal="center" vertical="center"/>
    </xf>
    <xf numFmtId="0" fontId="4" fillId="29" borderId="13" xfId="0" applyFont="1" applyFill="1" applyBorder="1" applyAlignment="1">
      <alignment horizontal="left" vertical="center" wrapText="1"/>
    </xf>
    <xf numFmtId="0" fontId="33" fillId="9" borderId="13" xfId="0" applyFont="1" applyFill="1" applyBorder="1" applyAlignment="1">
      <alignment horizontal="left" vertical="top" wrapText="1"/>
    </xf>
    <xf numFmtId="0" fontId="33" fillId="20" borderId="13" xfId="0" applyFont="1" applyFill="1" applyBorder="1" applyAlignment="1">
      <alignment horizontal="left" vertical="top" wrapText="1"/>
    </xf>
    <xf numFmtId="9" fontId="33" fillId="9" borderId="13" xfId="0" applyNumberFormat="1" applyFont="1" applyFill="1" applyBorder="1" applyAlignment="1">
      <alignment horizontal="left" vertical="top" wrapText="1"/>
    </xf>
    <xf numFmtId="9" fontId="33" fillId="20" borderId="13" xfId="0" applyNumberFormat="1" applyFont="1" applyFill="1" applyBorder="1" applyAlignment="1">
      <alignment horizontal="left" vertical="top" wrapText="1"/>
    </xf>
    <xf numFmtId="0" fontId="33" fillId="11" borderId="13" xfId="0" applyFont="1" applyFill="1" applyBorder="1" applyAlignment="1">
      <alignment horizontal="left" vertical="top" wrapText="1"/>
    </xf>
    <xf numFmtId="9" fontId="33" fillId="11" borderId="13" xfId="0" applyNumberFormat="1" applyFont="1" applyFill="1" applyBorder="1" applyAlignment="1">
      <alignment horizontal="left" vertical="top" wrapText="1"/>
    </xf>
    <xf numFmtId="0" fontId="23" fillId="11" borderId="0" xfId="0" applyFont="1" applyFill="1"/>
    <xf numFmtId="0" fontId="33" fillId="12" borderId="13" xfId="0" applyFont="1" applyFill="1" applyBorder="1" applyAlignment="1">
      <alignment horizontal="left" vertical="top" wrapText="1"/>
    </xf>
    <xf numFmtId="9" fontId="33" fillId="12" borderId="13" xfId="0" applyNumberFormat="1" applyFont="1" applyFill="1" applyBorder="1" applyAlignment="1">
      <alignment horizontal="left" vertical="top" wrapText="1"/>
    </xf>
    <xf numFmtId="0" fontId="23" fillId="12" borderId="0" xfId="0" applyFont="1" applyFill="1"/>
    <xf numFmtId="0" fontId="33" fillId="15" borderId="13" xfId="0" applyFont="1" applyFill="1" applyBorder="1" applyAlignment="1">
      <alignment horizontal="left" vertical="top" wrapText="1"/>
    </xf>
    <xf numFmtId="9" fontId="33" fillId="15" borderId="13" xfId="0" applyNumberFormat="1" applyFont="1" applyFill="1" applyBorder="1" applyAlignment="1">
      <alignment horizontal="left" vertical="top" wrapText="1"/>
    </xf>
    <xf numFmtId="0" fontId="23" fillId="15" borderId="0" xfId="0" applyFont="1" applyFill="1"/>
    <xf numFmtId="0" fontId="2" fillId="0" borderId="44" xfId="0" applyFont="1" applyBorder="1" applyAlignment="1">
      <alignment horizontal="center" vertical="top"/>
    </xf>
    <xf numFmtId="0" fontId="2" fillId="0" borderId="42" xfId="0" applyFont="1" applyBorder="1" applyAlignment="1">
      <alignment horizontal="center" vertical="top"/>
    </xf>
    <xf numFmtId="0" fontId="2" fillId="0" borderId="45" xfId="0" applyFont="1" applyBorder="1" applyAlignment="1">
      <alignment horizontal="center" vertical="top"/>
    </xf>
    <xf numFmtId="49" fontId="1" fillId="9" borderId="14" xfId="0" applyNumberFormat="1" applyFont="1" applyFill="1" applyBorder="1" applyAlignment="1">
      <alignment horizontal="center" vertical="top" wrapText="1"/>
    </xf>
    <xf numFmtId="49" fontId="1" fillId="9" borderId="48" xfId="0" applyNumberFormat="1" applyFont="1" applyFill="1" applyBorder="1" applyAlignment="1">
      <alignment horizontal="center" vertical="top" wrapText="1"/>
    </xf>
    <xf numFmtId="0" fontId="0" fillId="0" borderId="48" xfId="0" applyBorder="1" applyAlignment="1">
      <alignment horizontal="center" vertical="top" wrapText="1"/>
    </xf>
    <xf numFmtId="0" fontId="0" fillId="0" borderId="53" xfId="0" applyBorder="1" applyAlignment="1">
      <alignment horizontal="center" vertical="top" wrapText="1"/>
    </xf>
    <xf numFmtId="0" fontId="1" fillId="9" borderId="46" xfId="0" applyFont="1" applyFill="1" applyBorder="1" applyAlignment="1">
      <alignment horizontal="left" vertical="top" wrapText="1"/>
    </xf>
    <xf numFmtId="0" fontId="1" fillId="9" borderId="50" xfId="0" applyFont="1" applyFill="1" applyBorder="1" applyAlignment="1">
      <alignment horizontal="left" vertical="top" wrapText="1"/>
    </xf>
    <xf numFmtId="0" fontId="1" fillId="9" borderId="54" xfId="0" applyFont="1" applyFill="1" applyBorder="1" applyAlignment="1">
      <alignment horizontal="left" vertical="top" wrapText="1"/>
    </xf>
    <xf numFmtId="0" fontId="1" fillId="17" borderId="47" xfId="0" applyFont="1" applyFill="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1" fillId="17" borderId="47" xfId="0" applyFont="1" applyFill="1" applyBorder="1" applyAlignment="1">
      <alignment vertical="top" wrapText="1"/>
    </xf>
    <xf numFmtId="0" fontId="0" fillId="0" borderId="51" xfId="0" applyBorder="1" applyAlignment="1">
      <alignment vertical="top" wrapText="1"/>
    </xf>
    <xf numFmtId="0" fontId="0" fillId="0" borderId="52" xfId="0" applyBorder="1" applyAlignment="1">
      <alignment vertical="top" wrapText="1"/>
    </xf>
    <xf numFmtId="0" fontId="1" fillId="17" borderId="47" xfId="0" applyFont="1" applyFill="1" applyBorder="1" applyAlignment="1">
      <alignment horizontal="center" vertical="top"/>
    </xf>
    <xf numFmtId="0" fontId="0" fillId="0" borderId="51" xfId="0" applyBorder="1" applyAlignment="1">
      <alignment horizontal="center" vertical="top"/>
    </xf>
    <xf numFmtId="0" fontId="0" fillId="0" borderId="52" xfId="0" applyBorder="1" applyAlignment="1">
      <alignment horizontal="center" vertical="top"/>
    </xf>
    <xf numFmtId="0" fontId="1" fillId="0" borderId="47" xfId="0" applyFont="1" applyBorder="1" applyAlignment="1">
      <alignment vertical="top" wrapText="1"/>
    </xf>
    <xf numFmtId="0" fontId="1" fillId="0" borderId="47" xfId="0" applyFont="1"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1" fillId="0" borderId="47" xfId="0" applyFont="1" applyBorder="1" applyAlignment="1">
      <alignment horizontal="left" vertical="center"/>
    </xf>
    <xf numFmtId="0" fontId="0" fillId="0" borderId="51" xfId="0" applyBorder="1" applyAlignment="1">
      <alignment horizontal="left" vertical="center"/>
    </xf>
    <xf numFmtId="0" fontId="0" fillId="0" borderId="52" xfId="0" applyBorder="1" applyAlignment="1">
      <alignment horizontal="left" vertical="center"/>
    </xf>
    <xf numFmtId="0" fontId="0" fillId="0" borderId="50" xfId="0" applyBorder="1" applyAlignment="1">
      <alignment horizontal="left" vertical="top" wrapText="1"/>
    </xf>
    <xf numFmtId="0" fontId="0" fillId="0" borderId="54" xfId="0" applyBorder="1" applyAlignment="1">
      <alignment horizontal="left" vertical="top" wrapText="1"/>
    </xf>
    <xf numFmtId="0" fontId="1" fillId="17" borderId="51" xfId="0" applyFont="1" applyFill="1" applyBorder="1" applyAlignment="1">
      <alignment horizontal="center" vertical="top" wrapText="1"/>
    </xf>
    <xf numFmtId="0" fontId="1" fillId="17" borderId="51" xfId="0" applyFont="1" applyFill="1" applyBorder="1" applyAlignment="1">
      <alignment vertical="top" wrapText="1"/>
    </xf>
    <xf numFmtId="0" fontId="1" fillId="17" borderId="51" xfId="0" applyFont="1" applyFill="1" applyBorder="1" applyAlignment="1">
      <alignment horizontal="center" vertical="top"/>
    </xf>
    <xf numFmtId="0" fontId="1" fillId="0" borderId="51" xfId="0" applyFont="1" applyBorder="1" applyAlignment="1">
      <alignment vertical="top" wrapText="1"/>
    </xf>
    <xf numFmtId="0" fontId="1" fillId="17" borderId="52" xfId="0" applyFont="1" applyFill="1" applyBorder="1" applyAlignment="1">
      <alignment horizontal="center" vertical="top"/>
    </xf>
    <xf numFmtId="0" fontId="1" fillId="17" borderId="52" xfId="0" applyFont="1" applyFill="1" applyBorder="1" applyAlignment="1">
      <alignment vertical="top" wrapText="1"/>
    </xf>
    <xf numFmtId="0" fontId="1" fillId="0" borderId="52" xfId="0" applyFont="1" applyBorder="1" applyAlignment="1">
      <alignment vertical="top" wrapText="1"/>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0" borderId="47" xfId="0" applyFont="1" applyBorder="1" applyAlignment="1">
      <alignment horizontal="left" vertical="top" wrapText="1"/>
    </xf>
    <xf numFmtId="0" fontId="1" fillId="0" borderId="51" xfId="0" applyFont="1" applyBorder="1" applyAlignment="1">
      <alignment horizontal="left" vertical="top" wrapText="1"/>
    </xf>
    <xf numFmtId="0" fontId="1" fillId="0" borderId="52" xfId="0" applyFont="1" applyBorder="1" applyAlignment="1">
      <alignment horizontal="left" vertical="top" wrapText="1"/>
    </xf>
    <xf numFmtId="0" fontId="1" fillId="17" borderId="52" xfId="0" applyFont="1" applyFill="1" applyBorder="1" applyAlignment="1">
      <alignment horizontal="center" vertical="top" wrapText="1"/>
    </xf>
    <xf numFmtId="0" fontId="1" fillId="0" borderId="47" xfId="0" applyFont="1" applyBorder="1" applyAlignment="1">
      <alignment horizontal="left" vertical="center" wrapText="1"/>
    </xf>
    <xf numFmtId="0" fontId="0" fillId="0" borderId="51" xfId="0" applyBorder="1" applyAlignment="1">
      <alignment horizontal="left" vertical="center" wrapText="1"/>
    </xf>
    <xf numFmtId="0" fontId="0" fillId="0" borderId="52" xfId="0" applyBorder="1" applyAlignment="1">
      <alignment horizontal="left" vertical="center" wrapText="1"/>
    </xf>
    <xf numFmtId="49" fontId="1" fillId="9" borderId="15" xfId="0" applyNumberFormat="1" applyFont="1" applyFill="1" applyBorder="1" applyAlignment="1">
      <alignment horizontal="center" vertical="top" wrapText="1"/>
    </xf>
    <xf numFmtId="0" fontId="1" fillId="17" borderId="47" xfId="0" applyFont="1" applyFill="1" applyBorder="1" applyAlignment="1">
      <alignment vertical="top"/>
    </xf>
    <xf numFmtId="0" fontId="1" fillId="17" borderId="51" xfId="0" applyFont="1" applyFill="1" applyBorder="1" applyAlignment="1">
      <alignment vertical="top"/>
    </xf>
    <xf numFmtId="0" fontId="0" fillId="0" borderId="51" xfId="0" applyBorder="1" applyAlignment="1">
      <alignment vertical="top"/>
    </xf>
    <xf numFmtId="0" fontId="0" fillId="0" borderId="52" xfId="0" applyBorder="1" applyAlignment="1">
      <alignment vertical="top"/>
    </xf>
    <xf numFmtId="0" fontId="1" fillId="0" borderId="47" xfId="0" applyFont="1" applyBorder="1" applyAlignment="1">
      <alignment vertical="top"/>
    </xf>
    <xf numFmtId="0" fontId="1" fillId="0" borderId="51" xfId="0" applyFont="1" applyBorder="1" applyAlignment="1">
      <alignment vertical="top"/>
    </xf>
    <xf numFmtId="49" fontId="1" fillId="9" borderId="12" xfId="0" applyNumberFormat="1" applyFont="1" applyFill="1" applyBorder="1" applyAlignment="1">
      <alignment horizontal="center" vertical="top" wrapText="1"/>
    </xf>
    <xf numFmtId="0" fontId="0" fillId="0" borderId="0" xfId="0" applyAlignment="1">
      <alignment vertical="top" wrapText="1"/>
    </xf>
    <xf numFmtId="0" fontId="0" fillId="0" borderId="59" xfId="0" applyBorder="1" applyAlignment="1">
      <alignment vertical="top" wrapText="1"/>
    </xf>
    <xf numFmtId="49" fontId="1" fillId="9" borderId="14" xfId="0" applyNumberFormat="1" applyFont="1" applyFill="1" applyBorder="1" applyAlignment="1">
      <alignment horizontal="left" vertical="top" wrapText="1"/>
    </xf>
    <xf numFmtId="0" fontId="0" fillId="0" borderId="48" xfId="0" applyBorder="1" applyAlignment="1">
      <alignment horizontal="left" vertical="top" wrapText="1"/>
    </xf>
    <xf numFmtId="0" fontId="0" fillId="0" borderId="53" xfId="0" applyBorder="1" applyAlignment="1">
      <alignment horizontal="left" vertical="top" wrapText="1"/>
    </xf>
    <xf numFmtId="0" fontId="0" fillId="0" borderId="48" xfId="0" applyBorder="1" applyAlignment="1">
      <alignment vertical="top" wrapText="1"/>
    </xf>
    <xf numFmtId="0" fontId="0" fillId="0" borderId="53" xfId="0" applyBorder="1" applyAlignment="1">
      <alignment vertical="top" wrapText="1"/>
    </xf>
    <xf numFmtId="164" fontId="1" fillId="0" borderId="47" xfId="1" applyFont="1" applyBorder="1" applyAlignment="1">
      <alignment vertical="top" wrapText="1"/>
    </xf>
    <xf numFmtId="164" fontId="1" fillId="0" borderId="52" xfId="1" applyFont="1" applyBorder="1" applyAlignment="1">
      <alignment vertical="top" wrapText="1"/>
    </xf>
    <xf numFmtId="0" fontId="1" fillId="20" borderId="17" xfId="0" applyFont="1" applyFill="1" applyBorder="1" applyAlignment="1">
      <alignment horizontal="center" vertical="top" wrapText="1"/>
    </xf>
    <xf numFmtId="0" fontId="0" fillId="0" borderId="18" xfId="0" applyBorder="1" applyAlignment="1">
      <alignment vertical="top" wrapText="1"/>
    </xf>
    <xf numFmtId="0" fontId="0" fillId="0" borderId="61" xfId="0" applyBorder="1" applyAlignment="1">
      <alignment vertical="top" wrapText="1"/>
    </xf>
    <xf numFmtId="0" fontId="1" fillId="20" borderId="46" xfId="0" applyFont="1" applyFill="1" applyBorder="1" applyAlignment="1">
      <alignment horizontal="left" vertical="top" wrapText="1"/>
    </xf>
    <xf numFmtId="0" fontId="0" fillId="0" borderId="62" xfId="0" applyBorder="1" applyAlignment="1">
      <alignment horizontal="left" vertical="top" wrapText="1"/>
    </xf>
    <xf numFmtId="49" fontId="1" fillId="20" borderId="63" xfId="0" applyNumberFormat="1" applyFont="1" applyFill="1" applyBorder="1" applyAlignment="1">
      <alignment horizontal="left" vertical="top" wrapText="1"/>
    </xf>
    <xf numFmtId="0" fontId="1" fillId="20" borderId="64" xfId="0" applyFont="1" applyFill="1" applyBorder="1" applyAlignment="1">
      <alignment horizontal="left" vertical="top" wrapText="1"/>
    </xf>
    <xf numFmtId="0" fontId="1" fillId="0" borderId="47" xfId="0" applyFont="1" applyBorder="1" applyAlignment="1">
      <alignment horizontal="center" vertical="top" wrapText="1"/>
    </xf>
    <xf numFmtId="0" fontId="1" fillId="0" borderId="47" xfId="0" applyFont="1" applyBorder="1" applyAlignment="1">
      <alignment horizontal="center" vertical="center" wrapText="1"/>
    </xf>
    <xf numFmtId="0" fontId="0" fillId="0" borderId="52" xfId="0" applyBorder="1" applyAlignment="1">
      <alignment horizontal="center" vertical="center" wrapText="1"/>
    </xf>
    <xf numFmtId="0" fontId="1" fillId="20" borderId="63" xfId="0" applyFont="1" applyFill="1" applyBorder="1" applyAlignment="1">
      <alignment horizontal="center" vertical="top"/>
    </xf>
    <xf numFmtId="0" fontId="1" fillId="20" borderId="18" xfId="0" applyFont="1" applyFill="1" applyBorder="1" applyAlignment="1">
      <alignment horizontal="center" vertical="top"/>
    </xf>
    <xf numFmtId="0" fontId="0" fillId="0" borderId="18" xfId="0" applyBorder="1" applyAlignment="1">
      <alignment horizontal="center" vertical="top"/>
    </xf>
    <xf numFmtId="0" fontId="0" fillId="0" borderId="61" xfId="0" applyBorder="1" applyAlignment="1">
      <alignment horizontal="center" vertical="top"/>
    </xf>
    <xf numFmtId="0" fontId="1" fillId="20" borderId="50" xfId="0" applyFont="1" applyFill="1" applyBorder="1" applyAlignment="1">
      <alignment horizontal="left" vertical="top" wrapText="1"/>
    </xf>
    <xf numFmtId="0" fontId="1" fillId="0" borderId="47" xfId="0" applyFont="1" applyBorder="1" applyAlignment="1">
      <alignment horizontal="center" vertical="top"/>
    </xf>
    <xf numFmtId="0" fontId="1" fillId="0" borderId="47" xfId="0" applyFont="1" applyBorder="1" applyAlignment="1">
      <alignment horizontal="left" vertical="top"/>
    </xf>
    <xf numFmtId="0" fontId="0" fillId="0" borderId="52" xfId="0" applyBorder="1" applyAlignment="1">
      <alignment horizontal="left" vertical="top"/>
    </xf>
    <xf numFmtId="0" fontId="0" fillId="0" borderId="52" xfId="0" applyBorder="1" applyAlignment="1">
      <alignment horizontal="left" vertical="top" wrapText="1"/>
    </xf>
    <xf numFmtId="0" fontId="1" fillId="17" borderId="47" xfId="0" applyFont="1" applyFill="1" applyBorder="1" applyAlignment="1">
      <alignment horizontal="left" vertical="top" wrapText="1"/>
    </xf>
    <xf numFmtId="0" fontId="3" fillId="10" borderId="0" xfId="0" applyFont="1" applyFill="1" applyAlignment="1">
      <alignment horizontal="left" vertical="top" wrapText="1"/>
    </xf>
    <xf numFmtId="0" fontId="0" fillId="0" borderId="0" xfId="0" applyAlignment="1">
      <alignment horizontal="left" vertical="top" wrapText="1"/>
    </xf>
    <xf numFmtId="49" fontId="1" fillId="11" borderId="20" xfId="0" applyNumberFormat="1" applyFont="1" applyFill="1" applyBorder="1" applyAlignment="1">
      <alignment horizontal="center" vertical="top" wrapText="1"/>
    </xf>
    <xf numFmtId="0" fontId="0" fillId="0" borderId="0" xfId="0" applyAlignment="1">
      <alignment horizontal="center" vertical="top" wrapText="1"/>
    </xf>
    <xf numFmtId="0" fontId="0" fillId="0" borderId="66" xfId="0" applyBorder="1" applyAlignment="1">
      <alignment horizontal="center" vertical="top" wrapText="1"/>
    </xf>
    <xf numFmtId="0" fontId="1" fillId="11" borderId="68" xfId="0" applyFont="1" applyFill="1" applyBorder="1" applyAlignment="1">
      <alignment horizontal="left" vertical="top" wrapText="1"/>
    </xf>
    <xf numFmtId="0" fontId="0" fillId="0" borderId="67" xfId="0" applyBorder="1" applyAlignment="1">
      <alignment horizontal="left" vertical="top" wrapText="1"/>
    </xf>
    <xf numFmtId="0" fontId="6" fillId="17" borderId="47" xfId="0" applyFont="1" applyFill="1" applyBorder="1" applyAlignment="1">
      <alignment vertical="top" wrapText="1"/>
    </xf>
    <xf numFmtId="0" fontId="6" fillId="17" borderId="51" xfId="0" applyFont="1" applyFill="1" applyBorder="1" applyAlignment="1">
      <alignment vertical="top" wrapText="1"/>
    </xf>
    <xf numFmtId="0" fontId="6" fillId="17" borderId="52" xfId="0" applyFont="1" applyFill="1" applyBorder="1" applyAlignment="1">
      <alignment vertical="top" wrapText="1"/>
    </xf>
    <xf numFmtId="49" fontId="1" fillId="20" borderId="20" xfId="0" applyNumberFormat="1" applyFont="1" applyFill="1" applyBorder="1" applyAlignment="1">
      <alignment horizontal="center" vertical="top" wrapText="1"/>
    </xf>
    <xf numFmtId="0" fontId="0" fillId="0" borderId="51" xfId="0" applyBorder="1" applyAlignment="1">
      <alignment horizontal="center" vertical="center" wrapText="1"/>
    </xf>
    <xf numFmtId="0" fontId="0" fillId="0" borderId="51" xfId="0" applyBorder="1" applyAlignment="1">
      <alignment horizontal="left" vertical="top" wrapText="1"/>
    </xf>
    <xf numFmtId="49" fontId="1" fillId="11" borderId="22" xfId="0" applyNumberFormat="1" applyFont="1" applyFill="1" applyBorder="1" applyAlignment="1">
      <alignment horizontal="center" vertical="top" wrapText="1"/>
    </xf>
    <xf numFmtId="0" fontId="1" fillId="11" borderId="3" xfId="0" applyFont="1" applyFill="1" applyBorder="1" applyAlignment="1">
      <alignment horizontal="left" vertical="top" wrapText="1"/>
    </xf>
    <xf numFmtId="49" fontId="1" fillId="11" borderId="21" xfId="0" applyNumberFormat="1" applyFont="1" applyFill="1"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49" fontId="1" fillId="11" borderId="21" xfId="0" applyNumberFormat="1" applyFont="1" applyFill="1" applyBorder="1" applyAlignment="1">
      <alignment horizontal="center" vertical="top" wrapText="1"/>
    </xf>
    <xf numFmtId="0" fontId="0" fillId="0" borderId="69" xfId="0" applyBorder="1" applyAlignment="1">
      <alignment horizontal="center" vertical="top" wrapText="1"/>
    </xf>
    <xf numFmtId="0" fontId="0" fillId="0" borderId="71" xfId="0" applyBorder="1" applyAlignment="1">
      <alignment horizontal="center" vertical="top" wrapText="1"/>
    </xf>
    <xf numFmtId="0" fontId="0" fillId="0" borderId="72" xfId="0" applyBorder="1" applyAlignment="1">
      <alignment horizontal="left" vertical="top" wrapText="1"/>
    </xf>
    <xf numFmtId="164" fontId="1" fillId="17" borderId="47" xfId="1" applyFont="1" applyFill="1" applyBorder="1" applyAlignment="1">
      <alignment horizontal="center" vertical="top" wrapText="1"/>
    </xf>
    <xf numFmtId="164" fontId="1" fillId="17" borderId="51" xfId="1" applyFont="1" applyFill="1" applyBorder="1" applyAlignment="1">
      <alignment horizontal="center" vertical="top" wrapText="1"/>
    </xf>
    <xf numFmtId="164" fontId="1" fillId="17" borderId="52" xfId="1" applyFont="1" applyFill="1" applyBorder="1" applyAlignment="1">
      <alignment horizontal="center" vertical="top" wrapText="1"/>
    </xf>
    <xf numFmtId="49" fontId="1" fillId="11" borderId="69" xfId="0" applyNumberFormat="1" applyFont="1" applyFill="1" applyBorder="1" applyAlignment="1">
      <alignment horizontal="center" vertical="top" wrapText="1"/>
    </xf>
    <xf numFmtId="0" fontId="0" fillId="0" borderId="70" xfId="0" applyBorder="1" applyAlignment="1">
      <alignment horizontal="center" vertical="top" wrapText="1"/>
    </xf>
    <xf numFmtId="0" fontId="1" fillId="11" borderId="50" xfId="0" applyFont="1" applyFill="1" applyBorder="1" applyAlignment="1">
      <alignment horizontal="left" vertical="top" wrapText="1"/>
    </xf>
    <xf numFmtId="0" fontId="3" fillId="13" borderId="23" xfId="0" applyFont="1" applyFill="1" applyBorder="1" applyAlignment="1">
      <alignment horizontal="center" vertical="top"/>
    </xf>
    <xf numFmtId="0" fontId="3" fillId="13" borderId="77" xfId="0" applyFont="1" applyFill="1" applyBorder="1" applyAlignment="1">
      <alignment horizontal="center" vertical="top"/>
    </xf>
    <xf numFmtId="0" fontId="3" fillId="13" borderId="75" xfId="0" applyFont="1" applyFill="1" applyBorder="1" applyAlignment="1">
      <alignment horizontal="center" vertical="top"/>
    </xf>
    <xf numFmtId="0" fontId="3" fillId="13" borderId="4" xfId="0" applyFont="1" applyFill="1" applyBorder="1" applyAlignment="1">
      <alignment horizontal="left" vertical="top" wrapText="1"/>
    </xf>
    <xf numFmtId="0" fontId="3" fillId="13" borderId="73" xfId="0" applyFont="1" applyFill="1" applyBorder="1" applyAlignment="1">
      <alignment horizontal="left" vertical="top" wrapText="1"/>
    </xf>
    <xf numFmtId="0" fontId="3" fillId="13" borderId="76" xfId="0" applyFont="1" applyFill="1" applyBorder="1" applyAlignment="1">
      <alignment horizontal="left" vertical="top" wrapText="1"/>
    </xf>
    <xf numFmtId="49" fontId="1" fillId="12" borderId="23" xfId="0" applyNumberFormat="1" applyFont="1" applyFill="1" applyBorder="1" applyAlignment="1">
      <alignment horizontal="center" vertical="top" wrapText="1"/>
    </xf>
    <xf numFmtId="49" fontId="1" fillId="12" borderId="77" xfId="0" applyNumberFormat="1" applyFont="1" applyFill="1" applyBorder="1" applyAlignment="1">
      <alignment horizontal="center" vertical="top" wrapText="1"/>
    </xf>
    <xf numFmtId="49" fontId="1" fillId="12" borderId="75" xfId="0" applyNumberFormat="1" applyFont="1" applyFill="1" applyBorder="1" applyAlignment="1">
      <alignment horizontal="center" vertical="top" wrapText="1"/>
    </xf>
    <xf numFmtId="0" fontId="1" fillId="12" borderId="74" xfId="0" applyFont="1" applyFill="1" applyBorder="1" applyAlignment="1">
      <alignment horizontal="left" vertical="top" wrapText="1"/>
    </xf>
    <xf numFmtId="0" fontId="1" fillId="12" borderId="50" xfId="0" applyFont="1" applyFill="1" applyBorder="1" applyAlignment="1">
      <alignment horizontal="left" vertical="top" wrapText="1"/>
    </xf>
    <xf numFmtId="0" fontId="1" fillId="12" borderId="72" xfId="0" applyFont="1" applyFill="1" applyBorder="1" applyAlignment="1">
      <alignment horizontal="left" vertical="top" wrapText="1"/>
    </xf>
    <xf numFmtId="0" fontId="0" fillId="0" borderId="75" xfId="0" applyBorder="1" applyAlignment="1">
      <alignment horizontal="center" vertical="top"/>
    </xf>
    <xf numFmtId="0" fontId="3" fillId="13" borderId="4" xfId="0" applyFont="1" applyFill="1" applyBorder="1" applyAlignment="1">
      <alignment horizontal="center" vertical="top"/>
    </xf>
    <xf numFmtId="0" fontId="0" fillId="0" borderId="76" xfId="0" applyBorder="1" applyAlignment="1">
      <alignment horizontal="center" vertical="top"/>
    </xf>
    <xf numFmtId="49" fontId="1" fillId="12" borderId="23" xfId="0" applyNumberFormat="1" applyFont="1" applyFill="1" applyBorder="1" applyAlignment="1">
      <alignment horizontal="center" vertical="top"/>
    </xf>
    <xf numFmtId="0" fontId="0" fillId="17" borderId="47" xfId="0" applyFill="1" applyBorder="1" applyAlignment="1">
      <alignment horizontal="center" vertical="top"/>
    </xf>
    <xf numFmtId="0" fontId="0" fillId="17" borderId="51" xfId="0" applyFill="1" applyBorder="1" applyAlignment="1">
      <alignment horizontal="center" vertical="top"/>
    </xf>
    <xf numFmtId="0" fontId="0" fillId="17" borderId="52" xfId="0" applyFill="1" applyBorder="1" applyAlignment="1">
      <alignment horizontal="center" vertical="top"/>
    </xf>
    <xf numFmtId="0" fontId="1" fillId="26" borderId="47" xfId="0" applyFont="1" applyFill="1" applyBorder="1" applyAlignment="1">
      <alignment vertical="top" wrapText="1"/>
    </xf>
    <xf numFmtId="0" fontId="1" fillId="26" borderId="51" xfId="0" applyFont="1" applyFill="1" applyBorder="1" applyAlignment="1">
      <alignment vertical="top" wrapText="1"/>
    </xf>
    <xf numFmtId="0" fontId="1" fillId="26" borderId="52" xfId="0" applyFont="1" applyFill="1" applyBorder="1" applyAlignment="1">
      <alignment vertical="top" wrapText="1"/>
    </xf>
    <xf numFmtId="0" fontId="0" fillId="0" borderId="47" xfId="0" applyBorder="1" applyAlignment="1">
      <alignment horizontal="center" vertical="center"/>
    </xf>
    <xf numFmtId="0" fontId="1" fillId="0" borderId="52" xfId="0" applyFont="1" applyBorder="1" applyAlignment="1">
      <alignment vertical="top"/>
    </xf>
    <xf numFmtId="49" fontId="1" fillId="12" borderId="24" xfId="0" applyNumberFormat="1" applyFont="1" applyFill="1" applyBorder="1" applyAlignment="1">
      <alignment horizontal="center" vertical="top" wrapText="1"/>
    </xf>
    <xf numFmtId="0" fontId="1" fillId="12" borderId="25" xfId="0" applyFont="1" applyFill="1" applyBorder="1" applyAlignment="1">
      <alignment horizontal="left" vertical="top" wrapText="1"/>
    </xf>
    <xf numFmtId="0" fontId="1" fillId="0" borderId="51" xfId="0" applyFont="1" applyBorder="1" applyAlignment="1">
      <alignment horizontal="center" vertical="top" wrapText="1"/>
    </xf>
    <xf numFmtId="0" fontId="0" fillId="0" borderId="77" xfId="0" applyBorder="1" applyAlignment="1">
      <alignment horizontal="center" vertical="top" wrapText="1"/>
    </xf>
    <xf numFmtId="0" fontId="0" fillId="0" borderId="75" xfId="0" applyBorder="1" applyAlignment="1">
      <alignment horizontal="center" vertical="top" wrapText="1"/>
    </xf>
    <xf numFmtId="0" fontId="1" fillId="12" borderId="74" xfId="0" applyFont="1" applyFill="1" applyBorder="1" applyAlignment="1">
      <alignment horizontal="center" vertical="top" wrapText="1"/>
    </xf>
    <xf numFmtId="0" fontId="1" fillId="12" borderId="50" xfId="0" applyFont="1" applyFill="1" applyBorder="1" applyAlignment="1">
      <alignment horizontal="center" vertical="top" wrapText="1"/>
    </xf>
    <xf numFmtId="0" fontId="0" fillId="0" borderId="50" xfId="0" applyBorder="1" applyAlignment="1">
      <alignment horizontal="center" vertical="top" wrapText="1"/>
    </xf>
    <xf numFmtId="0" fontId="0" fillId="0" borderId="72" xfId="0" applyBorder="1" applyAlignment="1">
      <alignment horizontal="center" vertical="top" wrapText="1"/>
    </xf>
    <xf numFmtId="0" fontId="1" fillId="26" borderId="47" xfId="0" applyFont="1" applyFill="1" applyBorder="1" applyAlignment="1">
      <alignment horizontal="center" vertical="center" wrapText="1"/>
    </xf>
    <xf numFmtId="49" fontId="2" fillId="5" borderId="0" xfId="0" applyNumberFormat="1" applyFont="1" applyFill="1" applyAlignment="1">
      <alignment horizontal="center" vertical="top" wrapText="1"/>
    </xf>
    <xf numFmtId="0" fontId="3" fillId="14" borderId="6" xfId="0" applyFont="1" applyFill="1" applyBorder="1" applyAlignment="1">
      <alignment horizontal="left" vertical="top" wrapText="1"/>
    </xf>
    <xf numFmtId="0" fontId="3" fillId="14" borderId="80" xfId="0" applyFont="1" applyFill="1" applyBorder="1" applyAlignment="1">
      <alignment horizontal="left" vertical="top" wrapText="1"/>
    </xf>
    <xf numFmtId="49" fontId="1" fillId="15" borderId="29" xfId="0" applyNumberFormat="1" applyFont="1" applyFill="1" applyBorder="1" applyAlignment="1">
      <alignment horizontal="center" vertical="top" wrapText="1"/>
    </xf>
    <xf numFmtId="49" fontId="1" fillId="15" borderId="79" xfId="0" applyNumberFormat="1" applyFont="1" applyFill="1" applyBorder="1" applyAlignment="1">
      <alignment horizontal="center" vertical="top" wrapText="1"/>
    </xf>
    <xf numFmtId="49" fontId="1" fillId="15" borderId="27" xfId="0" applyNumberFormat="1" applyFont="1" applyFill="1" applyBorder="1" applyAlignment="1">
      <alignment horizontal="center" vertical="top" wrapText="1"/>
    </xf>
    <xf numFmtId="0" fontId="1" fillId="15" borderId="78" xfId="0" applyFont="1" applyFill="1" applyBorder="1" applyAlignment="1">
      <alignment horizontal="left" vertical="top" wrapText="1"/>
    </xf>
    <xf numFmtId="0" fontId="1" fillId="15" borderId="50" xfId="0" applyFont="1" applyFill="1" applyBorder="1" applyAlignment="1">
      <alignment horizontal="left" vertical="top" wrapText="1"/>
    </xf>
    <xf numFmtId="0" fontId="1" fillId="15" borderId="81" xfId="0" applyFont="1" applyFill="1" applyBorder="1" applyAlignment="1">
      <alignment horizontal="left" vertical="top" wrapText="1"/>
    </xf>
    <xf numFmtId="0" fontId="1" fillId="0" borderId="47" xfId="0" applyFont="1" applyBorder="1" applyAlignment="1">
      <alignment vertical="center" wrapText="1"/>
    </xf>
    <xf numFmtId="0" fontId="1" fillId="0" borderId="52" xfId="0" applyFont="1" applyBorder="1" applyAlignment="1">
      <alignment vertical="center" wrapText="1"/>
    </xf>
    <xf numFmtId="0" fontId="1" fillId="0" borderId="51" xfId="0" applyFont="1" applyBorder="1" applyAlignment="1">
      <alignment vertical="center" wrapText="1"/>
    </xf>
    <xf numFmtId="0" fontId="1" fillId="15" borderId="30" xfId="0" applyFont="1" applyFill="1" applyBorder="1" applyAlignment="1">
      <alignment horizontal="left" vertical="top" wrapText="1"/>
    </xf>
    <xf numFmtId="0" fontId="1" fillId="15" borderId="0" xfId="0" applyFont="1" applyFill="1" applyAlignment="1">
      <alignment horizontal="left" vertical="top" wrapText="1"/>
    </xf>
    <xf numFmtId="0" fontId="1" fillId="15" borderId="82" xfId="0" applyFont="1" applyFill="1" applyBorder="1" applyAlignment="1">
      <alignment horizontal="left" vertical="top" wrapText="1"/>
    </xf>
    <xf numFmtId="0" fontId="1" fillId="15" borderId="78" xfId="0" applyFont="1" applyFill="1" applyBorder="1" applyAlignment="1">
      <alignment horizontal="left" vertical="top"/>
    </xf>
    <xf numFmtId="0" fontId="1" fillId="15" borderId="50" xfId="0" applyFont="1" applyFill="1" applyBorder="1" applyAlignment="1">
      <alignment horizontal="left" vertical="top"/>
    </xf>
    <xf numFmtId="0" fontId="1" fillId="15" borderId="81" xfId="0" applyFont="1" applyFill="1" applyBorder="1" applyAlignment="1">
      <alignment horizontal="left" vertical="top"/>
    </xf>
    <xf numFmtId="164" fontId="1" fillId="0" borderId="51" xfId="1" applyFont="1" applyBorder="1" applyAlignment="1">
      <alignment vertical="top" wrapText="1"/>
    </xf>
    <xf numFmtId="0" fontId="11" fillId="0" borderId="47" xfId="0" applyFont="1" applyBorder="1" applyAlignment="1">
      <alignment vertical="top" wrapText="1"/>
    </xf>
    <xf numFmtId="0" fontId="11" fillId="0" borderId="51" xfId="0" applyFont="1" applyBorder="1" applyAlignment="1">
      <alignment vertical="top" wrapText="1"/>
    </xf>
    <xf numFmtId="0" fontId="11" fillId="0" borderId="52" xfId="0" applyFont="1" applyBorder="1" applyAlignment="1">
      <alignment vertical="top" wrapText="1"/>
    </xf>
    <xf numFmtId="0" fontId="3" fillId="14" borderId="83" xfId="0" applyFont="1" applyFill="1" applyBorder="1" applyAlignment="1">
      <alignment horizontal="center" vertical="top" wrapText="1"/>
    </xf>
    <xf numFmtId="0" fontId="3" fillId="14" borderId="0" xfId="0" applyFont="1" applyFill="1" applyAlignment="1">
      <alignment horizontal="center" vertical="top" wrapText="1"/>
    </xf>
    <xf numFmtId="0" fontId="3" fillId="14" borderId="83" xfId="0" applyFont="1" applyFill="1" applyBorder="1" applyAlignment="1">
      <alignment horizontal="left" vertical="top" wrapText="1"/>
    </xf>
    <xf numFmtId="0" fontId="3" fillId="14" borderId="0" xfId="0" applyFont="1" applyFill="1" applyAlignment="1">
      <alignment horizontal="left" vertical="top" wrapText="1"/>
    </xf>
    <xf numFmtId="49" fontId="1" fillId="15" borderId="30" xfId="0" applyNumberFormat="1" applyFont="1" applyFill="1" applyBorder="1" applyAlignment="1">
      <alignment horizontal="center" vertical="top" wrapText="1"/>
    </xf>
    <xf numFmtId="49" fontId="1" fillId="15" borderId="0" xfId="0" applyNumberFormat="1" applyFont="1" applyFill="1" applyAlignment="1">
      <alignment horizontal="center" vertical="top" wrapText="1"/>
    </xf>
    <xf numFmtId="49" fontId="2" fillId="6" borderId="0" xfId="0" applyNumberFormat="1" applyFont="1" applyFill="1" applyAlignment="1">
      <alignment horizontal="center" vertical="top" wrapText="1"/>
    </xf>
    <xf numFmtId="0" fontId="3" fillId="17" borderId="31" xfId="0" applyFont="1" applyFill="1" applyBorder="1" applyAlignment="1">
      <alignment horizontal="center" vertical="top"/>
    </xf>
    <xf numFmtId="0" fontId="3" fillId="17" borderId="84" xfId="0" applyFont="1" applyFill="1" applyBorder="1" applyAlignment="1">
      <alignment horizontal="center" vertical="top"/>
    </xf>
    <xf numFmtId="0" fontId="3" fillId="17" borderId="7" xfId="0" applyFont="1" applyFill="1" applyBorder="1" applyAlignment="1">
      <alignment horizontal="left" vertical="top" wrapText="1"/>
    </xf>
    <xf numFmtId="0" fontId="3" fillId="17" borderId="88" xfId="0" applyFont="1" applyFill="1" applyBorder="1" applyAlignment="1">
      <alignment horizontal="left" vertical="top" wrapText="1"/>
    </xf>
    <xf numFmtId="49" fontId="1" fillId="16" borderId="31" xfId="0" applyNumberFormat="1" applyFont="1" applyFill="1" applyBorder="1" applyAlignment="1">
      <alignment horizontal="center" vertical="top" wrapText="1"/>
    </xf>
    <xf numFmtId="49" fontId="1" fillId="16" borderId="84" xfId="0" applyNumberFormat="1" applyFont="1" applyFill="1" applyBorder="1" applyAlignment="1">
      <alignment horizontal="center" vertical="top" wrapText="1"/>
    </xf>
    <xf numFmtId="0" fontId="1" fillId="16" borderId="50" xfId="0" applyFont="1" applyFill="1" applyBorder="1" applyAlignment="1">
      <alignment horizontal="left" vertical="top" wrapText="1"/>
    </xf>
    <xf numFmtId="0" fontId="1" fillId="16" borderId="85" xfId="0" applyFont="1" applyFill="1" applyBorder="1" applyAlignment="1">
      <alignment horizontal="left" vertical="top" wrapText="1"/>
    </xf>
    <xf numFmtId="0" fontId="6" fillId="17" borderId="47" xfId="0" applyFont="1" applyFill="1" applyBorder="1" applyAlignment="1">
      <alignment horizontal="center" vertical="top" wrapText="1"/>
    </xf>
    <xf numFmtId="0" fontId="6" fillId="17" borderId="52" xfId="0" applyFont="1" applyFill="1" applyBorder="1" applyAlignment="1">
      <alignment horizontal="center" vertical="top" wrapText="1"/>
    </xf>
    <xf numFmtId="0" fontId="6" fillId="17" borderId="51" xfId="0" applyFont="1" applyFill="1" applyBorder="1" applyAlignment="1">
      <alignment horizontal="center" vertical="top" wrapText="1"/>
    </xf>
    <xf numFmtId="49" fontId="1" fillId="16" borderId="32" xfId="0" applyNumberFormat="1" applyFont="1" applyFill="1" applyBorder="1" applyAlignment="1">
      <alignment horizontal="center" vertical="top" wrapText="1"/>
    </xf>
    <xf numFmtId="0" fontId="1" fillId="16" borderId="86" xfId="0" applyFont="1" applyFill="1" applyBorder="1" applyAlignment="1">
      <alignment horizontal="left" vertical="top" wrapText="1"/>
    </xf>
    <xf numFmtId="0" fontId="6" fillId="0" borderId="47" xfId="0" applyFont="1" applyBorder="1" applyAlignment="1">
      <alignment vertical="top" wrapText="1"/>
    </xf>
    <xf numFmtId="0" fontId="6" fillId="0" borderId="51" xfId="0" applyFont="1" applyBorder="1" applyAlignment="1">
      <alignment vertical="top" wrapText="1"/>
    </xf>
    <xf numFmtId="0" fontId="6" fillId="0" borderId="52" xfId="0" applyFont="1" applyBorder="1" applyAlignment="1">
      <alignment vertical="top" wrapText="1"/>
    </xf>
    <xf numFmtId="0" fontId="4" fillId="16" borderId="86" xfId="0" applyFont="1" applyFill="1" applyBorder="1" applyAlignment="1">
      <alignment horizontal="left" vertical="top" wrapText="1"/>
    </xf>
    <xf numFmtId="0" fontId="4" fillId="16" borderId="50" xfId="0" applyFont="1" applyFill="1" applyBorder="1" applyAlignment="1">
      <alignment horizontal="left" vertical="top" wrapText="1"/>
    </xf>
    <xf numFmtId="0" fontId="4" fillId="16" borderId="85" xfId="0" applyFont="1" applyFill="1" applyBorder="1" applyAlignment="1">
      <alignment horizontal="left" vertical="top" wrapText="1"/>
    </xf>
    <xf numFmtId="0" fontId="6" fillId="16" borderId="86" xfId="0" applyFont="1" applyFill="1" applyBorder="1" applyAlignment="1">
      <alignment horizontal="left" vertical="top" wrapText="1"/>
    </xf>
    <xf numFmtId="0" fontId="6" fillId="16" borderId="50" xfId="0" applyFont="1" applyFill="1" applyBorder="1" applyAlignment="1">
      <alignment horizontal="left" vertical="top" wrapText="1"/>
    </xf>
    <xf numFmtId="0" fontId="6" fillId="16" borderId="85" xfId="0" applyFont="1" applyFill="1" applyBorder="1" applyAlignment="1">
      <alignment horizontal="left" vertical="top" wrapText="1"/>
    </xf>
    <xf numFmtId="0" fontId="1" fillId="16" borderId="32" xfId="0" applyFont="1" applyFill="1" applyBorder="1" applyAlignment="1">
      <alignment horizontal="center" vertical="top"/>
    </xf>
    <xf numFmtId="0" fontId="1" fillId="16" borderId="31" xfId="0" applyFont="1" applyFill="1" applyBorder="1" applyAlignment="1">
      <alignment horizontal="center" vertical="top"/>
    </xf>
    <xf numFmtId="0" fontId="1" fillId="16" borderId="84" xfId="0" applyFont="1" applyFill="1" applyBorder="1" applyAlignment="1">
      <alignment horizontal="center" vertical="top"/>
    </xf>
    <xf numFmtId="0" fontId="7" fillId="16" borderId="33" xfId="0" applyFont="1" applyFill="1" applyBorder="1" applyAlignment="1">
      <alignment horizontal="left" vertical="top" wrapText="1"/>
    </xf>
    <xf numFmtId="0" fontId="7" fillId="16" borderId="0" xfId="0" applyFont="1" applyFill="1" applyAlignment="1">
      <alignment horizontal="left" vertical="top" wrapText="1"/>
    </xf>
    <xf numFmtId="0" fontId="1" fillId="16" borderId="0" xfId="0" applyFont="1" applyFill="1" applyAlignment="1">
      <alignment horizontal="left" vertical="top" wrapText="1"/>
    </xf>
    <xf numFmtId="0" fontId="1" fillId="16" borderId="87" xfId="0" applyFont="1" applyFill="1" applyBorder="1" applyAlignment="1">
      <alignment horizontal="left" vertical="top" wrapText="1"/>
    </xf>
    <xf numFmtId="0" fontId="6" fillId="17" borderId="47" xfId="0" applyFont="1" applyFill="1" applyBorder="1" applyAlignment="1">
      <alignment horizontal="center" vertical="top"/>
    </xf>
    <xf numFmtId="0" fontId="6" fillId="17" borderId="52" xfId="0" applyFont="1" applyFill="1" applyBorder="1" applyAlignment="1">
      <alignment horizontal="center" vertical="top"/>
    </xf>
    <xf numFmtId="0" fontId="6" fillId="16" borderId="33" xfId="0" applyFont="1" applyFill="1" applyBorder="1" applyAlignment="1">
      <alignment horizontal="left" vertical="top" wrapText="1"/>
    </xf>
    <xf numFmtId="0" fontId="3" fillId="17" borderId="33" xfId="0" applyFont="1" applyFill="1" applyBorder="1" applyAlignment="1">
      <alignment horizontal="center" vertical="top"/>
    </xf>
    <xf numFmtId="0" fontId="3" fillId="17" borderId="0" xfId="0" applyFont="1" applyFill="1" applyBorder="1" applyAlignment="1">
      <alignment horizontal="center" vertical="top"/>
    </xf>
    <xf numFmtId="0" fontId="3" fillId="17" borderId="0" xfId="0" applyFont="1" applyFill="1" applyAlignment="1">
      <alignment horizontal="center" vertical="top"/>
    </xf>
    <xf numFmtId="0" fontId="3" fillId="17" borderId="89" xfId="0" applyFont="1" applyFill="1" applyBorder="1" applyAlignment="1">
      <alignment horizontal="center" vertical="top"/>
    </xf>
    <xf numFmtId="0" fontId="3" fillId="17" borderId="33" xfId="0" applyFont="1" applyFill="1" applyBorder="1" applyAlignment="1">
      <alignment horizontal="left" vertical="top" wrapText="1"/>
    </xf>
    <xf numFmtId="0" fontId="3" fillId="17" borderId="0" xfId="0" applyFont="1" applyFill="1" applyBorder="1" applyAlignment="1">
      <alignment horizontal="left" vertical="top" wrapText="1"/>
    </xf>
    <xf numFmtId="0" fontId="3" fillId="17" borderId="0" xfId="0" applyFont="1" applyFill="1" applyAlignment="1">
      <alignment horizontal="left" vertical="top" wrapText="1"/>
    </xf>
    <xf numFmtId="0" fontId="3" fillId="17" borderId="89" xfId="0" applyFont="1" applyFill="1" applyBorder="1" applyAlignment="1">
      <alignment horizontal="left" vertical="top" wrapText="1"/>
    </xf>
    <xf numFmtId="49" fontId="1" fillId="16" borderId="33" xfId="0" applyNumberFormat="1" applyFont="1" applyFill="1" applyBorder="1" applyAlignment="1">
      <alignment horizontal="center" vertical="top" wrapText="1"/>
    </xf>
    <xf numFmtId="49" fontId="1" fillId="16" borderId="0" xfId="0" applyNumberFormat="1" applyFont="1" applyFill="1" applyAlignment="1">
      <alignment horizontal="center" vertical="top" wrapText="1"/>
    </xf>
    <xf numFmtId="49" fontId="1" fillId="16" borderId="89" xfId="0" applyNumberFormat="1" applyFont="1" applyFill="1" applyBorder="1" applyAlignment="1">
      <alignment horizontal="center" vertical="top" wrapText="1"/>
    </xf>
    <xf numFmtId="0" fontId="1" fillId="16" borderId="90" xfId="0" applyFont="1" applyFill="1" applyBorder="1" applyAlignment="1">
      <alignment horizontal="left" vertical="top" wrapText="1"/>
    </xf>
    <xf numFmtId="0" fontId="5" fillId="7" borderId="0" xfId="0" applyFont="1" applyFill="1" applyAlignment="1">
      <alignment horizontal="center" vertical="top" wrapText="1"/>
    </xf>
    <xf numFmtId="0" fontId="3" fillId="18" borderId="10" xfId="0" applyFont="1" applyFill="1" applyBorder="1" applyAlignment="1">
      <alignment horizontal="center" vertical="top"/>
    </xf>
    <xf numFmtId="0" fontId="3" fillId="18" borderId="0" xfId="0" applyFont="1" applyFill="1" applyBorder="1" applyAlignment="1">
      <alignment horizontal="center" vertical="top"/>
    </xf>
    <xf numFmtId="0" fontId="3" fillId="18" borderId="0" xfId="0" applyFont="1" applyFill="1" applyAlignment="1">
      <alignment horizontal="center" vertical="top"/>
    </xf>
    <xf numFmtId="0" fontId="3" fillId="18" borderId="10" xfId="0" applyFont="1" applyFill="1" applyBorder="1" applyAlignment="1">
      <alignment horizontal="left" vertical="top" wrapText="1"/>
    </xf>
    <xf numFmtId="0" fontId="3" fillId="18" borderId="0" xfId="0" applyFont="1" applyFill="1" applyBorder="1" applyAlignment="1">
      <alignment horizontal="left" vertical="top" wrapText="1"/>
    </xf>
    <xf numFmtId="0" fontId="3" fillId="18" borderId="0" xfId="0" applyFont="1" applyFill="1" applyAlignment="1">
      <alignment horizontal="left" vertical="top" wrapText="1"/>
    </xf>
    <xf numFmtId="0" fontId="1" fillId="22" borderId="34" xfId="0" applyFont="1" applyFill="1" applyBorder="1" applyAlignment="1">
      <alignment horizontal="center" vertical="top" wrapText="1"/>
    </xf>
    <xf numFmtId="0" fontId="1" fillId="22" borderId="91" xfId="0" applyFont="1" applyFill="1" applyBorder="1" applyAlignment="1">
      <alignment horizontal="center" vertical="top" wrapText="1"/>
    </xf>
    <xf numFmtId="0" fontId="1" fillId="22" borderId="92" xfId="0" applyFont="1" applyFill="1" applyBorder="1" applyAlignment="1">
      <alignment horizontal="center" vertical="top" wrapText="1"/>
    </xf>
    <xf numFmtId="0" fontId="1" fillId="22" borderId="10" xfId="0" applyFont="1" applyFill="1" applyBorder="1" applyAlignment="1">
      <alignment horizontal="left" vertical="top" wrapText="1"/>
    </xf>
    <xf numFmtId="0" fontId="1" fillId="22" borderId="0" xfId="0" applyFont="1" applyFill="1" applyBorder="1" applyAlignment="1">
      <alignment horizontal="left" vertical="top" wrapText="1"/>
    </xf>
    <xf numFmtId="0" fontId="1" fillId="22" borderId="0" xfId="0" applyFont="1" applyFill="1" applyAlignment="1">
      <alignment horizontal="left" vertical="top" wrapText="1"/>
    </xf>
    <xf numFmtId="0" fontId="1" fillId="22" borderId="89" xfId="0" applyFont="1" applyFill="1" applyBorder="1" applyAlignment="1">
      <alignment horizontal="left" vertical="top" wrapText="1"/>
    </xf>
    <xf numFmtId="0" fontId="1" fillId="22" borderId="35" xfId="0" applyFont="1" applyFill="1" applyBorder="1" applyAlignment="1">
      <alignment horizontal="center" vertical="top" wrapText="1"/>
    </xf>
    <xf numFmtId="0" fontId="0" fillId="0" borderId="91" xfId="0" applyBorder="1" applyAlignment="1">
      <alignment horizontal="center" vertical="top" wrapText="1"/>
    </xf>
    <xf numFmtId="0" fontId="0" fillId="0" borderId="95" xfId="0" applyBorder="1" applyAlignment="1">
      <alignment horizontal="center" vertical="top" wrapText="1"/>
    </xf>
    <xf numFmtId="0" fontId="1" fillId="22" borderId="94" xfId="0" applyFont="1" applyFill="1" applyBorder="1" applyAlignment="1">
      <alignment horizontal="left" vertical="top" wrapText="1"/>
    </xf>
    <xf numFmtId="0" fontId="1" fillId="22" borderId="50" xfId="0" applyFont="1" applyFill="1" applyBorder="1" applyAlignment="1">
      <alignment horizontal="left" vertical="top" wrapText="1"/>
    </xf>
    <xf numFmtId="0" fontId="0" fillId="0" borderId="96" xfId="0" applyBorder="1" applyAlignment="1">
      <alignment horizontal="left" vertical="top" wrapText="1"/>
    </xf>
    <xf numFmtId="0" fontId="4" fillId="17" borderId="47" xfId="0" applyFont="1" applyFill="1" applyBorder="1" applyAlignment="1">
      <alignment vertical="top" wrapText="1"/>
    </xf>
    <xf numFmtId="0" fontId="4" fillId="17" borderId="51" xfId="0" applyFont="1" applyFill="1" applyBorder="1" applyAlignment="1">
      <alignment vertical="top" wrapText="1"/>
    </xf>
    <xf numFmtId="0" fontId="4" fillId="17" borderId="52" xfId="0" applyFont="1" applyFill="1" applyBorder="1" applyAlignment="1">
      <alignment vertical="top" wrapText="1"/>
    </xf>
    <xf numFmtId="0" fontId="1" fillId="22" borderId="97" xfId="0" applyFont="1" applyFill="1" applyBorder="1" applyAlignment="1">
      <alignment horizontal="left" vertical="top" wrapText="1"/>
    </xf>
    <xf numFmtId="0" fontId="1" fillId="0" borderId="52" xfId="0" applyFont="1" applyBorder="1" applyAlignment="1">
      <alignment horizontal="center" vertical="top" wrapText="1"/>
    </xf>
    <xf numFmtId="0" fontId="1" fillId="22" borderId="95" xfId="0" applyFont="1" applyFill="1" applyBorder="1" applyAlignment="1">
      <alignment horizontal="center" vertical="top" wrapText="1"/>
    </xf>
    <xf numFmtId="0" fontId="1" fillId="22" borderId="36" xfId="0" applyFont="1" applyFill="1" applyBorder="1" applyAlignment="1">
      <alignment horizontal="left" vertical="top" wrapText="1"/>
    </xf>
    <xf numFmtId="0" fontId="1" fillId="22" borderId="98" xfId="0" applyFont="1" applyFill="1" applyBorder="1" applyAlignment="1">
      <alignment horizontal="left" vertical="top" wrapText="1"/>
    </xf>
    <xf numFmtId="0" fontId="1" fillId="22" borderId="96" xfId="0" applyFont="1" applyFill="1" applyBorder="1" applyAlignment="1">
      <alignment horizontal="left" vertical="top" wrapText="1"/>
    </xf>
    <xf numFmtId="4" fontId="33" fillId="15" borderId="13" xfId="0" applyNumberFormat="1" applyFont="1" applyFill="1" applyBorder="1" applyAlignment="1">
      <alignment horizontal="left" vertical="top" wrapText="1"/>
    </xf>
    <xf numFmtId="0" fontId="33" fillId="16" borderId="13" xfId="0" applyFont="1" applyFill="1" applyBorder="1" applyAlignment="1">
      <alignment horizontal="left" vertical="top" wrapText="1"/>
    </xf>
    <xf numFmtId="9" fontId="33" fillId="16" borderId="13" xfId="0" applyNumberFormat="1" applyFont="1" applyFill="1" applyBorder="1" applyAlignment="1">
      <alignment horizontal="left" vertical="top" wrapText="1"/>
    </xf>
    <xf numFmtId="0" fontId="23" fillId="16" borderId="0" xfId="0" applyFont="1" applyFill="1"/>
    <xf numFmtId="0" fontId="33" fillId="30" borderId="13" xfId="0" applyFont="1" applyFill="1" applyBorder="1" applyAlignment="1">
      <alignment horizontal="left" vertical="top" wrapText="1"/>
    </xf>
    <xf numFmtId="9" fontId="33" fillId="30" borderId="13" xfId="0" applyNumberFormat="1" applyFont="1" applyFill="1" applyBorder="1" applyAlignment="1">
      <alignment horizontal="left" vertical="top" wrapText="1"/>
    </xf>
    <xf numFmtId="0" fontId="23" fillId="30" borderId="0" xfId="0" applyFont="1" applyFill="1"/>
    <xf numFmtId="0" fontId="20" fillId="26" borderId="0" xfId="0" applyFont="1" applyFill="1" applyBorder="1" applyAlignment="1">
      <alignment vertical="center" wrapText="1"/>
    </xf>
    <xf numFmtId="0" fontId="21" fillId="26" borderId="0" xfId="0" applyFont="1" applyFill="1" applyBorder="1" applyAlignment="1">
      <alignment vertical="center" wrapText="1"/>
    </xf>
    <xf numFmtId="0" fontId="15" fillId="26" borderId="0" xfId="0" applyFont="1" applyFill="1" applyBorder="1" applyAlignment="1">
      <alignment horizontal="center" vertical="center" wrapText="1"/>
    </xf>
    <xf numFmtId="0" fontId="14" fillId="26" borderId="0" xfId="0" applyFont="1" applyFill="1" applyBorder="1" applyAlignment="1">
      <alignment horizontal="center" vertical="center" wrapText="1"/>
    </xf>
    <xf numFmtId="0" fontId="15" fillId="26" borderId="0" xfId="0" applyFont="1" applyFill="1" applyBorder="1" applyAlignment="1">
      <alignment horizontal="left" vertical="center" wrapText="1"/>
    </xf>
    <xf numFmtId="0" fontId="15" fillId="26" borderId="0" xfId="0" applyFont="1" applyFill="1" applyBorder="1" applyAlignment="1">
      <alignment vertical="center" wrapText="1"/>
    </xf>
    <xf numFmtId="0" fontId="16" fillId="26" borderId="0" xfId="0" applyFont="1" applyFill="1" applyBorder="1" applyAlignment="1">
      <alignment vertical="top" wrapText="1"/>
    </xf>
    <xf numFmtId="165" fontId="16" fillId="26" borderId="0" xfId="0" applyNumberFormat="1" applyFont="1" applyFill="1" applyBorder="1" applyAlignment="1">
      <alignment vertical="top"/>
    </xf>
    <xf numFmtId="0" fontId="23" fillId="26" borderId="0" xfId="0" applyFont="1" applyFill="1" applyBorder="1"/>
    <xf numFmtId="0" fontId="20" fillId="26" borderId="0" xfId="0" applyFont="1" applyFill="1" applyBorder="1" applyAlignment="1">
      <alignment horizontal="left" vertical="center" wrapText="1"/>
    </xf>
    <xf numFmtId="0" fontId="14" fillId="26" borderId="0" xfId="0" applyFont="1" applyFill="1" applyBorder="1" applyAlignment="1">
      <alignment vertical="center" wrapText="1"/>
    </xf>
    <xf numFmtId="0" fontId="22" fillId="26" borderId="0" xfId="0" applyFont="1" applyFill="1" applyBorder="1" applyAlignment="1">
      <alignment vertical="center" wrapText="1"/>
    </xf>
    <xf numFmtId="8" fontId="20" fillId="26" borderId="0" xfId="0" applyNumberFormat="1" applyFont="1" applyFill="1" applyBorder="1" applyAlignment="1">
      <alignment vertical="center"/>
    </xf>
    <xf numFmtId="8" fontId="20" fillId="26" borderId="0" xfId="0" applyNumberFormat="1" applyFont="1" applyFill="1" applyBorder="1" applyAlignment="1">
      <alignment horizontal="center" vertical="center"/>
    </xf>
    <xf numFmtId="0" fontId="17" fillId="26" borderId="0" xfId="0" applyFont="1" applyFill="1" applyBorder="1"/>
    <xf numFmtId="0" fontId="0" fillId="26" borderId="0" xfId="0" applyFill="1" applyBorder="1"/>
    <xf numFmtId="0" fontId="17" fillId="26" borderId="0" xfId="0" applyFont="1" applyFill="1" applyBorder="1" applyAlignment="1"/>
    <xf numFmtId="0" fontId="35" fillId="15" borderId="13" xfId="0" applyFont="1" applyFill="1" applyBorder="1" applyAlignment="1">
      <alignment horizontal="left" vertical="top" wrapText="1"/>
    </xf>
    <xf numFmtId="0" fontId="35" fillId="9" borderId="13" xfId="0" applyFont="1" applyFill="1" applyBorder="1" applyAlignment="1">
      <alignment horizontal="left" vertical="top" wrapText="1"/>
    </xf>
    <xf numFmtId="9" fontId="35" fillId="9" borderId="13" xfId="0" applyNumberFormat="1" applyFont="1" applyFill="1" applyBorder="1" applyAlignment="1">
      <alignment horizontal="left" vertical="top" wrapText="1"/>
    </xf>
    <xf numFmtId="0" fontId="35" fillId="20" borderId="13" xfId="0" applyFont="1" applyFill="1" applyBorder="1" applyAlignment="1">
      <alignment horizontal="left" vertical="top" wrapText="1"/>
    </xf>
    <xf numFmtId="9" fontId="35" fillId="20" borderId="13" xfId="0" applyNumberFormat="1" applyFont="1" applyFill="1" applyBorder="1" applyAlignment="1">
      <alignment horizontal="left" vertical="top" wrapText="1"/>
    </xf>
    <xf numFmtId="0" fontId="17" fillId="20" borderId="13" xfId="0" applyFont="1" applyFill="1" applyBorder="1" applyAlignment="1">
      <alignment horizontal="left" vertical="top" wrapText="1"/>
    </xf>
    <xf numFmtId="9" fontId="17" fillId="20" borderId="13" xfId="0" applyNumberFormat="1" applyFont="1" applyFill="1" applyBorder="1" applyAlignment="1">
      <alignment horizontal="left" vertical="top" wrapText="1"/>
    </xf>
    <xf numFmtId="9" fontId="35" fillId="15" borderId="13" xfId="0" applyNumberFormat="1" applyFont="1" applyFill="1" applyBorder="1" applyAlignment="1">
      <alignment horizontal="left" vertical="top" wrapText="1"/>
    </xf>
    <xf numFmtId="0" fontId="34" fillId="31" borderId="99" xfId="0" applyFont="1" applyFill="1" applyBorder="1"/>
    <xf numFmtId="0" fontId="34" fillId="31" borderId="100" xfId="0" applyFont="1" applyFill="1" applyBorder="1"/>
    <xf numFmtId="49" fontId="0" fillId="0" borderId="0" xfId="0" applyNumberFormat="1"/>
    <xf numFmtId="0" fontId="14" fillId="32" borderId="40" xfId="0" applyFont="1" applyFill="1" applyBorder="1" applyAlignment="1">
      <alignment vertical="center" wrapText="1"/>
    </xf>
  </cellXfs>
  <cellStyles count="2">
    <cellStyle name="Coma" xfId="1" builtinId="3"/>
    <cellStyle name="Normal" xfId="0" builtinId="0"/>
  </cellStyles>
  <dxfs count="33">
    <dxf>
      <font>
        <color rgb="FF9C0006"/>
      </font>
      <fill>
        <patternFill>
          <bgColor rgb="FFFFC7CE"/>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scheme val="minor"/>
      </font>
      <fill>
        <patternFill patternType="solid">
          <fgColor theme="4"/>
          <bgColor theme="4"/>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17/04476/PN_ALT%20PIRINEU/5_Patrimoni_natural/JOSEP/Programa%20actuacions%20del%20Pla%20Estrategic%20PNAP2026%20v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17/04476/PN_ALT%20PIRINEU/1.%20Direccio/1.02%20Programa%20d'actuaci&#243;%20i%20pressupost%20anual/2025/C&#242;pia%20de%20Programa%20actuacions%20del%20Pla%20Estrategic%20PNAP%202025_JP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17/04476/PN_ALT%20PIRINEU/1.%20Direccio/1.02%20Programa%20d'actuaci&#243;%20i%20pressupost%20anual/2025/Programa%20actuacions%20del%20Pla%20Estrategic%20PNAP%202025-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17/04476/PN_ALT%20PIRINEU/1.%20Direccio/1.04%20Planificaci&#243;/Pla%20Estrategic/Definitiu%202025-2028/Pla%20Estrategic%20ENP%202025-2028_Alt%20Pirineu_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17/04476/PN_ALT%20PIRINEU/1.%20Direccio/1.04%20Planificaci&#243;/Pla%20Estrategic/Model%20Pla%20Estrategic%20ENP_v2024_Alt%20Pirineu%20v2%20-%20N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s"/>
      <sheetName val="PROGRAMA ANUAL"/>
      <sheetName val="PLA ESTRATÈGIC"/>
      <sheetName val="Partides RAE"/>
      <sheetName val="Lliste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s"/>
      <sheetName val="PROGRAMA ANUAL"/>
      <sheetName val="PLA ESTRATÈGIC"/>
      <sheetName val="Lliste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s"/>
      <sheetName val="PROGRAMA ANUAL"/>
      <sheetName val="PLA ESTRATÈGIC"/>
      <sheetName val="Lliste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416822-57E4-4DEB-8DC8-C9FE60D82202}" name="EspaiNatural" displayName="EspaiNatural" ref="A1:B15" totalsRowShown="0" headerRowDxfId="32" headerRowBorderDxfId="30" tableBorderDxfId="31">
  <autoFilter ref="A1:B15" xr:uid="{41416822-57E4-4DEB-8DC8-C9FE60D82202}"/>
  <tableColumns count="2">
    <tableColumn id="1" xr3:uid="{2C75E0D8-A80B-4025-A236-CEDB1B2BCCD6}" name="Espai natural" dataDxfId="29"/>
    <tableColumn id="2" xr3:uid="{A2ECA1BC-D40C-42B0-B5BA-2DF2AA4641D0}" name="Referència Tau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DB3B1A-140C-4466-ACB7-CE7B9A2970A9}" name="ALB" displayName="ALB" ref="D1:D4" totalsRowShown="0" headerRowDxfId="28">
  <autoFilter ref="D1:D4" xr:uid="{E7DB3B1A-140C-4466-ACB7-CE7B9A2970A9}"/>
  <tableColumns count="1">
    <tableColumn id="1" xr3:uid="{457CA5F1-D166-4D53-93A8-523CFCD1033A}" name="Paratge Natural d'Interès Nacional de l'Albera"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73B01D-CB58-4CDE-BACD-197A61634CC9}" name="POB" displayName="POB" ref="E1:E7" totalsRowShown="0" headerRowDxfId="26">
  <autoFilter ref="E1:E7" xr:uid="{C873B01D-CB58-4CDE-BACD-197A61634CC9}"/>
  <tableColumns count="1">
    <tableColumn id="1" xr3:uid="{034E72B7-A473-4CBD-A76B-5B669C0062B8}" name="Paratge Natural d'Interès Nacional de Poblet"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DF77B-1449-414E-A19C-40C7B445D841}" name="AES" displayName="AES" ref="F1:F21" totalsRowShown="0" headerRowDxfId="24">
  <autoFilter ref="F1:F21" xr:uid="{3B4DF77B-1449-414E-A19C-40C7B445D841}"/>
  <tableColumns count="1">
    <tableColumn id="1" xr3:uid="{95DD1A23-57EA-4EB0-8DC6-CFCCED78A7F1}" name="Parc Nacional d'Aigüestortes i Estany de Sant Maurici"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F3AD02-41E8-4811-977D-968378FB1777}" name="CRE" displayName="CRE" ref="G1:G9" totalsRowShown="0" headerRowDxfId="22">
  <autoFilter ref="G1:G9" xr:uid="{1BF3AD02-41E8-4811-977D-968378FB1777}"/>
  <tableColumns count="1">
    <tableColumn id="1" xr3:uid="{D9B6BD78-467A-461C-AAD6-00A128126162}" name="Parc Natural de Cap de Creus"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9C1FF8-BDAE-43C7-8905-A7063EC48149}" name="MON" displayName="MON" ref="H1:H9" totalsRowShown="0" headerRowDxfId="20">
  <autoFilter ref="H1:H9" xr:uid="{BC9C1FF8-BDAE-43C7-8905-A7063EC48149}"/>
  <tableColumns count="1">
    <tableColumn id="1" xr3:uid="{DEFFE98D-A8F8-4457-BE7F-49D3DA74FDE7}" name="Parc Natural de la Serra de Montsant" dataDxf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2E2CC8-2CA5-4EC0-BED8-B90B51874011}" name="ZVG" displayName="ZVG" ref="I1:I15" totalsRowShown="0" headerRowDxfId="18">
  <autoFilter ref="I1:I15" xr:uid="{502E2CC8-2CA5-4EC0-BED8-B90B51874011}"/>
  <tableColumns count="1">
    <tableColumn id="1" xr3:uid="{842A5BBC-6A7B-4F1B-8D6E-2DCC7495693B}" name="Parc Natural de la Zona Volcànica de la Garrotxa" dataDxfId="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E556E2-A9B7-4669-9354-E8602A475EB0}" name="API" displayName="API" ref="J1:J16" totalsRowShown="0" headerRowDxfId="16">
  <autoFilter ref="J1:J16" xr:uid="{CCE556E2-A9B7-4669-9354-E8602A475EB0}"/>
  <tableColumns count="1">
    <tableColumn id="1" xr3:uid="{4D569433-6AB7-49E0-AF4F-B43CEDAF849B}" name="Parc Natural de l'Alt Pirineu" dataDxfId="1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00759A-EA84-4CEC-A1BE-CE41453C1AA7}" name="TFR" displayName="TFR" ref="K1:K6" totalsRowShown="0" headerRowDxfId="14">
  <autoFilter ref="K1:K6" xr:uid="{E600759A-EA84-4CEC-A1BE-CE41453C1AA7}"/>
  <tableColumns count="1">
    <tableColumn id="1" xr3:uid="{990A9BFD-AF52-408A-BD91-F6E3EE0517E2}" name="Parc Natural de les Capçaleres del Ter i el Freser" dataDxfId="1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5D24B6F-A9AE-4A2E-A8CA-309AFC204121}" name="CMO" displayName="CMO" ref="L1:L10" totalsRowShown="0" headerRowDxfId="12">
  <autoFilter ref="L1:L10" xr:uid="{B5D24B6F-A9AE-4A2E-A8CA-309AFC204121}"/>
  <tableColumns count="1">
    <tableColumn id="1" xr3:uid="{8ABF7452-9AD5-484B-A422-D04B797458F6}" name="Parc Natural del Cadí-Moixeró" dataDxfId="1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F84B695-DC9B-426D-9B84-1BFD419852B0}" name="DEB" displayName="DEB" ref="M1:M15" totalsRowShown="0" headerRowDxfId="10">
  <autoFilter ref="M1:M15" xr:uid="{0F84B695-DC9B-426D-9B84-1BFD419852B0}"/>
  <tableColumns count="1">
    <tableColumn id="1" xr3:uid="{FC3A61C6-59A4-45CB-BFAE-C281A7B0A1E8}" name="Parc Natural del Delta de l'Ebre" dataDxfId="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FCA72A-F8B4-4B15-8E18-AAAC61984A1B}" name="MMB" displayName="MMB" ref="N1:N9" totalsRowShown="0" headerRowDxfId="8">
  <autoFilter ref="N1:N9" xr:uid="{FCFCA72A-F8B4-4B15-8E18-AAAC61984A1B}"/>
  <tableColumns count="1">
    <tableColumn id="1" xr3:uid="{5D1A4280-555F-4A1F-83A4-39732010C3F3}" name="Parc Natural del Montgrí, les Illes Medes i el Baix Ter" dataDxfId="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08B5D5A-6E41-40E7-A07E-81DEC319AC1B}" name="AEM" displayName="AEM" ref="O1:O13" totalsRowShown="0" headerRowDxfId="6">
  <autoFilter ref="O1:O13" xr:uid="{508B5D5A-6E41-40E7-A07E-81DEC319AC1B}"/>
  <tableColumns count="1">
    <tableColumn id="1" xr3:uid="{43318F3C-6BAB-44A8-99AA-22231B35874F}" name="Parc Natural dels Aiguamolls de l'Empordà"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D572712-B75B-4BC8-9AB6-C6517FFB63BD}" name="POR" displayName="POR" ref="P1:P13" totalsRowShown="0" headerRowDxfId="4">
  <autoFilter ref="P1:P13" xr:uid="{5D572712-B75B-4BC8-9AB6-C6517FFB63BD}"/>
  <tableColumns count="1">
    <tableColumn id="1" xr3:uid="{87C9392A-FAB4-4D03-B2B1-2E65D34F726E}" name="Parc Natural dels Ports" dataDxfId="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320EC91-5029-413C-97F0-93AEEAED18E3}" name="SEC" displayName="SEC" ref="Q1:Q8" totalsRowShown="0" headerRowDxfId="2">
  <autoFilter ref="Q1:Q8" xr:uid="{8320EC91-5029-413C-97F0-93AEEAED18E3}"/>
  <tableColumns count="1">
    <tableColumn id="1" xr3:uid="{3CF09931-A039-41C9-9F4E-FB1BDFF6C739}" name="Secans de Lleida"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topLeftCell="A3" workbookViewId="0">
      <selection activeCell="D14" sqref="D14"/>
    </sheetView>
  </sheetViews>
  <sheetFormatPr defaultRowHeight="15"/>
  <cols>
    <col min="1" max="1" width="19.42578125" style="44" customWidth="1"/>
    <col min="2" max="2" width="95.7109375" style="44" customWidth="1"/>
  </cols>
  <sheetData>
    <row r="2" spans="1:2" ht="30">
      <c r="A2" s="45" t="s">
        <v>579</v>
      </c>
      <c r="B2" s="46" t="s">
        <v>620</v>
      </c>
    </row>
    <row r="3" spans="1:2">
      <c r="A3" s="45" t="s">
        <v>749</v>
      </c>
      <c r="B3" s="46" t="s">
        <v>748</v>
      </c>
    </row>
    <row r="4" spans="1:2" ht="30">
      <c r="A4" s="45" t="s">
        <v>580</v>
      </c>
      <c r="B4" s="46" t="s">
        <v>585</v>
      </c>
    </row>
    <row r="5" spans="1:2">
      <c r="A5" s="45" t="s">
        <v>581</v>
      </c>
      <c r="B5" s="46" t="s">
        <v>586</v>
      </c>
    </row>
    <row r="6" spans="1:2" ht="30">
      <c r="A6" s="45" t="s">
        <v>582</v>
      </c>
      <c r="B6" s="46" t="s">
        <v>587</v>
      </c>
    </row>
    <row r="7" spans="1:2">
      <c r="A7" s="45" t="s">
        <v>594</v>
      </c>
      <c r="B7" s="46" t="s">
        <v>595</v>
      </c>
    </row>
    <row r="8" spans="1:2" ht="30">
      <c r="A8" s="45" t="s">
        <v>746</v>
      </c>
      <c r="B8" s="46" t="s">
        <v>747</v>
      </c>
    </row>
    <row r="9" spans="1:2" ht="30">
      <c r="A9" s="45" t="s">
        <v>583</v>
      </c>
      <c r="B9" s="46" t="s">
        <v>588</v>
      </c>
    </row>
    <row r="10" spans="1:2">
      <c r="A10" s="45" t="s">
        <v>592</v>
      </c>
      <c r="B10" s="46" t="s">
        <v>593</v>
      </c>
    </row>
    <row r="11" spans="1:2" ht="75">
      <c r="A11" s="45" t="s">
        <v>584</v>
      </c>
      <c r="B11" s="46" t="s">
        <v>590</v>
      </c>
    </row>
    <row r="14" spans="1:2" ht="105">
      <c r="A14" s="47" t="s">
        <v>591</v>
      </c>
      <c r="B14" s="46" t="s">
        <v>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N385"/>
  <sheetViews>
    <sheetView tabSelected="1" topLeftCell="C331" zoomScale="80" zoomScaleNormal="80" workbookViewId="0">
      <selection activeCell="N345" sqref="N345"/>
    </sheetView>
  </sheetViews>
  <sheetFormatPr defaultRowHeight="15"/>
  <cols>
    <col min="3" max="3" width="49.28515625" customWidth="1"/>
    <col min="4" max="4" width="27.42578125" customWidth="1"/>
    <col min="5" max="5" width="31.140625" customWidth="1"/>
    <col min="6" max="6" width="20.42578125" style="54" customWidth="1"/>
    <col min="7" max="7" width="26.5703125" customWidth="1"/>
    <col min="8" max="8" width="20.42578125" customWidth="1"/>
    <col min="9" max="9" width="38.42578125" customWidth="1"/>
    <col min="10" max="10" width="12.140625" customWidth="1"/>
    <col min="11" max="11" width="23" customWidth="1"/>
    <col min="12" max="12" width="26.5703125" customWidth="1"/>
    <col min="13" max="13" width="20" customWidth="1"/>
    <col min="14" max="14" width="21.7109375" customWidth="1"/>
  </cols>
  <sheetData>
    <row r="1" spans="1:14">
      <c r="C1" s="42" t="s">
        <v>605</v>
      </c>
      <c r="D1" s="41"/>
      <c r="E1" s="41"/>
      <c r="F1" s="53"/>
      <c r="G1" s="41"/>
      <c r="I1" s="57"/>
    </row>
    <row r="2" spans="1:14" ht="15.75" thickBot="1"/>
    <row r="3" spans="1:14" s="61" customFormat="1" ht="38.25">
      <c r="A3" s="50" t="s">
        <v>439</v>
      </c>
      <c r="B3" s="56" t="s">
        <v>607</v>
      </c>
      <c r="C3" s="51" t="s">
        <v>562</v>
      </c>
      <c r="D3" s="52" t="s">
        <v>563</v>
      </c>
      <c r="E3" s="52" t="s">
        <v>564</v>
      </c>
      <c r="F3" s="58" t="s">
        <v>604</v>
      </c>
      <c r="G3" s="52" t="s">
        <v>621</v>
      </c>
      <c r="H3" s="59" t="s">
        <v>612</v>
      </c>
      <c r="I3" s="52" t="s">
        <v>566</v>
      </c>
      <c r="J3" s="55" t="s">
        <v>3</v>
      </c>
      <c r="K3" s="59" t="s">
        <v>565</v>
      </c>
      <c r="L3" s="60" t="s">
        <v>578</v>
      </c>
      <c r="M3" s="60" t="s">
        <v>1982</v>
      </c>
      <c r="N3" s="60" t="s">
        <v>1983</v>
      </c>
    </row>
    <row r="4" spans="1:14" s="61" customFormat="1" ht="72">
      <c r="A4" s="220" t="s">
        <v>1673</v>
      </c>
      <c r="B4" s="220"/>
      <c r="C4" s="220" t="s">
        <v>2467</v>
      </c>
      <c r="D4" s="220" t="s">
        <v>7</v>
      </c>
      <c r="E4" s="220"/>
      <c r="F4" s="220" t="s">
        <v>597</v>
      </c>
      <c r="G4" s="220" t="s">
        <v>624</v>
      </c>
      <c r="H4" s="220"/>
      <c r="I4" s="220" t="s">
        <v>616</v>
      </c>
      <c r="J4" s="220">
        <v>30000</v>
      </c>
      <c r="K4" s="222">
        <v>0.2</v>
      </c>
      <c r="L4" s="220" t="s">
        <v>1746</v>
      </c>
      <c r="M4" s="222" t="s">
        <v>2075</v>
      </c>
      <c r="N4" s="222" t="s">
        <v>790</v>
      </c>
    </row>
    <row r="5" spans="1:14" s="61" customFormat="1" ht="60">
      <c r="A5" s="220" t="s">
        <v>2152</v>
      </c>
      <c r="B5" s="220"/>
      <c r="C5" s="220" t="s">
        <v>2468</v>
      </c>
      <c r="D5" s="220" t="s">
        <v>7</v>
      </c>
      <c r="E5" s="220"/>
      <c r="F5" s="220" t="s">
        <v>597</v>
      </c>
      <c r="G5" s="220" t="s">
        <v>624</v>
      </c>
      <c r="H5" s="220"/>
      <c r="I5" s="220" t="s">
        <v>617</v>
      </c>
      <c r="J5" s="220">
        <v>30000</v>
      </c>
      <c r="K5" s="222">
        <v>0.2</v>
      </c>
      <c r="L5" s="220" t="s">
        <v>1747</v>
      </c>
      <c r="M5" s="222" t="s">
        <v>2075</v>
      </c>
      <c r="N5" s="222" t="s">
        <v>790</v>
      </c>
    </row>
    <row r="6" spans="1:14" s="61" customFormat="1" ht="72">
      <c r="A6" s="220" t="s">
        <v>2153</v>
      </c>
      <c r="B6" s="220"/>
      <c r="C6" s="220" t="s">
        <v>2469</v>
      </c>
      <c r="D6" s="220" t="s">
        <v>7</v>
      </c>
      <c r="E6" s="220" t="s">
        <v>1768</v>
      </c>
      <c r="F6" s="220" t="s">
        <v>597</v>
      </c>
      <c r="G6" s="220" t="s">
        <v>624</v>
      </c>
      <c r="H6" s="220"/>
      <c r="I6" s="220" t="s">
        <v>573</v>
      </c>
      <c r="J6" s="220">
        <v>30000</v>
      </c>
      <c r="K6" s="222">
        <v>0.2</v>
      </c>
      <c r="L6" s="220" t="s">
        <v>1747</v>
      </c>
      <c r="M6" s="222" t="s">
        <v>2048</v>
      </c>
      <c r="N6" s="222" t="s">
        <v>790</v>
      </c>
    </row>
    <row r="7" spans="1:14" s="61" customFormat="1" ht="72">
      <c r="A7" s="220" t="s">
        <v>2154</v>
      </c>
      <c r="B7" s="220"/>
      <c r="C7" s="220" t="s">
        <v>1773</v>
      </c>
      <c r="D7" s="220" t="s">
        <v>7</v>
      </c>
      <c r="E7" s="220"/>
      <c r="F7" s="220" t="s">
        <v>597</v>
      </c>
      <c r="G7" s="220" t="s">
        <v>609</v>
      </c>
      <c r="H7" s="220"/>
      <c r="I7" s="220" t="s">
        <v>573</v>
      </c>
      <c r="J7" s="220">
        <f>724445.66*0.05</f>
        <v>36222.283000000003</v>
      </c>
      <c r="K7" s="222"/>
      <c r="L7" s="220" t="s">
        <v>1754</v>
      </c>
      <c r="M7" s="222" t="s">
        <v>2048</v>
      </c>
      <c r="N7" s="222" t="s">
        <v>790</v>
      </c>
    </row>
    <row r="8" spans="1:14" s="61" customFormat="1" ht="71.25" customHeight="1">
      <c r="A8" s="220" t="s">
        <v>1674</v>
      </c>
      <c r="B8" s="220">
        <v>6</v>
      </c>
      <c r="C8" s="220" t="s">
        <v>1772</v>
      </c>
      <c r="D8" s="220" t="s">
        <v>7</v>
      </c>
      <c r="E8" s="220"/>
      <c r="F8" s="220" t="s">
        <v>597</v>
      </c>
      <c r="G8" s="220" t="s">
        <v>621</v>
      </c>
      <c r="H8" s="220" t="s">
        <v>642</v>
      </c>
      <c r="I8" s="220" t="s">
        <v>617</v>
      </c>
      <c r="J8" s="220">
        <v>4560</v>
      </c>
      <c r="K8" s="222">
        <v>0.1</v>
      </c>
      <c r="L8" s="220"/>
      <c r="M8" s="222" t="s">
        <v>2149</v>
      </c>
      <c r="N8" s="222" t="s">
        <v>790</v>
      </c>
    </row>
    <row r="9" spans="1:14" s="61" customFormat="1" ht="60">
      <c r="A9" s="220" t="s">
        <v>1675</v>
      </c>
      <c r="B9" s="220"/>
      <c r="C9" s="220" t="s">
        <v>1753</v>
      </c>
      <c r="D9" s="220" t="s">
        <v>7</v>
      </c>
      <c r="E9" s="220"/>
      <c r="F9" s="220" t="s">
        <v>597</v>
      </c>
      <c r="G9" s="220" t="s">
        <v>609</v>
      </c>
      <c r="H9" s="220"/>
      <c r="I9" s="220" t="s">
        <v>615</v>
      </c>
      <c r="J9" s="220">
        <f>724445.66*0.05</f>
        <v>36222.283000000003</v>
      </c>
      <c r="K9" s="222">
        <v>0.2</v>
      </c>
      <c r="L9" s="220" t="s">
        <v>1754</v>
      </c>
      <c r="M9" s="222" t="s">
        <v>2147</v>
      </c>
      <c r="N9" s="222" t="s">
        <v>790</v>
      </c>
    </row>
    <row r="10" spans="1:14" s="61" customFormat="1" ht="60">
      <c r="A10" s="220" t="s">
        <v>2155</v>
      </c>
      <c r="B10" s="220"/>
      <c r="C10" s="220" t="s">
        <v>2470</v>
      </c>
      <c r="D10" s="220" t="s">
        <v>7</v>
      </c>
      <c r="E10" s="220"/>
      <c r="F10" s="220" t="s">
        <v>597</v>
      </c>
      <c r="G10" s="220" t="s">
        <v>622</v>
      </c>
      <c r="H10" s="220"/>
      <c r="I10" s="220" t="s">
        <v>615</v>
      </c>
      <c r="J10" s="220">
        <v>18128.580000000002</v>
      </c>
      <c r="K10" s="222"/>
      <c r="L10" s="220"/>
      <c r="M10" s="222" t="s">
        <v>2149</v>
      </c>
      <c r="N10" s="222" t="s">
        <v>790</v>
      </c>
    </row>
    <row r="11" spans="1:14" s="61" customFormat="1" ht="48">
      <c r="A11" s="220" t="s">
        <v>1676</v>
      </c>
      <c r="B11" s="220"/>
      <c r="C11" s="220" t="s">
        <v>1748</v>
      </c>
      <c r="D11" s="220" t="s">
        <v>7</v>
      </c>
      <c r="E11" s="220"/>
      <c r="F11" s="220" t="s">
        <v>597</v>
      </c>
      <c r="G11" s="220" t="s">
        <v>609</v>
      </c>
      <c r="H11" s="220"/>
      <c r="I11" s="220" t="s">
        <v>617</v>
      </c>
      <c r="J11" s="220">
        <v>100000</v>
      </c>
      <c r="K11" s="222">
        <v>0.25</v>
      </c>
      <c r="L11" s="220" t="s">
        <v>1749</v>
      </c>
      <c r="M11" s="222" t="s">
        <v>2149</v>
      </c>
      <c r="N11" s="222" t="s">
        <v>790</v>
      </c>
    </row>
    <row r="12" spans="1:14" s="61" customFormat="1" ht="56.25" customHeight="1">
      <c r="A12" s="220" t="s">
        <v>1677</v>
      </c>
      <c r="B12" s="220"/>
      <c r="C12" s="220" t="s">
        <v>1750</v>
      </c>
      <c r="D12" s="220" t="s">
        <v>7</v>
      </c>
      <c r="E12" s="220"/>
      <c r="F12" s="220" t="s">
        <v>597</v>
      </c>
      <c r="G12" s="220" t="s">
        <v>609</v>
      </c>
      <c r="H12" s="220"/>
      <c r="I12" s="220" t="s">
        <v>617</v>
      </c>
      <c r="J12" s="220">
        <v>100000</v>
      </c>
      <c r="K12" s="222">
        <v>0.25</v>
      </c>
      <c r="L12" s="220" t="s">
        <v>1751</v>
      </c>
      <c r="M12" s="222" t="s">
        <v>2075</v>
      </c>
      <c r="N12" s="222" t="s">
        <v>790</v>
      </c>
    </row>
    <row r="13" spans="1:14" s="61" customFormat="1" ht="56.25" customHeight="1">
      <c r="A13" s="220" t="s">
        <v>1678</v>
      </c>
      <c r="B13" s="220"/>
      <c r="C13" s="505" t="s">
        <v>1972</v>
      </c>
      <c r="D13" s="505" t="s">
        <v>7</v>
      </c>
      <c r="E13" s="505"/>
      <c r="F13" s="505" t="s">
        <v>597</v>
      </c>
      <c r="G13" s="505" t="s">
        <v>622</v>
      </c>
      <c r="H13" s="505"/>
      <c r="I13" s="505" t="s">
        <v>570</v>
      </c>
      <c r="J13" s="505">
        <v>6824.4</v>
      </c>
      <c r="K13" s="506">
        <v>0.25</v>
      </c>
      <c r="L13" s="220"/>
      <c r="M13" s="222" t="s">
        <v>2107</v>
      </c>
      <c r="N13" s="222" t="s">
        <v>790</v>
      </c>
    </row>
    <row r="14" spans="1:14" s="61" customFormat="1" ht="66" customHeight="1">
      <c r="A14" s="220" t="s">
        <v>1679</v>
      </c>
      <c r="B14" s="220"/>
      <c r="C14" s="505" t="s">
        <v>1976</v>
      </c>
      <c r="D14" s="505" t="s">
        <v>7</v>
      </c>
      <c r="E14" s="505"/>
      <c r="F14" s="505" t="s">
        <v>597</v>
      </c>
      <c r="G14" s="505" t="s">
        <v>622</v>
      </c>
      <c r="H14" s="505"/>
      <c r="I14" s="505" t="s">
        <v>570</v>
      </c>
      <c r="J14" s="505">
        <v>17859.599999999999</v>
      </c>
      <c r="K14" s="506">
        <v>0.25</v>
      </c>
      <c r="L14" s="220"/>
      <c r="M14" s="222" t="s">
        <v>2147</v>
      </c>
      <c r="N14" s="222" t="s">
        <v>790</v>
      </c>
    </row>
    <row r="15" spans="1:14" s="61" customFormat="1" ht="56.25" customHeight="1">
      <c r="A15" s="220" t="s">
        <v>1680</v>
      </c>
      <c r="B15" s="220"/>
      <c r="C15" s="505" t="s">
        <v>1975</v>
      </c>
      <c r="D15" s="505" t="s">
        <v>7</v>
      </c>
      <c r="E15" s="505"/>
      <c r="F15" s="505" t="s">
        <v>597</v>
      </c>
      <c r="G15" s="505" t="s">
        <v>622</v>
      </c>
      <c r="H15" s="505"/>
      <c r="I15" s="505" t="s">
        <v>570</v>
      </c>
      <c r="J15" s="505">
        <v>12021.68</v>
      </c>
      <c r="K15" s="506">
        <v>0.25</v>
      </c>
      <c r="L15" s="220"/>
      <c r="M15" s="222" t="s">
        <v>2147</v>
      </c>
      <c r="N15" s="222" t="s">
        <v>790</v>
      </c>
    </row>
    <row r="16" spans="1:14" s="62" customFormat="1" ht="36">
      <c r="A16" s="220" t="s">
        <v>1681</v>
      </c>
      <c r="B16" s="220"/>
      <c r="C16" s="220" t="s">
        <v>1745</v>
      </c>
      <c r="D16" s="220" t="s">
        <v>7</v>
      </c>
      <c r="E16" s="220"/>
      <c r="F16" s="220" t="s">
        <v>606</v>
      </c>
      <c r="G16" s="220" t="s">
        <v>589</v>
      </c>
      <c r="H16" s="220"/>
      <c r="I16" s="220" t="s">
        <v>567</v>
      </c>
      <c r="J16" s="220"/>
      <c r="K16" s="222">
        <v>0.25</v>
      </c>
      <c r="L16" s="220" t="s">
        <v>1744</v>
      </c>
      <c r="M16" s="222" t="s">
        <v>2075</v>
      </c>
      <c r="N16" s="222" t="s">
        <v>790</v>
      </c>
    </row>
    <row r="17" spans="1:14" s="62" customFormat="1" ht="60">
      <c r="A17" s="220" t="s">
        <v>2156</v>
      </c>
      <c r="B17" s="220">
        <v>68</v>
      </c>
      <c r="C17" s="220" t="s">
        <v>1752</v>
      </c>
      <c r="D17" s="220" t="s">
        <v>7</v>
      </c>
      <c r="E17" s="220" t="s">
        <v>37</v>
      </c>
      <c r="F17" s="220" t="s">
        <v>606</v>
      </c>
      <c r="G17" s="220" t="s">
        <v>621</v>
      </c>
      <c r="H17" s="220" t="s">
        <v>690</v>
      </c>
      <c r="I17" s="220" t="s">
        <v>567</v>
      </c>
      <c r="J17" s="220">
        <v>18150</v>
      </c>
      <c r="K17" s="222">
        <v>0.25</v>
      </c>
      <c r="L17" s="220"/>
      <c r="M17" s="222" t="s">
        <v>2107</v>
      </c>
      <c r="N17" s="222" t="s">
        <v>763</v>
      </c>
    </row>
    <row r="18" spans="1:14" s="63" customFormat="1" ht="48">
      <c r="A18" s="220" t="s">
        <v>1682</v>
      </c>
      <c r="B18" s="220"/>
      <c r="C18" s="220" t="s">
        <v>799</v>
      </c>
      <c r="D18" s="220" t="s">
        <v>14</v>
      </c>
      <c r="E18" s="220"/>
      <c r="F18" s="220" t="s">
        <v>606</v>
      </c>
      <c r="G18" s="220" t="s">
        <v>589</v>
      </c>
      <c r="H18" s="220"/>
      <c r="I18" s="220" t="s">
        <v>618</v>
      </c>
      <c r="J18" s="220"/>
      <c r="K18" s="222">
        <v>0.25</v>
      </c>
      <c r="L18" s="220"/>
      <c r="M18" s="222" t="s">
        <v>2150</v>
      </c>
      <c r="N18" s="222" t="s">
        <v>763</v>
      </c>
    </row>
    <row r="19" spans="1:14" s="63" customFormat="1" ht="36">
      <c r="A19" s="220" t="s">
        <v>1683</v>
      </c>
      <c r="B19" s="220"/>
      <c r="C19" s="220" t="s">
        <v>797</v>
      </c>
      <c r="D19" s="220" t="s">
        <v>14</v>
      </c>
      <c r="E19" s="220"/>
      <c r="F19" s="220" t="s">
        <v>606</v>
      </c>
      <c r="G19" s="220" t="s">
        <v>589</v>
      </c>
      <c r="H19" s="220"/>
      <c r="I19" s="220" t="s">
        <v>576</v>
      </c>
      <c r="J19" s="220"/>
      <c r="K19" s="222">
        <v>0.25</v>
      </c>
      <c r="L19" s="220" t="s">
        <v>1755</v>
      </c>
      <c r="M19" s="222" t="s">
        <v>2075</v>
      </c>
      <c r="N19" s="222" t="s">
        <v>763</v>
      </c>
    </row>
    <row r="20" spans="1:14" s="63" customFormat="1" ht="48">
      <c r="A20" s="220" t="s">
        <v>1684</v>
      </c>
      <c r="B20" s="220"/>
      <c r="C20" s="220" t="s">
        <v>1695</v>
      </c>
      <c r="D20" s="220" t="s">
        <v>14</v>
      </c>
      <c r="E20" s="220"/>
      <c r="F20" s="220" t="s">
        <v>606</v>
      </c>
      <c r="G20" s="220" t="s">
        <v>589</v>
      </c>
      <c r="H20" s="220"/>
      <c r="I20" s="220" t="s">
        <v>567</v>
      </c>
      <c r="J20" s="220"/>
      <c r="K20" s="222">
        <v>0.25</v>
      </c>
      <c r="L20" s="220" t="s">
        <v>1755</v>
      </c>
      <c r="M20" s="222" t="s">
        <v>2149</v>
      </c>
      <c r="N20" s="222" t="s">
        <v>763</v>
      </c>
    </row>
    <row r="21" spans="1:14" s="63" customFormat="1" ht="48">
      <c r="A21" s="220" t="s">
        <v>1685</v>
      </c>
      <c r="B21" s="220"/>
      <c r="C21" s="220" t="s">
        <v>1696</v>
      </c>
      <c r="D21" s="220" t="s">
        <v>16</v>
      </c>
      <c r="E21" s="220"/>
      <c r="F21" s="220" t="s">
        <v>606</v>
      </c>
      <c r="G21" s="220" t="s">
        <v>609</v>
      </c>
      <c r="H21" s="220"/>
      <c r="I21" s="220" t="s">
        <v>617</v>
      </c>
      <c r="J21" s="220"/>
      <c r="K21" s="222">
        <v>0.25</v>
      </c>
      <c r="L21" s="220" t="s">
        <v>1756</v>
      </c>
      <c r="M21" s="222" t="s">
        <v>2147</v>
      </c>
      <c r="N21" s="222" t="s">
        <v>790</v>
      </c>
    </row>
    <row r="22" spans="1:14" s="63" customFormat="1" ht="48">
      <c r="A22" s="220" t="s">
        <v>1686</v>
      </c>
      <c r="B22" s="220"/>
      <c r="C22" s="220" t="s">
        <v>1697</v>
      </c>
      <c r="D22" s="220" t="s">
        <v>16</v>
      </c>
      <c r="E22" s="220"/>
      <c r="F22" s="220" t="s">
        <v>606</v>
      </c>
      <c r="G22" s="220" t="s">
        <v>609</v>
      </c>
      <c r="H22" s="220"/>
      <c r="I22" s="220" t="s">
        <v>617</v>
      </c>
      <c r="J22" s="220"/>
      <c r="K22" s="222">
        <v>0.25</v>
      </c>
      <c r="L22" s="220" t="s">
        <v>1756</v>
      </c>
      <c r="M22" s="222" t="s">
        <v>2147</v>
      </c>
      <c r="N22" s="222" t="s">
        <v>790</v>
      </c>
    </row>
    <row r="23" spans="1:14" s="63" customFormat="1" ht="48">
      <c r="A23" s="220" t="s">
        <v>1687</v>
      </c>
      <c r="B23" s="220"/>
      <c r="C23" s="220" t="s">
        <v>1698</v>
      </c>
      <c r="D23" s="220" t="s">
        <v>16</v>
      </c>
      <c r="E23" s="220"/>
      <c r="F23" s="220" t="s">
        <v>606</v>
      </c>
      <c r="G23" s="220" t="s">
        <v>609</v>
      </c>
      <c r="H23" s="220"/>
      <c r="I23" s="220" t="s">
        <v>573</v>
      </c>
      <c r="J23" s="220"/>
      <c r="K23" s="222">
        <v>0.25</v>
      </c>
      <c r="L23" s="220" t="s">
        <v>1756</v>
      </c>
      <c r="M23" s="222" t="s">
        <v>2147</v>
      </c>
      <c r="N23" s="222" t="s">
        <v>790</v>
      </c>
    </row>
    <row r="24" spans="1:14" s="63" customFormat="1" ht="48">
      <c r="A24" s="220" t="s">
        <v>1688</v>
      </c>
      <c r="B24" s="220"/>
      <c r="C24" s="220" t="s">
        <v>1708</v>
      </c>
      <c r="D24" s="220" t="s">
        <v>16</v>
      </c>
      <c r="E24" s="220"/>
      <c r="F24" s="220" t="s">
        <v>606</v>
      </c>
      <c r="G24" s="220" t="s">
        <v>609</v>
      </c>
      <c r="H24" s="220"/>
      <c r="I24" s="220" t="s">
        <v>617</v>
      </c>
      <c r="J24" s="220">
        <v>18000</v>
      </c>
      <c r="K24" s="222">
        <v>0.25</v>
      </c>
      <c r="L24" s="220" t="s">
        <v>1757</v>
      </c>
      <c r="M24" s="222" t="s">
        <v>2147</v>
      </c>
      <c r="N24" s="222" t="s">
        <v>790</v>
      </c>
    </row>
    <row r="25" spans="1:14" s="63" customFormat="1" ht="39" customHeight="1">
      <c r="A25" s="220" t="s">
        <v>2157</v>
      </c>
      <c r="B25" s="220">
        <v>89</v>
      </c>
      <c r="C25" s="220" t="s">
        <v>1758</v>
      </c>
      <c r="D25" s="220" t="s">
        <v>18</v>
      </c>
      <c r="E25" s="220"/>
      <c r="F25" s="220" t="s">
        <v>597</v>
      </c>
      <c r="G25" s="220" t="s">
        <v>621</v>
      </c>
      <c r="H25" s="220" t="s">
        <v>692</v>
      </c>
      <c r="I25" s="220" t="s">
        <v>567</v>
      </c>
      <c r="J25" s="220">
        <v>3000</v>
      </c>
      <c r="K25" s="222">
        <v>0.5</v>
      </c>
      <c r="L25" s="220" t="s">
        <v>1759</v>
      </c>
      <c r="M25" s="222" t="s">
        <v>2075</v>
      </c>
      <c r="N25" s="222" t="s">
        <v>790</v>
      </c>
    </row>
    <row r="26" spans="1:14" s="63" customFormat="1" ht="52.5" customHeight="1">
      <c r="A26" s="220" t="s">
        <v>1689</v>
      </c>
      <c r="B26" s="220">
        <v>123</v>
      </c>
      <c r="C26" s="220" t="s">
        <v>1760</v>
      </c>
      <c r="D26" s="220" t="s">
        <v>20</v>
      </c>
      <c r="E26" s="220"/>
      <c r="F26" s="220" t="s">
        <v>606</v>
      </c>
      <c r="G26" s="220" t="s">
        <v>621</v>
      </c>
      <c r="H26" s="220" t="s">
        <v>692</v>
      </c>
      <c r="I26" s="220" t="s">
        <v>617</v>
      </c>
      <c r="J26" s="220">
        <v>5500</v>
      </c>
      <c r="K26" s="222">
        <v>0.25</v>
      </c>
      <c r="L26" s="220"/>
      <c r="M26" s="222" t="s">
        <v>2150</v>
      </c>
      <c r="N26" s="222" t="s">
        <v>790</v>
      </c>
    </row>
    <row r="27" spans="1:14" s="63" customFormat="1" ht="54" customHeight="1">
      <c r="A27" s="220" t="s">
        <v>1690</v>
      </c>
      <c r="B27" s="220"/>
      <c r="C27" s="220" t="s">
        <v>1699</v>
      </c>
      <c r="D27" s="220" t="s">
        <v>20</v>
      </c>
      <c r="E27" s="220"/>
      <c r="F27" s="220" t="s">
        <v>606</v>
      </c>
      <c r="G27" s="220" t="s">
        <v>628</v>
      </c>
      <c r="H27" s="220"/>
      <c r="I27" s="220" t="s">
        <v>573</v>
      </c>
      <c r="J27" s="220"/>
      <c r="K27" s="222">
        <v>0.5</v>
      </c>
      <c r="L27" s="220" t="s">
        <v>1742</v>
      </c>
      <c r="M27" s="222" t="s">
        <v>2048</v>
      </c>
      <c r="N27" s="222" t="s">
        <v>790</v>
      </c>
    </row>
    <row r="28" spans="1:14" s="63" customFormat="1" ht="68.25" customHeight="1">
      <c r="A28" s="220" t="s">
        <v>1691</v>
      </c>
      <c r="B28" s="220"/>
      <c r="C28" s="220" t="s">
        <v>1666</v>
      </c>
      <c r="D28" s="220" t="s">
        <v>24</v>
      </c>
      <c r="E28" s="220"/>
      <c r="F28" s="220" t="s">
        <v>606</v>
      </c>
      <c r="G28" s="220" t="s">
        <v>589</v>
      </c>
      <c r="H28" s="220"/>
      <c r="I28" s="220" t="s">
        <v>567</v>
      </c>
      <c r="J28" s="220"/>
      <c r="K28" s="222"/>
      <c r="L28" s="220" t="s">
        <v>1761</v>
      </c>
      <c r="M28" s="222" t="s">
        <v>2075</v>
      </c>
      <c r="N28" s="222" t="s">
        <v>790</v>
      </c>
    </row>
    <row r="29" spans="1:14" s="63" customFormat="1" ht="24">
      <c r="A29" s="220" t="s">
        <v>1692</v>
      </c>
      <c r="B29" s="220"/>
      <c r="C29" s="220" t="s">
        <v>1667</v>
      </c>
      <c r="D29" s="220" t="s">
        <v>24</v>
      </c>
      <c r="E29" s="220" t="s">
        <v>1771</v>
      </c>
      <c r="F29" s="220" t="s">
        <v>606</v>
      </c>
      <c r="G29" s="220" t="s">
        <v>609</v>
      </c>
      <c r="H29" s="220"/>
      <c r="I29" s="220" t="s">
        <v>567</v>
      </c>
      <c r="J29" s="220"/>
      <c r="K29" s="222"/>
      <c r="L29" s="220" t="s">
        <v>1709</v>
      </c>
      <c r="M29" s="222" t="s">
        <v>2134</v>
      </c>
      <c r="N29" s="222" t="s">
        <v>790</v>
      </c>
    </row>
    <row r="30" spans="1:14" s="63" customFormat="1" ht="48">
      <c r="A30" s="220" t="s">
        <v>1693</v>
      </c>
      <c r="B30" s="220">
        <v>147</v>
      </c>
      <c r="C30" s="220" t="s">
        <v>1762</v>
      </c>
      <c r="D30" s="220" t="s">
        <v>25</v>
      </c>
      <c r="E30" s="220" t="s">
        <v>1701</v>
      </c>
      <c r="F30" s="220" t="s">
        <v>606</v>
      </c>
      <c r="G30" s="220" t="s">
        <v>621</v>
      </c>
      <c r="H30" s="220" t="s">
        <v>690</v>
      </c>
      <c r="I30" s="220" t="s">
        <v>569</v>
      </c>
      <c r="J30" s="220">
        <v>1500</v>
      </c>
      <c r="K30" s="222">
        <v>0.25</v>
      </c>
      <c r="L30" s="220" t="s">
        <v>1710</v>
      </c>
      <c r="M30" s="222" t="s">
        <v>2134</v>
      </c>
      <c r="N30" s="222" t="s">
        <v>763</v>
      </c>
    </row>
    <row r="31" spans="1:14" s="63" customFormat="1" ht="67.5" customHeight="1">
      <c r="A31" s="220" t="s">
        <v>1694</v>
      </c>
      <c r="B31" s="220"/>
      <c r="C31" s="220" t="s">
        <v>827</v>
      </c>
      <c r="D31" s="220" t="s">
        <v>26</v>
      </c>
      <c r="E31" s="220"/>
      <c r="F31" s="220" t="s">
        <v>606</v>
      </c>
      <c r="G31" s="220" t="s">
        <v>589</v>
      </c>
      <c r="H31" s="220"/>
      <c r="I31" s="220" t="s">
        <v>572</v>
      </c>
      <c r="J31" s="220"/>
      <c r="K31" s="222"/>
      <c r="L31" s="220" t="s">
        <v>1766</v>
      </c>
      <c r="M31" s="222" t="s">
        <v>2150</v>
      </c>
      <c r="N31" s="222" t="s">
        <v>763</v>
      </c>
    </row>
    <row r="32" spans="1:14" s="63" customFormat="1" ht="42.75" customHeight="1">
      <c r="A32" s="220" t="s">
        <v>1703</v>
      </c>
      <c r="B32" s="220"/>
      <c r="C32" s="220" t="s">
        <v>1764</v>
      </c>
      <c r="D32" s="220" t="s">
        <v>26</v>
      </c>
      <c r="E32" s="220"/>
      <c r="F32" s="220" t="s">
        <v>606</v>
      </c>
      <c r="G32" s="220" t="s">
        <v>622</v>
      </c>
      <c r="H32" s="220"/>
      <c r="I32" s="220" t="s">
        <v>572</v>
      </c>
      <c r="J32" s="220">
        <v>9000</v>
      </c>
      <c r="K32" s="222">
        <v>0.33</v>
      </c>
      <c r="L32" s="220" t="s">
        <v>1763</v>
      </c>
      <c r="M32" s="222" t="s">
        <v>2147</v>
      </c>
      <c r="N32" s="222" t="s">
        <v>790</v>
      </c>
    </row>
    <row r="33" spans="1:14" s="63" customFormat="1" ht="36">
      <c r="A33" s="220" t="s">
        <v>1704</v>
      </c>
      <c r="B33" s="220"/>
      <c r="C33" s="220" t="s">
        <v>834</v>
      </c>
      <c r="D33" s="220" t="s">
        <v>26</v>
      </c>
      <c r="E33" s="220"/>
      <c r="F33" s="220" t="s">
        <v>606</v>
      </c>
      <c r="G33" s="220" t="s">
        <v>589</v>
      </c>
      <c r="H33" s="220"/>
      <c r="I33" s="220" t="s">
        <v>572</v>
      </c>
      <c r="J33" s="220"/>
      <c r="K33" s="222">
        <v>1</v>
      </c>
      <c r="L33" s="220" t="s">
        <v>1711</v>
      </c>
      <c r="M33" s="222" t="s">
        <v>2134</v>
      </c>
      <c r="N33" s="222" t="s">
        <v>790</v>
      </c>
    </row>
    <row r="34" spans="1:14" s="63" customFormat="1" ht="48">
      <c r="A34" s="220" t="s">
        <v>1705</v>
      </c>
      <c r="B34" s="220"/>
      <c r="C34" s="220" t="s">
        <v>829</v>
      </c>
      <c r="D34" s="220" t="s">
        <v>26</v>
      </c>
      <c r="E34" s="220"/>
      <c r="F34" s="220" t="s">
        <v>606</v>
      </c>
      <c r="G34" s="220" t="s">
        <v>589</v>
      </c>
      <c r="H34" s="220"/>
      <c r="I34" s="220" t="s">
        <v>572</v>
      </c>
      <c r="J34" s="220"/>
      <c r="K34" s="222">
        <v>0.5</v>
      </c>
      <c r="L34" s="220" t="s">
        <v>1765</v>
      </c>
      <c r="M34" s="222" t="s">
        <v>2150</v>
      </c>
      <c r="N34" s="222" t="s">
        <v>763</v>
      </c>
    </row>
    <row r="35" spans="1:14" s="63" customFormat="1" ht="24">
      <c r="A35" s="220" t="s">
        <v>1706</v>
      </c>
      <c r="B35" s="220"/>
      <c r="C35" s="220" t="s">
        <v>1700</v>
      </c>
      <c r="D35" s="220" t="s">
        <v>27</v>
      </c>
      <c r="E35" s="220"/>
      <c r="F35" s="220" t="s">
        <v>606</v>
      </c>
      <c r="G35" s="220" t="s">
        <v>589</v>
      </c>
      <c r="H35" s="220"/>
      <c r="I35" s="220" t="s">
        <v>567</v>
      </c>
      <c r="J35" s="220"/>
      <c r="K35" s="222">
        <v>0.25</v>
      </c>
      <c r="L35" s="220" t="s">
        <v>1719</v>
      </c>
      <c r="M35" s="222" t="s">
        <v>2048</v>
      </c>
      <c r="N35" s="222" t="s">
        <v>763</v>
      </c>
    </row>
    <row r="36" spans="1:14" s="63" customFormat="1" ht="33.75" customHeight="1">
      <c r="A36" s="220" t="s">
        <v>1707</v>
      </c>
      <c r="B36" s="220"/>
      <c r="C36" s="220" t="s">
        <v>1668</v>
      </c>
      <c r="D36" s="220" t="s">
        <v>41</v>
      </c>
      <c r="E36" s="220"/>
      <c r="F36" s="220" t="s">
        <v>606</v>
      </c>
      <c r="G36" s="220" t="s">
        <v>589</v>
      </c>
      <c r="H36" s="220"/>
      <c r="I36" s="220" t="s">
        <v>573</v>
      </c>
      <c r="J36" s="220"/>
      <c r="K36" s="222">
        <v>0.25</v>
      </c>
      <c r="L36" s="220" t="s">
        <v>1767</v>
      </c>
      <c r="M36" s="222" t="s">
        <v>2075</v>
      </c>
      <c r="N36" s="222" t="s">
        <v>763</v>
      </c>
    </row>
    <row r="37" spans="1:14" s="63" customFormat="1" ht="36">
      <c r="A37" s="220" t="s">
        <v>2158</v>
      </c>
      <c r="B37" s="220"/>
      <c r="C37" s="220" t="s">
        <v>1669</v>
      </c>
      <c r="D37" s="220" t="s">
        <v>41</v>
      </c>
      <c r="E37" s="220"/>
      <c r="F37" s="220" t="s">
        <v>606</v>
      </c>
      <c r="G37" s="220" t="s">
        <v>589</v>
      </c>
      <c r="H37" s="220"/>
      <c r="I37" s="220" t="s">
        <v>573</v>
      </c>
      <c r="J37" s="220"/>
      <c r="K37" s="222">
        <v>0.25</v>
      </c>
      <c r="L37" s="220" t="s">
        <v>1719</v>
      </c>
      <c r="M37" s="222" t="s">
        <v>2147</v>
      </c>
      <c r="N37" s="222" t="s">
        <v>763</v>
      </c>
    </row>
    <row r="38" spans="1:14" s="63" customFormat="1" ht="36">
      <c r="A38" s="220" t="s">
        <v>2159</v>
      </c>
      <c r="B38" s="220"/>
      <c r="C38" s="220" t="s">
        <v>874</v>
      </c>
      <c r="D38" s="220" t="s">
        <v>43</v>
      </c>
      <c r="E38" s="220"/>
      <c r="F38" s="220" t="s">
        <v>606</v>
      </c>
      <c r="G38" s="220" t="s">
        <v>589</v>
      </c>
      <c r="H38" s="220"/>
      <c r="I38" s="220" t="s">
        <v>573</v>
      </c>
      <c r="J38" s="220"/>
      <c r="K38" s="222">
        <v>0.25</v>
      </c>
      <c r="L38" s="220" t="s">
        <v>1719</v>
      </c>
      <c r="M38" s="222" t="s">
        <v>2147</v>
      </c>
      <c r="N38" s="222" t="s">
        <v>763</v>
      </c>
    </row>
    <row r="39" spans="1:14" s="63" customFormat="1" ht="36">
      <c r="A39" s="220" t="s">
        <v>2160</v>
      </c>
      <c r="B39" s="220"/>
      <c r="C39" s="220" t="s">
        <v>1769</v>
      </c>
      <c r="D39" s="220" t="s">
        <v>46</v>
      </c>
      <c r="E39" s="220" t="s">
        <v>1702</v>
      </c>
      <c r="F39" s="220" t="s">
        <v>606</v>
      </c>
      <c r="G39" s="220" t="s">
        <v>589</v>
      </c>
      <c r="H39" s="220"/>
      <c r="I39" s="220" t="s">
        <v>567</v>
      </c>
      <c r="J39" s="220"/>
      <c r="K39" s="222">
        <v>0.4</v>
      </c>
      <c r="L39" s="220" t="s">
        <v>1712</v>
      </c>
      <c r="M39" s="222" t="s">
        <v>2075</v>
      </c>
      <c r="N39" s="222" t="s">
        <v>790</v>
      </c>
    </row>
    <row r="40" spans="1:14" s="63" customFormat="1" ht="36">
      <c r="A40" s="220" t="s">
        <v>2161</v>
      </c>
      <c r="B40" s="220"/>
      <c r="C40" s="220" t="s">
        <v>1670</v>
      </c>
      <c r="D40" s="220" t="s">
        <v>50</v>
      </c>
      <c r="E40" s="220" t="s">
        <v>304</v>
      </c>
      <c r="F40" s="220" t="s">
        <v>606</v>
      </c>
      <c r="G40" s="220" t="s">
        <v>609</v>
      </c>
      <c r="H40" s="220"/>
      <c r="I40" s="220" t="s">
        <v>573</v>
      </c>
      <c r="J40" s="220"/>
      <c r="K40" s="222">
        <v>0.25</v>
      </c>
      <c r="L40" s="220" t="s">
        <v>1770</v>
      </c>
      <c r="M40" s="222" t="s">
        <v>2147</v>
      </c>
      <c r="N40" s="222" t="s">
        <v>763</v>
      </c>
    </row>
    <row r="41" spans="1:14" s="63" customFormat="1" ht="60">
      <c r="A41" s="220" t="s">
        <v>2162</v>
      </c>
      <c r="B41" s="220"/>
      <c r="C41" s="505" t="s">
        <v>1978</v>
      </c>
      <c r="D41" s="505" t="s">
        <v>50</v>
      </c>
      <c r="E41" s="505" t="s">
        <v>304</v>
      </c>
      <c r="F41" s="505" t="s">
        <v>606</v>
      </c>
      <c r="G41" s="505" t="s">
        <v>622</v>
      </c>
      <c r="H41" s="505"/>
      <c r="I41" s="505" t="s">
        <v>572</v>
      </c>
      <c r="J41" s="505">
        <v>39359.019999999997</v>
      </c>
      <c r="K41" s="506">
        <v>0.4</v>
      </c>
      <c r="L41" s="505" t="s">
        <v>1713</v>
      </c>
      <c r="M41" s="222" t="s">
        <v>2147</v>
      </c>
      <c r="N41" s="222" t="s">
        <v>790</v>
      </c>
    </row>
    <row r="42" spans="1:14" s="63" customFormat="1" ht="38.25" customHeight="1">
      <c r="A42" s="220" t="s">
        <v>2163</v>
      </c>
      <c r="B42" s="220">
        <v>108</v>
      </c>
      <c r="C42" s="220" t="s">
        <v>1966</v>
      </c>
      <c r="D42" s="220" t="s">
        <v>50</v>
      </c>
      <c r="E42" s="220"/>
      <c r="F42" s="220" t="s">
        <v>597</v>
      </c>
      <c r="G42" s="220" t="s">
        <v>621</v>
      </c>
      <c r="H42" s="220" t="s">
        <v>1881</v>
      </c>
      <c r="I42" s="220" t="s">
        <v>572</v>
      </c>
      <c r="J42" s="220">
        <v>2500</v>
      </c>
      <c r="K42" s="222">
        <v>0.25</v>
      </c>
      <c r="L42" s="220"/>
      <c r="M42" s="222" t="s">
        <v>2147</v>
      </c>
      <c r="N42" s="222" t="s">
        <v>790</v>
      </c>
    </row>
    <row r="43" spans="1:14" s="63" customFormat="1" ht="24">
      <c r="A43" s="220" t="s">
        <v>2164</v>
      </c>
      <c r="B43" s="220"/>
      <c r="C43" s="220" t="s">
        <v>1671</v>
      </c>
      <c r="D43" s="220" t="s">
        <v>54</v>
      </c>
      <c r="E43" s="220"/>
      <c r="F43" s="220" t="s">
        <v>606</v>
      </c>
      <c r="G43" s="220" t="s">
        <v>589</v>
      </c>
      <c r="H43" s="220"/>
      <c r="I43" s="220" t="s">
        <v>567</v>
      </c>
      <c r="J43" s="220"/>
      <c r="K43" s="222">
        <v>0.25</v>
      </c>
      <c r="L43" s="220" t="s">
        <v>1714</v>
      </c>
      <c r="M43" s="222" t="s">
        <v>2075</v>
      </c>
      <c r="N43" s="222" t="s">
        <v>763</v>
      </c>
    </row>
    <row r="44" spans="1:14" s="63" customFormat="1" ht="36">
      <c r="A44" s="220" t="s">
        <v>2165</v>
      </c>
      <c r="B44" s="220"/>
      <c r="C44" s="220" t="s">
        <v>885</v>
      </c>
      <c r="D44" s="220" t="s">
        <v>56</v>
      </c>
      <c r="E44" s="220"/>
      <c r="F44" s="220" t="s">
        <v>606</v>
      </c>
      <c r="G44" s="220" t="s">
        <v>589</v>
      </c>
      <c r="H44" s="220"/>
      <c r="I44" s="220" t="s">
        <v>614</v>
      </c>
      <c r="J44" s="220"/>
      <c r="K44" s="222">
        <v>0.25</v>
      </c>
      <c r="L44" s="220" t="s">
        <v>1714</v>
      </c>
      <c r="M44" s="222" t="s">
        <v>2048</v>
      </c>
      <c r="N44" s="222" t="s">
        <v>763</v>
      </c>
    </row>
    <row r="45" spans="1:14" s="63" customFormat="1" ht="24">
      <c r="A45" s="220" t="s">
        <v>2166</v>
      </c>
      <c r="B45" s="220"/>
      <c r="C45" s="220" t="s">
        <v>908</v>
      </c>
      <c r="D45" s="220" t="s">
        <v>64</v>
      </c>
      <c r="E45" s="220"/>
      <c r="F45" s="220" t="s">
        <v>606</v>
      </c>
      <c r="G45" s="220" t="s">
        <v>589</v>
      </c>
      <c r="H45" s="220"/>
      <c r="I45" s="220" t="s">
        <v>614</v>
      </c>
      <c r="J45" s="220"/>
      <c r="K45" s="222">
        <v>0.25</v>
      </c>
      <c r="L45" s="220" t="s">
        <v>1714</v>
      </c>
      <c r="M45" s="222" t="s">
        <v>2075</v>
      </c>
      <c r="N45" s="222" t="s">
        <v>763</v>
      </c>
    </row>
    <row r="46" spans="1:14" s="63" customFormat="1" ht="12">
      <c r="A46" s="220" t="s">
        <v>2167</v>
      </c>
      <c r="B46" s="220"/>
      <c r="C46" s="220" t="s">
        <v>898</v>
      </c>
      <c r="D46" s="220" t="s">
        <v>64</v>
      </c>
      <c r="E46" s="220"/>
      <c r="F46" s="220" t="s">
        <v>606</v>
      </c>
      <c r="G46" s="220" t="s">
        <v>589</v>
      </c>
      <c r="H46" s="220"/>
      <c r="I46" s="220" t="s">
        <v>614</v>
      </c>
      <c r="J46" s="220"/>
      <c r="K46" s="222">
        <v>0.25</v>
      </c>
      <c r="L46" s="220" t="s">
        <v>1714</v>
      </c>
      <c r="M46" s="222" t="s">
        <v>2075</v>
      </c>
      <c r="N46" s="222" t="s">
        <v>763</v>
      </c>
    </row>
    <row r="47" spans="1:14" s="63" customFormat="1" ht="24">
      <c r="A47" s="220" t="s">
        <v>2168</v>
      </c>
      <c r="B47" s="220"/>
      <c r="C47" s="220" t="s">
        <v>1672</v>
      </c>
      <c r="D47" s="220" t="s">
        <v>64</v>
      </c>
      <c r="E47" s="220"/>
      <c r="F47" s="220" t="s">
        <v>606</v>
      </c>
      <c r="G47" s="220" t="s">
        <v>589</v>
      </c>
      <c r="H47" s="220"/>
      <c r="I47" s="220" t="s">
        <v>614</v>
      </c>
      <c r="J47" s="220"/>
      <c r="K47" s="222">
        <v>0.25</v>
      </c>
      <c r="L47" s="220" t="s">
        <v>1714</v>
      </c>
      <c r="M47" s="222" t="s">
        <v>2134</v>
      </c>
      <c r="N47" s="222" t="s">
        <v>763</v>
      </c>
    </row>
    <row r="48" spans="1:14" s="63" customFormat="1" ht="36" customHeight="1">
      <c r="A48" s="220" t="s">
        <v>2169</v>
      </c>
      <c r="B48" s="220"/>
      <c r="C48" s="220" t="s">
        <v>1774</v>
      </c>
      <c r="D48" s="220" t="s">
        <v>68</v>
      </c>
      <c r="E48" s="220"/>
      <c r="F48" s="220" t="s">
        <v>606</v>
      </c>
      <c r="G48" s="220" t="s">
        <v>589</v>
      </c>
      <c r="H48" s="220"/>
      <c r="I48" s="220" t="s">
        <v>614</v>
      </c>
      <c r="J48" s="220"/>
      <c r="K48" s="222">
        <v>0.25</v>
      </c>
      <c r="L48" s="220" t="s">
        <v>1714</v>
      </c>
      <c r="M48" s="222" t="s">
        <v>2075</v>
      </c>
      <c r="N48" s="222" t="s">
        <v>763</v>
      </c>
    </row>
    <row r="49" spans="1:14" s="63" customFormat="1" ht="33.75" customHeight="1">
      <c r="A49" s="220" t="s">
        <v>2170</v>
      </c>
      <c r="B49" s="220">
        <v>62</v>
      </c>
      <c r="C49" s="220" t="s">
        <v>1775</v>
      </c>
      <c r="D49" s="220" t="s">
        <v>73</v>
      </c>
      <c r="E49" s="220"/>
      <c r="F49" s="220" t="s">
        <v>606</v>
      </c>
      <c r="G49" s="220" t="s">
        <v>589</v>
      </c>
      <c r="H49" s="220" t="s">
        <v>690</v>
      </c>
      <c r="I49" s="220" t="s">
        <v>569</v>
      </c>
      <c r="J49" s="220">
        <v>2300</v>
      </c>
      <c r="K49" s="222">
        <v>1</v>
      </c>
      <c r="L49" s="220"/>
      <c r="M49" s="222" t="s">
        <v>2075</v>
      </c>
      <c r="N49" s="222" t="s">
        <v>763</v>
      </c>
    </row>
    <row r="50" spans="1:14" s="63" customFormat="1" ht="45" customHeight="1">
      <c r="A50" s="221" t="s">
        <v>2171</v>
      </c>
      <c r="B50" s="221">
        <v>63</v>
      </c>
      <c r="C50" s="221" t="s">
        <v>916</v>
      </c>
      <c r="D50" s="221" t="s">
        <v>80</v>
      </c>
      <c r="E50" s="221"/>
      <c r="F50" s="221" t="s">
        <v>598</v>
      </c>
      <c r="G50" s="221" t="s">
        <v>621</v>
      </c>
      <c r="H50" s="221" t="s">
        <v>690</v>
      </c>
      <c r="I50" s="221" t="s">
        <v>569</v>
      </c>
      <c r="J50" s="221">
        <v>8000</v>
      </c>
      <c r="K50" s="223">
        <v>0.25</v>
      </c>
      <c r="L50" s="221"/>
      <c r="M50" s="223" t="s">
        <v>2075</v>
      </c>
      <c r="N50" s="221" t="s">
        <v>763</v>
      </c>
    </row>
    <row r="51" spans="1:14" s="63" customFormat="1" ht="41.25" customHeight="1">
      <c r="A51" s="221" t="s">
        <v>2172</v>
      </c>
      <c r="B51" s="221">
        <v>150</v>
      </c>
      <c r="C51" s="221" t="s">
        <v>1776</v>
      </c>
      <c r="D51" s="221" t="s">
        <v>80</v>
      </c>
      <c r="E51" s="221"/>
      <c r="F51" s="221" t="s">
        <v>598</v>
      </c>
      <c r="G51" s="221" t="s">
        <v>621</v>
      </c>
      <c r="H51" s="221" t="s">
        <v>690</v>
      </c>
      <c r="I51" s="221" t="s">
        <v>569</v>
      </c>
      <c r="J51" s="221">
        <v>18500</v>
      </c>
      <c r="K51" s="223">
        <v>0.25</v>
      </c>
      <c r="L51" s="221"/>
      <c r="M51" s="223" t="s">
        <v>2075</v>
      </c>
      <c r="N51" s="221" t="s">
        <v>790</v>
      </c>
    </row>
    <row r="52" spans="1:14" s="63" customFormat="1" ht="39" customHeight="1">
      <c r="A52" s="221" t="s">
        <v>2173</v>
      </c>
      <c r="B52" s="221"/>
      <c r="C52" s="221" t="s">
        <v>1777</v>
      </c>
      <c r="D52" s="221" t="s">
        <v>80</v>
      </c>
      <c r="E52" s="221"/>
      <c r="F52" s="221" t="s">
        <v>598</v>
      </c>
      <c r="G52" s="221" t="s">
        <v>589</v>
      </c>
      <c r="H52" s="221"/>
      <c r="I52" s="221" t="s">
        <v>569</v>
      </c>
      <c r="J52" s="221">
        <f>724445.66*0.025</f>
        <v>18111.141500000002</v>
      </c>
      <c r="K52" s="223">
        <v>0.1</v>
      </c>
      <c r="L52" s="221" t="s">
        <v>1778</v>
      </c>
      <c r="M52" s="223" t="s">
        <v>2075</v>
      </c>
      <c r="N52" s="221" t="s">
        <v>790</v>
      </c>
    </row>
    <row r="53" spans="1:14" s="63" customFormat="1" ht="46.5" customHeight="1">
      <c r="A53" s="221" t="s">
        <v>2174</v>
      </c>
      <c r="B53" s="221"/>
      <c r="C53" s="221" t="s">
        <v>926</v>
      </c>
      <c r="D53" s="221" t="s">
        <v>82</v>
      </c>
      <c r="E53" s="221"/>
      <c r="F53" s="221" t="s">
        <v>598</v>
      </c>
      <c r="G53" s="221" t="s">
        <v>589</v>
      </c>
      <c r="H53" s="221"/>
      <c r="I53" s="221" t="s">
        <v>569</v>
      </c>
      <c r="J53" s="221"/>
      <c r="K53" s="221"/>
      <c r="L53" s="221" t="s">
        <v>1719</v>
      </c>
      <c r="M53" s="223" t="s">
        <v>2075</v>
      </c>
      <c r="N53" s="221" t="s">
        <v>763</v>
      </c>
    </row>
    <row r="54" spans="1:14" s="63" customFormat="1" ht="45" customHeight="1">
      <c r="A54" s="221" t="s">
        <v>2175</v>
      </c>
      <c r="B54" s="221"/>
      <c r="C54" s="221" t="s">
        <v>928</v>
      </c>
      <c r="D54" s="221" t="s">
        <v>82</v>
      </c>
      <c r="E54" s="221"/>
      <c r="F54" s="221" t="s">
        <v>598</v>
      </c>
      <c r="G54" s="221" t="s">
        <v>589</v>
      </c>
      <c r="H54" s="221"/>
      <c r="I54" s="221" t="s">
        <v>570</v>
      </c>
      <c r="J54" s="221">
        <f>724445.66*0.01</f>
        <v>7244.4566000000004</v>
      </c>
      <c r="K54" s="223">
        <v>0.1</v>
      </c>
      <c r="L54" s="221" t="s">
        <v>1779</v>
      </c>
      <c r="M54" s="223" t="s">
        <v>2075</v>
      </c>
      <c r="N54" s="221" t="s">
        <v>763</v>
      </c>
    </row>
    <row r="55" spans="1:14" s="63" customFormat="1" ht="32.25" customHeight="1">
      <c r="A55" s="221" t="s">
        <v>2176</v>
      </c>
      <c r="B55" s="221"/>
      <c r="C55" s="221" t="s">
        <v>1780</v>
      </c>
      <c r="D55" s="221" t="s">
        <v>89</v>
      </c>
      <c r="E55" s="221"/>
      <c r="F55" s="221" t="s">
        <v>598</v>
      </c>
      <c r="G55" s="221" t="s">
        <v>589</v>
      </c>
      <c r="H55" s="221"/>
      <c r="I55" s="221" t="s">
        <v>567</v>
      </c>
      <c r="J55" s="221"/>
      <c r="K55" s="223">
        <v>0.25</v>
      </c>
      <c r="L55" s="221" t="s">
        <v>1781</v>
      </c>
      <c r="M55" s="223" t="s">
        <v>2107</v>
      </c>
      <c r="N55" s="221" t="s">
        <v>763</v>
      </c>
    </row>
    <row r="56" spans="1:14" s="63" customFormat="1" ht="48.75" customHeight="1">
      <c r="A56" s="221" t="s">
        <v>2177</v>
      </c>
      <c r="B56" s="221"/>
      <c r="C56" s="221" t="s">
        <v>1782</v>
      </c>
      <c r="D56" s="221" t="s">
        <v>89</v>
      </c>
      <c r="E56" s="221"/>
      <c r="F56" s="221" t="s">
        <v>598</v>
      </c>
      <c r="G56" s="221" t="s">
        <v>589</v>
      </c>
      <c r="H56" s="221"/>
      <c r="I56" s="221" t="s">
        <v>568</v>
      </c>
      <c r="J56" s="221"/>
      <c r="K56" s="221"/>
      <c r="L56" s="221" t="s">
        <v>1714</v>
      </c>
      <c r="M56" s="223" t="s">
        <v>2107</v>
      </c>
      <c r="N56" s="221" t="s">
        <v>763</v>
      </c>
    </row>
    <row r="57" spans="1:14" s="63" customFormat="1" ht="58.5" customHeight="1">
      <c r="A57" s="221" t="s">
        <v>2178</v>
      </c>
      <c r="B57" s="221">
        <v>19</v>
      </c>
      <c r="C57" s="221" t="s">
        <v>1783</v>
      </c>
      <c r="D57" s="221" t="s">
        <v>96</v>
      </c>
      <c r="E57" s="221"/>
      <c r="F57" s="221" t="s">
        <v>598</v>
      </c>
      <c r="G57" s="221" t="s">
        <v>621</v>
      </c>
      <c r="H57" s="221" t="s">
        <v>662</v>
      </c>
      <c r="I57" s="221" t="s">
        <v>570</v>
      </c>
      <c r="J57" s="221">
        <v>8500</v>
      </c>
      <c r="K57" s="223">
        <v>0.25</v>
      </c>
      <c r="L57" s="221"/>
      <c r="M57" s="223" t="s">
        <v>2075</v>
      </c>
      <c r="N57" s="221" t="s">
        <v>763</v>
      </c>
    </row>
    <row r="58" spans="1:14" s="63" customFormat="1" ht="57" customHeight="1">
      <c r="A58" s="221" t="s">
        <v>2179</v>
      </c>
      <c r="B58" s="221">
        <v>22</v>
      </c>
      <c r="C58" s="221" t="s">
        <v>1784</v>
      </c>
      <c r="D58" s="221" t="s">
        <v>96</v>
      </c>
      <c r="E58" s="221"/>
      <c r="F58" s="221" t="s">
        <v>598</v>
      </c>
      <c r="G58" s="221" t="s">
        <v>621</v>
      </c>
      <c r="H58" s="221" t="s">
        <v>664</v>
      </c>
      <c r="I58" s="221" t="s">
        <v>570</v>
      </c>
      <c r="J58" s="221">
        <v>1000</v>
      </c>
      <c r="K58" s="223">
        <v>0.25</v>
      </c>
      <c r="L58" s="221"/>
      <c r="M58" s="223" t="s">
        <v>2075</v>
      </c>
      <c r="N58" s="221" t="s">
        <v>763</v>
      </c>
    </row>
    <row r="59" spans="1:14" s="63" customFormat="1" ht="44.25" customHeight="1">
      <c r="A59" s="221" t="s">
        <v>2180</v>
      </c>
      <c r="B59" s="221">
        <v>156</v>
      </c>
      <c r="C59" s="221" t="s">
        <v>1785</v>
      </c>
      <c r="D59" s="221" t="s">
        <v>96</v>
      </c>
      <c r="E59" s="221"/>
      <c r="F59" s="221" t="s">
        <v>598</v>
      </c>
      <c r="G59" s="221" t="s">
        <v>621</v>
      </c>
      <c r="H59" s="221" t="s">
        <v>692</v>
      </c>
      <c r="I59" s="221" t="s">
        <v>570</v>
      </c>
      <c r="J59" s="221">
        <v>1600</v>
      </c>
      <c r="K59" s="223">
        <v>0.25</v>
      </c>
      <c r="L59" s="221"/>
      <c r="M59" s="223" t="s">
        <v>2151</v>
      </c>
      <c r="N59" s="221" t="s">
        <v>763</v>
      </c>
    </row>
    <row r="60" spans="1:14" s="63" customFormat="1" ht="45" customHeight="1">
      <c r="A60" s="221" t="s">
        <v>2181</v>
      </c>
      <c r="B60" s="221"/>
      <c r="C60" s="221" t="s">
        <v>1786</v>
      </c>
      <c r="D60" s="221" t="s">
        <v>96</v>
      </c>
      <c r="E60" s="221"/>
      <c r="F60" s="221" t="s">
        <v>598</v>
      </c>
      <c r="G60" s="221" t="s">
        <v>622</v>
      </c>
      <c r="H60" s="221"/>
      <c r="I60" s="221" t="s">
        <v>570</v>
      </c>
      <c r="J60" s="221">
        <v>18000</v>
      </c>
      <c r="K60" s="223">
        <v>0.25</v>
      </c>
      <c r="L60" s="221"/>
      <c r="M60" s="223" t="s">
        <v>2147</v>
      </c>
      <c r="N60" s="221" t="s">
        <v>790</v>
      </c>
    </row>
    <row r="61" spans="1:14" s="63" customFormat="1" ht="69" customHeight="1">
      <c r="A61" s="221" t="s">
        <v>2182</v>
      </c>
      <c r="B61" s="221"/>
      <c r="C61" s="221" t="s">
        <v>1787</v>
      </c>
      <c r="D61" s="221" t="s">
        <v>96</v>
      </c>
      <c r="E61" s="221"/>
      <c r="F61" s="221" t="s">
        <v>598</v>
      </c>
      <c r="G61" s="221" t="s">
        <v>589</v>
      </c>
      <c r="H61" s="221"/>
      <c r="I61" s="221" t="s">
        <v>567</v>
      </c>
      <c r="J61" s="221"/>
      <c r="K61" s="221"/>
      <c r="L61" s="221" t="s">
        <v>1714</v>
      </c>
      <c r="M61" s="223" t="s">
        <v>2075</v>
      </c>
      <c r="N61" s="221" t="s">
        <v>790</v>
      </c>
    </row>
    <row r="62" spans="1:14" s="63" customFormat="1" ht="32.25" customHeight="1">
      <c r="A62" s="221" t="s">
        <v>2183</v>
      </c>
      <c r="B62" s="221">
        <v>167</v>
      </c>
      <c r="C62" s="221" t="s">
        <v>954</v>
      </c>
      <c r="D62" s="221" t="s">
        <v>96</v>
      </c>
      <c r="E62" s="221"/>
      <c r="F62" s="221" t="s">
        <v>598</v>
      </c>
      <c r="G62" s="221" t="s">
        <v>621</v>
      </c>
      <c r="H62" s="221" t="s">
        <v>690</v>
      </c>
      <c r="I62" s="221" t="s">
        <v>569</v>
      </c>
      <c r="J62" s="221">
        <v>1500</v>
      </c>
      <c r="K62" s="223">
        <v>0.25</v>
      </c>
      <c r="L62" s="221"/>
      <c r="M62" s="223" t="s">
        <v>2075</v>
      </c>
      <c r="N62" s="221" t="s">
        <v>790</v>
      </c>
    </row>
    <row r="63" spans="1:14" s="63" customFormat="1" ht="49.5" customHeight="1">
      <c r="A63" s="221" t="s">
        <v>2184</v>
      </c>
      <c r="B63" s="221"/>
      <c r="C63" s="507" t="s">
        <v>1788</v>
      </c>
      <c r="D63" s="507" t="s">
        <v>96</v>
      </c>
      <c r="E63" s="507"/>
      <c r="F63" s="507" t="s">
        <v>598</v>
      </c>
      <c r="G63" s="507" t="s">
        <v>622</v>
      </c>
      <c r="H63" s="507"/>
      <c r="I63" s="507" t="s">
        <v>567</v>
      </c>
      <c r="J63" s="507">
        <v>6000</v>
      </c>
      <c r="K63" s="508">
        <v>0.1</v>
      </c>
      <c r="L63" s="221"/>
      <c r="M63" s="223" t="s">
        <v>2151</v>
      </c>
      <c r="N63" s="221" t="s">
        <v>790</v>
      </c>
    </row>
    <row r="64" spans="1:14" s="63" customFormat="1" ht="48.75" customHeight="1">
      <c r="A64" s="221" t="s">
        <v>2185</v>
      </c>
      <c r="B64" s="221">
        <v>170</v>
      </c>
      <c r="C64" s="221" t="s">
        <v>1789</v>
      </c>
      <c r="D64" s="221" t="s">
        <v>96</v>
      </c>
      <c r="E64" s="221" t="s">
        <v>182</v>
      </c>
      <c r="F64" s="221" t="s">
        <v>598</v>
      </c>
      <c r="G64" s="221" t="s">
        <v>621</v>
      </c>
      <c r="H64" s="221" t="s">
        <v>1840</v>
      </c>
      <c r="I64" s="221" t="s">
        <v>570</v>
      </c>
      <c r="J64" s="221">
        <v>16000</v>
      </c>
      <c r="K64" s="223">
        <v>0.1</v>
      </c>
      <c r="L64" s="221"/>
      <c r="M64" s="223" t="s">
        <v>2151</v>
      </c>
      <c r="N64" s="221" t="s">
        <v>790</v>
      </c>
    </row>
    <row r="65" spans="1:14" s="63" customFormat="1" ht="50.25" customHeight="1">
      <c r="A65" s="221" t="s">
        <v>2186</v>
      </c>
      <c r="B65" s="221"/>
      <c r="C65" s="509" t="s">
        <v>1790</v>
      </c>
      <c r="D65" s="509" t="s">
        <v>96</v>
      </c>
      <c r="E65" s="509" t="s">
        <v>182</v>
      </c>
      <c r="F65" s="509" t="s">
        <v>598</v>
      </c>
      <c r="G65" s="509" t="s">
        <v>622</v>
      </c>
      <c r="H65" s="509"/>
      <c r="I65" s="509" t="s">
        <v>589</v>
      </c>
      <c r="J65" s="509">
        <v>16900</v>
      </c>
      <c r="K65" s="510">
        <v>0.1</v>
      </c>
      <c r="L65" s="221"/>
      <c r="M65" s="223" t="s">
        <v>2075</v>
      </c>
      <c r="N65" s="221" t="s">
        <v>790</v>
      </c>
    </row>
    <row r="66" spans="1:14" s="63" customFormat="1" ht="48" customHeight="1">
      <c r="A66" s="221" t="s">
        <v>2187</v>
      </c>
      <c r="B66" s="221"/>
      <c r="C66" s="507" t="s">
        <v>1791</v>
      </c>
      <c r="D66" s="507" t="s">
        <v>96</v>
      </c>
      <c r="E66" s="507"/>
      <c r="F66" s="507" t="s">
        <v>598</v>
      </c>
      <c r="G66" s="507" t="s">
        <v>622</v>
      </c>
      <c r="H66" s="507"/>
      <c r="I66" s="507" t="s">
        <v>589</v>
      </c>
      <c r="J66" s="507">
        <v>5800</v>
      </c>
      <c r="K66" s="508">
        <v>0.1</v>
      </c>
      <c r="L66" s="221"/>
      <c r="M66" s="223" t="s">
        <v>2151</v>
      </c>
      <c r="N66" s="221" t="s">
        <v>790</v>
      </c>
    </row>
    <row r="67" spans="1:14" s="63" customFormat="1" ht="53.25" customHeight="1">
      <c r="A67" s="221" t="s">
        <v>2188</v>
      </c>
      <c r="B67" s="221"/>
      <c r="C67" s="221" t="s">
        <v>1792</v>
      </c>
      <c r="D67" s="221" t="s">
        <v>96</v>
      </c>
      <c r="E67" s="221" t="s">
        <v>182</v>
      </c>
      <c r="F67" s="221" t="s">
        <v>598</v>
      </c>
      <c r="G67" s="221" t="s">
        <v>622</v>
      </c>
      <c r="H67" s="221"/>
      <c r="I67" s="221" t="s">
        <v>589</v>
      </c>
      <c r="J67" s="221">
        <v>5000</v>
      </c>
      <c r="K67" s="223">
        <v>0.1</v>
      </c>
      <c r="L67" s="221"/>
      <c r="M67" s="223" t="s">
        <v>2075</v>
      </c>
      <c r="N67" s="221" t="s">
        <v>790</v>
      </c>
    </row>
    <row r="68" spans="1:14" s="63" customFormat="1" ht="57" customHeight="1">
      <c r="A68" s="221" t="s">
        <v>2189</v>
      </c>
      <c r="B68" s="221"/>
      <c r="C68" s="221" t="s">
        <v>1793</v>
      </c>
      <c r="D68" s="221" t="s">
        <v>96</v>
      </c>
      <c r="E68" s="221"/>
      <c r="F68" s="221" t="s">
        <v>598</v>
      </c>
      <c r="G68" s="221" t="s">
        <v>622</v>
      </c>
      <c r="H68" s="221"/>
      <c r="I68" s="221" t="s">
        <v>570</v>
      </c>
      <c r="J68" s="221">
        <v>3000</v>
      </c>
      <c r="K68" s="223">
        <v>0.1</v>
      </c>
      <c r="L68" s="221"/>
      <c r="M68" s="223" t="s">
        <v>2151</v>
      </c>
      <c r="N68" s="221" t="s">
        <v>790</v>
      </c>
    </row>
    <row r="69" spans="1:14" s="63" customFormat="1" ht="48" customHeight="1">
      <c r="A69" s="221" t="s">
        <v>2190</v>
      </c>
      <c r="B69" s="221">
        <v>135</v>
      </c>
      <c r="C69" s="221" t="s">
        <v>1794</v>
      </c>
      <c r="D69" s="221" t="s">
        <v>96</v>
      </c>
      <c r="E69" s="221" t="s">
        <v>182</v>
      </c>
      <c r="F69" s="221" t="s">
        <v>598</v>
      </c>
      <c r="G69" s="221" t="s">
        <v>621</v>
      </c>
      <c r="H69" s="221" t="s">
        <v>664</v>
      </c>
      <c r="I69" s="221" t="s">
        <v>589</v>
      </c>
      <c r="J69" s="221">
        <v>3000</v>
      </c>
      <c r="K69" s="223">
        <v>0.1</v>
      </c>
      <c r="L69" s="221"/>
      <c r="M69" s="223" t="s">
        <v>2075</v>
      </c>
      <c r="N69" s="221" t="s">
        <v>790</v>
      </c>
    </row>
    <row r="70" spans="1:14" s="63" customFormat="1" ht="61.5" customHeight="1">
      <c r="A70" s="221" t="s">
        <v>2191</v>
      </c>
      <c r="B70" s="221">
        <v>164</v>
      </c>
      <c r="C70" s="221" t="s">
        <v>1970</v>
      </c>
      <c r="D70" s="221" t="s">
        <v>96</v>
      </c>
      <c r="E70" s="221"/>
      <c r="F70" s="221" t="s">
        <v>598</v>
      </c>
      <c r="G70" s="221" t="s">
        <v>621</v>
      </c>
      <c r="H70" s="221" t="s">
        <v>692</v>
      </c>
      <c r="I70" s="221" t="s">
        <v>589</v>
      </c>
      <c r="J70" s="221">
        <v>8000</v>
      </c>
      <c r="K70" s="223">
        <v>0.25</v>
      </c>
      <c r="L70" s="221"/>
      <c r="M70" s="223" t="s">
        <v>2075</v>
      </c>
      <c r="N70" s="221" t="s">
        <v>790</v>
      </c>
    </row>
    <row r="71" spans="1:14" s="63" customFormat="1" ht="37.5" customHeight="1">
      <c r="A71" s="221" t="s">
        <v>2192</v>
      </c>
      <c r="B71" s="221">
        <v>76</v>
      </c>
      <c r="C71" s="221" t="s">
        <v>1795</v>
      </c>
      <c r="D71" s="221" t="s">
        <v>98</v>
      </c>
      <c r="E71" s="221"/>
      <c r="F71" s="221" t="s">
        <v>598</v>
      </c>
      <c r="G71" s="221" t="s">
        <v>621</v>
      </c>
      <c r="H71" s="221" t="s">
        <v>1796</v>
      </c>
      <c r="I71" s="221" t="s">
        <v>619</v>
      </c>
      <c r="J71" s="221">
        <v>4000</v>
      </c>
      <c r="K71" s="223">
        <v>0.25</v>
      </c>
      <c r="L71" s="221"/>
      <c r="M71" s="223" t="s">
        <v>2147</v>
      </c>
      <c r="N71" s="221" t="s">
        <v>763</v>
      </c>
    </row>
    <row r="72" spans="1:14" s="63" customFormat="1" ht="37.5" customHeight="1">
      <c r="A72" s="221" t="s">
        <v>2193</v>
      </c>
      <c r="B72" s="221">
        <v>98</v>
      </c>
      <c r="C72" s="221" t="s">
        <v>1797</v>
      </c>
      <c r="D72" s="221" t="s">
        <v>100</v>
      </c>
      <c r="E72" s="221" t="s">
        <v>228</v>
      </c>
      <c r="F72" s="221" t="s">
        <v>598</v>
      </c>
      <c r="G72" s="221" t="s">
        <v>621</v>
      </c>
      <c r="H72" s="221" t="s">
        <v>696</v>
      </c>
      <c r="I72" s="221" t="s">
        <v>619</v>
      </c>
      <c r="J72" s="221">
        <v>1500</v>
      </c>
      <c r="K72" s="223">
        <v>0.5</v>
      </c>
      <c r="L72" s="221" t="s">
        <v>1798</v>
      </c>
      <c r="M72" s="223" t="s">
        <v>2107</v>
      </c>
      <c r="N72" s="221" t="s">
        <v>790</v>
      </c>
    </row>
    <row r="73" spans="1:14" s="63" customFormat="1" ht="51.75" customHeight="1">
      <c r="A73" s="221" t="s">
        <v>2194</v>
      </c>
      <c r="B73" s="221">
        <v>81</v>
      </c>
      <c r="C73" s="221" t="s">
        <v>1957</v>
      </c>
      <c r="D73" s="221" t="s">
        <v>100</v>
      </c>
      <c r="E73" s="221" t="s">
        <v>228</v>
      </c>
      <c r="F73" s="221" t="s">
        <v>598</v>
      </c>
      <c r="G73" s="221" t="s">
        <v>621</v>
      </c>
      <c r="H73" s="221" t="s">
        <v>692</v>
      </c>
      <c r="I73" s="221" t="s">
        <v>619</v>
      </c>
      <c r="J73" s="221">
        <v>600</v>
      </c>
      <c r="K73" s="223">
        <v>0.25</v>
      </c>
      <c r="L73" s="221"/>
      <c r="M73" s="223" t="s">
        <v>2075</v>
      </c>
      <c r="N73" s="221" t="s">
        <v>790</v>
      </c>
    </row>
    <row r="74" spans="1:14" s="63" customFormat="1" ht="37.5" customHeight="1">
      <c r="A74" s="221" t="s">
        <v>2195</v>
      </c>
      <c r="B74" s="221">
        <v>133</v>
      </c>
      <c r="C74" s="221" t="s">
        <v>1799</v>
      </c>
      <c r="D74" s="221" t="s">
        <v>100</v>
      </c>
      <c r="E74" s="221"/>
      <c r="F74" s="221" t="s">
        <v>598</v>
      </c>
      <c r="G74" s="221" t="s">
        <v>621</v>
      </c>
      <c r="H74" s="221" t="s">
        <v>644</v>
      </c>
      <c r="I74" s="221" t="s">
        <v>589</v>
      </c>
      <c r="J74" s="221">
        <v>2420</v>
      </c>
      <c r="K74" s="223">
        <v>0.25</v>
      </c>
      <c r="L74" s="221"/>
      <c r="M74" s="223" t="s">
        <v>2075</v>
      </c>
      <c r="N74" s="221" t="s">
        <v>790</v>
      </c>
    </row>
    <row r="75" spans="1:14" s="63" customFormat="1" ht="37.5" customHeight="1">
      <c r="A75" s="221" t="s">
        <v>2196</v>
      </c>
      <c r="B75" s="221"/>
      <c r="C75" s="221" t="s">
        <v>1800</v>
      </c>
      <c r="D75" s="221" t="s">
        <v>100</v>
      </c>
      <c r="E75" s="221" t="s">
        <v>164</v>
      </c>
      <c r="F75" s="221" t="s">
        <v>598</v>
      </c>
      <c r="G75" s="221" t="s">
        <v>624</v>
      </c>
      <c r="H75" s="221"/>
      <c r="I75" s="221" t="s">
        <v>619</v>
      </c>
      <c r="J75" s="221">
        <v>0</v>
      </c>
      <c r="K75" s="223">
        <v>0.1</v>
      </c>
      <c r="L75" s="221" t="s">
        <v>1801</v>
      </c>
      <c r="M75" s="223" t="s">
        <v>2075</v>
      </c>
      <c r="N75" s="221" t="s">
        <v>790</v>
      </c>
    </row>
    <row r="76" spans="1:14" s="63" customFormat="1" ht="37.5" customHeight="1">
      <c r="A76" s="221" t="s">
        <v>2197</v>
      </c>
      <c r="B76" s="221"/>
      <c r="C76" s="221" t="s">
        <v>970</v>
      </c>
      <c r="D76" s="221" t="s">
        <v>100</v>
      </c>
      <c r="E76" s="221"/>
      <c r="F76" s="221" t="s">
        <v>598</v>
      </c>
      <c r="G76" s="221" t="s">
        <v>609</v>
      </c>
      <c r="H76" s="221"/>
      <c r="I76" s="221" t="s">
        <v>619</v>
      </c>
      <c r="J76" s="221"/>
      <c r="K76" s="223">
        <v>0.25</v>
      </c>
      <c r="L76" s="221" t="s">
        <v>1802</v>
      </c>
      <c r="M76" s="223" t="s">
        <v>2147</v>
      </c>
      <c r="N76" s="221" t="s">
        <v>790</v>
      </c>
    </row>
    <row r="77" spans="1:14" s="63" customFormat="1" ht="37.5" customHeight="1">
      <c r="A77" s="221" t="s">
        <v>2198</v>
      </c>
      <c r="B77" s="221"/>
      <c r="C77" s="221" t="s">
        <v>976</v>
      </c>
      <c r="D77" s="221" t="s">
        <v>100</v>
      </c>
      <c r="E77" s="221"/>
      <c r="F77" s="221" t="s">
        <v>598</v>
      </c>
      <c r="G77" s="221" t="s">
        <v>609</v>
      </c>
      <c r="H77" s="221"/>
      <c r="I77" s="221" t="s">
        <v>619</v>
      </c>
      <c r="J77" s="221"/>
      <c r="K77" s="223">
        <v>0.25</v>
      </c>
      <c r="L77" s="221" t="s">
        <v>1802</v>
      </c>
      <c r="M77" s="223" t="s">
        <v>2147</v>
      </c>
      <c r="N77" s="221" t="s">
        <v>763</v>
      </c>
    </row>
    <row r="78" spans="1:14" s="63" customFormat="1" ht="37.5" customHeight="1">
      <c r="A78" s="221" t="s">
        <v>2199</v>
      </c>
      <c r="B78" s="221">
        <v>82</v>
      </c>
      <c r="C78" s="221" t="s">
        <v>1803</v>
      </c>
      <c r="D78" s="221" t="s">
        <v>102</v>
      </c>
      <c r="E78" s="221"/>
      <c r="F78" s="221" t="s">
        <v>598</v>
      </c>
      <c r="G78" s="221" t="s">
        <v>621</v>
      </c>
      <c r="H78" s="221" t="s">
        <v>692</v>
      </c>
      <c r="I78" s="221" t="s">
        <v>619</v>
      </c>
      <c r="J78" s="221"/>
      <c r="K78" s="223">
        <v>0.25</v>
      </c>
      <c r="L78" s="221"/>
      <c r="M78" s="223" t="s">
        <v>2107</v>
      </c>
      <c r="N78" s="221" t="s">
        <v>790</v>
      </c>
    </row>
    <row r="79" spans="1:14" s="63" customFormat="1" ht="37.5" customHeight="1">
      <c r="A79" s="221" t="s">
        <v>2200</v>
      </c>
      <c r="B79" s="221">
        <v>137</v>
      </c>
      <c r="C79" s="221" t="s">
        <v>1804</v>
      </c>
      <c r="D79" s="221" t="s">
        <v>102</v>
      </c>
      <c r="E79" s="221"/>
      <c r="F79" s="221" t="s">
        <v>598</v>
      </c>
      <c r="G79" s="221" t="s">
        <v>621</v>
      </c>
      <c r="H79" s="221" t="s">
        <v>668</v>
      </c>
      <c r="I79" s="221" t="s">
        <v>572</v>
      </c>
      <c r="J79" s="221">
        <v>2400</v>
      </c>
      <c r="K79" s="223">
        <v>0.25</v>
      </c>
      <c r="L79" s="221"/>
      <c r="M79" s="223" t="s">
        <v>2147</v>
      </c>
      <c r="N79" s="221" t="s">
        <v>763</v>
      </c>
    </row>
    <row r="80" spans="1:14" s="63" customFormat="1" ht="37.5" customHeight="1">
      <c r="A80" s="221" t="s">
        <v>2201</v>
      </c>
      <c r="B80" s="221">
        <v>20</v>
      </c>
      <c r="C80" s="221" t="s">
        <v>1805</v>
      </c>
      <c r="D80" s="221" t="s">
        <v>102</v>
      </c>
      <c r="E80" s="221"/>
      <c r="F80" s="221" t="s">
        <v>598</v>
      </c>
      <c r="G80" s="221" t="s">
        <v>621</v>
      </c>
      <c r="H80" s="221" t="s">
        <v>662</v>
      </c>
      <c r="I80" s="221" t="s">
        <v>572</v>
      </c>
      <c r="J80" s="221">
        <v>2500</v>
      </c>
      <c r="K80" s="223">
        <v>0.25</v>
      </c>
      <c r="L80" s="221"/>
      <c r="M80" s="223" t="s">
        <v>2147</v>
      </c>
      <c r="N80" s="221" t="s">
        <v>763</v>
      </c>
    </row>
    <row r="81" spans="1:14" s="63" customFormat="1" ht="37.5" customHeight="1">
      <c r="A81" s="221" t="s">
        <v>2202</v>
      </c>
      <c r="B81" s="221">
        <v>54</v>
      </c>
      <c r="C81" s="221" t="s">
        <v>1806</v>
      </c>
      <c r="D81" s="221" t="s">
        <v>102</v>
      </c>
      <c r="E81" s="221"/>
      <c r="F81" s="221" t="s">
        <v>598</v>
      </c>
      <c r="G81" s="221" t="s">
        <v>621</v>
      </c>
      <c r="H81" s="221" t="s">
        <v>676</v>
      </c>
      <c r="I81" s="221" t="s">
        <v>572</v>
      </c>
      <c r="J81" s="221">
        <v>7500</v>
      </c>
      <c r="K81" s="223">
        <v>0.25</v>
      </c>
      <c r="L81" s="221"/>
      <c r="M81" s="223" t="s">
        <v>2075</v>
      </c>
      <c r="N81" s="221" t="s">
        <v>790</v>
      </c>
    </row>
    <row r="82" spans="1:14" s="63" customFormat="1" ht="51.75" customHeight="1">
      <c r="A82" s="221" t="s">
        <v>2203</v>
      </c>
      <c r="B82" s="221"/>
      <c r="C82" s="221" t="s">
        <v>1809</v>
      </c>
      <c r="D82" s="221" t="s">
        <v>102</v>
      </c>
      <c r="E82" s="221"/>
      <c r="F82" s="221" t="s">
        <v>598</v>
      </c>
      <c r="G82" s="221" t="s">
        <v>609</v>
      </c>
      <c r="H82" s="221"/>
      <c r="I82" s="221" t="s">
        <v>572</v>
      </c>
      <c r="J82" s="221"/>
      <c r="K82" s="223">
        <v>0.25</v>
      </c>
      <c r="L82" s="221" t="s">
        <v>1802</v>
      </c>
      <c r="M82" s="223" t="s">
        <v>2147</v>
      </c>
      <c r="N82" s="221" t="s">
        <v>763</v>
      </c>
    </row>
    <row r="83" spans="1:14" s="63" customFormat="1" ht="63.75" customHeight="1">
      <c r="A83" s="221" t="s">
        <v>2204</v>
      </c>
      <c r="B83" s="221" t="s">
        <v>1808</v>
      </c>
      <c r="C83" s="221" t="s">
        <v>1807</v>
      </c>
      <c r="D83" s="221" t="s">
        <v>102</v>
      </c>
      <c r="E83" s="221"/>
      <c r="F83" s="221" t="s">
        <v>598</v>
      </c>
      <c r="G83" s="221" t="s">
        <v>621</v>
      </c>
      <c r="H83" s="221" t="s">
        <v>696</v>
      </c>
      <c r="I83" s="221" t="s">
        <v>572</v>
      </c>
      <c r="J83" s="221">
        <v>1911.8</v>
      </c>
      <c r="K83" s="223">
        <v>0.5</v>
      </c>
      <c r="L83" s="221"/>
      <c r="M83" s="223" t="s">
        <v>2151</v>
      </c>
      <c r="N83" s="221" t="s">
        <v>790</v>
      </c>
    </row>
    <row r="84" spans="1:14" s="63" customFormat="1" ht="72" customHeight="1">
      <c r="A84" s="221" t="s">
        <v>2205</v>
      </c>
      <c r="B84" s="221">
        <v>83</v>
      </c>
      <c r="C84" s="221" t="s">
        <v>1958</v>
      </c>
      <c r="D84" s="221" t="s">
        <v>107</v>
      </c>
      <c r="E84" s="221"/>
      <c r="F84" s="221" t="s">
        <v>598</v>
      </c>
      <c r="G84" s="221" t="s">
        <v>621</v>
      </c>
      <c r="H84" s="221" t="s">
        <v>692</v>
      </c>
      <c r="I84" s="221" t="s">
        <v>570</v>
      </c>
      <c r="J84" s="221">
        <v>4730</v>
      </c>
      <c r="K84" s="223">
        <v>0.25</v>
      </c>
      <c r="L84" s="221"/>
      <c r="M84" s="223" t="s">
        <v>2107</v>
      </c>
      <c r="N84" s="221" t="s">
        <v>790</v>
      </c>
    </row>
    <row r="85" spans="1:14" s="63" customFormat="1" ht="72" customHeight="1">
      <c r="A85" s="221" t="s">
        <v>2206</v>
      </c>
      <c r="B85" s="221">
        <v>162</v>
      </c>
      <c r="C85" s="221" t="s">
        <v>1968</v>
      </c>
      <c r="D85" s="221" t="s">
        <v>107</v>
      </c>
      <c r="E85" s="221"/>
      <c r="F85" s="221" t="s">
        <v>598</v>
      </c>
      <c r="G85" s="221" t="s">
        <v>621</v>
      </c>
      <c r="H85" s="221" t="s">
        <v>692</v>
      </c>
      <c r="I85" s="221" t="s">
        <v>570</v>
      </c>
      <c r="J85" s="221">
        <v>790.5</v>
      </c>
      <c r="K85" s="223">
        <v>0.25</v>
      </c>
      <c r="L85" s="221"/>
      <c r="M85" s="223" t="s">
        <v>2107</v>
      </c>
      <c r="N85" s="221" t="s">
        <v>790</v>
      </c>
    </row>
    <row r="86" spans="1:14" s="63" customFormat="1" ht="37.5" customHeight="1">
      <c r="A86" s="221" t="s">
        <v>2207</v>
      </c>
      <c r="B86" s="221">
        <v>84</v>
      </c>
      <c r="C86" s="221" t="s">
        <v>1810</v>
      </c>
      <c r="D86" s="221" t="s">
        <v>116</v>
      </c>
      <c r="E86" s="221"/>
      <c r="F86" s="221" t="s">
        <v>598</v>
      </c>
      <c r="G86" s="221" t="s">
        <v>621</v>
      </c>
      <c r="H86" s="221" t="s">
        <v>692</v>
      </c>
      <c r="I86" s="221" t="s">
        <v>589</v>
      </c>
      <c r="J86" s="221">
        <v>5500</v>
      </c>
      <c r="K86" s="223">
        <v>0.25</v>
      </c>
      <c r="L86" s="221"/>
      <c r="M86" s="223" t="s">
        <v>2075</v>
      </c>
      <c r="N86" s="221" t="s">
        <v>790</v>
      </c>
    </row>
    <row r="87" spans="1:14" s="63" customFormat="1" ht="37.5" customHeight="1">
      <c r="A87" s="221" t="s">
        <v>2208</v>
      </c>
      <c r="B87" s="221"/>
      <c r="C87" s="221" t="s">
        <v>1005</v>
      </c>
      <c r="D87" s="221" t="s">
        <v>118</v>
      </c>
      <c r="E87" s="221"/>
      <c r="F87" s="221" t="s">
        <v>598</v>
      </c>
      <c r="G87" s="221" t="s">
        <v>609</v>
      </c>
      <c r="H87" s="221"/>
      <c r="I87" s="221" t="s">
        <v>589</v>
      </c>
      <c r="J87" s="221"/>
      <c r="K87" s="223">
        <v>0.25</v>
      </c>
      <c r="L87" s="221" t="s">
        <v>1802</v>
      </c>
      <c r="M87" s="223" t="s">
        <v>2147</v>
      </c>
      <c r="N87" s="221" t="s">
        <v>763</v>
      </c>
    </row>
    <row r="88" spans="1:14" s="63" customFormat="1" ht="22.5" customHeight="1">
      <c r="A88" s="221" t="s">
        <v>2209</v>
      </c>
      <c r="B88" s="221"/>
      <c r="C88" s="221" t="s">
        <v>1007</v>
      </c>
      <c r="D88" s="221" t="s">
        <v>118</v>
      </c>
      <c r="E88" s="221"/>
      <c r="F88" s="221" t="s">
        <v>598</v>
      </c>
      <c r="G88" s="221" t="s">
        <v>609</v>
      </c>
      <c r="H88" s="221"/>
      <c r="I88" s="221" t="s">
        <v>589</v>
      </c>
      <c r="J88" s="221"/>
      <c r="K88" s="223">
        <v>0.25</v>
      </c>
      <c r="L88" s="221" t="s">
        <v>1802</v>
      </c>
      <c r="M88" s="223" t="s">
        <v>2147</v>
      </c>
      <c r="N88" s="221" t="s">
        <v>763</v>
      </c>
    </row>
    <row r="89" spans="1:14" s="63" customFormat="1" ht="52.5" customHeight="1">
      <c r="A89" s="221" t="s">
        <v>2210</v>
      </c>
      <c r="B89" s="221"/>
      <c r="C89" s="221" t="s">
        <v>1009</v>
      </c>
      <c r="D89" s="221" t="s">
        <v>119</v>
      </c>
      <c r="E89" s="221"/>
      <c r="F89" s="221" t="s">
        <v>598</v>
      </c>
      <c r="G89" s="221" t="s">
        <v>609</v>
      </c>
      <c r="H89" s="221"/>
      <c r="I89" s="221" t="s">
        <v>589</v>
      </c>
      <c r="J89" s="221"/>
      <c r="K89" s="223">
        <v>0.25</v>
      </c>
      <c r="L89" s="221" t="s">
        <v>1802</v>
      </c>
      <c r="M89" s="223" t="s">
        <v>2147</v>
      </c>
      <c r="N89" s="221" t="s">
        <v>763</v>
      </c>
    </row>
    <row r="90" spans="1:14" s="63" customFormat="1" ht="28.5" customHeight="1">
      <c r="A90" s="221" t="s">
        <v>2211</v>
      </c>
      <c r="B90" s="221">
        <v>160</v>
      </c>
      <c r="C90" s="221" t="s">
        <v>1811</v>
      </c>
      <c r="D90" s="221" t="s">
        <v>119</v>
      </c>
      <c r="E90" s="221"/>
      <c r="F90" s="221" t="s">
        <v>598</v>
      </c>
      <c r="G90" s="221" t="s">
        <v>621</v>
      </c>
      <c r="H90" s="221" t="s">
        <v>692</v>
      </c>
      <c r="I90" s="221" t="s">
        <v>572</v>
      </c>
      <c r="J90" s="221">
        <v>2500</v>
      </c>
      <c r="K90" s="223">
        <v>0.25</v>
      </c>
      <c r="L90" s="221"/>
      <c r="M90" s="223" t="s">
        <v>2107</v>
      </c>
      <c r="N90" s="221" t="s">
        <v>763</v>
      </c>
    </row>
    <row r="91" spans="1:14" s="63" customFormat="1" ht="44.25" customHeight="1">
      <c r="A91" s="221" t="s">
        <v>2212</v>
      </c>
      <c r="B91" s="221">
        <v>159</v>
      </c>
      <c r="C91" s="221" t="s">
        <v>1812</v>
      </c>
      <c r="D91" s="221" t="s">
        <v>119</v>
      </c>
      <c r="E91" s="221"/>
      <c r="F91" s="221" t="s">
        <v>598</v>
      </c>
      <c r="G91" s="221" t="s">
        <v>621</v>
      </c>
      <c r="H91" s="221" t="s">
        <v>692</v>
      </c>
      <c r="I91" s="221" t="s">
        <v>617</v>
      </c>
      <c r="J91" s="221">
        <v>14500</v>
      </c>
      <c r="K91" s="223">
        <v>0.25</v>
      </c>
      <c r="L91" s="221"/>
      <c r="M91" s="223" t="s">
        <v>2107</v>
      </c>
      <c r="N91" s="221" t="s">
        <v>763</v>
      </c>
    </row>
    <row r="92" spans="1:14" s="63" customFormat="1" ht="45.75" customHeight="1">
      <c r="A92" s="221" t="s">
        <v>2213</v>
      </c>
      <c r="B92" s="221"/>
      <c r="C92" s="221" t="s">
        <v>1015</v>
      </c>
      <c r="D92" s="221" t="s">
        <v>119</v>
      </c>
      <c r="E92" s="221"/>
      <c r="F92" s="221" t="s">
        <v>598</v>
      </c>
      <c r="G92" s="221" t="s">
        <v>589</v>
      </c>
      <c r="H92" s="221"/>
      <c r="I92" s="221" t="s">
        <v>589</v>
      </c>
      <c r="J92" s="221"/>
      <c r="K92" s="223"/>
      <c r="L92" s="221" t="s">
        <v>1813</v>
      </c>
      <c r="M92" s="223" t="s">
        <v>2121</v>
      </c>
      <c r="N92" s="221" t="s">
        <v>763</v>
      </c>
    </row>
    <row r="93" spans="1:14" s="63" customFormat="1" ht="48.75" customHeight="1">
      <c r="A93" s="221" t="s">
        <v>2214</v>
      </c>
      <c r="B93" s="221"/>
      <c r="C93" s="507" t="s">
        <v>1814</v>
      </c>
      <c r="D93" s="507" t="s">
        <v>122</v>
      </c>
      <c r="E93" s="507"/>
      <c r="F93" s="507" t="s">
        <v>598</v>
      </c>
      <c r="G93" s="507" t="s">
        <v>622</v>
      </c>
      <c r="H93" s="507"/>
      <c r="I93" s="507" t="s">
        <v>569</v>
      </c>
      <c r="J93" s="507">
        <v>15013.15</v>
      </c>
      <c r="K93" s="508">
        <v>0.2</v>
      </c>
      <c r="L93" s="221"/>
      <c r="M93" s="223" t="s">
        <v>2149</v>
      </c>
      <c r="N93" s="221" t="s">
        <v>790</v>
      </c>
    </row>
    <row r="94" spans="1:14" s="63" customFormat="1" ht="42" customHeight="1">
      <c r="A94" s="221" t="s">
        <v>2215</v>
      </c>
      <c r="B94" s="221"/>
      <c r="C94" s="221" t="s">
        <v>1815</v>
      </c>
      <c r="D94" s="221" t="s">
        <v>122</v>
      </c>
      <c r="E94" s="221"/>
      <c r="F94" s="221" t="s">
        <v>598</v>
      </c>
      <c r="G94" s="221" t="s">
        <v>589</v>
      </c>
      <c r="H94" s="221"/>
      <c r="I94" s="221" t="s">
        <v>567</v>
      </c>
      <c r="J94" s="221"/>
      <c r="K94" s="223">
        <v>0.2</v>
      </c>
      <c r="L94" s="221" t="s">
        <v>1816</v>
      </c>
      <c r="M94" s="223" t="s">
        <v>2149</v>
      </c>
      <c r="N94" s="221" t="s">
        <v>790</v>
      </c>
    </row>
    <row r="95" spans="1:14" s="63" customFormat="1" ht="33.75" customHeight="1">
      <c r="A95" s="221" t="s">
        <v>2216</v>
      </c>
      <c r="B95" s="221"/>
      <c r="C95" s="221" t="s">
        <v>1021</v>
      </c>
      <c r="D95" s="221" t="s">
        <v>122</v>
      </c>
      <c r="E95" s="221"/>
      <c r="F95" s="221" t="s">
        <v>598</v>
      </c>
      <c r="G95" s="221" t="s">
        <v>589</v>
      </c>
      <c r="H95" s="221"/>
      <c r="I95" s="221" t="s">
        <v>567</v>
      </c>
      <c r="J95" s="221"/>
      <c r="K95" s="223">
        <v>0.2</v>
      </c>
      <c r="L95" s="221" t="s">
        <v>1816</v>
      </c>
      <c r="M95" s="223" t="s">
        <v>2149</v>
      </c>
      <c r="N95" s="221" t="s">
        <v>790</v>
      </c>
    </row>
    <row r="96" spans="1:14" s="63" customFormat="1" ht="52.5" customHeight="1">
      <c r="A96" s="221" t="s">
        <v>2217</v>
      </c>
      <c r="B96" s="221">
        <v>85</v>
      </c>
      <c r="C96" s="221" t="s">
        <v>1817</v>
      </c>
      <c r="D96" s="221" t="s">
        <v>122</v>
      </c>
      <c r="E96" s="221"/>
      <c r="F96" s="221" t="s">
        <v>598</v>
      </c>
      <c r="G96" s="221" t="s">
        <v>621</v>
      </c>
      <c r="H96" s="221" t="s">
        <v>692</v>
      </c>
      <c r="I96" s="221" t="s">
        <v>570</v>
      </c>
      <c r="J96" s="221">
        <v>1887.6</v>
      </c>
      <c r="K96" s="223">
        <v>0.25</v>
      </c>
      <c r="L96" s="221"/>
      <c r="M96" s="223" t="s">
        <v>2151</v>
      </c>
      <c r="N96" s="221" t="s">
        <v>763</v>
      </c>
    </row>
    <row r="97" spans="1:14" s="226" customFormat="1" ht="56.25" customHeight="1">
      <c r="A97" s="224" t="s">
        <v>2218</v>
      </c>
      <c r="B97" s="224"/>
      <c r="C97" s="224" t="s">
        <v>1031</v>
      </c>
      <c r="D97" s="224" t="s">
        <v>129</v>
      </c>
      <c r="E97" s="224"/>
      <c r="F97" s="224" t="s">
        <v>599</v>
      </c>
      <c r="G97" s="224" t="s">
        <v>589</v>
      </c>
      <c r="H97" s="224"/>
      <c r="I97" s="224" t="s">
        <v>567</v>
      </c>
      <c r="J97" s="224"/>
      <c r="K97" s="225">
        <v>0.25</v>
      </c>
      <c r="L97" s="224" t="s">
        <v>1818</v>
      </c>
      <c r="M97" s="225" t="s">
        <v>2075</v>
      </c>
      <c r="N97" s="224" t="s">
        <v>763</v>
      </c>
    </row>
    <row r="98" spans="1:14" s="226" customFormat="1" ht="37.5" customHeight="1">
      <c r="A98" s="224" t="s">
        <v>2219</v>
      </c>
      <c r="B98" s="224"/>
      <c r="C98" s="224" t="s">
        <v>1044</v>
      </c>
      <c r="D98" s="224" t="s">
        <v>133</v>
      </c>
      <c r="E98" s="224"/>
      <c r="F98" s="224" t="s">
        <v>599</v>
      </c>
      <c r="G98" s="224" t="s">
        <v>589</v>
      </c>
      <c r="H98" s="224"/>
      <c r="I98" s="224" t="s">
        <v>567</v>
      </c>
      <c r="J98" s="224"/>
      <c r="K98" s="225">
        <v>0.25</v>
      </c>
      <c r="L98" s="224" t="s">
        <v>1818</v>
      </c>
      <c r="M98" s="225" t="s">
        <v>2149</v>
      </c>
      <c r="N98" s="224" t="s">
        <v>763</v>
      </c>
    </row>
    <row r="99" spans="1:14" s="226" customFormat="1" ht="51.75" customHeight="1">
      <c r="A99" s="224" t="s">
        <v>2220</v>
      </c>
      <c r="B99" s="224">
        <v>122</v>
      </c>
      <c r="C99" s="224" t="s">
        <v>1715</v>
      </c>
      <c r="D99" s="224" t="s">
        <v>136</v>
      </c>
      <c r="E99" s="224"/>
      <c r="F99" s="224" t="s">
        <v>599</v>
      </c>
      <c r="G99" s="224" t="s">
        <v>621</v>
      </c>
      <c r="H99" s="224" t="s">
        <v>690</v>
      </c>
      <c r="I99" s="224" t="s">
        <v>569</v>
      </c>
      <c r="J99" s="224">
        <v>18000</v>
      </c>
      <c r="K99" s="225">
        <v>0.1</v>
      </c>
      <c r="L99" s="224"/>
      <c r="M99" s="225" t="s">
        <v>2048</v>
      </c>
      <c r="N99" s="224" t="s">
        <v>790</v>
      </c>
    </row>
    <row r="100" spans="1:14" s="226" customFormat="1" ht="52.5" customHeight="1">
      <c r="A100" s="224" t="s">
        <v>2221</v>
      </c>
      <c r="B100" s="224">
        <v>73</v>
      </c>
      <c r="C100" s="224" t="s">
        <v>1716</v>
      </c>
      <c r="D100" s="224" t="s">
        <v>136</v>
      </c>
      <c r="E100" s="224" t="s">
        <v>140</v>
      </c>
      <c r="F100" s="224" t="s">
        <v>599</v>
      </c>
      <c r="G100" s="224" t="s">
        <v>621</v>
      </c>
      <c r="H100" s="224" t="s">
        <v>690</v>
      </c>
      <c r="I100" s="224" t="s">
        <v>569</v>
      </c>
      <c r="J100" s="224">
        <v>18000</v>
      </c>
      <c r="K100" s="225">
        <v>0.1</v>
      </c>
      <c r="L100" s="224"/>
      <c r="M100" s="225" t="s">
        <v>2048</v>
      </c>
      <c r="N100" s="224" t="s">
        <v>790</v>
      </c>
    </row>
    <row r="101" spans="1:14" s="226" customFormat="1" ht="66.75" customHeight="1">
      <c r="A101" s="224" t="s">
        <v>2222</v>
      </c>
      <c r="B101" s="224"/>
      <c r="C101" s="224" t="s">
        <v>1717</v>
      </c>
      <c r="D101" s="224" t="s">
        <v>136</v>
      </c>
      <c r="E101" s="224" t="s">
        <v>1718</v>
      </c>
      <c r="F101" s="224" t="s">
        <v>599</v>
      </c>
      <c r="G101" s="224" t="s">
        <v>622</v>
      </c>
      <c r="H101" s="224"/>
      <c r="I101" s="224" t="s">
        <v>569</v>
      </c>
      <c r="J101" s="224">
        <v>18000</v>
      </c>
      <c r="K101" s="225">
        <v>0.1</v>
      </c>
      <c r="L101" s="224"/>
      <c r="M101" s="225" t="s">
        <v>2048</v>
      </c>
      <c r="N101" s="224" t="s">
        <v>790</v>
      </c>
    </row>
    <row r="102" spans="1:14" s="226" customFormat="1" ht="37.5" customHeight="1">
      <c r="A102" s="224" t="s">
        <v>2223</v>
      </c>
      <c r="B102" s="224"/>
      <c r="C102" s="224" t="s">
        <v>1075</v>
      </c>
      <c r="D102" s="224" t="s">
        <v>149</v>
      </c>
      <c r="E102" s="224"/>
      <c r="F102" s="224" t="s">
        <v>599</v>
      </c>
      <c r="G102" s="224" t="s">
        <v>589</v>
      </c>
      <c r="I102" s="224" t="s">
        <v>568</v>
      </c>
      <c r="J102" s="224"/>
      <c r="K102" s="225">
        <v>0.25</v>
      </c>
      <c r="L102" s="224" t="s">
        <v>1818</v>
      </c>
      <c r="M102" s="225" t="s">
        <v>2048</v>
      </c>
      <c r="N102" s="224" t="s">
        <v>763</v>
      </c>
    </row>
    <row r="103" spans="1:14" s="226" customFormat="1" ht="37.5" customHeight="1">
      <c r="A103" s="224" t="s">
        <v>2224</v>
      </c>
      <c r="B103" s="224">
        <v>64</v>
      </c>
      <c r="C103" s="224" t="s">
        <v>1820</v>
      </c>
      <c r="D103" s="224" t="s">
        <v>149</v>
      </c>
      <c r="E103" s="224"/>
      <c r="F103" s="224" t="s">
        <v>599</v>
      </c>
      <c r="G103" s="224" t="s">
        <v>621</v>
      </c>
      <c r="H103" s="224" t="s">
        <v>690</v>
      </c>
      <c r="I103" s="224" t="s">
        <v>614</v>
      </c>
      <c r="J103" s="224">
        <v>9800</v>
      </c>
      <c r="K103" s="225">
        <v>0.25</v>
      </c>
      <c r="L103" s="224" t="s">
        <v>1743</v>
      </c>
      <c r="M103" s="225" t="s">
        <v>2149</v>
      </c>
      <c r="N103" s="224" t="s">
        <v>763</v>
      </c>
    </row>
    <row r="104" spans="1:14" s="226" customFormat="1" ht="37.5" customHeight="1">
      <c r="A104" s="224" t="s">
        <v>2225</v>
      </c>
      <c r="B104" s="224">
        <v>65</v>
      </c>
      <c r="C104" s="224" t="s">
        <v>1821</v>
      </c>
      <c r="D104" s="224" t="s">
        <v>149</v>
      </c>
      <c r="E104" s="224"/>
      <c r="F104" s="224" t="s">
        <v>599</v>
      </c>
      <c r="G104" s="224" t="s">
        <v>621</v>
      </c>
      <c r="H104" s="224" t="s">
        <v>690</v>
      </c>
      <c r="I104" s="224" t="s">
        <v>614</v>
      </c>
      <c r="J104" s="224">
        <v>6000</v>
      </c>
      <c r="K104" s="225">
        <v>0.25</v>
      </c>
      <c r="L104" s="224"/>
      <c r="M104" s="225" t="s">
        <v>2149</v>
      </c>
      <c r="N104" s="224" t="s">
        <v>763</v>
      </c>
    </row>
    <row r="105" spans="1:14" s="226" customFormat="1" ht="37.5" customHeight="1">
      <c r="A105" s="224" t="s">
        <v>2226</v>
      </c>
      <c r="B105" s="224">
        <v>145</v>
      </c>
      <c r="C105" s="224" t="s">
        <v>1822</v>
      </c>
      <c r="D105" s="224" t="s">
        <v>149</v>
      </c>
      <c r="E105" s="224"/>
      <c r="F105" s="224" t="s">
        <v>599</v>
      </c>
      <c r="G105" s="224" t="s">
        <v>621</v>
      </c>
      <c r="H105" s="224" t="s">
        <v>690</v>
      </c>
      <c r="I105" s="224" t="s">
        <v>614</v>
      </c>
      <c r="J105" s="224">
        <v>6000</v>
      </c>
      <c r="K105" s="225">
        <v>0.25</v>
      </c>
      <c r="L105" s="224"/>
      <c r="M105" s="225" t="s">
        <v>2149</v>
      </c>
      <c r="N105" s="224" t="s">
        <v>763</v>
      </c>
    </row>
    <row r="106" spans="1:14" s="226" customFormat="1" ht="41.25" customHeight="1">
      <c r="A106" s="224" t="s">
        <v>2227</v>
      </c>
      <c r="B106" s="224"/>
      <c r="C106" s="224" t="s">
        <v>1079</v>
      </c>
      <c r="D106" s="224" t="s">
        <v>149</v>
      </c>
      <c r="E106" s="224"/>
      <c r="F106" s="224" t="s">
        <v>599</v>
      </c>
      <c r="G106" s="224" t="s">
        <v>589</v>
      </c>
      <c r="H106" s="224"/>
      <c r="I106" s="224" t="s">
        <v>569</v>
      </c>
      <c r="J106" s="224"/>
      <c r="K106" s="225"/>
      <c r="L106" s="224" t="s">
        <v>1736</v>
      </c>
      <c r="M106" s="225" t="s">
        <v>2149</v>
      </c>
      <c r="N106" s="224" t="s">
        <v>763</v>
      </c>
    </row>
    <row r="107" spans="1:14" s="226" customFormat="1" ht="37.5" customHeight="1">
      <c r="A107" s="224" t="s">
        <v>2228</v>
      </c>
      <c r="B107" s="224">
        <v>125</v>
      </c>
      <c r="C107" s="224" t="s">
        <v>1720</v>
      </c>
      <c r="D107" s="224" t="s">
        <v>151</v>
      </c>
      <c r="E107" s="224"/>
      <c r="F107" s="224" t="s">
        <v>599</v>
      </c>
      <c r="G107" s="224" t="s">
        <v>621</v>
      </c>
      <c r="H107" s="224" t="s">
        <v>702</v>
      </c>
      <c r="I107" s="224" t="s">
        <v>614</v>
      </c>
      <c r="J107" s="224">
        <v>4000</v>
      </c>
      <c r="K107" s="225">
        <v>0.5</v>
      </c>
      <c r="L107" s="224"/>
      <c r="M107" s="225" t="s">
        <v>2048</v>
      </c>
      <c r="N107" s="224" t="s">
        <v>790</v>
      </c>
    </row>
    <row r="108" spans="1:14" s="226" customFormat="1" ht="37.5" customHeight="1">
      <c r="A108" s="224" t="s">
        <v>2229</v>
      </c>
      <c r="B108" s="224">
        <v>23</v>
      </c>
      <c r="C108" s="224" t="s">
        <v>1819</v>
      </c>
      <c r="D108" s="224" t="s">
        <v>151</v>
      </c>
      <c r="E108" s="224"/>
      <c r="F108" s="224" t="s">
        <v>599</v>
      </c>
      <c r="G108" s="224" t="s">
        <v>621</v>
      </c>
      <c r="H108" s="224" t="s">
        <v>664</v>
      </c>
      <c r="I108" s="224" t="s">
        <v>614</v>
      </c>
      <c r="J108" s="224">
        <v>600</v>
      </c>
      <c r="K108" s="225">
        <v>0.25</v>
      </c>
      <c r="L108" s="224"/>
      <c r="M108" s="225" t="s">
        <v>2048</v>
      </c>
      <c r="N108" s="224" t="s">
        <v>790</v>
      </c>
    </row>
    <row r="109" spans="1:14" s="226" customFormat="1" ht="37.5" customHeight="1">
      <c r="A109" s="224" t="s">
        <v>2230</v>
      </c>
      <c r="B109" s="224"/>
      <c r="C109" s="224" t="s">
        <v>1721</v>
      </c>
      <c r="D109" s="224" t="s">
        <v>151</v>
      </c>
      <c r="E109" s="224"/>
      <c r="F109" s="224" t="s">
        <v>599</v>
      </c>
      <c r="G109" s="224" t="s">
        <v>589</v>
      </c>
      <c r="H109" s="224"/>
      <c r="I109" s="224" t="s">
        <v>569</v>
      </c>
      <c r="J109" s="224"/>
      <c r="K109" s="225"/>
      <c r="L109" s="224" t="s">
        <v>1736</v>
      </c>
      <c r="M109" s="225" t="s">
        <v>2048</v>
      </c>
      <c r="N109" s="224" t="s">
        <v>763</v>
      </c>
    </row>
    <row r="110" spans="1:14" s="226" customFormat="1" ht="37.5" customHeight="1">
      <c r="A110" s="224" t="s">
        <v>2231</v>
      </c>
      <c r="B110" s="224"/>
      <c r="C110" s="224" t="s">
        <v>1722</v>
      </c>
      <c r="D110" s="224" t="s">
        <v>151</v>
      </c>
      <c r="E110" s="224"/>
      <c r="F110" s="224" t="s">
        <v>599</v>
      </c>
      <c r="G110" s="224" t="s">
        <v>589</v>
      </c>
      <c r="H110" s="224"/>
      <c r="I110" s="224" t="s">
        <v>569</v>
      </c>
      <c r="J110" s="224"/>
      <c r="K110" s="225"/>
      <c r="L110" s="224" t="s">
        <v>1737</v>
      </c>
      <c r="M110" s="225" t="s">
        <v>2048</v>
      </c>
      <c r="N110" s="224" t="s">
        <v>763</v>
      </c>
    </row>
    <row r="111" spans="1:14" s="226" customFormat="1" ht="37.5" customHeight="1">
      <c r="A111" s="224" t="s">
        <v>2232</v>
      </c>
      <c r="B111" s="224"/>
      <c r="C111" s="224" t="s">
        <v>1723</v>
      </c>
      <c r="D111" s="224" t="s">
        <v>151</v>
      </c>
      <c r="E111" s="224"/>
      <c r="F111" s="224" t="s">
        <v>599</v>
      </c>
      <c r="G111" s="224" t="s">
        <v>589</v>
      </c>
      <c r="H111" s="224"/>
      <c r="I111" s="224" t="s">
        <v>569</v>
      </c>
      <c r="J111" s="224"/>
      <c r="K111" s="225"/>
      <c r="L111" s="224" t="s">
        <v>1736</v>
      </c>
      <c r="M111" s="225" t="s">
        <v>2048</v>
      </c>
      <c r="N111" s="224" t="s">
        <v>763</v>
      </c>
    </row>
    <row r="112" spans="1:14" s="226" customFormat="1" ht="37.5" customHeight="1">
      <c r="A112" s="224" t="s">
        <v>2233</v>
      </c>
      <c r="B112" s="224"/>
      <c r="C112" s="224" t="s">
        <v>1724</v>
      </c>
      <c r="D112" s="224" t="s">
        <v>151</v>
      </c>
      <c r="E112" s="224"/>
      <c r="F112" s="224" t="s">
        <v>599</v>
      </c>
      <c r="G112" s="224" t="s">
        <v>589</v>
      </c>
      <c r="H112" s="224"/>
      <c r="I112" s="224" t="s">
        <v>569</v>
      </c>
      <c r="J112" s="224"/>
      <c r="K112" s="225"/>
      <c r="L112" s="224" t="s">
        <v>1736</v>
      </c>
      <c r="M112" s="225" t="s">
        <v>2048</v>
      </c>
      <c r="N112" s="224" t="s">
        <v>763</v>
      </c>
    </row>
    <row r="113" spans="1:14" s="226" customFormat="1" ht="37.5" customHeight="1">
      <c r="A113" s="224" t="s">
        <v>2234</v>
      </c>
      <c r="B113" s="224"/>
      <c r="C113" s="224" t="s">
        <v>1725</v>
      </c>
      <c r="D113" s="224" t="s">
        <v>151</v>
      </c>
      <c r="E113" s="224"/>
      <c r="F113" s="224" t="s">
        <v>599</v>
      </c>
      <c r="G113" s="224" t="s">
        <v>589</v>
      </c>
      <c r="H113" s="224"/>
      <c r="I113" s="224" t="s">
        <v>569</v>
      </c>
      <c r="J113" s="224"/>
      <c r="K113" s="225"/>
      <c r="L113" s="224" t="s">
        <v>1737</v>
      </c>
      <c r="M113" s="225" t="s">
        <v>2048</v>
      </c>
      <c r="N113" s="224" t="s">
        <v>763</v>
      </c>
    </row>
    <row r="114" spans="1:14" s="226" customFormat="1" ht="37.5" customHeight="1">
      <c r="A114" s="224" t="s">
        <v>2235</v>
      </c>
      <c r="B114" s="224"/>
      <c r="C114" s="224" t="s">
        <v>1726</v>
      </c>
      <c r="D114" s="224" t="s">
        <v>151</v>
      </c>
      <c r="E114" s="224"/>
      <c r="F114" s="224" t="s">
        <v>599</v>
      </c>
      <c r="G114" s="224" t="s">
        <v>589</v>
      </c>
      <c r="H114" s="224"/>
      <c r="I114" s="224" t="s">
        <v>569</v>
      </c>
      <c r="J114" s="224"/>
      <c r="K114" s="225"/>
      <c r="L114" s="224" t="s">
        <v>1738</v>
      </c>
      <c r="M114" s="225" t="s">
        <v>2048</v>
      </c>
      <c r="N114" s="224" t="s">
        <v>763</v>
      </c>
    </row>
    <row r="115" spans="1:14" s="226" customFormat="1" ht="37.5" customHeight="1">
      <c r="A115" s="224" t="s">
        <v>2236</v>
      </c>
      <c r="B115" s="224"/>
      <c r="C115" s="224" t="s">
        <v>1727</v>
      </c>
      <c r="D115" s="224" t="s">
        <v>151</v>
      </c>
      <c r="E115" s="224"/>
      <c r="F115" s="224" t="s">
        <v>599</v>
      </c>
      <c r="G115" s="224" t="s">
        <v>589</v>
      </c>
      <c r="H115" s="224"/>
      <c r="I115" s="224" t="s">
        <v>569</v>
      </c>
      <c r="J115" s="224"/>
      <c r="K115" s="225"/>
      <c r="L115" s="224" t="s">
        <v>1738</v>
      </c>
      <c r="M115" s="225" t="s">
        <v>2048</v>
      </c>
      <c r="N115" s="224" t="s">
        <v>763</v>
      </c>
    </row>
    <row r="116" spans="1:14" s="226" customFormat="1" ht="37.5" customHeight="1">
      <c r="A116" s="224" t="s">
        <v>2237</v>
      </c>
      <c r="B116" s="224"/>
      <c r="C116" s="224" t="s">
        <v>1728</v>
      </c>
      <c r="D116" s="224" t="s">
        <v>151</v>
      </c>
      <c r="E116" s="224"/>
      <c r="F116" s="224" t="s">
        <v>599</v>
      </c>
      <c r="G116" s="224" t="s">
        <v>589</v>
      </c>
      <c r="H116" s="224"/>
      <c r="I116" s="224" t="s">
        <v>569</v>
      </c>
      <c r="J116" s="224"/>
      <c r="K116" s="225"/>
      <c r="L116" s="224" t="s">
        <v>1736</v>
      </c>
      <c r="M116" s="225" t="s">
        <v>2048</v>
      </c>
      <c r="N116" s="224" t="s">
        <v>763</v>
      </c>
    </row>
    <row r="117" spans="1:14" s="226" customFormat="1" ht="37.5" customHeight="1">
      <c r="A117" s="224" t="s">
        <v>2238</v>
      </c>
      <c r="B117" s="224"/>
      <c r="C117" s="224" t="s">
        <v>1729</v>
      </c>
      <c r="D117" s="224" t="s">
        <v>151</v>
      </c>
      <c r="E117" s="224"/>
      <c r="F117" s="224" t="s">
        <v>599</v>
      </c>
      <c r="G117" s="224" t="s">
        <v>589</v>
      </c>
      <c r="H117" s="224"/>
      <c r="I117" s="224" t="s">
        <v>569</v>
      </c>
      <c r="J117" s="224"/>
      <c r="K117" s="225"/>
      <c r="L117" s="224" t="s">
        <v>1736</v>
      </c>
      <c r="M117" s="225" t="s">
        <v>2048</v>
      </c>
      <c r="N117" s="224" t="s">
        <v>763</v>
      </c>
    </row>
    <row r="118" spans="1:14" s="226" customFormat="1" ht="37.5" customHeight="1">
      <c r="A118" s="224" t="s">
        <v>2239</v>
      </c>
      <c r="B118" s="224"/>
      <c r="C118" s="224" t="s">
        <v>1730</v>
      </c>
      <c r="D118" s="224" t="s">
        <v>151</v>
      </c>
      <c r="E118" s="224"/>
      <c r="F118" s="224" t="s">
        <v>599</v>
      </c>
      <c r="G118" s="224" t="s">
        <v>589</v>
      </c>
      <c r="H118" s="224"/>
      <c r="I118" s="224" t="s">
        <v>569</v>
      </c>
      <c r="J118" s="224"/>
      <c r="K118" s="225"/>
      <c r="L118" s="224" t="s">
        <v>1739</v>
      </c>
      <c r="M118" s="225" t="s">
        <v>2048</v>
      </c>
      <c r="N118" s="224" t="s">
        <v>763</v>
      </c>
    </row>
    <row r="119" spans="1:14" s="226" customFormat="1" ht="37.5" customHeight="1">
      <c r="A119" s="224" t="s">
        <v>2240</v>
      </c>
      <c r="B119" s="224"/>
      <c r="C119" s="224" t="s">
        <v>1731</v>
      </c>
      <c r="D119" s="224" t="s">
        <v>151</v>
      </c>
      <c r="E119" s="224"/>
      <c r="F119" s="224" t="s">
        <v>599</v>
      </c>
      <c r="G119" s="224" t="s">
        <v>589</v>
      </c>
      <c r="H119" s="224"/>
      <c r="I119" s="224" t="s">
        <v>569</v>
      </c>
      <c r="J119" s="224"/>
      <c r="K119" s="225"/>
      <c r="L119" s="224" t="s">
        <v>1740</v>
      </c>
      <c r="M119" s="225" t="s">
        <v>2048</v>
      </c>
      <c r="N119" s="224" t="s">
        <v>763</v>
      </c>
    </row>
    <row r="120" spans="1:14" s="226" customFormat="1" ht="37.5" customHeight="1">
      <c r="A120" s="224" t="s">
        <v>2241</v>
      </c>
      <c r="B120" s="224"/>
      <c r="C120" s="224" t="s">
        <v>1732</v>
      </c>
      <c r="D120" s="224" t="s">
        <v>151</v>
      </c>
      <c r="E120" s="224"/>
      <c r="F120" s="224" t="s">
        <v>599</v>
      </c>
      <c r="G120" s="224" t="s">
        <v>589</v>
      </c>
      <c r="H120" s="224"/>
      <c r="I120" s="224" t="s">
        <v>569</v>
      </c>
      <c r="J120" s="224"/>
      <c r="K120" s="225"/>
      <c r="L120" s="224" t="s">
        <v>1739</v>
      </c>
      <c r="M120" s="225" t="s">
        <v>2048</v>
      </c>
      <c r="N120" s="224" t="s">
        <v>763</v>
      </c>
    </row>
    <row r="121" spans="1:14" s="226" customFormat="1" ht="37.5" customHeight="1">
      <c r="A121" s="224" t="s">
        <v>2242</v>
      </c>
      <c r="B121" s="224"/>
      <c r="C121" s="224" t="s">
        <v>1733</v>
      </c>
      <c r="D121" s="224" t="s">
        <v>151</v>
      </c>
      <c r="E121" s="224"/>
      <c r="F121" s="224" t="s">
        <v>599</v>
      </c>
      <c r="G121" s="224" t="s">
        <v>589</v>
      </c>
      <c r="H121" s="224"/>
      <c r="I121" s="224" t="s">
        <v>569</v>
      </c>
      <c r="J121" s="224"/>
      <c r="K121" s="225"/>
      <c r="L121" s="224" t="s">
        <v>1736</v>
      </c>
      <c r="M121" s="225" t="s">
        <v>2048</v>
      </c>
      <c r="N121" s="224" t="s">
        <v>790</v>
      </c>
    </row>
    <row r="122" spans="1:14" s="226" customFormat="1" ht="37.5" customHeight="1">
      <c r="A122" s="224" t="s">
        <v>2243</v>
      </c>
      <c r="B122" s="224"/>
      <c r="C122" s="224" t="s">
        <v>1734</v>
      </c>
      <c r="D122" s="224" t="s">
        <v>151</v>
      </c>
      <c r="E122" s="224"/>
      <c r="F122" s="224" t="s">
        <v>599</v>
      </c>
      <c r="G122" s="224" t="s">
        <v>589</v>
      </c>
      <c r="H122" s="224"/>
      <c r="I122" s="224" t="s">
        <v>569</v>
      </c>
      <c r="J122" s="224"/>
      <c r="K122" s="225"/>
      <c r="L122" s="224" t="s">
        <v>1741</v>
      </c>
      <c r="M122" s="225" t="s">
        <v>2048</v>
      </c>
      <c r="N122" s="224" t="s">
        <v>763</v>
      </c>
    </row>
    <row r="123" spans="1:14" s="226" customFormat="1" ht="37.5" customHeight="1">
      <c r="A123" s="224" t="s">
        <v>2244</v>
      </c>
      <c r="B123" s="224"/>
      <c r="C123" s="224" t="s">
        <v>1735</v>
      </c>
      <c r="D123" s="224" t="s">
        <v>151</v>
      </c>
      <c r="E123" s="224"/>
      <c r="F123" s="224" t="s">
        <v>599</v>
      </c>
      <c r="G123" s="224" t="s">
        <v>589</v>
      </c>
      <c r="H123" s="224"/>
      <c r="I123" s="224" t="s">
        <v>569</v>
      </c>
      <c r="J123" s="224"/>
      <c r="K123" s="225"/>
      <c r="L123" s="224" t="s">
        <v>1741</v>
      </c>
      <c r="M123" s="225" t="s">
        <v>2048</v>
      </c>
      <c r="N123" s="224" t="s">
        <v>790</v>
      </c>
    </row>
    <row r="124" spans="1:14" s="226" customFormat="1" ht="37.5" customHeight="1">
      <c r="A124" s="224" t="s">
        <v>2245</v>
      </c>
      <c r="B124" s="224"/>
      <c r="C124" s="224" t="s">
        <v>1084</v>
      </c>
      <c r="D124" s="224" t="s">
        <v>153</v>
      </c>
      <c r="E124" s="224"/>
      <c r="F124" s="224" t="s">
        <v>599</v>
      </c>
      <c r="G124" s="224" t="s">
        <v>589</v>
      </c>
      <c r="H124" s="224"/>
      <c r="I124" s="224" t="s">
        <v>567</v>
      </c>
      <c r="J124" s="224"/>
      <c r="K124" s="225">
        <v>0.25</v>
      </c>
      <c r="L124" s="224" t="s">
        <v>1818</v>
      </c>
      <c r="M124" s="225" t="s">
        <v>2075</v>
      </c>
      <c r="N124" s="224" t="s">
        <v>763</v>
      </c>
    </row>
    <row r="125" spans="1:14" s="226" customFormat="1" ht="44.25" customHeight="1">
      <c r="A125" s="224" t="s">
        <v>2246</v>
      </c>
      <c r="B125" s="224">
        <v>77</v>
      </c>
      <c r="C125" s="224" t="s">
        <v>1823</v>
      </c>
      <c r="D125" s="224" t="s">
        <v>156</v>
      </c>
      <c r="E125" s="224"/>
      <c r="F125" s="224" t="s">
        <v>599</v>
      </c>
      <c r="G125" s="224" t="s">
        <v>621</v>
      </c>
      <c r="H125" s="224" t="s">
        <v>1824</v>
      </c>
      <c r="I125" s="224" t="s">
        <v>570</v>
      </c>
      <c r="J125" s="224">
        <v>4000</v>
      </c>
      <c r="K125" s="225">
        <v>0.25</v>
      </c>
      <c r="L125" s="224"/>
      <c r="M125" s="225" t="s">
        <v>2107</v>
      </c>
      <c r="N125" s="224" t="s">
        <v>790</v>
      </c>
    </row>
    <row r="126" spans="1:14" s="226" customFormat="1" ht="37.5" customHeight="1">
      <c r="A126" s="224" t="s">
        <v>2247</v>
      </c>
      <c r="B126" s="224">
        <v>86</v>
      </c>
      <c r="C126" s="224" t="s">
        <v>1825</v>
      </c>
      <c r="D126" s="224" t="s">
        <v>158</v>
      </c>
      <c r="E126" s="224"/>
      <c r="F126" s="224" t="s">
        <v>599</v>
      </c>
      <c r="G126" s="224" t="s">
        <v>621</v>
      </c>
      <c r="H126" s="224" t="s">
        <v>692</v>
      </c>
      <c r="I126" s="224" t="s">
        <v>569</v>
      </c>
      <c r="J126" s="224">
        <v>18000</v>
      </c>
      <c r="K126" s="225">
        <v>0.33</v>
      </c>
      <c r="L126" s="224"/>
      <c r="M126" s="225" t="s">
        <v>2134</v>
      </c>
      <c r="N126" s="224" t="s">
        <v>790</v>
      </c>
    </row>
    <row r="127" spans="1:14" s="226" customFormat="1" ht="69" customHeight="1">
      <c r="A127" s="224" t="s">
        <v>2248</v>
      </c>
      <c r="B127" s="224"/>
      <c r="C127" s="224" t="s">
        <v>1089</v>
      </c>
      <c r="D127" s="224" t="s">
        <v>158</v>
      </c>
      <c r="E127" s="224"/>
      <c r="F127" s="224" t="s">
        <v>599</v>
      </c>
      <c r="G127" s="224" t="s">
        <v>589</v>
      </c>
      <c r="H127" s="224"/>
      <c r="I127" s="224" t="s">
        <v>570</v>
      </c>
      <c r="J127" s="224"/>
      <c r="K127" s="225">
        <v>0.25</v>
      </c>
      <c r="L127" s="224" t="s">
        <v>1818</v>
      </c>
      <c r="M127" s="225" t="s">
        <v>2134</v>
      </c>
      <c r="N127" s="224" t="s">
        <v>763</v>
      </c>
    </row>
    <row r="128" spans="1:14" s="226" customFormat="1" ht="37.5" customHeight="1">
      <c r="A128" s="224" t="s">
        <v>2249</v>
      </c>
      <c r="B128" s="224"/>
      <c r="C128" s="224" t="s">
        <v>1097</v>
      </c>
      <c r="D128" s="224" t="s">
        <v>160</v>
      </c>
      <c r="E128" s="224"/>
      <c r="F128" s="224" t="s">
        <v>599</v>
      </c>
      <c r="G128" s="224" t="s">
        <v>589</v>
      </c>
      <c r="H128" s="224"/>
      <c r="I128" s="224" t="s">
        <v>614</v>
      </c>
      <c r="J128" s="224"/>
      <c r="K128" s="225">
        <v>0.25</v>
      </c>
      <c r="L128" s="224" t="s">
        <v>1818</v>
      </c>
      <c r="M128" s="225" t="s">
        <v>2134</v>
      </c>
      <c r="N128" s="224" t="s">
        <v>763</v>
      </c>
    </row>
    <row r="129" spans="1:14" s="226" customFormat="1" ht="37.5" customHeight="1">
      <c r="A129" s="224" t="s">
        <v>2250</v>
      </c>
      <c r="B129" s="224"/>
      <c r="C129" s="224" t="s">
        <v>1106</v>
      </c>
      <c r="D129" s="224" t="s">
        <v>164</v>
      </c>
      <c r="E129" s="224"/>
      <c r="F129" s="224" t="s">
        <v>599</v>
      </c>
      <c r="G129" s="224" t="s">
        <v>589</v>
      </c>
      <c r="H129" s="224"/>
      <c r="I129" s="224" t="s">
        <v>569</v>
      </c>
      <c r="J129" s="224"/>
      <c r="K129" s="225">
        <v>0.25</v>
      </c>
      <c r="L129" s="224" t="s">
        <v>1818</v>
      </c>
      <c r="M129" s="225" t="s">
        <v>2134</v>
      </c>
      <c r="N129" s="224" t="s">
        <v>763</v>
      </c>
    </row>
    <row r="130" spans="1:14" s="226" customFormat="1" ht="37.5" customHeight="1">
      <c r="A130" s="224" t="s">
        <v>2251</v>
      </c>
      <c r="B130" s="224"/>
      <c r="C130" s="224" t="s">
        <v>1110</v>
      </c>
      <c r="D130" s="224" t="s">
        <v>164</v>
      </c>
      <c r="E130" s="224"/>
      <c r="F130" s="224" t="s">
        <v>599</v>
      </c>
      <c r="G130" s="224" t="s">
        <v>589</v>
      </c>
      <c r="H130" s="224"/>
      <c r="I130" s="224" t="s">
        <v>569</v>
      </c>
      <c r="J130" s="224"/>
      <c r="K130" s="224"/>
      <c r="L130" s="224" t="s">
        <v>1736</v>
      </c>
      <c r="M130" s="225" t="s">
        <v>2134</v>
      </c>
      <c r="N130" s="224" t="s">
        <v>763</v>
      </c>
    </row>
    <row r="131" spans="1:14" s="226" customFormat="1" ht="37.5" customHeight="1">
      <c r="A131" s="224" t="s">
        <v>2252</v>
      </c>
      <c r="B131" s="224">
        <v>146</v>
      </c>
      <c r="C131" s="224" t="s">
        <v>1826</v>
      </c>
      <c r="D131" s="224" t="s">
        <v>166</v>
      </c>
      <c r="E131" s="224"/>
      <c r="F131" s="224" t="s">
        <v>599</v>
      </c>
      <c r="G131" s="224" t="s">
        <v>621</v>
      </c>
      <c r="H131" s="224" t="s">
        <v>690</v>
      </c>
      <c r="I131" s="224" t="s">
        <v>569</v>
      </c>
      <c r="J131" s="224">
        <v>4000</v>
      </c>
      <c r="K131" s="225">
        <v>0.25</v>
      </c>
      <c r="L131" s="224"/>
      <c r="M131" s="225" t="s">
        <v>2134</v>
      </c>
      <c r="N131" s="224" t="s">
        <v>790</v>
      </c>
    </row>
    <row r="132" spans="1:14" s="226" customFormat="1" ht="37.5" customHeight="1">
      <c r="A132" s="224" t="s">
        <v>2253</v>
      </c>
      <c r="B132" s="224">
        <v>7</v>
      </c>
      <c r="C132" s="224" t="s">
        <v>1827</v>
      </c>
      <c r="D132" s="224" t="s">
        <v>170</v>
      </c>
      <c r="E132" s="224"/>
      <c r="F132" s="224" t="s">
        <v>599</v>
      </c>
      <c r="G132" s="224" t="s">
        <v>621</v>
      </c>
      <c r="H132" s="224" t="s">
        <v>1828</v>
      </c>
      <c r="I132" s="224" t="s">
        <v>614</v>
      </c>
      <c r="J132" s="224">
        <v>2500</v>
      </c>
      <c r="K132" s="225">
        <v>0.25</v>
      </c>
      <c r="L132" s="224"/>
      <c r="M132" s="225" t="s">
        <v>2107</v>
      </c>
      <c r="N132" s="224" t="s">
        <v>790</v>
      </c>
    </row>
    <row r="133" spans="1:14" s="229" customFormat="1" ht="37.5" customHeight="1">
      <c r="A133" s="515" t="s">
        <v>2254</v>
      </c>
      <c r="B133" s="227"/>
      <c r="C133" s="227" t="s">
        <v>1144</v>
      </c>
      <c r="D133" s="227" t="s">
        <v>186</v>
      </c>
      <c r="E133" s="227"/>
      <c r="F133" s="227" t="s">
        <v>600</v>
      </c>
      <c r="G133" s="227" t="s">
        <v>589</v>
      </c>
      <c r="H133" s="227"/>
      <c r="I133" s="227" t="s">
        <v>572</v>
      </c>
      <c r="J133" s="227"/>
      <c r="K133" s="228">
        <v>0.1</v>
      </c>
      <c r="L133" s="227" t="s">
        <v>1829</v>
      </c>
      <c r="M133" s="228" t="s">
        <v>2150</v>
      </c>
      <c r="N133" s="227" t="s">
        <v>763</v>
      </c>
    </row>
    <row r="134" spans="1:14" s="229" customFormat="1" ht="55.5" customHeight="1">
      <c r="A134" s="515" t="s">
        <v>2255</v>
      </c>
      <c r="B134" s="227">
        <v>149</v>
      </c>
      <c r="C134" s="227" t="s">
        <v>1830</v>
      </c>
      <c r="D134" s="227" t="s">
        <v>186</v>
      </c>
      <c r="E134" s="227"/>
      <c r="F134" s="227" t="s">
        <v>600</v>
      </c>
      <c r="G134" s="227" t="s">
        <v>621</v>
      </c>
      <c r="H134" s="227" t="s">
        <v>690</v>
      </c>
      <c r="I134" s="227" t="s">
        <v>572</v>
      </c>
      <c r="J134" s="227">
        <v>8400</v>
      </c>
      <c r="K134" s="228">
        <v>0.5</v>
      </c>
      <c r="L134" s="227"/>
      <c r="M134" s="228" t="s">
        <v>2150</v>
      </c>
      <c r="N134" s="227" t="s">
        <v>790</v>
      </c>
    </row>
    <row r="135" spans="1:14" s="229" customFormat="1" ht="37.5" customHeight="1">
      <c r="A135" s="515" t="s">
        <v>2256</v>
      </c>
      <c r="B135" s="227"/>
      <c r="C135" s="227" t="s">
        <v>1149</v>
      </c>
      <c r="D135" s="227" t="s">
        <v>186</v>
      </c>
      <c r="E135" s="227"/>
      <c r="F135" s="227" t="s">
        <v>600</v>
      </c>
      <c r="G135" s="227" t="s">
        <v>589</v>
      </c>
      <c r="H135" s="227"/>
      <c r="I135" s="227" t="s">
        <v>572</v>
      </c>
      <c r="J135" s="227"/>
      <c r="K135" s="228">
        <v>0.25</v>
      </c>
      <c r="L135" s="227" t="s">
        <v>1714</v>
      </c>
      <c r="M135" s="228" t="s">
        <v>2150</v>
      </c>
      <c r="N135" s="227" t="s">
        <v>790</v>
      </c>
    </row>
    <row r="136" spans="1:14" s="229" customFormat="1" ht="37.5" customHeight="1">
      <c r="A136" s="515" t="s">
        <v>2257</v>
      </c>
      <c r="B136" s="227">
        <v>153</v>
      </c>
      <c r="C136" s="227" t="s">
        <v>1831</v>
      </c>
      <c r="D136" s="227" t="s">
        <v>186</v>
      </c>
      <c r="E136" s="227"/>
      <c r="F136" s="227" t="s">
        <v>600</v>
      </c>
      <c r="G136" s="227" t="s">
        <v>621</v>
      </c>
      <c r="H136" s="227" t="s">
        <v>1824</v>
      </c>
      <c r="I136" s="227" t="s">
        <v>570</v>
      </c>
      <c r="J136" s="227">
        <v>15000</v>
      </c>
      <c r="K136" s="228">
        <v>0.5</v>
      </c>
      <c r="L136" s="227"/>
      <c r="M136" s="228" t="s">
        <v>2147</v>
      </c>
      <c r="N136" s="227" t="s">
        <v>790</v>
      </c>
    </row>
    <row r="137" spans="1:14" s="229" customFormat="1" ht="77.25" customHeight="1">
      <c r="A137" s="515" t="s">
        <v>2258</v>
      </c>
      <c r="B137" s="227"/>
      <c r="C137" s="227" t="s">
        <v>1156</v>
      </c>
      <c r="D137" s="227" t="s">
        <v>186</v>
      </c>
      <c r="E137" s="227"/>
      <c r="F137" s="227" t="s">
        <v>600</v>
      </c>
      <c r="G137" s="227" t="s">
        <v>589</v>
      </c>
      <c r="H137" s="227"/>
      <c r="I137" s="227" t="s">
        <v>570</v>
      </c>
      <c r="J137" s="227"/>
      <c r="K137" s="228">
        <v>0.25</v>
      </c>
      <c r="L137" s="227" t="s">
        <v>1714</v>
      </c>
      <c r="M137" s="228" t="s">
        <v>2134</v>
      </c>
      <c r="N137" s="227" t="s">
        <v>763</v>
      </c>
    </row>
    <row r="138" spans="1:14" s="229" customFormat="1" ht="70.5" customHeight="1">
      <c r="A138" s="515" t="s">
        <v>2259</v>
      </c>
      <c r="B138" s="227"/>
      <c r="C138" s="227" t="s">
        <v>1162</v>
      </c>
      <c r="D138" s="227" t="s">
        <v>186</v>
      </c>
      <c r="E138" s="227"/>
      <c r="F138" s="227" t="s">
        <v>600</v>
      </c>
      <c r="G138" s="227" t="s">
        <v>589</v>
      </c>
      <c r="H138" s="227"/>
      <c r="I138" s="227" t="s">
        <v>572</v>
      </c>
      <c r="J138" s="227"/>
      <c r="K138" s="228">
        <v>0.25</v>
      </c>
      <c r="L138" s="227" t="s">
        <v>1832</v>
      </c>
      <c r="M138" s="228" t="s">
        <v>2150</v>
      </c>
      <c r="N138" s="227" t="s">
        <v>790</v>
      </c>
    </row>
    <row r="139" spans="1:14" s="229" customFormat="1" ht="30" customHeight="1">
      <c r="A139" s="515" t="s">
        <v>2260</v>
      </c>
      <c r="B139" s="227">
        <v>78</v>
      </c>
      <c r="C139" s="227" t="s">
        <v>1833</v>
      </c>
      <c r="D139" s="227" t="s">
        <v>187</v>
      </c>
      <c r="E139" s="227"/>
      <c r="F139" s="227" t="s">
        <v>600</v>
      </c>
      <c r="G139" s="227" t="s">
        <v>621</v>
      </c>
      <c r="H139" s="227" t="s">
        <v>1824</v>
      </c>
      <c r="I139" s="227" t="s">
        <v>570</v>
      </c>
      <c r="J139" s="227">
        <v>2680</v>
      </c>
      <c r="K139" s="228">
        <v>0.25</v>
      </c>
      <c r="L139" s="227"/>
      <c r="M139" s="228" t="s">
        <v>2150</v>
      </c>
      <c r="N139" s="227" t="s">
        <v>790</v>
      </c>
    </row>
    <row r="140" spans="1:14" s="229" customFormat="1" ht="42.75" customHeight="1">
      <c r="A140" s="515" t="s">
        <v>2261</v>
      </c>
      <c r="B140" s="227">
        <v>136</v>
      </c>
      <c r="C140" s="227" t="s">
        <v>1170</v>
      </c>
      <c r="D140" s="227" t="s">
        <v>189</v>
      </c>
      <c r="E140" s="227"/>
      <c r="F140" s="227" t="s">
        <v>600</v>
      </c>
      <c r="G140" s="227" t="s">
        <v>621</v>
      </c>
      <c r="H140" s="227" t="s">
        <v>664</v>
      </c>
      <c r="I140" s="227" t="s">
        <v>572</v>
      </c>
      <c r="J140" s="227">
        <v>4000</v>
      </c>
      <c r="K140" s="228">
        <v>0.25</v>
      </c>
      <c r="L140" s="227"/>
      <c r="M140" s="228" t="s">
        <v>2147</v>
      </c>
      <c r="N140" s="227" t="s">
        <v>790</v>
      </c>
    </row>
    <row r="141" spans="1:14" s="229" customFormat="1" ht="54" customHeight="1">
      <c r="A141" s="515" t="s">
        <v>2262</v>
      </c>
      <c r="B141" s="227">
        <v>1</v>
      </c>
      <c r="C141" s="227" t="s">
        <v>1172</v>
      </c>
      <c r="D141" s="227" t="s">
        <v>189</v>
      </c>
      <c r="E141" s="227"/>
      <c r="F141" s="227" t="s">
        <v>600</v>
      </c>
      <c r="G141" s="227" t="s">
        <v>621</v>
      </c>
      <c r="H141" s="227" t="s">
        <v>642</v>
      </c>
      <c r="I141" s="227" t="s">
        <v>574</v>
      </c>
      <c r="J141" s="227">
        <v>10000</v>
      </c>
      <c r="K141" s="228">
        <v>0.25</v>
      </c>
      <c r="L141" s="227"/>
      <c r="M141" s="228" t="s">
        <v>2147</v>
      </c>
      <c r="N141" s="227" t="s">
        <v>763</v>
      </c>
    </row>
    <row r="142" spans="1:14" s="229" customFormat="1" ht="60.75" customHeight="1">
      <c r="A142" s="515" t="s">
        <v>2263</v>
      </c>
      <c r="B142" s="227">
        <v>24</v>
      </c>
      <c r="C142" s="227" t="s">
        <v>1834</v>
      </c>
      <c r="D142" s="227" t="s">
        <v>189</v>
      </c>
      <c r="E142" s="227"/>
      <c r="F142" s="227" t="s">
        <v>600</v>
      </c>
      <c r="G142" s="227" t="s">
        <v>621</v>
      </c>
      <c r="H142" s="227" t="s">
        <v>664</v>
      </c>
      <c r="I142" s="227" t="s">
        <v>572</v>
      </c>
      <c r="J142" s="227">
        <v>1500</v>
      </c>
      <c r="K142" s="228">
        <v>0.25</v>
      </c>
      <c r="L142" s="227"/>
      <c r="M142" s="228" t="s">
        <v>2147</v>
      </c>
      <c r="N142" s="227" t="s">
        <v>790</v>
      </c>
    </row>
    <row r="143" spans="1:14" s="229" customFormat="1" ht="41.25" customHeight="1">
      <c r="A143" s="515" t="s">
        <v>2264</v>
      </c>
      <c r="B143" s="227">
        <v>142</v>
      </c>
      <c r="C143" s="227" t="s">
        <v>1835</v>
      </c>
      <c r="D143" s="227" t="s">
        <v>192</v>
      </c>
      <c r="E143" s="227"/>
      <c r="F143" s="227" t="s">
        <v>600</v>
      </c>
      <c r="G143" s="227" t="s">
        <v>621</v>
      </c>
      <c r="H143" s="227" t="s">
        <v>674</v>
      </c>
      <c r="I143" s="227" t="s">
        <v>568</v>
      </c>
      <c r="J143" s="227">
        <v>2000</v>
      </c>
      <c r="K143" s="228">
        <v>0.25</v>
      </c>
      <c r="L143" s="227"/>
      <c r="M143" s="228" t="s">
        <v>2150</v>
      </c>
      <c r="N143" s="227" t="s">
        <v>763</v>
      </c>
    </row>
    <row r="144" spans="1:14" s="229" customFormat="1" ht="47.25" customHeight="1">
      <c r="A144" s="515" t="s">
        <v>2265</v>
      </c>
      <c r="B144" s="227">
        <v>157</v>
      </c>
      <c r="C144" s="227" t="s">
        <v>1836</v>
      </c>
      <c r="D144" s="227" t="s">
        <v>192</v>
      </c>
      <c r="E144" s="227"/>
      <c r="F144" s="227" t="s">
        <v>600</v>
      </c>
      <c r="G144" s="227" t="s">
        <v>621</v>
      </c>
      <c r="H144" s="227" t="s">
        <v>692</v>
      </c>
      <c r="I144" s="227" t="s">
        <v>570</v>
      </c>
      <c r="J144" s="227">
        <v>8000</v>
      </c>
      <c r="K144" s="228">
        <v>0.25</v>
      </c>
      <c r="L144" s="227"/>
      <c r="M144" s="228" t="s">
        <v>2150</v>
      </c>
      <c r="N144" s="227" t="s">
        <v>790</v>
      </c>
    </row>
    <row r="145" spans="1:14" s="229" customFormat="1" ht="39.75" customHeight="1">
      <c r="A145" s="515" t="s">
        <v>2266</v>
      </c>
      <c r="B145" s="227">
        <v>99</v>
      </c>
      <c r="C145" s="227" t="s">
        <v>1837</v>
      </c>
      <c r="D145" s="227" t="s">
        <v>192</v>
      </c>
      <c r="E145" s="227"/>
      <c r="F145" s="227" t="s">
        <v>600</v>
      </c>
      <c r="G145" s="227" t="s">
        <v>621</v>
      </c>
      <c r="H145" s="227" t="s">
        <v>696</v>
      </c>
      <c r="I145" s="227" t="s">
        <v>570</v>
      </c>
      <c r="J145" s="227">
        <v>1200</v>
      </c>
      <c r="K145" s="228">
        <v>0.25</v>
      </c>
      <c r="L145" s="227"/>
      <c r="M145" s="228" t="s">
        <v>2150</v>
      </c>
      <c r="N145" s="227" t="s">
        <v>790</v>
      </c>
    </row>
    <row r="146" spans="1:14" s="229" customFormat="1" ht="41.25" customHeight="1">
      <c r="A146" s="515" t="s">
        <v>2267</v>
      </c>
      <c r="B146" s="227">
        <v>100</v>
      </c>
      <c r="C146" s="227" t="s">
        <v>1838</v>
      </c>
      <c r="D146" s="227" t="s">
        <v>192</v>
      </c>
      <c r="E146" s="227"/>
      <c r="F146" s="227" t="s">
        <v>600</v>
      </c>
      <c r="G146" s="227" t="s">
        <v>621</v>
      </c>
      <c r="H146" s="227" t="s">
        <v>696</v>
      </c>
      <c r="I146" s="227" t="s">
        <v>570</v>
      </c>
      <c r="J146" s="227">
        <v>3729.24</v>
      </c>
      <c r="K146" s="228">
        <v>0.25</v>
      </c>
      <c r="L146" s="227"/>
      <c r="M146" s="228" t="s">
        <v>2150</v>
      </c>
      <c r="N146" s="227" t="s">
        <v>790</v>
      </c>
    </row>
    <row r="147" spans="1:14" s="229" customFormat="1" ht="42.75" customHeight="1">
      <c r="A147" s="515" t="s">
        <v>2268</v>
      </c>
      <c r="B147" s="227">
        <v>45</v>
      </c>
      <c r="C147" s="227" t="s">
        <v>1839</v>
      </c>
      <c r="D147" s="227" t="s">
        <v>199</v>
      </c>
      <c r="E147" s="227"/>
      <c r="F147" s="227" t="s">
        <v>600</v>
      </c>
      <c r="G147" s="227" t="s">
        <v>621</v>
      </c>
      <c r="H147" s="227" t="s">
        <v>1840</v>
      </c>
      <c r="I147" s="227" t="s">
        <v>570</v>
      </c>
      <c r="J147" s="227">
        <v>6000</v>
      </c>
      <c r="K147" s="228">
        <v>0.25</v>
      </c>
      <c r="L147" s="227"/>
      <c r="M147" s="228" t="s">
        <v>2075</v>
      </c>
      <c r="N147" s="227" t="s">
        <v>790</v>
      </c>
    </row>
    <row r="148" spans="1:14" s="229" customFormat="1" ht="40.5" customHeight="1">
      <c r="A148" s="515" t="s">
        <v>2269</v>
      </c>
      <c r="B148" s="227">
        <v>46</v>
      </c>
      <c r="C148" s="227" t="s">
        <v>1841</v>
      </c>
      <c r="D148" s="227" t="s">
        <v>199</v>
      </c>
      <c r="E148" s="227"/>
      <c r="F148" s="227" t="s">
        <v>600</v>
      </c>
      <c r="G148" s="227" t="s">
        <v>621</v>
      </c>
      <c r="H148" s="227" t="s">
        <v>1840</v>
      </c>
      <c r="I148" s="227" t="s">
        <v>570</v>
      </c>
      <c r="J148" s="227">
        <v>1500</v>
      </c>
      <c r="K148" s="228">
        <v>0.25</v>
      </c>
      <c r="L148" s="227"/>
      <c r="M148" s="228" t="s">
        <v>2075</v>
      </c>
      <c r="N148" s="227" t="s">
        <v>790</v>
      </c>
    </row>
    <row r="149" spans="1:14" s="229" customFormat="1" ht="54" customHeight="1">
      <c r="A149" s="515" t="s">
        <v>2270</v>
      </c>
      <c r="B149" s="227">
        <v>47</v>
      </c>
      <c r="C149" s="227" t="s">
        <v>1843</v>
      </c>
      <c r="D149" s="227" t="s">
        <v>199</v>
      </c>
      <c r="E149" s="227"/>
      <c r="F149" s="227" t="s">
        <v>600</v>
      </c>
      <c r="G149" s="227" t="s">
        <v>621</v>
      </c>
      <c r="H149" s="227" t="s">
        <v>1840</v>
      </c>
      <c r="I149" s="227" t="s">
        <v>570</v>
      </c>
      <c r="J149" s="227">
        <v>1000</v>
      </c>
      <c r="K149" s="228">
        <v>0.25</v>
      </c>
      <c r="L149" s="227"/>
      <c r="M149" s="228" t="s">
        <v>2151</v>
      </c>
      <c r="N149" s="227" t="s">
        <v>790</v>
      </c>
    </row>
    <row r="150" spans="1:14" s="229" customFormat="1" ht="44.25" customHeight="1">
      <c r="A150" s="515" t="s">
        <v>2271</v>
      </c>
      <c r="B150" s="227">
        <v>48</v>
      </c>
      <c r="C150" s="227" t="s">
        <v>1842</v>
      </c>
      <c r="D150" s="227" t="s">
        <v>199</v>
      </c>
      <c r="E150" s="227"/>
      <c r="F150" s="227" t="s">
        <v>600</v>
      </c>
      <c r="G150" s="227" t="s">
        <v>621</v>
      </c>
      <c r="H150" s="227" t="s">
        <v>1840</v>
      </c>
      <c r="I150" s="227" t="s">
        <v>570</v>
      </c>
      <c r="J150" s="227">
        <v>5000</v>
      </c>
      <c r="K150" s="228">
        <v>0.25</v>
      </c>
      <c r="L150" s="227"/>
      <c r="M150" s="228" t="s">
        <v>2151</v>
      </c>
      <c r="N150" s="227" t="s">
        <v>763</v>
      </c>
    </row>
    <row r="151" spans="1:14" s="229" customFormat="1" ht="44.25" customHeight="1">
      <c r="A151" s="515" t="s">
        <v>2272</v>
      </c>
      <c r="B151" s="227">
        <v>49</v>
      </c>
      <c r="C151" s="227" t="s">
        <v>1844</v>
      </c>
      <c r="D151" s="227" t="s">
        <v>199</v>
      </c>
      <c r="E151" s="227"/>
      <c r="F151" s="227" t="s">
        <v>600</v>
      </c>
      <c r="G151" s="227" t="s">
        <v>621</v>
      </c>
      <c r="H151" s="227" t="s">
        <v>1840</v>
      </c>
      <c r="I151" s="227" t="s">
        <v>570</v>
      </c>
      <c r="J151" s="227">
        <v>5600</v>
      </c>
      <c r="K151" s="228">
        <v>0.25</v>
      </c>
      <c r="L151" s="227"/>
      <c r="M151" s="228" t="s">
        <v>2151</v>
      </c>
      <c r="N151" s="227" t="s">
        <v>790</v>
      </c>
    </row>
    <row r="152" spans="1:14" s="229" customFormat="1" ht="44.25" customHeight="1">
      <c r="A152" s="515" t="s">
        <v>2273</v>
      </c>
      <c r="B152" s="227">
        <v>50</v>
      </c>
      <c r="C152" s="227" t="s">
        <v>1845</v>
      </c>
      <c r="D152" s="227" t="s">
        <v>199</v>
      </c>
      <c r="E152" s="227"/>
      <c r="F152" s="227" t="s">
        <v>600</v>
      </c>
      <c r="G152" s="227" t="s">
        <v>621</v>
      </c>
      <c r="H152" s="227" t="s">
        <v>1840</v>
      </c>
      <c r="I152" s="227" t="s">
        <v>570</v>
      </c>
      <c r="J152" s="227">
        <v>8000</v>
      </c>
      <c r="K152" s="228">
        <v>0.25</v>
      </c>
      <c r="L152" s="227"/>
      <c r="M152" s="228" t="s">
        <v>2151</v>
      </c>
      <c r="N152" s="227" t="s">
        <v>790</v>
      </c>
    </row>
    <row r="153" spans="1:14" s="229" customFormat="1" ht="33" customHeight="1">
      <c r="A153" s="515" t="s">
        <v>2274</v>
      </c>
      <c r="B153" s="227">
        <v>51</v>
      </c>
      <c r="C153" s="227" t="s">
        <v>1846</v>
      </c>
      <c r="D153" s="227" t="s">
        <v>199</v>
      </c>
      <c r="E153" s="227"/>
      <c r="F153" s="227" t="s">
        <v>600</v>
      </c>
      <c r="G153" s="227" t="s">
        <v>621</v>
      </c>
      <c r="H153" s="227" t="s">
        <v>1840</v>
      </c>
      <c r="I153" s="227" t="s">
        <v>570</v>
      </c>
      <c r="J153" s="227">
        <v>2000</v>
      </c>
      <c r="K153" s="228">
        <v>0.25</v>
      </c>
      <c r="L153" s="227"/>
      <c r="M153" s="228" t="s">
        <v>2151</v>
      </c>
      <c r="N153" s="227" t="s">
        <v>790</v>
      </c>
    </row>
    <row r="154" spans="1:14" s="229" customFormat="1" ht="39.75" customHeight="1">
      <c r="A154" s="515" t="s">
        <v>2275</v>
      </c>
      <c r="B154" s="227">
        <v>55</v>
      </c>
      <c r="C154" s="227" t="s">
        <v>1847</v>
      </c>
      <c r="D154" s="227" t="s">
        <v>199</v>
      </c>
      <c r="E154" s="227"/>
      <c r="F154" s="227" t="s">
        <v>600</v>
      </c>
      <c r="G154" s="227" t="s">
        <v>621</v>
      </c>
      <c r="H154" s="227" t="s">
        <v>1840</v>
      </c>
      <c r="I154" s="227" t="s">
        <v>570</v>
      </c>
      <c r="J154" s="227">
        <v>2000</v>
      </c>
      <c r="K154" s="228">
        <v>0.25</v>
      </c>
      <c r="L154" s="227"/>
      <c r="M154" s="228" t="s">
        <v>2146</v>
      </c>
      <c r="N154" s="227" t="s">
        <v>763</v>
      </c>
    </row>
    <row r="155" spans="1:14" s="229" customFormat="1" ht="44.25" customHeight="1">
      <c r="A155" s="515" t="s">
        <v>2276</v>
      </c>
      <c r="B155" s="227">
        <v>138</v>
      </c>
      <c r="C155" s="227" t="s">
        <v>1848</v>
      </c>
      <c r="D155" s="227" t="s">
        <v>199</v>
      </c>
      <c r="E155" s="227"/>
      <c r="F155" s="227" t="s">
        <v>600</v>
      </c>
      <c r="G155" s="227" t="s">
        <v>621</v>
      </c>
      <c r="H155" s="227" t="s">
        <v>1840</v>
      </c>
      <c r="I155" s="227" t="s">
        <v>570</v>
      </c>
      <c r="J155" s="227">
        <v>5500</v>
      </c>
      <c r="K155" s="228">
        <v>0.25</v>
      </c>
      <c r="L155" s="227"/>
      <c r="M155" s="228" t="s">
        <v>2150</v>
      </c>
      <c r="N155" s="227" t="s">
        <v>790</v>
      </c>
    </row>
    <row r="156" spans="1:14" s="229" customFormat="1" ht="51" customHeight="1">
      <c r="A156" s="515" t="s">
        <v>2277</v>
      </c>
      <c r="B156" s="227">
        <v>66</v>
      </c>
      <c r="C156" s="227" t="s">
        <v>1849</v>
      </c>
      <c r="D156" s="227" t="s">
        <v>205</v>
      </c>
      <c r="E156" s="227"/>
      <c r="F156" s="227" t="s">
        <v>600</v>
      </c>
      <c r="G156" s="227" t="s">
        <v>621</v>
      </c>
      <c r="H156" s="227" t="s">
        <v>690</v>
      </c>
      <c r="I156" s="227" t="s">
        <v>570</v>
      </c>
      <c r="J156" s="227">
        <v>15000</v>
      </c>
      <c r="K156" s="228">
        <v>0.25</v>
      </c>
      <c r="L156" s="227"/>
      <c r="M156" s="228" t="s">
        <v>2075</v>
      </c>
      <c r="N156" s="227" t="s">
        <v>790</v>
      </c>
    </row>
    <row r="157" spans="1:14" s="229" customFormat="1" ht="51" customHeight="1">
      <c r="A157" s="515" t="s">
        <v>2278</v>
      </c>
      <c r="B157" s="227"/>
      <c r="C157" s="227" t="s">
        <v>1216</v>
      </c>
      <c r="D157" s="227" t="s">
        <v>205</v>
      </c>
      <c r="E157" s="227"/>
      <c r="F157" s="227" t="s">
        <v>600</v>
      </c>
      <c r="G157" s="227" t="s">
        <v>589</v>
      </c>
      <c r="H157" s="227"/>
      <c r="I157" s="227" t="s">
        <v>570</v>
      </c>
      <c r="J157" s="227"/>
      <c r="K157" s="228">
        <v>0.25</v>
      </c>
      <c r="L157" s="227" t="s">
        <v>1850</v>
      </c>
      <c r="M157" s="228" t="s">
        <v>2121</v>
      </c>
      <c r="N157" s="227" t="s">
        <v>763</v>
      </c>
    </row>
    <row r="158" spans="1:14" s="229" customFormat="1" ht="51" customHeight="1">
      <c r="A158" s="515" t="s">
        <v>2279</v>
      </c>
      <c r="B158" s="227"/>
      <c r="C158" s="227" t="s">
        <v>1219</v>
      </c>
      <c r="D158" s="227" t="s">
        <v>208</v>
      </c>
      <c r="E158" s="227"/>
      <c r="F158" s="227" t="s">
        <v>600</v>
      </c>
      <c r="G158" s="227" t="s">
        <v>589</v>
      </c>
      <c r="H158" s="227"/>
      <c r="I158" s="227" t="s">
        <v>568</v>
      </c>
      <c r="J158" s="227"/>
      <c r="K158" s="228">
        <v>0.25</v>
      </c>
      <c r="L158" s="227" t="s">
        <v>1851</v>
      </c>
      <c r="M158" s="228" t="s">
        <v>2048</v>
      </c>
      <c r="N158" s="227" t="s">
        <v>763</v>
      </c>
    </row>
    <row r="159" spans="1:14" s="229" customFormat="1" ht="51" customHeight="1">
      <c r="A159" s="515" t="s">
        <v>2280</v>
      </c>
      <c r="B159" s="227"/>
      <c r="C159" s="227" t="s">
        <v>1221</v>
      </c>
      <c r="D159" s="227" t="s">
        <v>208</v>
      </c>
      <c r="E159" s="227"/>
      <c r="F159" s="227" t="s">
        <v>600</v>
      </c>
      <c r="G159" s="227" t="s">
        <v>589</v>
      </c>
      <c r="H159" s="227"/>
      <c r="I159" s="227" t="s">
        <v>568</v>
      </c>
      <c r="J159" s="227"/>
      <c r="K159" s="228">
        <v>0.25</v>
      </c>
      <c r="L159" s="227" t="s">
        <v>1851</v>
      </c>
      <c r="M159" s="228" t="s">
        <v>2048</v>
      </c>
      <c r="N159" s="227" t="s">
        <v>763</v>
      </c>
    </row>
    <row r="160" spans="1:14" s="229" customFormat="1" ht="68.25" customHeight="1">
      <c r="A160" s="515" t="s">
        <v>2281</v>
      </c>
      <c r="B160" s="227"/>
      <c r="C160" s="227" t="s">
        <v>1226</v>
      </c>
      <c r="D160" s="227" t="s">
        <v>210</v>
      </c>
      <c r="E160" s="227"/>
      <c r="F160" s="227" t="s">
        <v>600</v>
      </c>
      <c r="G160" s="227" t="s">
        <v>589</v>
      </c>
      <c r="H160" s="227"/>
      <c r="I160" s="227" t="s">
        <v>568</v>
      </c>
      <c r="J160" s="227"/>
      <c r="K160" s="228">
        <v>0.25</v>
      </c>
      <c r="L160" s="227" t="s">
        <v>1851</v>
      </c>
      <c r="M160" s="228" t="s">
        <v>2048</v>
      </c>
      <c r="N160" s="227" t="s">
        <v>790</v>
      </c>
    </row>
    <row r="161" spans="1:14" s="229" customFormat="1" ht="36.75" customHeight="1">
      <c r="A161" s="515" t="s">
        <v>2282</v>
      </c>
      <c r="B161" s="227"/>
      <c r="C161" s="227" t="s">
        <v>1229</v>
      </c>
      <c r="D161" s="227" t="s">
        <v>210</v>
      </c>
      <c r="E161" s="227"/>
      <c r="F161" s="227" t="s">
        <v>600</v>
      </c>
      <c r="G161" s="227" t="s">
        <v>589</v>
      </c>
      <c r="H161" s="227"/>
      <c r="I161" s="227" t="s">
        <v>568</v>
      </c>
      <c r="J161" s="227"/>
      <c r="K161" s="228">
        <v>0.25</v>
      </c>
      <c r="L161" s="227" t="s">
        <v>1852</v>
      </c>
      <c r="M161" s="228" t="s">
        <v>2048</v>
      </c>
      <c r="N161" s="227" t="s">
        <v>790</v>
      </c>
    </row>
    <row r="162" spans="1:14" s="229" customFormat="1" ht="42.75" customHeight="1">
      <c r="A162" s="515" t="s">
        <v>2283</v>
      </c>
      <c r="B162" s="227"/>
      <c r="C162" s="227" t="s">
        <v>1233</v>
      </c>
      <c r="D162" s="227" t="s">
        <v>210</v>
      </c>
      <c r="E162" s="227"/>
      <c r="F162" s="227" t="s">
        <v>600</v>
      </c>
      <c r="G162" s="227" t="s">
        <v>589</v>
      </c>
      <c r="H162" s="227"/>
      <c r="I162" s="227" t="s">
        <v>568</v>
      </c>
      <c r="J162" s="227"/>
      <c r="K162" s="228">
        <v>0.25</v>
      </c>
      <c r="L162" s="227" t="s">
        <v>1766</v>
      </c>
      <c r="M162" s="228" t="s">
        <v>2075</v>
      </c>
      <c r="N162" s="227" t="s">
        <v>790</v>
      </c>
    </row>
    <row r="163" spans="1:14" s="229" customFormat="1" ht="53.25" customHeight="1">
      <c r="A163" s="515" t="s">
        <v>2284</v>
      </c>
      <c r="B163" s="227">
        <v>87</v>
      </c>
      <c r="C163" s="227" t="s">
        <v>1853</v>
      </c>
      <c r="D163" s="227" t="s">
        <v>216</v>
      </c>
      <c r="E163" s="227"/>
      <c r="F163" s="227" t="s">
        <v>600</v>
      </c>
      <c r="G163" s="227" t="s">
        <v>621</v>
      </c>
      <c r="H163" s="227" t="s">
        <v>692</v>
      </c>
      <c r="I163" s="227" t="s">
        <v>567</v>
      </c>
      <c r="J163" s="227">
        <v>3440</v>
      </c>
      <c r="K163" s="228">
        <v>0.25</v>
      </c>
      <c r="L163" s="227"/>
      <c r="M163" s="228" t="s">
        <v>2121</v>
      </c>
      <c r="N163" s="227" t="s">
        <v>790</v>
      </c>
    </row>
    <row r="164" spans="1:14" s="229" customFormat="1" ht="31.5" customHeight="1">
      <c r="A164" s="515" t="s">
        <v>2285</v>
      </c>
      <c r="B164" s="227">
        <v>67</v>
      </c>
      <c r="C164" s="227" t="s">
        <v>1238</v>
      </c>
      <c r="D164" s="227" t="s">
        <v>216</v>
      </c>
      <c r="E164" s="227"/>
      <c r="F164" s="227" t="s">
        <v>600</v>
      </c>
      <c r="G164" s="227" t="s">
        <v>621</v>
      </c>
      <c r="H164" s="227" t="s">
        <v>690</v>
      </c>
      <c r="I164" s="227" t="s">
        <v>567</v>
      </c>
      <c r="J164" s="227">
        <v>18102</v>
      </c>
      <c r="K164" s="228">
        <v>0.25</v>
      </c>
      <c r="L164" s="227"/>
      <c r="M164" s="228" t="s">
        <v>2121</v>
      </c>
      <c r="N164" s="227" t="s">
        <v>790</v>
      </c>
    </row>
    <row r="165" spans="1:14" s="229" customFormat="1" ht="42.75" customHeight="1">
      <c r="A165" s="515" t="s">
        <v>2286</v>
      </c>
      <c r="B165" s="227"/>
      <c r="C165" s="227" t="s">
        <v>1854</v>
      </c>
      <c r="D165" s="227" t="s">
        <v>216</v>
      </c>
      <c r="E165" s="227"/>
      <c r="F165" s="227" t="s">
        <v>600</v>
      </c>
      <c r="G165" s="227" t="s">
        <v>623</v>
      </c>
      <c r="H165" s="227"/>
      <c r="I165" s="227" t="s">
        <v>567</v>
      </c>
      <c r="J165" s="227">
        <v>40365.599999999999</v>
      </c>
      <c r="K165" s="228">
        <v>0.25</v>
      </c>
      <c r="L165" s="227" t="s">
        <v>1855</v>
      </c>
      <c r="M165" s="228" t="s">
        <v>2121</v>
      </c>
      <c r="N165" s="227" t="s">
        <v>790</v>
      </c>
    </row>
    <row r="166" spans="1:14" s="229" customFormat="1" ht="42.75" customHeight="1">
      <c r="A166" s="515" t="s">
        <v>2287</v>
      </c>
      <c r="B166" s="227"/>
      <c r="C166" s="227" t="s">
        <v>1244</v>
      </c>
      <c r="D166" s="227" t="s">
        <v>216</v>
      </c>
      <c r="E166" s="227"/>
      <c r="F166" s="227" t="s">
        <v>600</v>
      </c>
      <c r="G166" s="227" t="s">
        <v>589</v>
      </c>
      <c r="H166" s="227"/>
      <c r="I166" s="227" t="s">
        <v>568</v>
      </c>
      <c r="J166" s="227"/>
      <c r="K166" s="228">
        <v>0.25</v>
      </c>
      <c r="L166" s="227" t="s">
        <v>1766</v>
      </c>
      <c r="M166" s="228" t="s">
        <v>2121</v>
      </c>
      <c r="N166" s="227" t="s">
        <v>763</v>
      </c>
    </row>
    <row r="167" spans="1:14" s="229" customFormat="1" ht="42.75" customHeight="1">
      <c r="A167" s="515" t="s">
        <v>2288</v>
      </c>
      <c r="B167" s="227">
        <v>88</v>
      </c>
      <c r="C167" s="227" t="s">
        <v>1856</v>
      </c>
      <c r="D167" s="227" t="s">
        <v>218</v>
      </c>
      <c r="E167" s="227"/>
      <c r="F167" s="227" t="s">
        <v>600</v>
      </c>
      <c r="G167" s="227" t="s">
        <v>621</v>
      </c>
      <c r="H167" s="227" t="s">
        <v>692</v>
      </c>
      <c r="I167" s="227" t="s">
        <v>567</v>
      </c>
      <c r="J167" s="227">
        <v>2200</v>
      </c>
      <c r="K167" s="228">
        <v>0.25</v>
      </c>
      <c r="L167" s="227"/>
      <c r="M167" s="228" t="s">
        <v>2075</v>
      </c>
      <c r="N167" s="227" t="s">
        <v>763</v>
      </c>
    </row>
    <row r="168" spans="1:14" s="229" customFormat="1" ht="42.75" customHeight="1">
      <c r="A168" s="515" t="s">
        <v>2289</v>
      </c>
      <c r="B168" s="227"/>
      <c r="C168" s="227" t="s">
        <v>1857</v>
      </c>
      <c r="D168" s="227" t="s">
        <v>218</v>
      </c>
      <c r="E168" s="227"/>
      <c r="F168" s="227" t="s">
        <v>600</v>
      </c>
      <c r="G168" s="227" t="s">
        <v>589</v>
      </c>
      <c r="H168" s="227"/>
      <c r="I168" s="227" t="s">
        <v>567</v>
      </c>
      <c r="J168" s="227"/>
      <c r="K168" s="228">
        <v>0.25</v>
      </c>
      <c r="L168" s="227" t="s">
        <v>1858</v>
      </c>
      <c r="M168" s="228" t="s">
        <v>2075</v>
      </c>
      <c r="N168" s="227" t="s">
        <v>790</v>
      </c>
    </row>
    <row r="169" spans="1:14" s="229" customFormat="1" ht="57.75" customHeight="1">
      <c r="A169" s="515" t="s">
        <v>2290</v>
      </c>
      <c r="B169" s="227"/>
      <c r="C169" s="227" t="s">
        <v>1254</v>
      </c>
      <c r="D169" s="227" t="s">
        <v>1252</v>
      </c>
      <c r="E169" s="227"/>
      <c r="F169" s="227" t="s">
        <v>600</v>
      </c>
      <c r="G169" s="227" t="s">
        <v>589</v>
      </c>
      <c r="H169" s="227"/>
      <c r="I169" s="227" t="s">
        <v>570</v>
      </c>
      <c r="J169" s="227"/>
      <c r="K169" s="228">
        <v>0.25</v>
      </c>
      <c r="L169" s="227" t="s">
        <v>1858</v>
      </c>
      <c r="M169" s="228" t="s">
        <v>2107</v>
      </c>
      <c r="N169" s="227" t="s">
        <v>763</v>
      </c>
    </row>
    <row r="170" spans="1:14" s="229" customFormat="1" ht="42.75" customHeight="1">
      <c r="A170" s="515" t="s">
        <v>2291</v>
      </c>
      <c r="B170" s="227">
        <v>104</v>
      </c>
      <c r="C170" s="227" t="s">
        <v>2471</v>
      </c>
      <c r="D170" s="227" t="s">
        <v>1252</v>
      </c>
      <c r="E170" s="227"/>
      <c r="F170" s="227" t="s">
        <v>600</v>
      </c>
      <c r="G170" s="227" t="s">
        <v>621</v>
      </c>
      <c r="H170" s="227" t="s">
        <v>696</v>
      </c>
      <c r="I170" s="227" t="s">
        <v>570</v>
      </c>
      <c r="J170" s="227">
        <v>6000</v>
      </c>
      <c r="K170" s="228">
        <v>0.5</v>
      </c>
      <c r="L170" s="227"/>
      <c r="M170" s="228" t="s">
        <v>2075</v>
      </c>
      <c r="N170" s="227" t="s">
        <v>790</v>
      </c>
    </row>
    <row r="171" spans="1:14" s="229" customFormat="1" ht="42.75" customHeight="1">
      <c r="A171" s="515" t="s">
        <v>2292</v>
      </c>
      <c r="B171" s="227">
        <v>68</v>
      </c>
      <c r="C171" s="227" t="s">
        <v>1859</v>
      </c>
      <c r="D171" s="227" t="s">
        <v>221</v>
      </c>
      <c r="E171" s="227"/>
      <c r="F171" s="227" t="s">
        <v>600</v>
      </c>
      <c r="G171" s="227" t="s">
        <v>621</v>
      </c>
      <c r="H171" s="227" t="s">
        <v>690</v>
      </c>
      <c r="I171" s="227" t="s">
        <v>570</v>
      </c>
      <c r="J171" s="227">
        <v>18150</v>
      </c>
      <c r="K171" s="228">
        <v>0.25</v>
      </c>
      <c r="L171" s="227"/>
      <c r="M171" s="228" t="s">
        <v>2107</v>
      </c>
      <c r="N171" s="227" t="s">
        <v>790</v>
      </c>
    </row>
    <row r="172" spans="1:14" s="229" customFormat="1" ht="42.75" customHeight="1">
      <c r="A172" s="515" t="s">
        <v>2293</v>
      </c>
      <c r="B172" s="227"/>
      <c r="C172" s="227" t="s">
        <v>1264</v>
      </c>
      <c r="D172" s="227" t="s">
        <v>223</v>
      </c>
      <c r="E172" s="227"/>
      <c r="F172" s="227" t="s">
        <v>600</v>
      </c>
      <c r="G172" s="227" t="s">
        <v>589</v>
      </c>
      <c r="H172" s="227"/>
      <c r="I172" s="227" t="s">
        <v>568</v>
      </c>
      <c r="J172" s="227"/>
      <c r="K172" s="228">
        <v>0.25</v>
      </c>
      <c r="L172" s="227" t="s">
        <v>1858</v>
      </c>
      <c r="M172" s="228" t="s">
        <v>2075</v>
      </c>
      <c r="N172" s="227" t="s">
        <v>790</v>
      </c>
    </row>
    <row r="173" spans="1:14" s="229" customFormat="1" ht="42.75" customHeight="1">
      <c r="A173" s="515" t="s">
        <v>2294</v>
      </c>
      <c r="B173" s="227"/>
      <c r="C173" s="227" t="s">
        <v>1269</v>
      </c>
      <c r="D173" s="227" t="s">
        <v>223</v>
      </c>
      <c r="E173" s="227"/>
      <c r="F173" s="227" t="s">
        <v>600</v>
      </c>
      <c r="G173" s="227" t="s">
        <v>589</v>
      </c>
      <c r="H173" s="227"/>
      <c r="I173" s="227" t="s">
        <v>567</v>
      </c>
      <c r="J173" s="227"/>
      <c r="K173" s="228">
        <v>0.25</v>
      </c>
      <c r="L173" s="227" t="s">
        <v>1858</v>
      </c>
      <c r="M173" s="228" t="s">
        <v>2121</v>
      </c>
      <c r="N173" s="227" t="s">
        <v>790</v>
      </c>
    </row>
    <row r="174" spans="1:14" s="232" customFormat="1" ht="42.75" customHeight="1">
      <c r="A174" s="230" t="s">
        <v>2295</v>
      </c>
      <c r="B174" s="230"/>
      <c r="C174" s="230" t="s">
        <v>1276</v>
      </c>
      <c r="D174" s="230" t="s">
        <v>232</v>
      </c>
      <c r="E174" s="230"/>
      <c r="F174" s="230" t="s">
        <v>601</v>
      </c>
      <c r="G174" s="230" t="s">
        <v>589</v>
      </c>
      <c r="H174" s="230"/>
      <c r="I174" s="230" t="s">
        <v>570</v>
      </c>
      <c r="J174" s="230"/>
      <c r="K174" s="231">
        <v>0.25</v>
      </c>
      <c r="L174" s="230" t="s">
        <v>1858</v>
      </c>
      <c r="M174" s="231" t="s">
        <v>2075</v>
      </c>
      <c r="N174" s="230" t="s">
        <v>763</v>
      </c>
    </row>
    <row r="175" spans="1:14" s="232" customFormat="1" ht="42.75" customHeight="1">
      <c r="A175" s="230" t="s">
        <v>2296</v>
      </c>
      <c r="B175" s="230"/>
      <c r="C175" s="230" t="s">
        <v>1860</v>
      </c>
      <c r="D175" s="230" t="s">
        <v>232</v>
      </c>
      <c r="E175" s="230"/>
      <c r="F175" s="230" t="s">
        <v>601</v>
      </c>
      <c r="G175" s="230" t="s">
        <v>589</v>
      </c>
      <c r="H175" s="230"/>
      <c r="I175" s="230" t="s">
        <v>614</v>
      </c>
      <c r="J175" s="230"/>
      <c r="K175" s="231">
        <v>0.25</v>
      </c>
      <c r="L175" s="230" t="s">
        <v>1766</v>
      </c>
      <c r="M175" s="231" t="s">
        <v>2075</v>
      </c>
      <c r="N175" s="230" t="s">
        <v>790</v>
      </c>
    </row>
    <row r="176" spans="1:14" s="232" customFormat="1" ht="54" customHeight="1">
      <c r="A176" s="230" t="s">
        <v>2297</v>
      </c>
      <c r="B176" s="230">
        <v>90</v>
      </c>
      <c r="C176" s="230" t="s">
        <v>1287</v>
      </c>
      <c r="D176" s="230" t="s">
        <v>236</v>
      </c>
      <c r="E176" s="230"/>
      <c r="F176" s="230" t="s">
        <v>601</v>
      </c>
      <c r="G176" s="230" t="s">
        <v>621</v>
      </c>
      <c r="H176" s="230" t="s">
        <v>692</v>
      </c>
      <c r="I176" s="230" t="s">
        <v>570</v>
      </c>
      <c r="J176" s="230">
        <v>17620</v>
      </c>
      <c r="K176" s="231">
        <v>0.5</v>
      </c>
      <c r="L176" s="230"/>
      <c r="M176" s="231" t="s">
        <v>2151</v>
      </c>
      <c r="N176" s="230" t="s">
        <v>790</v>
      </c>
    </row>
    <row r="177" spans="1:14" s="232" customFormat="1" ht="57.75" customHeight="1">
      <c r="A177" s="230" t="s">
        <v>2298</v>
      </c>
      <c r="B177" s="230">
        <v>25</v>
      </c>
      <c r="C177" s="230" t="s">
        <v>1861</v>
      </c>
      <c r="D177" s="230" t="s">
        <v>238</v>
      </c>
      <c r="E177" s="230" t="s">
        <v>343</v>
      </c>
      <c r="F177" s="230" t="s">
        <v>601</v>
      </c>
      <c r="G177" s="230" t="s">
        <v>621</v>
      </c>
      <c r="H177" s="230" t="s">
        <v>664</v>
      </c>
      <c r="I177" s="230" t="s">
        <v>570</v>
      </c>
      <c r="J177" s="230">
        <f>7000/4</f>
        <v>1750</v>
      </c>
      <c r="K177" s="231">
        <v>0.25</v>
      </c>
      <c r="L177" s="230"/>
      <c r="M177" s="231" t="s">
        <v>2075</v>
      </c>
      <c r="N177" s="230" t="s">
        <v>790</v>
      </c>
    </row>
    <row r="178" spans="1:14" s="232" customFormat="1" ht="51.75" customHeight="1">
      <c r="A178" s="230" t="s">
        <v>2299</v>
      </c>
      <c r="B178" s="230">
        <v>26</v>
      </c>
      <c r="C178" s="230" t="s">
        <v>1862</v>
      </c>
      <c r="D178" s="230" t="s">
        <v>238</v>
      </c>
      <c r="E178" s="230" t="s">
        <v>343</v>
      </c>
      <c r="F178" s="230" t="s">
        <v>601</v>
      </c>
      <c r="G178" s="230" t="s">
        <v>621</v>
      </c>
      <c r="H178" s="230" t="s">
        <v>664</v>
      </c>
      <c r="I178" s="230" t="s">
        <v>570</v>
      </c>
      <c r="J178" s="230">
        <v>1750</v>
      </c>
      <c r="K178" s="231">
        <v>0.25</v>
      </c>
      <c r="L178" s="230"/>
      <c r="M178" s="231" t="s">
        <v>2075</v>
      </c>
      <c r="N178" s="230" t="s">
        <v>790</v>
      </c>
    </row>
    <row r="179" spans="1:14" s="232" customFormat="1" ht="52.5" customHeight="1">
      <c r="A179" s="230" t="s">
        <v>2300</v>
      </c>
      <c r="B179" s="230">
        <v>27</v>
      </c>
      <c r="C179" s="230" t="s">
        <v>1863</v>
      </c>
      <c r="D179" s="230" t="s">
        <v>238</v>
      </c>
      <c r="E179" s="230" t="s">
        <v>343</v>
      </c>
      <c r="F179" s="230" t="s">
        <v>601</v>
      </c>
      <c r="G179" s="230" t="s">
        <v>621</v>
      </c>
      <c r="H179" s="230" t="s">
        <v>664</v>
      </c>
      <c r="I179" s="230" t="s">
        <v>570</v>
      </c>
      <c r="J179" s="230">
        <v>1750</v>
      </c>
      <c r="K179" s="231">
        <v>0.25</v>
      </c>
      <c r="L179" s="230"/>
      <c r="M179" s="231" t="s">
        <v>2075</v>
      </c>
      <c r="N179" s="230" t="s">
        <v>790</v>
      </c>
    </row>
    <row r="180" spans="1:14" s="232" customFormat="1" ht="54" customHeight="1">
      <c r="A180" s="230" t="s">
        <v>2301</v>
      </c>
      <c r="B180" s="230">
        <v>28</v>
      </c>
      <c r="C180" s="230" t="s">
        <v>1864</v>
      </c>
      <c r="D180" s="230" t="s">
        <v>238</v>
      </c>
      <c r="E180" s="230" t="s">
        <v>343</v>
      </c>
      <c r="F180" s="230" t="s">
        <v>601</v>
      </c>
      <c r="G180" s="230" t="s">
        <v>621</v>
      </c>
      <c r="H180" s="230" t="s">
        <v>664</v>
      </c>
      <c r="I180" s="230" t="s">
        <v>570</v>
      </c>
      <c r="J180" s="230">
        <v>1750</v>
      </c>
      <c r="K180" s="231">
        <v>0.25</v>
      </c>
      <c r="L180" s="230"/>
      <c r="M180" s="231" t="s">
        <v>2075</v>
      </c>
      <c r="N180" s="230" t="s">
        <v>790</v>
      </c>
    </row>
    <row r="181" spans="1:14" s="232" customFormat="1" ht="23.25" customHeight="1">
      <c r="A181" s="230" t="s">
        <v>2302</v>
      </c>
      <c r="B181" s="230"/>
      <c r="C181" s="230" t="s">
        <v>1296</v>
      </c>
      <c r="D181" s="230" t="s">
        <v>242</v>
      </c>
      <c r="E181" s="230"/>
      <c r="F181" s="230" t="s">
        <v>601</v>
      </c>
      <c r="G181" s="230" t="s">
        <v>589</v>
      </c>
      <c r="H181" s="230"/>
      <c r="I181" s="230" t="s">
        <v>614</v>
      </c>
      <c r="J181" s="230"/>
      <c r="K181" s="231">
        <v>0.25</v>
      </c>
      <c r="L181" s="230" t="s">
        <v>1766</v>
      </c>
      <c r="M181" s="231" t="s">
        <v>2134</v>
      </c>
      <c r="N181" s="230" t="s">
        <v>763</v>
      </c>
    </row>
    <row r="182" spans="1:14" s="232" customFormat="1" ht="42.75" customHeight="1">
      <c r="A182" s="230" t="s">
        <v>2303</v>
      </c>
      <c r="B182" s="230"/>
      <c r="C182" s="230" t="s">
        <v>1298</v>
      </c>
      <c r="D182" s="230" t="s">
        <v>244</v>
      </c>
      <c r="E182" s="230"/>
      <c r="F182" s="230" t="s">
        <v>601</v>
      </c>
      <c r="G182" s="230" t="s">
        <v>589</v>
      </c>
      <c r="H182" s="230"/>
      <c r="I182" s="230" t="s">
        <v>570</v>
      </c>
      <c r="J182" s="230"/>
      <c r="K182" s="231">
        <v>0.25</v>
      </c>
      <c r="L182" s="230" t="s">
        <v>1865</v>
      </c>
      <c r="M182" s="231" t="s">
        <v>2147</v>
      </c>
      <c r="N182" s="230" t="s">
        <v>763</v>
      </c>
    </row>
    <row r="183" spans="1:14" s="232" customFormat="1" ht="42.75" customHeight="1">
      <c r="A183" s="230" t="s">
        <v>2304</v>
      </c>
      <c r="B183" s="230"/>
      <c r="C183" s="230" t="s">
        <v>1299</v>
      </c>
      <c r="D183" s="230" t="s">
        <v>246</v>
      </c>
      <c r="E183" s="230"/>
      <c r="F183" s="230" t="s">
        <v>601</v>
      </c>
      <c r="G183" s="230" t="s">
        <v>589</v>
      </c>
      <c r="H183" s="230"/>
      <c r="I183" s="230" t="s">
        <v>614</v>
      </c>
      <c r="J183" s="230"/>
      <c r="K183" s="231">
        <v>0.25</v>
      </c>
      <c r="L183" s="230" t="s">
        <v>1766</v>
      </c>
      <c r="M183" s="231" t="s">
        <v>2149</v>
      </c>
      <c r="N183" s="230" t="s">
        <v>763</v>
      </c>
    </row>
    <row r="184" spans="1:14" s="232" customFormat="1" ht="42.75" customHeight="1">
      <c r="A184" s="230" t="s">
        <v>2305</v>
      </c>
      <c r="B184" s="230"/>
      <c r="C184" s="230" t="s">
        <v>1305</v>
      </c>
      <c r="D184" s="230" t="s">
        <v>250</v>
      </c>
      <c r="E184" s="230"/>
      <c r="F184" s="230" t="s">
        <v>601</v>
      </c>
      <c r="G184" s="230" t="s">
        <v>589</v>
      </c>
      <c r="H184" s="230"/>
      <c r="I184" s="230" t="s">
        <v>614</v>
      </c>
      <c r="J184" s="230"/>
      <c r="K184" s="231">
        <v>0.25</v>
      </c>
      <c r="L184" s="230" t="s">
        <v>1766</v>
      </c>
      <c r="M184" s="231" t="s">
        <v>2149</v>
      </c>
      <c r="N184" s="230" t="s">
        <v>763</v>
      </c>
    </row>
    <row r="185" spans="1:14" s="232" customFormat="1" ht="42.75" customHeight="1">
      <c r="A185" s="230" t="s">
        <v>2306</v>
      </c>
      <c r="B185" s="230"/>
      <c r="C185" s="230" t="s">
        <v>1309</v>
      </c>
      <c r="D185" s="230" t="s">
        <v>252</v>
      </c>
      <c r="E185" s="230"/>
      <c r="F185" s="230" t="s">
        <v>601</v>
      </c>
      <c r="G185" s="230" t="s">
        <v>589</v>
      </c>
      <c r="H185" s="230"/>
      <c r="I185" s="230" t="s">
        <v>570</v>
      </c>
      <c r="J185" s="230"/>
      <c r="K185" s="231">
        <v>0.25</v>
      </c>
      <c r="L185" s="230" t="s">
        <v>1865</v>
      </c>
      <c r="M185" s="231" t="s">
        <v>2147</v>
      </c>
      <c r="N185" s="230" t="s">
        <v>763</v>
      </c>
    </row>
    <row r="186" spans="1:14" s="232" customFormat="1" ht="42.75" customHeight="1">
      <c r="A186" s="230" t="s">
        <v>2307</v>
      </c>
      <c r="B186" s="230"/>
      <c r="C186" s="230" t="s">
        <v>1312</v>
      </c>
      <c r="D186" s="230" t="s">
        <v>254</v>
      </c>
      <c r="E186" s="230"/>
      <c r="F186" s="230" t="s">
        <v>601</v>
      </c>
      <c r="G186" s="230" t="s">
        <v>589</v>
      </c>
      <c r="H186" s="230"/>
      <c r="I186" s="230" t="s">
        <v>614</v>
      </c>
      <c r="J186" s="230"/>
      <c r="K186" s="231">
        <v>0.25</v>
      </c>
      <c r="L186" s="230" t="s">
        <v>1766</v>
      </c>
      <c r="M186" s="231" t="s">
        <v>2107</v>
      </c>
      <c r="N186" s="230" t="s">
        <v>763</v>
      </c>
    </row>
    <row r="187" spans="1:14" s="232" customFormat="1" ht="42.75" customHeight="1">
      <c r="A187" s="230" t="s">
        <v>2308</v>
      </c>
      <c r="B187" s="230"/>
      <c r="C187" s="230" t="s">
        <v>1319</v>
      </c>
      <c r="D187" s="230" t="s">
        <v>259</v>
      </c>
      <c r="E187" s="230"/>
      <c r="F187" s="230" t="s">
        <v>601</v>
      </c>
      <c r="G187" s="230" t="s">
        <v>589</v>
      </c>
      <c r="H187" s="230"/>
      <c r="I187" s="230" t="s">
        <v>570</v>
      </c>
      <c r="J187" s="230"/>
      <c r="K187" s="231">
        <v>0.25</v>
      </c>
      <c r="L187" s="230" t="s">
        <v>1766</v>
      </c>
      <c r="M187" s="231" t="s">
        <v>2075</v>
      </c>
      <c r="N187" s="230" t="s">
        <v>790</v>
      </c>
    </row>
    <row r="188" spans="1:14" s="232" customFormat="1" ht="42.75" customHeight="1">
      <c r="A188" s="230" t="s">
        <v>2309</v>
      </c>
      <c r="B188" s="230"/>
      <c r="C188" s="230" t="s">
        <v>1321</v>
      </c>
      <c r="D188" s="230" t="s">
        <v>259</v>
      </c>
      <c r="E188" s="230"/>
      <c r="F188" s="230" t="s">
        <v>601</v>
      </c>
      <c r="G188" s="230" t="s">
        <v>589</v>
      </c>
      <c r="H188" s="230"/>
      <c r="I188" s="230" t="s">
        <v>570</v>
      </c>
      <c r="J188" s="230"/>
      <c r="K188" s="231">
        <v>0.25</v>
      </c>
      <c r="L188" s="230" t="s">
        <v>1766</v>
      </c>
      <c r="M188" s="231" t="s">
        <v>2148</v>
      </c>
      <c r="N188" s="230" t="s">
        <v>763</v>
      </c>
    </row>
    <row r="189" spans="1:14" s="232" customFormat="1" ht="42.75" customHeight="1">
      <c r="A189" s="230" t="s">
        <v>2310</v>
      </c>
      <c r="B189" s="230"/>
      <c r="C189" s="230" t="s">
        <v>1324</v>
      </c>
      <c r="D189" s="230" t="s">
        <v>262</v>
      </c>
      <c r="E189" s="230"/>
      <c r="F189" s="230" t="s">
        <v>601</v>
      </c>
      <c r="G189" s="230" t="s">
        <v>589</v>
      </c>
      <c r="H189" s="230"/>
      <c r="I189" s="230" t="s">
        <v>570</v>
      </c>
      <c r="J189" s="230"/>
      <c r="K189" s="231">
        <v>0.25</v>
      </c>
      <c r="L189" s="230" t="s">
        <v>1766</v>
      </c>
      <c r="M189" s="231" t="s">
        <v>2107</v>
      </c>
      <c r="N189" s="230" t="s">
        <v>763</v>
      </c>
    </row>
    <row r="190" spans="1:14" s="232" customFormat="1" ht="42.75" customHeight="1">
      <c r="A190" s="230" t="s">
        <v>2311</v>
      </c>
      <c r="B190" s="230">
        <v>9</v>
      </c>
      <c r="C190" s="230" t="s">
        <v>1866</v>
      </c>
      <c r="D190" s="230" t="s">
        <v>262</v>
      </c>
      <c r="E190" s="230" t="s">
        <v>268</v>
      </c>
      <c r="F190" s="230" t="s">
        <v>601</v>
      </c>
      <c r="G190" s="230" t="s">
        <v>621</v>
      </c>
      <c r="H190" s="230" t="s">
        <v>1828</v>
      </c>
      <c r="I190" s="230" t="s">
        <v>568</v>
      </c>
      <c r="J190" s="230">
        <v>10000</v>
      </c>
      <c r="K190" s="231">
        <v>0.25</v>
      </c>
      <c r="L190" s="230"/>
      <c r="M190" s="231" t="s">
        <v>2075</v>
      </c>
      <c r="N190" s="230" t="s">
        <v>763</v>
      </c>
    </row>
    <row r="191" spans="1:14" s="232" customFormat="1" ht="42.75" customHeight="1">
      <c r="A191" s="230" t="s">
        <v>2312</v>
      </c>
      <c r="B191" s="230">
        <v>163</v>
      </c>
      <c r="C191" s="230" t="s">
        <v>1969</v>
      </c>
      <c r="D191" s="230" t="s">
        <v>262</v>
      </c>
      <c r="E191" s="230"/>
      <c r="F191" s="230" t="s">
        <v>601</v>
      </c>
      <c r="G191" s="230" t="s">
        <v>621</v>
      </c>
      <c r="H191" s="230" t="s">
        <v>692</v>
      </c>
      <c r="I191" s="230" t="s">
        <v>568</v>
      </c>
      <c r="J191" s="230">
        <v>3000</v>
      </c>
      <c r="K191" s="231">
        <v>0.25</v>
      </c>
      <c r="L191" s="230"/>
      <c r="M191" s="231" t="s">
        <v>2075</v>
      </c>
      <c r="N191" s="230" t="s">
        <v>790</v>
      </c>
    </row>
    <row r="192" spans="1:14" s="232" customFormat="1" ht="42.75" customHeight="1">
      <c r="A192" s="230" t="s">
        <v>2313</v>
      </c>
      <c r="B192" s="230">
        <v>29</v>
      </c>
      <c r="C192" s="230" t="s">
        <v>1945</v>
      </c>
      <c r="D192" s="230" t="s">
        <v>264</v>
      </c>
      <c r="E192" s="230"/>
      <c r="F192" s="230" t="s">
        <v>601</v>
      </c>
      <c r="G192" s="230" t="s">
        <v>621</v>
      </c>
      <c r="H192" s="230" t="s">
        <v>664</v>
      </c>
      <c r="I192" s="230" t="s">
        <v>573</v>
      </c>
      <c r="J192" s="230">
        <v>2000</v>
      </c>
      <c r="K192" s="231">
        <v>0.25</v>
      </c>
      <c r="L192" s="230" t="s">
        <v>1946</v>
      </c>
      <c r="M192" s="231" t="s">
        <v>2147</v>
      </c>
      <c r="N192" s="230" t="s">
        <v>790</v>
      </c>
    </row>
    <row r="193" spans="1:14" s="232" customFormat="1" ht="42.75" customHeight="1">
      <c r="A193" s="230" t="s">
        <v>2314</v>
      </c>
      <c r="B193" s="230"/>
      <c r="C193" s="230" t="s">
        <v>1869</v>
      </c>
      <c r="D193" s="230" t="s">
        <v>264</v>
      </c>
      <c r="E193" s="230"/>
      <c r="F193" s="230" t="s">
        <v>601</v>
      </c>
      <c r="G193" s="230" t="s">
        <v>621</v>
      </c>
      <c r="H193" s="230" t="s">
        <v>644</v>
      </c>
      <c r="I193" s="230" t="s">
        <v>573</v>
      </c>
      <c r="J193" s="230">
        <v>2000</v>
      </c>
      <c r="K193" s="231">
        <v>0.25</v>
      </c>
      <c r="L193" s="230" t="s">
        <v>1868</v>
      </c>
      <c r="M193" s="231" t="s">
        <v>2147</v>
      </c>
      <c r="N193" s="230" t="s">
        <v>790</v>
      </c>
    </row>
    <row r="194" spans="1:14" s="232" customFormat="1" ht="42.75" customHeight="1">
      <c r="A194" s="230" t="s">
        <v>2315</v>
      </c>
      <c r="B194" s="230"/>
      <c r="C194" s="230" t="s">
        <v>1333</v>
      </c>
      <c r="D194" s="230" t="s">
        <v>266</v>
      </c>
      <c r="E194" s="230"/>
      <c r="F194" s="230" t="s">
        <v>601</v>
      </c>
      <c r="G194" s="230" t="s">
        <v>589</v>
      </c>
      <c r="H194" s="230"/>
      <c r="I194" s="230" t="s">
        <v>614</v>
      </c>
      <c r="J194" s="230"/>
      <c r="K194" s="231">
        <v>0.25</v>
      </c>
      <c r="L194" s="230" t="s">
        <v>1766</v>
      </c>
      <c r="M194" s="231" t="s">
        <v>2149</v>
      </c>
      <c r="N194" s="230" t="s">
        <v>763</v>
      </c>
    </row>
    <row r="195" spans="1:14" s="232" customFormat="1" ht="51" customHeight="1">
      <c r="A195" s="230" t="s">
        <v>2316</v>
      </c>
      <c r="B195" s="230"/>
      <c r="C195" s="230" t="s">
        <v>1876</v>
      </c>
      <c r="D195" s="230" t="s">
        <v>268</v>
      </c>
      <c r="E195" s="230" t="s">
        <v>1879</v>
      </c>
      <c r="F195" s="230" t="s">
        <v>601</v>
      </c>
      <c r="G195" s="230" t="s">
        <v>589</v>
      </c>
      <c r="H195" s="230"/>
      <c r="I195" s="230" t="s">
        <v>614</v>
      </c>
      <c r="J195" s="230"/>
      <c r="K195" s="231">
        <v>0.25</v>
      </c>
      <c r="L195" s="230" t="s">
        <v>1766</v>
      </c>
      <c r="M195" s="231" t="s">
        <v>2151</v>
      </c>
      <c r="N195" s="230" t="s">
        <v>763</v>
      </c>
    </row>
    <row r="196" spans="1:14" s="232" customFormat="1" ht="42.75" customHeight="1">
      <c r="A196" s="230" t="s">
        <v>2317</v>
      </c>
      <c r="B196" s="230"/>
      <c r="C196" s="230" t="s">
        <v>1339</v>
      </c>
      <c r="D196" s="230" t="s">
        <v>268</v>
      </c>
      <c r="E196" s="230"/>
      <c r="F196" s="230" t="s">
        <v>601</v>
      </c>
      <c r="G196" s="230" t="s">
        <v>589</v>
      </c>
      <c r="H196" s="230"/>
      <c r="I196" s="230" t="s">
        <v>614</v>
      </c>
      <c r="J196" s="230"/>
      <c r="K196" s="231">
        <v>0.25</v>
      </c>
      <c r="L196" s="230" t="s">
        <v>1766</v>
      </c>
      <c r="M196" s="231" t="s">
        <v>2075</v>
      </c>
      <c r="N196" s="230" t="s">
        <v>763</v>
      </c>
    </row>
    <row r="197" spans="1:14" s="232" customFormat="1" ht="42.75" customHeight="1">
      <c r="A197" s="230" t="s">
        <v>2318</v>
      </c>
      <c r="B197" s="230"/>
      <c r="C197" s="230" t="s">
        <v>1341</v>
      </c>
      <c r="D197" s="230" t="s">
        <v>268</v>
      </c>
      <c r="E197" s="230"/>
      <c r="F197" s="230" t="s">
        <v>601</v>
      </c>
      <c r="G197" s="230" t="s">
        <v>589</v>
      </c>
      <c r="H197" s="230"/>
      <c r="I197" s="230" t="s">
        <v>614</v>
      </c>
      <c r="J197" s="230"/>
      <c r="K197" s="231">
        <v>0.25</v>
      </c>
      <c r="L197" s="230" t="s">
        <v>1766</v>
      </c>
      <c r="M197" s="231" t="s">
        <v>2075</v>
      </c>
      <c r="N197" s="230" t="s">
        <v>763</v>
      </c>
    </row>
    <row r="198" spans="1:14" s="232" customFormat="1" ht="42.75" customHeight="1">
      <c r="A198" s="230" t="s">
        <v>2319</v>
      </c>
      <c r="B198" s="230"/>
      <c r="C198" s="230" t="s">
        <v>1343</v>
      </c>
      <c r="D198" s="230" t="s">
        <v>270</v>
      </c>
      <c r="E198" s="230"/>
      <c r="F198" s="230" t="s">
        <v>601</v>
      </c>
      <c r="G198" s="230" t="s">
        <v>589</v>
      </c>
      <c r="H198" s="230"/>
      <c r="I198" s="230" t="s">
        <v>568</v>
      </c>
      <c r="J198" s="230"/>
      <c r="K198" s="231">
        <v>0.25</v>
      </c>
      <c r="L198" s="230" t="s">
        <v>1867</v>
      </c>
      <c r="M198" s="231" t="s">
        <v>2147</v>
      </c>
      <c r="N198" s="230" t="s">
        <v>763</v>
      </c>
    </row>
    <row r="199" spans="1:14" s="232" customFormat="1" ht="42.75" customHeight="1">
      <c r="A199" s="230" t="s">
        <v>2320</v>
      </c>
      <c r="B199" s="230">
        <v>52</v>
      </c>
      <c r="C199" s="230" t="s">
        <v>1951</v>
      </c>
      <c r="D199" s="230" t="s">
        <v>273</v>
      </c>
      <c r="E199" s="230"/>
      <c r="F199" s="230" t="s">
        <v>601</v>
      </c>
      <c r="G199" s="230" t="s">
        <v>621</v>
      </c>
      <c r="H199" s="230" t="s">
        <v>674</v>
      </c>
      <c r="I199" s="230" t="s">
        <v>568</v>
      </c>
      <c r="J199" s="230">
        <v>1200</v>
      </c>
      <c r="K199" s="231">
        <v>0.25</v>
      </c>
      <c r="L199" s="230"/>
      <c r="M199" s="231" t="s">
        <v>2146</v>
      </c>
      <c r="N199" s="230" t="s">
        <v>763</v>
      </c>
    </row>
    <row r="200" spans="1:14" s="232" customFormat="1" ht="42.75" customHeight="1">
      <c r="A200" s="230" t="s">
        <v>2321</v>
      </c>
      <c r="B200" s="230"/>
      <c r="C200" s="230" t="s">
        <v>1871</v>
      </c>
      <c r="D200" s="230" t="s">
        <v>275</v>
      </c>
      <c r="E200" s="230"/>
      <c r="F200" s="230" t="s">
        <v>601</v>
      </c>
      <c r="G200" s="230" t="s">
        <v>589</v>
      </c>
      <c r="H200" s="230"/>
      <c r="I200" s="230" t="s">
        <v>567</v>
      </c>
      <c r="J200" s="230"/>
      <c r="K200" s="231">
        <v>0.25</v>
      </c>
      <c r="L200" s="230" t="s">
        <v>1766</v>
      </c>
      <c r="M200" s="231" t="s">
        <v>2075</v>
      </c>
      <c r="N200" s="230" t="s">
        <v>790</v>
      </c>
    </row>
    <row r="201" spans="1:14" s="232" customFormat="1" ht="42.75" customHeight="1">
      <c r="A201" s="230" t="s">
        <v>2322</v>
      </c>
      <c r="B201" s="230"/>
      <c r="C201" s="230" t="s">
        <v>1350</v>
      </c>
      <c r="D201" s="230" t="s">
        <v>278</v>
      </c>
      <c r="E201" s="230"/>
      <c r="F201" s="230" t="s">
        <v>601</v>
      </c>
      <c r="G201" s="230" t="s">
        <v>589</v>
      </c>
      <c r="H201" s="230"/>
      <c r="I201" s="230" t="s">
        <v>568</v>
      </c>
      <c r="J201" s="230"/>
      <c r="K201" s="231">
        <v>0.25</v>
      </c>
      <c r="L201" s="230" t="s">
        <v>1766</v>
      </c>
      <c r="M201" s="231" t="s">
        <v>2147</v>
      </c>
      <c r="N201" s="230" t="s">
        <v>790</v>
      </c>
    </row>
    <row r="202" spans="1:14" s="232" customFormat="1" ht="57" customHeight="1">
      <c r="A202" s="230" t="s">
        <v>2323</v>
      </c>
      <c r="B202" s="230"/>
      <c r="C202" s="230" t="s">
        <v>1872</v>
      </c>
      <c r="D202" s="230" t="s">
        <v>279</v>
      </c>
      <c r="E202" s="230"/>
      <c r="F202" s="230" t="s">
        <v>601</v>
      </c>
      <c r="G202" s="230" t="s">
        <v>589</v>
      </c>
      <c r="H202" s="230"/>
      <c r="I202" s="230" t="s">
        <v>568</v>
      </c>
      <c r="J202" s="230"/>
      <c r="K202" s="231">
        <v>0.25</v>
      </c>
      <c r="L202" s="230" t="s">
        <v>1766</v>
      </c>
      <c r="M202" s="231" t="s">
        <v>2147</v>
      </c>
      <c r="N202" s="230" t="s">
        <v>790</v>
      </c>
    </row>
    <row r="203" spans="1:14" s="232" customFormat="1" ht="42.75" customHeight="1">
      <c r="A203" s="230" t="s">
        <v>2324</v>
      </c>
      <c r="B203" s="230">
        <v>126</v>
      </c>
      <c r="C203" s="230" t="s">
        <v>1873</v>
      </c>
      <c r="D203" s="230" t="s">
        <v>279</v>
      </c>
      <c r="E203" s="230"/>
      <c r="F203" s="230" t="s">
        <v>601</v>
      </c>
      <c r="G203" s="230" t="s">
        <v>621</v>
      </c>
      <c r="H203" s="230" t="s">
        <v>702</v>
      </c>
      <c r="I203" s="230" t="s">
        <v>568</v>
      </c>
      <c r="J203" s="230">
        <v>6840</v>
      </c>
      <c r="K203" s="231">
        <v>0.25</v>
      </c>
      <c r="L203" s="230"/>
      <c r="M203" s="231" t="s">
        <v>2147</v>
      </c>
      <c r="N203" s="230" t="s">
        <v>790</v>
      </c>
    </row>
    <row r="204" spans="1:14" s="232" customFormat="1" ht="42.75" customHeight="1">
      <c r="A204" s="230" t="s">
        <v>2325</v>
      </c>
      <c r="B204" s="230"/>
      <c r="C204" s="230" t="s">
        <v>1874</v>
      </c>
      <c r="D204" s="230" t="s">
        <v>279</v>
      </c>
      <c r="E204" s="230"/>
      <c r="F204" s="230" t="s">
        <v>601</v>
      </c>
      <c r="G204" s="230" t="s">
        <v>624</v>
      </c>
      <c r="H204" s="230"/>
      <c r="I204" s="230" t="s">
        <v>568</v>
      </c>
      <c r="J204" s="230"/>
      <c r="K204" s="231">
        <v>0.25</v>
      </c>
      <c r="L204" s="230"/>
      <c r="M204" s="231" t="s">
        <v>2147</v>
      </c>
      <c r="N204" s="230" t="s">
        <v>790</v>
      </c>
    </row>
    <row r="205" spans="1:14" s="232" customFormat="1" ht="19.5" customHeight="1">
      <c r="A205" s="230" t="s">
        <v>2326</v>
      </c>
      <c r="B205" s="230"/>
      <c r="C205" s="230" t="s">
        <v>1356</v>
      </c>
      <c r="D205" s="230" t="s">
        <v>279</v>
      </c>
      <c r="E205" s="230"/>
      <c r="F205" s="230" t="s">
        <v>601</v>
      </c>
      <c r="G205" s="230" t="s">
        <v>589</v>
      </c>
      <c r="H205" s="230"/>
      <c r="I205" s="230" t="s">
        <v>568</v>
      </c>
      <c r="J205" s="230"/>
      <c r="K205" s="231">
        <v>0.25</v>
      </c>
      <c r="L205" s="230" t="s">
        <v>1867</v>
      </c>
      <c r="M205" s="231" t="s">
        <v>2147</v>
      </c>
      <c r="N205" s="230" t="s">
        <v>763</v>
      </c>
    </row>
    <row r="206" spans="1:14" s="232" customFormat="1" ht="50.25" customHeight="1">
      <c r="A206" s="230" t="s">
        <v>2327</v>
      </c>
      <c r="B206" s="230">
        <v>60</v>
      </c>
      <c r="C206" s="230" t="s">
        <v>1875</v>
      </c>
      <c r="D206" s="230" t="s">
        <v>284</v>
      </c>
      <c r="E206" s="230" t="s">
        <v>1878</v>
      </c>
      <c r="F206" s="230" t="s">
        <v>601</v>
      </c>
      <c r="G206" s="230" t="s">
        <v>621</v>
      </c>
      <c r="H206" s="230" t="s">
        <v>1870</v>
      </c>
      <c r="I206" s="230" t="s">
        <v>614</v>
      </c>
      <c r="J206" s="230">
        <v>18000</v>
      </c>
      <c r="K206" s="231">
        <v>0.25</v>
      </c>
      <c r="L206" s="230"/>
      <c r="M206" s="231" t="s">
        <v>2075</v>
      </c>
      <c r="N206" s="230" t="s">
        <v>763</v>
      </c>
    </row>
    <row r="207" spans="1:14" s="232" customFormat="1" ht="54.75" customHeight="1">
      <c r="A207" s="230" t="s">
        <v>2328</v>
      </c>
      <c r="B207" s="230">
        <v>61</v>
      </c>
      <c r="C207" s="230" t="s">
        <v>1877</v>
      </c>
      <c r="D207" s="230" t="s">
        <v>284</v>
      </c>
      <c r="E207" s="230" t="s">
        <v>1878</v>
      </c>
      <c r="F207" s="230" t="s">
        <v>601</v>
      </c>
      <c r="G207" s="230" t="s">
        <v>621</v>
      </c>
      <c r="H207" s="230" t="s">
        <v>1870</v>
      </c>
      <c r="I207" s="230" t="s">
        <v>614</v>
      </c>
      <c r="J207" s="230">
        <v>14000</v>
      </c>
      <c r="K207" s="231">
        <v>0.25</v>
      </c>
      <c r="L207" s="230"/>
      <c r="M207" s="231" t="s">
        <v>2075</v>
      </c>
      <c r="N207" s="230" t="s">
        <v>763</v>
      </c>
    </row>
    <row r="208" spans="1:14" s="232" customFormat="1" ht="42.75" customHeight="1">
      <c r="A208" s="230" t="s">
        <v>2329</v>
      </c>
      <c r="B208" s="230"/>
      <c r="C208" s="230" t="s">
        <v>1363</v>
      </c>
      <c r="D208" s="230" t="s">
        <v>284</v>
      </c>
      <c r="E208" s="230"/>
      <c r="F208" s="230" t="s">
        <v>601</v>
      </c>
      <c r="G208" s="230" t="s">
        <v>589</v>
      </c>
      <c r="H208" s="230"/>
      <c r="I208" s="230" t="s">
        <v>568</v>
      </c>
      <c r="J208" s="230"/>
      <c r="K208" s="231">
        <v>0.25</v>
      </c>
      <c r="L208" s="230" t="s">
        <v>1867</v>
      </c>
      <c r="M208" s="231" t="s">
        <v>2147</v>
      </c>
      <c r="N208" s="230" t="s">
        <v>790</v>
      </c>
    </row>
    <row r="209" spans="1:14" s="232" customFormat="1" ht="42.75" customHeight="1">
      <c r="A209" s="230" t="s">
        <v>2330</v>
      </c>
      <c r="B209" s="230"/>
      <c r="C209" s="230" t="s">
        <v>1365</v>
      </c>
      <c r="D209" s="230" t="s">
        <v>284</v>
      </c>
      <c r="E209" s="230"/>
      <c r="F209" s="230" t="s">
        <v>601</v>
      </c>
      <c r="G209" s="230" t="s">
        <v>589</v>
      </c>
      <c r="H209" s="230"/>
      <c r="I209" s="230" t="s">
        <v>568</v>
      </c>
      <c r="J209" s="230"/>
      <c r="K209" s="231">
        <v>0.25</v>
      </c>
      <c r="L209" s="230" t="s">
        <v>1766</v>
      </c>
      <c r="M209" s="231" t="s">
        <v>2075</v>
      </c>
      <c r="N209" s="230" t="s">
        <v>790</v>
      </c>
    </row>
    <row r="210" spans="1:14" s="232" customFormat="1" ht="42.75" customHeight="1">
      <c r="A210" s="230" t="s">
        <v>2331</v>
      </c>
      <c r="B210" s="230">
        <v>109</v>
      </c>
      <c r="C210" s="230" t="s">
        <v>1880</v>
      </c>
      <c r="D210" s="230" t="s">
        <v>287</v>
      </c>
      <c r="E210" s="230" t="s">
        <v>289</v>
      </c>
      <c r="F210" s="230" t="s">
        <v>601</v>
      </c>
      <c r="G210" s="230" t="s">
        <v>621</v>
      </c>
      <c r="H210" s="230" t="s">
        <v>1881</v>
      </c>
      <c r="I210" s="230" t="s">
        <v>568</v>
      </c>
      <c r="J210" s="230">
        <v>8000</v>
      </c>
      <c r="K210" s="231">
        <v>0.25</v>
      </c>
      <c r="L210" s="230"/>
      <c r="M210" s="231" t="s">
        <v>2147</v>
      </c>
      <c r="N210" s="230" t="s">
        <v>790</v>
      </c>
    </row>
    <row r="211" spans="1:14" s="232" customFormat="1" ht="42.75" customHeight="1">
      <c r="A211" s="230" t="s">
        <v>2332</v>
      </c>
      <c r="B211" s="230">
        <v>130</v>
      </c>
      <c r="C211" s="230" t="s">
        <v>1882</v>
      </c>
      <c r="D211" s="230" t="s">
        <v>287</v>
      </c>
      <c r="E211" s="230"/>
      <c r="F211" s="230" t="s">
        <v>601</v>
      </c>
      <c r="G211" s="230" t="s">
        <v>621</v>
      </c>
      <c r="H211" s="230" t="s">
        <v>642</v>
      </c>
      <c r="I211" s="230" t="s">
        <v>568</v>
      </c>
      <c r="J211" s="230">
        <v>6000</v>
      </c>
      <c r="K211" s="231">
        <v>0.25</v>
      </c>
      <c r="L211" s="230"/>
      <c r="M211" s="231" t="s">
        <v>2147</v>
      </c>
      <c r="N211" s="230" t="s">
        <v>790</v>
      </c>
    </row>
    <row r="212" spans="1:14" s="232" customFormat="1" ht="42.75" customHeight="1">
      <c r="A212" s="230" t="s">
        <v>2333</v>
      </c>
      <c r="B212" s="230">
        <v>2</v>
      </c>
      <c r="C212" s="230" t="s">
        <v>1883</v>
      </c>
      <c r="D212" s="230" t="s">
        <v>287</v>
      </c>
      <c r="E212" s="230"/>
      <c r="F212" s="230" t="s">
        <v>601</v>
      </c>
      <c r="G212" s="230" t="s">
        <v>621</v>
      </c>
      <c r="H212" s="230" t="s">
        <v>642</v>
      </c>
      <c r="I212" s="230" t="s">
        <v>568</v>
      </c>
      <c r="J212" s="230">
        <v>15000</v>
      </c>
      <c r="K212" s="231">
        <v>0.25</v>
      </c>
      <c r="L212" s="230"/>
      <c r="M212" s="231" t="s">
        <v>2147</v>
      </c>
      <c r="N212" s="230" t="s">
        <v>763</v>
      </c>
    </row>
    <row r="213" spans="1:14" s="232" customFormat="1" ht="42.75" customHeight="1">
      <c r="A213" s="230" t="s">
        <v>2334</v>
      </c>
      <c r="B213" s="230">
        <v>3</v>
      </c>
      <c r="C213" s="230" t="s">
        <v>1884</v>
      </c>
      <c r="D213" s="230" t="s">
        <v>287</v>
      </c>
      <c r="E213" s="230"/>
      <c r="F213" s="230" t="s">
        <v>601</v>
      </c>
      <c r="G213" s="230" t="s">
        <v>621</v>
      </c>
      <c r="H213" s="230" t="s">
        <v>642</v>
      </c>
      <c r="I213" s="230" t="s">
        <v>568</v>
      </c>
      <c r="J213" s="230">
        <v>3000</v>
      </c>
      <c r="K213" s="231">
        <v>0.25</v>
      </c>
      <c r="L213" s="230"/>
      <c r="M213" s="231" t="s">
        <v>2147</v>
      </c>
      <c r="N213" s="230" t="s">
        <v>790</v>
      </c>
    </row>
    <row r="214" spans="1:14" s="232" customFormat="1" ht="42.75" customHeight="1">
      <c r="A214" s="230" t="s">
        <v>2335</v>
      </c>
      <c r="B214" s="230">
        <v>124</v>
      </c>
      <c r="C214" s="230" t="s">
        <v>1898</v>
      </c>
      <c r="D214" s="230" t="s">
        <v>287</v>
      </c>
      <c r="E214" s="230"/>
      <c r="F214" s="230" t="s">
        <v>601</v>
      </c>
      <c r="G214" s="230" t="s">
        <v>621</v>
      </c>
      <c r="H214" s="230" t="s">
        <v>642</v>
      </c>
      <c r="I214" s="230" t="s">
        <v>568</v>
      </c>
      <c r="J214" s="230">
        <v>4160</v>
      </c>
      <c r="K214" s="231">
        <v>0.25</v>
      </c>
      <c r="L214" s="230"/>
      <c r="M214" s="231" t="s">
        <v>2075</v>
      </c>
      <c r="N214" s="230" t="s">
        <v>790</v>
      </c>
    </row>
    <row r="215" spans="1:14" s="232" customFormat="1" ht="42.75" customHeight="1">
      <c r="A215" s="230" t="s">
        <v>2336</v>
      </c>
      <c r="B215" s="230"/>
      <c r="C215" s="504" t="s">
        <v>1980</v>
      </c>
      <c r="D215" s="504" t="s">
        <v>287</v>
      </c>
      <c r="E215" s="504"/>
      <c r="F215" s="504" t="s">
        <v>601</v>
      </c>
      <c r="G215" s="504" t="s">
        <v>622</v>
      </c>
      <c r="H215" s="504"/>
      <c r="I215" s="504" t="s">
        <v>568</v>
      </c>
      <c r="J215" s="504">
        <v>48385.83</v>
      </c>
      <c r="K215" s="511">
        <v>0.25</v>
      </c>
      <c r="L215" s="230"/>
      <c r="M215" s="231" t="s">
        <v>2147</v>
      </c>
      <c r="N215" s="230" t="s">
        <v>790</v>
      </c>
    </row>
    <row r="216" spans="1:14" s="232" customFormat="1" ht="52.5" customHeight="1">
      <c r="A216" s="230" t="s">
        <v>2337</v>
      </c>
      <c r="B216" s="230"/>
      <c r="C216" s="230" t="s">
        <v>1885</v>
      </c>
      <c r="D216" s="230" t="s">
        <v>287</v>
      </c>
      <c r="E216" s="230"/>
      <c r="F216" s="230" t="s">
        <v>601</v>
      </c>
      <c r="G216" s="230" t="s">
        <v>589</v>
      </c>
      <c r="H216" s="230"/>
      <c r="I216" s="230" t="s">
        <v>568</v>
      </c>
      <c r="J216" s="230"/>
      <c r="K216" s="231">
        <v>0.25</v>
      </c>
      <c r="L216" s="230" t="s">
        <v>1766</v>
      </c>
      <c r="M216" s="231" t="s">
        <v>2075</v>
      </c>
      <c r="N216" s="230" t="s">
        <v>790</v>
      </c>
    </row>
    <row r="217" spans="1:14" s="232" customFormat="1" ht="51.75" customHeight="1">
      <c r="A217" s="230" t="s">
        <v>2338</v>
      </c>
      <c r="B217" s="230"/>
      <c r="C217" s="230" t="s">
        <v>1371</v>
      </c>
      <c r="D217" s="230" t="s">
        <v>287</v>
      </c>
      <c r="E217" s="230"/>
      <c r="F217" s="230" t="s">
        <v>601</v>
      </c>
      <c r="G217" s="230" t="s">
        <v>589</v>
      </c>
      <c r="H217" s="230"/>
      <c r="I217" s="230" t="s">
        <v>568</v>
      </c>
      <c r="J217" s="230"/>
      <c r="K217" s="231">
        <v>0.25</v>
      </c>
      <c r="L217" s="230" t="s">
        <v>1766</v>
      </c>
      <c r="M217" s="231" t="s">
        <v>2147</v>
      </c>
      <c r="N217" s="230" t="s">
        <v>763</v>
      </c>
    </row>
    <row r="218" spans="1:14" s="232" customFormat="1" ht="42.75" customHeight="1">
      <c r="A218" s="230" t="s">
        <v>2339</v>
      </c>
      <c r="B218" s="230"/>
      <c r="C218" s="230" t="s">
        <v>1887</v>
      </c>
      <c r="D218" s="230" t="s">
        <v>287</v>
      </c>
      <c r="E218" s="230"/>
      <c r="F218" s="230" t="s">
        <v>601</v>
      </c>
      <c r="G218" s="230" t="s">
        <v>589</v>
      </c>
      <c r="H218" s="230"/>
      <c r="I218" s="230" t="s">
        <v>568</v>
      </c>
      <c r="J218" s="230"/>
      <c r="K218" s="231">
        <v>0.25</v>
      </c>
      <c r="L218" s="230" t="s">
        <v>1867</v>
      </c>
      <c r="M218" s="231" t="s">
        <v>2147</v>
      </c>
      <c r="N218" s="230" t="s">
        <v>763</v>
      </c>
    </row>
    <row r="219" spans="1:14" s="232" customFormat="1" ht="42.75" customHeight="1">
      <c r="A219" s="230" t="s">
        <v>2340</v>
      </c>
      <c r="B219" s="230">
        <v>30</v>
      </c>
      <c r="C219" s="230" t="s">
        <v>1886</v>
      </c>
      <c r="D219" s="230" t="s">
        <v>287</v>
      </c>
      <c r="E219" s="230"/>
      <c r="F219" s="230" t="s">
        <v>601</v>
      </c>
      <c r="G219" s="230" t="s">
        <v>621</v>
      </c>
      <c r="H219" s="230" t="s">
        <v>664</v>
      </c>
      <c r="I219" s="230" t="s">
        <v>568</v>
      </c>
      <c r="J219" s="230">
        <v>4000</v>
      </c>
      <c r="K219" s="231">
        <v>0.25</v>
      </c>
      <c r="L219" s="230"/>
      <c r="M219" s="231" t="s">
        <v>2147</v>
      </c>
      <c r="N219" s="230" t="s">
        <v>790</v>
      </c>
    </row>
    <row r="220" spans="1:14" s="232" customFormat="1" ht="42.75" customHeight="1">
      <c r="A220" s="230" t="s">
        <v>2341</v>
      </c>
      <c r="B220" s="230">
        <v>31</v>
      </c>
      <c r="C220" s="230" t="s">
        <v>1888</v>
      </c>
      <c r="D220" s="230" t="s">
        <v>287</v>
      </c>
      <c r="E220" s="230"/>
      <c r="F220" s="230" t="s">
        <v>601</v>
      </c>
      <c r="G220" s="230" t="s">
        <v>621</v>
      </c>
      <c r="H220" s="230" t="s">
        <v>664</v>
      </c>
      <c r="I220" s="230" t="s">
        <v>568</v>
      </c>
      <c r="J220" s="230">
        <v>2500</v>
      </c>
      <c r="K220" s="231">
        <v>0.25</v>
      </c>
      <c r="L220" s="230"/>
      <c r="M220" s="231" t="s">
        <v>2147</v>
      </c>
      <c r="N220" s="230" t="s">
        <v>763</v>
      </c>
    </row>
    <row r="221" spans="1:14" s="232" customFormat="1" ht="42.75" customHeight="1">
      <c r="A221" s="230" t="s">
        <v>2342</v>
      </c>
      <c r="B221" s="230">
        <v>32</v>
      </c>
      <c r="C221" s="230" t="s">
        <v>1889</v>
      </c>
      <c r="D221" s="230" t="s">
        <v>287</v>
      </c>
      <c r="E221" s="230"/>
      <c r="F221" s="230" t="s">
        <v>601</v>
      </c>
      <c r="G221" s="230" t="s">
        <v>621</v>
      </c>
      <c r="H221" s="230" t="s">
        <v>664</v>
      </c>
      <c r="I221" s="230" t="s">
        <v>568</v>
      </c>
      <c r="J221" s="230">
        <v>4000</v>
      </c>
      <c r="K221" s="231">
        <v>0.25</v>
      </c>
      <c r="L221" s="230"/>
      <c r="M221" s="231" t="s">
        <v>2147</v>
      </c>
      <c r="N221" s="230" t="s">
        <v>763</v>
      </c>
    </row>
    <row r="222" spans="1:14" s="232" customFormat="1" ht="42.75" customHeight="1">
      <c r="A222" s="230" t="s">
        <v>2343</v>
      </c>
      <c r="B222" s="230">
        <v>33</v>
      </c>
      <c r="C222" s="230" t="s">
        <v>1890</v>
      </c>
      <c r="D222" s="230" t="s">
        <v>287</v>
      </c>
      <c r="E222" s="230"/>
      <c r="F222" s="230" t="s">
        <v>601</v>
      </c>
      <c r="G222" s="230" t="s">
        <v>621</v>
      </c>
      <c r="H222" s="230" t="s">
        <v>664</v>
      </c>
      <c r="I222" s="230" t="s">
        <v>568</v>
      </c>
      <c r="J222" s="230">
        <v>800</v>
      </c>
      <c r="K222" s="231">
        <v>0.25</v>
      </c>
      <c r="L222" s="230"/>
      <c r="M222" s="231" t="s">
        <v>2147</v>
      </c>
      <c r="N222" s="230" t="s">
        <v>763</v>
      </c>
    </row>
    <row r="223" spans="1:14" s="232" customFormat="1" ht="42.75" customHeight="1">
      <c r="A223" s="230" t="s">
        <v>2344</v>
      </c>
      <c r="B223" s="230">
        <v>131</v>
      </c>
      <c r="C223" s="230" t="s">
        <v>1891</v>
      </c>
      <c r="D223" s="230" t="s">
        <v>287</v>
      </c>
      <c r="E223" s="230"/>
      <c r="F223" s="230" t="s">
        <v>601</v>
      </c>
      <c r="G223" s="230" t="s">
        <v>621</v>
      </c>
      <c r="H223" s="230" t="s">
        <v>664</v>
      </c>
      <c r="I223" s="230" t="s">
        <v>568</v>
      </c>
      <c r="J223" s="230">
        <v>1000</v>
      </c>
      <c r="K223" s="231">
        <v>0.25</v>
      </c>
      <c r="L223" s="230"/>
      <c r="M223" s="231" t="s">
        <v>2147</v>
      </c>
      <c r="N223" s="230" t="s">
        <v>790</v>
      </c>
    </row>
    <row r="224" spans="1:14" s="232" customFormat="1" ht="42.75" customHeight="1">
      <c r="A224" s="230" t="s">
        <v>2345</v>
      </c>
      <c r="B224" s="230"/>
      <c r="C224" s="504" t="s">
        <v>1979</v>
      </c>
      <c r="D224" s="504" t="s">
        <v>287</v>
      </c>
      <c r="E224" s="504"/>
      <c r="F224" s="504" t="s">
        <v>601</v>
      </c>
      <c r="G224" s="504" t="s">
        <v>622</v>
      </c>
      <c r="H224" s="504"/>
      <c r="I224" s="504" t="s">
        <v>568</v>
      </c>
      <c r="J224" s="504">
        <v>48399.4</v>
      </c>
      <c r="K224" s="231"/>
      <c r="L224" s="230"/>
      <c r="M224" s="231" t="s">
        <v>2147</v>
      </c>
      <c r="N224" s="230" t="s">
        <v>790</v>
      </c>
    </row>
    <row r="225" spans="1:14" s="232" customFormat="1" ht="42.75" customHeight="1">
      <c r="A225" s="230" t="s">
        <v>2346</v>
      </c>
      <c r="B225" s="230">
        <v>132</v>
      </c>
      <c r="C225" s="230" t="s">
        <v>1892</v>
      </c>
      <c r="D225" s="230" t="s">
        <v>287</v>
      </c>
      <c r="E225" s="230"/>
      <c r="F225" s="230" t="s">
        <v>601</v>
      </c>
      <c r="G225" s="230" t="s">
        <v>621</v>
      </c>
      <c r="H225" s="230" t="s">
        <v>664</v>
      </c>
      <c r="I225" s="230" t="s">
        <v>568</v>
      </c>
      <c r="J225" s="230">
        <v>2350</v>
      </c>
      <c r="K225" s="231">
        <v>0.25</v>
      </c>
      <c r="L225" s="230"/>
      <c r="M225" s="231" t="s">
        <v>2147</v>
      </c>
      <c r="N225" s="230" t="s">
        <v>790</v>
      </c>
    </row>
    <row r="226" spans="1:14" s="232" customFormat="1" ht="42.75" customHeight="1">
      <c r="A226" s="230" t="s">
        <v>2347</v>
      </c>
      <c r="B226" s="230"/>
      <c r="C226" s="230" t="s">
        <v>1893</v>
      </c>
      <c r="D226" s="230" t="s">
        <v>287</v>
      </c>
      <c r="E226" s="230"/>
      <c r="F226" s="230" t="s">
        <v>601</v>
      </c>
      <c r="G226" s="230" t="s">
        <v>609</v>
      </c>
      <c r="H226" s="230"/>
      <c r="I226" s="230" t="s">
        <v>568</v>
      </c>
      <c r="J226" s="230">
        <v>589000</v>
      </c>
      <c r="K226" s="231">
        <v>0.25</v>
      </c>
      <c r="L226" s="230" t="s">
        <v>1867</v>
      </c>
      <c r="M226" s="231" t="s">
        <v>2147</v>
      </c>
      <c r="N226" s="230" t="s">
        <v>763</v>
      </c>
    </row>
    <row r="227" spans="1:14" s="232" customFormat="1" ht="42.75" customHeight="1">
      <c r="A227" s="230" t="s">
        <v>2348</v>
      </c>
      <c r="B227" s="230">
        <v>36</v>
      </c>
      <c r="C227" s="230" t="s">
        <v>1894</v>
      </c>
      <c r="D227" s="230" t="s">
        <v>287</v>
      </c>
      <c r="E227" s="230"/>
      <c r="F227" s="230" t="s">
        <v>601</v>
      </c>
      <c r="G227" s="230" t="s">
        <v>621</v>
      </c>
      <c r="H227" s="230" t="s">
        <v>664</v>
      </c>
      <c r="I227" s="230" t="s">
        <v>568</v>
      </c>
      <c r="J227" s="230">
        <v>3000</v>
      </c>
      <c r="K227" s="231">
        <v>0.25</v>
      </c>
      <c r="L227" s="230"/>
      <c r="M227" s="231" t="s">
        <v>2147</v>
      </c>
      <c r="N227" s="230" t="s">
        <v>790</v>
      </c>
    </row>
    <row r="228" spans="1:14" s="232" customFormat="1" ht="52.5" customHeight="1">
      <c r="A228" s="230" t="s">
        <v>2349</v>
      </c>
      <c r="B228" s="230">
        <v>35</v>
      </c>
      <c r="C228" s="230" t="s">
        <v>1895</v>
      </c>
      <c r="D228" s="230" t="s">
        <v>287</v>
      </c>
      <c r="E228" s="230"/>
      <c r="F228" s="230" t="s">
        <v>601</v>
      </c>
      <c r="G228" s="230" t="s">
        <v>621</v>
      </c>
      <c r="H228" s="230" t="s">
        <v>664</v>
      </c>
      <c r="I228" s="230" t="s">
        <v>568</v>
      </c>
      <c r="J228" s="230">
        <v>3210</v>
      </c>
      <c r="K228" s="231">
        <v>0.25</v>
      </c>
      <c r="L228" s="230"/>
      <c r="M228" s="231" t="s">
        <v>2147</v>
      </c>
      <c r="N228" s="230" t="s">
        <v>790</v>
      </c>
    </row>
    <row r="229" spans="1:14" s="232" customFormat="1" ht="42.75" customHeight="1">
      <c r="A229" s="230" t="s">
        <v>2350</v>
      </c>
      <c r="B229" s="230">
        <v>34</v>
      </c>
      <c r="C229" s="230" t="s">
        <v>1896</v>
      </c>
      <c r="D229" s="230" t="s">
        <v>287</v>
      </c>
      <c r="E229" s="230"/>
      <c r="F229" s="230" t="s">
        <v>601</v>
      </c>
      <c r="G229" s="230" t="s">
        <v>621</v>
      </c>
      <c r="H229" s="230" t="s">
        <v>664</v>
      </c>
      <c r="I229" s="230" t="s">
        <v>568</v>
      </c>
      <c r="J229" s="230">
        <v>2630</v>
      </c>
      <c r="K229" s="231">
        <v>0.25</v>
      </c>
      <c r="L229" s="230"/>
      <c r="M229" s="231" t="s">
        <v>2048</v>
      </c>
      <c r="N229" s="230" t="s">
        <v>790</v>
      </c>
    </row>
    <row r="230" spans="1:14" s="232" customFormat="1" ht="42.75" customHeight="1">
      <c r="A230" s="230" t="s">
        <v>2351</v>
      </c>
      <c r="B230" s="230">
        <v>110</v>
      </c>
      <c r="C230" s="230" t="s">
        <v>1897</v>
      </c>
      <c r="D230" s="230" t="s">
        <v>287</v>
      </c>
      <c r="E230" s="230"/>
      <c r="F230" s="230" t="s">
        <v>601</v>
      </c>
      <c r="G230" s="230" t="s">
        <v>621</v>
      </c>
      <c r="H230" s="230" t="s">
        <v>698</v>
      </c>
      <c r="I230" s="230" t="s">
        <v>568</v>
      </c>
      <c r="J230" s="230">
        <v>4000</v>
      </c>
      <c r="K230" s="231">
        <v>0.25</v>
      </c>
      <c r="L230" s="230"/>
      <c r="M230" s="231" t="s">
        <v>2075</v>
      </c>
      <c r="N230" s="230" t="s">
        <v>790</v>
      </c>
    </row>
    <row r="231" spans="1:14" s="232" customFormat="1" ht="42.75" customHeight="1">
      <c r="A231" s="230" t="s">
        <v>2352</v>
      </c>
      <c r="B231" s="230">
        <v>4</v>
      </c>
      <c r="C231" s="230" t="s">
        <v>1937</v>
      </c>
      <c r="D231" s="230" t="s">
        <v>287</v>
      </c>
      <c r="E231" s="230"/>
      <c r="F231" s="230" t="s">
        <v>601</v>
      </c>
      <c r="G231" s="230" t="s">
        <v>621</v>
      </c>
      <c r="H231" s="230" t="s">
        <v>642</v>
      </c>
      <c r="I231" s="230" t="s">
        <v>568</v>
      </c>
      <c r="J231" s="230">
        <v>10000</v>
      </c>
      <c r="K231" s="231">
        <v>0.25</v>
      </c>
      <c r="L231" s="230"/>
      <c r="M231" s="231" t="s">
        <v>2147</v>
      </c>
      <c r="N231" s="230" t="s">
        <v>763</v>
      </c>
    </row>
    <row r="232" spans="1:14" s="232" customFormat="1" ht="42.75" customHeight="1">
      <c r="A232" s="230" t="s">
        <v>2353</v>
      </c>
      <c r="B232" s="230">
        <v>5</v>
      </c>
      <c r="C232" s="230" t="s">
        <v>1938</v>
      </c>
      <c r="D232" s="230" t="s">
        <v>287</v>
      </c>
      <c r="E232" s="230"/>
      <c r="F232" s="230" t="s">
        <v>601</v>
      </c>
      <c r="G232" s="230" t="s">
        <v>621</v>
      </c>
      <c r="H232" s="230" t="s">
        <v>642</v>
      </c>
      <c r="I232" s="230" t="s">
        <v>568</v>
      </c>
      <c r="J232" s="230">
        <v>3000</v>
      </c>
      <c r="K232" s="231">
        <v>0.25</v>
      </c>
      <c r="L232" s="230"/>
      <c r="M232" s="231" t="s">
        <v>2147</v>
      </c>
      <c r="N232" s="230" t="s">
        <v>763</v>
      </c>
    </row>
    <row r="233" spans="1:14" s="232" customFormat="1" ht="42.75" customHeight="1">
      <c r="A233" s="230" t="s">
        <v>2354</v>
      </c>
      <c r="B233" s="230">
        <v>8</v>
      </c>
      <c r="C233" s="230" t="s">
        <v>1939</v>
      </c>
      <c r="D233" s="230" t="s">
        <v>287</v>
      </c>
      <c r="E233" s="230"/>
      <c r="F233" s="230" t="s">
        <v>601</v>
      </c>
      <c r="G233" s="230" t="s">
        <v>621</v>
      </c>
      <c r="H233" s="230" t="s">
        <v>1828</v>
      </c>
      <c r="I233" s="230" t="s">
        <v>568</v>
      </c>
      <c r="J233" s="230">
        <v>5600</v>
      </c>
      <c r="K233" s="231">
        <v>0.25</v>
      </c>
      <c r="L233" s="230"/>
      <c r="M233" s="231" t="s">
        <v>2048</v>
      </c>
      <c r="N233" s="230" t="s">
        <v>790</v>
      </c>
    </row>
    <row r="234" spans="1:14" s="232" customFormat="1" ht="42.75" customHeight="1">
      <c r="A234" s="230" t="s">
        <v>2355</v>
      </c>
      <c r="B234" s="230">
        <v>14</v>
      </c>
      <c r="C234" s="230" t="s">
        <v>1941</v>
      </c>
      <c r="D234" s="230" t="s">
        <v>287</v>
      </c>
      <c r="E234" s="230"/>
      <c r="F234" s="230" t="s">
        <v>601</v>
      </c>
      <c r="G234" s="230" t="s">
        <v>621</v>
      </c>
      <c r="H234" s="230" t="s">
        <v>654</v>
      </c>
      <c r="I234" s="230" t="s">
        <v>568</v>
      </c>
      <c r="J234" s="230">
        <v>200</v>
      </c>
      <c r="K234" s="231">
        <v>0.25</v>
      </c>
      <c r="L234" s="230"/>
      <c r="M234" s="231" t="s">
        <v>2146</v>
      </c>
      <c r="N234" s="230" t="s">
        <v>763</v>
      </c>
    </row>
    <row r="235" spans="1:14" s="232" customFormat="1" ht="42.75" customHeight="1">
      <c r="A235" s="230" t="s">
        <v>2356</v>
      </c>
      <c r="B235" s="230">
        <v>15</v>
      </c>
      <c r="C235" s="230" t="s">
        <v>1940</v>
      </c>
      <c r="D235" s="230" t="s">
        <v>287</v>
      </c>
      <c r="E235" s="230"/>
      <c r="F235" s="230" t="s">
        <v>601</v>
      </c>
      <c r="G235" s="230" t="s">
        <v>621</v>
      </c>
      <c r="H235" s="230" t="s">
        <v>654</v>
      </c>
      <c r="I235" s="230" t="s">
        <v>568</v>
      </c>
      <c r="J235" s="230">
        <v>200</v>
      </c>
      <c r="K235" s="231">
        <v>0.25</v>
      </c>
      <c r="L235" s="230"/>
      <c r="M235" s="231" t="s">
        <v>2146</v>
      </c>
      <c r="N235" s="230" t="s">
        <v>763</v>
      </c>
    </row>
    <row r="236" spans="1:14" s="232" customFormat="1" ht="42.75" customHeight="1">
      <c r="A236" s="230" t="s">
        <v>2357</v>
      </c>
      <c r="B236" s="230">
        <v>16</v>
      </c>
      <c r="C236" s="230" t="s">
        <v>1942</v>
      </c>
      <c r="D236" s="230" t="s">
        <v>287</v>
      </c>
      <c r="E236" s="230"/>
      <c r="F236" s="230" t="s">
        <v>601</v>
      </c>
      <c r="G236" s="230" t="s">
        <v>621</v>
      </c>
      <c r="H236" s="230" t="s">
        <v>654</v>
      </c>
      <c r="I236" s="230" t="s">
        <v>568</v>
      </c>
      <c r="J236" s="230">
        <v>1200</v>
      </c>
      <c r="K236" s="231">
        <v>0.25</v>
      </c>
      <c r="L236" s="230"/>
      <c r="M236" s="231" t="s">
        <v>2146</v>
      </c>
      <c r="N236" s="230" t="s">
        <v>763</v>
      </c>
    </row>
    <row r="237" spans="1:14" s="232" customFormat="1" ht="42.75" customHeight="1">
      <c r="A237" s="230" t="s">
        <v>2358</v>
      </c>
      <c r="B237" s="230">
        <v>41</v>
      </c>
      <c r="C237" s="230" t="s">
        <v>1948</v>
      </c>
      <c r="D237" s="230" t="s">
        <v>287</v>
      </c>
      <c r="E237" s="230"/>
      <c r="F237" s="230" t="s">
        <v>601</v>
      </c>
      <c r="G237" s="230" t="s">
        <v>621</v>
      </c>
      <c r="H237" s="230" t="s">
        <v>670</v>
      </c>
      <c r="I237" s="230" t="s">
        <v>568</v>
      </c>
      <c r="J237" s="230">
        <v>45</v>
      </c>
      <c r="K237" s="231">
        <v>0.25</v>
      </c>
      <c r="L237" s="230"/>
      <c r="M237" s="231" t="s">
        <v>2146</v>
      </c>
      <c r="N237" s="230" t="s">
        <v>763</v>
      </c>
    </row>
    <row r="238" spans="1:14" s="232" customFormat="1" ht="42.75" customHeight="1">
      <c r="A238" s="230" t="s">
        <v>2359</v>
      </c>
      <c r="B238" s="230">
        <v>42</v>
      </c>
      <c r="C238" s="230" t="s">
        <v>1949</v>
      </c>
      <c r="D238" s="230" t="s">
        <v>287</v>
      </c>
      <c r="E238" s="230"/>
      <c r="F238" s="230" t="s">
        <v>601</v>
      </c>
      <c r="G238" s="230" t="s">
        <v>621</v>
      </c>
      <c r="H238" s="230" t="s">
        <v>670</v>
      </c>
      <c r="I238" s="230" t="s">
        <v>568</v>
      </c>
      <c r="J238" s="230">
        <v>3000</v>
      </c>
      <c r="K238" s="231">
        <v>0.25</v>
      </c>
      <c r="L238" s="230"/>
      <c r="M238" s="231" t="s">
        <v>2146</v>
      </c>
      <c r="N238" s="230" t="s">
        <v>763</v>
      </c>
    </row>
    <row r="239" spans="1:14" s="232" customFormat="1" ht="42.75" customHeight="1">
      <c r="A239" s="230" t="s">
        <v>2360</v>
      </c>
      <c r="B239" s="230">
        <v>43</v>
      </c>
      <c r="C239" s="230" t="s">
        <v>1950</v>
      </c>
      <c r="D239" s="230" t="s">
        <v>287</v>
      </c>
      <c r="E239" s="230"/>
      <c r="F239" s="230" t="s">
        <v>601</v>
      </c>
      <c r="G239" s="230" t="s">
        <v>621</v>
      </c>
      <c r="H239" s="230" t="s">
        <v>670</v>
      </c>
      <c r="I239" s="230" t="s">
        <v>568</v>
      </c>
      <c r="J239" s="230">
        <v>120</v>
      </c>
      <c r="K239" s="231">
        <v>0.25</v>
      </c>
      <c r="L239" s="230"/>
      <c r="M239" s="231" t="s">
        <v>2146</v>
      </c>
      <c r="N239" s="230" t="s">
        <v>763</v>
      </c>
    </row>
    <row r="240" spans="1:14" s="232" customFormat="1" ht="42.75" customHeight="1">
      <c r="A240" s="230" t="s">
        <v>2361</v>
      </c>
      <c r="B240" s="230">
        <v>171</v>
      </c>
      <c r="C240" s="230" t="s">
        <v>1971</v>
      </c>
      <c r="D240" s="230" t="s">
        <v>287</v>
      </c>
      <c r="E240" s="230"/>
      <c r="F240" s="230" t="s">
        <v>601</v>
      </c>
      <c r="G240" s="230" t="s">
        <v>621</v>
      </c>
      <c r="H240" s="230" t="s">
        <v>700</v>
      </c>
      <c r="I240" s="230" t="s">
        <v>568</v>
      </c>
      <c r="J240" s="230">
        <v>6043.95</v>
      </c>
      <c r="K240" s="231">
        <v>0.25</v>
      </c>
      <c r="L240" s="230"/>
      <c r="M240" s="231" t="s">
        <v>2146</v>
      </c>
      <c r="N240" s="230" t="s">
        <v>790</v>
      </c>
    </row>
    <row r="241" spans="1:14" s="232" customFormat="1" ht="42.75" customHeight="1">
      <c r="A241" s="230" t="s">
        <v>2362</v>
      </c>
      <c r="B241" s="230"/>
      <c r="C241" s="230" t="s">
        <v>1981</v>
      </c>
      <c r="D241" s="230" t="s">
        <v>287</v>
      </c>
      <c r="E241" s="230"/>
      <c r="F241" s="230" t="s">
        <v>601</v>
      </c>
      <c r="G241" s="230" t="s">
        <v>622</v>
      </c>
      <c r="H241" s="230"/>
      <c r="I241" s="230" t="s">
        <v>568</v>
      </c>
      <c r="J241" s="230">
        <v>6882.53</v>
      </c>
      <c r="K241" s="231">
        <v>0.25</v>
      </c>
      <c r="L241" s="230"/>
      <c r="M241" s="231" t="s">
        <v>2147</v>
      </c>
      <c r="N241" s="230" t="s">
        <v>790</v>
      </c>
    </row>
    <row r="242" spans="1:14" s="232" customFormat="1" ht="42.75" customHeight="1">
      <c r="A242" s="230" t="s">
        <v>2363</v>
      </c>
      <c r="B242" s="230"/>
      <c r="C242" s="230" t="s">
        <v>1899</v>
      </c>
      <c r="D242" s="230" t="s">
        <v>289</v>
      </c>
      <c r="E242" s="230"/>
      <c r="F242" s="230" t="s">
        <v>601</v>
      </c>
      <c r="G242" s="230" t="s">
        <v>589</v>
      </c>
      <c r="H242" s="230"/>
      <c r="I242" s="230" t="s">
        <v>570</v>
      </c>
      <c r="J242" s="230"/>
      <c r="K242" s="231">
        <v>0.25</v>
      </c>
      <c r="L242" s="230" t="s">
        <v>1900</v>
      </c>
      <c r="M242" s="231" t="s">
        <v>2121</v>
      </c>
      <c r="N242" s="230" t="s">
        <v>790</v>
      </c>
    </row>
    <row r="243" spans="1:14" s="232" customFormat="1" ht="42.75" customHeight="1">
      <c r="A243" s="230" t="s">
        <v>2364</v>
      </c>
      <c r="B243" s="230">
        <v>11</v>
      </c>
      <c r="C243" s="230" t="s">
        <v>1901</v>
      </c>
      <c r="D243" s="230" t="s">
        <v>289</v>
      </c>
      <c r="E243" s="230"/>
      <c r="F243" s="230" t="s">
        <v>601</v>
      </c>
      <c r="G243" s="230" t="s">
        <v>621</v>
      </c>
      <c r="H243" s="230" t="s">
        <v>644</v>
      </c>
      <c r="I243" s="230" t="s">
        <v>568</v>
      </c>
      <c r="J243" s="230">
        <v>2500</v>
      </c>
      <c r="K243" s="231">
        <v>0.25</v>
      </c>
      <c r="L243" s="230"/>
      <c r="M243" s="231" t="s">
        <v>2107</v>
      </c>
      <c r="N243" s="230" t="s">
        <v>790</v>
      </c>
    </row>
    <row r="244" spans="1:14" s="232" customFormat="1" ht="42.75" customHeight="1">
      <c r="A244" s="230" t="s">
        <v>2365</v>
      </c>
      <c r="B244" s="230">
        <v>57</v>
      </c>
      <c r="C244" s="230" t="s">
        <v>1902</v>
      </c>
      <c r="D244" s="230" t="s">
        <v>289</v>
      </c>
      <c r="E244" s="230"/>
      <c r="F244" s="230" t="s">
        <v>601</v>
      </c>
      <c r="G244" s="230" t="s">
        <v>621</v>
      </c>
      <c r="H244" s="230" t="s">
        <v>684</v>
      </c>
      <c r="I244" s="230" t="s">
        <v>568</v>
      </c>
      <c r="J244" s="230">
        <v>10000</v>
      </c>
      <c r="K244" s="231">
        <v>0.25</v>
      </c>
      <c r="L244" s="230"/>
      <c r="M244" s="231" t="s">
        <v>2107</v>
      </c>
      <c r="N244" s="230" t="s">
        <v>790</v>
      </c>
    </row>
    <row r="245" spans="1:14" s="232" customFormat="1" ht="42.75" customHeight="1">
      <c r="A245" s="230" t="s">
        <v>2366</v>
      </c>
      <c r="B245" s="230">
        <v>166</v>
      </c>
      <c r="C245" s="230" t="s">
        <v>2472</v>
      </c>
      <c r="D245" s="230" t="s">
        <v>289</v>
      </c>
      <c r="E245" s="230"/>
      <c r="F245" s="230" t="s">
        <v>601</v>
      </c>
      <c r="G245" s="230" t="s">
        <v>621</v>
      </c>
      <c r="H245" s="230" t="s">
        <v>698</v>
      </c>
      <c r="I245" s="230" t="s">
        <v>568</v>
      </c>
      <c r="J245" s="230">
        <v>18150</v>
      </c>
      <c r="K245" s="231">
        <v>0.25</v>
      </c>
      <c r="L245" s="230"/>
      <c r="M245" s="231" t="s">
        <v>2107</v>
      </c>
      <c r="N245" s="230" t="s">
        <v>790</v>
      </c>
    </row>
    <row r="246" spans="1:14" s="232" customFormat="1" ht="54.75" customHeight="1">
      <c r="A246" s="230" t="s">
        <v>2367</v>
      </c>
      <c r="B246" s="230"/>
      <c r="C246" s="230" t="s">
        <v>1387</v>
      </c>
      <c r="D246" s="230" t="s">
        <v>289</v>
      </c>
      <c r="E246" s="230"/>
      <c r="F246" s="230" t="s">
        <v>601</v>
      </c>
      <c r="G246" s="230" t="s">
        <v>589</v>
      </c>
      <c r="H246" s="230"/>
      <c r="I246" s="230" t="s">
        <v>568</v>
      </c>
      <c r="J246" s="230"/>
      <c r="K246" s="231">
        <v>0.25</v>
      </c>
      <c r="L246" s="230" t="s">
        <v>1903</v>
      </c>
      <c r="M246" s="231" t="s">
        <v>2075</v>
      </c>
      <c r="N246" s="230" t="s">
        <v>790</v>
      </c>
    </row>
    <row r="247" spans="1:14" s="232" customFormat="1" ht="42.75" customHeight="1">
      <c r="A247" s="230" t="s">
        <v>2368</v>
      </c>
      <c r="B247" s="230"/>
      <c r="C247" s="230" t="s">
        <v>1389</v>
      </c>
      <c r="D247" s="230" t="s">
        <v>289</v>
      </c>
      <c r="E247" s="230"/>
      <c r="F247" s="230" t="s">
        <v>601</v>
      </c>
      <c r="G247" s="230" t="s">
        <v>589</v>
      </c>
      <c r="H247" s="230"/>
      <c r="I247" s="230" t="s">
        <v>568</v>
      </c>
      <c r="J247" s="230"/>
      <c r="K247" s="231">
        <v>0.25</v>
      </c>
      <c r="L247" s="230" t="s">
        <v>1904</v>
      </c>
      <c r="M247" s="231" t="s">
        <v>2147</v>
      </c>
      <c r="N247" s="230" t="s">
        <v>763</v>
      </c>
    </row>
    <row r="248" spans="1:14" s="232" customFormat="1" ht="42.75" customHeight="1">
      <c r="A248" s="230" t="s">
        <v>2369</v>
      </c>
      <c r="B248" s="230"/>
      <c r="C248" s="230" t="s">
        <v>1905</v>
      </c>
      <c r="D248" s="230" t="s">
        <v>289</v>
      </c>
      <c r="E248" s="230"/>
      <c r="F248" s="230" t="s">
        <v>601</v>
      </c>
      <c r="G248" s="230" t="s">
        <v>589</v>
      </c>
      <c r="H248" s="230"/>
      <c r="I248" s="230" t="s">
        <v>568</v>
      </c>
      <c r="J248" s="230"/>
      <c r="K248" s="231">
        <v>0.25</v>
      </c>
      <c r="L248" s="230" t="s">
        <v>1904</v>
      </c>
      <c r="M248" s="231" t="s">
        <v>2147</v>
      </c>
      <c r="N248" s="230" t="s">
        <v>790</v>
      </c>
    </row>
    <row r="249" spans="1:14" s="232" customFormat="1" ht="42.75" customHeight="1">
      <c r="A249" s="230" t="s">
        <v>2370</v>
      </c>
      <c r="B249" s="230"/>
      <c r="C249" s="230" t="s">
        <v>1973</v>
      </c>
      <c r="D249" s="230" t="s">
        <v>289</v>
      </c>
      <c r="E249" s="230"/>
      <c r="F249" s="230" t="s">
        <v>601</v>
      </c>
      <c r="G249" s="230" t="s">
        <v>622</v>
      </c>
      <c r="H249" s="230"/>
      <c r="I249" s="230" t="s">
        <v>570</v>
      </c>
      <c r="J249" s="230">
        <v>18150</v>
      </c>
      <c r="K249" s="231">
        <v>0.25</v>
      </c>
      <c r="L249" s="230"/>
      <c r="M249" s="231" t="s">
        <v>2151</v>
      </c>
      <c r="N249" s="230" t="s">
        <v>790</v>
      </c>
    </row>
    <row r="250" spans="1:14" s="232" customFormat="1" ht="42.75" customHeight="1">
      <c r="A250" s="230" t="s">
        <v>2371</v>
      </c>
      <c r="B250" s="230"/>
      <c r="C250" s="230" t="s">
        <v>1977</v>
      </c>
      <c r="D250" s="230" t="s">
        <v>289</v>
      </c>
      <c r="E250" s="230"/>
      <c r="F250" s="230" t="s">
        <v>601</v>
      </c>
      <c r="G250" s="230" t="s">
        <v>622</v>
      </c>
      <c r="H250" s="230"/>
      <c r="I250" s="230" t="s">
        <v>570</v>
      </c>
      <c r="J250" s="230">
        <v>18148.79</v>
      </c>
      <c r="K250" s="231">
        <v>0.25</v>
      </c>
      <c r="L250" s="230"/>
      <c r="M250" s="231" t="s">
        <v>2151</v>
      </c>
      <c r="N250" s="230" t="s">
        <v>790</v>
      </c>
    </row>
    <row r="251" spans="1:14" s="232" customFormat="1" ht="42.75" customHeight="1">
      <c r="A251" s="230" t="s">
        <v>2372</v>
      </c>
      <c r="B251" s="230"/>
      <c r="C251" s="230" t="s">
        <v>1393</v>
      </c>
      <c r="D251" s="230" t="s">
        <v>289</v>
      </c>
      <c r="E251" s="230"/>
      <c r="F251" s="230" t="s">
        <v>601</v>
      </c>
      <c r="G251" s="230" t="s">
        <v>589</v>
      </c>
      <c r="H251" s="230"/>
      <c r="I251" s="230" t="s">
        <v>568</v>
      </c>
      <c r="J251" s="230"/>
      <c r="K251" s="231">
        <v>0.25</v>
      </c>
      <c r="L251" s="230" t="s">
        <v>1766</v>
      </c>
      <c r="M251" s="231" t="s">
        <v>2075</v>
      </c>
      <c r="N251" s="230" t="s">
        <v>790</v>
      </c>
    </row>
    <row r="252" spans="1:14" s="232" customFormat="1" ht="42.75" customHeight="1">
      <c r="A252" s="230" t="s">
        <v>2373</v>
      </c>
      <c r="B252" s="230">
        <v>13</v>
      </c>
      <c r="C252" s="230" t="s">
        <v>1906</v>
      </c>
      <c r="D252" s="230" t="s">
        <v>290</v>
      </c>
      <c r="E252" s="230"/>
      <c r="F252" s="230" t="s">
        <v>601</v>
      </c>
      <c r="G252" s="230" t="s">
        <v>621</v>
      </c>
      <c r="H252" s="230" t="s">
        <v>652</v>
      </c>
      <c r="I252" s="230" t="s">
        <v>570</v>
      </c>
      <c r="J252" s="230">
        <v>5000</v>
      </c>
      <c r="K252" s="231">
        <v>0.25</v>
      </c>
      <c r="L252" s="230"/>
      <c r="M252" s="231" t="s">
        <v>2146</v>
      </c>
      <c r="N252" s="230" t="s">
        <v>790</v>
      </c>
    </row>
    <row r="253" spans="1:14" s="232" customFormat="1" ht="42.75" customHeight="1">
      <c r="A253" s="230" t="s">
        <v>2374</v>
      </c>
      <c r="B253" s="230">
        <v>44</v>
      </c>
      <c r="C253" s="230" t="s">
        <v>1907</v>
      </c>
      <c r="D253" s="230" t="s">
        <v>290</v>
      </c>
      <c r="E253" s="230"/>
      <c r="F253" s="230" t="s">
        <v>601</v>
      </c>
      <c r="G253" s="230" t="s">
        <v>621</v>
      </c>
      <c r="H253" s="230" t="s">
        <v>652</v>
      </c>
      <c r="I253" s="230" t="s">
        <v>570</v>
      </c>
      <c r="J253" s="230">
        <v>9000</v>
      </c>
      <c r="K253" s="231">
        <v>0.25</v>
      </c>
      <c r="L253" s="230"/>
      <c r="M253" s="231" t="s">
        <v>2146</v>
      </c>
      <c r="N253" s="230" t="s">
        <v>763</v>
      </c>
    </row>
    <row r="254" spans="1:14" s="232" customFormat="1" ht="42.75" customHeight="1">
      <c r="A254" s="230" t="s">
        <v>2375</v>
      </c>
      <c r="B254" s="230"/>
      <c r="C254" s="230" t="s">
        <v>1403</v>
      </c>
      <c r="D254" s="230" t="s">
        <v>290</v>
      </c>
      <c r="E254" s="230"/>
      <c r="F254" s="230" t="s">
        <v>601</v>
      </c>
      <c r="G254" s="230" t="s">
        <v>589</v>
      </c>
      <c r="H254" s="230"/>
      <c r="I254" s="230" t="s">
        <v>570</v>
      </c>
      <c r="J254" s="230"/>
      <c r="K254" s="231">
        <v>0.25</v>
      </c>
      <c r="L254" s="230" t="s">
        <v>1766</v>
      </c>
      <c r="M254" s="231" t="s">
        <v>2107</v>
      </c>
      <c r="N254" s="230" t="s">
        <v>763</v>
      </c>
    </row>
    <row r="255" spans="1:14" s="232" customFormat="1" ht="42.75" customHeight="1">
      <c r="A255" s="230" t="s">
        <v>2376</v>
      </c>
      <c r="B255" s="230"/>
      <c r="C255" s="230" t="s">
        <v>1405</v>
      </c>
      <c r="D255" s="230" t="s">
        <v>290</v>
      </c>
      <c r="E255" s="230"/>
      <c r="F255" s="230" t="s">
        <v>601</v>
      </c>
      <c r="G255" s="230" t="s">
        <v>589</v>
      </c>
      <c r="H255" s="230"/>
      <c r="I255" s="230" t="s">
        <v>570</v>
      </c>
      <c r="J255" s="230"/>
      <c r="K255" s="231">
        <v>0.25</v>
      </c>
      <c r="L255" s="230" t="s">
        <v>1766</v>
      </c>
      <c r="M255" s="231" t="s">
        <v>2107</v>
      </c>
      <c r="N255" s="230" t="s">
        <v>763</v>
      </c>
    </row>
    <row r="256" spans="1:14" s="232" customFormat="1" ht="42.75" customHeight="1">
      <c r="A256" s="230" t="s">
        <v>2377</v>
      </c>
      <c r="B256" s="230">
        <v>97</v>
      </c>
      <c r="C256" s="230" t="s">
        <v>1908</v>
      </c>
      <c r="D256" s="230" t="s">
        <v>290</v>
      </c>
      <c r="E256" s="230"/>
      <c r="F256" s="230" t="s">
        <v>601</v>
      </c>
      <c r="G256" s="230" t="s">
        <v>621</v>
      </c>
      <c r="H256" s="230" t="s">
        <v>692</v>
      </c>
      <c r="I256" s="230" t="s">
        <v>570</v>
      </c>
      <c r="J256" s="230">
        <v>11310</v>
      </c>
      <c r="K256" s="231">
        <v>0.25</v>
      </c>
      <c r="L256" s="230"/>
      <c r="M256" s="231" t="s">
        <v>2151</v>
      </c>
      <c r="N256" s="230" t="s">
        <v>790</v>
      </c>
    </row>
    <row r="257" spans="1:14" s="232" customFormat="1" ht="42.75" customHeight="1">
      <c r="A257" s="230" t="s">
        <v>2378</v>
      </c>
      <c r="B257" s="230"/>
      <c r="C257" s="230" t="s">
        <v>1409</v>
      </c>
      <c r="D257" s="230" t="s">
        <v>290</v>
      </c>
      <c r="E257" s="230"/>
      <c r="F257" s="230" t="s">
        <v>601</v>
      </c>
      <c r="G257" s="230" t="s">
        <v>589</v>
      </c>
      <c r="H257" s="230"/>
      <c r="I257" s="230" t="s">
        <v>570</v>
      </c>
      <c r="J257" s="230"/>
      <c r="K257" s="231">
        <v>0.25</v>
      </c>
      <c r="L257" s="230" t="s">
        <v>1766</v>
      </c>
      <c r="M257" s="231" t="s">
        <v>2075</v>
      </c>
      <c r="N257" s="230" t="s">
        <v>790</v>
      </c>
    </row>
    <row r="258" spans="1:14" s="232" customFormat="1" ht="42.75" customHeight="1">
      <c r="A258" s="230" t="s">
        <v>2379</v>
      </c>
      <c r="B258" s="230"/>
      <c r="C258" s="230" t="s">
        <v>1416</v>
      </c>
      <c r="D258" s="230" t="s">
        <v>294</v>
      </c>
      <c r="E258" s="230"/>
      <c r="F258" s="230" t="s">
        <v>601</v>
      </c>
      <c r="G258" s="230" t="s">
        <v>589</v>
      </c>
      <c r="H258" s="230"/>
      <c r="I258" s="230" t="s">
        <v>614</v>
      </c>
      <c r="J258" s="230"/>
      <c r="K258" s="231">
        <v>0.25</v>
      </c>
      <c r="L258" s="230" t="s">
        <v>1909</v>
      </c>
      <c r="M258" s="231" t="s">
        <v>2075</v>
      </c>
      <c r="N258" s="230" t="s">
        <v>790</v>
      </c>
    </row>
    <row r="259" spans="1:14" s="232" customFormat="1" ht="42.75" customHeight="1">
      <c r="A259" s="230" t="s">
        <v>2380</v>
      </c>
      <c r="B259" s="230"/>
      <c r="C259" s="230" t="s">
        <v>1419</v>
      </c>
      <c r="D259" s="230" t="s">
        <v>296</v>
      </c>
      <c r="E259" s="230"/>
      <c r="F259" s="230" t="s">
        <v>601</v>
      </c>
      <c r="G259" s="230" t="s">
        <v>589</v>
      </c>
      <c r="H259" s="230"/>
      <c r="I259" s="230" t="s">
        <v>614</v>
      </c>
      <c r="J259" s="230"/>
      <c r="K259" s="231">
        <v>0.25</v>
      </c>
      <c r="L259" s="230" t="s">
        <v>1909</v>
      </c>
      <c r="M259" s="231" t="s">
        <v>2075</v>
      </c>
      <c r="N259" s="230" t="s">
        <v>790</v>
      </c>
    </row>
    <row r="260" spans="1:14" s="232" customFormat="1" ht="42.75" customHeight="1">
      <c r="A260" s="230" t="s">
        <v>2381</v>
      </c>
      <c r="B260" s="230"/>
      <c r="C260" s="230" t="s">
        <v>1421</v>
      </c>
      <c r="D260" s="230" t="s">
        <v>296</v>
      </c>
      <c r="E260" s="230"/>
      <c r="F260" s="230" t="s">
        <v>601</v>
      </c>
      <c r="G260" s="230" t="s">
        <v>589</v>
      </c>
      <c r="H260" s="230"/>
      <c r="I260" s="230" t="s">
        <v>614</v>
      </c>
      <c r="J260" s="230"/>
      <c r="K260" s="231">
        <v>0.25</v>
      </c>
      <c r="L260" s="230" t="s">
        <v>1909</v>
      </c>
      <c r="M260" s="231" t="s">
        <v>2087</v>
      </c>
      <c r="N260" s="230" t="s">
        <v>763</v>
      </c>
    </row>
    <row r="261" spans="1:14" s="232" customFormat="1" ht="42.75" customHeight="1">
      <c r="A261" s="230" t="s">
        <v>2382</v>
      </c>
      <c r="B261" s="230"/>
      <c r="C261" s="230" t="s">
        <v>1423</v>
      </c>
      <c r="D261" s="230" t="s">
        <v>296</v>
      </c>
      <c r="E261" s="230"/>
      <c r="F261" s="230" t="s">
        <v>601</v>
      </c>
      <c r="G261" s="230" t="s">
        <v>589</v>
      </c>
      <c r="H261" s="230"/>
      <c r="I261" s="230" t="s">
        <v>614</v>
      </c>
      <c r="J261" s="230"/>
      <c r="K261" s="231">
        <v>0.25</v>
      </c>
      <c r="L261" s="230" t="s">
        <v>1910</v>
      </c>
      <c r="M261" s="231" t="s">
        <v>2107</v>
      </c>
      <c r="N261" s="230" t="s">
        <v>790</v>
      </c>
    </row>
    <row r="262" spans="1:14" s="232" customFormat="1" ht="42.75" customHeight="1">
      <c r="A262" s="230" t="s">
        <v>2383</v>
      </c>
      <c r="B262" s="230"/>
      <c r="C262" s="230" t="s">
        <v>1429</v>
      </c>
      <c r="D262" s="230" t="s">
        <v>304</v>
      </c>
      <c r="E262" s="230"/>
      <c r="F262" s="230" t="s">
        <v>601</v>
      </c>
      <c r="G262" s="230" t="s">
        <v>589</v>
      </c>
      <c r="H262" s="230"/>
      <c r="I262" s="230" t="s">
        <v>567</v>
      </c>
      <c r="J262" s="230"/>
      <c r="K262" s="231">
        <v>0.25</v>
      </c>
      <c r="L262" s="230" t="s">
        <v>1911</v>
      </c>
      <c r="M262" s="231" t="s">
        <v>2075</v>
      </c>
      <c r="N262" s="230" t="s">
        <v>790</v>
      </c>
    </row>
    <row r="263" spans="1:14" s="232" customFormat="1" ht="42.75" customHeight="1">
      <c r="A263" s="230" t="s">
        <v>2384</v>
      </c>
      <c r="B263" s="230"/>
      <c r="C263" s="230" t="s">
        <v>1912</v>
      </c>
      <c r="D263" s="230" t="s">
        <v>304</v>
      </c>
      <c r="E263" s="230"/>
      <c r="F263" s="230" t="s">
        <v>601</v>
      </c>
      <c r="G263" s="230" t="s">
        <v>622</v>
      </c>
      <c r="H263" s="230"/>
      <c r="I263" s="230" t="s">
        <v>619</v>
      </c>
      <c r="J263" s="480">
        <v>39359.019999999997</v>
      </c>
      <c r="K263" s="231">
        <v>0.5</v>
      </c>
      <c r="L263" s="230"/>
      <c r="M263" s="231" t="s">
        <v>2147</v>
      </c>
      <c r="N263" s="230" t="s">
        <v>790</v>
      </c>
    </row>
    <row r="264" spans="1:14" s="232" customFormat="1" ht="42.75" customHeight="1">
      <c r="A264" s="230" t="s">
        <v>2385</v>
      </c>
      <c r="B264" s="230"/>
      <c r="C264" s="230" t="s">
        <v>1434</v>
      </c>
      <c r="D264" s="230" t="s">
        <v>1913</v>
      </c>
      <c r="E264" s="230"/>
      <c r="F264" s="230" t="s">
        <v>601</v>
      </c>
      <c r="G264" s="230" t="s">
        <v>589</v>
      </c>
      <c r="H264" s="230"/>
      <c r="I264" s="230" t="s">
        <v>567</v>
      </c>
      <c r="J264" s="230"/>
      <c r="K264" s="231">
        <v>0.25</v>
      </c>
      <c r="L264" s="230" t="s">
        <v>1914</v>
      </c>
      <c r="M264" s="231" t="s">
        <v>2075</v>
      </c>
      <c r="N264" s="230" t="s">
        <v>790</v>
      </c>
    </row>
    <row r="265" spans="1:14" s="483" customFormat="1" ht="42.75" customHeight="1">
      <c r="A265" s="481" t="s">
        <v>2386</v>
      </c>
      <c r="B265" s="481"/>
      <c r="C265" s="481" t="s">
        <v>1438</v>
      </c>
      <c r="D265" s="481" t="s">
        <v>309</v>
      </c>
      <c r="E265" s="481"/>
      <c r="F265" s="481" t="s">
        <v>602</v>
      </c>
      <c r="G265" s="481" t="s">
        <v>589</v>
      </c>
      <c r="H265" s="481"/>
      <c r="I265" s="481" t="s">
        <v>570</v>
      </c>
      <c r="J265" s="481"/>
      <c r="K265" s="482">
        <v>0.25</v>
      </c>
      <c r="L265" s="481" t="s">
        <v>1766</v>
      </c>
      <c r="M265" s="482" t="s">
        <v>2107</v>
      </c>
      <c r="N265" s="481" t="s">
        <v>763</v>
      </c>
    </row>
    <row r="266" spans="1:14" s="483" customFormat="1" ht="42.75" customHeight="1">
      <c r="A266" s="481" t="s">
        <v>2387</v>
      </c>
      <c r="B266" s="481"/>
      <c r="C266" s="481" t="s">
        <v>1915</v>
      </c>
      <c r="D266" s="481" t="s">
        <v>311</v>
      </c>
      <c r="E266" s="481"/>
      <c r="F266" s="481" t="s">
        <v>602</v>
      </c>
      <c r="G266" s="481" t="s">
        <v>589</v>
      </c>
      <c r="H266" s="481"/>
      <c r="I266" s="481" t="s">
        <v>570</v>
      </c>
      <c r="J266" s="481"/>
      <c r="K266" s="482">
        <v>0.25</v>
      </c>
      <c r="L266" s="481" t="s">
        <v>1916</v>
      </c>
      <c r="M266" s="482" t="s">
        <v>2107</v>
      </c>
      <c r="N266" s="481" t="s">
        <v>790</v>
      </c>
    </row>
    <row r="267" spans="1:14" s="483" customFormat="1" ht="42.75" customHeight="1">
      <c r="A267" s="481" t="s">
        <v>2388</v>
      </c>
      <c r="B267" s="481"/>
      <c r="C267" s="481" t="s">
        <v>1447</v>
      </c>
      <c r="D267" s="481" t="s">
        <v>311</v>
      </c>
      <c r="E267" s="481"/>
      <c r="F267" s="481" t="s">
        <v>602</v>
      </c>
      <c r="G267" s="481" t="s">
        <v>589</v>
      </c>
      <c r="H267" s="481"/>
      <c r="I267" s="481" t="s">
        <v>570</v>
      </c>
      <c r="J267" s="481"/>
      <c r="K267" s="482">
        <v>0.25</v>
      </c>
      <c r="L267" s="481" t="s">
        <v>1766</v>
      </c>
      <c r="M267" s="482" t="s">
        <v>2107</v>
      </c>
      <c r="N267" s="481" t="s">
        <v>763</v>
      </c>
    </row>
    <row r="268" spans="1:14" s="483" customFormat="1" ht="42.75" customHeight="1">
      <c r="A268" s="481" t="s">
        <v>2389</v>
      </c>
      <c r="B268" s="481"/>
      <c r="C268" s="481" t="s">
        <v>1917</v>
      </c>
      <c r="D268" s="481" t="s">
        <v>313</v>
      </c>
      <c r="E268" s="481"/>
      <c r="F268" s="481" t="s">
        <v>602</v>
      </c>
      <c r="G268" s="481" t="s">
        <v>589</v>
      </c>
      <c r="H268" s="481"/>
      <c r="I268" s="481" t="s">
        <v>570</v>
      </c>
      <c r="J268" s="481"/>
      <c r="K268" s="482">
        <v>0.25</v>
      </c>
      <c r="L268" s="481" t="s">
        <v>1766</v>
      </c>
      <c r="M268" s="482" t="s">
        <v>2107</v>
      </c>
      <c r="N268" s="481" t="s">
        <v>790</v>
      </c>
    </row>
    <row r="269" spans="1:14" s="483" customFormat="1" ht="42.75" customHeight="1">
      <c r="A269" s="481" t="s">
        <v>2390</v>
      </c>
      <c r="B269" s="481"/>
      <c r="C269" s="481" t="s">
        <v>1450</v>
      </c>
      <c r="D269" s="481" t="s">
        <v>316</v>
      </c>
      <c r="E269" s="481"/>
      <c r="F269" s="481" t="s">
        <v>602</v>
      </c>
      <c r="G269" s="481" t="s">
        <v>589</v>
      </c>
      <c r="H269" s="481"/>
      <c r="I269" s="481" t="s">
        <v>570</v>
      </c>
      <c r="J269" s="481"/>
      <c r="K269" s="482">
        <v>0.25</v>
      </c>
      <c r="L269" s="481" t="s">
        <v>1918</v>
      </c>
      <c r="M269" s="482" t="s">
        <v>2107</v>
      </c>
      <c r="N269" s="481" t="s">
        <v>790</v>
      </c>
    </row>
    <row r="270" spans="1:14" s="483" customFormat="1" ht="51" customHeight="1">
      <c r="A270" s="481" t="s">
        <v>2391</v>
      </c>
      <c r="B270" s="481"/>
      <c r="C270" s="481" t="s">
        <v>1919</v>
      </c>
      <c r="D270" s="481" t="s">
        <v>322</v>
      </c>
      <c r="E270" s="481"/>
      <c r="F270" s="481" t="s">
        <v>602</v>
      </c>
      <c r="G270" s="481" t="s">
        <v>589</v>
      </c>
      <c r="H270" s="481"/>
      <c r="I270" s="481" t="s">
        <v>570</v>
      </c>
      <c r="J270" s="481"/>
      <c r="K270" s="482">
        <v>0.25</v>
      </c>
      <c r="L270" s="481" t="s">
        <v>1766</v>
      </c>
      <c r="M270" s="482" t="s">
        <v>2134</v>
      </c>
      <c r="N270" s="481" t="s">
        <v>763</v>
      </c>
    </row>
    <row r="271" spans="1:14" s="483" customFormat="1" ht="42.75" customHeight="1">
      <c r="A271" s="481" t="s">
        <v>2392</v>
      </c>
      <c r="B271" s="481"/>
      <c r="C271" s="481" t="s">
        <v>1463</v>
      </c>
      <c r="D271" s="481" t="s">
        <v>322</v>
      </c>
      <c r="E271" s="481"/>
      <c r="F271" s="481" t="s">
        <v>602</v>
      </c>
      <c r="G271" s="481" t="s">
        <v>589</v>
      </c>
      <c r="H271" s="481"/>
      <c r="I271" s="481" t="s">
        <v>570</v>
      </c>
      <c r="J271" s="481"/>
      <c r="K271" s="482">
        <v>0.25</v>
      </c>
      <c r="L271" s="481" t="s">
        <v>1766</v>
      </c>
      <c r="M271" s="482" t="s">
        <v>2134</v>
      </c>
      <c r="N271" s="481" t="s">
        <v>763</v>
      </c>
    </row>
    <row r="272" spans="1:14" s="483" customFormat="1" ht="51" customHeight="1">
      <c r="A272" s="481" t="s">
        <v>2393</v>
      </c>
      <c r="B272" s="481"/>
      <c r="C272" s="481" t="s">
        <v>1465</v>
      </c>
      <c r="D272" s="481" t="s">
        <v>325</v>
      </c>
      <c r="E272" s="481"/>
      <c r="F272" s="481" t="s">
        <v>602</v>
      </c>
      <c r="G272" s="481" t="s">
        <v>589</v>
      </c>
      <c r="H272" s="481"/>
      <c r="I272" s="481" t="s">
        <v>570</v>
      </c>
      <c r="J272" s="481"/>
      <c r="K272" s="482">
        <v>0.25</v>
      </c>
      <c r="L272" s="481" t="s">
        <v>1766</v>
      </c>
      <c r="M272" s="482" t="s">
        <v>2151</v>
      </c>
      <c r="N272" s="481" t="s">
        <v>790</v>
      </c>
    </row>
    <row r="273" spans="1:14" s="483" customFormat="1" ht="51" customHeight="1">
      <c r="A273" s="481" t="s">
        <v>2394</v>
      </c>
      <c r="B273" s="481">
        <v>154</v>
      </c>
      <c r="C273" s="481" t="s">
        <v>1967</v>
      </c>
      <c r="D273" s="481" t="s">
        <v>327</v>
      </c>
      <c r="E273" s="481"/>
      <c r="F273" s="481" t="s">
        <v>602</v>
      </c>
      <c r="G273" s="481" t="s">
        <v>621</v>
      </c>
      <c r="H273" s="481" t="s">
        <v>692</v>
      </c>
      <c r="I273" s="481" t="s">
        <v>570</v>
      </c>
      <c r="J273" s="481">
        <v>1200</v>
      </c>
      <c r="K273" s="482">
        <v>0.25</v>
      </c>
      <c r="L273" s="481"/>
      <c r="M273" s="482" t="s">
        <v>2107</v>
      </c>
      <c r="N273" s="481" t="s">
        <v>790</v>
      </c>
    </row>
    <row r="274" spans="1:14" s="483" customFormat="1" ht="42" customHeight="1">
      <c r="A274" s="481" t="s">
        <v>2395</v>
      </c>
      <c r="B274" s="481">
        <v>79</v>
      </c>
      <c r="C274" s="481" t="s">
        <v>1473</v>
      </c>
      <c r="D274" s="481" t="s">
        <v>329</v>
      </c>
      <c r="E274" s="481"/>
      <c r="F274" s="481" t="s">
        <v>602</v>
      </c>
      <c r="G274" s="481" t="s">
        <v>621</v>
      </c>
      <c r="H274" s="481" t="s">
        <v>1824</v>
      </c>
      <c r="I274" s="481" t="s">
        <v>570</v>
      </c>
      <c r="J274" s="481">
        <v>1000</v>
      </c>
      <c r="K274" s="482">
        <v>0.25</v>
      </c>
      <c r="L274" s="481"/>
      <c r="M274" s="482" t="s">
        <v>2107</v>
      </c>
      <c r="N274" s="481" t="s">
        <v>790</v>
      </c>
    </row>
    <row r="275" spans="1:14" s="483" customFormat="1" ht="51" customHeight="1">
      <c r="A275" s="481" t="s">
        <v>2396</v>
      </c>
      <c r="B275" s="481"/>
      <c r="C275" s="481" t="s">
        <v>1471</v>
      </c>
      <c r="D275" s="481" t="s">
        <v>329</v>
      </c>
      <c r="E275" s="481"/>
      <c r="F275" s="481" t="s">
        <v>602</v>
      </c>
      <c r="G275" s="481" t="s">
        <v>589</v>
      </c>
      <c r="H275" s="481"/>
      <c r="I275" s="481" t="s">
        <v>570</v>
      </c>
      <c r="J275" s="481"/>
      <c r="K275" s="482">
        <v>0.25</v>
      </c>
      <c r="L275" s="481" t="s">
        <v>1918</v>
      </c>
      <c r="M275" s="482" t="s">
        <v>2107</v>
      </c>
      <c r="N275" s="481" t="s">
        <v>790</v>
      </c>
    </row>
    <row r="276" spans="1:14" s="483" customFormat="1" ht="51" customHeight="1">
      <c r="A276" s="481" t="s">
        <v>2397</v>
      </c>
      <c r="B276" s="481">
        <v>80</v>
      </c>
      <c r="C276" s="481" t="s">
        <v>1920</v>
      </c>
      <c r="D276" s="481" t="s">
        <v>329</v>
      </c>
      <c r="E276" s="481"/>
      <c r="F276" s="481" t="s">
        <v>602</v>
      </c>
      <c r="G276" s="481" t="s">
        <v>621</v>
      </c>
      <c r="H276" s="481" t="s">
        <v>1824</v>
      </c>
      <c r="I276" s="481" t="s">
        <v>570</v>
      </c>
      <c r="J276" s="481">
        <v>1500</v>
      </c>
      <c r="K276" s="482">
        <v>0.25</v>
      </c>
      <c r="L276" s="481"/>
      <c r="M276" s="482" t="s">
        <v>2107</v>
      </c>
      <c r="N276" s="481" t="s">
        <v>790</v>
      </c>
    </row>
    <row r="277" spans="1:14" s="483" customFormat="1" ht="51" customHeight="1">
      <c r="A277" s="481" t="s">
        <v>2398</v>
      </c>
      <c r="B277" s="481"/>
      <c r="C277" s="481" t="s">
        <v>1921</v>
      </c>
      <c r="D277" s="481" t="s">
        <v>332</v>
      </c>
      <c r="E277" s="481"/>
      <c r="F277" s="481" t="s">
        <v>602</v>
      </c>
      <c r="G277" s="481" t="s">
        <v>589</v>
      </c>
      <c r="H277" s="481"/>
      <c r="I277" s="481" t="s">
        <v>570</v>
      </c>
      <c r="J277" s="481"/>
      <c r="K277" s="482">
        <v>0.25</v>
      </c>
      <c r="L277" s="481" t="s">
        <v>1766</v>
      </c>
      <c r="M277" s="482" t="s">
        <v>2107</v>
      </c>
      <c r="N277" s="481" t="s">
        <v>763</v>
      </c>
    </row>
    <row r="278" spans="1:14" s="483" customFormat="1" ht="51" customHeight="1">
      <c r="A278" s="481" t="s">
        <v>2399</v>
      </c>
      <c r="B278" s="481">
        <v>38</v>
      </c>
      <c r="C278" s="481" t="s">
        <v>1947</v>
      </c>
      <c r="D278" s="481" t="s">
        <v>334</v>
      </c>
      <c r="E278" s="481"/>
      <c r="F278" s="481" t="s">
        <v>602</v>
      </c>
      <c r="G278" s="481" t="s">
        <v>621</v>
      </c>
      <c r="H278" s="481" t="s">
        <v>668</v>
      </c>
      <c r="I278" s="481" t="s">
        <v>570</v>
      </c>
      <c r="J278" s="481">
        <v>10000</v>
      </c>
      <c r="K278" s="482">
        <v>0.25</v>
      </c>
      <c r="L278" s="481"/>
      <c r="M278" s="482" t="s">
        <v>2107</v>
      </c>
      <c r="N278" s="481" t="s">
        <v>763</v>
      </c>
    </row>
    <row r="279" spans="1:14" s="483" customFormat="1" ht="51" customHeight="1">
      <c r="A279" s="481" t="s">
        <v>2400</v>
      </c>
      <c r="B279" s="481">
        <v>92</v>
      </c>
      <c r="C279" s="481" t="s">
        <v>1485</v>
      </c>
      <c r="D279" s="481" t="s">
        <v>334</v>
      </c>
      <c r="E279" s="481"/>
      <c r="F279" s="481" t="s">
        <v>602</v>
      </c>
      <c r="G279" s="481" t="s">
        <v>621</v>
      </c>
      <c r="H279" s="481" t="s">
        <v>692</v>
      </c>
      <c r="I279" s="481" t="s">
        <v>570</v>
      </c>
      <c r="J279" s="481">
        <v>6050</v>
      </c>
      <c r="K279" s="482">
        <v>0.25</v>
      </c>
      <c r="L279" s="481"/>
      <c r="M279" s="482" t="s">
        <v>2151</v>
      </c>
      <c r="N279" s="481" t="s">
        <v>790</v>
      </c>
    </row>
    <row r="280" spans="1:14" s="483" customFormat="1" ht="51" customHeight="1">
      <c r="A280" s="481" t="s">
        <v>2401</v>
      </c>
      <c r="B280" s="481">
        <v>37</v>
      </c>
      <c r="C280" s="481" t="s">
        <v>1922</v>
      </c>
      <c r="D280" s="481" t="s">
        <v>334</v>
      </c>
      <c r="E280" s="481"/>
      <c r="F280" s="481" t="s">
        <v>602</v>
      </c>
      <c r="G280" s="481" t="s">
        <v>621</v>
      </c>
      <c r="H280" s="481" t="s">
        <v>664</v>
      </c>
      <c r="I280" s="481" t="s">
        <v>570</v>
      </c>
      <c r="J280" s="481">
        <v>6050</v>
      </c>
      <c r="K280" s="482">
        <v>0.25</v>
      </c>
      <c r="L280" s="481"/>
      <c r="M280" s="482" t="s">
        <v>2151</v>
      </c>
      <c r="N280" s="481" t="s">
        <v>790</v>
      </c>
    </row>
    <row r="281" spans="1:14" s="483" customFormat="1" ht="51" customHeight="1">
      <c r="A281" s="481" t="s">
        <v>2402</v>
      </c>
      <c r="B281" s="481">
        <v>93</v>
      </c>
      <c r="C281" s="481" t="s">
        <v>1487</v>
      </c>
      <c r="D281" s="481" t="s">
        <v>334</v>
      </c>
      <c r="E281" s="481"/>
      <c r="F281" s="481" t="s">
        <v>602</v>
      </c>
      <c r="G281" s="481" t="s">
        <v>621</v>
      </c>
      <c r="H281" s="481" t="s">
        <v>692</v>
      </c>
      <c r="I281" s="481" t="s">
        <v>570</v>
      </c>
      <c r="J281" s="481">
        <v>9725.57</v>
      </c>
      <c r="K281" s="482">
        <v>0.25</v>
      </c>
      <c r="L281" s="481"/>
      <c r="M281" s="482" t="s">
        <v>2107</v>
      </c>
      <c r="N281" s="481" t="s">
        <v>763</v>
      </c>
    </row>
    <row r="282" spans="1:14" s="483" customFormat="1" ht="51" customHeight="1">
      <c r="A282" s="481" t="s">
        <v>2403</v>
      </c>
      <c r="B282" s="481">
        <v>143</v>
      </c>
      <c r="C282" s="481" t="s">
        <v>1488</v>
      </c>
      <c r="D282" s="481" t="s">
        <v>334</v>
      </c>
      <c r="E282" s="481"/>
      <c r="F282" s="481" t="s">
        <v>602</v>
      </c>
      <c r="G282" s="481" t="s">
        <v>621</v>
      </c>
      <c r="H282" s="481" t="s">
        <v>692</v>
      </c>
      <c r="I282" s="481" t="s">
        <v>570</v>
      </c>
      <c r="J282" s="481">
        <v>2100</v>
      </c>
      <c r="K282" s="482">
        <v>0.25</v>
      </c>
      <c r="L282" s="481"/>
      <c r="M282" s="482" t="s">
        <v>2075</v>
      </c>
      <c r="N282" s="481" t="s">
        <v>763</v>
      </c>
    </row>
    <row r="283" spans="1:14" s="483" customFormat="1" ht="51" customHeight="1">
      <c r="A283" s="481" t="s">
        <v>2404</v>
      </c>
      <c r="B283" s="481"/>
      <c r="C283" s="481" t="s">
        <v>1500</v>
      </c>
      <c r="D283" s="481" t="s">
        <v>343</v>
      </c>
      <c r="E283" s="481"/>
      <c r="F283" s="481" t="s">
        <v>602</v>
      </c>
      <c r="G283" s="481" t="s">
        <v>589</v>
      </c>
      <c r="H283" s="481"/>
      <c r="I283" s="481" t="s">
        <v>570</v>
      </c>
      <c r="J283" s="481"/>
      <c r="K283" s="482">
        <v>0.25</v>
      </c>
      <c r="L283" s="481" t="s">
        <v>1923</v>
      </c>
      <c r="M283" s="482" t="s">
        <v>2075</v>
      </c>
      <c r="N283" s="481" t="s">
        <v>790</v>
      </c>
    </row>
    <row r="284" spans="1:14" s="483" customFormat="1" ht="51" customHeight="1">
      <c r="A284" s="481" t="s">
        <v>2405</v>
      </c>
      <c r="B284" s="481"/>
      <c r="C284" s="481" t="s">
        <v>1502</v>
      </c>
      <c r="D284" s="481" t="s">
        <v>343</v>
      </c>
      <c r="E284" s="481" t="s">
        <v>238</v>
      </c>
      <c r="F284" s="481" t="s">
        <v>602</v>
      </c>
      <c r="G284" s="481" t="s">
        <v>589</v>
      </c>
      <c r="H284" s="481"/>
      <c r="I284" s="481" t="s">
        <v>570</v>
      </c>
      <c r="J284" s="481"/>
      <c r="K284" s="482">
        <v>0.25</v>
      </c>
      <c r="L284" s="481" t="s">
        <v>1924</v>
      </c>
      <c r="M284" s="482" t="s">
        <v>2075</v>
      </c>
      <c r="N284" s="481" t="s">
        <v>790</v>
      </c>
    </row>
    <row r="285" spans="1:14" s="483" customFormat="1" ht="51" customHeight="1">
      <c r="A285" s="481" t="s">
        <v>2406</v>
      </c>
      <c r="B285" s="481"/>
      <c r="C285" s="481" t="s">
        <v>1925</v>
      </c>
      <c r="D285" s="481" t="s">
        <v>347</v>
      </c>
      <c r="E285" s="481" t="s">
        <v>187</v>
      </c>
      <c r="F285" s="481" t="s">
        <v>602</v>
      </c>
      <c r="G285" s="481" t="s">
        <v>589</v>
      </c>
      <c r="H285" s="481"/>
      <c r="I285" s="481" t="s">
        <v>570</v>
      </c>
      <c r="J285" s="481"/>
      <c r="K285" s="482">
        <v>0.25</v>
      </c>
      <c r="L285" s="481" t="s">
        <v>1924</v>
      </c>
      <c r="M285" s="482" t="s">
        <v>2150</v>
      </c>
      <c r="N285" s="481" t="s">
        <v>790</v>
      </c>
    </row>
    <row r="286" spans="1:14" s="483" customFormat="1" ht="27.75" customHeight="1">
      <c r="A286" s="481" t="s">
        <v>2407</v>
      </c>
      <c r="B286" s="481"/>
      <c r="C286" s="481" t="s">
        <v>1926</v>
      </c>
      <c r="D286" s="481" t="s">
        <v>349</v>
      </c>
      <c r="E286" s="481"/>
      <c r="F286" s="481" t="s">
        <v>602</v>
      </c>
      <c r="G286" s="481" t="s">
        <v>589</v>
      </c>
      <c r="H286" s="481"/>
      <c r="I286" s="481" t="s">
        <v>570</v>
      </c>
      <c r="J286" s="481"/>
      <c r="K286" s="482">
        <v>0.25</v>
      </c>
      <c r="L286" s="481" t="s">
        <v>1766</v>
      </c>
      <c r="M286" s="482" t="s">
        <v>2107</v>
      </c>
      <c r="N286" s="481" t="s">
        <v>790</v>
      </c>
    </row>
    <row r="287" spans="1:14" s="483" customFormat="1" ht="51" customHeight="1">
      <c r="A287" s="481" t="s">
        <v>2408</v>
      </c>
      <c r="B287" s="481"/>
      <c r="C287" s="481" t="s">
        <v>1509</v>
      </c>
      <c r="D287" s="481" t="s">
        <v>349</v>
      </c>
      <c r="E287" s="481"/>
      <c r="F287" s="481" t="s">
        <v>602</v>
      </c>
      <c r="G287" s="481" t="s">
        <v>589</v>
      </c>
      <c r="H287" s="481"/>
      <c r="I287" s="481" t="s">
        <v>570</v>
      </c>
      <c r="J287" s="481"/>
      <c r="K287" s="482">
        <v>0.25</v>
      </c>
      <c r="L287" s="481" t="s">
        <v>1927</v>
      </c>
      <c r="M287" s="482" t="s">
        <v>2107</v>
      </c>
      <c r="N287" s="481" t="s">
        <v>763</v>
      </c>
    </row>
    <row r="288" spans="1:14" s="483" customFormat="1" ht="51" customHeight="1">
      <c r="A288" s="481" t="s">
        <v>2409</v>
      </c>
      <c r="B288" s="481">
        <v>95</v>
      </c>
      <c r="C288" s="481" t="s">
        <v>1511</v>
      </c>
      <c r="D288" s="481" t="s">
        <v>349</v>
      </c>
      <c r="E288" s="481"/>
      <c r="F288" s="481" t="s">
        <v>602</v>
      </c>
      <c r="G288" s="481" t="s">
        <v>621</v>
      </c>
      <c r="H288" s="481" t="s">
        <v>692</v>
      </c>
      <c r="I288" s="481" t="s">
        <v>570</v>
      </c>
      <c r="J288" s="481">
        <v>2000</v>
      </c>
      <c r="K288" s="482">
        <v>0.25</v>
      </c>
      <c r="L288" s="481"/>
      <c r="M288" s="482" t="s">
        <v>2075</v>
      </c>
      <c r="N288" s="481" t="s">
        <v>790</v>
      </c>
    </row>
    <row r="289" spans="1:14" s="483" customFormat="1" ht="51" customHeight="1">
      <c r="A289" s="481" t="s">
        <v>2410</v>
      </c>
      <c r="B289" s="481">
        <v>151</v>
      </c>
      <c r="C289" s="481" t="s">
        <v>1513</v>
      </c>
      <c r="D289" s="481" t="s">
        <v>349</v>
      </c>
      <c r="E289" s="481"/>
      <c r="F289" s="481" t="s">
        <v>602</v>
      </c>
      <c r="G289" s="481" t="s">
        <v>621</v>
      </c>
      <c r="H289" s="481" t="s">
        <v>692</v>
      </c>
      <c r="I289" s="481" t="s">
        <v>570</v>
      </c>
      <c r="J289" s="481">
        <v>2500</v>
      </c>
      <c r="K289" s="482">
        <v>0.25</v>
      </c>
      <c r="L289" s="481"/>
      <c r="M289" s="482" t="s">
        <v>2107</v>
      </c>
      <c r="N289" s="481" t="s">
        <v>790</v>
      </c>
    </row>
    <row r="290" spans="1:14" s="483" customFormat="1" ht="51" customHeight="1">
      <c r="A290" s="481" t="s">
        <v>2411</v>
      </c>
      <c r="B290" s="481">
        <v>94</v>
      </c>
      <c r="C290" s="481" t="s">
        <v>1959</v>
      </c>
      <c r="D290" s="481" t="s">
        <v>349</v>
      </c>
      <c r="E290" s="481"/>
      <c r="F290" s="481" t="s">
        <v>602</v>
      </c>
      <c r="G290" s="481" t="s">
        <v>621</v>
      </c>
      <c r="H290" s="481" t="s">
        <v>692</v>
      </c>
      <c r="I290" s="481" t="s">
        <v>570</v>
      </c>
      <c r="J290" s="481">
        <v>4000</v>
      </c>
      <c r="K290" s="482">
        <v>0.25</v>
      </c>
      <c r="L290" s="481"/>
      <c r="M290" s="482" t="s">
        <v>2107</v>
      </c>
      <c r="N290" s="481" t="s">
        <v>790</v>
      </c>
    </row>
    <row r="291" spans="1:14" s="483" customFormat="1" ht="51" customHeight="1">
      <c r="A291" s="481" t="s">
        <v>2412</v>
      </c>
      <c r="B291" s="481">
        <v>91</v>
      </c>
      <c r="C291" s="481" t="s">
        <v>1960</v>
      </c>
      <c r="D291" s="481" t="s">
        <v>349</v>
      </c>
      <c r="E291" s="481"/>
      <c r="F291" s="481" t="s">
        <v>602</v>
      </c>
      <c r="G291" s="481" t="s">
        <v>621</v>
      </c>
      <c r="H291" s="481" t="s">
        <v>692</v>
      </c>
      <c r="I291" s="481" t="s">
        <v>570</v>
      </c>
      <c r="J291" s="481">
        <v>8486.83</v>
      </c>
      <c r="K291" s="482">
        <v>0.25</v>
      </c>
      <c r="L291" s="481"/>
      <c r="M291" s="482" t="s">
        <v>2107</v>
      </c>
      <c r="N291" s="481" t="s">
        <v>763</v>
      </c>
    </row>
    <row r="292" spans="1:14" s="483" customFormat="1" ht="51" customHeight="1">
      <c r="A292" s="481" t="s">
        <v>2413</v>
      </c>
      <c r="B292" s="481"/>
      <c r="C292" s="481" t="s">
        <v>1928</v>
      </c>
      <c r="D292" s="481" t="s">
        <v>352</v>
      </c>
      <c r="E292" s="481"/>
      <c r="F292" s="481" t="s">
        <v>602</v>
      </c>
      <c r="G292" s="481" t="s">
        <v>589</v>
      </c>
      <c r="H292" s="481"/>
      <c r="I292" s="481" t="s">
        <v>570</v>
      </c>
      <c r="J292" s="481"/>
      <c r="K292" s="482">
        <v>0.25</v>
      </c>
      <c r="L292" s="481" t="s">
        <v>1766</v>
      </c>
      <c r="M292" s="482" t="s">
        <v>2107</v>
      </c>
      <c r="N292" s="481" t="s">
        <v>763</v>
      </c>
    </row>
    <row r="293" spans="1:14" s="483" customFormat="1" ht="51" customHeight="1">
      <c r="A293" s="481" t="s">
        <v>2414</v>
      </c>
      <c r="B293" s="481"/>
      <c r="C293" s="481" t="s">
        <v>1516</v>
      </c>
      <c r="D293" s="481" t="s">
        <v>352</v>
      </c>
      <c r="E293" s="481"/>
      <c r="F293" s="481" t="s">
        <v>602</v>
      </c>
      <c r="G293" s="481" t="s">
        <v>589</v>
      </c>
      <c r="H293" s="481"/>
      <c r="I293" s="481" t="s">
        <v>570</v>
      </c>
      <c r="J293" s="481"/>
      <c r="K293" s="482">
        <v>0.25</v>
      </c>
      <c r="L293" s="481" t="s">
        <v>1927</v>
      </c>
      <c r="M293" s="482" t="s">
        <v>2107</v>
      </c>
      <c r="N293" s="481" t="s">
        <v>763</v>
      </c>
    </row>
    <row r="294" spans="1:14" s="483" customFormat="1" ht="65.25" customHeight="1">
      <c r="A294" s="481" t="s">
        <v>2415</v>
      </c>
      <c r="B294" s="481"/>
      <c r="C294" s="481" t="s">
        <v>1518</v>
      </c>
      <c r="D294" s="481" t="s">
        <v>352</v>
      </c>
      <c r="E294" s="481"/>
      <c r="F294" s="481" t="s">
        <v>602</v>
      </c>
      <c r="G294" s="481" t="s">
        <v>589</v>
      </c>
      <c r="H294" s="481"/>
      <c r="I294" s="481" t="s">
        <v>570</v>
      </c>
      <c r="J294" s="481"/>
      <c r="K294" s="482">
        <v>0.25</v>
      </c>
      <c r="L294" s="481" t="s">
        <v>1766</v>
      </c>
      <c r="M294" s="482" t="s">
        <v>2075</v>
      </c>
      <c r="N294" s="481" t="s">
        <v>790</v>
      </c>
    </row>
    <row r="295" spans="1:14" s="483" customFormat="1" ht="51" customHeight="1">
      <c r="A295" s="481" t="s">
        <v>2416</v>
      </c>
      <c r="B295" s="481"/>
      <c r="C295" s="481" t="s">
        <v>1521</v>
      </c>
      <c r="D295" s="481" t="s">
        <v>352</v>
      </c>
      <c r="E295" s="481"/>
      <c r="F295" s="481" t="s">
        <v>602</v>
      </c>
      <c r="G295" s="481" t="s">
        <v>589</v>
      </c>
      <c r="H295" s="481"/>
      <c r="I295" s="481" t="s">
        <v>570</v>
      </c>
      <c r="J295" s="481"/>
      <c r="K295" s="482">
        <v>0.25</v>
      </c>
      <c r="L295" s="481" t="s">
        <v>1927</v>
      </c>
      <c r="M295" s="482" t="s">
        <v>2107</v>
      </c>
      <c r="N295" s="481" t="s">
        <v>763</v>
      </c>
    </row>
    <row r="296" spans="1:14" s="483" customFormat="1" ht="51" customHeight="1">
      <c r="A296" s="481" t="s">
        <v>2417</v>
      </c>
      <c r="B296" s="481"/>
      <c r="C296" s="481" t="s">
        <v>1523</v>
      </c>
      <c r="D296" s="481" t="s">
        <v>352</v>
      </c>
      <c r="E296" s="481"/>
      <c r="F296" s="481" t="s">
        <v>602</v>
      </c>
      <c r="G296" s="481" t="s">
        <v>589</v>
      </c>
      <c r="H296" s="481"/>
      <c r="I296" s="481" t="s">
        <v>570</v>
      </c>
      <c r="J296" s="481"/>
      <c r="K296" s="482">
        <v>0.25</v>
      </c>
      <c r="L296" s="481" t="s">
        <v>1766</v>
      </c>
      <c r="M296" s="482" t="s">
        <v>2107</v>
      </c>
      <c r="N296" s="481" t="s">
        <v>790</v>
      </c>
    </row>
    <row r="297" spans="1:14" s="483" customFormat="1" ht="24" customHeight="1">
      <c r="A297" s="481" t="s">
        <v>2418</v>
      </c>
      <c r="B297" s="481"/>
      <c r="C297" s="481" t="s">
        <v>1929</v>
      </c>
      <c r="D297" s="481" t="s">
        <v>364</v>
      </c>
      <c r="E297" s="481"/>
      <c r="F297" s="481" t="s">
        <v>602</v>
      </c>
      <c r="G297" s="481" t="s">
        <v>589</v>
      </c>
      <c r="H297" s="481"/>
      <c r="I297" s="481" t="s">
        <v>570</v>
      </c>
      <c r="J297" s="481"/>
      <c r="K297" s="482">
        <v>0.25</v>
      </c>
      <c r="L297" s="481" t="s">
        <v>1766</v>
      </c>
      <c r="M297" s="482" t="s">
        <v>2148</v>
      </c>
      <c r="N297" s="481" t="s">
        <v>763</v>
      </c>
    </row>
    <row r="298" spans="1:14" s="483" customFormat="1" ht="51" customHeight="1">
      <c r="A298" s="481" t="s">
        <v>2419</v>
      </c>
      <c r="B298" s="481"/>
      <c r="C298" s="481" t="s">
        <v>1539</v>
      </c>
      <c r="D298" s="481" t="s">
        <v>368</v>
      </c>
      <c r="E298" s="481"/>
      <c r="F298" s="481" t="s">
        <v>602</v>
      </c>
      <c r="G298" s="481" t="s">
        <v>589</v>
      </c>
      <c r="H298" s="481"/>
      <c r="I298" s="481" t="s">
        <v>570</v>
      </c>
      <c r="J298" s="481"/>
      <c r="K298" s="482">
        <v>0.25</v>
      </c>
      <c r="L298" s="481" t="s">
        <v>1766</v>
      </c>
      <c r="M298" s="482" t="s">
        <v>2148</v>
      </c>
      <c r="N298" s="481" t="s">
        <v>790</v>
      </c>
    </row>
    <row r="299" spans="1:14" s="483" customFormat="1" ht="26.25" customHeight="1">
      <c r="A299" s="481" t="s">
        <v>2420</v>
      </c>
      <c r="B299" s="481"/>
      <c r="C299" s="481" t="s">
        <v>1541</v>
      </c>
      <c r="D299" s="481" t="s">
        <v>370</v>
      </c>
      <c r="E299" s="481"/>
      <c r="F299" s="481" t="s">
        <v>602</v>
      </c>
      <c r="G299" s="481" t="s">
        <v>589</v>
      </c>
      <c r="H299" s="481"/>
      <c r="I299" s="481" t="s">
        <v>570</v>
      </c>
      <c r="J299" s="481"/>
      <c r="K299" s="482">
        <v>0.25</v>
      </c>
      <c r="L299" s="481" t="s">
        <v>1766</v>
      </c>
      <c r="M299" s="482" t="s">
        <v>2148</v>
      </c>
      <c r="N299" s="481" t="s">
        <v>790</v>
      </c>
    </row>
    <row r="300" spans="1:14" s="483" customFormat="1" ht="51" customHeight="1">
      <c r="A300" s="481" t="s">
        <v>2421</v>
      </c>
      <c r="B300" s="481">
        <v>70</v>
      </c>
      <c r="C300" s="481" t="s">
        <v>1955</v>
      </c>
      <c r="D300" s="481" t="s">
        <v>374</v>
      </c>
      <c r="E300" s="481"/>
      <c r="F300" s="481" t="s">
        <v>602</v>
      </c>
      <c r="G300" s="481" t="s">
        <v>621</v>
      </c>
      <c r="H300" s="481" t="s">
        <v>690</v>
      </c>
      <c r="I300" s="481" t="s">
        <v>570</v>
      </c>
      <c r="J300" s="481">
        <v>16000</v>
      </c>
      <c r="K300" s="482">
        <v>0.25</v>
      </c>
      <c r="L300" s="481"/>
      <c r="M300" s="482" t="s">
        <v>2075</v>
      </c>
      <c r="N300" s="481" t="s">
        <v>790</v>
      </c>
    </row>
    <row r="301" spans="1:14" s="483" customFormat="1" ht="51" customHeight="1">
      <c r="A301" s="481" t="s">
        <v>2422</v>
      </c>
      <c r="B301" s="481">
        <v>74</v>
      </c>
      <c r="C301" s="481" t="s">
        <v>1956</v>
      </c>
      <c r="D301" s="481" t="s">
        <v>374</v>
      </c>
      <c r="E301" s="481"/>
      <c r="F301" s="481" t="s">
        <v>602</v>
      </c>
      <c r="G301" s="481" t="s">
        <v>621</v>
      </c>
      <c r="H301" s="481" t="s">
        <v>690</v>
      </c>
      <c r="I301" s="481" t="s">
        <v>570</v>
      </c>
      <c r="J301" s="481">
        <v>1000</v>
      </c>
      <c r="K301" s="482">
        <v>0.25</v>
      </c>
      <c r="L301" s="481"/>
      <c r="M301" s="482" t="s">
        <v>2107</v>
      </c>
      <c r="N301" s="481" t="s">
        <v>790</v>
      </c>
    </row>
    <row r="302" spans="1:14" s="483" customFormat="1" ht="51" customHeight="1">
      <c r="A302" s="481" t="s">
        <v>2423</v>
      </c>
      <c r="B302" s="481">
        <v>101</v>
      </c>
      <c r="C302" s="481" t="s">
        <v>1962</v>
      </c>
      <c r="D302" s="481" t="s">
        <v>374</v>
      </c>
      <c r="E302" s="481"/>
      <c r="F302" s="481" t="s">
        <v>602</v>
      </c>
      <c r="G302" s="481" t="s">
        <v>621</v>
      </c>
      <c r="H302" s="481" t="s">
        <v>696</v>
      </c>
      <c r="I302" s="481" t="s">
        <v>570</v>
      </c>
      <c r="J302" s="481">
        <v>3500</v>
      </c>
      <c r="K302" s="482">
        <v>0.25</v>
      </c>
      <c r="L302" s="481"/>
      <c r="M302" s="482" t="s">
        <v>2151</v>
      </c>
      <c r="N302" s="481" t="s">
        <v>790</v>
      </c>
    </row>
    <row r="303" spans="1:14" s="483" customFormat="1" ht="51" customHeight="1">
      <c r="A303" s="481" t="s">
        <v>2424</v>
      </c>
      <c r="B303" s="481">
        <v>102</v>
      </c>
      <c r="C303" s="481" t="s">
        <v>1963</v>
      </c>
      <c r="D303" s="481" t="s">
        <v>374</v>
      </c>
      <c r="E303" s="481"/>
      <c r="F303" s="481" t="s">
        <v>602</v>
      </c>
      <c r="G303" s="481" t="s">
        <v>621</v>
      </c>
      <c r="H303" s="481" t="s">
        <v>696</v>
      </c>
      <c r="I303" s="481" t="s">
        <v>570</v>
      </c>
      <c r="J303" s="481">
        <v>4500</v>
      </c>
      <c r="K303" s="482">
        <v>0.25</v>
      </c>
      <c r="L303" s="481"/>
      <c r="M303" s="482" t="s">
        <v>2107</v>
      </c>
      <c r="N303" s="481" t="s">
        <v>790</v>
      </c>
    </row>
    <row r="304" spans="1:14" s="483" customFormat="1" ht="51" customHeight="1">
      <c r="A304" s="481" t="s">
        <v>2425</v>
      </c>
      <c r="B304" s="481">
        <v>103</v>
      </c>
      <c r="C304" s="481" t="s">
        <v>1964</v>
      </c>
      <c r="D304" s="481" t="s">
        <v>374</v>
      </c>
      <c r="E304" s="481"/>
      <c r="F304" s="481" t="s">
        <v>602</v>
      </c>
      <c r="G304" s="481" t="s">
        <v>621</v>
      </c>
      <c r="H304" s="481" t="s">
        <v>696</v>
      </c>
      <c r="I304" s="481" t="s">
        <v>570</v>
      </c>
      <c r="J304" s="481">
        <v>13150</v>
      </c>
      <c r="K304" s="482">
        <v>0.25</v>
      </c>
      <c r="L304" s="481"/>
      <c r="M304" s="482" t="s">
        <v>2107</v>
      </c>
      <c r="N304" s="481" t="s">
        <v>790</v>
      </c>
    </row>
    <row r="305" spans="1:14" s="483" customFormat="1" ht="51" customHeight="1">
      <c r="A305" s="481" t="s">
        <v>2426</v>
      </c>
      <c r="B305" s="481">
        <v>107</v>
      </c>
      <c r="C305" s="481" t="s">
        <v>1965</v>
      </c>
      <c r="D305" s="481" t="s">
        <v>374</v>
      </c>
      <c r="E305" s="481"/>
      <c r="F305" s="481" t="s">
        <v>602</v>
      </c>
      <c r="G305" s="481" t="s">
        <v>621</v>
      </c>
      <c r="H305" s="481" t="s">
        <v>696</v>
      </c>
      <c r="I305" s="481" t="s">
        <v>570</v>
      </c>
      <c r="J305" s="481">
        <v>250</v>
      </c>
      <c r="K305" s="482">
        <v>0.25</v>
      </c>
      <c r="L305" s="481"/>
      <c r="M305" s="482" t="s">
        <v>2087</v>
      </c>
      <c r="N305" s="481" t="s">
        <v>763</v>
      </c>
    </row>
    <row r="306" spans="1:14" s="483" customFormat="1" ht="51" customHeight="1">
      <c r="A306" s="481" t="s">
        <v>2427</v>
      </c>
      <c r="B306" s="481"/>
      <c r="C306" s="481" t="s">
        <v>1545</v>
      </c>
      <c r="D306" s="481" t="s">
        <v>374</v>
      </c>
      <c r="E306" s="481"/>
      <c r="F306" s="481" t="s">
        <v>602</v>
      </c>
      <c r="G306" s="481" t="s">
        <v>589</v>
      </c>
      <c r="H306" s="481"/>
      <c r="I306" s="481" t="s">
        <v>570</v>
      </c>
      <c r="J306" s="481"/>
      <c r="K306" s="482">
        <v>0.25</v>
      </c>
      <c r="L306" s="481" t="s">
        <v>1766</v>
      </c>
      <c r="M306" s="482" t="s">
        <v>2075</v>
      </c>
      <c r="N306" s="481" t="s">
        <v>763</v>
      </c>
    </row>
    <row r="307" spans="1:14" s="483" customFormat="1" ht="39.75" customHeight="1">
      <c r="A307" s="481" t="s">
        <v>2428</v>
      </c>
      <c r="B307" s="481"/>
      <c r="C307" s="481" t="s">
        <v>1549</v>
      </c>
      <c r="D307" s="481" t="s">
        <v>374</v>
      </c>
      <c r="E307" s="481"/>
      <c r="F307" s="481" t="s">
        <v>602</v>
      </c>
      <c r="G307" s="481" t="s">
        <v>589</v>
      </c>
      <c r="H307" s="481"/>
      <c r="I307" s="481" t="s">
        <v>570</v>
      </c>
      <c r="J307" s="481"/>
      <c r="K307" s="482">
        <v>0.25</v>
      </c>
      <c r="L307" s="481" t="s">
        <v>1766</v>
      </c>
      <c r="M307" s="482" t="s">
        <v>2075</v>
      </c>
      <c r="N307" s="481" t="s">
        <v>763</v>
      </c>
    </row>
    <row r="308" spans="1:14" s="483" customFormat="1" ht="39.75" customHeight="1">
      <c r="A308" s="481" t="s">
        <v>2429</v>
      </c>
      <c r="B308" s="481"/>
      <c r="C308" s="481" t="s">
        <v>1551</v>
      </c>
      <c r="D308" s="481" t="s">
        <v>374</v>
      </c>
      <c r="E308" s="481"/>
      <c r="F308" s="481" t="s">
        <v>602</v>
      </c>
      <c r="G308" s="481" t="s">
        <v>589</v>
      </c>
      <c r="H308" s="481"/>
      <c r="I308" s="481" t="s">
        <v>570</v>
      </c>
      <c r="J308" s="481"/>
      <c r="K308" s="482">
        <v>0.25</v>
      </c>
      <c r="L308" s="481" t="s">
        <v>1766</v>
      </c>
      <c r="M308" s="482" t="s">
        <v>2075</v>
      </c>
      <c r="N308" s="481" t="s">
        <v>790</v>
      </c>
    </row>
    <row r="309" spans="1:14" s="483" customFormat="1" ht="75.75" customHeight="1">
      <c r="A309" s="481" t="s">
        <v>2430</v>
      </c>
      <c r="B309" s="481"/>
      <c r="C309" s="481" t="s">
        <v>1555</v>
      </c>
      <c r="D309" s="481" t="s">
        <v>374</v>
      </c>
      <c r="E309" s="481"/>
      <c r="F309" s="481" t="s">
        <v>602</v>
      </c>
      <c r="G309" s="481" t="s">
        <v>589</v>
      </c>
      <c r="H309" s="481"/>
      <c r="I309" s="481" t="s">
        <v>570</v>
      </c>
      <c r="J309" s="481"/>
      <c r="K309" s="482">
        <v>0.25</v>
      </c>
      <c r="L309" s="481" t="s">
        <v>1766</v>
      </c>
      <c r="M309" s="482" t="s">
        <v>2075</v>
      </c>
      <c r="N309" s="481" t="s">
        <v>763</v>
      </c>
    </row>
    <row r="310" spans="1:14" s="483" customFormat="1" ht="40.5" customHeight="1">
      <c r="A310" s="481" t="s">
        <v>2431</v>
      </c>
      <c r="B310" s="481">
        <v>75</v>
      </c>
      <c r="C310" s="481" t="s">
        <v>1557</v>
      </c>
      <c r="D310" s="481" t="s">
        <v>374</v>
      </c>
      <c r="E310" s="481"/>
      <c r="F310" s="481" t="s">
        <v>602</v>
      </c>
      <c r="G310" s="481" t="s">
        <v>621</v>
      </c>
      <c r="H310" s="481" t="s">
        <v>690</v>
      </c>
      <c r="I310" s="481" t="s">
        <v>570</v>
      </c>
      <c r="J310" s="481">
        <v>1000</v>
      </c>
      <c r="K310" s="482">
        <v>0.25</v>
      </c>
      <c r="L310" s="481"/>
      <c r="M310" s="482" t="s">
        <v>2075</v>
      </c>
      <c r="N310" s="481" t="s">
        <v>790</v>
      </c>
    </row>
    <row r="311" spans="1:14" s="483" customFormat="1" ht="39" customHeight="1">
      <c r="A311" s="481" t="s">
        <v>2432</v>
      </c>
      <c r="B311" s="481"/>
      <c r="C311" s="481" t="s">
        <v>1563</v>
      </c>
      <c r="D311" s="481" t="s">
        <v>374</v>
      </c>
      <c r="E311" s="481"/>
      <c r="F311" s="481" t="s">
        <v>602</v>
      </c>
      <c r="G311" s="481" t="s">
        <v>589</v>
      </c>
      <c r="H311" s="481"/>
      <c r="I311" s="481" t="s">
        <v>570</v>
      </c>
      <c r="J311" s="481"/>
      <c r="K311" s="482">
        <v>0.25</v>
      </c>
      <c r="L311" s="481" t="s">
        <v>1930</v>
      </c>
      <c r="M311" s="482" t="s">
        <v>2075</v>
      </c>
      <c r="N311" s="481" t="s">
        <v>790</v>
      </c>
    </row>
    <row r="312" spans="1:14" s="483" customFormat="1" ht="33" customHeight="1">
      <c r="A312" s="481" t="s">
        <v>2433</v>
      </c>
      <c r="B312" s="481"/>
      <c r="C312" s="481" t="s">
        <v>1565</v>
      </c>
      <c r="D312" s="481" t="s">
        <v>374</v>
      </c>
      <c r="E312" s="481"/>
      <c r="F312" s="481" t="s">
        <v>602</v>
      </c>
      <c r="G312" s="481" t="s">
        <v>589</v>
      </c>
      <c r="H312" s="481"/>
      <c r="I312" s="481" t="s">
        <v>570</v>
      </c>
      <c r="J312" s="481"/>
      <c r="K312" s="482">
        <v>0.25</v>
      </c>
      <c r="L312" s="481" t="s">
        <v>1931</v>
      </c>
      <c r="M312" s="482" t="s">
        <v>2075</v>
      </c>
      <c r="N312" s="481" t="s">
        <v>790</v>
      </c>
    </row>
    <row r="313" spans="1:14" s="483" customFormat="1" ht="35.25" customHeight="1">
      <c r="A313" s="481" t="s">
        <v>2434</v>
      </c>
      <c r="B313" s="481"/>
      <c r="C313" s="481" t="s">
        <v>1567</v>
      </c>
      <c r="D313" s="481" t="s">
        <v>374</v>
      </c>
      <c r="E313" s="481"/>
      <c r="F313" s="481" t="s">
        <v>602</v>
      </c>
      <c r="G313" s="481" t="s">
        <v>589</v>
      </c>
      <c r="H313" s="481"/>
      <c r="I313" s="481" t="s">
        <v>570</v>
      </c>
      <c r="J313" s="481"/>
      <c r="K313" s="482">
        <v>0.25</v>
      </c>
      <c r="L313" s="481" t="s">
        <v>1766</v>
      </c>
      <c r="M313" s="482" t="s">
        <v>2148</v>
      </c>
      <c r="N313" s="481" t="s">
        <v>790</v>
      </c>
    </row>
    <row r="314" spans="1:14" s="483" customFormat="1" ht="78.75" customHeight="1">
      <c r="A314" s="481" t="s">
        <v>2435</v>
      </c>
      <c r="B314" s="481"/>
      <c r="C314" s="481" t="s">
        <v>1932</v>
      </c>
      <c r="D314" s="481" t="s">
        <v>379</v>
      </c>
      <c r="E314" s="481"/>
      <c r="F314" s="481" t="s">
        <v>602</v>
      </c>
      <c r="G314" s="481" t="s">
        <v>589</v>
      </c>
      <c r="H314" s="481"/>
      <c r="I314" s="481" t="s">
        <v>570</v>
      </c>
      <c r="J314" s="481"/>
      <c r="K314" s="482">
        <v>0.25</v>
      </c>
      <c r="L314" s="481" t="s">
        <v>1766</v>
      </c>
      <c r="M314" s="482" t="s">
        <v>2107</v>
      </c>
      <c r="N314" s="481" t="s">
        <v>790</v>
      </c>
    </row>
    <row r="315" spans="1:14" s="483" customFormat="1" ht="51" customHeight="1">
      <c r="A315" s="481" t="s">
        <v>2436</v>
      </c>
      <c r="B315" s="481"/>
      <c r="C315" s="481" t="s">
        <v>1574</v>
      </c>
      <c r="D315" s="481" t="s">
        <v>379</v>
      </c>
      <c r="E315" s="481"/>
      <c r="F315" s="481" t="s">
        <v>602</v>
      </c>
      <c r="G315" s="481" t="s">
        <v>589</v>
      </c>
      <c r="H315" s="481"/>
      <c r="I315" s="481" t="s">
        <v>568</v>
      </c>
      <c r="J315" s="481"/>
      <c r="K315" s="482">
        <v>0.25</v>
      </c>
      <c r="L315" s="481" t="s">
        <v>1766</v>
      </c>
      <c r="M315" s="482" t="s">
        <v>2075</v>
      </c>
      <c r="N315" s="481" t="s">
        <v>763</v>
      </c>
    </row>
    <row r="316" spans="1:14" s="483" customFormat="1" ht="36" customHeight="1">
      <c r="A316" s="481" t="s">
        <v>2437</v>
      </c>
      <c r="B316" s="481"/>
      <c r="C316" s="481" t="s">
        <v>1579</v>
      </c>
      <c r="D316" s="481" t="s">
        <v>382</v>
      </c>
      <c r="E316" s="481"/>
      <c r="F316" s="481" t="s">
        <v>602</v>
      </c>
      <c r="G316" s="481" t="s">
        <v>589</v>
      </c>
      <c r="H316" s="481"/>
      <c r="I316" s="481" t="s">
        <v>568</v>
      </c>
      <c r="J316" s="481"/>
      <c r="K316" s="482">
        <v>1</v>
      </c>
      <c r="L316" s="481" t="s">
        <v>1766</v>
      </c>
      <c r="M316" s="482" t="s">
        <v>2148</v>
      </c>
      <c r="N316" s="481" t="s">
        <v>790</v>
      </c>
    </row>
    <row r="317" spans="1:14" s="483" customFormat="1" ht="51" customHeight="1">
      <c r="A317" s="481" t="s">
        <v>2438</v>
      </c>
      <c r="B317" s="481"/>
      <c r="C317" s="481" t="s">
        <v>1933</v>
      </c>
      <c r="D317" s="481" t="s">
        <v>382</v>
      </c>
      <c r="E317" s="481"/>
      <c r="F317" s="481" t="s">
        <v>602</v>
      </c>
      <c r="G317" s="481" t="s">
        <v>589</v>
      </c>
      <c r="H317" s="481"/>
      <c r="I317" s="481" t="s">
        <v>570</v>
      </c>
      <c r="J317" s="481"/>
      <c r="K317" s="482">
        <v>1</v>
      </c>
      <c r="L317" s="481" t="s">
        <v>1766</v>
      </c>
      <c r="M317" s="482" t="s">
        <v>2148</v>
      </c>
      <c r="N317" s="481" t="s">
        <v>790</v>
      </c>
    </row>
    <row r="318" spans="1:14" s="483" customFormat="1" ht="39" customHeight="1">
      <c r="A318" s="481" t="s">
        <v>2439</v>
      </c>
      <c r="B318" s="481">
        <v>53</v>
      </c>
      <c r="C318" s="481" t="s">
        <v>1952</v>
      </c>
      <c r="D318" s="481" t="s">
        <v>382</v>
      </c>
      <c r="E318" s="481"/>
      <c r="F318" s="481" t="s">
        <v>602</v>
      </c>
      <c r="G318" s="481" t="s">
        <v>621</v>
      </c>
      <c r="H318" s="481" t="s">
        <v>674</v>
      </c>
      <c r="I318" s="481" t="s">
        <v>568</v>
      </c>
      <c r="J318" s="481">
        <v>400</v>
      </c>
      <c r="K318" s="482">
        <v>0.25</v>
      </c>
      <c r="L318" s="481" t="s">
        <v>1766</v>
      </c>
      <c r="M318" s="482" t="s">
        <v>2146</v>
      </c>
      <c r="N318" s="481" t="s">
        <v>763</v>
      </c>
    </row>
    <row r="319" spans="1:14" s="483" customFormat="1" ht="54.75" customHeight="1">
      <c r="A319" s="481" t="s">
        <v>2440</v>
      </c>
      <c r="B319" s="481"/>
      <c r="C319" s="481" t="s">
        <v>1583</v>
      </c>
      <c r="D319" s="481" t="s">
        <v>382</v>
      </c>
      <c r="E319" s="481"/>
      <c r="F319" s="481" t="s">
        <v>602</v>
      </c>
      <c r="G319" s="481" t="s">
        <v>589</v>
      </c>
      <c r="H319" s="481"/>
      <c r="I319" s="481" t="s">
        <v>568</v>
      </c>
      <c r="J319" s="481"/>
      <c r="K319" s="482">
        <v>0.25</v>
      </c>
      <c r="L319" s="481" t="s">
        <v>1766</v>
      </c>
      <c r="M319" s="482" t="s">
        <v>2075</v>
      </c>
      <c r="N319" s="481" t="s">
        <v>763</v>
      </c>
    </row>
    <row r="320" spans="1:14" s="483" customFormat="1" ht="62.25" customHeight="1">
      <c r="A320" s="481" t="s">
        <v>2441</v>
      </c>
      <c r="B320" s="481"/>
      <c r="C320" s="481" t="s">
        <v>1585</v>
      </c>
      <c r="D320" s="481" t="s">
        <v>384</v>
      </c>
      <c r="E320" s="481"/>
      <c r="F320" s="481" t="s">
        <v>602</v>
      </c>
      <c r="G320" s="481" t="s">
        <v>589</v>
      </c>
      <c r="H320" s="481"/>
      <c r="I320" s="481" t="s">
        <v>568</v>
      </c>
      <c r="J320" s="481"/>
      <c r="K320" s="482">
        <v>0.25</v>
      </c>
      <c r="L320" s="481" t="s">
        <v>1766</v>
      </c>
      <c r="M320" s="482" t="s">
        <v>2075</v>
      </c>
      <c r="N320" s="481" t="s">
        <v>790</v>
      </c>
    </row>
    <row r="321" spans="1:14" s="483" customFormat="1" ht="35.25" customHeight="1">
      <c r="A321" s="481" t="s">
        <v>2442</v>
      </c>
      <c r="B321" s="481"/>
      <c r="C321" s="481" t="s">
        <v>1586</v>
      </c>
      <c r="D321" s="481" t="s">
        <v>384</v>
      </c>
      <c r="E321" s="481"/>
      <c r="F321" s="481" t="s">
        <v>602</v>
      </c>
      <c r="G321" s="481" t="s">
        <v>589</v>
      </c>
      <c r="H321" s="481"/>
      <c r="I321" s="481" t="s">
        <v>568</v>
      </c>
      <c r="J321" s="481"/>
      <c r="K321" s="482">
        <v>0.25</v>
      </c>
      <c r="L321" s="481" t="s">
        <v>1766</v>
      </c>
      <c r="M321" s="482" t="s">
        <v>2075</v>
      </c>
      <c r="N321" s="481" t="s">
        <v>763</v>
      </c>
    </row>
    <row r="322" spans="1:14" s="486" customFormat="1" ht="22.5" customHeight="1">
      <c r="A322" s="484" t="s">
        <v>2443</v>
      </c>
      <c r="B322" s="484"/>
      <c r="C322" s="484" t="s">
        <v>1587</v>
      </c>
      <c r="D322" s="484" t="s">
        <v>389</v>
      </c>
      <c r="E322" s="484"/>
      <c r="F322" s="484" t="s">
        <v>603</v>
      </c>
      <c r="G322" s="484" t="s">
        <v>589</v>
      </c>
      <c r="H322" s="484"/>
      <c r="I322" s="484" t="s">
        <v>568</v>
      </c>
      <c r="J322" s="484"/>
      <c r="K322" s="485">
        <v>0.25</v>
      </c>
      <c r="L322" s="484" t="s">
        <v>1766</v>
      </c>
      <c r="M322" s="485" t="s">
        <v>2150</v>
      </c>
      <c r="N322" s="484" t="s">
        <v>763</v>
      </c>
    </row>
    <row r="323" spans="1:14" s="486" customFormat="1" ht="25.5" customHeight="1">
      <c r="A323" s="484" t="s">
        <v>2444</v>
      </c>
      <c r="B323" s="484"/>
      <c r="C323" s="484" t="s">
        <v>1589</v>
      </c>
      <c r="D323" s="484" t="s">
        <v>389</v>
      </c>
      <c r="E323" s="484"/>
      <c r="F323" s="484" t="s">
        <v>603</v>
      </c>
      <c r="G323" s="484" t="s">
        <v>589</v>
      </c>
      <c r="H323" s="484"/>
      <c r="I323" s="484" t="s">
        <v>568</v>
      </c>
      <c r="J323" s="484"/>
      <c r="K323" s="485">
        <v>0.25</v>
      </c>
      <c r="L323" s="484" t="s">
        <v>1766</v>
      </c>
      <c r="M323" s="485" t="s">
        <v>2075</v>
      </c>
      <c r="N323" s="484" t="s">
        <v>763</v>
      </c>
    </row>
    <row r="324" spans="1:14" s="486" customFormat="1" ht="35.25" customHeight="1">
      <c r="A324" s="484" t="s">
        <v>2445</v>
      </c>
      <c r="B324" s="484"/>
      <c r="C324" s="484" t="s">
        <v>1591</v>
      </c>
      <c r="D324" s="484" t="s">
        <v>389</v>
      </c>
      <c r="E324" s="484"/>
      <c r="F324" s="484" t="s">
        <v>603</v>
      </c>
      <c r="G324" s="484" t="s">
        <v>589</v>
      </c>
      <c r="H324" s="484"/>
      <c r="I324" s="484" t="s">
        <v>568</v>
      </c>
      <c r="J324" s="484"/>
      <c r="K324" s="485">
        <v>0.25</v>
      </c>
      <c r="L324" s="484" t="s">
        <v>1766</v>
      </c>
      <c r="M324" s="485" t="s">
        <v>2075</v>
      </c>
      <c r="N324" s="484" t="s">
        <v>763</v>
      </c>
    </row>
    <row r="325" spans="1:14" s="486" customFormat="1" ht="51" customHeight="1">
      <c r="A325" s="484" t="s">
        <v>2446</v>
      </c>
      <c r="B325" s="484"/>
      <c r="C325" s="484" t="s">
        <v>1594</v>
      </c>
      <c r="D325" s="484" t="s">
        <v>389</v>
      </c>
      <c r="E325" s="484"/>
      <c r="F325" s="484" t="s">
        <v>603</v>
      </c>
      <c r="G325" s="484" t="s">
        <v>589</v>
      </c>
      <c r="H325" s="484"/>
      <c r="I325" s="484" t="s">
        <v>568</v>
      </c>
      <c r="J325" s="484"/>
      <c r="K325" s="485">
        <v>0.25</v>
      </c>
      <c r="L325" s="484" t="s">
        <v>1766</v>
      </c>
      <c r="M325" s="485" t="s">
        <v>2075</v>
      </c>
      <c r="N325" s="484" t="s">
        <v>790</v>
      </c>
    </row>
    <row r="326" spans="1:14" s="486" customFormat="1" ht="51" customHeight="1">
      <c r="A326" s="484" t="s">
        <v>2447</v>
      </c>
      <c r="B326" s="484"/>
      <c r="C326" s="484" t="s">
        <v>1974</v>
      </c>
      <c r="D326" s="484" t="s">
        <v>389</v>
      </c>
      <c r="E326" s="484"/>
      <c r="F326" s="484" t="s">
        <v>603</v>
      </c>
      <c r="G326" s="484" t="s">
        <v>622</v>
      </c>
      <c r="H326" s="484"/>
      <c r="I326" s="484" t="s">
        <v>570</v>
      </c>
      <c r="J326" s="484">
        <v>14520</v>
      </c>
      <c r="K326" s="485">
        <v>0.25</v>
      </c>
      <c r="L326" s="484"/>
      <c r="M326" s="485" t="s">
        <v>2151</v>
      </c>
      <c r="N326" s="484" t="s">
        <v>790</v>
      </c>
    </row>
    <row r="327" spans="1:14" s="486" customFormat="1" ht="24.75" customHeight="1">
      <c r="A327" s="484" t="s">
        <v>2448</v>
      </c>
      <c r="B327" s="484"/>
      <c r="C327" s="484" t="s">
        <v>1597</v>
      </c>
      <c r="D327" s="484" t="s">
        <v>391</v>
      </c>
      <c r="E327" s="484"/>
      <c r="F327" s="484" t="s">
        <v>603</v>
      </c>
      <c r="G327" s="484" t="s">
        <v>589</v>
      </c>
      <c r="H327" s="484"/>
      <c r="I327" s="484" t="s">
        <v>568</v>
      </c>
      <c r="J327" s="484"/>
      <c r="K327" s="485">
        <v>0.25</v>
      </c>
      <c r="L327" s="484" t="s">
        <v>1766</v>
      </c>
      <c r="M327" s="485" t="s">
        <v>2134</v>
      </c>
      <c r="N327" s="484" t="s">
        <v>763</v>
      </c>
    </row>
    <row r="328" spans="1:14" s="486" customFormat="1" ht="42.75" customHeight="1">
      <c r="A328" s="484" t="s">
        <v>2449</v>
      </c>
      <c r="B328" s="484">
        <v>56</v>
      </c>
      <c r="C328" s="484" t="s">
        <v>1953</v>
      </c>
      <c r="D328" s="484" t="s">
        <v>399</v>
      </c>
      <c r="E328" s="484"/>
      <c r="F328" s="484" t="s">
        <v>603</v>
      </c>
      <c r="G328" s="484" t="s">
        <v>621</v>
      </c>
      <c r="H328" s="484" t="s">
        <v>680</v>
      </c>
      <c r="I328" s="484" t="s">
        <v>568</v>
      </c>
      <c r="J328" s="484">
        <v>1000</v>
      </c>
      <c r="K328" s="485">
        <v>0.25</v>
      </c>
      <c r="L328" s="484"/>
      <c r="M328" s="485" t="s">
        <v>2146</v>
      </c>
      <c r="N328" s="484" t="s">
        <v>763</v>
      </c>
    </row>
    <row r="329" spans="1:14" s="486" customFormat="1" ht="31.5" customHeight="1">
      <c r="A329" s="484" t="s">
        <v>2450</v>
      </c>
      <c r="B329" s="484">
        <v>96</v>
      </c>
      <c r="C329" s="484" t="s">
        <v>1961</v>
      </c>
      <c r="D329" s="484" t="s">
        <v>399</v>
      </c>
      <c r="E329" s="484"/>
      <c r="F329" s="484" t="s">
        <v>603</v>
      </c>
      <c r="G329" s="484" t="s">
        <v>621</v>
      </c>
      <c r="H329" s="484" t="s">
        <v>692</v>
      </c>
      <c r="I329" s="484" t="s">
        <v>568</v>
      </c>
      <c r="J329" s="484">
        <v>775</v>
      </c>
      <c r="K329" s="485">
        <v>0.25</v>
      </c>
      <c r="L329" s="484"/>
      <c r="M329" s="485" t="s">
        <v>2146</v>
      </c>
      <c r="N329" s="484" t="s">
        <v>763</v>
      </c>
    </row>
    <row r="330" spans="1:14" s="486" customFormat="1" ht="51" customHeight="1">
      <c r="A330" s="484" t="s">
        <v>2451</v>
      </c>
      <c r="B330" s="484"/>
      <c r="C330" s="484" t="s">
        <v>1606</v>
      </c>
      <c r="D330" s="484" t="s">
        <v>399</v>
      </c>
      <c r="E330" s="484"/>
      <c r="F330" s="484" t="s">
        <v>603</v>
      </c>
      <c r="G330" s="484" t="s">
        <v>589</v>
      </c>
      <c r="H330" s="484"/>
      <c r="I330" s="484" t="s">
        <v>568</v>
      </c>
      <c r="J330" s="484"/>
      <c r="K330" s="485">
        <v>0.25</v>
      </c>
      <c r="L330" s="484" t="s">
        <v>1766</v>
      </c>
      <c r="M330" s="485" t="s">
        <v>2075</v>
      </c>
      <c r="N330" s="484" t="s">
        <v>790</v>
      </c>
    </row>
    <row r="331" spans="1:14" s="486" customFormat="1" ht="56.25" customHeight="1">
      <c r="A331" s="484" t="s">
        <v>2452</v>
      </c>
      <c r="B331" s="484"/>
      <c r="C331" s="484" t="s">
        <v>1615</v>
      </c>
      <c r="D331" s="484" t="s">
        <v>404</v>
      </c>
      <c r="E331" s="484"/>
      <c r="F331" s="484" t="s">
        <v>603</v>
      </c>
      <c r="G331" s="484" t="s">
        <v>589</v>
      </c>
      <c r="H331" s="484"/>
      <c r="I331" s="484" t="s">
        <v>568</v>
      </c>
      <c r="J331" s="484"/>
      <c r="K331" s="485">
        <v>0.25</v>
      </c>
      <c r="L331" s="484" t="s">
        <v>1766</v>
      </c>
      <c r="M331" s="485" t="s">
        <v>2075</v>
      </c>
      <c r="N331" s="484" t="s">
        <v>790</v>
      </c>
    </row>
    <row r="332" spans="1:14" s="486" customFormat="1" ht="25.5" customHeight="1">
      <c r="A332" s="484" t="s">
        <v>2453</v>
      </c>
      <c r="B332" s="484"/>
      <c r="C332" s="484" t="s">
        <v>1627</v>
      </c>
      <c r="D332" s="484" t="s">
        <v>409</v>
      </c>
      <c r="E332" s="484"/>
      <c r="F332" s="484" t="s">
        <v>603</v>
      </c>
      <c r="G332" s="484" t="s">
        <v>589</v>
      </c>
      <c r="H332" s="484"/>
      <c r="I332" s="484" t="s">
        <v>568</v>
      </c>
      <c r="J332" s="484"/>
      <c r="K332" s="485">
        <v>0.25</v>
      </c>
      <c r="L332" s="484" t="s">
        <v>1766</v>
      </c>
      <c r="M332" s="485" t="s">
        <v>2146</v>
      </c>
      <c r="N332" s="484" t="s">
        <v>763</v>
      </c>
    </row>
    <row r="333" spans="1:14" s="486" customFormat="1" ht="77.25" customHeight="1">
      <c r="A333" s="484" t="s">
        <v>2454</v>
      </c>
      <c r="B333" s="484"/>
      <c r="C333" s="484" t="s">
        <v>1633</v>
      </c>
      <c r="D333" s="484" t="s">
        <v>413</v>
      </c>
      <c r="E333" s="484"/>
      <c r="F333" s="484" t="s">
        <v>603</v>
      </c>
      <c r="G333" s="484" t="s">
        <v>589</v>
      </c>
      <c r="H333" s="484"/>
      <c r="I333" s="484" t="s">
        <v>568</v>
      </c>
      <c r="J333" s="484"/>
      <c r="K333" s="485">
        <v>0.25</v>
      </c>
      <c r="L333" s="484" t="s">
        <v>1766</v>
      </c>
      <c r="M333" s="485" t="s">
        <v>2075</v>
      </c>
      <c r="N333" s="484" t="s">
        <v>763</v>
      </c>
    </row>
    <row r="334" spans="1:14" s="486" customFormat="1" ht="26.25" customHeight="1">
      <c r="A334" s="484" t="s">
        <v>2455</v>
      </c>
      <c r="B334" s="484"/>
      <c r="C334" s="484" t="s">
        <v>1635</v>
      </c>
      <c r="D334" s="484" t="s">
        <v>415</v>
      </c>
      <c r="E334" s="484"/>
      <c r="F334" s="484" t="s">
        <v>603</v>
      </c>
      <c r="G334" s="484" t="s">
        <v>589</v>
      </c>
      <c r="H334" s="484"/>
      <c r="I334" s="484" t="s">
        <v>568</v>
      </c>
      <c r="J334" s="484"/>
      <c r="K334" s="485">
        <v>0.25</v>
      </c>
      <c r="L334" s="484" t="s">
        <v>1766</v>
      </c>
      <c r="M334" s="485" t="s">
        <v>2087</v>
      </c>
      <c r="N334" s="484" t="s">
        <v>790</v>
      </c>
    </row>
    <row r="335" spans="1:14" s="486" customFormat="1" ht="28.5" customHeight="1">
      <c r="A335" s="484" t="s">
        <v>2456</v>
      </c>
      <c r="B335" s="484"/>
      <c r="C335" s="484" t="s">
        <v>1640</v>
      </c>
      <c r="D335" s="484" t="s">
        <v>417</v>
      </c>
      <c r="E335" s="484"/>
      <c r="F335" s="484" t="s">
        <v>603</v>
      </c>
      <c r="G335" s="484" t="s">
        <v>589</v>
      </c>
      <c r="H335" s="484"/>
      <c r="I335" s="484" t="s">
        <v>568</v>
      </c>
      <c r="J335" s="484"/>
      <c r="K335" s="485">
        <v>0.25</v>
      </c>
      <c r="L335" s="484" t="s">
        <v>1766</v>
      </c>
      <c r="M335" s="485" t="s">
        <v>2075</v>
      </c>
      <c r="N335" s="484" t="s">
        <v>790</v>
      </c>
    </row>
    <row r="336" spans="1:14" s="486" customFormat="1" ht="27.75" customHeight="1">
      <c r="A336" s="484" t="s">
        <v>2457</v>
      </c>
      <c r="B336" s="484">
        <v>12</v>
      </c>
      <c r="C336" s="484" t="s">
        <v>1642</v>
      </c>
      <c r="D336" s="484" t="s">
        <v>417</v>
      </c>
      <c r="E336" s="484"/>
      <c r="F336" s="484" t="s">
        <v>603</v>
      </c>
      <c r="G336" s="484" t="s">
        <v>621</v>
      </c>
      <c r="H336" s="484" t="s">
        <v>650</v>
      </c>
      <c r="I336" s="484" t="s">
        <v>568</v>
      </c>
      <c r="J336" s="484">
        <v>1000</v>
      </c>
      <c r="K336" s="485">
        <v>0.25</v>
      </c>
      <c r="L336" s="484"/>
      <c r="M336" s="485" t="s">
        <v>2146</v>
      </c>
      <c r="N336" s="484" t="s">
        <v>790</v>
      </c>
    </row>
    <row r="337" spans="1:14" s="486" customFormat="1" ht="51" customHeight="1">
      <c r="A337" s="484" t="s">
        <v>2458</v>
      </c>
      <c r="B337" s="484">
        <v>168</v>
      </c>
      <c r="C337" s="484" t="s">
        <v>1934</v>
      </c>
      <c r="D337" s="484" t="s">
        <v>417</v>
      </c>
      <c r="E337" s="484"/>
      <c r="F337" s="484" t="s">
        <v>603</v>
      </c>
      <c r="G337" s="484" t="s">
        <v>621</v>
      </c>
      <c r="H337" s="484" t="s">
        <v>644</v>
      </c>
      <c r="I337" s="484" t="s">
        <v>568</v>
      </c>
      <c r="J337" s="484">
        <v>250</v>
      </c>
      <c r="K337" s="485">
        <v>0.25</v>
      </c>
      <c r="L337" s="484" t="s">
        <v>1935</v>
      </c>
      <c r="M337" s="485" t="s">
        <v>2147</v>
      </c>
      <c r="N337" s="484" t="s">
        <v>790</v>
      </c>
    </row>
    <row r="338" spans="1:14" s="486" customFormat="1" ht="31.5" customHeight="1">
      <c r="A338" s="484" t="s">
        <v>2459</v>
      </c>
      <c r="B338" s="484">
        <v>155</v>
      </c>
      <c r="C338" s="484" t="s">
        <v>1652</v>
      </c>
      <c r="D338" s="484" t="s">
        <v>425</v>
      </c>
      <c r="E338" s="484"/>
      <c r="F338" s="484" t="s">
        <v>603</v>
      </c>
      <c r="G338" s="484" t="s">
        <v>621</v>
      </c>
      <c r="H338" s="484" t="s">
        <v>692</v>
      </c>
      <c r="I338" s="484" t="s">
        <v>568</v>
      </c>
      <c r="J338" s="484">
        <v>4000</v>
      </c>
      <c r="K338" s="485">
        <v>0.25</v>
      </c>
      <c r="L338" s="484"/>
      <c r="M338" s="485" t="s">
        <v>2075</v>
      </c>
      <c r="N338" s="484" t="s">
        <v>763</v>
      </c>
    </row>
    <row r="339" spans="1:14" s="486" customFormat="1" ht="40.5" customHeight="1">
      <c r="A339" s="484" t="s">
        <v>2460</v>
      </c>
      <c r="B339" s="484"/>
      <c r="C339" s="484" t="s">
        <v>1654</v>
      </c>
      <c r="D339" s="484" t="s">
        <v>428</v>
      </c>
      <c r="E339" s="484"/>
      <c r="F339" s="484" t="s">
        <v>603</v>
      </c>
      <c r="G339" s="484" t="s">
        <v>589</v>
      </c>
      <c r="H339" s="484"/>
      <c r="I339" s="484" t="s">
        <v>568</v>
      </c>
      <c r="J339" s="484"/>
      <c r="K339" s="485">
        <v>0.25</v>
      </c>
      <c r="L339" s="484" t="s">
        <v>1766</v>
      </c>
      <c r="M339" s="485" t="s">
        <v>2147</v>
      </c>
      <c r="N339" s="484" t="s">
        <v>763</v>
      </c>
    </row>
    <row r="340" spans="1:14" s="486" customFormat="1" ht="51" customHeight="1">
      <c r="A340" s="484" t="s">
        <v>2461</v>
      </c>
      <c r="B340" s="484"/>
      <c r="C340" s="484" t="s">
        <v>1656</v>
      </c>
      <c r="D340" s="484" t="s">
        <v>428</v>
      </c>
      <c r="E340" s="484"/>
      <c r="F340" s="484" t="s">
        <v>603</v>
      </c>
      <c r="G340" s="484" t="s">
        <v>589</v>
      </c>
      <c r="H340" s="484"/>
      <c r="I340" s="484" t="s">
        <v>568</v>
      </c>
      <c r="J340" s="484"/>
      <c r="K340" s="485">
        <v>0.25</v>
      </c>
      <c r="L340" s="484" t="s">
        <v>1766</v>
      </c>
      <c r="M340" s="485" t="s">
        <v>2075</v>
      </c>
      <c r="N340" s="484" t="s">
        <v>790</v>
      </c>
    </row>
    <row r="341" spans="1:14" s="486" customFormat="1" ht="42.75" customHeight="1">
      <c r="A341" s="484" t="s">
        <v>2462</v>
      </c>
      <c r="B341" s="484"/>
      <c r="C341" s="484" t="s">
        <v>1658</v>
      </c>
      <c r="D341" s="484" t="s">
        <v>428</v>
      </c>
      <c r="E341" s="484"/>
      <c r="F341" s="484" t="s">
        <v>603</v>
      </c>
      <c r="G341" s="484" t="s">
        <v>589</v>
      </c>
      <c r="H341" s="484"/>
      <c r="I341" s="484" t="s">
        <v>568</v>
      </c>
      <c r="J341" s="484"/>
      <c r="K341" s="485">
        <v>0.25</v>
      </c>
      <c r="L341" s="484" t="s">
        <v>1936</v>
      </c>
      <c r="M341" s="485" t="s">
        <v>2147</v>
      </c>
      <c r="N341" s="484" t="s">
        <v>763</v>
      </c>
    </row>
    <row r="342" spans="1:14" s="486" customFormat="1" ht="51" customHeight="1">
      <c r="A342" s="484" t="s">
        <v>2463</v>
      </c>
      <c r="B342" s="484"/>
      <c r="C342" s="484" t="s">
        <v>1664</v>
      </c>
      <c r="D342" s="484" t="s">
        <v>430</v>
      </c>
      <c r="E342" s="484"/>
      <c r="F342" s="484" t="s">
        <v>603</v>
      </c>
      <c r="G342" s="484" t="s">
        <v>589</v>
      </c>
      <c r="H342" s="484"/>
      <c r="I342" s="484" t="s">
        <v>568</v>
      </c>
      <c r="J342" s="484"/>
      <c r="K342" s="485">
        <v>0.25</v>
      </c>
      <c r="L342" s="484" t="s">
        <v>1766</v>
      </c>
      <c r="M342" s="485" t="s">
        <v>2075</v>
      </c>
      <c r="N342" s="484" t="s">
        <v>790</v>
      </c>
    </row>
    <row r="343" spans="1:14" s="486" customFormat="1" ht="51" customHeight="1">
      <c r="A343" s="484" t="s">
        <v>2464</v>
      </c>
      <c r="B343" s="484">
        <v>17</v>
      </c>
      <c r="C343" s="484" t="s">
        <v>1943</v>
      </c>
      <c r="D343" s="484" t="s">
        <v>430</v>
      </c>
      <c r="E343" s="484"/>
      <c r="F343" s="484" t="s">
        <v>603</v>
      </c>
      <c r="G343" s="484" t="s">
        <v>621</v>
      </c>
      <c r="H343" s="484" t="s">
        <v>656</v>
      </c>
      <c r="I343" s="484" t="s">
        <v>568</v>
      </c>
      <c r="J343" s="484">
        <v>2500</v>
      </c>
      <c r="K343" s="485">
        <v>0.25</v>
      </c>
      <c r="L343" s="484"/>
      <c r="M343" s="485" t="s">
        <v>2146</v>
      </c>
      <c r="N343" s="484" t="s">
        <v>763</v>
      </c>
    </row>
    <row r="344" spans="1:14" s="486" customFormat="1" ht="51" customHeight="1">
      <c r="A344" s="484" t="s">
        <v>2465</v>
      </c>
      <c r="B344" s="484">
        <v>59</v>
      </c>
      <c r="C344" s="484" t="s">
        <v>1954</v>
      </c>
      <c r="D344" s="484" t="s">
        <v>430</v>
      </c>
      <c r="E344" s="484"/>
      <c r="F344" s="484" t="s">
        <v>603</v>
      </c>
      <c r="G344" s="484" t="s">
        <v>621</v>
      </c>
      <c r="H344" s="484" t="s">
        <v>684</v>
      </c>
      <c r="I344" s="484" t="s">
        <v>568</v>
      </c>
      <c r="J344" s="484">
        <v>200</v>
      </c>
      <c r="K344" s="485">
        <v>0.25</v>
      </c>
      <c r="L344" s="484"/>
      <c r="M344" s="485" t="s">
        <v>2146</v>
      </c>
      <c r="N344" s="484" t="s">
        <v>763</v>
      </c>
    </row>
    <row r="345" spans="1:14" s="486" customFormat="1" ht="51" customHeight="1">
      <c r="A345" s="484" t="s">
        <v>2466</v>
      </c>
      <c r="B345" s="484">
        <v>18</v>
      </c>
      <c r="C345" s="484" t="s">
        <v>1944</v>
      </c>
      <c r="D345" s="484" t="s">
        <v>430</v>
      </c>
      <c r="E345" s="484"/>
      <c r="F345" s="484" t="s">
        <v>603</v>
      </c>
      <c r="G345" s="484" t="s">
        <v>621</v>
      </c>
      <c r="H345" s="484" t="s">
        <v>658</v>
      </c>
      <c r="I345" s="484" t="s">
        <v>568</v>
      </c>
      <c r="J345" s="484">
        <v>800</v>
      </c>
      <c r="K345" s="485">
        <v>0.25</v>
      </c>
      <c r="L345" s="484"/>
      <c r="M345" s="485" t="s">
        <v>2146</v>
      </c>
      <c r="N345" s="484" t="s">
        <v>790</v>
      </c>
    </row>
    <row r="346" spans="1:14" s="495" customFormat="1" ht="12">
      <c r="A346" s="497"/>
      <c r="B346" s="497"/>
      <c r="C346" s="487"/>
      <c r="D346" s="488"/>
      <c r="E346" s="498"/>
      <c r="F346" s="497"/>
      <c r="G346" s="499"/>
      <c r="H346" s="498"/>
      <c r="I346" s="499"/>
      <c r="J346" s="499"/>
      <c r="K346" s="498"/>
      <c r="L346" s="498"/>
    </row>
    <row r="347" spans="1:14" s="495" customFormat="1" ht="12">
      <c r="A347" s="497"/>
      <c r="B347" s="497"/>
      <c r="C347" s="487"/>
      <c r="D347" s="488"/>
      <c r="E347" s="498"/>
      <c r="F347" s="497"/>
      <c r="G347" s="499"/>
      <c r="H347" s="498"/>
      <c r="I347" s="499"/>
      <c r="J347" s="499"/>
      <c r="K347" s="498"/>
      <c r="L347" s="498"/>
    </row>
    <row r="348" spans="1:14" s="495" customFormat="1" ht="12">
      <c r="A348" s="497"/>
      <c r="B348" s="497"/>
      <c r="C348" s="487"/>
      <c r="D348" s="488"/>
      <c r="E348" s="498"/>
      <c r="F348" s="497"/>
      <c r="G348" s="500"/>
      <c r="H348" s="498"/>
      <c r="I348" s="500"/>
      <c r="J348" s="500"/>
      <c r="K348" s="498"/>
      <c r="L348" s="498"/>
    </row>
    <row r="349" spans="1:14" s="495" customFormat="1" ht="12">
      <c r="A349" s="497"/>
      <c r="B349" s="497"/>
      <c r="C349" s="487"/>
      <c r="D349" s="488"/>
      <c r="E349" s="498"/>
      <c r="F349" s="497"/>
      <c r="G349" s="500"/>
      <c r="H349" s="498"/>
      <c r="I349" s="500"/>
      <c r="J349" s="500"/>
      <c r="K349" s="498"/>
      <c r="L349" s="498"/>
    </row>
    <row r="350" spans="1:14" s="495" customFormat="1" ht="12">
      <c r="A350" s="497"/>
      <c r="B350" s="497"/>
      <c r="C350" s="487"/>
      <c r="D350" s="488"/>
      <c r="E350" s="498"/>
      <c r="F350" s="497"/>
      <c r="G350" s="500"/>
      <c r="H350" s="498"/>
      <c r="I350" s="500"/>
      <c r="J350" s="500"/>
      <c r="K350" s="498"/>
      <c r="L350" s="498"/>
    </row>
    <row r="351" spans="1:14" s="495" customFormat="1" ht="12">
      <c r="A351" s="497"/>
      <c r="B351" s="497"/>
      <c r="C351" s="487"/>
      <c r="D351" s="488"/>
      <c r="E351" s="498"/>
      <c r="F351" s="497"/>
      <c r="G351" s="499"/>
      <c r="H351" s="498"/>
      <c r="I351" s="499"/>
      <c r="J351" s="499"/>
      <c r="K351" s="498"/>
      <c r="L351" s="498"/>
    </row>
    <row r="352" spans="1:14" s="501" customFormat="1" ht="12.75">
      <c r="B352" s="489"/>
      <c r="C352" s="490"/>
      <c r="D352" s="491"/>
      <c r="E352" s="491"/>
      <c r="F352" s="492"/>
      <c r="G352" s="491"/>
      <c r="H352" s="493"/>
      <c r="I352" s="491"/>
      <c r="J352" s="494"/>
      <c r="K352" s="493"/>
      <c r="L352" s="493"/>
    </row>
    <row r="353" spans="2:12" s="501" customFormat="1" ht="12.75">
      <c r="B353" s="489"/>
      <c r="C353" s="490"/>
      <c r="D353" s="491"/>
      <c r="E353" s="491"/>
      <c r="F353" s="492"/>
      <c r="G353" s="491"/>
      <c r="H353" s="493"/>
      <c r="I353" s="491"/>
      <c r="J353" s="494"/>
      <c r="K353" s="493"/>
      <c r="L353" s="493"/>
    </row>
    <row r="354" spans="2:12" s="502" customFormat="1">
      <c r="B354" s="489"/>
      <c r="C354" s="495"/>
      <c r="D354" s="491"/>
      <c r="E354" s="491"/>
      <c r="F354" s="492"/>
      <c r="G354" s="491"/>
      <c r="H354" s="493"/>
      <c r="I354" s="491"/>
      <c r="J354" s="494"/>
      <c r="K354" s="493"/>
      <c r="L354" s="493"/>
    </row>
    <row r="355" spans="2:12" s="502" customFormat="1">
      <c r="B355" s="489"/>
      <c r="C355" s="495"/>
      <c r="D355" s="491"/>
      <c r="E355" s="491"/>
      <c r="F355" s="492"/>
      <c r="G355" s="491"/>
      <c r="H355" s="493"/>
      <c r="I355" s="491"/>
      <c r="J355" s="494"/>
      <c r="K355" s="493"/>
      <c r="L355" s="493"/>
    </row>
    <row r="356" spans="2:12" s="502" customFormat="1">
      <c r="B356" s="489"/>
      <c r="C356" s="495"/>
      <c r="D356" s="491"/>
      <c r="E356" s="491"/>
      <c r="F356" s="492"/>
      <c r="G356" s="491"/>
      <c r="H356" s="493"/>
      <c r="I356" s="491"/>
      <c r="J356" s="494"/>
      <c r="K356" s="493"/>
      <c r="L356" s="493"/>
    </row>
    <row r="357" spans="2:12" s="502" customFormat="1">
      <c r="B357" s="489"/>
      <c r="C357" s="495"/>
      <c r="D357" s="491"/>
      <c r="E357" s="491"/>
      <c r="F357" s="492"/>
      <c r="G357" s="491"/>
      <c r="H357" s="493"/>
      <c r="I357" s="491"/>
      <c r="J357" s="494"/>
      <c r="K357" s="493"/>
      <c r="L357" s="493"/>
    </row>
    <row r="358" spans="2:12" s="502" customFormat="1">
      <c r="B358" s="489"/>
      <c r="C358" s="495"/>
      <c r="D358" s="491"/>
      <c r="E358" s="491"/>
      <c r="F358" s="492"/>
      <c r="G358" s="491"/>
      <c r="H358" s="493"/>
      <c r="I358" s="491"/>
      <c r="J358" s="494"/>
      <c r="K358" s="493"/>
      <c r="L358" s="493"/>
    </row>
    <row r="359" spans="2:12" s="502" customFormat="1">
      <c r="B359" s="489"/>
      <c r="C359" s="495"/>
      <c r="D359" s="491"/>
      <c r="E359" s="491"/>
      <c r="F359" s="492"/>
      <c r="G359" s="491"/>
      <c r="H359" s="493"/>
      <c r="I359" s="491"/>
      <c r="J359" s="494"/>
      <c r="K359" s="493"/>
      <c r="L359" s="493"/>
    </row>
    <row r="360" spans="2:12" s="502" customFormat="1">
      <c r="B360" s="489"/>
      <c r="C360" s="495"/>
      <c r="D360" s="491"/>
      <c r="E360" s="491"/>
      <c r="F360" s="492"/>
      <c r="G360" s="491"/>
      <c r="H360" s="493"/>
      <c r="I360" s="491"/>
      <c r="J360" s="494"/>
      <c r="K360" s="493"/>
      <c r="L360" s="493"/>
    </row>
    <row r="361" spans="2:12" s="502" customFormat="1">
      <c r="B361" s="489"/>
      <c r="C361" s="495"/>
      <c r="D361" s="491"/>
      <c r="E361" s="491"/>
      <c r="F361" s="492"/>
      <c r="G361" s="491"/>
      <c r="H361" s="493"/>
      <c r="I361" s="491"/>
      <c r="J361" s="494"/>
      <c r="K361" s="493"/>
      <c r="L361" s="493"/>
    </row>
    <row r="362" spans="2:12" s="502" customFormat="1">
      <c r="B362" s="489"/>
      <c r="C362" s="495"/>
      <c r="D362" s="491"/>
      <c r="E362" s="491"/>
      <c r="F362" s="492"/>
      <c r="G362" s="491"/>
      <c r="H362" s="493"/>
      <c r="I362" s="491"/>
      <c r="J362" s="494"/>
      <c r="K362" s="493"/>
      <c r="L362" s="493"/>
    </row>
    <row r="363" spans="2:12" s="502" customFormat="1">
      <c r="B363" s="489"/>
      <c r="C363" s="495"/>
      <c r="D363" s="491"/>
      <c r="E363" s="491"/>
      <c r="F363" s="492"/>
      <c r="G363" s="491"/>
      <c r="H363" s="493"/>
      <c r="I363" s="491"/>
      <c r="J363" s="494"/>
      <c r="K363" s="493"/>
      <c r="L363" s="493"/>
    </row>
    <row r="364" spans="2:12" s="502" customFormat="1">
      <c r="B364" s="489"/>
      <c r="C364" s="495"/>
      <c r="D364" s="491"/>
      <c r="E364" s="491"/>
      <c r="F364" s="492"/>
      <c r="G364" s="491"/>
      <c r="H364" s="493"/>
      <c r="I364" s="491"/>
      <c r="J364" s="494"/>
      <c r="K364" s="493"/>
      <c r="L364" s="493"/>
    </row>
    <row r="365" spans="2:12" s="502" customFormat="1">
      <c r="B365" s="489"/>
      <c r="C365" s="490"/>
      <c r="D365" s="491"/>
      <c r="E365" s="491"/>
      <c r="F365" s="492"/>
      <c r="G365" s="491"/>
      <c r="H365" s="493"/>
      <c r="I365" s="491"/>
      <c r="J365" s="494"/>
      <c r="K365" s="493"/>
      <c r="L365" s="493"/>
    </row>
    <row r="366" spans="2:12" s="502" customFormat="1">
      <c r="B366" s="489"/>
      <c r="C366" s="490"/>
      <c r="D366" s="491"/>
      <c r="E366" s="491"/>
      <c r="F366" s="492"/>
      <c r="G366" s="491"/>
      <c r="H366" s="493"/>
      <c r="I366" s="491"/>
      <c r="J366" s="494"/>
      <c r="K366" s="493"/>
      <c r="L366" s="493"/>
    </row>
    <row r="367" spans="2:12" s="502" customFormat="1">
      <c r="B367" s="489"/>
      <c r="C367" s="490"/>
      <c r="D367" s="491"/>
      <c r="E367" s="491"/>
      <c r="F367" s="492"/>
      <c r="G367" s="491"/>
      <c r="H367" s="493"/>
      <c r="I367" s="491"/>
      <c r="J367" s="494"/>
      <c r="K367" s="493"/>
      <c r="L367" s="493"/>
    </row>
    <row r="368" spans="2:12" s="502" customFormat="1">
      <c r="B368" s="489"/>
      <c r="C368" s="490"/>
      <c r="D368" s="491"/>
      <c r="E368" s="491"/>
      <c r="F368" s="492"/>
      <c r="G368" s="491"/>
      <c r="H368" s="493"/>
      <c r="I368" s="491"/>
      <c r="J368" s="494"/>
      <c r="K368" s="493"/>
      <c r="L368" s="493"/>
    </row>
    <row r="369" spans="2:12" s="502" customFormat="1">
      <c r="B369" s="489"/>
      <c r="C369" s="490"/>
      <c r="D369" s="491"/>
      <c r="E369" s="491"/>
      <c r="F369" s="492"/>
      <c r="G369" s="491"/>
      <c r="H369" s="493"/>
      <c r="I369" s="491"/>
      <c r="J369" s="494"/>
      <c r="K369" s="493"/>
      <c r="L369" s="493"/>
    </row>
    <row r="370" spans="2:12" s="502" customFormat="1">
      <c r="B370" s="489"/>
      <c r="C370" s="490"/>
      <c r="D370" s="491"/>
      <c r="E370" s="491"/>
      <c r="F370" s="492"/>
      <c r="G370" s="491"/>
      <c r="H370" s="493"/>
      <c r="I370" s="491"/>
      <c r="J370" s="494"/>
      <c r="K370" s="493"/>
      <c r="L370" s="493"/>
    </row>
    <row r="371" spans="2:12" s="502" customFormat="1">
      <c r="B371" s="489"/>
      <c r="C371" s="496"/>
      <c r="D371" s="491"/>
      <c r="E371" s="491"/>
      <c r="F371" s="492"/>
      <c r="G371" s="491"/>
      <c r="H371" s="493"/>
      <c r="I371" s="491"/>
      <c r="J371" s="494"/>
      <c r="K371" s="493"/>
      <c r="L371" s="493"/>
    </row>
    <row r="372" spans="2:12" s="502" customFormat="1">
      <c r="B372" s="489"/>
      <c r="C372" s="490"/>
      <c r="D372" s="491"/>
      <c r="E372" s="491"/>
      <c r="F372" s="492"/>
      <c r="G372" s="491"/>
      <c r="H372" s="493"/>
      <c r="I372" s="491"/>
      <c r="J372" s="494"/>
      <c r="K372" s="493"/>
      <c r="L372" s="493"/>
    </row>
    <row r="373" spans="2:12" s="502" customFormat="1">
      <c r="B373" s="489"/>
      <c r="C373" s="490"/>
      <c r="D373" s="491"/>
      <c r="E373" s="491"/>
      <c r="F373" s="492"/>
      <c r="G373" s="491"/>
      <c r="H373" s="493"/>
      <c r="I373" s="491"/>
      <c r="J373" s="494"/>
      <c r="K373" s="493"/>
      <c r="L373" s="493"/>
    </row>
    <row r="374" spans="2:12" s="502" customFormat="1">
      <c r="B374" s="489"/>
      <c r="C374" s="490"/>
      <c r="D374" s="491"/>
      <c r="E374" s="491"/>
      <c r="F374" s="492"/>
      <c r="G374" s="491"/>
      <c r="H374" s="493"/>
      <c r="I374" s="491"/>
      <c r="J374" s="494"/>
      <c r="K374" s="493"/>
      <c r="L374" s="493"/>
    </row>
    <row r="375" spans="2:12" s="502" customFormat="1">
      <c r="F375" s="503"/>
    </row>
    <row r="376" spans="2:12" s="502" customFormat="1">
      <c r="F376" s="503"/>
    </row>
    <row r="377" spans="2:12" s="502" customFormat="1">
      <c r="F377" s="503"/>
    </row>
    <row r="378" spans="2:12" s="502" customFormat="1">
      <c r="F378" s="503"/>
    </row>
    <row r="379" spans="2:12" s="502" customFormat="1">
      <c r="F379" s="503"/>
    </row>
    <row r="380" spans="2:12" s="502" customFormat="1">
      <c r="F380" s="503"/>
    </row>
    <row r="381" spans="2:12" s="502" customFormat="1">
      <c r="F381" s="503"/>
    </row>
    <row r="382" spans="2:12" s="502" customFormat="1">
      <c r="F382" s="503"/>
    </row>
    <row r="383" spans="2:12" s="502" customFormat="1">
      <c r="F383" s="503"/>
    </row>
    <row r="384" spans="2:12" s="502" customFormat="1">
      <c r="F384" s="503"/>
    </row>
    <row r="385" spans="6:6" s="502" customFormat="1">
      <c r="F385" s="503"/>
    </row>
  </sheetData>
  <phoneticPr fontId="36"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0000000}">
          <x14:formula1>
            <xm:f>Llistes!$B$2:$B$15</xm:f>
          </x14:formula1>
          <xm:sqref>G1:G98 G102:G1048576</xm:sqref>
        </x14:dataValidation>
        <x14:dataValidation type="list" allowBlank="1" showInputMessage="1" showErrorMessage="1" xr:uid="{00000000-0002-0000-0100-000001000000}">
          <x14:formula1>
            <xm:f>Llistes!$C$2:$C$19</xm:f>
          </x14:formula1>
          <xm:sqref>I1:I98 I102:I1048576</xm:sqref>
        </x14:dataValidation>
        <x14:dataValidation type="list" allowBlank="1" showInputMessage="1" showErrorMessage="1" xr:uid="{00000000-0002-0000-0100-000003000000}">
          <x14:formula1>
            <xm:f>'Z:\317\04476\PN_ALT PIRINEU\5_Patrimoni_natural\JOSEP\[Programa actuacions del Pla Estrategic PNAP2026 vd.xlsx]Llistes'!#REF!</xm:f>
          </x14:formula1>
          <xm:sqref>G99:G100 I100:I101</xm:sqref>
        </x14:dataValidation>
        <x14:dataValidation type="list" allowBlank="1" showInputMessage="1" showErrorMessage="1" xr:uid="{00000000-0002-0000-0100-000004000000}">
          <x14:formula1>
            <xm:f>'Z:\317\04476\PN_ALT PIRINEU\1. Direccio\1.02 Programa d''actuació i pressupost anual\2025\[Còpia de Programa actuacions del Pla Estrategic PNAP 2025_JPP.xlsx]Llistes'!#REF!</xm:f>
          </x14:formula1>
          <xm:sqref>I99</xm:sqref>
        </x14:dataValidation>
        <x14:dataValidation type="list" allowBlank="1" showInputMessage="1" showErrorMessage="1" xr:uid="{00000000-0002-0000-0100-000005000000}">
          <x14:formula1>
            <xm:f>'Z:\317\04476\PN_ALT PIRINEU\1. Direccio\1.02 Programa d''actuació i pressupost anual\2025\[Programa actuacions del Pla Estrategic PNAP 2025-NAL.xlsx]Llistes'!#REF!</xm:f>
          </x14:formula1>
          <xm:sqref>G101</xm:sqref>
        </x14:dataValidation>
        <x14:dataValidation type="list" allowBlank="1" showInputMessage="1" showErrorMessage="1" xr:uid="{00000000-0002-0000-0100-000002000000}">
          <x14:formula1>
            <xm:f>Llistes!$G$3:$G$43</xm:f>
          </x14:formula1>
          <xm:sqref>H72:H74 H78:H101 H1:H70 H103:H1048576</xm:sqref>
        </x14:dataValidation>
        <x14:dataValidation type="list" allowBlank="1" showInputMessage="1" showErrorMessage="1" xr:uid="{00000000-0002-0000-0100-000006000000}">
          <x14:formula1>
            <xm:f>Llistes!$E$2:$E$8</xm:f>
          </x14:formula1>
          <xm:sqref>F1:F1048576</xm:sqref>
        </x14:dataValidation>
        <x14:dataValidation type="list" allowBlank="1" showInputMessage="1" showErrorMessage="1" xr:uid="{5FEA694C-F9BA-4738-828D-F44F4F40EA79}">
          <x14:formula1>
            <xm:f>Gestors!$C$19:$C$20</xm:f>
          </x14:formula1>
          <xm:sqref>N4:N345</xm:sqref>
        </x14:dataValidation>
        <x14:dataValidation type="list" allowBlank="1" showInputMessage="1" showErrorMessage="1" xr:uid="{EF0B96EC-9463-4B0E-A8BF-7E9163C86ED5}">
          <x14:formula1>
            <xm:f>Gestors!$J$2:$J$14</xm:f>
          </x14:formula1>
          <xm:sqref>M4:M345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V456"/>
  <sheetViews>
    <sheetView showGridLines="0" topLeftCell="B1" zoomScale="70" zoomScaleNormal="70" workbookViewId="0">
      <pane ySplit="4" topLeftCell="A5" activePane="bottomLeft" state="frozen"/>
      <selection pane="bottomLeft" activeCell="G27" sqref="G27:G28"/>
    </sheetView>
  </sheetViews>
  <sheetFormatPr defaultColWidth="8.5703125" defaultRowHeight="15"/>
  <cols>
    <col min="1" max="1" width="26.7109375" style="40" customWidth="1"/>
    <col min="2" max="2" width="4" style="148" customWidth="1"/>
    <col min="3" max="3" width="34.140625" style="149" customWidth="1"/>
    <col min="4" max="4" width="7.42578125" style="73" customWidth="1"/>
    <col min="5" max="5" width="50" style="74" customWidth="1"/>
    <col min="6" max="6" width="7.85546875" style="75" customWidth="1"/>
    <col min="7" max="7" width="54.85546875" style="9" customWidth="1"/>
    <col min="8" max="8" width="15.42578125" style="76" customWidth="1"/>
    <col min="9" max="9" width="18.140625" style="76" customWidth="1"/>
    <col min="10" max="10" width="48.5703125" style="9" customWidth="1"/>
    <col min="11" max="11" width="30.85546875" style="6" customWidth="1"/>
    <col min="12" max="12" width="28.140625" style="7" customWidth="1"/>
    <col min="13" max="13" width="10.5703125" style="8" customWidth="1"/>
    <col min="14" max="14" width="56" style="9" customWidth="1"/>
    <col min="15" max="15" width="24.5703125" style="8" hidden="1" customWidth="1"/>
    <col min="16" max="16" width="3" style="10" hidden="1" customWidth="1"/>
    <col min="17" max="17" width="42.7109375" style="1" customWidth="1"/>
    <col min="18" max="18" width="16" style="77" customWidth="1"/>
    <col min="19" max="19" width="18.5703125" style="77" customWidth="1"/>
    <col min="20" max="20" width="9.42578125" style="3" customWidth="1"/>
    <col min="21" max="21" width="18" style="3" customWidth="1"/>
    <col min="22" max="22" width="18.5703125" style="3" customWidth="1"/>
    <col min="23" max="16384" width="8.5703125" style="3"/>
  </cols>
  <sheetData>
    <row r="1" spans="1:22" ht="18.75">
      <c r="A1" s="70" t="s">
        <v>751</v>
      </c>
      <c r="B1" s="71"/>
      <c r="C1" s="72"/>
    </row>
    <row r="2" spans="1:22" ht="18.75">
      <c r="A2" s="11"/>
      <c r="B2" s="12" t="s">
        <v>440</v>
      </c>
      <c r="C2" s="78" t="s">
        <v>752</v>
      </c>
    </row>
    <row r="3" spans="1:22" ht="18.75">
      <c r="A3" s="11"/>
      <c r="B3" s="12"/>
      <c r="C3" s="72"/>
      <c r="R3" s="233" t="s">
        <v>753</v>
      </c>
      <c r="S3" s="234"/>
      <c r="T3" s="233" t="s">
        <v>754</v>
      </c>
      <c r="U3" s="235"/>
      <c r="V3" s="234"/>
    </row>
    <row r="4" spans="1:22" s="19" customFormat="1" ht="36.75" customHeight="1">
      <c r="A4" s="13" t="s">
        <v>0</v>
      </c>
      <c r="B4" s="14"/>
      <c r="C4" s="15" t="s">
        <v>1</v>
      </c>
      <c r="D4" s="79"/>
      <c r="E4" s="80" t="s">
        <v>2</v>
      </c>
      <c r="F4" s="81"/>
      <c r="G4" s="81" t="s">
        <v>755</v>
      </c>
      <c r="H4" s="81" t="s">
        <v>432</v>
      </c>
      <c r="I4" s="82" t="s">
        <v>433</v>
      </c>
      <c r="J4" s="83" t="s">
        <v>756</v>
      </c>
      <c r="K4" s="5" t="s">
        <v>441</v>
      </c>
      <c r="L4" s="5" t="s">
        <v>442</v>
      </c>
      <c r="M4" s="16" t="s">
        <v>434</v>
      </c>
      <c r="N4" s="5" t="s">
        <v>443</v>
      </c>
      <c r="O4" s="17" t="s">
        <v>444</v>
      </c>
      <c r="P4" s="18" t="s">
        <v>445</v>
      </c>
      <c r="Q4" s="84" t="s">
        <v>757</v>
      </c>
      <c r="R4" s="85" t="s">
        <v>758</v>
      </c>
      <c r="S4" s="85" t="s">
        <v>759</v>
      </c>
      <c r="T4" s="84" t="s">
        <v>760</v>
      </c>
      <c r="U4" s="84" t="s">
        <v>761</v>
      </c>
      <c r="V4" s="84" t="s">
        <v>762</v>
      </c>
    </row>
    <row r="5" spans="1:22" ht="85.5" customHeight="1">
      <c r="A5" s="86" t="s">
        <v>4</v>
      </c>
      <c r="B5" s="87">
        <v>1</v>
      </c>
      <c r="C5" s="88" t="s">
        <v>5</v>
      </c>
      <c r="D5" s="236" t="s">
        <v>446</v>
      </c>
      <c r="E5" s="240" t="s">
        <v>6</v>
      </c>
      <c r="F5" s="243" t="s">
        <v>7</v>
      </c>
      <c r="G5" s="246" t="s">
        <v>8</v>
      </c>
      <c r="H5" s="249" t="s">
        <v>435</v>
      </c>
      <c r="I5" s="249" t="s">
        <v>447</v>
      </c>
      <c r="J5" s="252" t="str">
        <f>G5</f>
        <v>Implementar i executar plans de gestió específics per a hàbitats i espècies de conservació prioritària dins l'ENP</v>
      </c>
      <c r="K5" s="253"/>
      <c r="L5" s="23" t="s">
        <v>763</v>
      </c>
      <c r="M5" s="89" t="s">
        <v>764</v>
      </c>
      <c r="N5" s="90" t="s">
        <v>765</v>
      </c>
      <c r="O5" s="91" t="s">
        <v>448</v>
      </c>
      <c r="P5" s="92" t="s">
        <v>449</v>
      </c>
      <c r="Q5" s="93" t="s">
        <v>766</v>
      </c>
      <c r="R5" s="94">
        <v>20</v>
      </c>
      <c r="S5" s="94">
        <v>60</v>
      </c>
      <c r="T5" s="95"/>
      <c r="U5" s="95" t="s">
        <v>767</v>
      </c>
      <c r="V5" s="95" t="s">
        <v>768</v>
      </c>
    </row>
    <row r="6" spans="1:22" ht="50.45" customHeight="1">
      <c r="A6" s="96"/>
      <c r="B6" s="97"/>
      <c r="C6" s="98"/>
      <c r="D6" s="237"/>
      <c r="E6" s="241"/>
      <c r="F6" s="244"/>
      <c r="G6" s="247"/>
      <c r="H6" s="250"/>
      <c r="I6" s="250"/>
      <c r="J6" s="247"/>
      <c r="K6" s="254"/>
      <c r="L6" s="256" t="s">
        <v>763</v>
      </c>
      <c r="M6" s="89" t="s">
        <v>764</v>
      </c>
      <c r="N6" s="90" t="s">
        <v>769</v>
      </c>
      <c r="O6" s="90" t="s">
        <v>766</v>
      </c>
      <c r="P6" s="90">
        <v>4</v>
      </c>
      <c r="Q6" s="90" t="s">
        <v>766</v>
      </c>
      <c r="R6" s="94">
        <v>4</v>
      </c>
      <c r="S6" s="94">
        <v>20</v>
      </c>
      <c r="T6" s="99"/>
      <c r="U6" s="100" t="s">
        <v>770</v>
      </c>
      <c r="V6" s="100" t="s">
        <v>771</v>
      </c>
    </row>
    <row r="7" spans="1:22" ht="62.45" customHeight="1">
      <c r="A7" s="96"/>
      <c r="B7" s="97"/>
      <c r="C7" s="101"/>
      <c r="D7" s="237"/>
      <c r="E7" s="241"/>
      <c r="F7" s="244"/>
      <c r="G7" s="247"/>
      <c r="H7" s="250"/>
      <c r="I7" s="250"/>
      <c r="J7" s="247"/>
      <c r="K7" s="254"/>
      <c r="L7" s="257"/>
      <c r="M7" s="24" t="s">
        <v>764</v>
      </c>
      <c r="N7" s="23" t="s">
        <v>772</v>
      </c>
      <c r="O7" s="23" t="s">
        <v>773</v>
      </c>
      <c r="P7" s="23">
        <v>4</v>
      </c>
      <c r="Q7" s="23" t="s">
        <v>773</v>
      </c>
      <c r="R7" s="102">
        <v>4</v>
      </c>
      <c r="S7" s="102">
        <v>8</v>
      </c>
      <c r="T7" s="95"/>
      <c r="U7" s="100" t="s">
        <v>774</v>
      </c>
      <c r="V7" s="100" t="s">
        <v>775</v>
      </c>
    </row>
    <row r="8" spans="1:22" ht="45">
      <c r="A8" s="96"/>
      <c r="B8" s="97"/>
      <c r="C8" s="101"/>
      <c r="D8" s="238"/>
      <c r="E8" s="241"/>
      <c r="F8" s="244"/>
      <c r="G8" s="247"/>
      <c r="H8" s="250"/>
      <c r="I8" s="250"/>
      <c r="J8" s="247"/>
      <c r="K8" s="254"/>
      <c r="L8" s="257"/>
      <c r="M8" s="103" t="s">
        <v>776</v>
      </c>
      <c r="N8" s="104" t="s">
        <v>777</v>
      </c>
      <c r="O8" s="105"/>
      <c r="P8" s="106"/>
      <c r="Q8" s="107" t="s">
        <v>778</v>
      </c>
      <c r="R8" s="108">
        <v>2</v>
      </c>
      <c r="S8" s="109" t="s">
        <v>779</v>
      </c>
      <c r="T8" s="110"/>
      <c r="U8" s="110" t="s">
        <v>767</v>
      </c>
      <c r="V8" s="95" t="s">
        <v>768</v>
      </c>
    </row>
    <row r="9" spans="1:22" ht="49.5" customHeight="1">
      <c r="A9" s="96"/>
      <c r="B9" s="97"/>
      <c r="C9" s="101"/>
      <c r="D9" s="239"/>
      <c r="E9" s="242"/>
      <c r="F9" s="245"/>
      <c r="G9" s="248"/>
      <c r="H9" s="251"/>
      <c r="I9" s="251"/>
      <c r="J9" s="248"/>
      <c r="K9" s="255"/>
      <c r="L9" s="258"/>
      <c r="M9" s="103" t="s">
        <v>780</v>
      </c>
      <c r="N9" s="104" t="s">
        <v>781</v>
      </c>
      <c r="O9" s="105" t="s">
        <v>782</v>
      </c>
      <c r="P9" s="106">
        <v>1</v>
      </c>
      <c r="Q9" s="107" t="s">
        <v>782</v>
      </c>
      <c r="R9" s="108">
        <v>1</v>
      </c>
      <c r="S9" s="109">
        <v>3</v>
      </c>
      <c r="T9" s="110"/>
      <c r="U9" s="111" t="s">
        <v>774</v>
      </c>
      <c r="V9" s="95" t="s">
        <v>775</v>
      </c>
    </row>
    <row r="10" spans="1:22" ht="45">
      <c r="A10" s="96"/>
      <c r="B10" s="97"/>
      <c r="C10" s="101"/>
      <c r="D10" s="236" t="s">
        <v>450</v>
      </c>
      <c r="E10" s="240" t="s">
        <v>11</v>
      </c>
      <c r="F10" s="243" t="s">
        <v>9</v>
      </c>
      <c r="G10" s="246" t="s">
        <v>10</v>
      </c>
      <c r="H10" s="249" t="s">
        <v>435</v>
      </c>
      <c r="I10" s="249" t="s">
        <v>447</v>
      </c>
      <c r="J10" s="252" t="str">
        <f>G10</f>
        <v>Adaptar i executar plans de gestió específics per a elements geològics de conservació prioritària dins l'ENP</v>
      </c>
      <c r="K10" s="253"/>
      <c r="L10" s="256" t="s">
        <v>763</v>
      </c>
      <c r="M10" s="24" t="s">
        <v>783</v>
      </c>
      <c r="N10" s="23" t="s">
        <v>784</v>
      </c>
      <c r="O10" s="25"/>
      <c r="P10" s="28"/>
      <c r="Q10" s="112" t="s">
        <v>785</v>
      </c>
      <c r="R10" s="102">
        <v>10</v>
      </c>
      <c r="S10" s="102">
        <v>37</v>
      </c>
      <c r="T10" s="95"/>
      <c r="U10" s="95" t="s">
        <v>774</v>
      </c>
      <c r="V10" s="95" t="s">
        <v>775</v>
      </c>
    </row>
    <row r="11" spans="1:22" ht="43.5" customHeight="1">
      <c r="A11" s="96"/>
      <c r="B11" s="97"/>
      <c r="C11" s="101"/>
      <c r="D11" s="237"/>
      <c r="E11" s="241"/>
      <c r="F11" s="261"/>
      <c r="G11" s="262"/>
      <c r="H11" s="263"/>
      <c r="I11" s="263"/>
      <c r="J11" s="264"/>
      <c r="K11" s="254"/>
      <c r="L11" s="257"/>
      <c r="M11" s="24" t="s">
        <v>783</v>
      </c>
      <c r="N11" s="23" t="s">
        <v>786</v>
      </c>
      <c r="O11" s="25"/>
      <c r="P11" s="28"/>
      <c r="Q11" s="112" t="s">
        <v>785</v>
      </c>
      <c r="R11" s="102">
        <v>24</v>
      </c>
      <c r="S11" s="102">
        <v>89</v>
      </c>
      <c r="T11" s="95"/>
      <c r="U11" s="95" t="s">
        <v>767</v>
      </c>
      <c r="V11" s="95" t="s">
        <v>787</v>
      </c>
    </row>
    <row r="12" spans="1:22" ht="60" customHeight="1">
      <c r="A12" s="96"/>
      <c r="B12" s="97"/>
      <c r="C12" s="101"/>
      <c r="D12" s="237"/>
      <c r="E12" s="241"/>
      <c r="F12" s="261"/>
      <c r="G12" s="262"/>
      <c r="H12" s="263"/>
      <c r="I12" s="263"/>
      <c r="J12" s="264"/>
      <c r="K12" s="255"/>
      <c r="L12" s="258"/>
      <c r="M12" s="24" t="s">
        <v>780</v>
      </c>
      <c r="N12" s="23" t="s">
        <v>788</v>
      </c>
      <c r="O12" s="25"/>
      <c r="P12" s="28"/>
      <c r="Q12" s="112" t="s">
        <v>789</v>
      </c>
      <c r="R12" s="102">
        <v>2</v>
      </c>
      <c r="S12" s="102">
        <v>10</v>
      </c>
      <c r="T12" s="95"/>
      <c r="U12" s="95" t="s">
        <v>774</v>
      </c>
      <c r="V12" s="95" t="s">
        <v>775</v>
      </c>
    </row>
    <row r="13" spans="1:22" ht="45.75" customHeight="1">
      <c r="A13" s="96"/>
      <c r="B13" s="97"/>
      <c r="C13" s="101"/>
      <c r="D13" s="237"/>
      <c r="E13" s="241"/>
      <c r="F13" s="113" t="s">
        <v>12</v>
      </c>
      <c r="G13" s="114" t="s">
        <v>13</v>
      </c>
      <c r="H13" s="113" t="s">
        <v>435</v>
      </c>
      <c r="I13" s="113" t="s">
        <v>436</v>
      </c>
      <c r="J13" s="23" t="str">
        <f>G13</f>
        <v>Implementar la metodologia de gestió adaptativa (Estàndards Oberts de Gestió Adaptativa a Catalunya) en tots els processos de l'ENP</v>
      </c>
      <c r="K13" s="22"/>
      <c r="L13" s="27" t="s">
        <v>790</v>
      </c>
      <c r="M13" s="24" t="s">
        <v>764</v>
      </c>
      <c r="N13" s="23" t="s">
        <v>791</v>
      </c>
      <c r="O13" s="25"/>
      <c r="P13" s="26"/>
      <c r="Q13" s="112" t="s">
        <v>792</v>
      </c>
      <c r="R13" s="102">
        <v>1</v>
      </c>
      <c r="S13" s="102">
        <v>10</v>
      </c>
      <c r="T13" s="95"/>
      <c r="U13" s="95" t="s">
        <v>774</v>
      </c>
      <c r="V13" s="95" t="s">
        <v>775</v>
      </c>
    </row>
    <row r="14" spans="1:22" ht="39.75" customHeight="1">
      <c r="A14" s="96"/>
      <c r="B14" s="97"/>
      <c r="C14" s="101"/>
      <c r="D14" s="237"/>
      <c r="E14" s="241"/>
      <c r="F14" s="249" t="s">
        <v>14</v>
      </c>
      <c r="G14" s="246" t="s">
        <v>15</v>
      </c>
      <c r="H14" s="249" t="s">
        <v>435</v>
      </c>
      <c r="I14" s="249" t="s">
        <v>447</v>
      </c>
      <c r="J14" s="252" t="str">
        <f>G14</f>
        <v>Executar les mesures previstes en els plans de conservació o recuperació d'espècies amenaçades de forma coordinada amb el Servei de Flora i Fauna en l'àmbit de l'ENP</v>
      </c>
      <c r="K14" s="253"/>
      <c r="L14" s="256" t="s">
        <v>763</v>
      </c>
      <c r="M14" s="24" t="s">
        <v>764</v>
      </c>
      <c r="N14" s="23" t="s">
        <v>793</v>
      </c>
      <c r="O14" s="29" t="s">
        <v>452</v>
      </c>
      <c r="P14" s="26" t="s">
        <v>453</v>
      </c>
      <c r="Q14" s="112" t="s">
        <v>794</v>
      </c>
      <c r="R14" s="102">
        <v>1</v>
      </c>
      <c r="S14" s="102">
        <v>4</v>
      </c>
      <c r="T14" s="95"/>
      <c r="U14" s="95" t="s">
        <v>767</v>
      </c>
      <c r="V14" s="95" t="s">
        <v>768</v>
      </c>
    </row>
    <row r="15" spans="1:22" ht="53.25" customHeight="1">
      <c r="A15" s="96"/>
      <c r="B15" s="97"/>
      <c r="C15" s="101"/>
      <c r="D15" s="237"/>
      <c r="E15" s="241"/>
      <c r="F15" s="263"/>
      <c r="G15" s="262"/>
      <c r="H15" s="263"/>
      <c r="I15" s="263"/>
      <c r="J15" s="264"/>
      <c r="K15" s="268"/>
      <c r="L15" s="257"/>
      <c r="M15" s="24" t="s">
        <v>764</v>
      </c>
      <c r="N15" s="23" t="s">
        <v>795</v>
      </c>
      <c r="O15" s="29"/>
      <c r="P15" s="26"/>
      <c r="Q15" s="112" t="s">
        <v>796</v>
      </c>
      <c r="R15" s="102">
        <v>10</v>
      </c>
      <c r="S15" s="102">
        <v>40</v>
      </c>
      <c r="T15" s="95"/>
      <c r="U15" s="95" t="s">
        <v>767</v>
      </c>
      <c r="V15" s="95" t="s">
        <v>768</v>
      </c>
    </row>
    <row r="16" spans="1:22" ht="42" customHeight="1">
      <c r="A16" s="96"/>
      <c r="B16" s="97"/>
      <c r="C16" s="101"/>
      <c r="D16" s="237"/>
      <c r="E16" s="241"/>
      <c r="F16" s="263"/>
      <c r="G16" s="262"/>
      <c r="H16" s="263"/>
      <c r="I16" s="263"/>
      <c r="J16" s="264"/>
      <c r="K16" s="268"/>
      <c r="L16" s="257"/>
      <c r="M16" s="24" t="s">
        <v>764</v>
      </c>
      <c r="N16" s="23" t="s">
        <v>797</v>
      </c>
      <c r="O16" s="29"/>
      <c r="P16" s="26"/>
      <c r="Q16" s="112" t="s">
        <v>798</v>
      </c>
      <c r="R16" s="102">
        <v>1</v>
      </c>
      <c r="S16" s="102">
        <v>4</v>
      </c>
      <c r="T16" s="95"/>
      <c r="U16" s="95" t="s">
        <v>767</v>
      </c>
      <c r="V16" s="95" t="s">
        <v>768</v>
      </c>
    </row>
    <row r="17" spans="1:22" ht="66" customHeight="1">
      <c r="A17" s="96"/>
      <c r="B17" s="97"/>
      <c r="C17" s="101"/>
      <c r="D17" s="237"/>
      <c r="E17" s="241"/>
      <c r="F17" s="265"/>
      <c r="G17" s="266"/>
      <c r="H17" s="265"/>
      <c r="I17" s="265"/>
      <c r="J17" s="267"/>
      <c r="K17" s="269"/>
      <c r="L17" s="258"/>
      <c r="M17" s="24" t="s">
        <v>776</v>
      </c>
      <c r="N17" s="23" t="s">
        <v>799</v>
      </c>
      <c r="O17" s="25" t="s">
        <v>800</v>
      </c>
      <c r="P17" s="28">
        <v>4</v>
      </c>
      <c r="Q17" s="112" t="s">
        <v>800</v>
      </c>
      <c r="R17" s="102">
        <v>4</v>
      </c>
      <c r="S17" s="102">
        <v>8</v>
      </c>
      <c r="T17" s="95"/>
      <c r="U17" s="95" t="s">
        <v>774</v>
      </c>
      <c r="V17" s="95" t="s">
        <v>775</v>
      </c>
    </row>
    <row r="18" spans="1:22" ht="30" customHeight="1">
      <c r="A18" s="96"/>
      <c r="B18" s="97"/>
      <c r="C18" s="101"/>
      <c r="D18" s="238"/>
      <c r="E18" s="259"/>
      <c r="F18" s="249" t="s">
        <v>16</v>
      </c>
      <c r="G18" s="246" t="s">
        <v>17</v>
      </c>
      <c r="H18" s="249" t="s">
        <v>435</v>
      </c>
      <c r="I18" s="249" t="s">
        <v>447</v>
      </c>
      <c r="J18" s="252" t="str">
        <f>G18</f>
        <v>Executar les mesures de gestió previstes en els plans de control i erradicació d'espècies exòtiques de forma coordinada amb el Servei de Flora i Fauna en l'àmbit de l'ENP</v>
      </c>
      <c r="K18" s="253"/>
      <c r="L18" s="270" t="s">
        <v>763</v>
      </c>
      <c r="M18" s="24" t="s">
        <v>764</v>
      </c>
      <c r="N18" s="23" t="s">
        <v>801</v>
      </c>
      <c r="O18" s="29" t="s">
        <v>454</v>
      </c>
      <c r="P18" s="26" t="s">
        <v>455</v>
      </c>
      <c r="Q18" s="112" t="s">
        <v>794</v>
      </c>
      <c r="R18" s="102">
        <v>1</v>
      </c>
      <c r="S18" s="102">
        <v>2</v>
      </c>
      <c r="T18" s="95"/>
      <c r="U18" s="95" t="s">
        <v>767</v>
      </c>
      <c r="V18" s="95" t="s">
        <v>768</v>
      </c>
    </row>
    <row r="19" spans="1:22" ht="41.25" customHeight="1">
      <c r="A19" s="96"/>
      <c r="B19" s="97"/>
      <c r="C19" s="101"/>
      <c r="D19" s="238"/>
      <c r="E19" s="259"/>
      <c r="F19" s="263"/>
      <c r="G19" s="262"/>
      <c r="H19" s="263"/>
      <c r="I19" s="263"/>
      <c r="J19" s="264"/>
      <c r="K19" s="268"/>
      <c r="L19" s="271"/>
      <c r="M19" s="24" t="s">
        <v>764</v>
      </c>
      <c r="N19" s="23" t="s">
        <v>802</v>
      </c>
      <c r="O19" s="29"/>
      <c r="P19" s="26"/>
      <c r="Q19" s="112" t="s">
        <v>796</v>
      </c>
      <c r="R19" s="102">
        <v>4</v>
      </c>
      <c r="S19" s="102">
        <v>10</v>
      </c>
      <c r="T19" s="95"/>
      <c r="U19" s="95" t="s">
        <v>767</v>
      </c>
      <c r="V19" s="95" t="s">
        <v>768</v>
      </c>
    </row>
    <row r="20" spans="1:22" ht="64.5" customHeight="1">
      <c r="A20" s="96"/>
      <c r="B20" s="97"/>
      <c r="C20" s="101"/>
      <c r="D20" s="238"/>
      <c r="E20" s="259"/>
      <c r="F20" s="265"/>
      <c r="G20" s="266"/>
      <c r="H20" s="265"/>
      <c r="I20" s="265"/>
      <c r="J20" s="267"/>
      <c r="K20" s="269"/>
      <c r="L20" s="272"/>
      <c r="M20" s="24" t="s">
        <v>776</v>
      </c>
      <c r="N20" s="23" t="s">
        <v>797</v>
      </c>
      <c r="O20" s="29"/>
      <c r="P20" s="26"/>
      <c r="Q20" s="112" t="s">
        <v>798</v>
      </c>
      <c r="R20" s="102">
        <v>1</v>
      </c>
      <c r="S20" s="102">
        <v>2</v>
      </c>
      <c r="T20" s="95"/>
      <c r="U20" s="95" t="s">
        <v>767</v>
      </c>
      <c r="V20" s="95" t="s">
        <v>768</v>
      </c>
    </row>
    <row r="21" spans="1:22" ht="40.5" customHeight="1">
      <c r="A21" s="96"/>
      <c r="B21" s="97"/>
      <c r="C21" s="101"/>
      <c r="D21" s="238"/>
      <c r="E21" s="259"/>
      <c r="F21" s="249" t="s">
        <v>18</v>
      </c>
      <c r="G21" s="246" t="s">
        <v>19</v>
      </c>
      <c r="H21" s="249" t="s">
        <v>437</v>
      </c>
      <c r="I21" s="249" t="s">
        <v>456</v>
      </c>
      <c r="J21" s="252" t="str">
        <f>G21</f>
        <v xml:space="preserve">Desplegar els objectius i tasques recollits en els instruments de referència i compromisos internacionals  </v>
      </c>
      <c r="K21" s="253"/>
      <c r="L21" s="270" t="s">
        <v>763</v>
      </c>
      <c r="M21" s="24" t="s">
        <v>780</v>
      </c>
      <c r="N21" s="23" t="s">
        <v>803</v>
      </c>
      <c r="O21" s="29"/>
      <c r="P21" s="26"/>
      <c r="Q21" s="112" t="s">
        <v>804</v>
      </c>
      <c r="R21" s="102" t="s">
        <v>805</v>
      </c>
      <c r="S21" s="102" t="s">
        <v>806</v>
      </c>
      <c r="T21" s="95"/>
      <c r="U21" s="95" t="s">
        <v>774</v>
      </c>
      <c r="V21" s="95" t="s">
        <v>775</v>
      </c>
    </row>
    <row r="22" spans="1:22" ht="56.25" customHeight="1">
      <c r="A22" s="96"/>
      <c r="B22" s="97"/>
      <c r="C22" s="101"/>
      <c r="D22" s="238"/>
      <c r="E22" s="259"/>
      <c r="F22" s="263"/>
      <c r="G22" s="262"/>
      <c r="H22" s="263"/>
      <c r="I22" s="263"/>
      <c r="J22" s="264"/>
      <c r="K22" s="268"/>
      <c r="L22" s="271"/>
      <c r="M22" s="24" t="s">
        <v>776</v>
      </c>
      <c r="N22" s="23" t="s">
        <v>807</v>
      </c>
      <c r="O22" s="29"/>
      <c r="P22" s="26"/>
      <c r="Q22" s="112" t="s">
        <v>804</v>
      </c>
      <c r="R22" s="102" t="s">
        <v>805</v>
      </c>
      <c r="S22" s="102" t="s">
        <v>806</v>
      </c>
      <c r="T22" s="95"/>
      <c r="U22" s="95" t="s">
        <v>774</v>
      </c>
      <c r="V22" s="95" t="s">
        <v>775</v>
      </c>
    </row>
    <row r="23" spans="1:22" ht="84.75" customHeight="1">
      <c r="A23" s="96"/>
      <c r="B23" s="97"/>
      <c r="C23" s="101"/>
      <c r="D23" s="239"/>
      <c r="E23" s="260"/>
      <c r="F23" s="265"/>
      <c r="G23" s="266"/>
      <c r="H23" s="265"/>
      <c r="I23" s="265"/>
      <c r="J23" s="267"/>
      <c r="K23" s="269"/>
      <c r="L23" s="272"/>
      <c r="M23" s="24" t="s">
        <v>780</v>
      </c>
      <c r="N23" s="23" t="s">
        <v>808</v>
      </c>
      <c r="O23" s="29"/>
      <c r="P23" s="26"/>
      <c r="Q23" s="112" t="s">
        <v>804</v>
      </c>
      <c r="R23" s="102" t="s">
        <v>805</v>
      </c>
      <c r="S23" s="102" t="s">
        <v>806</v>
      </c>
      <c r="T23" s="95"/>
      <c r="U23" s="95" t="s">
        <v>774</v>
      </c>
      <c r="V23" s="95" t="s">
        <v>775</v>
      </c>
    </row>
    <row r="24" spans="1:22" ht="71.45" customHeight="1">
      <c r="A24" s="96"/>
      <c r="B24" s="97"/>
      <c r="C24" s="101"/>
      <c r="D24" s="236" t="s">
        <v>457</v>
      </c>
      <c r="E24" s="240" t="s">
        <v>809</v>
      </c>
      <c r="F24" s="243" t="s">
        <v>20</v>
      </c>
      <c r="G24" s="246" t="s">
        <v>21</v>
      </c>
      <c r="H24" s="249" t="s">
        <v>435</v>
      </c>
      <c r="I24" s="249" t="s">
        <v>447</v>
      </c>
      <c r="J24" s="252" t="str">
        <f>G24</f>
        <v>Identificar espais pel foment de la dinàmica natural i l'aprofitament no extractiu</v>
      </c>
      <c r="K24" s="115"/>
      <c r="L24" s="270" t="s">
        <v>763</v>
      </c>
      <c r="M24" s="24" t="s">
        <v>776</v>
      </c>
      <c r="N24" s="23" t="s">
        <v>810</v>
      </c>
      <c r="O24" s="25" t="s">
        <v>451</v>
      </c>
      <c r="P24" s="26" t="s">
        <v>458</v>
      </c>
      <c r="Q24" s="112" t="s">
        <v>811</v>
      </c>
      <c r="R24" s="102">
        <v>1</v>
      </c>
      <c r="S24" s="102">
        <v>2</v>
      </c>
      <c r="T24" s="95"/>
      <c r="U24" s="95" t="s">
        <v>767</v>
      </c>
      <c r="V24" s="95" t="s">
        <v>768</v>
      </c>
    </row>
    <row r="25" spans="1:22" ht="64.900000000000006" customHeight="1">
      <c r="A25" s="96"/>
      <c r="B25" s="97"/>
      <c r="C25" s="101"/>
      <c r="D25" s="238"/>
      <c r="E25" s="259"/>
      <c r="F25" s="273"/>
      <c r="G25" s="266"/>
      <c r="H25" s="265"/>
      <c r="I25" s="265"/>
      <c r="J25" s="267"/>
      <c r="K25" s="116"/>
      <c r="L25" s="272"/>
      <c r="M25" s="24" t="s">
        <v>776</v>
      </c>
      <c r="N25" s="23" t="s">
        <v>812</v>
      </c>
      <c r="O25" s="25"/>
      <c r="P25" s="26"/>
      <c r="Q25" s="112" t="s">
        <v>813</v>
      </c>
      <c r="R25" s="102">
        <v>1</v>
      </c>
      <c r="S25" s="102">
        <v>4</v>
      </c>
      <c r="T25" s="95"/>
      <c r="U25" s="95" t="s">
        <v>767</v>
      </c>
      <c r="V25" s="95" t="s">
        <v>768</v>
      </c>
    </row>
    <row r="26" spans="1:22" ht="42.75" customHeight="1">
      <c r="A26" s="96"/>
      <c r="B26" s="97"/>
      <c r="C26" s="101"/>
      <c r="D26" s="238"/>
      <c r="E26" s="259"/>
      <c r="F26" s="117" t="s">
        <v>22</v>
      </c>
      <c r="G26" s="114" t="s">
        <v>23</v>
      </c>
      <c r="H26" s="113" t="s">
        <v>437</v>
      </c>
      <c r="I26" s="113" t="s">
        <v>456</v>
      </c>
      <c r="J26" s="23" t="str">
        <f>G26</f>
        <v>Afavorir la maduresa dels sistemes forestals</v>
      </c>
      <c r="K26" s="22"/>
      <c r="L26" s="23" t="s">
        <v>763</v>
      </c>
      <c r="M26" s="24" t="s">
        <v>776</v>
      </c>
      <c r="N26" s="23" t="s">
        <v>814</v>
      </c>
      <c r="O26" s="25" t="s">
        <v>448</v>
      </c>
      <c r="P26" s="26" t="s">
        <v>458</v>
      </c>
      <c r="Q26" s="112" t="s">
        <v>815</v>
      </c>
      <c r="R26" s="102">
        <v>30</v>
      </c>
      <c r="S26" s="102">
        <v>100</v>
      </c>
      <c r="T26" s="95"/>
      <c r="U26" s="95" t="s">
        <v>767</v>
      </c>
      <c r="V26" s="95" t="s">
        <v>768</v>
      </c>
    </row>
    <row r="27" spans="1:22" ht="48.75" customHeight="1">
      <c r="A27" s="96"/>
      <c r="B27" s="97"/>
      <c r="C27" s="101"/>
      <c r="D27" s="238"/>
      <c r="E27" s="259"/>
      <c r="F27" s="243" t="s">
        <v>24</v>
      </c>
      <c r="G27" s="246" t="s">
        <v>816</v>
      </c>
      <c r="H27" s="249" t="s">
        <v>437</v>
      </c>
      <c r="I27" s="249" t="s">
        <v>456</v>
      </c>
      <c r="J27" s="252" t="str">
        <f>G27</f>
        <v>Procurar un règim de pertorbacions que afavoreixi l'ús sostenible dels recursos, la biodiversitat i el funcionament del ecosistemes</v>
      </c>
      <c r="K27" s="253"/>
      <c r="L27" s="270" t="s">
        <v>763</v>
      </c>
      <c r="M27" s="24" t="s">
        <v>776</v>
      </c>
      <c r="N27" s="23" t="s">
        <v>817</v>
      </c>
      <c r="O27" s="25" t="s">
        <v>448</v>
      </c>
      <c r="P27" s="26" t="s">
        <v>458</v>
      </c>
      <c r="Q27" s="112" t="s">
        <v>818</v>
      </c>
      <c r="R27" s="102" t="s">
        <v>819</v>
      </c>
      <c r="S27" s="102" t="s">
        <v>820</v>
      </c>
      <c r="T27" s="95"/>
      <c r="U27" s="95" t="s">
        <v>767</v>
      </c>
      <c r="V27" s="95" t="s">
        <v>787</v>
      </c>
    </row>
    <row r="28" spans="1:22">
      <c r="A28" s="96"/>
      <c r="B28" s="97"/>
      <c r="C28" s="101"/>
      <c r="D28" s="238"/>
      <c r="E28" s="259"/>
      <c r="F28" s="273"/>
      <c r="G28" s="266"/>
      <c r="H28" s="265"/>
      <c r="I28" s="265"/>
      <c r="J28" s="267"/>
      <c r="K28" s="269"/>
      <c r="L28" s="272"/>
      <c r="M28" s="24" t="s">
        <v>776</v>
      </c>
      <c r="N28" s="23" t="s">
        <v>821</v>
      </c>
      <c r="O28" s="25"/>
      <c r="P28" s="26"/>
      <c r="Q28" s="112" t="s">
        <v>822</v>
      </c>
      <c r="R28" s="102">
        <v>1</v>
      </c>
      <c r="S28" s="102">
        <v>4</v>
      </c>
      <c r="T28" s="95"/>
      <c r="U28" s="95" t="s">
        <v>767</v>
      </c>
      <c r="V28" s="95" t="s">
        <v>787</v>
      </c>
    </row>
    <row r="29" spans="1:22" ht="44.25" customHeight="1">
      <c r="A29" s="96"/>
      <c r="B29" s="97"/>
      <c r="C29" s="101"/>
      <c r="D29" s="238"/>
      <c r="E29" s="259"/>
      <c r="F29" s="117" t="s">
        <v>25</v>
      </c>
      <c r="G29" s="114" t="s">
        <v>823</v>
      </c>
      <c r="H29" s="113" t="s">
        <v>437</v>
      </c>
      <c r="I29" s="113" t="s">
        <v>456</v>
      </c>
      <c r="J29" s="23" t="str">
        <f>G29</f>
        <v>Restaurar la dinàmica natural dels rius i altres ecosistemes aquàtics que estiguin dregradats</v>
      </c>
      <c r="K29" s="118"/>
      <c r="L29" s="32" t="s">
        <v>763</v>
      </c>
      <c r="M29" s="24" t="s">
        <v>780</v>
      </c>
      <c r="N29" s="23" t="s">
        <v>824</v>
      </c>
      <c r="O29" s="25" t="s">
        <v>448</v>
      </c>
      <c r="P29" s="26" t="s">
        <v>458</v>
      </c>
      <c r="Q29" s="112" t="s">
        <v>825</v>
      </c>
      <c r="R29" s="102">
        <v>1</v>
      </c>
      <c r="S29" s="102">
        <v>6</v>
      </c>
      <c r="T29" s="95"/>
      <c r="U29" s="95" t="s">
        <v>767</v>
      </c>
      <c r="V29" s="95" t="s">
        <v>787</v>
      </c>
    </row>
    <row r="30" spans="1:22" ht="90">
      <c r="A30" s="96"/>
      <c r="B30" s="97"/>
      <c r="C30" s="101"/>
      <c r="D30" s="238"/>
      <c r="E30" s="259"/>
      <c r="F30" s="249" t="s">
        <v>26</v>
      </c>
      <c r="G30" s="278" t="s">
        <v>826</v>
      </c>
      <c r="H30" s="249" t="s">
        <v>437</v>
      </c>
      <c r="I30" s="249" t="s">
        <v>456</v>
      </c>
      <c r="J30" s="282" t="str">
        <f>G30</f>
        <v xml:space="preserve">Fomentar mosaics de paisatges resilients i diversos </v>
      </c>
      <c r="K30" s="253"/>
      <c r="L30" s="274" t="s">
        <v>763</v>
      </c>
      <c r="M30" s="24" t="s">
        <v>776</v>
      </c>
      <c r="N30" s="23" t="s">
        <v>827</v>
      </c>
      <c r="O30" s="25"/>
      <c r="P30" s="26"/>
      <c r="Q30" s="112" t="s">
        <v>828</v>
      </c>
      <c r="R30" s="102">
        <v>3</v>
      </c>
      <c r="S30" s="102">
        <v>10</v>
      </c>
      <c r="T30" s="95"/>
      <c r="U30" s="95" t="s">
        <v>774</v>
      </c>
      <c r="V30" s="95" t="s">
        <v>775</v>
      </c>
    </row>
    <row r="31" spans="1:22" ht="45" customHeight="1">
      <c r="A31" s="96"/>
      <c r="B31" s="97"/>
      <c r="C31" s="101"/>
      <c r="D31" s="238"/>
      <c r="E31" s="259"/>
      <c r="F31" s="263"/>
      <c r="G31" s="279"/>
      <c r="H31" s="263"/>
      <c r="I31" s="263"/>
      <c r="J31" s="283"/>
      <c r="K31" s="268"/>
      <c r="L31" s="275"/>
      <c r="M31" s="24" t="s">
        <v>776</v>
      </c>
      <c r="N31" s="23" t="s">
        <v>829</v>
      </c>
      <c r="O31" s="25" t="s">
        <v>451</v>
      </c>
      <c r="P31" s="26" t="s">
        <v>458</v>
      </c>
      <c r="Q31" s="95" t="s">
        <v>830</v>
      </c>
      <c r="R31" s="102" t="s">
        <v>831</v>
      </c>
      <c r="S31" s="119" t="s">
        <v>832</v>
      </c>
      <c r="T31" s="95"/>
      <c r="U31" s="95" t="s">
        <v>767</v>
      </c>
      <c r="V31" s="95" t="s">
        <v>833</v>
      </c>
    </row>
    <row r="32" spans="1:22" ht="45">
      <c r="A32" s="96"/>
      <c r="B32" s="120"/>
      <c r="C32" s="101"/>
      <c r="D32" s="238"/>
      <c r="E32" s="259"/>
      <c r="F32" s="263"/>
      <c r="G32" s="279"/>
      <c r="H32" s="263"/>
      <c r="I32" s="263"/>
      <c r="J32" s="283"/>
      <c r="K32" s="268"/>
      <c r="L32" s="275"/>
      <c r="M32" s="24" t="s">
        <v>776</v>
      </c>
      <c r="N32" s="23" t="s">
        <v>834</v>
      </c>
      <c r="O32" s="25"/>
      <c r="P32" s="26"/>
      <c r="Q32" s="112" t="s">
        <v>835</v>
      </c>
      <c r="R32" s="102" t="s">
        <v>819</v>
      </c>
      <c r="S32" s="119" t="s">
        <v>836</v>
      </c>
      <c r="T32" s="95"/>
      <c r="U32" s="95" t="s">
        <v>767</v>
      </c>
      <c r="V32" s="95" t="s">
        <v>787</v>
      </c>
    </row>
    <row r="33" spans="1:22" ht="45">
      <c r="A33" s="96"/>
      <c r="B33" s="120"/>
      <c r="C33" s="101"/>
      <c r="D33" s="238"/>
      <c r="E33" s="259"/>
      <c r="F33" s="250"/>
      <c r="G33" s="280"/>
      <c r="H33" s="250"/>
      <c r="I33" s="250"/>
      <c r="J33" s="280"/>
      <c r="K33" s="254"/>
      <c r="L33" s="275"/>
      <c r="M33" s="103" t="s">
        <v>780</v>
      </c>
      <c r="N33" s="23" t="s">
        <v>837</v>
      </c>
      <c r="O33" s="25"/>
      <c r="P33" s="26"/>
      <c r="Q33" s="112" t="s">
        <v>838</v>
      </c>
      <c r="R33" s="102">
        <v>1</v>
      </c>
      <c r="S33" s="102">
        <v>3</v>
      </c>
      <c r="T33" s="95"/>
      <c r="U33" s="95" t="s">
        <v>767</v>
      </c>
      <c r="V33" s="95" t="s">
        <v>833</v>
      </c>
    </row>
    <row r="34" spans="1:22" ht="67.150000000000006" customHeight="1">
      <c r="A34" s="96"/>
      <c r="B34" s="120"/>
      <c r="C34" s="101"/>
      <c r="D34" s="238"/>
      <c r="E34" s="259"/>
      <c r="F34" s="251"/>
      <c r="G34" s="281"/>
      <c r="H34" s="251"/>
      <c r="I34" s="251"/>
      <c r="J34" s="281"/>
      <c r="K34" s="255"/>
      <c r="L34" s="276"/>
      <c r="M34" s="103" t="s">
        <v>780</v>
      </c>
      <c r="N34" s="23" t="s">
        <v>839</v>
      </c>
      <c r="O34" s="25"/>
      <c r="P34" s="26"/>
      <c r="Q34" s="112" t="s">
        <v>782</v>
      </c>
      <c r="R34" s="94">
        <v>1</v>
      </c>
      <c r="S34" s="121">
        <v>3</v>
      </c>
      <c r="T34" s="95"/>
      <c r="U34" s="95" t="s">
        <v>774</v>
      </c>
      <c r="V34" s="95" t="s">
        <v>775</v>
      </c>
    </row>
    <row r="35" spans="1:22" ht="53.25" customHeight="1">
      <c r="A35" s="96"/>
      <c r="B35" s="120"/>
      <c r="C35" s="101"/>
      <c r="D35" s="239"/>
      <c r="E35" s="260"/>
      <c r="F35" s="117" t="s">
        <v>27</v>
      </c>
      <c r="G35" s="114" t="s">
        <v>28</v>
      </c>
      <c r="H35" s="113" t="s">
        <v>437</v>
      </c>
      <c r="I35" s="113" t="s">
        <v>456</v>
      </c>
      <c r="J35" s="23" t="str">
        <f>G35</f>
        <v>Gestionar i intervenir en la dinàmica de poblacions de fauna que no tenen depredador natural</v>
      </c>
      <c r="K35" s="22"/>
      <c r="L35" s="104" t="s">
        <v>763</v>
      </c>
      <c r="M35" s="24" t="s">
        <v>780</v>
      </c>
      <c r="N35" s="23" t="s">
        <v>840</v>
      </c>
      <c r="O35" s="25"/>
      <c r="P35" s="26" t="s">
        <v>458</v>
      </c>
      <c r="Q35" s="122" t="s">
        <v>841</v>
      </c>
      <c r="R35" s="123" t="s">
        <v>831</v>
      </c>
      <c r="S35" s="123" t="s">
        <v>842</v>
      </c>
      <c r="T35" s="99"/>
      <c r="U35" s="95" t="s">
        <v>767</v>
      </c>
      <c r="V35" s="95" t="s">
        <v>768</v>
      </c>
    </row>
    <row r="36" spans="1:22" ht="39.6" customHeight="1">
      <c r="A36" s="96"/>
      <c r="B36" s="124"/>
      <c r="C36" s="101"/>
      <c r="D36" s="277" t="s">
        <v>459</v>
      </c>
      <c r="E36" s="240" t="s">
        <v>36</v>
      </c>
      <c r="F36" s="117" t="s">
        <v>30</v>
      </c>
      <c r="G36" s="114" t="s">
        <v>31</v>
      </c>
      <c r="H36" s="113" t="s">
        <v>435</v>
      </c>
      <c r="I36" s="113" t="s">
        <v>456</v>
      </c>
      <c r="J36" s="23" t="str">
        <f>G36</f>
        <v>Fomentar acords de custòdia en espais d'alt valor dins l'ENP per a la gestió dels elements prioritaris</v>
      </c>
      <c r="K36" s="22"/>
      <c r="L36" s="23" t="s">
        <v>763</v>
      </c>
      <c r="M36" s="24" t="s">
        <v>764</v>
      </c>
      <c r="N36" s="23" t="s">
        <v>843</v>
      </c>
      <c r="O36" s="25" t="s">
        <v>448</v>
      </c>
      <c r="P36" s="26" t="s">
        <v>460</v>
      </c>
      <c r="Q36" s="35" t="s">
        <v>844</v>
      </c>
      <c r="R36" s="125">
        <v>1</v>
      </c>
      <c r="S36" s="125">
        <v>2</v>
      </c>
      <c r="T36" s="95"/>
      <c r="U36" s="95" t="s">
        <v>845</v>
      </c>
      <c r="V36" s="95" t="s">
        <v>775</v>
      </c>
    </row>
    <row r="37" spans="1:22" ht="30">
      <c r="A37" s="96"/>
      <c r="B37" s="124"/>
      <c r="C37" s="101"/>
      <c r="D37" s="277"/>
      <c r="E37" s="259"/>
      <c r="F37" s="117" t="s">
        <v>32</v>
      </c>
      <c r="G37" s="114" t="s">
        <v>33</v>
      </c>
      <c r="H37" s="113" t="s">
        <v>435</v>
      </c>
      <c r="I37" s="113" t="s">
        <v>456</v>
      </c>
      <c r="J37" s="23" t="str">
        <f>G37</f>
        <v>Fomentar bones pràctiques entre els col·lectius de propietaris i gestors del territori</v>
      </c>
      <c r="K37" s="22"/>
      <c r="L37" s="23" t="s">
        <v>763</v>
      </c>
      <c r="M37" s="24" t="s">
        <v>776</v>
      </c>
      <c r="N37" s="23" t="s">
        <v>846</v>
      </c>
      <c r="O37" s="25"/>
      <c r="P37" s="26"/>
      <c r="Q37" s="112" t="s">
        <v>847</v>
      </c>
      <c r="R37" s="102">
        <v>1</v>
      </c>
      <c r="S37" s="102">
        <v>6</v>
      </c>
      <c r="T37" s="95"/>
      <c r="U37" s="95" t="s">
        <v>845</v>
      </c>
      <c r="V37" s="95" t="s">
        <v>775</v>
      </c>
    </row>
    <row r="38" spans="1:22" ht="54.6" customHeight="1">
      <c r="A38" s="96"/>
      <c r="B38" s="124"/>
      <c r="C38" s="101"/>
      <c r="D38" s="277"/>
      <c r="E38" s="260"/>
      <c r="F38" s="117" t="s">
        <v>34</v>
      </c>
      <c r="G38" s="114" t="s">
        <v>848</v>
      </c>
      <c r="H38" s="113" t="s">
        <v>437</v>
      </c>
      <c r="I38" s="113" t="s">
        <v>456</v>
      </c>
      <c r="J38" s="23" t="s">
        <v>848</v>
      </c>
      <c r="K38" s="22"/>
      <c r="L38" s="23" t="s">
        <v>763</v>
      </c>
      <c r="M38" s="24" t="s">
        <v>764</v>
      </c>
      <c r="N38" s="23" t="s">
        <v>849</v>
      </c>
      <c r="O38" s="35" t="s">
        <v>850</v>
      </c>
      <c r="P38" s="34">
        <v>3</v>
      </c>
      <c r="Q38" s="35" t="s">
        <v>851</v>
      </c>
      <c r="R38" s="102">
        <v>3</v>
      </c>
      <c r="S38" s="102">
        <v>6</v>
      </c>
      <c r="T38" s="95"/>
      <c r="U38" s="95" t="s">
        <v>845</v>
      </c>
      <c r="V38" s="95" t="s">
        <v>775</v>
      </c>
    </row>
    <row r="39" spans="1:22" ht="62.45" customHeight="1">
      <c r="A39" s="96"/>
      <c r="B39" s="126">
        <v>2</v>
      </c>
      <c r="C39" s="127" t="s">
        <v>35</v>
      </c>
      <c r="D39" s="236" t="s">
        <v>461</v>
      </c>
      <c r="E39" s="240" t="s">
        <v>29</v>
      </c>
      <c r="F39" s="243" t="s">
        <v>37</v>
      </c>
      <c r="G39" s="246" t="s">
        <v>38</v>
      </c>
      <c r="H39" s="249" t="s">
        <v>435</v>
      </c>
      <c r="I39" s="249" t="s">
        <v>447</v>
      </c>
      <c r="J39" s="252" t="str">
        <f>G39</f>
        <v>Adaptar i implementar el Pla d'adaptació de l'ENP al canvi climàtic</v>
      </c>
      <c r="K39" s="253"/>
      <c r="L39" s="270" t="s">
        <v>763</v>
      </c>
      <c r="M39" s="24" t="s">
        <v>776</v>
      </c>
      <c r="N39" s="23" t="s">
        <v>852</v>
      </c>
      <c r="O39" s="25"/>
      <c r="P39" s="26" t="s">
        <v>462</v>
      </c>
      <c r="Q39" s="112" t="s">
        <v>853</v>
      </c>
      <c r="R39" s="102">
        <v>3</v>
      </c>
      <c r="S39" s="102">
        <v>6</v>
      </c>
      <c r="T39" s="95"/>
      <c r="U39" s="95" t="s">
        <v>845</v>
      </c>
      <c r="V39" s="95" t="s">
        <v>775</v>
      </c>
    </row>
    <row r="40" spans="1:22" ht="45">
      <c r="A40" s="96"/>
      <c r="B40" s="124"/>
      <c r="C40" s="101"/>
      <c r="D40" s="238"/>
      <c r="E40" s="259"/>
      <c r="F40" s="273"/>
      <c r="G40" s="266"/>
      <c r="H40" s="265"/>
      <c r="I40" s="265"/>
      <c r="J40" s="267"/>
      <c r="K40" s="269"/>
      <c r="L40" s="272"/>
      <c r="M40" s="24" t="s">
        <v>776</v>
      </c>
      <c r="N40" s="23" t="s">
        <v>854</v>
      </c>
      <c r="O40" s="25"/>
      <c r="P40" s="26"/>
      <c r="Q40" s="112" t="s">
        <v>855</v>
      </c>
      <c r="R40" s="102">
        <v>15</v>
      </c>
      <c r="S40" s="102">
        <v>40</v>
      </c>
      <c r="T40" s="95"/>
      <c r="U40" s="95" t="s">
        <v>856</v>
      </c>
      <c r="V40" s="95" t="s">
        <v>857</v>
      </c>
    </row>
    <row r="41" spans="1:22" ht="30">
      <c r="A41" s="96"/>
      <c r="B41" s="124"/>
      <c r="C41" s="101"/>
      <c r="D41" s="238"/>
      <c r="E41" s="259"/>
      <c r="F41" s="117" t="s">
        <v>39</v>
      </c>
      <c r="G41" s="114" t="s">
        <v>40</v>
      </c>
      <c r="H41" s="113" t="s">
        <v>435</v>
      </c>
      <c r="I41" s="113" t="s">
        <v>436</v>
      </c>
      <c r="J41" s="23" t="str">
        <f>G41</f>
        <v>Gestionar i planificar els recursos hídrics de l'ENP</v>
      </c>
      <c r="K41" s="22"/>
      <c r="L41" s="23" t="s">
        <v>763</v>
      </c>
      <c r="M41" s="24" t="s">
        <v>776</v>
      </c>
      <c r="N41" s="23" t="s">
        <v>858</v>
      </c>
      <c r="O41" s="25"/>
      <c r="P41" s="26"/>
      <c r="Q41" s="112" t="s">
        <v>859</v>
      </c>
      <c r="R41" s="102" t="s">
        <v>805</v>
      </c>
      <c r="S41" s="102" t="s">
        <v>806</v>
      </c>
      <c r="T41" s="95"/>
      <c r="U41" s="95" t="s">
        <v>767</v>
      </c>
      <c r="V41" s="95" t="s">
        <v>787</v>
      </c>
    </row>
    <row r="42" spans="1:22" ht="48.6" customHeight="1">
      <c r="A42" s="96"/>
      <c r="B42" s="124"/>
      <c r="C42" s="101"/>
      <c r="D42" s="238"/>
      <c r="E42" s="259"/>
      <c r="F42" s="243" t="s">
        <v>41</v>
      </c>
      <c r="G42" s="246" t="s">
        <v>42</v>
      </c>
      <c r="H42" s="249" t="s">
        <v>437</v>
      </c>
      <c r="I42" s="249" t="s">
        <v>456</v>
      </c>
      <c r="J42" s="252" t="str">
        <f>G42</f>
        <v>Participar en la redacció i execució dels instruments d'ordenació forestal sostenible i per la conservació en finques públiques</v>
      </c>
      <c r="K42" s="253"/>
      <c r="L42" s="270" t="s">
        <v>763</v>
      </c>
      <c r="M42" s="24" t="s">
        <v>764</v>
      </c>
      <c r="N42" s="23" t="s">
        <v>860</v>
      </c>
      <c r="O42" s="25"/>
      <c r="P42" s="26" t="s">
        <v>463</v>
      </c>
      <c r="Q42" s="112" t="s">
        <v>861</v>
      </c>
      <c r="R42" s="102">
        <v>1</v>
      </c>
      <c r="S42" s="119" t="s">
        <v>862</v>
      </c>
      <c r="T42" s="95"/>
      <c r="U42" s="95" t="s">
        <v>767</v>
      </c>
      <c r="V42" s="95" t="s">
        <v>768</v>
      </c>
    </row>
    <row r="43" spans="1:22" ht="45">
      <c r="A43" s="96"/>
      <c r="B43" s="124"/>
      <c r="C43" s="101"/>
      <c r="D43" s="238"/>
      <c r="E43" s="259"/>
      <c r="F43" s="261"/>
      <c r="G43" s="262"/>
      <c r="H43" s="263"/>
      <c r="I43" s="263"/>
      <c r="J43" s="264"/>
      <c r="K43" s="268"/>
      <c r="L43" s="271"/>
      <c r="M43" s="24" t="s">
        <v>780</v>
      </c>
      <c r="N43" s="23" t="s">
        <v>863</v>
      </c>
      <c r="O43" s="25"/>
      <c r="P43" s="26"/>
      <c r="Q43" s="112" t="s">
        <v>864</v>
      </c>
      <c r="R43" s="102">
        <v>5</v>
      </c>
      <c r="S43" s="102">
        <v>20</v>
      </c>
      <c r="T43" s="95"/>
      <c r="U43" s="95" t="s">
        <v>865</v>
      </c>
      <c r="V43" s="95" t="s">
        <v>775</v>
      </c>
    </row>
    <row r="44" spans="1:22" ht="44.25" customHeight="1">
      <c r="A44" s="96"/>
      <c r="B44" s="124"/>
      <c r="C44" s="101"/>
      <c r="D44" s="238"/>
      <c r="E44" s="259"/>
      <c r="F44" s="261"/>
      <c r="G44" s="262"/>
      <c r="H44" s="263"/>
      <c r="I44" s="263"/>
      <c r="J44" s="264"/>
      <c r="K44" s="268"/>
      <c r="L44" s="271"/>
      <c r="M44" s="24" t="s">
        <v>776</v>
      </c>
      <c r="N44" s="23" t="s">
        <v>866</v>
      </c>
      <c r="O44" s="25"/>
      <c r="P44" s="26"/>
      <c r="Q44" s="112" t="s">
        <v>867</v>
      </c>
      <c r="R44" s="102">
        <v>20</v>
      </c>
      <c r="S44" s="102">
        <v>200</v>
      </c>
      <c r="T44" s="95"/>
      <c r="U44" s="95" t="s">
        <v>767</v>
      </c>
      <c r="V44" s="95" t="s">
        <v>768</v>
      </c>
    </row>
    <row r="45" spans="1:22" ht="44.25" customHeight="1" thickBot="1">
      <c r="A45" s="96"/>
      <c r="B45" s="124"/>
      <c r="C45" s="101"/>
      <c r="D45" s="238"/>
      <c r="E45" s="259"/>
      <c r="F45" s="261"/>
      <c r="G45" s="262"/>
      <c r="H45" s="263"/>
      <c r="I45" s="263"/>
      <c r="J45" s="264"/>
      <c r="K45" s="268"/>
      <c r="L45" s="271"/>
      <c r="M45" s="24" t="s">
        <v>776</v>
      </c>
      <c r="N45" s="23" t="s">
        <v>868</v>
      </c>
      <c r="O45" s="25"/>
      <c r="P45" s="26"/>
      <c r="Q45" s="112" t="s">
        <v>869</v>
      </c>
      <c r="R45" s="102">
        <v>2</v>
      </c>
      <c r="S45" s="102">
        <v>10</v>
      </c>
      <c r="T45" s="95"/>
      <c r="U45" s="95" t="s">
        <v>767</v>
      </c>
      <c r="V45" s="95" t="s">
        <v>768</v>
      </c>
    </row>
    <row r="46" spans="1:22" ht="67.900000000000006" customHeight="1" thickBot="1">
      <c r="A46" s="96"/>
      <c r="B46" s="124"/>
      <c r="C46" s="101"/>
      <c r="D46" s="238"/>
      <c r="E46" s="259"/>
      <c r="F46" s="273"/>
      <c r="G46" s="266"/>
      <c r="H46" s="265"/>
      <c r="I46" s="265"/>
      <c r="J46" s="267"/>
      <c r="K46" s="269"/>
      <c r="L46" s="272"/>
      <c r="M46" s="24" t="s">
        <v>776</v>
      </c>
      <c r="N46" s="23" t="s">
        <v>870</v>
      </c>
      <c r="O46" s="25" t="s">
        <v>871</v>
      </c>
      <c r="P46" s="26"/>
      <c r="Q46" s="112" t="s">
        <v>871</v>
      </c>
      <c r="R46" s="128">
        <v>10</v>
      </c>
      <c r="S46" s="129" t="s">
        <v>872</v>
      </c>
      <c r="T46" s="95"/>
      <c r="U46" s="95" t="s">
        <v>774</v>
      </c>
      <c r="V46" s="95" t="s">
        <v>775</v>
      </c>
    </row>
    <row r="47" spans="1:22" ht="42" customHeight="1">
      <c r="A47" s="96"/>
      <c r="B47" s="124"/>
      <c r="C47" s="101"/>
      <c r="D47" s="238"/>
      <c r="E47" s="259"/>
      <c r="F47" s="243" t="s">
        <v>43</v>
      </c>
      <c r="G47" s="246" t="s">
        <v>44</v>
      </c>
      <c r="H47" s="249" t="s">
        <v>437</v>
      </c>
      <c r="I47" s="249" t="s">
        <v>438</v>
      </c>
      <c r="J47" s="252" t="str">
        <f>G47</f>
        <v>Promoure la redacció d'instruments d'ordenació forestal per reduir la sensibilitat i vulnerabilitat dels boscos al canvi climàtic en finques privades</v>
      </c>
      <c r="K47" s="253"/>
      <c r="L47" s="270" t="s">
        <v>790</v>
      </c>
      <c r="M47" s="24" t="s">
        <v>776</v>
      </c>
      <c r="N47" s="23" t="s">
        <v>873</v>
      </c>
      <c r="O47" s="25"/>
      <c r="P47" s="26"/>
      <c r="Q47" s="112" t="s">
        <v>861</v>
      </c>
      <c r="R47" s="102">
        <v>1</v>
      </c>
      <c r="S47" s="119" t="s">
        <v>862</v>
      </c>
      <c r="T47" s="95"/>
      <c r="U47" s="95" t="s">
        <v>767</v>
      </c>
      <c r="V47" s="95" t="s">
        <v>768</v>
      </c>
    </row>
    <row r="48" spans="1:22" ht="45">
      <c r="A48" s="96"/>
      <c r="B48" s="124"/>
      <c r="C48" s="101"/>
      <c r="D48" s="239"/>
      <c r="E48" s="260"/>
      <c r="F48" s="273"/>
      <c r="G48" s="266"/>
      <c r="H48" s="265"/>
      <c r="I48" s="265"/>
      <c r="J48" s="267"/>
      <c r="K48" s="269"/>
      <c r="L48" s="272"/>
      <c r="M48" s="24" t="s">
        <v>776</v>
      </c>
      <c r="N48" s="23" t="s">
        <v>874</v>
      </c>
      <c r="O48" s="25"/>
      <c r="P48" s="26"/>
      <c r="Q48" s="112" t="s">
        <v>869</v>
      </c>
      <c r="R48" s="102">
        <v>1</v>
      </c>
      <c r="S48" s="119">
        <v>5</v>
      </c>
      <c r="T48" s="95"/>
      <c r="U48" s="95" t="s">
        <v>767</v>
      </c>
      <c r="V48" s="95" t="s">
        <v>768</v>
      </c>
    </row>
    <row r="49" spans="1:22" ht="49.5" customHeight="1">
      <c r="A49" s="96"/>
      <c r="B49" s="124"/>
      <c r="C49" s="101"/>
      <c r="D49" s="284" t="s">
        <v>464</v>
      </c>
      <c r="E49" s="240" t="s">
        <v>45</v>
      </c>
      <c r="F49" s="243" t="s">
        <v>46</v>
      </c>
      <c r="G49" s="246" t="s">
        <v>47</v>
      </c>
      <c r="H49" s="249" t="s">
        <v>435</v>
      </c>
      <c r="I49" s="249" t="s">
        <v>447</v>
      </c>
      <c r="J49" s="252" t="str">
        <f>G49</f>
        <v xml:space="preserve">Redactar i implementar el Pla de Prevenció d'Incendis </v>
      </c>
      <c r="K49" s="253"/>
      <c r="L49" s="270" t="s">
        <v>763</v>
      </c>
      <c r="M49" s="24" t="s">
        <v>776</v>
      </c>
      <c r="N49" s="23" t="s">
        <v>875</v>
      </c>
      <c r="O49" s="25" t="s">
        <v>451</v>
      </c>
      <c r="P49" s="26" t="s">
        <v>465</v>
      </c>
      <c r="Q49" s="112" t="s">
        <v>818</v>
      </c>
      <c r="R49" s="102" t="s">
        <v>819</v>
      </c>
      <c r="S49" s="32" t="s">
        <v>876</v>
      </c>
      <c r="T49" s="95"/>
      <c r="U49" s="95" t="s">
        <v>774</v>
      </c>
      <c r="V49" s="95" t="s">
        <v>775</v>
      </c>
    </row>
    <row r="50" spans="1:22" ht="49.5" customHeight="1">
      <c r="A50" s="96"/>
      <c r="B50" s="124"/>
      <c r="C50" s="101"/>
      <c r="D50" s="285"/>
      <c r="E50" s="259"/>
      <c r="F50" s="273"/>
      <c r="G50" s="266"/>
      <c r="H50" s="265"/>
      <c r="I50" s="265"/>
      <c r="J50" s="267"/>
      <c r="K50" s="269"/>
      <c r="L50" s="272"/>
      <c r="M50" s="24" t="s">
        <v>780</v>
      </c>
      <c r="N50" s="23" t="s">
        <v>877</v>
      </c>
      <c r="O50" s="25"/>
      <c r="P50" s="26"/>
      <c r="Q50" s="23" t="s">
        <v>878</v>
      </c>
      <c r="R50" s="102">
        <v>3</v>
      </c>
      <c r="S50" s="102">
        <v>8</v>
      </c>
      <c r="T50" s="95"/>
      <c r="U50" s="95" t="s">
        <v>770</v>
      </c>
      <c r="V50" s="95" t="s">
        <v>771</v>
      </c>
    </row>
    <row r="51" spans="1:22" ht="46.9" customHeight="1">
      <c r="A51" s="96"/>
      <c r="B51" s="97"/>
      <c r="C51" s="101"/>
      <c r="D51" s="285"/>
      <c r="E51" s="259"/>
      <c r="F51" s="243" t="s">
        <v>48</v>
      </c>
      <c r="G51" s="246" t="s">
        <v>49</v>
      </c>
      <c r="H51" s="249" t="s">
        <v>437</v>
      </c>
      <c r="I51" s="249" t="s">
        <v>456</v>
      </c>
      <c r="J51" s="252" t="str">
        <f>G51</f>
        <v>Definir i planificar la gestió del foc per a la millora de l'ENP</v>
      </c>
      <c r="K51" s="253"/>
      <c r="L51" s="270" t="s">
        <v>763</v>
      </c>
      <c r="M51" s="24" t="s">
        <v>776</v>
      </c>
      <c r="N51" s="23" t="s">
        <v>879</v>
      </c>
      <c r="O51" s="25"/>
      <c r="P51" s="26" t="s">
        <v>466</v>
      </c>
      <c r="Q51" s="112" t="s">
        <v>818</v>
      </c>
      <c r="R51" s="102" t="s">
        <v>819</v>
      </c>
      <c r="S51" s="32" t="s">
        <v>820</v>
      </c>
      <c r="T51" s="95"/>
      <c r="U51" s="95" t="s">
        <v>774</v>
      </c>
      <c r="V51" s="95" t="s">
        <v>775</v>
      </c>
    </row>
    <row r="52" spans="1:22" ht="36" customHeight="1">
      <c r="A52" s="96"/>
      <c r="B52" s="97"/>
      <c r="C52" s="101"/>
      <c r="D52" s="285"/>
      <c r="E52" s="259"/>
      <c r="F52" s="273"/>
      <c r="G52" s="266"/>
      <c r="H52" s="265"/>
      <c r="I52" s="265"/>
      <c r="J52" s="267"/>
      <c r="K52" s="269"/>
      <c r="L52" s="272"/>
      <c r="M52" s="24" t="s">
        <v>776</v>
      </c>
      <c r="N52" s="23" t="s">
        <v>821</v>
      </c>
      <c r="O52" s="25"/>
      <c r="P52" s="26"/>
      <c r="Q52" s="112" t="s">
        <v>880</v>
      </c>
      <c r="R52" s="102">
        <v>1</v>
      </c>
      <c r="S52" s="102">
        <v>4</v>
      </c>
      <c r="T52" s="95"/>
      <c r="U52" s="95" t="s">
        <v>767</v>
      </c>
      <c r="V52" s="95" t="s">
        <v>787</v>
      </c>
    </row>
    <row r="53" spans="1:22" ht="40.5" customHeight="1">
      <c r="A53" s="96"/>
      <c r="B53" s="97"/>
      <c r="C53" s="101"/>
      <c r="D53" s="286"/>
      <c r="E53" s="260"/>
      <c r="F53" s="117" t="s">
        <v>50</v>
      </c>
      <c r="G53" s="114" t="s">
        <v>51</v>
      </c>
      <c r="H53" s="113" t="s">
        <v>435</v>
      </c>
      <c r="I53" s="113" t="s">
        <v>447</v>
      </c>
      <c r="J53" s="23" t="str">
        <f t="shared" ref="J53:J58" si="0">G53</f>
        <v>Treballar per a la prevenció d'incendis juntament amb els propietaris, ajuntaments, protecció civil, ADF i bombers.</v>
      </c>
      <c r="K53" s="22"/>
      <c r="L53" s="23" t="s">
        <v>763</v>
      </c>
      <c r="M53" s="24" t="s">
        <v>780</v>
      </c>
      <c r="N53" s="23" t="s">
        <v>881</v>
      </c>
      <c r="O53" s="25"/>
      <c r="P53" s="26"/>
      <c r="Q53" s="23" t="s">
        <v>878</v>
      </c>
      <c r="R53" s="102">
        <v>2</v>
      </c>
      <c r="S53" s="102">
        <v>10</v>
      </c>
      <c r="T53" s="95"/>
      <c r="U53" s="95" t="s">
        <v>770</v>
      </c>
      <c r="V53" s="95" t="s">
        <v>771</v>
      </c>
    </row>
    <row r="54" spans="1:22" ht="87" customHeight="1">
      <c r="A54" s="96"/>
      <c r="B54" s="87">
        <v>3</v>
      </c>
      <c r="C54" s="127" t="s">
        <v>52</v>
      </c>
      <c r="D54" s="287" t="s">
        <v>467</v>
      </c>
      <c r="E54" s="240" t="s">
        <v>53</v>
      </c>
      <c r="F54" s="117" t="s">
        <v>54</v>
      </c>
      <c r="G54" s="114" t="s">
        <v>55</v>
      </c>
      <c r="H54" s="113" t="s">
        <v>435</v>
      </c>
      <c r="I54" s="113" t="s">
        <v>436</v>
      </c>
      <c r="J54" s="23" t="str">
        <f t="shared" si="0"/>
        <v>Participar en les consultes dels procesos d'Avaluació Ambiental que afectin directament o indirectament l’espai del ENP</v>
      </c>
      <c r="K54" s="22"/>
      <c r="L54" s="27" t="s">
        <v>790</v>
      </c>
      <c r="M54" s="24" t="s">
        <v>780</v>
      </c>
      <c r="N54" s="23" t="s">
        <v>882</v>
      </c>
      <c r="O54" s="35" t="s">
        <v>883</v>
      </c>
      <c r="P54" s="34">
        <v>50</v>
      </c>
      <c r="Q54" s="35" t="s">
        <v>884</v>
      </c>
      <c r="R54" s="102">
        <v>15</v>
      </c>
      <c r="S54" s="102">
        <v>40</v>
      </c>
      <c r="T54" s="95"/>
      <c r="U54" s="95" t="s">
        <v>767</v>
      </c>
      <c r="V54" s="95" t="s">
        <v>768</v>
      </c>
    </row>
    <row r="55" spans="1:22" ht="60">
      <c r="A55" s="96"/>
      <c r="B55" s="97"/>
      <c r="C55" s="101"/>
      <c r="D55" s="288"/>
      <c r="E55" s="259"/>
      <c r="F55" s="117" t="s">
        <v>56</v>
      </c>
      <c r="G55" s="114" t="s">
        <v>57</v>
      </c>
      <c r="H55" s="113" t="s">
        <v>435</v>
      </c>
      <c r="I55" s="113" t="s">
        <v>436</v>
      </c>
      <c r="J55" s="23" t="str">
        <f t="shared" si="0"/>
        <v>Exercir un seguiment efectiu de les obres al Parc juntament amb les Oficines Territorials d'Acció i Avaluació Ambiental als efectes d'assegurar la correcta translació de la tutela administrativa.</v>
      </c>
      <c r="K55" s="22"/>
      <c r="L55" s="23" t="s">
        <v>763</v>
      </c>
      <c r="M55" s="24" t="s">
        <v>780</v>
      </c>
      <c r="N55" s="23" t="s">
        <v>885</v>
      </c>
      <c r="O55" s="25"/>
      <c r="P55" s="26"/>
      <c r="Q55" s="112" t="s">
        <v>886</v>
      </c>
      <c r="R55" s="32" t="s">
        <v>887</v>
      </c>
      <c r="S55" s="32" t="s">
        <v>888</v>
      </c>
      <c r="T55" s="95"/>
      <c r="U55" s="95" t="s">
        <v>767</v>
      </c>
      <c r="V55" s="95" t="s">
        <v>833</v>
      </c>
    </row>
    <row r="56" spans="1:22" ht="60">
      <c r="A56" s="96"/>
      <c r="B56" s="97"/>
      <c r="C56" s="101"/>
      <c r="D56" s="289"/>
      <c r="E56" s="260"/>
      <c r="F56" s="117" t="s">
        <v>58</v>
      </c>
      <c r="G56" s="114" t="s">
        <v>59</v>
      </c>
      <c r="H56" s="113" t="s">
        <v>435</v>
      </c>
      <c r="I56" s="113" t="s">
        <v>456</v>
      </c>
      <c r="J56" s="23" t="str">
        <f t="shared" si="0"/>
        <v>Participar en la compensació d'impactes residuals durant els processos d'avaluació ambiental mitjançant la identificació de necessitats d'actuació prioritària dins i fora dels límits de l’ENP</v>
      </c>
      <c r="K56" s="22"/>
      <c r="L56" s="23" t="s">
        <v>790</v>
      </c>
      <c r="M56" s="24" t="s">
        <v>780</v>
      </c>
      <c r="N56" s="23" t="s">
        <v>889</v>
      </c>
      <c r="O56" s="25"/>
      <c r="P56" s="26"/>
      <c r="Q56" s="112" t="s">
        <v>890</v>
      </c>
      <c r="R56" s="102">
        <v>0</v>
      </c>
      <c r="S56" s="102">
        <v>4</v>
      </c>
      <c r="T56" s="95"/>
      <c r="U56" s="95" t="s">
        <v>767</v>
      </c>
      <c r="V56" s="95" t="s">
        <v>768</v>
      </c>
    </row>
    <row r="57" spans="1:22" ht="67.900000000000006" customHeight="1">
      <c r="A57" s="96"/>
      <c r="B57" s="97"/>
      <c r="C57" s="101"/>
      <c r="D57" s="130" t="s">
        <v>468</v>
      </c>
      <c r="E57" s="131" t="s">
        <v>60</v>
      </c>
      <c r="F57" s="117" t="s">
        <v>61</v>
      </c>
      <c r="G57" s="114" t="s">
        <v>62</v>
      </c>
      <c r="H57" s="113" t="s">
        <v>435</v>
      </c>
      <c r="I57" s="117" t="s">
        <v>436</v>
      </c>
      <c r="J57" s="23" t="str">
        <f t="shared" si="0"/>
        <v>Participar en l'elaboració dels instruments de planificació de l'ENP</v>
      </c>
      <c r="K57" s="30"/>
      <c r="L57" s="23" t="s">
        <v>763</v>
      </c>
      <c r="M57" s="24" t="s">
        <v>764</v>
      </c>
      <c r="N57" s="23" t="s">
        <v>891</v>
      </c>
      <c r="O57" s="25"/>
      <c r="P57" s="26" t="s">
        <v>469</v>
      </c>
      <c r="Q57" s="132" t="s">
        <v>892</v>
      </c>
      <c r="R57" s="133" t="s">
        <v>805</v>
      </c>
      <c r="S57" s="133" t="s">
        <v>806</v>
      </c>
      <c r="T57" s="100"/>
      <c r="U57" s="95" t="s">
        <v>774</v>
      </c>
      <c r="V57" s="95" t="s">
        <v>775</v>
      </c>
    </row>
    <row r="58" spans="1:22" ht="22.15" customHeight="1">
      <c r="A58" s="96"/>
      <c r="B58" s="97"/>
      <c r="C58" s="101"/>
      <c r="D58" s="287" t="s">
        <v>470</v>
      </c>
      <c r="E58" s="240" t="s">
        <v>63</v>
      </c>
      <c r="F58" s="243" t="s">
        <v>64</v>
      </c>
      <c r="G58" s="246" t="s">
        <v>65</v>
      </c>
      <c r="H58" s="249" t="s">
        <v>437</v>
      </c>
      <c r="I58" s="249" t="s">
        <v>438</v>
      </c>
      <c r="J58" s="252" t="str">
        <f t="shared" si="0"/>
        <v>Vetllar pel manteniment del cabal ecològic dels rius definit al Pla sectorial corresponent</v>
      </c>
      <c r="K58" s="253"/>
      <c r="L58" s="270" t="s">
        <v>763</v>
      </c>
      <c r="M58" s="24" t="s">
        <v>776</v>
      </c>
      <c r="N58" s="23" t="s">
        <v>893</v>
      </c>
      <c r="O58" s="25" t="s">
        <v>451</v>
      </c>
      <c r="P58" s="26" t="s">
        <v>471</v>
      </c>
      <c r="Q58" s="23" t="s">
        <v>894</v>
      </c>
      <c r="R58" s="102">
        <v>5</v>
      </c>
      <c r="S58" s="102">
        <v>10</v>
      </c>
      <c r="T58" s="95"/>
      <c r="U58" s="95" t="s">
        <v>767</v>
      </c>
      <c r="V58" s="95" t="s">
        <v>787</v>
      </c>
    </row>
    <row r="59" spans="1:22" ht="54.75" customHeight="1">
      <c r="A59" s="96"/>
      <c r="B59" s="97"/>
      <c r="C59" s="101"/>
      <c r="D59" s="288"/>
      <c r="E59" s="259"/>
      <c r="F59" s="261"/>
      <c r="G59" s="262"/>
      <c r="H59" s="263"/>
      <c r="I59" s="263"/>
      <c r="J59" s="264"/>
      <c r="K59" s="268"/>
      <c r="L59" s="271"/>
      <c r="M59" s="24" t="s">
        <v>780</v>
      </c>
      <c r="N59" s="23" t="s">
        <v>895</v>
      </c>
      <c r="O59" s="25"/>
      <c r="P59" s="26"/>
      <c r="Q59" s="23" t="s">
        <v>896</v>
      </c>
      <c r="R59" s="102">
        <v>0</v>
      </c>
      <c r="S59" s="32" t="s">
        <v>897</v>
      </c>
      <c r="T59" s="95"/>
      <c r="U59" s="95" t="s">
        <v>845</v>
      </c>
      <c r="V59" s="95" t="s">
        <v>775</v>
      </c>
    </row>
    <row r="60" spans="1:22" ht="38.25" customHeight="1">
      <c r="A60" s="96"/>
      <c r="B60" s="97"/>
      <c r="C60" s="101"/>
      <c r="D60" s="288"/>
      <c r="E60" s="259"/>
      <c r="F60" s="261"/>
      <c r="G60" s="262"/>
      <c r="H60" s="263"/>
      <c r="I60" s="263"/>
      <c r="J60" s="264"/>
      <c r="K60" s="268"/>
      <c r="L60" s="271"/>
      <c r="M60" s="24" t="s">
        <v>776</v>
      </c>
      <c r="N60" s="23" t="s">
        <v>898</v>
      </c>
      <c r="O60" s="25"/>
      <c r="P60" s="26"/>
      <c r="Q60" s="112" t="s">
        <v>899</v>
      </c>
      <c r="R60" s="102">
        <v>0</v>
      </c>
      <c r="S60" s="102">
        <v>1</v>
      </c>
      <c r="T60" s="95"/>
      <c r="U60" s="95" t="s">
        <v>767</v>
      </c>
      <c r="V60" s="95" t="s">
        <v>768</v>
      </c>
    </row>
    <row r="61" spans="1:22" ht="30">
      <c r="A61" s="96"/>
      <c r="B61" s="97"/>
      <c r="C61" s="101"/>
      <c r="D61" s="288"/>
      <c r="E61" s="259"/>
      <c r="F61" s="273"/>
      <c r="G61" s="266"/>
      <c r="H61" s="265"/>
      <c r="I61" s="265"/>
      <c r="J61" s="267"/>
      <c r="K61" s="269"/>
      <c r="L61" s="272"/>
      <c r="M61" s="24" t="s">
        <v>780</v>
      </c>
      <c r="N61" s="23" t="s">
        <v>900</v>
      </c>
      <c r="O61" s="25"/>
      <c r="P61" s="26"/>
      <c r="Q61" s="112" t="s">
        <v>901</v>
      </c>
      <c r="R61" s="102">
        <v>0</v>
      </c>
      <c r="S61" s="32" t="s">
        <v>902</v>
      </c>
      <c r="T61" s="95"/>
      <c r="U61" s="95" t="s">
        <v>767</v>
      </c>
      <c r="V61" s="95" t="s">
        <v>768</v>
      </c>
    </row>
    <row r="62" spans="1:22" ht="45" customHeight="1">
      <c r="A62" s="96"/>
      <c r="B62" s="97"/>
      <c r="C62" s="101"/>
      <c r="D62" s="290"/>
      <c r="E62" s="259"/>
      <c r="F62" s="117" t="s">
        <v>66</v>
      </c>
      <c r="G62" s="114" t="s">
        <v>67</v>
      </c>
      <c r="H62" s="113" t="s">
        <v>437</v>
      </c>
      <c r="I62" s="113" t="s">
        <v>456</v>
      </c>
      <c r="J62" s="23" t="str">
        <f>G62</f>
        <v>Vetllar per la regulació dels dragatges, canalitzacions o implantació d'activitats extractives que puguin modificar la llera i el cabal dels rius</v>
      </c>
      <c r="K62" s="22"/>
      <c r="L62" s="23" t="s">
        <v>790</v>
      </c>
      <c r="M62" s="24" t="s">
        <v>776</v>
      </c>
      <c r="N62" s="23" t="s">
        <v>903</v>
      </c>
      <c r="O62" s="25"/>
      <c r="P62" s="26"/>
      <c r="Q62" s="112" t="s">
        <v>904</v>
      </c>
      <c r="R62" s="102">
        <v>0</v>
      </c>
      <c r="S62" s="32" t="s">
        <v>905</v>
      </c>
      <c r="T62" s="95"/>
      <c r="U62" s="95" t="s">
        <v>767</v>
      </c>
      <c r="V62" s="95" t="s">
        <v>768</v>
      </c>
    </row>
    <row r="63" spans="1:22" ht="39.75" customHeight="1">
      <c r="A63" s="96"/>
      <c r="B63" s="97"/>
      <c r="C63" s="101"/>
      <c r="D63" s="290"/>
      <c r="E63" s="259"/>
      <c r="F63" s="243" t="s">
        <v>68</v>
      </c>
      <c r="G63" s="246" t="s">
        <v>69</v>
      </c>
      <c r="H63" s="249" t="s">
        <v>437</v>
      </c>
      <c r="I63" s="249" t="s">
        <v>456</v>
      </c>
      <c r="J63" s="252" t="str">
        <f>G63</f>
        <v>Avaluar i controlar les actuacions que produeixin drenatges, captacions o que puguin impedir l’arribada d’aigua tant superficial com freàtica</v>
      </c>
      <c r="K63" s="253"/>
      <c r="L63" s="270" t="s">
        <v>790</v>
      </c>
      <c r="M63" s="24" t="s">
        <v>776</v>
      </c>
      <c r="N63" s="23" t="s">
        <v>906</v>
      </c>
      <c r="O63" s="25"/>
      <c r="P63" s="26"/>
      <c r="Q63" s="112" t="s">
        <v>907</v>
      </c>
      <c r="R63" s="102">
        <v>0</v>
      </c>
      <c r="S63" s="32" t="s">
        <v>905</v>
      </c>
      <c r="T63" s="95"/>
      <c r="U63" s="95" t="s">
        <v>767</v>
      </c>
      <c r="V63" s="95" t="s">
        <v>768</v>
      </c>
    </row>
    <row r="64" spans="1:22" ht="30">
      <c r="A64" s="96"/>
      <c r="B64" s="97"/>
      <c r="C64" s="101"/>
      <c r="D64" s="290"/>
      <c r="E64" s="259"/>
      <c r="F64" s="273"/>
      <c r="G64" s="266"/>
      <c r="H64" s="265"/>
      <c r="I64" s="265"/>
      <c r="J64" s="267"/>
      <c r="K64" s="269"/>
      <c r="L64" s="272"/>
      <c r="M64" s="24" t="s">
        <v>776</v>
      </c>
      <c r="N64" s="23" t="s">
        <v>908</v>
      </c>
      <c r="O64" s="25"/>
      <c r="P64" s="26"/>
      <c r="Q64" s="23" t="s">
        <v>896</v>
      </c>
      <c r="R64" s="102">
        <v>0</v>
      </c>
      <c r="S64" s="32" t="s">
        <v>897</v>
      </c>
      <c r="T64" s="95"/>
      <c r="U64" s="95" t="s">
        <v>845</v>
      </c>
      <c r="V64" s="95" t="s">
        <v>775</v>
      </c>
    </row>
    <row r="65" spans="1:22" ht="65.25" customHeight="1">
      <c r="A65" s="134"/>
      <c r="B65" s="97"/>
      <c r="C65" s="101"/>
      <c r="D65" s="291"/>
      <c r="E65" s="260"/>
      <c r="F65" s="117" t="s">
        <v>70</v>
      </c>
      <c r="G65" s="114" t="s">
        <v>71</v>
      </c>
      <c r="H65" s="113" t="s">
        <v>437</v>
      </c>
      <c r="I65" s="113" t="s">
        <v>456</v>
      </c>
      <c r="J65" s="23" t="str">
        <f>G65</f>
        <v>Vetllar pel compliment de la normativa de depuració dels efluents agroramaders, urbans i industrials que s'aboquen als cursos fluvials</v>
      </c>
      <c r="K65" s="22"/>
      <c r="L65" s="23" t="s">
        <v>790</v>
      </c>
      <c r="M65" s="24" t="s">
        <v>776</v>
      </c>
      <c r="N65" s="23" t="s">
        <v>908</v>
      </c>
      <c r="O65" s="25"/>
      <c r="P65" s="26"/>
      <c r="Q65" s="23" t="s">
        <v>896</v>
      </c>
      <c r="R65" s="102">
        <v>0</v>
      </c>
      <c r="S65" s="32" t="s">
        <v>897</v>
      </c>
      <c r="T65" s="95"/>
      <c r="U65" s="95" t="s">
        <v>845</v>
      </c>
      <c r="V65" s="95" t="s">
        <v>775</v>
      </c>
    </row>
    <row r="66" spans="1:22" ht="57.6" customHeight="1">
      <c r="A66" s="96"/>
      <c r="B66" s="97"/>
      <c r="C66" s="101"/>
      <c r="D66" s="236" t="s">
        <v>472</v>
      </c>
      <c r="E66" s="240" t="s">
        <v>72</v>
      </c>
      <c r="F66" s="117" t="s">
        <v>73</v>
      </c>
      <c r="G66" s="114" t="s">
        <v>74</v>
      </c>
      <c r="H66" s="113" t="s">
        <v>435</v>
      </c>
      <c r="I66" s="113" t="s">
        <v>456</v>
      </c>
      <c r="J66" s="23" t="str">
        <f>G66</f>
        <v xml:space="preserve">Identificar espais prioritaris per a la compra de terrenys de més valor dins l'ENP </v>
      </c>
      <c r="K66" s="22"/>
      <c r="L66" s="23" t="s">
        <v>763</v>
      </c>
      <c r="M66" s="24" t="s">
        <v>776</v>
      </c>
      <c r="N66" s="23" t="s">
        <v>909</v>
      </c>
      <c r="O66" s="25"/>
      <c r="P66" s="26" t="s">
        <v>473</v>
      </c>
      <c r="Q66" s="112" t="s">
        <v>910</v>
      </c>
      <c r="R66" s="102">
        <v>1</v>
      </c>
      <c r="S66" s="102">
        <v>5</v>
      </c>
      <c r="T66" s="95"/>
      <c r="U66" s="95" t="s">
        <v>845</v>
      </c>
      <c r="V66" s="95" t="s">
        <v>775</v>
      </c>
    </row>
    <row r="67" spans="1:22" ht="52.15" customHeight="1">
      <c r="A67" s="96"/>
      <c r="B67" s="97"/>
      <c r="C67" s="101"/>
      <c r="D67" s="237"/>
      <c r="E67" s="259"/>
      <c r="F67" s="243" t="s">
        <v>75</v>
      </c>
      <c r="G67" s="246" t="s">
        <v>76</v>
      </c>
      <c r="H67" s="249" t="s">
        <v>435</v>
      </c>
      <c r="I67" s="249" t="s">
        <v>438</v>
      </c>
      <c r="J67" s="292" t="str">
        <f>G67</f>
        <v>Identificar espais prioritaris per a la gestió directa</v>
      </c>
      <c r="K67" s="253"/>
      <c r="L67" s="270" t="s">
        <v>763</v>
      </c>
      <c r="M67" s="24" t="s">
        <v>776</v>
      </c>
      <c r="N67" s="23" t="s">
        <v>911</v>
      </c>
      <c r="O67" s="25"/>
      <c r="P67" s="26" t="s">
        <v>473</v>
      </c>
      <c r="Q67" s="112" t="s">
        <v>910</v>
      </c>
      <c r="R67" s="102">
        <v>5</v>
      </c>
      <c r="S67" s="102">
        <v>8</v>
      </c>
      <c r="T67" s="95"/>
      <c r="U67" s="95" t="s">
        <v>845</v>
      </c>
      <c r="V67" s="95" t="s">
        <v>775</v>
      </c>
    </row>
    <row r="68" spans="1:22" ht="30">
      <c r="A68" s="96"/>
      <c r="B68" s="97"/>
      <c r="C68" s="101"/>
      <c r="D68" s="239"/>
      <c r="E68" s="260"/>
      <c r="F68" s="273"/>
      <c r="G68" s="266"/>
      <c r="H68" s="265"/>
      <c r="I68" s="265"/>
      <c r="J68" s="293"/>
      <c r="K68" s="269"/>
      <c r="L68" s="272"/>
      <c r="M68" s="24" t="s">
        <v>776</v>
      </c>
      <c r="N68" s="23" t="s">
        <v>912</v>
      </c>
      <c r="O68" s="25"/>
      <c r="P68" s="26"/>
      <c r="Q68" s="23" t="s">
        <v>913</v>
      </c>
      <c r="R68" s="102">
        <v>1</v>
      </c>
      <c r="S68" s="102">
        <v>5</v>
      </c>
      <c r="T68" s="95"/>
      <c r="U68" s="95" t="s">
        <v>845</v>
      </c>
      <c r="V68" s="95" t="s">
        <v>775</v>
      </c>
    </row>
    <row r="69" spans="1:22" ht="43.15" customHeight="1">
      <c r="A69" s="135" t="s">
        <v>77</v>
      </c>
      <c r="B69" s="136">
        <v>4</v>
      </c>
      <c r="C69" s="137" t="s">
        <v>78</v>
      </c>
      <c r="D69" s="294" t="s">
        <v>474</v>
      </c>
      <c r="E69" s="297" t="s">
        <v>79</v>
      </c>
      <c r="F69" s="243" t="s">
        <v>80</v>
      </c>
      <c r="G69" s="246" t="s">
        <v>81</v>
      </c>
      <c r="H69" s="249" t="s">
        <v>435</v>
      </c>
      <c r="I69" s="249" t="s">
        <v>438</v>
      </c>
      <c r="J69" s="252" t="str">
        <f>G69</f>
        <v>Elaborar l'inventari i cartografia de patrimoni cultural de l'ENP, que també inclogui el patrimoni etnològic i immaterial</v>
      </c>
      <c r="K69" s="253"/>
      <c r="L69" s="270" t="s">
        <v>763</v>
      </c>
      <c r="M69" s="24" t="s">
        <v>780</v>
      </c>
      <c r="N69" s="23" t="s">
        <v>914</v>
      </c>
      <c r="O69" s="25"/>
      <c r="P69" s="26"/>
      <c r="Q69" s="112" t="s">
        <v>915</v>
      </c>
      <c r="R69" s="102">
        <v>10</v>
      </c>
      <c r="S69" s="102">
        <v>50</v>
      </c>
      <c r="T69" s="95"/>
      <c r="U69" s="95" t="s">
        <v>845</v>
      </c>
      <c r="V69" s="95" t="s">
        <v>775</v>
      </c>
    </row>
    <row r="70" spans="1:22" ht="45">
      <c r="A70" s="138"/>
      <c r="B70" s="139"/>
      <c r="C70" s="140"/>
      <c r="D70" s="295"/>
      <c r="E70" s="259"/>
      <c r="F70" s="261"/>
      <c r="G70" s="262"/>
      <c r="H70" s="263"/>
      <c r="I70" s="263"/>
      <c r="J70" s="264"/>
      <c r="K70" s="268"/>
      <c r="L70" s="271"/>
      <c r="M70" s="24" t="s">
        <v>780</v>
      </c>
      <c r="N70" s="23" t="s">
        <v>916</v>
      </c>
      <c r="O70" s="25"/>
      <c r="P70" s="26"/>
      <c r="Q70" s="112" t="s">
        <v>917</v>
      </c>
      <c r="R70" s="102">
        <v>20</v>
      </c>
      <c r="S70" s="102">
        <v>100</v>
      </c>
      <c r="T70" s="95"/>
      <c r="U70" s="95" t="s">
        <v>845</v>
      </c>
      <c r="V70" s="95" t="s">
        <v>775</v>
      </c>
    </row>
    <row r="71" spans="1:22" ht="87" customHeight="1">
      <c r="A71" s="138"/>
      <c r="B71" s="139"/>
      <c r="C71" s="140"/>
      <c r="D71" s="295"/>
      <c r="E71" s="259"/>
      <c r="F71" s="261"/>
      <c r="G71" s="262"/>
      <c r="H71" s="263"/>
      <c r="I71" s="263"/>
      <c r="J71" s="264"/>
      <c r="K71" s="268"/>
      <c r="L71" s="271"/>
      <c r="M71" s="24" t="s">
        <v>776</v>
      </c>
      <c r="N71" s="23" t="s">
        <v>918</v>
      </c>
      <c r="O71" s="25"/>
      <c r="P71" s="26"/>
      <c r="Q71" s="23" t="s">
        <v>919</v>
      </c>
      <c r="R71" s="102">
        <v>3</v>
      </c>
      <c r="S71" s="102">
        <v>10</v>
      </c>
      <c r="T71" s="95"/>
      <c r="U71" s="95" t="s">
        <v>845</v>
      </c>
      <c r="V71" s="95" t="s">
        <v>775</v>
      </c>
    </row>
    <row r="72" spans="1:22" ht="30">
      <c r="A72" s="138"/>
      <c r="B72" s="139"/>
      <c r="C72" s="140"/>
      <c r="D72" s="295"/>
      <c r="E72" s="259"/>
      <c r="F72" s="261"/>
      <c r="G72" s="262"/>
      <c r="H72" s="263"/>
      <c r="I72" s="263"/>
      <c r="J72" s="264"/>
      <c r="K72" s="268"/>
      <c r="L72" s="271"/>
      <c r="M72" s="24" t="s">
        <v>783</v>
      </c>
      <c r="N72" s="23" t="s">
        <v>920</v>
      </c>
      <c r="O72" s="25"/>
      <c r="P72" s="26"/>
      <c r="Q72" s="23" t="s">
        <v>921</v>
      </c>
      <c r="R72" s="102">
        <v>10</v>
      </c>
      <c r="S72" s="102">
        <v>50</v>
      </c>
      <c r="T72" s="95"/>
      <c r="U72" s="95" t="s">
        <v>845</v>
      </c>
      <c r="V72" s="95" t="s">
        <v>775</v>
      </c>
    </row>
    <row r="73" spans="1:22" ht="30">
      <c r="A73" s="138"/>
      <c r="B73" s="139"/>
      <c r="C73" s="140"/>
      <c r="D73" s="295"/>
      <c r="E73" s="259"/>
      <c r="F73" s="261"/>
      <c r="G73" s="262"/>
      <c r="H73" s="263"/>
      <c r="I73" s="263"/>
      <c r="J73" s="264"/>
      <c r="K73" s="268"/>
      <c r="L73" s="271"/>
      <c r="M73" s="24" t="s">
        <v>780</v>
      </c>
      <c r="N73" s="23" t="s">
        <v>922</v>
      </c>
      <c r="O73" s="25"/>
      <c r="P73" s="26"/>
      <c r="Q73" s="112" t="s">
        <v>923</v>
      </c>
      <c r="R73" s="102">
        <v>5</v>
      </c>
      <c r="S73" s="102">
        <v>20</v>
      </c>
      <c r="T73" s="95"/>
      <c r="U73" s="95" t="s">
        <v>845</v>
      </c>
      <c r="V73" s="95" t="s">
        <v>775</v>
      </c>
    </row>
    <row r="74" spans="1:22" ht="30">
      <c r="A74" s="138"/>
      <c r="B74" s="139"/>
      <c r="C74" s="140"/>
      <c r="D74" s="295"/>
      <c r="E74" s="259"/>
      <c r="F74" s="273"/>
      <c r="G74" s="266"/>
      <c r="H74" s="265"/>
      <c r="I74" s="265"/>
      <c r="J74" s="267"/>
      <c r="K74" s="269"/>
      <c r="L74" s="272"/>
      <c r="M74" s="24" t="s">
        <v>780</v>
      </c>
      <c r="N74" s="23" t="s">
        <v>924</v>
      </c>
      <c r="O74" s="25"/>
      <c r="P74" s="26"/>
      <c r="Q74" s="112" t="s">
        <v>925</v>
      </c>
      <c r="R74" s="102">
        <v>5</v>
      </c>
      <c r="S74" s="102">
        <v>30</v>
      </c>
      <c r="T74" s="95"/>
      <c r="U74" s="95" t="s">
        <v>845</v>
      </c>
      <c r="V74" s="95" t="s">
        <v>775</v>
      </c>
    </row>
    <row r="75" spans="1:22" ht="45">
      <c r="A75" s="138"/>
      <c r="B75" s="139"/>
      <c r="C75" s="140"/>
      <c r="D75" s="295"/>
      <c r="E75" s="259"/>
      <c r="F75" s="243" t="s">
        <v>82</v>
      </c>
      <c r="G75" s="243" t="s">
        <v>83</v>
      </c>
      <c r="H75" s="243" t="s">
        <v>435</v>
      </c>
      <c r="I75" s="243" t="s">
        <v>438</v>
      </c>
      <c r="J75" s="301" t="str">
        <f>G75</f>
        <v>Elaborar el catàleg lingüístic (localismes) de patrimoni natural, geografia popular, festes i activitats tradicionals de l'ENP</v>
      </c>
      <c r="K75" s="302"/>
      <c r="L75" s="302" t="s">
        <v>763</v>
      </c>
      <c r="M75" s="24" t="s">
        <v>764</v>
      </c>
      <c r="N75" s="23" t="s">
        <v>926</v>
      </c>
      <c r="O75" s="25"/>
      <c r="P75" s="26"/>
      <c r="Q75" s="112" t="s">
        <v>927</v>
      </c>
      <c r="R75" s="102">
        <v>25</v>
      </c>
      <c r="S75" s="102">
        <v>200</v>
      </c>
      <c r="T75" s="95"/>
      <c r="U75" s="95" t="s">
        <v>845</v>
      </c>
      <c r="V75" s="95" t="s">
        <v>775</v>
      </c>
    </row>
    <row r="76" spans="1:22" ht="38.450000000000003" customHeight="1">
      <c r="A76" s="138"/>
      <c r="B76" s="139"/>
      <c r="C76" s="140"/>
      <c r="D76" s="295"/>
      <c r="E76" s="259"/>
      <c r="F76" s="245"/>
      <c r="G76" s="245"/>
      <c r="H76" s="245"/>
      <c r="I76" s="245"/>
      <c r="J76" s="245"/>
      <c r="K76" s="303"/>
      <c r="L76" s="303"/>
      <c r="M76" s="24" t="s">
        <v>780</v>
      </c>
      <c r="N76" s="23" t="s">
        <v>928</v>
      </c>
      <c r="O76" s="25"/>
      <c r="P76" s="26"/>
      <c r="Q76" s="112" t="s">
        <v>929</v>
      </c>
      <c r="R76" s="102">
        <v>1</v>
      </c>
      <c r="S76" s="102">
        <v>5</v>
      </c>
      <c r="T76" s="95"/>
      <c r="U76" s="95" t="s">
        <v>845</v>
      </c>
      <c r="V76" s="95" t="s">
        <v>775</v>
      </c>
    </row>
    <row r="77" spans="1:22" ht="45">
      <c r="A77" s="138"/>
      <c r="B77" s="139"/>
      <c r="C77" s="140"/>
      <c r="D77" s="296"/>
      <c r="E77" s="298"/>
      <c r="F77" s="117" t="s">
        <v>84</v>
      </c>
      <c r="G77" s="114" t="s">
        <v>85</v>
      </c>
      <c r="H77" s="113" t="s">
        <v>435</v>
      </c>
      <c r="I77" s="113" t="s">
        <v>438</v>
      </c>
      <c r="J77" s="23" t="str">
        <f>G77</f>
        <v>Elaborar la cartografia de la xarxa de camins ramaders i senders tradicionals de l'ENP</v>
      </c>
      <c r="K77" s="22"/>
      <c r="L77" s="23" t="s">
        <v>763</v>
      </c>
      <c r="M77" s="24" t="s">
        <v>776</v>
      </c>
      <c r="N77" s="23" t="s">
        <v>930</v>
      </c>
      <c r="O77" s="25"/>
      <c r="P77" s="26"/>
      <c r="Q77" s="112" t="s">
        <v>931</v>
      </c>
      <c r="R77" s="102">
        <v>20</v>
      </c>
      <c r="S77" s="102">
        <v>150</v>
      </c>
      <c r="T77" s="95"/>
      <c r="U77" s="95" t="s">
        <v>845</v>
      </c>
      <c r="V77" s="95" t="s">
        <v>775</v>
      </c>
    </row>
    <row r="78" spans="1:22" ht="50.25" customHeight="1">
      <c r="A78" s="138"/>
      <c r="B78" s="139"/>
      <c r="C78" s="140"/>
      <c r="D78" s="299" t="s">
        <v>475</v>
      </c>
      <c r="E78" s="300" t="s">
        <v>86</v>
      </c>
      <c r="F78" s="117" t="s">
        <v>87</v>
      </c>
      <c r="G78" s="114" t="s">
        <v>88</v>
      </c>
      <c r="H78" s="113" t="s">
        <v>435</v>
      </c>
      <c r="I78" s="113" t="s">
        <v>436</v>
      </c>
      <c r="J78" s="23" t="str">
        <f>G78</f>
        <v>Identificar els ens de referència en patrimoni cultural (entitats, associacions, museus i ecomuseus, etc.) en l'àmbit de l'ENP</v>
      </c>
      <c r="K78" s="22"/>
      <c r="L78" s="23" t="s">
        <v>790</v>
      </c>
      <c r="M78" s="24" t="s">
        <v>780</v>
      </c>
      <c r="N78" s="23" t="s">
        <v>932</v>
      </c>
      <c r="O78" s="25"/>
      <c r="P78" s="26"/>
      <c r="Q78" s="112" t="s">
        <v>933</v>
      </c>
      <c r="R78" s="102">
        <v>5</v>
      </c>
      <c r="S78" s="102">
        <v>20</v>
      </c>
      <c r="T78" s="95"/>
      <c r="U78" s="95" t="s">
        <v>845</v>
      </c>
      <c r="V78" s="95" t="s">
        <v>775</v>
      </c>
    </row>
    <row r="79" spans="1:22" ht="45.75" customHeight="1">
      <c r="A79" s="138"/>
      <c r="B79" s="139"/>
      <c r="C79" s="140"/>
      <c r="D79" s="295"/>
      <c r="E79" s="259"/>
      <c r="F79" s="243" t="s">
        <v>89</v>
      </c>
      <c r="G79" s="246" t="s">
        <v>90</v>
      </c>
      <c r="H79" s="249" t="s">
        <v>435</v>
      </c>
      <c r="I79" s="249" t="s">
        <v>438</v>
      </c>
      <c r="J79" s="252" t="str">
        <f>G79</f>
        <v>Articular treballs conjunts entre l'ENP i representants, gestors o custodis del patrimoni cultural per a la seva protecció i millora</v>
      </c>
      <c r="K79" s="253"/>
      <c r="L79" s="270" t="s">
        <v>763</v>
      </c>
      <c r="M79" s="24" t="s">
        <v>776</v>
      </c>
      <c r="N79" s="23" t="s">
        <v>934</v>
      </c>
      <c r="O79" s="25"/>
      <c r="P79" s="26"/>
      <c r="Q79" s="23" t="s">
        <v>935</v>
      </c>
      <c r="R79" s="102">
        <v>4</v>
      </c>
      <c r="S79" s="102">
        <v>8</v>
      </c>
      <c r="T79" s="95"/>
      <c r="U79" s="95" t="s">
        <v>845</v>
      </c>
      <c r="V79" s="95" t="s">
        <v>775</v>
      </c>
    </row>
    <row r="80" spans="1:22" ht="309.75" customHeight="1">
      <c r="A80" s="138"/>
      <c r="B80" s="139"/>
      <c r="C80" s="140"/>
      <c r="D80" s="295"/>
      <c r="E80" s="259"/>
      <c r="F80" s="261"/>
      <c r="G80" s="262"/>
      <c r="H80" s="263"/>
      <c r="I80" s="263"/>
      <c r="J80" s="264"/>
      <c r="K80" s="268"/>
      <c r="L80" s="271"/>
      <c r="M80" s="24" t="s">
        <v>776</v>
      </c>
      <c r="N80" s="23" t="s">
        <v>936</v>
      </c>
      <c r="O80" s="25"/>
      <c r="P80" s="26"/>
      <c r="Q80" s="112" t="s">
        <v>937</v>
      </c>
      <c r="R80" s="102">
        <v>1</v>
      </c>
      <c r="S80" s="102">
        <v>17</v>
      </c>
      <c r="T80" s="95"/>
      <c r="U80" s="95" t="s">
        <v>845</v>
      </c>
      <c r="V80" s="95" t="s">
        <v>775</v>
      </c>
    </row>
    <row r="81" spans="1:22" ht="58.5" customHeight="1">
      <c r="A81" s="138"/>
      <c r="B81" s="139"/>
      <c r="C81" s="140"/>
      <c r="D81" s="295"/>
      <c r="E81" s="259"/>
      <c r="F81" s="273"/>
      <c r="G81" s="266"/>
      <c r="H81" s="265"/>
      <c r="I81" s="265"/>
      <c r="J81" s="267"/>
      <c r="K81" s="269"/>
      <c r="L81" s="272"/>
      <c r="M81" s="24" t="s">
        <v>764</v>
      </c>
      <c r="N81" s="23" t="s">
        <v>938</v>
      </c>
      <c r="O81" s="25"/>
      <c r="P81" s="26"/>
      <c r="Q81" s="23" t="s">
        <v>939</v>
      </c>
      <c r="R81" s="102">
        <v>4</v>
      </c>
      <c r="S81" s="102">
        <v>12</v>
      </c>
      <c r="T81" s="95"/>
      <c r="U81" s="95" t="s">
        <v>845</v>
      </c>
      <c r="V81" s="95" t="s">
        <v>775</v>
      </c>
    </row>
    <row r="82" spans="1:22" ht="60">
      <c r="A82" s="138"/>
      <c r="B82" s="139"/>
      <c r="C82" s="140"/>
      <c r="D82" s="295"/>
      <c r="E82" s="259"/>
      <c r="F82" s="117" t="s">
        <v>91</v>
      </c>
      <c r="G82" s="114" t="s">
        <v>92</v>
      </c>
      <c r="H82" s="113" t="s">
        <v>435</v>
      </c>
      <c r="I82" s="113" t="s">
        <v>438</v>
      </c>
      <c r="J82" s="23" t="str">
        <f>G82</f>
        <v>Coordinar i participar dels treballs de restauració arquitectònica i del patrimoni cultural</v>
      </c>
      <c r="K82" s="22"/>
      <c r="L82" s="23" t="s">
        <v>763</v>
      </c>
      <c r="M82" s="24" t="s">
        <v>780</v>
      </c>
      <c r="N82" s="23" t="s">
        <v>940</v>
      </c>
      <c r="O82" s="25"/>
      <c r="P82" s="26"/>
      <c r="Q82" s="112" t="s">
        <v>941</v>
      </c>
      <c r="R82" s="102">
        <v>2</v>
      </c>
      <c r="S82" s="102">
        <v>8</v>
      </c>
      <c r="T82" s="95"/>
      <c r="U82" s="95" t="s">
        <v>845</v>
      </c>
      <c r="V82" s="95" t="s">
        <v>775</v>
      </c>
    </row>
    <row r="83" spans="1:22" ht="45">
      <c r="A83" s="138"/>
      <c r="B83" s="139"/>
      <c r="C83" s="140"/>
      <c r="D83" s="296"/>
      <c r="E83" s="298"/>
      <c r="F83" s="117" t="s">
        <v>93</v>
      </c>
      <c r="G83" s="114" t="s">
        <v>94</v>
      </c>
      <c r="H83" s="113" t="s">
        <v>435</v>
      </c>
      <c r="I83" s="113" t="s">
        <v>447</v>
      </c>
      <c r="J83" s="23" t="str">
        <f>G83</f>
        <v>Disposar de personal especialitzat en patrimoni cultural</v>
      </c>
      <c r="K83" s="22"/>
      <c r="L83" s="23" t="s">
        <v>763</v>
      </c>
      <c r="M83" s="24" t="s">
        <v>783</v>
      </c>
      <c r="N83" s="23" t="s">
        <v>942</v>
      </c>
      <c r="O83" s="25"/>
      <c r="P83" s="26"/>
      <c r="Q83" s="23" t="s">
        <v>943</v>
      </c>
      <c r="R83" s="102">
        <v>2</v>
      </c>
      <c r="S83" s="102">
        <v>6</v>
      </c>
      <c r="T83" s="95"/>
      <c r="U83" s="95" t="s">
        <v>845</v>
      </c>
      <c r="V83" s="95" t="s">
        <v>775</v>
      </c>
    </row>
    <row r="84" spans="1:22" ht="90">
      <c r="A84" s="138"/>
      <c r="B84" s="139"/>
      <c r="C84" s="140"/>
      <c r="D84" s="141" t="s">
        <v>476</v>
      </c>
      <c r="E84" s="142" t="s">
        <v>95</v>
      </c>
      <c r="F84" s="243" t="s">
        <v>96</v>
      </c>
      <c r="G84" s="246" t="s">
        <v>97</v>
      </c>
      <c r="H84" s="249" t="s">
        <v>435</v>
      </c>
      <c r="I84" s="249" t="s">
        <v>447</v>
      </c>
      <c r="J84" s="252" t="str">
        <f>G84</f>
        <v xml:space="preserve">Recuperar i conservar el patrimoni cultural rural immaterial associat a les activitats i aprofitaments tradicionals </v>
      </c>
      <c r="K84" s="253"/>
      <c r="L84" s="252" t="s">
        <v>763</v>
      </c>
      <c r="M84" s="24" t="s">
        <v>780</v>
      </c>
      <c r="N84" s="23" t="s">
        <v>944</v>
      </c>
      <c r="O84" s="25" t="s">
        <v>448</v>
      </c>
      <c r="P84" s="26"/>
      <c r="Q84" s="23" t="s">
        <v>945</v>
      </c>
      <c r="R84" s="102">
        <v>6</v>
      </c>
      <c r="S84" s="102">
        <v>18</v>
      </c>
      <c r="T84" s="95"/>
      <c r="U84" s="95" t="s">
        <v>845</v>
      </c>
      <c r="V84" s="95" t="s">
        <v>775</v>
      </c>
    </row>
    <row r="85" spans="1:22" ht="54" customHeight="1">
      <c r="A85" s="138"/>
      <c r="B85" s="139"/>
      <c r="C85" s="140"/>
      <c r="D85" s="143"/>
      <c r="E85" s="144"/>
      <c r="F85" s="261"/>
      <c r="G85" s="262"/>
      <c r="H85" s="263"/>
      <c r="I85" s="263"/>
      <c r="J85" s="264"/>
      <c r="K85" s="268"/>
      <c r="L85" s="264"/>
      <c r="M85" s="24" t="s">
        <v>783</v>
      </c>
      <c r="N85" s="23" t="s">
        <v>946</v>
      </c>
      <c r="O85" s="25"/>
      <c r="P85" s="26"/>
      <c r="Q85" s="112" t="s">
        <v>947</v>
      </c>
      <c r="R85" s="102">
        <v>1</v>
      </c>
      <c r="S85" s="102">
        <v>4</v>
      </c>
      <c r="T85" s="95"/>
      <c r="U85" s="95" t="s">
        <v>845</v>
      </c>
      <c r="V85" s="95" t="s">
        <v>775</v>
      </c>
    </row>
    <row r="86" spans="1:22" ht="33.75" customHeight="1">
      <c r="A86" s="138"/>
      <c r="B86" s="139"/>
      <c r="C86" s="140"/>
      <c r="D86" s="143"/>
      <c r="E86" s="144"/>
      <c r="F86" s="261"/>
      <c r="G86" s="262"/>
      <c r="H86" s="263"/>
      <c r="I86" s="263"/>
      <c r="J86" s="264"/>
      <c r="K86" s="268"/>
      <c r="L86" s="264"/>
      <c r="M86" s="24" t="s">
        <v>780</v>
      </c>
      <c r="N86" s="23" t="s">
        <v>948</v>
      </c>
      <c r="O86" s="25"/>
      <c r="P86" s="26"/>
      <c r="Q86" s="112" t="s">
        <v>941</v>
      </c>
      <c r="R86" s="102">
        <v>4</v>
      </c>
      <c r="S86" s="102">
        <v>10</v>
      </c>
      <c r="T86" s="95"/>
      <c r="U86" s="95" t="s">
        <v>845</v>
      </c>
      <c r="V86" s="95" t="s">
        <v>775</v>
      </c>
    </row>
    <row r="87" spans="1:22" ht="60.75" customHeight="1">
      <c r="A87" s="138"/>
      <c r="B87" s="139"/>
      <c r="C87" s="140"/>
      <c r="D87" s="143"/>
      <c r="E87" s="144"/>
      <c r="F87" s="261"/>
      <c r="G87" s="262"/>
      <c r="H87" s="263"/>
      <c r="I87" s="263"/>
      <c r="J87" s="264"/>
      <c r="K87" s="268"/>
      <c r="L87" s="264"/>
      <c r="M87" s="24" t="s">
        <v>780</v>
      </c>
      <c r="N87" s="23" t="s">
        <v>949</v>
      </c>
      <c r="O87" s="25"/>
      <c r="P87" s="26"/>
      <c r="Q87" s="112" t="s">
        <v>947</v>
      </c>
      <c r="R87" s="102">
        <v>1</v>
      </c>
      <c r="S87" s="102">
        <v>4</v>
      </c>
      <c r="T87" s="95"/>
      <c r="U87" s="95" t="s">
        <v>845</v>
      </c>
      <c r="V87" s="95" t="s">
        <v>775</v>
      </c>
    </row>
    <row r="88" spans="1:22" ht="81" customHeight="1">
      <c r="A88" s="138"/>
      <c r="B88" s="139"/>
      <c r="C88" s="140"/>
      <c r="D88" s="143"/>
      <c r="E88" s="144"/>
      <c r="F88" s="261"/>
      <c r="G88" s="262"/>
      <c r="H88" s="263"/>
      <c r="I88" s="263"/>
      <c r="J88" s="264"/>
      <c r="K88" s="268"/>
      <c r="L88" s="264"/>
      <c r="M88" s="24" t="s">
        <v>780</v>
      </c>
      <c r="N88" s="23" t="s">
        <v>950</v>
      </c>
      <c r="O88" s="25"/>
      <c r="P88" s="26"/>
      <c r="Q88" s="112" t="s">
        <v>951</v>
      </c>
      <c r="R88" s="102" t="s">
        <v>952</v>
      </c>
      <c r="S88" s="102" t="s">
        <v>953</v>
      </c>
      <c r="T88" s="95"/>
      <c r="U88" s="95" t="s">
        <v>845</v>
      </c>
      <c r="V88" s="95" t="s">
        <v>775</v>
      </c>
    </row>
    <row r="89" spans="1:22" ht="59.25" customHeight="1">
      <c r="A89" s="138"/>
      <c r="B89" s="139"/>
      <c r="C89" s="140"/>
      <c r="D89" s="143"/>
      <c r="E89" s="144"/>
      <c r="F89" s="261"/>
      <c r="G89" s="262"/>
      <c r="H89" s="263"/>
      <c r="I89" s="263"/>
      <c r="J89" s="264"/>
      <c r="K89" s="268"/>
      <c r="L89" s="264"/>
      <c r="M89" s="24" t="s">
        <v>776</v>
      </c>
      <c r="N89" s="23" t="s">
        <v>954</v>
      </c>
      <c r="O89" s="25"/>
      <c r="P89" s="26"/>
      <c r="Q89" s="112" t="s">
        <v>947</v>
      </c>
      <c r="R89" s="102">
        <v>2</v>
      </c>
      <c r="S89" s="102">
        <v>8</v>
      </c>
      <c r="T89" s="95"/>
      <c r="U89" s="95" t="s">
        <v>845</v>
      </c>
      <c r="V89" s="95" t="s">
        <v>775</v>
      </c>
    </row>
    <row r="90" spans="1:22" ht="47.25" customHeight="1">
      <c r="A90" s="138"/>
      <c r="B90" s="139"/>
      <c r="C90" s="140"/>
      <c r="D90" s="143"/>
      <c r="E90" s="144"/>
      <c r="F90" s="273"/>
      <c r="G90" s="266"/>
      <c r="H90" s="265"/>
      <c r="I90" s="265"/>
      <c r="J90" s="267"/>
      <c r="K90" s="269"/>
      <c r="L90" s="267"/>
      <c r="M90" s="24" t="s">
        <v>776</v>
      </c>
      <c r="N90" s="23" t="s">
        <v>955</v>
      </c>
      <c r="O90" s="25"/>
      <c r="P90" s="26"/>
      <c r="Q90" s="112" t="s">
        <v>941</v>
      </c>
      <c r="R90" s="102">
        <v>4</v>
      </c>
      <c r="S90" s="102">
        <v>10</v>
      </c>
      <c r="T90" s="95"/>
      <c r="U90" s="95" t="s">
        <v>845</v>
      </c>
      <c r="V90" s="95" t="s">
        <v>775</v>
      </c>
    </row>
    <row r="91" spans="1:22" ht="30">
      <c r="A91" s="138"/>
      <c r="B91" s="139"/>
      <c r="C91" s="140"/>
      <c r="D91" s="143"/>
      <c r="E91" s="144"/>
      <c r="F91" s="243" t="s">
        <v>98</v>
      </c>
      <c r="G91" s="246" t="s">
        <v>99</v>
      </c>
      <c r="H91" s="249" t="s">
        <v>437</v>
      </c>
      <c r="I91" s="249" t="s">
        <v>447</v>
      </c>
      <c r="J91" s="252" t="str">
        <f>G91</f>
        <v>Recuperar i conservar el patrimoni cultural rural vinculat específicament a construccions de pedra en sec</v>
      </c>
      <c r="K91" s="253"/>
      <c r="L91" s="252" t="s">
        <v>763</v>
      </c>
      <c r="M91" s="24" t="s">
        <v>776</v>
      </c>
      <c r="N91" s="23" t="s">
        <v>956</v>
      </c>
      <c r="O91" s="25" t="s">
        <v>448</v>
      </c>
      <c r="P91" s="26"/>
      <c r="Q91" s="23" t="s">
        <v>957</v>
      </c>
      <c r="R91" s="102">
        <v>6</v>
      </c>
      <c r="S91" s="102">
        <v>12</v>
      </c>
      <c r="T91" s="95"/>
      <c r="U91" s="95" t="s">
        <v>770</v>
      </c>
      <c r="V91" s="95" t="s">
        <v>958</v>
      </c>
    </row>
    <row r="92" spans="1:22" ht="30">
      <c r="A92" s="138"/>
      <c r="B92" s="139"/>
      <c r="C92" s="140"/>
      <c r="D92" s="143"/>
      <c r="E92" s="144"/>
      <c r="F92" s="273"/>
      <c r="G92" s="266"/>
      <c r="H92" s="265"/>
      <c r="I92" s="265"/>
      <c r="J92" s="267"/>
      <c r="K92" s="269"/>
      <c r="L92" s="267"/>
      <c r="M92" s="24" t="s">
        <v>780</v>
      </c>
      <c r="N92" s="23" t="s">
        <v>959</v>
      </c>
      <c r="O92" s="25"/>
      <c r="P92" s="26"/>
      <c r="Q92" s="112" t="s">
        <v>960</v>
      </c>
      <c r="R92" s="102" t="s">
        <v>805</v>
      </c>
      <c r="S92" s="102" t="s">
        <v>806</v>
      </c>
      <c r="T92" s="95"/>
      <c r="U92" s="95" t="s">
        <v>845</v>
      </c>
      <c r="V92" s="95" t="s">
        <v>775</v>
      </c>
    </row>
    <row r="93" spans="1:22" ht="45">
      <c r="A93" s="138"/>
      <c r="B93" s="139"/>
      <c r="C93" s="140"/>
      <c r="D93" s="143"/>
      <c r="E93" s="144"/>
      <c r="F93" s="243" t="s">
        <v>100</v>
      </c>
      <c r="G93" s="246" t="s">
        <v>101</v>
      </c>
      <c r="H93" s="249" t="s">
        <v>435</v>
      </c>
      <c r="I93" s="249" t="s">
        <v>456</v>
      </c>
      <c r="J93" s="252" t="str">
        <f>G93</f>
        <v xml:space="preserve">Fomentar la recuperació i conservació de l'arquitectura tradicional d'intrès de les edificacions i construccions </v>
      </c>
      <c r="K93" s="253"/>
      <c r="L93" s="252" t="s">
        <v>763</v>
      </c>
      <c r="M93" s="24" t="s">
        <v>776</v>
      </c>
      <c r="N93" s="23" t="s">
        <v>961</v>
      </c>
      <c r="O93" s="25"/>
      <c r="P93" s="26"/>
      <c r="Q93" s="23" t="s">
        <v>962</v>
      </c>
      <c r="R93" s="102">
        <v>3</v>
      </c>
      <c r="S93" s="102">
        <v>10</v>
      </c>
      <c r="T93" s="95"/>
      <c r="U93" s="95" t="s">
        <v>845</v>
      </c>
      <c r="V93" s="95" t="s">
        <v>775</v>
      </c>
    </row>
    <row r="94" spans="1:22" ht="135">
      <c r="A94" s="138"/>
      <c r="B94" s="139"/>
      <c r="C94" s="140"/>
      <c r="D94" s="143"/>
      <c r="E94" s="144"/>
      <c r="F94" s="261"/>
      <c r="G94" s="262"/>
      <c r="H94" s="263"/>
      <c r="I94" s="263"/>
      <c r="J94" s="264"/>
      <c r="K94" s="268"/>
      <c r="L94" s="264"/>
      <c r="M94" s="24" t="s">
        <v>776</v>
      </c>
      <c r="N94" s="23" t="s">
        <v>963</v>
      </c>
      <c r="O94" s="25"/>
      <c r="P94" s="26"/>
      <c r="Q94" s="23" t="s">
        <v>941</v>
      </c>
      <c r="R94" s="102">
        <v>2</v>
      </c>
      <c r="S94" s="102">
        <v>8</v>
      </c>
      <c r="T94" s="95"/>
      <c r="U94" s="95" t="s">
        <v>845</v>
      </c>
      <c r="V94" s="95" t="s">
        <v>775</v>
      </c>
    </row>
    <row r="95" spans="1:22" ht="16.149999999999999" customHeight="1">
      <c r="A95" s="138"/>
      <c r="B95" s="139"/>
      <c r="C95" s="140"/>
      <c r="D95" s="143"/>
      <c r="E95" s="144"/>
      <c r="F95" s="261"/>
      <c r="G95" s="262"/>
      <c r="H95" s="263"/>
      <c r="I95" s="263"/>
      <c r="J95" s="264"/>
      <c r="K95" s="268"/>
      <c r="L95" s="264"/>
      <c r="M95" s="24" t="s">
        <v>776</v>
      </c>
      <c r="N95" s="23" t="s">
        <v>964</v>
      </c>
      <c r="O95" s="25"/>
      <c r="P95" s="26"/>
      <c r="Q95" s="23" t="s">
        <v>965</v>
      </c>
      <c r="R95" s="102">
        <v>4</v>
      </c>
      <c r="S95" s="102">
        <v>12</v>
      </c>
      <c r="T95" s="95"/>
      <c r="U95" s="95" t="s">
        <v>845</v>
      </c>
      <c r="V95" s="95" t="s">
        <v>775</v>
      </c>
    </row>
    <row r="96" spans="1:22" ht="20.25" customHeight="1">
      <c r="A96" s="138"/>
      <c r="B96" s="139"/>
      <c r="C96" s="140"/>
      <c r="D96" s="143"/>
      <c r="E96" s="144"/>
      <c r="F96" s="261"/>
      <c r="G96" s="262"/>
      <c r="H96" s="263"/>
      <c r="I96" s="263"/>
      <c r="J96" s="264"/>
      <c r="K96" s="268"/>
      <c r="L96" s="264"/>
      <c r="M96" s="24" t="s">
        <v>780</v>
      </c>
      <c r="N96" s="23" t="s">
        <v>966</v>
      </c>
      <c r="O96" s="25"/>
      <c r="P96" s="26"/>
      <c r="Q96" s="23" t="s">
        <v>967</v>
      </c>
      <c r="R96" s="102">
        <v>4</v>
      </c>
      <c r="S96" s="102">
        <v>10</v>
      </c>
      <c r="T96" s="95"/>
      <c r="U96" s="95" t="s">
        <v>845</v>
      </c>
      <c r="V96" s="95" t="s">
        <v>775</v>
      </c>
    </row>
    <row r="97" spans="1:22" ht="24" customHeight="1">
      <c r="A97" s="138"/>
      <c r="B97" s="139"/>
      <c r="C97" s="140"/>
      <c r="D97" s="143"/>
      <c r="E97" s="144"/>
      <c r="F97" s="261"/>
      <c r="G97" s="262"/>
      <c r="H97" s="263"/>
      <c r="I97" s="263"/>
      <c r="J97" s="264"/>
      <c r="K97" s="268"/>
      <c r="L97" s="264"/>
      <c r="M97" s="24" t="s">
        <v>764</v>
      </c>
      <c r="N97" s="23" t="s">
        <v>968</v>
      </c>
      <c r="O97" s="25"/>
      <c r="P97" s="26"/>
      <c r="Q97" s="23" t="s">
        <v>969</v>
      </c>
      <c r="R97" s="102" t="s">
        <v>805</v>
      </c>
      <c r="S97" s="102" t="s">
        <v>806</v>
      </c>
      <c r="T97" s="95"/>
      <c r="U97" s="95" t="s">
        <v>845</v>
      </c>
      <c r="V97" s="95" t="s">
        <v>775</v>
      </c>
    </row>
    <row r="98" spans="1:22" ht="32.25" customHeight="1">
      <c r="A98" s="138"/>
      <c r="B98" s="139"/>
      <c r="C98" s="140"/>
      <c r="D98" s="143"/>
      <c r="E98" s="144"/>
      <c r="F98" s="261"/>
      <c r="G98" s="262"/>
      <c r="H98" s="263"/>
      <c r="I98" s="263"/>
      <c r="J98" s="264"/>
      <c r="K98" s="268"/>
      <c r="L98" s="264"/>
      <c r="M98" s="24" t="s">
        <v>780</v>
      </c>
      <c r="N98" s="23" t="s">
        <v>970</v>
      </c>
      <c r="O98" s="25"/>
      <c r="P98" s="26"/>
      <c r="Q98" s="23" t="s">
        <v>971</v>
      </c>
      <c r="R98" s="102">
        <v>1</v>
      </c>
      <c r="S98" s="102">
        <v>4</v>
      </c>
      <c r="T98" s="95"/>
      <c r="U98" s="95" t="s">
        <v>770</v>
      </c>
      <c r="V98" s="95" t="s">
        <v>958</v>
      </c>
    </row>
    <row r="99" spans="1:22" ht="32.25" customHeight="1">
      <c r="A99" s="138"/>
      <c r="B99" s="139"/>
      <c r="C99" s="140"/>
      <c r="D99" s="143"/>
      <c r="E99" s="144"/>
      <c r="F99" s="261"/>
      <c r="G99" s="262"/>
      <c r="H99" s="263"/>
      <c r="I99" s="263"/>
      <c r="J99" s="264"/>
      <c r="K99" s="268"/>
      <c r="L99" s="264"/>
      <c r="M99" s="24" t="s">
        <v>780</v>
      </c>
      <c r="N99" s="23" t="s">
        <v>972</v>
      </c>
      <c r="O99" s="25"/>
      <c r="P99" s="26"/>
      <c r="Q99" s="23" t="s">
        <v>973</v>
      </c>
      <c r="R99" s="23" t="s">
        <v>974</v>
      </c>
      <c r="S99" s="23" t="s">
        <v>975</v>
      </c>
      <c r="T99" s="95"/>
      <c r="U99" s="95"/>
      <c r="V99" s="95"/>
    </row>
    <row r="100" spans="1:22" ht="18.75" customHeight="1">
      <c r="A100" s="138"/>
      <c r="B100" s="139"/>
      <c r="C100" s="140"/>
      <c r="D100" s="145"/>
      <c r="E100" s="146"/>
      <c r="F100" s="273"/>
      <c r="G100" s="266"/>
      <c r="H100" s="265"/>
      <c r="I100" s="265"/>
      <c r="J100" s="267"/>
      <c r="K100" s="269"/>
      <c r="L100" s="267"/>
      <c r="M100" s="24" t="s">
        <v>780</v>
      </c>
      <c r="N100" s="23" t="s">
        <v>976</v>
      </c>
      <c r="O100" s="25"/>
      <c r="P100" s="26"/>
      <c r="Q100" s="23" t="s">
        <v>977</v>
      </c>
      <c r="R100" s="102">
        <v>5</v>
      </c>
      <c r="S100" s="102">
        <v>25</v>
      </c>
      <c r="T100" s="95"/>
      <c r="U100" s="95" t="s">
        <v>770</v>
      </c>
      <c r="V100" s="95" t="s">
        <v>958</v>
      </c>
    </row>
    <row r="101" spans="1:22" ht="60">
      <c r="A101" s="138"/>
      <c r="B101" s="139"/>
      <c r="C101" s="147"/>
      <c r="D101" s="304" t="s">
        <v>477</v>
      </c>
      <c r="E101" s="300" t="s">
        <v>104</v>
      </c>
      <c r="F101" s="243" t="s">
        <v>102</v>
      </c>
      <c r="G101" s="246" t="s">
        <v>103</v>
      </c>
      <c r="H101" s="249" t="s">
        <v>435</v>
      </c>
      <c r="I101" s="249" t="s">
        <v>436</v>
      </c>
      <c r="J101" s="252" t="str">
        <f>G101</f>
        <v>Identificar i conservar la diversitat domesticada de varietats agrícoles i ramaderes locals</v>
      </c>
      <c r="K101" s="253"/>
      <c r="L101" s="252" t="s">
        <v>763</v>
      </c>
      <c r="M101" s="24" t="s">
        <v>780</v>
      </c>
      <c r="N101" s="23" t="s">
        <v>978</v>
      </c>
      <c r="O101" s="25" t="s">
        <v>451</v>
      </c>
      <c r="P101" s="26"/>
      <c r="Q101" s="23" t="s">
        <v>979</v>
      </c>
      <c r="R101" s="102">
        <v>4</v>
      </c>
      <c r="S101" s="102">
        <v>10</v>
      </c>
      <c r="T101" s="95"/>
      <c r="U101" s="95" t="s">
        <v>845</v>
      </c>
      <c r="V101" s="95" t="s">
        <v>775</v>
      </c>
    </row>
    <row r="102" spans="1:22" ht="29.45" customHeight="1">
      <c r="A102" s="138"/>
      <c r="B102" s="139"/>
      <c r="C102" s="147"/>
      <c r="D102" s="305"/>
      <c r="E102" s="308"/>
      <c r="F102" s="261"/>
      <c r="G102" s="262"/>
      <c r="H102" s="263"/>
      <c r="I102" s="263"/>
      <c r="J102" s="264"/>
      <c r="K102" s="268"/>
      <c r="L102" s="264"/>
      <c r="M102" s="24" t="s">
        <v>776</v>
      </c>
      <c r="N102" s="23" t="s">
        <v>980</v>
      </c>
      <c r="O102" s="25"/>
      <c r="P102" s="26"/>
      <c r="Q102" s="112" t="s">
        <v>941</v>
      </c>
      <c r="R102" s="102">
        <v>8</v>
      </c>
      <c r="S102" s="102">
        <v>16</v>
      </c>
      <c r="T102" s="95"/>
      <c r="U102" s="95" t="s">
        <v>770</v>
      </c>
      <c r="V102" s="95" t="s">
        <v>958</v>
      </c>
    </row>
    <row r="103" spans="1:22" ht="59.25" customHeight="1">
      <c r="A103" s="138"/>
      <c r="B103" s="139"/>
      <c r="C103" s="147"/>
      <c r="D103" s="305"/>
      <c r="E103" s="308"/>
      <c r="F103" s="261"/>
      <c r="G103" s="262"/>
      <c r="H103" s="263"/>
      <c r="I103" s="263"/>
      <c r="J103" s="264"/>
      <c r="K103" s="268"/>
      <c r="L103" s="264"/>
      <c r="M103" s="24" t="s">
        <v>780</v>
      </c>
      <c r="N103" s="23" t="s">
        <v>981</v>
      </c>
      <c r="O103" s="25"/>
      <c r="P103" s="26"/>
      <c r="Q103" s="112" t="s">
        <v>982</v>
      </c>
      <c r="R103" s="102">
        <v>5</v>
      </c>
      <c r="S103" s="102">
        <v>20</v>
      </c>
      <c r="T103" s="95"/>
      <c r="U103" s="95" t="s">
        <v>845</v>
      </c>
      <c r="V103" s="95" t="s">
        <v>775</v>
      </c>
    </row>
    <row r="104" spans="1:22" ht="30" customHeight="1">
      <c r="A104" s="138"/>
      <c r="B104" s="139"/>
      <c r="C104" s="147"/>
      <c r="D104" s="305"/>
      <c r="E104" s="308"/>
      <c r="F104" s="261"/>
      <c r="G104" s="262"/>
      <c r="H104" s="263"/>
      <c r="I104" s="263"/>
      <c r="J104" s="264"/>
      <c r="K104" s="268"/>
      <c r="L104" s="264"/>
      <c r="M104" s="24" t="s">
        <v>776</v>
      </c>
      <c r="N104" s="23" t="s">
        <v>983</v>
      </c>
      <c r="O104" s="25"/>
      <c r="P104" s="26"/>
      <c r="Q104" s="23" t="s">
        <v>984</v>
      </c>
      <c r="R104" s="102">
        <v>16</v>
      </c>
      <c r="S104" s="102">
        <v>24</v>
      </c>
      <c r="T104" s="95"/>
      <c r="U104" s="95" t="s">
        <v>770</v>
      </c>
      <c r="V104" s="95" t="s">
        <v>958</v>
      </c>
    </row>
    <row r="105" spans="1:22" ht="33.75" customHeight="1">
      <c r="A105" s="138"/>
      <c r="D105" s="306"/>
      <c r="E105" s="259"/>
      <c r="F105" s="273"/>
      <c r="G105" s="266"/>
      <c r="H105" s="265"/>
      <c r="I105" s="265"/>
      <c r="J105" s="267"/>
      <c r="K105" s="269"/>
      <c r="L105" s="267"/>
      <c r="M105" s="24" t="s">
        <v>780</v>
      </c>
      <c r="N105" s="23" t="s">
        <v>985</v>
      </c>
      <c r="O105" s="25"/>
      <c r="P105" s="26"/>
      <c r="Q105" s="112" t="s">
        <v>986</v>
      </c>
      <c r="R105" s="102">
        <v>2</v>
      </c>
      <c r="S105" s="102">
        <v>8</v>
      </c>
      <c r="T105" s="95"/>
      <c r="U105" s="95" t="s">
        <v>856</v>
      </c>
      <c r="V105" s="95" t="s">
        <v>987</v>
      </c>
    </row>
    <row r="106" spans="1:22" ht="40.9" customHeight="1">
      <c r="A106" s="138"/>
      <c r="B106" s="150"/>
      <c r="C106" s="147"/>
      <c r="D106" s="306"/>
      <c r="E106" s="259"/>
      <c r="F106" s="113" t="s">
        <v>105</v>
      </c>
      <c r="G106" s="114" t="s">
        <v>106</v>
      </c>
      <c r="H106" s="113" t="s">
        <v>435</v>
      </c>
      <c r="I106" s="113" t="s">
        <v>447</v>
      </c>
      <c r="J106" s="23" t="s">
        <v>988</v>
      </c>
      <c r="K106" s="21" t="s">
        <v>989</v>
      </c>
      <c r="L106" s="23" t="s">
        <v>763</v>
      </c>
      <c r="M106" s="24" t="s">
        <v>780</v>
      </c>
      <c r="N106" s="23" t="s">
        <v>990</v>
      </c>
      <c r="O106" s="25"/>
      <c r="P106" s="26"/>
      <c r="Q106" s="23" t="s">
        <v>991</v>
      </c>
      <c r="R106" s="102">
        <v>4</v>
      </c>
      <c r="S106" s="102">
        <v>20</v>
      </c>
      <c r="T106" s="95"/>
      <c r="U106" s="95" t="s">
        <v>770</v>
      </c>
      <c r="V106" s="95" t="s">
        <v>958</v>
      </c>
    </row>
    <row r="107" spans="1:22" ht="45">
      <c r="A107" s="138"/>
      <c r="B107" s="150"/>
      <c r="C107" s="147"/>
      <c r="D107" s="306"/>
      <c r="E107" s="259"/>
      <c r="F107" s="249" t="s">
        <v>107</v>
      </c>
      <c r="G107" s="249" t="s">
        <v>108</v>
      </c>
      <c r="H107" s="249" t="s">
        <v>435</v>
      </c>
      <c r="I107" s="249" t="s">
        <v>447</v>
      </c>
      <c r="J107" s="309" t="str">
        <f>G107</f>
        <v>Incorporar el patrimoni cultural en els plans d’ús públic i educació ambiental per fomentar-ne la seva conservació i divulgació.</v>
      </c>
      <c r="K107" s="253"/>
      <c r="L107" s="310" t="s">
        <v>763</v>
      </c>
      <c r="M107" s="24" t="s">
        <v>776</v>
      </c>
      <c r="N107" s="23" t="s">
        <v>992</v>
      </c>
      <c r="O107" s="25"/>
      <c r="P107" s="26"/>
      <c r="Q107" s="112" t="s">
        <v>993</v>
      </c>
      <c r="R107" s="102">
        <v>12</v>
      </c>
      <c r="S107" s="102">
        <v>40</v>
      </c>
      <c r="T107" s="95"/>
      <c r="U107" s="95" t="s">
        <v>856</v>
      </c>
      <c r="V107" s="95" t="s">
        <v>987</v>
      </c>
    </row>
    <row r="108" spans="1:22" ht="75">
      <c r="A108" s="138"/>
      <c r="B108" s="150"/>
      <c r="C108" s="147"/>
      <c r="D108" s="306"/>
      <c r="E108" s="259"/>
      <c r="F108" s="251"/>
      <c r="G108" s="251"/>
      <c r="H108" s="251"/>
      <c r="I108" s="251"/>
      <c r="J108" s="251"/>
      <c r="K108" s="255"/>
      <c r="L108" s="311"/>
      <c r="M108" s="24" t="s">
        <v>780</v>
      </c>
      <c r="N108" s="23" t="s">
        <v>994</v>
      </c>
      <c r="O108" s="25"/>
      <c r="P108" s="26"/>
      <c r="Q108" s="112" t="s">
        <v>995</v>
      </c>
      <c r="R108" s="102">
        <v>2</v>
      </c>
      <c r="S108" s="102">
        <v>10</v>
      </c>
      <c r="T108" s="95"/>
      <c r="U108" s="95" t="s">
        <v>845</v>
      </c>
      <c r="V108" s="95" t="s">
        <v>775</v>
      </c>
    </row>
    <row r="109" spans="1:22" ht="45">
      <c r="A109" s="138"/>
      <c r="B109" s="150"/>
      <c r="C109" s="147"/>
      <c r="D109" s="307"/>
      <c r="E109" s="298"/>
      <c r="F109" s="113" t="s">
        <v>109</v>
      </c>
      <c r="G109" s="114" t="s">
        <v>110</v>
      </c>
      <c r="H109" s="113" t="s">
        <v>435</v>
      </c>
      <c r="I109" s="113" t="s">
        <v>447</v>
      </c>
      <c r="J109" s="23" t="str">
        <f>G109</f>
        <v>Formar el personal dels punts d’informació en els valors culturals de l'ENP</v>
      </c>
      <c r="K109" s="22"/>
      <c r="L109" s="23" t="s">
        <v>763</v>
      </c>
      <c r="M109" s="24" t="s">
        <v>783</v>
      </c>
      <c r="N109" s="23" t="s">
        <v>996</v>
      </c>
      <c r="O109" s="25"/>
      <c r="P109" s="26"/>
      <c r="Q109" s="23" t="s">
        <v>943</v>
      </c>
      <c r="R109" s="102">
        <v>1</v>
      </c>
      <c r="S109" s="102">
        <v>4</v>
      </c>
      <c r="T109" s="95"/>
      <c r="U109" s="95" t="s">
        <v>856</v>
      </c>
      <c r="V109" s="95" t="s">
        <v>987</v>
      </c>
    </row>
    <row r="110" spans="1:22" ht="45">
      <c r="A110" s="138"/>
      <c r="B110" s="151">
        <v>5</v>
      </c>
      <c r="C110" s="152" t="s">
        <v>111</v>
      </c>
      <c r="D110" s="153" t="s">
        <v>478</v>
      </c>
      <c r="E110" s="154" t="s">
        <v>112</v>
      </c>
      <c r="F110" s="113" t="s">
        <v>113</v>
      </c>
      <c r="G110" s="114" t="s">
        <v>114</v>
      </c>
      <c r="H110" s="113" t="s">
        <v>435</v>
      </c>
      <c r="I110" s="113" t="s">
        <v>438</v>
      </c>
      <c r="J110" s="23" t="str">
        <f>G110</f>
        <v xml:space="preserve">Elaborar un inventari d'elements d'interès paisatgístic de l'ENP d'acord amb el Catàleg de paisatge de la zona </v>
      </c>
      <c r="K110" s="22"/>
      <c r="L110" s="23" t="s">
        <v>763</v>
      </c>
      <c r="M110" s="24" t="s">
        <v>783</v>
      </c>
      <c r="N110" s="23" t="s">
        <v>997</v>
      </c>
      <c r="O110" s="25"/>
      <c r="P110" s="26"/>
      <c r="Q110" s="112" t="s">
        <v>998</v>
      </c>
      <c r="R110" s="102" t="s">
        <v>805</v>
      </c>
      <c r="S110" s="102" t="s">
        <v>806</v>
      </c>
      <c r="T110" s="95"/>
      <c r="U110" s="95" t="s">
        <v>999</v>
      </c>
      <c r="V110" s="95" t="s">
        <v>787</v>
      </c>
    </row>
    <row r="111" spans="1:22" ht="30">
      <c r="A111" s="138"/>
      <c r="B111" s="150"/>
      <c r="C111" s="147"/>
      <c r="D111" s="155" t="s">
        <v>479</v>
      </c>
      <c r="E111" s="142" t="s">
        <v>115</v>
      </c>
      <c r="F111" s="243" t="s">
        <v>116</v>
      </c>
      <c r="G111" s="313" t="s">
        <v>117</v>
      </c>
      <c r="H111" s="243" t="s">
        <v>435</v>
      </c>
      <c r="I111" s="243" t="s">
        <v>438</v>
      </c>
      <c r="J111" s="270" t="str">
        <f>G111</f>
        <v>Desplegar actuacions de restauració dels elements d'interès paisatgístic degradats</v>
      </c>
      <c r="K111" s="270"/>
      <c r="L111" s="270" t="s">
        <v>763</v>
      </c>
      <c r="M111" s="24" t="s">
        <v>780</v>
      </c>
      <c r="N111" s="23" t="s">
        <v>1000</v>
      </c>
      <c r="O111" s="25"/>
      <c r="P111" s="26"/>
      <c r="Q111" s="112" t="s">
        <v>1001</v>
      </c>
      <c r="R111" s="102">
        <v>4</v>
      </c>
      <c r="S111" s="102">
        <v>10</v>
      </c>
      <c r="T111" s="95"/>
      <c r="U111" s="95" t="s">
        <v>770</v>
      </c>
      <c r="V111" s="95" t="s">
        <v>958</v>
      </c>
    </row>
    <row r="112" spans="1:22" ht="45">
      <c r="A112" s="138"/>
      <c r="B112" s="150"/>
      <c r="C112" s="147"/>
      <c r="D112" s="156"/>
      <c r="E112" s="144"/>
      <c r="F112" s="245"/>
      <c r="G112" s="312"/>
      <c r="H112" s="245"/>
      <c r="I112" s="245"/>
      <c r="J112" s="312"/>
      <c r="K112" s="312"/>
      <c r="L112" s="312"/>
      <c r="M112" s="24" t="s">
        <v>780</v>
      </c>
      <c r="N112" s="23" t="s">
        <v>1002</v>
      </c>
      <c r="O112" s="25"/>
      <c r="P112" s="26"/>
      <c r="Q112" s="112" t="s">
        <v>1003</v>
      </c>
      <c r="R112" s="102">
        <v>4</v>
      </c>
      <c r="S112" s="102">
        <v>12</v>
      </c>
      <c r="T112" s="95"/>
      <c r="U112" s="95" t="s">
        <v>845</v>
      </c>
      <c r="V112" s="95" t="s">
        <v>775</v>
      </c>
    </row>
    <row r="113" spans="1:22" ht="45">
      <c r="A113" s="138"/>
      <c r="B113" s="150"/>
      <c r="C113" s="147"/>
      <c r="D113" s="156"/>
      <c r="E113" s="144"/>
      <c r="F113" s="243" t="s">
        <v>118</v>
      </c>
      <c r="G113" s="246" t="s">
        <v>1004</v>
      </c>
      <c r="H113" s="249" t="s">
        <v>435</v>
      </c>
      <c r="I113" s="249" t="s">
        <v>438</v>
      </c>
      <c r="J113" s="252" t="str">
        <f>G113</f>
        <v>Gestionar l'abandonament i eventual desmantellament d'infraestructures i instal·lacions amb impactes sobre els valors de l'espai</v>
      </c>
      <c r="K113" s="253"/>
      <c r="L113" s="252" t="s">
        <v>763</v>
      </c>
      <c r="M113" s="24" t="s">
        <v>776</v>
      </c>
      <c r="N113" s="23" t="s">
        <v>1005</v>
      </c>
      <c r="O113" s="25"/>
      <c r="P113" s="26"/>
      <c r="Q113" s="112" t="s">
        <v>1006</v>
      </c>
      <c r="R113" s="102">
        <v>8</v>
      </c>
      <c r="S113" s="102">
        <v>30</v>
      </c>
      <c r="T113" s="95"/>
      <c r="U113" s="95" t="s">
        <v>770</v>
      </c>
      <c r="V113" s="95" t="s">
        <v>958</v>
      </c>
    </row>
    <row r="114" spans="1:22">
      <c r="A114" s="138"/>
      <c r="B114" s="150"/>
      <c r="C114" s="147"/>
      <c r="D114" s="157"/>
      <c r="E114" s="146"/>
      <c r="F114" s="273"/>
      <c r="G114" s="266"/>
      <c r="H114" s="265"/>
      <c r="I114" s="265"/>
      <c r="J114" s="267"/>
      <c r="K114" s="269"/>
      <c r="L114" s="267"/>
      <c r="M114" s="24" t="s">
        <v>776</v>
      </c>
      <c r="N114" s="23" t="s">
        <v>1007</v>
      </c>
      <c r="O114" s="25"/>
      <c r="P114" s="26"/>
      <c r="Q114" s="112" t="s">
        <v>1008</v>
      </c>
      <c r="R114" s="102">
        <v>1</v>
      </c>
      <c r="S114" s="102">
        <v>6</v>
      </c>
      <c r="T114" s="95"/>
      <c r="U114" s="95" t="s">
        <v>770</v>
      </c>
      <c r="V114" s="95" t="s">
        <v>958</v>
      </c>
    </row>
    <row r="115" spans="1:22" ht="60">
      <c r="A115" s="138"/>
      <c r="B115" s="150"/>
      <c r="C115" s="147"/>
      <c r="D115" s="324" t="s">
        <v>480</v>
      </c>
      <c r="E115" s="300" t="s">
        <v>121</v>
      </c>
      <c r="F115" s="243" t="s">
        <v>119</v>
      </c>
      <c r="G115" s="246" t="s">
        <v>120</v>
      </c>
      <c r="H115" s="249" t="s">
        <v>435</v>
      </c>
      <c r="I115" s="249" t="s">
        <v>436</v>
      </c>
      <c r="J115" s="252" t="str">
        <f>G115</f>
        <v>Minimitzar la brutícia, deixalles, vandalisme i males praxis dins l'ENP</v>
      </c>
      <c r="K115" s="253"/>
      <c r="L115" s="252" t="s">
        <v>763</v>
      </c>
      <c r="M115" s="24" t="s">
        <v>776</v>
      </c>
      <c r="N115" s="23" t="s">
        <v>1009</v>
      </c>
      <c r="O115" s="25"/>
      <c r="P115" s="26"/>
      <c r="Q115" s="23" t="s">
        <v>1010</v>
      </c>
      <c r="R115" s="102">
        <v>10</v>
      </c>
      <c r="S115" s="102">
        <v>40</v>
      </c>
      <c r="T115" s="95"/>
      <c r="U115" s="95" t="s">
        <v>770</v>
      </c>
      <c r="V115" s="95" t="s">
        <v>958</v>
      </c>
    </row>
    <row r="116" spans="1:22" ht="30">
      <c r="A116" s="138"/>
      <c r="B116" s="150"/>
      <c r="C116" s="147"/>
      <c r="D116" s="317"/>
      <c r="E116" s="259"/>
      <c r="F116" s="261"/>
      <c r="G116" s="262"/>
      <c r="H116" s="263"/>
      <c r="I116" s="263"/>
      <c r="J116" s="264"/>
      <c r="K116" s="268"/>
      <c r="L116" s="264"/>
      <c r="M116" s="24" t="s">
        <v>776</v>
      </c>
      <c r="N116" s="23" t="s">
        <v>1011</v>
      </c>
      <c r="O116" s="25"/>
      <c r="P116" s="26"/>
      <c r="Q116" s="23" t="s">
        <v>1012</v>
      </c>
      <c r="R116" s="102">
        <v>4</v>
      </c>
      <c r="S116" s="102">
        <v>12</v>
      </c>
      <c r="T116" s="95"/>
      <c r="U116" s="95" t="s">
        <v>856</v>
      </c>
      <c r="V116" s="95" t="s">
        <v>987</v>
      </c>
    </row>
    <row r="117" spans="1:22" ht="30">
      <c r="A117" s="138"/>
      <c r="B117" s="150"/>
      <c r="C117" s="147"/>
      <c r="D117" s="317"/>
      <c r="E117" s="259"/>
      <c r="F117" s="261"/>
      <c r="G117" s="262"/>
      <c r="H117" s="263"/>
      <c r="I117" s="263"/>
      <c r="J117" s="264"/>
      <c r="K117" s="268"/>
      <c r="L117" s="264"/>
      <c r="M117" s="24" t="s">
        <v>780</v>
      </c>
      <c r="N117" s="23" t="s">
        <v>1013</v>
      </c>
      <c r="O117" s="25"/>
      <c r="P117" s="26"/>
      <c r="Q117" s="112" t="s">
        <v>1014</v>
      </c>
      <c r="R117" s="102">
        <v>8</v>
      </c>
      <c r="S117" s="102">
        <v>16</v>
      </c>
      <c r="T117" s="95"/>
      <c r="U117" s="95" t="s">
        <v>770</v>
      </c>
      <c r="V117" s="95" t="s">
        <v>958</v>
      </c>
    </row>
    <row r="118" spans="1:22" ht="45">
      <c r="A118" s="138"/>
      <c r="B118" s="150"/>
      <c r="C118" s="147"/>
      <c r="D118" s="317"/>
      <c r="E118" s="259"/>
      <c r="F118" s="273"/>
      <c r="G118" s="266"/>
      <c r="H118" s="265"/>
      <c r="I118" s="265"/>
      <c r="J118" s="267"/>
      <c r="K118" s="269"/>
      <c r="L118" s="267"/>
      <c r="M118" s="24" t="s">
        <v>776</v>
      </c>
      <c r="N118" s="23" t="s">
        <v>1015</v>
      </c>
      <c r="O118" s="25"/>
      <c r="P118" s="26"/>
      <c r="Q118" s="23" t="s">
        <v>1016</v>
      </c>
      <c r="R118" s="102">
        <v>20</v>
      </c>
      <c r="S118" s="102">
        <v>45</v>
      </c>
      <c r="T118" s="95"/>
      <c r="U118" s="95" t="s">
        <v>856</v>
      </c>
      <c r="V118" s="95" t="s">
        <v>1017</v>
      </c>
    </row>
    <row r="119" spans="1:22" ht="30">
      <c r="A119" s="138"/>
      <c r="B119" s="150"/>
      <c r="C119" s="147"/>
      <c r="D119" s="317"/>
      <c r="E119" s="259"/>
      <c r="F119" s="243" t="s">
        <v>122</v>
      </c>
      <c r="G119" s="246" t="s">
        <v>123</v>
      </c>
      <c r="H119" s="249" t="s">
        <v>437</v>
      </c>
      <c r="I119" s="249" t="s">
        <v>438</v>
      </c>
      <c r="J119" s="252" t="str">
        <f>G119</f>
        <v>Promoure la certificació de qualitat del cel nocturn</v>
      </c>
      <c r="K119" s="253"/>
      <c r="L119" s="252" t="s">
        <v>763</v>
      </c>
      <c r="M119" s="24" t="s">
        <v>776</v>
      </c>
      <c r="N119" s="23" t="s">
        <v>1018</v>
      </c>
      <c r="O119" s="25" t="s">
        <v>451</v>
      </c>
      <c r="P119" s="26"/>
      <c r="Q119" s="112" t="s">
        <v>1019</v>
      </c>
      <c r="R119" s="102">
        <v>4</v>
      </c>
      <c r="S119" s="102">
        <v>15</v>
      </c>
      <c r="T119" s="95"/>
      <c r="U119" s="95" t="s">
        <v>774</v>
      </c>
      <c r="V119" s="95" t="s">
        <v>775</v>
      </c>
    </row>
    <row r="120" spans="1:22" ht="30">
      <c r="A120" s="138"/>
      <c r="B120" s="150"/>
      <c r="C120" s="147"/>
      <c r="D120" s="317"/>
      <c r="E120" s="259"/>
      <c r="F120" s="261"/>
      <c r="G120" s="262"/>
      <c r="H120" s="263"/>
      <c r="I120" s="263"/>
      <c r="J120" s="264"/>
      <c r="K120" s="268"/>
      <c r="L120" s="264"/>
      <c r="M120" s="24" t="s">
        <v>776</v>
      </c>
      <c r="N120" s="23" t="s">
        <v>1020</v>
      </c>
      <c r="O120" s="25"/>
      <c r="P120" s="26"/>
      <c r="Q120" s="112" t="s">
        <v>1019</v>
      </c>
      <c r="R120" s="102">
        <v>2</v>
      </c>
      <c r="S120" s="102">
        <v>8</v>
      </c>
      <c r="T120" s="95"/>
      <c r="U120" s="95" t="s">
        <v>774</v>
      </c>
      <c r="V120" s="95" t="s">
        <v>775</v>
      </c>
    </row>
    <row r="121" spans="1:22" ht="30">
      <c r="A121" s="138"/>
      <c r="B121" s="150"/>
      <c r="C121" s="147"/>
      <c r="D121" s="317"/>
      <c r="E121" s="259"/>
      <c r="F121" s="261"/>
      <c r="G121" s="262"/>
      <c r="H121" s="263"/>
      <c r="I121" s="263"/>
      <c r="J121" s="264"/>
      <c r="K121" s="268"/>
      <c r="L121" s="264"/>
      <c r="M121" s="24" t="s">
        <v>780</v>
      </c>
      <c r="N121" s="23" t="s">
        <v>1021</v>
      </c>
      <c r="O121" s="25"/>
      <c r="P121" s="26"/>
      <c r="Q121" s="112" t="s">
        <v>1022</v>
      </c>
      <c r="R121" s="102" t="s">
        <v>805</v>
      </c>
      <c r="S121" s="102" t="s">
        <v>806</v>
      </c>
      <c r="T121" s="95"/>
      <c r="U121" s="95" t="s">
        <v>774</v>
      </c>
      <c r="V121" s="95" t="s">
        <v>775</v>
      </c>
    </row>
    <row r="122" spans="1:22" ht="58.9" customHeight="1">
      <c r="A122" s="138"/>
      <c r="B122" s="150"/>
      <c r="C122" s="147"/>
      <c r="D122" s="317"/>
      <c r="E122" s="259"/>
      <c r="F122" s="261"/>
      <c r="G122" s="262"/>
      <c r="H122" s="263"/>
      <c r="I122" s="263"/>
      <c r="J122" s="264"/>
      <c r="K122" s="268"/>
      <c r="L122" s="264"/>
      <c r="M122" s="24" t="s">
        <v>780</v>
      </c>
      <c r="N122" s="23" t="s">
        <v>1023</v>
      </c>
      <c r="O122" s="25"/>
      <c r="P122" s="26"/>
      <c r="Q122" s="112" t="s">
        <v>1024</v>
      </c>
      <c r="R122" s="102">
        <v>8</v>
      </c>
      <c r="S122" s="102">
        <v>20</v>
      </c>
      <c r="T122" s="95"/>
      <c r="U122" s="95" t="s">
        <v>856</v>
      </c>
      <c r="V122" s="95" t="s">
        <v>987</v>
      </c>
    </row>
    <row r="123" spans="1:22" ht="48.75" customHeight="1">
      <c r="A123" s="138"/>
      <c r="B123" s="150"/>
      <c r="C123" s="147"/>
      <c r="D123" s="317"/>
      <c r="E123" s="259"/>
      <c r="F123" s="273"/>
      <c r="G123" s="266"/>
      <c r="H123" s="265"/>
      <c r="I123" s="265"/>
      <c r="J123" s="267"/>
      <c r="K123" s="269"/>
      <c r="L123" s="267"/>
      <c r="M123" s="24" t="s">
        <v>776</v>
      </c>
      <c r="N123" s="23" t="s">
        <v>1025</v>
      </c>
      <c r="O123" s="25"/>
      <c r="P123" s="26"/>
      <c r="Q123" s="23" t="s">
        <v>1026</v>
      </c>
      <c r="R123" s="102">
        <v>6</v>
      </c>
      <c r="S123" s="102">
        <v>18</v>
      </c>
      <c r="T123" s="95"/>
      <c r="U123" s="95" t="s">
        <v>774</v>
      </c>
      <c r="V123" s="95" t="s">
        <v>775</v>
      </c>
    </row>
    <row r="124" spans="1:22" ht="30.6" customHeight="1">
      <c r="A124" s="138"/>
      <c r="B124" s="150"/>
      <c r="C124" s="147"/>
      <c r="D124" s="317"/>
      <c r="E124" s="259"/>
      <c r="F124" s="243" t="s">
        <v>124</v>
      </c>
      <c r="G124" s="246" t="s">
        <v>125</v>
      </c>
      <c r="H124" s="249" t="s">
        <v>437</v>
      </c>
      <c r="I124" s="249" t="s">
        <v>438</v>
      </c>
      <c r="J124" s="252" t="str">
        <f>G124</f>
        <v>Promoure la certificació de zones d'especial protecció de la qualitat acústica</v>
      </c>
      <c r="K124" s="253"/>
      <c r="L124" s="252" t="s">
        <v>763</v>
      </c>
      <c r="M124" s="24" t="s">
        <v>776</v>
      </c>
      <c r="N124" s="23" t="s">
        <v>1027</v>
      </c>
      <c r="O124" s="25" t="s">
        <v>451</v>
      </c>
      <c r="P124" s="26"/>
      <c r="Q124" s="112" t="s">
        <v>1019</v>
      </c>
      <c r="R124" s="102">
        <v>3</v>
      </c>
      <c r="S124" s="102">
        <v>10</v>
      </c>
      <c r="T124" s="95"/>
      <c r="U124" s="95" t="s">
        <v>774</v>
      </c>
      <c r="V124" s="95" t="s">
        <v>775</v>
      </c>
    </row>
    <row r="125" spans="1:22" ht="32.25" customHeight="1">
      <c r="A125" s="138"/>
      <c r="B125" s="150"/>
      <c r="C125" s="147"/>
      <c r="D125" s="318"/>
      <c r="E125" s="320"/>
      <c r="F125" s="273"/>
      <c r="G125" s="266"/>
      <c r="H125" s="265"/>
      <c r="I125" s="265"/>
      <c r="J125" s="267"/>
      <c r="K125" s="269"/>
      <c r="L125" s="267"/>
      <c r="M125" s="24" t="s">
        <v>783</v>
      </c>
      <c r="N125" s="23" t="s">
        <v>1028</v>
      </c>
      <c r="O125" s="25"/>
      <c r="P125" s="26"/>
      <c r="Q125" s="23" t="s">
        <v>1029</v>
      </c>
      <c r="R125" s="102">
        <v>1</v>
      </c>
      <c r="S125" s="102">
        <v>12</v>
      </c>
      <c r="T125" s="95"/>
      <c r="U125" s="95" t="s">
        <v>774</v>
      </c>
      <c r="V125" s="95" t="s">
        <v>775</v>
      </c>
    </row>
    <row r="126" spans="1:22" ht="73.900000000000006" customHeight="1">
      <c r="A126" s="158" t="s">
        <v>126</v>
      </c>
      <c r="B126" s="159">
        <v>6</v>
      </c>
      <c r="C126" s="314" t="s">
        <v>127</v>
      </c>
      <c r="D126" s="316" t="s">
        <v>481</v>
      </c>
      <c r="E126" s="319" t="s">
        <v>128</v>
      </c>
      <c r="F126" s="243" t="s">
        <v>129</v>
      </c>
      <c r="G126" s="321" t="s">
        <v>1030</v>
      </c>
      <c r="H126" s="249" t="s">
        <v>435</v>
      </c>
      <c r="I126" s="249" t="s">
        <v>436</v>
      </c>
      <c r="J126" s="252" t="str">
        <f>G126</f>
        <v>Identificar i prioritzar els elements clau i d'interès per la gestió de la biodiversitat i geodiversitat de Catalunya es troben dins l'ENP (especies amenaçades, espècies clau, espècies típiques, espècies exòtiques invasores,.. )</v>
      </c>
      <c r="K126" s="253"/>
      <c r="L126" s="252" t="s">
        <v>763</v>
      </c>
      <c r="M126" s="24" t="s">
        <v>764</v>
      </c>
      <c r="N126" s="32" t="s">
        <v>1031</v>
      </c>
      <c r="O126" s="29" t="s">
        <v>482</v>
      </c>
      <c r="P126" s="26" t="s">
        <v>483</v>
      </c>
      <c r="Q126" s="112" t="s">
        <v>800</v>
      </c>
      <c r="R126" s="102">
        <v>2</v>
      </c>
      <c r="S126" s="102">
        <v>8</v>
      </c>
      <c r="T126" s="95"/>
      <c r="U126" s="95" t="s">
        <v>767</v>
      </c>
      <c r="V126" s="95" t="s">
        <v>768</v>
      </c>
    </row>
    <row r="127" spans="1:22" ht="63" customHeight="1">
      <c r="A127" s="31"/>
      <c r="B127" s="160"/>
      <c r="C127" s="315"/>
      <c r="D127" s="317"/>
      <c r="E127" s="259"/>
      <c r="F127" s="261"/>
      <c r="G127" s="322"/>
      <c r="H127" s="263"/>
      <c r="I127" s="263"/>
      <c r="J127" s="264"/>
      <c r="K127" s="268"/>
      <c r="L127" s="264"/>
      <c r="M127" s="24" t="s">
        <v>764</v>
      </c>
      <c r="N127" s="32" t="s">
        <v>1032</v>
      </c>
      <c r="O127" s="29"/>
      <c r="P127" s="26"/>
      <c r="Q127" s="112" t="s">
        <v>1033</v>
      </c>
      <c r="R127" s="102">
        <v>5</v>
      </c>
      <c r="S127" s="102">
        <v>25</v>
      </c>
      <c r="T127" s="95"/>
      <c r="U127" s="95" t="s">
        <v>767</v>
      </c>
      <c r="V127" s="95" t="s">
        <v>768</v>
      </c>
    </row>
    <row r="128" spans="1:22" ht="52.5" customHeight="1">
      <c r="A128" s="31"/>
      <c r="B128" s="160"/>
      <c r="C128" s="315"/>
      <c r="D128" s="317"/>
      <c r="E128" s="259"/>
      <c r="F128" s="273"/>
      <c r="G128" s="323"/>
      <c r="H128" s="265"/>
      <c r="I128" s="265"/>
      <c r="J128" s="267"/>
      <c r="K128" s="269"/>
      <c r="L128" s="267"/>
      <c r="M128" s="24" t="s">
        <v>776</v>
      </c>
      <c r="N128" s="32" t="s">
        <v>1034</v>
      </c>
      <c r="O128" s="29"/>
      <c r="P128" s="26"/>
      <c r="Q128" s="112" t="s">
        <v>1035</v>
      </c>
      <c r="R128" s="102">
        <v>2</v>
      </c>
      <c r="S128" s="102">
        <v>4</v>
      </c>
      <c r="T128" s="95"/>
      <c r="U128" s="95" t="s">
        <v>767</v>
      </c>
      <c r="V128" s="95" t="s">
        <v>768</v>
      </c>
    </row>
    <row r="129" spans="1:22" ht="54.6" customHeight="1">
      <c r="A129" s="31"/>
      <c r="B129" s="160"/>
      <c r="C129" s="315"/>
      <c r="D129" s="317"/>
      <c r="E129" s="259"/>
      <c r="F129" s="243" t="s">
        <v>130</v>
      </c>
      <c r="G129" s="246" t="s">
        <v>131</v>
      </c>
      <c r="H129" s="249" t="s">
        <v>435</v>
      </c>
      <c r="I129" s="249" t="s">
        <v>436</v>
      </c>
      <c r="J129" s="252" t="str">
        <f>G129</f>
        <v>Definir espais fràgils i zones d'especial atenció</v>
      </c>
      <c r="K129" s="253"/>
      <c r="L129" s="252" t="s">
        <v>763</v>
      </c>
      <c r="M129" s="24" t="s">
        <v>764</v>
      </c>
      <c r="N129" s="23" t="s">
        <v>1036</v>
      </c>
      <c r="O129" s="25"/>
      <c r="P129" s="26" t="s">
        <v>484</v>
      </c>
      <c r="Q129" s="112" t="s">
        <v>1037</v>
      </c>
      <c r="R129" s="102">
        <v>10</v>
      </c>
      <c r="S129" s="102">
        <v>40</v>
      </c>
      <c r="T129" s="95"/>
      <c r="U129" s="95" t="s">
        <v>767</v>
      </c>
      <c r="V129" s="95" t="s">
        <v>768</v>
      </c>
    </row>
    <row r="130" spans="1:22" ht="33.6" customHeight="1">
      <c r="A130" s="31"/>
      <c r="B130" s="160"/>
      <c r="C130" s="161"/>
      <c r="D130" s="317"/>
      <c r="E130" s="259"/>
      <c r="F130" s="261"/>
      <c r="G130" s="262"/>
      <c r="H130" s="263"/>
      <c r="I130" s="263"/>
      <c r="J130" s="264"/>
      <c r="K130" s="268"/>
      <c r="L130" s="264"/>
      <c r="M130" s="24" t="s">
        <v>780</v>
      </c>
      <c r="N130" s="23" t="s">
        <v>1038</v>
      </c>
      <c r="O130" s="25"/>
      <c r="P130" s="26"/>
      <c r="Q130" s="23" t="s">
        <v>1039</v>
      </c>
      <c r="R130" s="102">
        <v>10</v>
      </c>
      <c r="S130" s="102">
        <v>100</v>
      </c>
      <c r="T130" s="95"/>
      <c r="U130" s="95" t="s">
        <v>999</v>
      </c>
      <c r="V130" s="95" t="s">
        <v>787</v>
      </c>
    </row>
    <row r="131" spans="1:22" ht="32.450000000000003" customHeight="1">
      <c r="A131" s="31"/>
      <c r="B131" s="160"/>
      <c r="C131" s="161"/>
      <c r="D131" s="318"/>
      <c r="E131" s="320"/>
      <c r="F131" s="273"/>
      <c r="G131" s="266"/>
      <c r="H131" s="265"/>
      <c r="I131" s="265"/>
      <c r="J131" s="267"/>
      <c r="K131" s="269"/>
      <c r="L131" s="267"/>
      <c r="M131" s="24" t="s">
        <v>780</v>
      </c>
      <c r="N131" s="23" t="s">
        <v>1040</v>
      </c>
      <c r="O131" s="25"/>
      <c r="P131" s="26"/>
      <c r="Q131" s="23" t="s">
        <v>1041</v>
      </c>
      <c r="R131" s="102">
        <v>3</v>
      </c>
      <c r="S131" s="102">
        <v>10</v>
      </c>
      <c r="T131" s="95"/>
      <c r="U131" s="95" t="s">
        <v>999</v>
      </c>
      <c r="V131" s="95" t="s">
        <v>787</v>
      </c>
    </row>
    <row r="132" spans="1:22" ht="60.6" customHeight="1">
      <c r="A132" s="31"/>
      <c r="B132" s="160"/>
      <c r="C132" s="161"/>
      <c r="D132" s="329" t="s">
        <v>485</v>
      </c>
      <c r="E132" s="319" t="s">
        <v>132</v>
      </c>
      <c r="F132" s="243" t="s">
        <v>133</v>
      </c>
      <c r="G132" s="243" t="s">
        <v>1042</v>
      </c>
      <c r="H132" s="243" t="s">
        <v>435</v>
      </c>
      <c r="I132" s="243" t="s">
        <v>436</v>
      </c>
      <c r="J132" s="301" t="s">
        <v>1042</v>
      </c>
      <c r="K132" s="302"/>
      <c r="L132" s="270" t="s">
        <v>790</v>
      </c>
      <c r="M132" s="24" t="s">
        <v>776</v>
      </c>
      <c r="N132" s="23" t="s">
        <v>1043</v>
      </c>
      <c r="O132" s="25" t="s">
        <v>451</v>
      </c>
      <c r="P132" s="26" t="s">
        <v>486</v>
      </c>
      <c r="Q132" s="112" t="s">
        <v>800</v>
      </c>
      <c r="R132" s="102">
        <v>1</v>
      </c>
      <c r="S132" s="102">
        <v>5</v>
      </c>
      <c r="T132" s="95"/>
      <c r="U132" s="95" t="s">
        <v>767</v>
      </c>
      <c r="V132" s="95" t="s">
        <v>768</v>
      </c>
    </row>
    <row r="133" spans="1:22" ht="60.6" customHeight="1">
      <c r="A133" s="31"/>
      <c r="B133" s="160"/>
      <c r="C133" s="161"/>
      <c r="D133" s="330"/>
      <c r="E133" s="259"/>
      <c r="F133" s="245"/>
      <c r="G133" s="245"/>
      <c r="H133" s="245"/>
      <c r="I133" s="245"/>
      <c r="J133" s="245"/>
      <c r="K133" s="303"/>
      <c r="L133" s="312"/>
      <c r="M133" s="24" t="s">
        <v>776</v>
      </c>
      <c r="N133" s="23" t="s">
        <v>1044</v>
      </c>
      <c r="O133" s="25"/>
      <c r="P133" s="26"/>
      <c r="Q133" s="112" t="s">
        <v>1045</v>
      </c>
      <c r="R133" s="102" t="s">
        <v>1046</v>
      </c>
      <c r="S133" s="102" t="s">
        <v>1047</v>
      </c>
      <c r="T133" s="95"/>
      <c r="U133" s="95" t="s">
        <v>767</v>
      </c>
      <c r="V133" s="95" t="s">
        <v>768</v>
      </c>
    </row>
    <row r="134" spans="1:22" ht="105">
      <c r="A134" s="31"/>
      <c r="B134" s="160"/>
      <c r="C134" s="161"/>
      <c r="D134" s="330"/>
      <c r="E134" s="259"/>
      <c r="F134" s="117" t="s">
        <v>134</v>
      </c>
      <c r="G134" s="114" t="s">
        <v>135</v>
      </c>
      <c r="H134" s="113" t="s">
        <v>435</v>
      </c>
      <c r="I134" s="113" t="s">
        <v>436</v>
      </c>
      <c r="J134" s="23" t="str">
        <f>G134</f>
        <v>Conèixer i estudiar els processos naturals propis de l’espai, la seva funcionalitat, i ecologia en referència als ecosistemes</v>
      </c>
      <c r="K134" s="22"/>
      <c r="L134" s="23" t="s">
        <v>763</v>
      </c>
      <c r="M134" s="24" t="s">
        <v>780</v>
      </c>
      <c r="N134" s="23" t="s">
        <v>1048</v>
      </c>
      <c r="O134" s="25"/>
      <c r="P134" s="26"/>
      <c r="Q134" s="112" t="s">
        <v>1049</v>
      </c>
      <c r="R134" s="102">
        <v>2</v>
      </c>
      <c r="S134" s="102">
        <v>8</v>
      </c>
      <c r="T134" s="95"/>
      <c r="U134" s="95" t="s">
        <v>999</v>
      </c>
      <c r="V134" s="95" t="s">
        <v>787</v>
      </c>
    </row>
    <row r="135" spans="1:22" ht="130.9" customHeight="1">
      <c r="A135" s="31"/>
      <c r="B135" s="160"/>
      <c r="C135" s="161"/>
      <c r="D135" s="330"/>
      <c r="E135" s="259"/>
      <c r="F135" s="243" t="s">
        <v>136</v>
      </c>
      <c r="G135" s="243" t="s">
        <v>137</v>
      </c>
      <c r="H135" s="243" t="s">
        <v>435</v>
      </c>
      <c r="I135" s="243" t="s">
        <v>436</v>
      </c>
      <c r="J135" s="301" t="str">
        <f>G135</f>
        <v>Conèixer els usos i factors de canvi rellevants en l'evolució dels elements de conservació, i avaluar els efectes que generen en l’espai (pressions i amenaces)</v>
      </c>
      <c r="K135" s="302"/>
      <c r="L135" s="270" t="s">
        <v>763</v>
      </c>
      <c r="M135" s="24" t="s">
        <v>776</v>
      </c>
      <c r="N135" s="23" t="s">
        <v>1050</v>
      </c>
      <c r="O135" s="25" t="s">
        <v>451</v>
      </c>
      <c r="P135" s="26" t="s">
        <v>487</v>
      </c>
      <c r="Q135" s="112" t="s">
        <v>1049</v>
      </c>
      <c r="R135" s="102">
        <v>4</v>
      </c>
      <c r="S135" s="102">
        <v>10</v>
      </c>
      <c r="T135" s="95"/>
      <c r="U135" s="95" t="s">
        <v>999</v>
      </c>
      <c r="V135" s="95" t="s">
        <v>787</v>
      </c>
    </row>
    <row r="136" spans="1:22" ht="106.15" customHeight="1">
      <c r="A136" s="31"/>
      <c r="B136" s="160"/>
      <c r="C136" s="161"/>
      <c r="D136" s="330"/>
      <c r="E136" s="259"/>
      <c r="F136" s="244"/>
      <c r="G136" s="244"/>
      <c r="H136" s="244"/>
      <c r="I136" s="244"/>
      <c r="J136" s="244"/>
      <c r="K136" s="325"/>
      <c r="L136" s="326"/>
      <c r="M136" s="24" t="s">
        <v>780</v>
      </c>
      <c r="N136" s="23" t="s">
        <v>1051</v>
      </c>
      <c r="O136" s="25" t="s">
        <v>451</v>
      </c>
      <c r="P136" s="26" t="s">
        <v>487</v>
      </c>
      <c r="Q136" s="112" t="s">
        <v>1049</v>
      </c>
      <c r="R136" s="102">
        <v>1</v>
      </c>
      <c r="S136" s="102">
        <v>3</v>
      </c>
      <c r="T136" s="95"/>
      <c r="U136" s="95" t="s">
        <v>999</v>
      </c>
      <c r="V136" s="95" t="s">
        <v>787</v>
      </c>
    </row>
    <row r="137" spans="1:22" ht="64.150000000000006" customHeight="1">
      <c r="A137" s="31"/>
      <c r="B137" s="160"/>
      <c r="C137" s="161"/>
      <c r="D137" s="330"/>
      <c r="E137" s="259"/>
      <c r="F137" s="244"/>
      <c r="G137" s="244"/>
      <c r="H137" s="244"/>
      <c r="I137" s="244"/>
      <c r="J137" s="244"/>
      <c r="K137" s="325"/>
      <c r="L137" s="326"/>
      <c r="M137" s="24" t="s">
        <v>776</v>
      </c>
      <c r="N137" s="23" t="s">
        <v>1052</v>
      </c>
      <c r="O137" s="25"/>
      <c r="P137" s="26"/>
      <c r="Q137" s="23" t="s">
        <v>1053</v>
      </c>
      <c r="R137" s="102">
        <v>2</v>
      </c>
      <c r="S137" s="102">
        <v>4</v>
      </c>
      <c r="T137" s="95"/>
      <c r="U137" s="95" t="s">
        <v>999</v>
      </c>
      <c r="V137" s="95" t="s">
        <v>787</v>
      </c>
    </row>
    <row r="138" spans="1:22" ht="61.15" customHeight="1">
      <c r="A138" s="31"/>
      <c r="B138" s="160"/>
      <c r="C138" s="161"/>
      <c r="D138" s="330"/>
      <c r="E138" s="259"/>
      <c r="F138" s="244"/>
      <c r="G138" s="244"/>
      <c r="H138" s="244"/>
      <c r="I138" s="244"/>
      <c r="J138" s="244"/>
      <c r="K138" s="325"/>
      <c r="L138" s="326"/>
      <c r="M138" s="24" t="s">
        <v>783</v>
      </c>
      <c r="N138" s="23" t="s">
        <v>1054</v>
      </c>
      <c r="O138" s="25"/>
      <c r="P138" s="26"/>
      <c r="Q138" s="112" t="s">
        <v>1055</v>
      </c>
      <c r="R138" s="102">
        <v>1</v>
      </c>
      <c r="S138" s="102">
        <v>4</v>
      </c>
      <c r="T138" s="95"/>
      <c r="U138" s="95" t="s">
        <v>999</v>
      </c>
      <c r="V138" s="95" t="s">
        <v>787</v>
      </c>
    </row>
    <row r="139" spans="1:22" ht="60" customHeight="1">
      <c r="A139" s="31"/>
      <c r="B139" s="160"/>
      <c r="C139" s="161"/>
      <c r="D139" s="330"/>
      <c r="E139" s="259"/>
      <c r="F139" s="245"/>
      <c r="G139" s="245"/>
      <c r="H139" s="245"/>
      <c r="I139" s="245"/>
      <c r="J139" s="245"/>
      <c r="K139" s="303"/>
      <c r="L139" s="312"/>
      <c r="M139" s="24" t="s">
        <v>780</v>
      </c>
      <c r="N139" s="23" t="s">
        <v>1056</v>
      </c>
      <c r="O139" s="25"/>
      <c r="P139" s="26"/>
      <c r="Q139" s="23" t="s">
        <v>1057</v>
      </c>
      <c r="R139" s="102">
        <v>4</v>
      </c>
      <c r="S139" s="102">
        <v>12</v>
      </c>
      <c r="T139" s="95"/>
      <c r="U139" s="95" t="s">
        <v>999</v>
      </c>
      <c r="V139" s="95" t="s">
        <v>787</v>
      </c>
    </row>
    <row r="140" spans="1:22" ht="129" customHeight="1">
      <c r="A140" s="31"/>
      <c r="B140" s="160"/>
      <c r="C140" s="161"/>
      <c r="D140" s="331"/>
      <c r="E140" s="320"/>
      <c r="F140" s="243" t="s">
        <v>138</v>
      </c>
      <c r="G140" s="246" t="s">
        <v>139</v>
      </c>
      <c r="H140" s="249" t="s">
        <v>435</v>
      </c>
      <c r="I140" s="249" t="s">
        <v>438</v>
      </c>
      <c r="J140" s="252" t="str">
        <f>G140</f>
        <v>Conèixer l'impacte de les gestió de l'aigua, sobre la biodiversitat.</v>
      </c>
      <c r="K140" s="253"/>
      <c r="L140" s="252" t="s">
        <v>763</v>
      </c>
      <c r="M140" s="24" t="s">
        <v>776</v>
      </c>
      <c r="N140" s="23" t="s">
        <v>1058</v>
      </c>
      <c r="O140" s="25"/>
      <c r="P140" s="26"/>
      <c r="Q140" s="23" t="s">
        <v>1059</v>
      </c>
      <c r="R140" s="102" t="s">
        <v>805</v>
      </c>
      <c r="S140" s="102" t="s">
        <v>806</v>
      </c>
      <c r="T140" s="95"/>
      <c r="U140" s="95" t="s">
        <v>999</v>
      </c>
      <c r="V140" s="95" t="s">
        <v>787</v>
      </c>
    </row>
    <row r="141" spans="1:22" ht="47.45" customHeight="1">
      <c r="A141" s="31"/>
      <c r="B141" s="160"/>
      <c r="C141" s="161"/>
      <c r="D141" s="327" t="s">
        <v>488</v>
      </c>
      <c r="E141" s="328" t="s">
        <v>146</v>
      </c>
      <c r="F141" s="273"/>
      <c r="G141" s="266"/>
      <c r="H141" s="265"/>
      <c r="I141" s="265"/>
      <c r="J141" s="267"/>
      <c r="K141" s="269"/>
      <c r="L141" s="267"/>
      <c r="M141" s="24" t="s">
        <v>780</v>
      </c>
      <c r="N141" s="23" t="s">
        <v>1060</v>
      </c>
      <c r="O141" s="25"/>
      <c r="P141" s="26"/>
      <c r="Q141" s="23" t="s">
        <v>1061</v>
      </c>
      <c r="R141" s="102">
        <v>4</v>
      </c>
      <c r="S141" s="102">
        <v>8</v>
      </c>
      <c r="T141" s="95"/>
      <c r="U141" s="95" t="s">
        <v>999</v>
      </c>
      <c r="V141" s="95" t="s">
        <v>787</v>
      </c>
    </row>
    <row r="142" spans="1:22" ht="64.150000000000006" customHeight="1">
      <c r="A142" s="31"/>
      <c r="B142" s="160"/>
      <c r="C142" s="161"/>
      <c r="D142" s="327"/>
      <c r="E142" s="328"/>
      <c r="F142" s="243" t="s">
        <v>140</v>
      </c>
      <c r="G142" s="243" t="s">
        <v>141</v>
      </c>
      <c r="H142" s="243" t="s">
        <v>435</v>
      </c>
      <c r="I142" s="243" t="s">
        <v>438</v>
      </c>
      <c r="J142" s="301" t="str">
        <f>G142</f>
        <v>Participar en el coneixement de la tendència d'espècies plaga amb afectacions sobre ecosistemes o activitats econòmiques dins l'ENP</v>
      </c>
      <c r="K142" s="302"/>
      <c r="L142" s="302" t="s">
        <v>763</v>
      </c>
      <c r="M142" s="24" t="s">
        <v>776</v>
      </c>
      <c r="N142" s="23" t="s">
        <v>1062</v>
      </c>
      <c r="O142" s="25"/>
      <c r="P142" s="26"/>
      <c r="Q142" s="23" t="s">
        <v>1063</v>
      </c>
      <c r="R142" s="102">
        <v>4</v>
      </c>
      <c r="S142" s="102">
        <v>12</v>
      </c>
      <c r="T142" s="95"/>
      <c r="U142" s="95" t="s">
        <v>999</v>
      </c>
      <c r="V142" s="95" t="s">
        <v>787</v>
      </c>
    </row>
    <row r="143" spans="1:22" ht="57" customHeight="1">
      <c r="A143" s="31"/>
      <c r="B143" s="160"/>
      <c r="C143" s="161"/>
      <c r="D143" s="327"/>
      <c r="E143" s="328"/>
      <c r="F143" s="245"/>
      <c r="G143" s="245"/>
      <c r="H143" s="245"/>
      <c r="I143" s="245"/>
      <c r="J143" s="245"/>
      <c r="K143" s="303"/>
      <c r="L143" s="303"/>
      <c r="M143" s="24" t="s">
        <v>776</v>
      </c>
      <c r="N143" s="23" t="s">
        <v>1064</v>
      </c>
      <c r="O143" s="25"/>
      <c r="P143" s="26"/>
      <c r="Q143" s="23" t="s">
        <v>1065</v>
      </c>
      <c r="R143" s="102">
        <v>4</v>
      </c>
      <c r="S143" s="102">
        <v>8</v>
      </c>
      <c r="T143" s="95"/>
      <c r="U143" s="95" t="s">
        <v>774</v>
      </c>
      <c r="V143" s="95" t="s">
        <v>775</v>
      </c>
    </row>
    <row r="144" spans="1:22" ht="45">
      <c r="A144" s="31"/>
      <c r="B144" s="160"/>
      <c r="C144" s="161"/>
      <c r="D144" s="327"/>
      <c r="E144" s="328"/>
      <c r="F144" s="117" t="s">
        <v>142</v>
      </c>
      <c r="G144" s="114" t="s">
        <v>143</v>
      </c>
      <c r="H144" s="113" t="s">
        <v>435</v>
      </c>
      <c r="I144" s="113" t="s">
        <v>436</v>
      </c>
      <c r="J144" s="23" t="str">
        <f>G144</f>
        <v>Conèixer la tendència d'espècies exòtiques invasores amb afectacions sobre ecosistemes o activitats econòmiques dins l'ENP</v>
      </c>
      <c r="K144" s="22"/>
      <c r="L144" s="23" t="s">
        <v>763</v>
      </c>
      <c r="M144" s="24" t="s">
        <v>776</v>
      </c>
      <c r="N144" s="23" t="s">
        <v>1066</v>
      </c>
      <c r="O144" s="25" t="s">
        <v>451</v>
      </c>
      <c r="P144" s="26"/>
      <c r="Q144" s="112" t="s">
        <v>1049</v>
      </c>
      <c r="R144" s="102">
        <v>4</v>
      </c>
      <c r="S144" s="102">
        <v>12</v>
      </c>
      <c r="T144" s="95"/>
      <c r="U144" s="95" t="s">
        <v>999</v>
      </c>
      <c r="V144" s="95" t="s">
        <v>787</v>
      </c>
    </row>
    <row r="145" spans="1:22" ht="30">
      <c r="A145" s="31"/>
      <c r="B145" s="160"/>
      <c r="C145" s="161"/>
      <c r="D145" s="327"/>
      <c r="E145" s="328"/>
      <c r="F145" s="117" t="s">
        <v>144</v>
      </c>
      <c r="G145" s="114" t="s">
        <v>145</v>
      </c>
      <c r="H145" s="113" t="s">
        <v>435</v>
      </c>
      <c r="I145" s="113" t="s">
        <v>438</v>
      </c>
      <c r="J145" s="23" t="str">
        <f>G145</f>
        <v>Coneixer com millorar la connectivitat de forma coordinada amb altres ENP</v>
      </c>
      <c r="K145" s="22"/>
      <c r="L145" s="23" t="s">
        <v>763</v>
      </c>
      <c r="M145" s="24" t="s">
        <v>780</v>
      </c>
      <c r="N145" s="23" t="s">
        <v>1067</v>
      </c>
      <c r="O145" s="25" t="s">
        <v>451</v>
      </c>
      <c r="P145" s="26"/>
      <c r="Q145" s="112" t="s">
        <v>1068</v>
      </c>
      <c r="R145" s="102" t="s">
        <v>805</v>
      </c>
      <c r="S145" s="102" t="s">
        <v>806</v>
      </c>
      <c r="T145" s="95"/>
      <c r="U145" s="95" t="s">
        <v>999</v>
      </c>
      <c r="V145" s="95" t="s">
        <v>787</v>
      </c>
    </row>
    <row r="146" spans="1:22" ht="49.5" customHeight="1">
      <c r="A146" s="31"/>
      <c r="B146" s="160"/>
      <c r="C146" s="161"/>
      <c r="D146" s="327"/>
      <c r="E146" s="328"/>
      <c r="F146" s="117" t="s">
        <v>147</v>
      </c>
      <c r="G146" s="114" t="s">
        <v>148</v>
      </c>
      <c r="H146" s="113" t="s">
        <v>435</v>
      </c>
      <c r="I146" s="113" t="s">
        <v>436</v>
      </c>
      <c r="J146" s="23" t="str">
        <f>G146</f>
        <v>Participar en la definició del sistema estàndard de seguiment de flora, fauna i hàbitats de la DG</v>
      </c>
      <c r="K146" s="22"/>
      <c r="L146" s="23" t="s">
        <v>790</v>
      </c>
      <c r="M146" s="24" t="s">
        <v>776</v>
      </c>
      <c r="N146" s="23" t="s">
        <v>1069</v>
      </c>
      <c r="O146" s="25" t="s">
        <v>451</v>
      </c>
      <c r="P146" s="26" t="s">
        <v>489</v>
      </c>
      <c r="Q146" s="112" t="s">
        <v>1070</v>
      </c>
      <c r="R146" s="102">
        <v>4</v>
      </c>
      <c r="S146" s="102">
        <v>12</v>
      </c>
      <c r="T146" s="95"/>
      <c r="U146" s="95" t="s">
        <v>767</v>
      </c>
      <c r="V146" s="95" t="s">
        <v>768</v>
      </c>
    </row>
    <row r="147" spans="1:22" ht="41.25" customHeight="1">
      <c r="A147" s="31"/>
      <c r="B147" s="160"/>
      <c r="C147" s="161"/>
      <c r="D147" s="327"/>
      <c r="E147" s="328"/>
      <c r="F147" s="243" t="s">
        <v>149</v>
      </c>
      <c r="G147" s="246" t="s">
        <v>150</v>
      </c>
      <c r="H147" s="249" t="s">
        <v>435</v>
      </c>
      <c r="I147" s="249" t="s">
        <v>436</v>
      </c>
      <c r="J147" s="252" t="s">
        <v>1071</v>
      </c>
      <c r="K147" s="302" t="s">
        <v>1072</v>
      </c>
      <c r="L147" s="252" t="s">
        <v>763</v>
      </c>
      <c r="M147" s="24" t="s">
        <v>776</v>
      </c>
      <c r="N147" s="23" t="s">
        <v>1073</v>
      </c>
      <c r="O147" s="25" t="s">
        <v>451</v>
      </c>
      <c r="P147" s="26" t="s">
        <v>490</v>
      </c>
      <c r="Q147" s="112" t="s">
        <v>1074</v>
      </c>
      <c r="R147" s="102" t="s">
        <v>805</v>
      </c>
      <c r="S147" s="102" t="s">
        <v>806</v>
      </c>
      <c r="T147" s="95"/>
      <c r="U147" s="95" t="s">
        <v>767</v>
      </c>
      <c r="V147" s="95" t="s">
        <v>768</v>
      </c>
    </row>
    <row r="148" spans="1:22" ht="39.75" customHeight="1">
      <c r="A148" s="31"/>
      <c r="B148" s="160"/>
      <c r="C148" s="161"/>
      <c r="D148" s="327"/>
      <c r="E148" s="328"/>
      <c r="F148" s="261"/>
      <c r="G148" s="262"/>
      <c r="H148" s="263"/>
      <c r="I148" s="263"/>
      <c r="J148" s="264"/>
      <c r="K148" s="332"/>
      <c r="L148" s="264"/>
      <c r="M148" s="24" t="s">
        <v>780</v>
      </c>
      <c r="N148" s="23" t="s">
        <v>1075</v>
      </c>
      <c r="O148" s="25"/>
      <c r="P148" s="26"/>
      <c r="Q148" s="23" t="s">
        <v>1076</v>
      </c>
      <c r="R148" s="102">
        <v>10</v>
      </c>
      <c r="S148" s="102">
        <v>40</v>
      </c>
      <c r="T148" s="95"/>
      <c r="U148" s="95" t="s">
        <v>856</v>
      </c>
      <c r="V148" s="95" t="s">
        <v>857</v>
      </c>
    </row>
    <row r="149" spans="1:22" ht="33" customHeight="1">
      <c r="A149" s="31"/>
      <c r="B149" s="160"/>
      <c r="C149" s="161"/>
      <c r="D149" s="334" t="s">
        <v>492</v>
      </c>
      <c r="E149" s="319" t="s">
        <v>155</v>
      </c>
      <c r="F149" s="261"/>
      <c r="G149" s="262"/>
      <c r="H149" s="263"/>
      <c r="I149" s="263"/>
      <c r="J149" s="264"/>
      <c r="K149" s="332"/>
      <c r="L149" s="264"/>
      <c r="M149" s="24" t="s">
        <v>776</v>
      </c>
      <c r="N149" s="23" t="s">
        <v>1077</v>
      </c>
      <c r="O149" s="25"/>
      <c r="P149" s="26"/>
      <c r="Q149" s="112" t="s">
        <v>1078</v>
      </c>
      <c r="R149" s="102">
        <v>12</v>
      </c>
      <c r="S149" s="102">
        <v>40</v>
      </c>
      <c r="T149" s="95"/>
      <c r="U149" s="95" t="s">
        <v>767</v>
      </c>
      <c r="V149" s="95" t="s">
        <v>768</v>
      </c>
    </row>
    <row r="150" spans="1:22" ht="40.15" hidden="1" customHeight="1">
      <c r="A150" s="31"/>
      <c r="B150" s="160"/>
      <c r="C150" s="161"/>
      <c r="D150" s="341"/>
      <c r="E150" s="343"/>
      <c r="F150" s="273"/>
      <c r="G150" s="266"/>
      <c r="H150" s="265"/>
      <c r="I150" s="265"/>
      <c r="J150" s="267"/>
      <c r="K150" s="333"/>
      <c r="L150" s="267"/>
      <c r="M150" s="24" t="s">
        <v>783</v>
      </c>
      <c r="N150" s="23" t="s">
        <v>1079</v>
      </c>
      <c r="O150" s="25"/>
      <c r="P150" s="26"/>
      <c r="Q150" s="112" t="s">
        <v>1080</v>
      </c>
      <c r="R150" s="102">
        <v>4</v>
      </c>
      <c r="S150" s="102">
        <v>8</v>
      </c>
      <c r="T150" s="95"/>
      <c r="U150" s="95" t="s">
        <v>767</v>
      </c>
      <c r="V150" s="95" t="s">
        <v>768</v>
      </c>
    </row>
    <row r="151" spans="1:22" ht="38.25" customHeight="1">
      <c r="A151" s="31"/>
      <c r="B151" s="160"/>
      <c r="C151" s="161"/>
      <c r="D151" s="341"/>
      <c r="E151" s="343"/>
      <c r="F151" s="117" t="s">
        <v>151</v>
      </c>
      <c r="G151" s="114" t="s">
        <v>152</v>
      </c>
      <c r="H151" s="113" t="s">
        <v>435</v>
      </c>
      <c r="I151" s="113" t="s">
        <v>436</v>
      </c>
      <c r="J151" s="23" t="s">
        <v>1081</v>
      </c>
      <c r="K151" s="21" t="s">
        <v>1072</v>
      </c>
      <c r="L151" s="23" t="s">
        <v>763</v>
      </c>
      <c r="M151" s="24" t="s">
        <v>780</v>
      </c>
      <c r="N151" s="23" t="s">
        <v>1082</v>
      </c>
      <c r="O151" s="25"/>
      <c r="P151" s="26"/>
      <c r="Q151" s="112" t="s">
        <v>1083</v>
      </c>
      <c r="R151" s="102">
        <v>40</v>
      </c>
      <c r="S151" s="102">
        <v>160</v>
      </c>
      <c r="T151" s="95"/>
      <c r="U151" s="95" t="s">
        <v>767</v>
      </c>
      <c r="V151" s="95" t="s">
        <v>768</v>
      </c>
    </row>
    <row r="152" spans="1:22" ht="42" customHeight="1">
      <c r="A152" s="31"/>
      <c r="B152" s="160"/>
      <c r="C152" s="161"/>
      <c r="D152" s="341"/>
      <c r="E152" s="343"/>
      <c r="F152" s="117" t="s">
        <v>153</v>
      </c>
      <c r="G152" s="114" t="s">
        <v>154</v>
      </c>
      <c r="H152" s="113" t="s">
        <v>435</v>
      </c>
      <c r="I152" s="113" t="s">
        <v>436</v>
      </c>
      <c r="J152" s="23" t="str">
        <f>G152</f>
        <v>Participar en el grups de treball per a la definició i organització del SINATCAT</v>
      </c>
      <c r="K152" s="22"/>
      <c r="L152" s="27" t="s">
        <v>790</v>
      </c>
      <c r="M152" s="24" t="s">
        <v>780</v>
      </c>
      <c r="N152" s="23" t="s">
        <v>1084</v>
      </c>
      <c r="O152" s="25"/>
      <c r="P152" s="26" t="s">
        <v>491</v>
      </c>
      <c r="Q152" s="112" t="s">
        <v>1070</v>
      </c>
      <c r="R152" s="102">
        <v>4</v>
      </c>
      <c r="S152" s="102">
        <v>8</v>
      </c>
      <c r="T152" s="95"/>
      <c r="U152" s="95" t="s">
        <v>767</v>
      </c>
      <c r="V152" s="95" t="s">
        <v>768</v>
      </c>
    </row>
    <row r="153" spans="1:22" ht="55.9" customHeight="1">
      <c r="A153" s="31"/>
      <c r="B153" s="160"/>
      <c r="C153" s="161"/>
      <c r="D153" s="341"/>
      <c r="E153" s="343"/>
      <c r="F153" s="243" t="s">
        <v>156</v>
      </c>
      <c r="G153" s="246" t="s">
        <v>157</v>
      </c>
      <c r="H153" s="249" t="s">
        <v>435</v>
      </c>
      <c r="I153" s="249" t="s">
        <v>438</v>
      </c>
      <c r="J153" s="252" t="str">
        <f>G153</f>
        <v>Crear sinèrgies i col·laborar amb museus i equipaments de referència per definir línies d'actuació conjunta entre patrimoni cultural i natural</v>
      </c>
      <c r="K153" s="253"/>
      <c r="L153" s="252" t="s">
        <v>763</v>
      </c>
      <c r="M153" s="24" t="s">
        <v>780</v>
      </c>
      <c r="N153" s="23" t="s">
        <v>1085</v>
      </c>
      <c r="O153" s="25"/>
      <c r="P153" s="26" t="s">
        <v>493</v>
      </c>
      <c r="Q153" s="23" t="s">
        <v>939</v>
      </c>
      <c r="R153" s="102">
        <v>8</v>
      </c>
      <c r="S153" s="102">
        <v>20</v>
      </c>
      <c r="T153" s="95"/>
      <c r="U153" s="95" t="s">
        <v>774</v>
      </c>
      <c r="V153" s="95" t="s">
        <v>775</v>
      </c>
    </row>
    <row r="154" spans="1:22" ht="60">
      <c r="A154" s="31"/>
      <c r="B154" s="160"/>
      <c r="C154" s="161"/>
      <c r="D154" s="341"/>
      <c r="E154" s="343"/>
      <c r="F154" s="273"/>
      <c r="G154" s="266"/>
      <c r="H154" s="265"/>
      <c r="I154" s="265"/>
      <c r="J154" s="267"/>
      <c r="K154" s="269"/>
      <c r="L154" s="267"/>
      <c r="M154" s="24" t="s">
        <v>780</v>
      </c>
      <c r="N154" s="23" t="s">
        <v>1086</v>
      </c>
      <c r="O154" s="25"/>
      <c r="P154" s="26"/>
      <c r="Q154" s="23" t="s">
        <v>939</v>
      </c>
      <c r="R154" s="102">
        <v>4</v>
      </c>
      <c r="S154" s="102">
        <v>10</v>
      </c>
      <c r="T154" s="95"/>
      <c r="U154" s="95" t="s">
        <v>999</v>
      </c>
      <c r="V154" s="95" t="s">
        <v>787</v>
      </c>
    </row>
    <row r="155" spans="1:22" ht="36" customHeight="1">
      <c r="A155" s="31"/>
      <c r="B155" s="160"/>
      <c r="C155" s="161"/>
      <c r="D155" s="341"/>
      <c r="E155" s="343"/>
      <c r="F155" s="243" t="s">
        <v>158</v>
      </c>
      <c r="G155" s="246" t="s">
        <v>159</v>
      </c>
      <c r="H155" s="249" t="s">
        <v>435</v>
      </c>
      <c r="I155" s="249" t="s">
        <v>438</v>
      </c>
      <c r="J155" s="252" t="str">
        <f>G155</f>
        <v>Establir acords amb les institucions de recerca i naturalistes per al desenvolupament d'estudis i inventaris dins l'ENP en el marc de les seves línies de recerca</v>
      </c>
      <c r="K155" s="253"/>
      <c r="L155" s="252" t="s">
        <v>763</v>
      </c>
      <c r="M155" s="24" t="s">
        <v>780</v>
      </c>
      <c r="N155" s="23" t="s">
        <v>1087</v>
      </c>
      <c r="O155" s="25"/>
      <c r="P155" s="26" t="s">
        <v>494</v>
      </c>
      <c r="Q155" s="23" t="s">
        <v>1088</v>
      </c>
      <c r="R155" s="102">
        <v>10</v>
      </c>
      <c r="S155" s="102">
        <v>25</v>
      </c>
      <c r="T155" s="95"/>
      <c r="U155" s="95" t="s">
        <v>999</v>
      </c>
      <c r="V155" s="95" t="s">
        <v>787</v>
      </c>
    </row>
    <row r="156" spans="1:22" ht="80.25" customHeight="1">
      <c r="A156" s="31"/>
      <c r="B156" s="160"/>
      <c r="C156" s="161"/>
      <c r="D156" s="341"/>
      <c r="E156" s="343"/>
      <c r="F156" s="261"/>
      <c r="G156" s="262"/>
      <c r="H156" s="263"/>
      <c r="I156" s="263"/>
      <c r="J156" s="264"/>
      <c r="K156" s="268"/>
      <c r="L156" s="264"/>
      <c r="M156" s="24" t="s">
        <v>780</v>
      </c>
      <c r="N156" s="23" t="s">
        <v>1089</v>
      </c>
      <c r="O156" s="25"/>
      <c r="P156" s="26"/>
      <c r="Q156" s="23" t="s">
        <v>1090</v>
      </c>
      <c r="R156" s="102">
        <v>4</v>
      </c>
      <c r="S156" s="102">
        <v>16</v>
      </c>
      <c r="T156" s="95"/>
      <c r="U156" s="95" t="s">
        <v>999</v>
      </c>
      <c r="V156" s="95" t="s">
        <v>787</v>
      </c>
    </row>
    <row r="157" spans="1:22" ht="83.25" customHeight="1">
      <c r="A157" s="31"/>
      <c r="B157" s="160"/>
      <c r="C157" s="161"/>
      <c r="D157" s="341"/>
      <c r="E157" s="343"/>
      <c r="F157" s="261"/>
      <c r="G157" s="262"/>
      <c r="H157" s="263"/>
      <c r="I157" s="263"/>
      <c r="J157" s="264"/>
      <c r="K157" s="268"/>
      <c r="L157" s="264"/>
      <c r="M157" s="24" t="s">
        <v>783</v>
      </c>
      <c r="N157" s="23" t="s">
        <v>1091</v>
      </c>
      <c r="O157" s="25"/>
      <c r="P157" s="26"/>
      <c r="Q157" s="23" t="s">
        <v>1092</v>
      </c>
      <c r="R157" s="102">
        <v>1</v>
      </c>
      <c r="S157" s="102">
        <v>5</v>
      </c>
      <c r="T157" s="95"/>
      <c r="U157" s="95" t="s">
        <v>999</v>
      </c>
      <c r="V157" s="95" t="s">
        <v>787</v>
      </c>
    </row>
    <row r="158" spans="1:22" ht="42" customHeight="1">
      <c r="A158" s="31"/>
      <c r="B158" s="160"/>
      <c r="C158" s="161"/>
      <c r="D158" s="341"/>
      <c r="E158" s="343"/>
      <c r="F158" s="261"/>
      <c r="G158" s="262"/>
      <c r="H158" s="263"/>
      <c r="I158" s="263"/>
      <c r="J158" s="264"/>
      <c r="K158" s="268"/>
      <c r="L158" s="264"/>
      <c r="M158" s="24" t="s">
        <v>780</v>
      </c>
      <c r="N158" s="23" t="s">
        <v>1093</v>
      </c>
      <c r="O158" s="25"/>
      <c r="P158" s="26"/>
      <c r="Q158" s="23" t="s">
        <v>1094</v>
      </c>
      <c r="R158" s="102" t="s">
        <v>805</v>
      </c>
      <c r="S158" s="102" t="s">
        <v>806</v>
      </c>
      <c r="T158" s="95"/>
      <c r="U158" s="95" t="s">
        <v>999</v>
      </c>
      <c r="V158" s="95" t="s">
        <v>787</v>
      </c>
    </row>
    <row r="159" spans="1:22" ht="60">
      <c r="A159" s="31"/>
      <c r="B159" s="160"/>
      <c r="C159" s="161"/>
      <c r="D159" s="341"/>
      <c r="E159" s="343"/>
      <c r="F159" s="273"/>
      <c r="G159" s="266"/>
      <c r="H159" s="265"/>
      <c r="I159" s="265"/>
      <c r="J159" s="267"/>
      <c r="K159" s="269"/>
      <c r="L159" s="267"/>
      <c r="M159" s="24" t="s">
        <v>780</v>
      </c>
      <c r="N159" s="23" t="s">
        <v>1095</v>
      </c>
      <c r="O159" s="25"/>
      <c r="P159" s="26"/>
      <c r="Q159" s="23" t="s">
        <v>1096</v>
      </c>
      <c r="R159" s="102">
        <v>1</v>
      </c>
      <c r="S159" s="102">
        <v>5</v>
      </c>
      <c r="T159" s="95"/>
      <c r="U159" s="95" t="s">
        <v>999</v>
      </c>
      <c r="V159" s="95" t="s">
        <v>787</v>
      </c>
    </row>
    <row r="160" spans="1:22" ht="30">
      <c r="A160" s="31"/>
      <c r="B160" s="160"/>
      <c r="C160" s="161"/>
      <c r="D160" s="341"/>
      <c r="E160" s="343"/>
      <c r="F160" s="117" t="s">
        <v>160</v>
      </c>
      <c r="G160" s="114" t="s">
        <v>161</v>
      </c>
      <c r="H160" s="113" t="s">
        <v>435</v>
      </c>
      <c r="I160" s="113" t="s">
        <v>438</v>
      </c>
      <c r="J160" s="23" t="str">
        <f>G160</f>
        <v xml:space="preserve">Potenciar la ciència ciutadana en l’ENP com a eina per generar coneixement </v>
      </c>
      <c r="K160" s="22"/>
      <c r="L160" s="23" t="s">
        <v>763</v>
      </c>
      <c r="M160" s="24" t="s">
        <v>780</v>
      </c>
      <c r="N160" s="23" t="s">
        <v>1097</v>
      </c>
      <c r="O160" s="25"/>
      <c r="P160" s="26"/>
      <c r="Q160" s="23" t="s">
        <v>1098</v>
      </c>
      <c r="R160" s="102">
        <v>1</v>
      </c>
      <c r="S160" s="102">
        <v>6</v>
      </c>
      <c r="T160" s="95"/>
      <c r="U160" s="95" t="s">
        <v>999</v>
      </c>
      <c r="V160" s="95" t="s">
        <v>787</v>
      </c>
    </row>
    <row r="161" spans="1:22" ht="35.450000000000003" customHeight="1">
      <c r="A161" s="31"/>
      <c r="B161" s="160"/>
      <c r="C161" s="161"/>
      <c r="D161" s="341"/>
      <c r="E161" s="343"/>
      <c r="F161" s="243" t="s">
        <v>162</v>
      </c>
      <c r="G161" s="246" t="s">
        <v>163</v>
      </c>
      <c r="H161" s="249" t="s">
        <v>435</v>
      </c>
      <c r="I161" s="249" t="s">
        <v>438</v>
      </c>
      <c r="J161" s="252" t="str">
        <f>G161</f>
        <v xml:space="preserve">Crear i desenvolupar jornades de recerca de l'ENP de forma anual on els diferents centres mostrin els estudis realizats en l'ENP </v>
      </c>
      <c r="K161" s="253"/>
      <c r="L161" s="252" t="s">
        <v>763</v>
      </c>
      <c r="M161" s="24" t="s">
        <v>780</v>
      </c>
      <c r="N161" s="23" t="s">
        <v>1099</v>
      </c>
      <c r="O161" s="25"/>
      <c r="P161" s="26" t="s">
        <v>495</v>
      </c>
      <c r="Q161" s="112" t="s">
        <v>1100</v>
      </c>
      <c r="R161" s="102" t="s">
        <v>805</v>
      </c>
      <c r="S161" s="102" t="s">
        <v>806</v>
      </c>
      <c r="T161" s="95"/>
      <c r="U161" s="95" t="s">
        <v>999</v>
      </c>
      <c r="V161" s="95" t="s">
        <v>787</v>
      </c>
    </row>
    <row r="162" spans="1:22" ht="30">
      <c r="A162" s="31"/>
      <c r="B162" s="160"/>
      <c r="C162" s="161"/>
      <c r="D162" s="341"/>
      <c r="E162" s="343"/>
      <c r="F162" s="273"/>
      <c r="G162" s="266"/>
      <c r="H162" s="265"/>
      <c r="I162" s="265"/>
      <c r="J162" s="267"/>
      <c r="K162" s="269"/>
      <c r="L162" s="267"/>
      <c r="M162" s="24" t="s">
        <v>780</v>
      </c>
      <c r="N162" s="23" t="s">
        <v>1101</v>
      </c>
      <c r="O162" s="25"/>
      <c r="P162" s="26"/>
      <c r="Q162" s="23" t="s">
        <v>1102</v>
      </c>
      <c r="R162" s="102">
        <v>15</v>
      </c>
      <c r="S162" s="102">
        <v>30</v>
      </c>
      <c r="T162" s="95"/>
      <c r="U162" s="95" t="s">
        <v>999</v>
      </c>
      <c r="V162" s="95" t="s">
        <v>787</v>
      </c>
    </row>
    <row r="163" spans="1:22" ht="30">
      <c r="A163" s="31"/>
      <c r="B163" s="160"/>
      <c r="C163" s="161"/>
      <c r="D163" s="341"/>
      <c r="E163" s="343"/>
      <c r="F163" s="243" t="s">
        <v>164</v>
      </c>
      <c r="G163" s="246" t="s">
        <v>165</v>
      </c>
      <c r="H163" s="249" t="s">
        <v>435</v>
      </c>
      <c r="I163" s="249" t="s">
        <v>438</v>
      </c>
      <c r="J163" s="252" t="str">
        <f>G163</f>
        <v>Posar a disposició de la recerca, equipaments i serveis de l'ENP</v>
      </c>
      <c r="K163" s="253"/>
      <c r="L163" s="252" t="s">
        <v>763</v>
      </c>
      <c r="M163" s="24" t="s">
        <v>764</v>
      </c>
      <c r="N163" s="23" t="s">
        <v>1103</v>
      </c>
      <c r="O163" s="25" t="s">
        <v>451</v>
      </c>
      <c r="P163" s="26"/>
      <c r="Q163" s="112" t="s">
        <v>1104</v>
      </c>
      <c r="R163" s="102" t="s">
        <v>805</v>
      </c>
      <c r="S163" s="102" t="s">
        <v>806</v>
      </c>
      <c r="T163" s="95"/>
      <c r="U163" s="95" t="s">
        <v>774</v>
      </c>
      <c r="V163" s="95" t="s">
        <v>775</v>
      </c>
    </row>
    <row r="164" spans="1:22" ht="37.5" customHeight="1">
      <c r="A164" s="31"/>
      <c r="B164" s="160"/>
      <c r="C164" s="161"/>
      <c r="D164" s="341"/>
      <c r="E164" s="343"/>
      <c r="F164" s="261"/>
      <c r="G164" s="262"/>
      <c r="H164" s="263"/>
      <c r="I164" s="263"/>
      <c r="J164" s="264"/>
      <c r="K164" s="268"/>
      <c r="L164" s="264"/>
      <c r="M164" s="24" t="s">
        <v>776</v>
      </c>
      <c r="N164" s="23" t="s">
        <v>1105</v>
      </c>
      <c r="O164" s="25"/>
      <c r="P164" s="26"/>
      <c r="Q164" s="112" t="s">
        <v>1104</v>
      </c>
      <c r="R164" s="102" t="s">
        <v>805</v>
      </c>
      <c r="S164" s="102" t="s">
        <v>806</v>
      </c>
      <c r="T164" s="95"/>
      <c r="U164" s="95" t="s">
        <v>774</v>
      </c>
      <c r="V164" s="95" t="s">
        <v>775</v>
      </c>
    </row>
    <row r="165" spans="1:22" ht="41.25" customHeight="1">
      <c r="A165" s="31"/>
      <c r="B165" s="160"/>
      <c r="C165" s="161"/>
      <c r="D165" s="335"/>
      <c r="E165" s="259"/>
      <c r="F165" s="261"/>
      <c r="G165" s="262"/>
      <c r="H165" s="263"/>
      <c r="I165" s="263"/>
      <c r="J165" s="264"/>
      <c r="K165" s="268"/>
      <c r="L165" s="264"/>
      <c r="M165" s="24" t="s">
        <v>776</v>
      </c>
      <c r="N165" s="23" t="s">
        <v>1106</v>
      </c>
      <c r="O165" s="25"/>
      <c r="P165" s="26"/>
      <c r="Q165" s="23" t="s">
        <v>1107</v>
      </c>
      <c r="R165" s="102">
        <v>1</v>
      </c>
      <c r="S165" s="102">
        <v>4</v>
      </c>
      <c r="T165" s="95"/>
      <c r="U165" s="95" t="s">
        <v>999</v>
      </c>
      <c r="V165" s="95" t="s">
        <v>787</v>
      </c>
    </row>
    <row r="166" spans="1:22" ht="39" customHeight="1">
      <c r="A166" s="31"/>
      <c r="B166" s="160"/>
      <c r="C166" s="161"/>
      <c r="D166" s="335"/>
      <c r="E166" s="259"/>
      <c r="F166" s="261"/>
      <c r="G166" s="262"/>
      <c r="H166" s="263"/>
      <c r="I166" s="263"/>
      <c r="J166" s="264"/>
      <c r="K166" s="268"/>
      <c r="L166" s="264"/>
      <c r="M166" s="24" t="s">
        <v>780</v>
      </c>
      <c r="N166" s="23" t="s">
        <v>1108</v>
      </c>
      <c r="O166" s="25"/>
      <c r="P166" s="26"/>
      <c r="Q166" s="112" t="s">
        <v>1109</v>
      </c>
      <c r="R166" s="102" t="s">
        <v>805</v>
      </c>
      <c r="S166" s="102" t="s">
        <v>806</v>
      </c>
      <c r="T166" s="95"/>
      <c r="U166" s="95" t="s">
        <v>999</v>
      </c>
      <c r="V166" s="95" t="s">
        <v>787</v>
      </c>
    </row>
    <row r="167" spans="1:22" ht="32.25" customHeight="1">
      <c r="A167" s="31"/>
      <c r="B167" s="160"/>
      <c r="C167" s="161"/>
      <c r="D167" s="335"/>
      <c r="E167" s="259"/>
      <c r="F167" s="273"/>
      <c r="G167" s="266"/>
      <c r="H167" s="265"/>
      <c r="I167" s="265"/>
      <c r="J167" s="267"/>
      <c r="K167" s="269"/>
      <c r="L167" s="267"/>
      <c r="M167" s="24" t="s">
        <v>780</v>
      </c>
      <c r="N167" s="23" t="s">
        <v>1110</v>
      </c>
      <c r="O167" s="25"/>
      <c r="P167" s="26"/>
      <c r="Q167" s="112" t="s">
        <v>941</v>
      </c>
      <c r="R167" s="102">
        <v>2</v>
      </c>
      <c r="S167" s="102">
        <v>10</v>
      </c>
      <c r="T167" s="95"/>
      <c r="U167" s="95" t="s">
        <v>999</v>
      </c>
      <c r="V167" s="95" t="s">
        <v>787</v>
      </c>
    </row>
    <row r="168" spans="1:22" ht="64.900000000000006" customHeight="1">
      <c r="A168" s="31"/>
      <c r="B168" s="160"/>
      <c r="C168" s="161"/>
      <c r="D168" s="342"/>
      <c r="E168" s="320"/>
      <c r="F168" s="117" t="s">
        <v>166</v>
      </c>
      <c r="G168" s="114" t="s">
        <v>167</v>
      </c>
      <c r="H168" s="113" t="s">
        <v>435</v>
      </c>
      <c r="I168" s="113" t="s">
        <v>438</v>
      </c>
      <c r="J168" s="23" t="s">
        <v>1111</v>
      </c>
      <c r="K168" s="22" t="s">
        <v>1112</v>
      </c>
      <c r="L168" s="23" t="s">
        <v>763</v>
      </c>
      <c r="M168" s="24" t="s">
        <v>776</v>
      </c>
      <c r="N168" s="23" t="s">
        <v>1113</v>
      </c>
      <c r="O168" s="25"/>
      <c r="P168" s="26" t="s">
        <v>496</v>
      </c>
      <c r="Q168" s="112" t="s">
        <v>1114</v>
      </c>
      <c r="R168" s="102" t="s">
        <v>805</v>
      </c>
      <c r="S168" s="102" t="s">
        <v>806</v>
      </c>
      <c r="T168" s="95"/>
      <c r="U168" s="95" t="s">
        <v>999</v>
      </c>
      <c r="V168" s="95" t="s">
        <v>787</v>
      </c>
    </row>
    <row r="169" spans="1:22" ht="36" customHeight="1">
      <c r="A169" s="31"/>
      <c r="B169" s="160"/>
      <c r="C169" s="161"/>
      <c r="D169" s="334" t="s">
        <v>497</v>
      </c>
      <c r="E169" s="319" t="s">
        <v>168</v>
      </c>
      <c r="F169" s="117" t="s">
        <v>169</v>
      </c>
      <c r="G169" s="114" t="s">
        <v>1115</v>
      </c>
      <c r="H169" s="113" t="s">
        <v>435</v>
      </c>
      <c r="I169" s="113" t="s">
        <v>436</v>
      </c>
      <c r="J169" s="23" t="str">
        <f>G169</f>
        <v>Participar en la definició del sistema estàndard de seguiment de l'ús públic amb el SENP</v>
      </c>
      <c r="K169" s="22"/>
      <c r="L169" s="23" t="s">
        <v>790</v>
      </c>
      <c r="M169" s="24" t="s">
        <v>780</v>
      </c>
      <c r="N169" s="23" t="s">
        <v>1116</v>
      </c>
      <c r="O169" s="25"/>
      <c r="P169" s="26" t="s">
        <v>498</v>
      </c>
      <c r="Q169" s="112" t="s">
        <v>1070</v>
      </c>
      <c r="R169" s="102">
        <v>2</v>
      </c>
      <c r="S169" s="102">
        <v>8</v>
      </c>
      <c r="T169" s="95"/>
      <c r="U169" s="95" t="s">
        <v>856</v>
      </c>
      <c r="V169" s="95" t="s">
        <v>987</v>
      </c>
    </row>
    <row r="170" spans="1:22" ht="56.45" customHeight="1">
      <c r="A170" s="31"/>
      <c r="B170" s="160"/>
      <c r="C170" s="161"/>
      <c r="D170" s="335"/>
      <c r="E170" s="259"/>
      <c r="F170" s="338" t="s">
        <v>170</v>
      </c>
      <c r="G170" s="246" t="s">
        <v>171</v>
      </c>
      <c r="H170" s="249" t="s">
        <v>435</v>
      </c>
      <c r="I170" s="249" t="s">
        <v>436</v>
      </c>
      <c r="J170" s="252" t="str">
        <f>G170</f>
        <v xml:space="preserve">Disposar de dades de freqüentació i perfil d'usuari en l'ENP i en especial en equipaments i en zones d'alta freqüentació segons el model de DG </v>
      </c>
      <c r="K170" s="253"/>
      <c r="L170" s="252" t="s">
        <v>763</v>
      </c>
      <c r="M170" s="24" t="s">
        <v>764</v>
      </c>
      <c r="N170" s="23" t="s">
        <v>1117</v>
      </c>
      <c r="O170" s="25"/>
      <c r="P170" s="26" t="s">
        <v>499</v>
      </c>
      <c r="Q170" s="112" t="s">
        <v>1118</v>
      </c>
      <c r="R170" s="102" t="s">
        <v>805</v>
      </c>
      <c r="S170" s="102" t="s">
        <v>806</v>
      </c>
      <c r="T170" s="95"/>
      <c r="U170" s="95" t="s">
        <v>856</v>
      </c>
      <c r="V170" s="95" t="s">
        <v>987</v>
      </c>
    </row>
    <row r="171" spans="1:22" ht="30">
      <c r="A171" s="31"/>
      <c r="B171" s="160"/>
      <c r="C171" s="161"/>
      <c r="D171" s="335"/>
      <c r="E171" s="259"/>
      <c r="F171" s="339"/>
      <c r="G171" s="262"/>
      <c r="H171" s="263"/>
      <c r="I171" s="263"/>
      <c r="J171" s="264"/>
      <c r="K171" s="268"/>
      <c r="L171" s="264"/>
      <c r="M171" s="24" t="s">
        <v>764</v>
      </c>
      <c r="N171" s="23" t="s">
        <v>1119</v>
      </c>
      <c r="O171" s="25"/>
      <c r="P171" s="26"/>
      <c r="Q171" s="23" t="s">
        <v>1120</v>
      </c>
      <c r="R171" s="102">
        <v>5</v>
      </c>
      <c r="S171" s="102">
        <v>15</v>
      </c>
      <c r="T171" s="95"/>
      <c r="U171" s="95" t="s">
        <v>856</v>
      </c>
      <c r="V171" s="95" t="s">
        <v>987</v>
      </c>
    </row>
    <row r="172" spans="1:22" ht="44.25" customHeight="1">
      <c r="A172" s="31"/>
      <c r="B172" s="160"/>
      <c r="C172" s="161"/>
      <c r="D172" s="335"/>
      <c r="E172" s="259"/>
      <c r="F172" s="339"/>
      <c r="G172" s="262"/>
      <c r="H172" s="263"/>
      <c r="I172" s="263"/>
      <c r="J172" s="264"/>
      <c r="K172" s="268"/>
      <c r="L172" s="264"/>
      <c r="M172" s="24" t="s">
        <v>780</v>
      </c>
      <c r="N172" s="23" t="s">
        <v>1121</v>
      </c>
      <c r="O172" s="25"/>
      <c r="P172" s="26"/>
      <c r="Q172" s="112" t="s">
        <v>1122</v>
      </c>
      <c r="R172" s="102" t="s">
        <v>805</v>
      </c>
      <c r="S172" s="102" t="s">
        <v>806</v>
      </c>
      <c r="T172" s="95"/>
      <c r="U172" s="95" t="s">
        <v>856</v>
      </c>
      <c r="V172" s="95" t="s">
        <v>987</v>
      </c>
    </row>
    <row r="173" spans="1:22" ht="30">
      <c r="A173" s="31"/>
      <c r="B173" s="160"/>
      <c r="C173" s="161"/>
      <c r="D173" s="335"/>
      <c r="E173" s="259"/>
      <c r="F173" s="340"/>
      <c r="G173" s="266"/>
      <c r="H173" s="265"/>
      <c r="I173" s="265"/>
      <c r="J173" s="267"/>
      <c r="K173" s="269"/>
      <c r="L173" s="267"/>
      <c r="M173" s="24" t="s">
        <v>783</v>
      </c>
      <c r="N173" s="23" t="s">
        <v>1123</v>
      </c>
      <c r="O173" s="25"/>
      <c r="P173" s="26"/>
      <c r="Q173" s="112" t="s">
        <v>1124</v>
      </c>
      <c r="R173" s="102" t="s">
        <v>805</v>
      </c>
      <c r="S173" s="102" t="s">
        <v>806</v>
      </c>
      <c r="T173" s="95"/>
      <c r="U173" s="95" t="s">
        <v>856</v>
      </c>
      <c r="V173" s="95" t="s">
        <v>987</v>
      </c>
    </row>
    <row r="174" spans="1:22" ht="30">
      <c r="A174" s="31"/>
      <c r="B174" s="160"/>
      <c r="C174" s="161"/>
      <c r="D174" s="335"/>
      <c r="E174" s="259"/>
      <c r="F174" s="117" t="s">
        <v>172</v>
      </c>
      <c r="G174" s="114" t="s">
        <v>173</v>
      </c>
      <c r="H174" s="113" t="s">
        <v>435</v>
      </c>
      <c r="I174" s="113" t="s">
        <v>436</v>
      </c>
      <c r="J174" s="23" t="str">
        <f>G174</f>
        <v>Identificar les activitats i actors de l’espai.</v>
      </c>
      <c r="K174" s="22"/>
      <c r="L174" s="23" t="s">
        <v>763</v>
      </c>
      <c r="M174" s="24" t="s">
        <v>776</v>
      </c>
      <c r="N174" s="23" t="s">
        <v>1125</v>
      </c>
      <c r="O174" s="25"/>
      <c r="P174" s="26"/>
      <c r="Q174" s="112" t="s">
        <v>1126</v>
      </c>
      <c r="R174" s="102" t="s">
        <v>805</v>
      </c>
      <c r="S174" s="102" t="s">
        <v>806</v>
      </c>
      <c r="T174" s="95"/>
      <c r="U174" s="95" t="s">
        <v>856</v>
      </c>
      <c r="V174" s="95" t="s">
        <v>987</v>
      </c>
    </row>
    <row r="175" spans="1:22" ht="45">
      <c r="A175" s="31"/>
      <c r="B175" s="160"/>
      <c r="C175" s="161"/>
      <c r="D175" s="335"/>
      <c r="E175" s="259"/>
      <c r="F175" s="243" t="s">
        <v>174</v>
      </c>
      <c r="G175" s="313" t="s">
        <v>175</v>
      </c>
      <c r="H175" s="243"/>
      <c r="I175" s="243"/>
      <c r="J175" s="301" t="str">
        <f>G175</f>
        <v>Identificar en cartografia les males praxis i punts de massificació</v>
      </c>
      <c r="K175" s="302"/>
      <c r="L175" s="274" t="s">
        <v>763</v>
      </c>
      <c r="M175" s="24" t="s">
        <v>764</v>
      </c>
      <c r="N175" s="23" t="s">
        <v>1127</v>
      </c>
      <c r="O175" s="25"/>
      <c r="P175" s="26"/>
      <c r="Q175" s="112" t="s">
        <v>1128</v>
      </c>
      <c r="R175" s="102" t="s">
        <v>805</v>
      </c>
      <c r="S175" s="102" t="s">
        <v>806</v>
      </c>
      <c r="T175" s="95"/>
      <c r="U175" s="95" t="s">
        <v>856</v>
      </c>
      <c r="V175" s="95" t="s">
        <v>987</v>
      </c>
    </row>
    <row r="176" spans="1:22" ht="30">
      <c r="A176" s="31"/>
      <c r="B176" s="160"/>
      <c r="C176" s="162"/>
      <c r="D176" s="335"/>
      <c r="E176" s="259"/>
      <c r="F176" s="245"/>
      <c r="G176" s="312"/>
      <c r="H176" s="245"/>
      <c r="I176" s="245"/>
      <c r="J176" s="245"/>
      <c r="K176" s="303"/>
      <c r="L176" s="276"/>
      <c r="M176" s="24" t="s">
        <v>776</v>
      </c>
      <c r="N176" s="23" t="s">
        <v>1129</v>
      </c>
      <c r="O176" s="25"/>
      <c r="P176" s="26"/>
      <c r="Q176" s="112" t="s">
        <v>1130</v>
      </c>
      <c r="R176" s="102" t="s">
        <v>805</v>
      </c>
      <c r="S176" s="102" t="s">
        <v>806</v>
      </c>
      <c r="T176" s="95"/>
      <c r="U176" s="95" t="s">
        <v>856</v>
      </c>
      <c r="V176" s="95" t="s">
        <v>987</v>
      </c>
    </row>
    <row r="177" spans="1:22" ht="74.45" customHeight="1">
      <c r="A177" s="31"/>
      <c r="B177" s="160"/>
      <c r="C177" s="161"/>
      <c r="D177" s="335"/>
      <c r="E177" s="259"/>
      <c r="F177" s="117" t="s">
        <v>176</v>
      </c>
      <c r="G177" s="114" t="s">
        <v>177</v>
      </c>
      <c r="H177" s="113" t="s">
        <v>435</v>
      </c>
      <c r="I177" s="113" t="s">
        <v>436</v>
      </c>
      <c r="J177" s="23" t="str">
        <f>G177</f>
        <v>Adaptar i mantenir un registre d'activitats, actors i inciències en ús públic (curses, conflictes, queixes, etc)</v>
      </c>
      <c r="K177" s="22"/>
      <c r="L177" s="21" t="s">
        <v>763</v>
      </c>
      <c r="M177" s="24" t="s">
        <v>780</v>
      </c>
      <c r="N177" s="23" t="s">
        <v>1131</v>
      </c>
      <c r="O177" s="25"/>
      <c r="P177" s="26" t="s">
        <v>500</v>
      </c>
      <c r="Q177" s="112" t="s">
        <v>1132</v>
      </c>
      <c r="R177" s="102">
        <v>20</v>
      </c>
      <c r="S177" s="102">
        <v>100</v>
      </c>
      <c r="T177" s="95"/>
      <c r="U177" s="95" t="s">
        <v>856</v>
      </c>
      <c r="V177" s="95" t="s">
        <v>987</v>
      </c>
    </row>
    <row r="178" spans="1:22" ht="30">
      <c r="A178" s="31"/>
      <c r="B178" s="160"/>
      <c r="C178" s="161"/>
      <c r="D178" s="336"/>
      <c r="E178" s="337"/>
      <c r="F178" s="117" t="s">
        <v>178</v>
      </c>
      <c r="G178" s="114" t="s">
        <v>179</v>
      </c>
      <c r="H178" s="113" t="s">
        <v>435</v>
      </c>
      <c r="I178" s="113" t="s">
        <v>436</v>
      </c>
      <c r="J178" s="23" t="str">
        <f>G178</f>
        <v>Identificar els impactes (positius i negatius) que generen les activitats d'ús públic dins l'ENP</v>
      </c>
      <c r="K178" s="22"/>
      <c r="L178" s="23" t="s">
        <v>763</v>
      </c>
      <c r="M178" s="24" t="s">
        <v>776</v>
      </c>
      <c r="N178" s="23" t="s">
        <v>1133</v>
      </c>
      <c r="O178" s="25" t="s">
        <v>451</v>
      </c>
      <c r="P178" s="26"/>
      <c r="Q178" s="112" t="s">
        <v>1134</v>
      </c>
      <c r="R178" s="102" t="s">
        <v>805</v>
      </c>
      <c r="S178" s="102" t="s">
        <v>806</v>
      </c>
      <c r="T178" s="95"/>
      <c r="U178" s="95" t="s">
        <v>856</v>
      </c>
      <c r="V178" s="95" t="s">
        <v>987</v>
      </c>
    </row>
    <row r="179" spans="1:22" ht="66" customHeight="1">
      <c r="A179" s="163" t="s">
        <v>180</v>
      </c>
      <c r="B179" s="344">
        <v>7</v>
      </c>
      <c r="C179" s="357" t="s">
        <v>181</v>
      </c>
      <c r="D179" s="359" t="s">
        <v>501</v>
      </c>
      <c r="E179" s="353" t="s">
        <v>1135</v>
      </c>
      <c r="F179" s="243" t="s">
        <v>182</v>
      </c>
      <c r="G179" s="243" t="s">
        <v>183</v>
      </c>
      <c r="H179" s="243" t="s">
        <v>435</v>
      </c>
      <c r="I179" s="243" t="s">
        <v>447</v>
      </c>
      <c r="J179" s="301" t="str">
        <f>G179</f>
        <v xml:space="preserve">Promoure i col·laborar en l'aplicació de Plans de Desenvolupament Local Sostenible </v>
      </c>
      <c r="K179" s="302"/>
      <c r="L179" s="302" t="s">
        <v>763</v>
      </c>
      <c r="M179" s="24" t="s">
        <v>776</v>
      </c>
      <c r="N179" s="23" t="s">
        <v>1136</v>
      </c>
      <c r="O179" s="25"/>
      <c r="P179" s="26"/>
      <c r="Q179" s="112" t="s">
        <v>1137</v>
      </c>
      <c r="R179" s="102">
        <v>1</v>
      </c>
      <c r="S179" s="102">
        <v>4</v>
      </c>
      <c r="T179" s="95"/>
      <c r="U179" s="95" t="s">
        <v>774</v>
      </c>
      <c r="V179" s="95" t="s">
        <v>775</v>
      </c>
    </row>
    <row r="180" spans="1:22" ht="87.75" customHeight="1">
      <c r="A180" s="163"/>
      <c r="B180" s="356"/>
      <c r="C180" s="358"/>
      <c r="D180" s="356"/>
      <c r="E180" s="337"/>
      <c r="F180" s="245"/>
      <c r="G180" s="245"/>
      <c r="H180" s="245"/>
      <c r="I180" s="245"/>
      <c r="J180" s="245"/>
      <c r="K180" s="303"/>
      <c r="L180" s="303"/>
      <c r="M180" s="24" t="s">
        <v>776</v>
      </c>
      <c r="N180" s="23" t="s">
        <v>1138</v>
      </c>
      <c r="O180" s="25"/>
      <c r="P180" s="26"/>
      <c r="Q180" s="112" t="s">
        <v>1139</v>
      </c>
      <c r="R180" s="102">
        <v>5</v>
      </c>
      <c r="S180" s="102">
        <v>15</v>
      </c>
      <c r="T180" s="95"/>
      <c r="U180" s="95" t="s">
        <v>774</v>
      </c>
      <c r="V180" s="95" t="s">
        <v>775</v>
      </c>
    </row>
    <row r="181" spans="1:22" ht="30" customHeight="1">
      <c r="A181" s="163"/>
      <c r="B181" s="344">
        <v>8</v>
      </c>
      <c r="C181" s="347" t="s">
        <v>184</v>
      </c>
      <c r="D181" s="350" t="s">
        <v>502</v>
      </c>
      <c r="E181" s="353" t="s">
        <v>185</v>
      </c>
      <c r="F181" s="243" t="s">
        <v>186</v>
      </c>
      <c r="G181" s="246" t="s">
        <v>1140</v>
      </c>
      <c r="H181" s="249" t="s">
        <v>435</v>
      </c>
      <c r="I181" s="249" t="s">
        <v>447</v>
      </c>
      <c r="J181" s="252" t="str">
        <f>G181</f>
        <v>Acompanyar i assessorar els productors agraris i forestals per millorar les tècniques productives agràries i forestals i afavorir la conservació dels hàbitats i paisatges</v>
      </c>
      <c r="K181" s="253"/>
      <c r="L181" s="252" t="s">
        <v>763</v>
      </c>
      <c r="M181" s="24" t="s">
        <v>780</v>
      </c>
      <c r="N181" s="23" t="s">
        <v>1141</v>
      </c>
      <c r="O181" s="25"/>
      <c r="P181" s="26"/>
      <c r="Q181" s="112" t="s">
        <v>1142</v>
      </c>
      <c r="R181" s="102" t="s">
        <v>805</v>
      </c>
      <c r="S181" s="102" t="s">
        <v>806</v>
      </c>
      <c r="T181" s="95"/>
      <c r="U181" s="95" t="s">
        <v>1143</v>
      </c>
      <c r="V181" s="95" t="s">
        <v>787</v>
      </c>
    </row>
    <row r="182" spans="1:22" ht="30">
      <c r="A182" s="163"/>
      <c r="B182" s="345"/>
      <c r="C182" s="348"/>
      <c r="D182" s="351"/>
      <c r="E182" s="354"/>
      <c r="F182" s="261"/>
      <c r="G182" s="262"/>
      <c r="H182" s="263"/>
      <c r="I182" s="263"/>
      <c r="J182" s="264"/>
      <c r="K182" s="268"/>
      <c r="L182" s="264"/>
      <c r="M182" s="24" t="s">
        <v>776</v>
      </c>
      <c r="N182" s="23" t="s">
        <v>1144</v>
      </c>
      <c r="O182" s="25"/>
      <c r="P182" s="26"/>
      <c r="Q182" s="112" t="s">
        <v>1145</v>
      </c>
      <c r="R182" s="102">
        <v>2</v>
      </c>
      <c r="S182" s="102">
        <v>4</v>
      </c>
      <c r="T182" s="95"/>
      <c r="U182" s="95" t="s">
        <v>770</v>
      </c>
      <c r="V182" s="95" t="s">
        <v>1146</v>
      </c>
    </row>
    <row r="183" spans="1:22" ht="63.75" customHeight="1">
      <c r="A183" s="163"/>
      <c r="B183" s="345"/>
      <c r="C183" s="348"/>
      <c r="D183" s="351"/>
      <c r="E183" s="354"/>
      <c r="F183" s="261"/>
      <c r="G183" s="262"/>
      <c r="H183" s="263"/>
      <c r="I183" s="263"/>
      <c r="J183" s="264"/>
      <c r="K183" s="268"/>
      <c r="L183" s="264"/>
      <c r="M183" s="24" t="s">
        <v>764</v>
      </c>
      <c r="N183" s="23" t="s">
        <v>1147</v>
      </c>
      <c r="O183" s="25"/>
      <c r="P183" s="26"/>
      <c r="Q183" s="112" t="s">
        <v>1148</v>
      </c>
      <c r="R183" s="102" t="s">
        <v>805</v>
      </c>
      <c r="S183" s="102" t="s">
        <v>806</v>
      </c>
      <c r="T183" s="95"/>
      <c r="U183" s="95" t="s">
        <v>770</v>
      </c>
      <c r="V183" s="95" t="s">
        <v>1146</v>
      </c>
    </row>
    <row r="184" spans="1:22" ht="45">
      <c r="A184" s="163"/>
      <c r="B184" s="345"/>
      <c r="C184" s="348"/>
      <c r="D184" s="351"/>
      <c r="E184" s="354"/>
      <c r="F184" s="261"/>
      <c r="G184" s="262"/>
      <c r="H184" s="263"/>
      <c r="I184" s="263"/>
      <c r="J184" s="264"/>
      <c r="K184" s="268"/>
      <c r="L184" s="264"/>
      <c r="M184" s="24" t="s">
        <v>783</v>
      </c>
      <c r="N184" s="90" t="s">
        <v>1149</v>
      </c>
      <c r="O184" s="25"/>
      <c r="P184" s="26"/>
      <c r="Q184" s="112" t="s">
        <v>1150</v>
      </c>
      <c r="R184" s="102">
        <v>0</v>
      </c>
      <c r="S184" s="102">
        <v>5</v>
      </c>
      <c r="T184" s="95"/>
      <c r="U184" s="95" t="s">
        <v>1151</v>
      </c>
      <c r="V184" s="95" t="s">
        <v>857</v>
      </c>
    </row>
    <row r="185" spans="1:22" ht="45">
      <c r="A185" s="163"/>
      <c r="B185" s="345"/>
      <c r="C185" s="348"/>
      <c r="D185" s="351"/>
      <c r="E185" s="354"/>
      <c r="F185" s="261"/>
      <c r="G185" s="262"/>
      <c r="H185" s="263"/>
      <c r="I185" s="263"/>
      <c r="J185" s="264"/>
      <c r="K185" s="268"/>
      <c r="L185" s="264"/>
      <c r="M185" s="164" t="s">
        <v>776</v>
      </c>
      <c r="N185" s="90" t="s">
        <v>1152</v>
      </c>
      <c r="O185" s="165"/>
      <c r="P185" s="26"/>
      <c r="Q185" s="90" t="s">
        <v>1153</v>
      </c>
      <c r="R185" s="102">
        <v>2</v>
      </c>
      <c r="S185" s="102">
        <v>4</v>
      </c>
      <c r="T185" s="95"/>
      <c r="U185" s="95" t="s">
        <v>774</v>
      </c>
      <c r="V185" s="95" t="s">
        <v>775</v>
      </c>
    </row>
    <row r="186" spans="1:22" ht="60">
      <c r="A186" s="163"/>
      <c r="B186" s="345"/>
      <c r="C186" s="348"/>
      <c r="D186" s="351"/>
      <c r="E186" s="354"/>
      <c r="F186" s="261"/>
      <c r="G186" s="262"/>
      <c r="H186" s="263"/>
      <c r="I186" s="263"/>
      <c r="J186" s="264"/>
      <c r="K186" s="268"/>
      <c r="L186" s="264"/>
      <c r="M186" s="164" t="s">
        <v>780</v>
      </c>
      <c r="N186" s="90" t="s">
        <v>1154</v>
      </c>
      <c r="O186" s="165"/>
      <c r="P186" s="26"/>
      <c r="Q186" s="90" t="s">
        <v>1155</v>
      </c>
      <c r="R186" s="102" t="s">
        <v>805</v>
      </c>
      <c r="S186" s="102" t="s">
        <v>806</v>
      </c>
      <c r="T186" s="95"/>
      <c r="U186" s="95" t="s">
        <v>774</v>
      </c>
      <c r="V186" s="95" t="s">
        <v>775</v>
      </c>
    </row>
    <row r="187" spans="1:22" ht="75">
      <c r="A187" s="163"/>
      <c r="B187" s="345"/>
      <c r="C187" s="348"/>
      <c r="D187" s="351"/>
      <c r="E187" s="354"/>
      <c r="F187" s="261"/>
      <c r="G187" s="262"/>
      <c r="H187" s="263"/>
      <c r="I187" s="263"/>
      <c r="J187" s="264"/>
      <c r="K187" s="268"/>
      <c r="L187" s="264"/>
      <c r="M187" s="164" t="s">
        <v>780</v>
      </c>
      <c r="N187" s="90" t="s">
        <v>1156</v>
      </c>
      <c r="O187" s="165"/>
      <c r="P187" s="26"/>
      <c r="Q187" s="90" t="s">
        <v>1157</v>
      </c>
      <c r="R187" s="102">
        <v>4</v>
      </c>
      <c r="S187" s="102">
        <v>10</v>
      </c>
      <c r="T187" s="95"/>
      <c r="U187" s="95" t="s">
        <v>1143</v>
      </c>
      <c r="V187" s="95" t="s">
        <v>787</v>
      </c>
    </row>
    <row r="188" spans="1:22" ht="60">
      <c r="A188" s="163"/>
      <c r="B188" s="345"/>
      <c r="C188" s="348"/>
      <c r="D188" s="351"/>
      <c r="E188" s="354"/>
      <c r="F188" s="261"/>
      <c r="G188" s="262"/>
      <c r="H188" s="263"/>
      <c r="I188" s="263"/>
      <c r="J188" s="264"/>
      <c r="K188" s="268"/>
      <c r="L188" s="264"/>
      <c r="M188" s="24" t="s">
        <v>780</v>
      </c>
      <c r="N188" s="90" t="s">
        <v>1158</v>
      </c>
      <c r="O188" s="25"/>
      <c r="P188" s="26"/>
      <c r="Q188" s="90" t="s">
        <v>1159</v>
      </c>
      <c r="R188" s="102" t="s">
        <v>805</v>
      </c>
      <c r="S188" s="102" t="s">
        <v>806</v>
      </c>
      <c r="T188" s="95"/>
      <c r="U188" s="95" t="s">
        <v>770</v>
      </c>
      <c r="V188" s="95" t="s">
        <v>1146</v>
      </c>
    </row>
    <row r="189" spans="1:22" ht="60">
      <c r="A189" s="163"/>
      <c r="B189" s="345"/>
      <c r="C189" s="348"/>
      <c r="D189" s="351"/>
      <c r="E189" s="354"/>
      <c r="F189" s="261"/>
      <c r="G189" s="262"/>
      <c r="H189" s="263"/>
      <c r="I189" s="263"/>
      <c r="J189" s="264"/>
      <c r="K189" s="268"/>
      <c r="L189" s="264"/>
      <c r="M189" s="24" t="s">
        <v>776</v>
      </c>
      <c r="N189" s="90" t="s">
        <v>1160</v>
      </c>
      <c r="O189" s="25"/>
      <c r="P189" s="26"/>
      <c r="Q189" s="90" t="s">
        <v>1161</v>
      </c>
      <c r="R189" s="102">
        <v>4</v>
      </c>
      <c r="S189" s="102">
        <v>10</v>
      </c>
      <c r="T189" s="95"/>
      <c r="U189" s="95" t="s">
        <v>774</v>
      </c>
      <c r="V189" s="95" t="s">
        <v>775</v>
      </c>
    </row>
    <row r="190" spans="1:22" ht="75">
      <c r="A190" s="163"/>
      <c r="B190" s="345"/>
      <c r="C190" s="348"/>
      <c r="D190" s="351"/>
      <c r="E190" s="354"/>
      <c r="F190" s="261"/>
      <c r="G190" s="262"/>
      <c r="H190" s="263"/>
      <c r="I190" s="263"/>
      <c r="J190" s="264"/>
      <c r="K190" s="268"/>
      <c r="L190" s="264"/>
      <c r="M190" s="24" t="s">
        <v>776</v>
      </c>
      <c r="N190" s="90" t="s">
        <v>1162</v>
      </c>
      <c r="O190" s="25"/>
      <c r="P190" s="26"/>
      <c r="Q190" s="90" t="s">
        <v>1163</v>
      </c>
      <c r="R190" s="102">
        <v>20</v>
      </c>
      <c r="S190" s="102">
        <v>50</v>
      </c>
      <c r="T190" s="95"/>
      <c r="U190" s="95" t="s">
        <v>770</v>
      </c>
      <c r="V190" s="95" t="s">
        <v>1146</v>
      </c>
    </row>
    <row r="191" spans="1:22" ht="45">
      <c r="A191" s="163"/>
      <c r="B191" s="345"/>
      <c r="C191" s="348"/>
      <c r="D191" s="351"/>
      <c r="E191" s="354"/>
      <c r="F191" s="273"/>
      <c r="G191" s="266"/>
      <c r="H191" s="265"/>
      <c r="I191" s="265"/>
      <c r="J191" s="267"/>
      <c r="K191" s="269"/>
      <c r="L191" s="267"/>
      <c r="M191" s="24" t="s">
        <v>780</v>
      </c>
      <c r="N191" s="90" t="s">
        <v>1164</v>
      </c>
      <c r="O191" s="25"/>
      <c r="P191" s="26"/>
      <c r="Q191" s="90" t="s">
        <v>1153</v>
      </c>
      <c r="R191" s="102">
        <v>2</v>
      </c>
      <c r="S191" s="102">
        <v>6</v>
      </c>
      <c r="T191" s="95"/>
      <c r="U191" s="95" t="s">
        <v>774</v>
      </c>
      <c r="V191" s="95" t="s">
        <v>775</v>
      </c>
    </row>
    <row r="192" spans="1:22" ht="60">
      <c r="A192" s="163"/>
      <c r="B192" s="345"/>
      <c r="C192" s="348"/>
      <c r="D192" s="351"/>
      <c r="E192" s="354"/>
      <c r="F192" s="117" t="s">
        <v>187</v>
      </c>
      <c r="G192" s="114" t="s">
        <v>188</v>
      </c>
      <c r="H192" s="113" t="s">
        <v>435</v>
      </c>
      <c r="I192" s="113" t="s">
        <v>447</v>
      </c>
      <c r="J192" s="23" t="str">
        <f>G192</f>
        <v xml:space="preserve">Oferir formació als productors agraris per millorar el seu coneixement sobre tècniques eficients i respectuoses amb la conservació del patrimoni natural i cultural </v>
      </c>
      <c r="K192" s="22"/>
      <c r="L192" s="23" t="s">
        <v>763</v>
      </c>
      <c r="M192" s="24" t="s">
        <v>780</v>
      </c>
      <c r="N192" s="23" t="s">
        <v>1165</v>
      </c>
      <c r="O192" s="25"/>
      <c r="P192" s="26"/>
      <c r="Q192" s="112" t="s">
        <v>1166</v>
      </c>
      <c r="R192" s="102">
        <v>2</v>
      </c>
      <c r="S192" s="102">
        <v>8</v>
      </c>
      <c r="T192" s="95"/>
      <c r="U192" s="95" t="s">
        <v>1143</v>
      </c>
      <c r="V192" s="95" t="s">
        <v>787</v>
      </c>
    </row>
    <row r="193" spans="1:22" ht="52.15" customHeight="1">
      <c r="A193" s="163"/>
      <c r="B193" s="345"/>
      <c r="C193" s="348"/>
      <c r="D193" s="351"/>
      <c r="E193" s="354"/>
      <c r="F193" s="243" t="s">
        <v>189</v>
      </c>
      <c r="G193" s="246" t="s">
        <v>190</v>
      </c>
      <c r="H193" s="249" t="s">
        <v>437</v>
      </c>
      <c r="I193" s="249" t="s">
        <v>438</v>
      </c>
      <c r="J193" s="363" t="s">
        <v>1167</v>
      </c>
      <c r="K193" s="253"/>
      <c r="L193" s="252" t="s">
        <v>763</v>
      </c>
      <c r="M193" s="24" t="s">
        <v>780</v>
      </c>
      <c r="N193" s="23" t="s">
        <v>1168</v>
      </c>
      <c r="O193" s="25"/>
      <c r="P193" s="26"/>
      <c r="Q193" s="112" t="s">
        <v>1169</v>
      </c>
      <c r="R193" s="102">
        <v>0</v>
      </c>
      <c r="S193" s="102">
        <v>8</v>
      </c>
      <c r="T193" s="95"/>
      <c r="U193" s="95" t="s">
        <v>770</v>
      </c>
      <c r="V193" s="95" t="s">
        <v>771</v>
      </c>
    </row>
    <row r="194" spans="1:22" ht="41.45" customHeight="1">
      <c r="A194" s="163"/>
      <c r="B194" s="345"/>
      <c r="C194" s="348"/>
      <c r="D194" s="351"/>
      <c r="E194" s="354"/>
      <c r="F194" s="261"/>
      <c r="G194" s="262"/>
      <c r="H194" s="263"/>
      <c r="I194" s="263"/>
      <c r="J194" s="364"/>
      <c r="K194" s="268"/>
      <c r="L194" s="264"/>
      <c r="M194" s="24" t="s">
        <v>764</v>
      </c>
      <c r="N194" s="23" t="s">
        <v>1170</v>
      </c>
      <c r="O194" s="25"/>
      <c r="P194" s="26"/>
      <c r="Q194" s="112" t="s">
        <v>1171</v>
      </c>
      <c r="R194" s="102">
        <v>8</v>
      </c>
      <c r="S194" s="102">
        <v>16</v>
      </c>
      <c r="T194" s="95"/>
      <c r="U194" s="95" t="s">
        <v>770</v>
      </c>
      <c r="V194" s="95" t="s">
        <v>771</v>
      </c>
    </row>
    <row r="195" spans="1:22" ht="60">
      <c r="A195" s="163"/>
      <c r="B195" s="345"/>
      <c r="C195" s="348"/>
      <c r="D195" s="351"/>
      <c r="E195" s="354"/>
      <c r="F195" s="261"/>
      <c r="G195" s="262"/>
      <c r="H195" s="263"/>
      <c r="I195" s="263"/>
      <c r="J195" s="364"/>
      <c r="K195" s="268"/>
      <c r="L195" s="264"/>
      <c r="M195" s="24" t="s">
        <v>776</v>
      </c>
      <c r="N195" s="23" t="s">
        <v>1172</v>
      </c>
      <c r="O195" s="25"/>
      <c r="P195" s="26"/>
      <c r="Q195" s="112" t="s">
        <v>1173</v>
      </c>
      <c r="R195" s="102">
        <v>40</v>
      </c>
      <c r="S195" s="102">
        <v>100</v>
      </c>
      <c r="T195" s="95"/>
      <c r="U195" s="95" t="s">
        <v>770</v>
      </c>
      <c r="V195" s="95" t="s">
        <v>771</v>
      </c>
    </row>
    <row r="196" spans="1:22" ht="30">
      <c r="A196" s="163"/>
      <c r="B196" s="345"/>
      <c r="C196" s="348"/>
      <c r="D196" s="351"/>
      <c r="E196" s="354"/>
      <c r="F196" s="261"/>
      <c r="G196" s="262"/>
      <c r="H196" s="263"/>
      <c r="I196" s="263"/>
      <c r="J196" s="364"/>
      <c r="K196" s="268"/>
      <c r="L196" s="264"/>
      <c r="M196" s="24" t="s">
        <v>780</v>
      </c>
      <c r="N196" s="23" t="s">
        <v>1174</v>
      </c>
      <c r="O196" s="25"/>
      <c r="P196" s="26"/>
      <c r="Q196" s="112" t="s">
        <v>1175</v>
      </c>
      <c r="R196" s="102">
        <v>6</v>
      </c>
      <c r="S196" s="102">
        <v>15</v>
      </c>
      <c r="T196" s="95"/>
      <c r="U196" s="95" t="s">
        <v>770</v>
      </c>
      <c r="V196" s="95" t="s">
        <v>771</v>
      </c>
    </row>
    <row r="197" spans="1:22" ht="44.45" customHeight="1">
      <c r="A197" s="163"/>
      <c r="B197" s="345"/>
      <c r="C197" s="348"/>
      <c r="D197" s="352"/>
      <c r="E197" s="355"/>
      <c r="F197" s="273"/>
      <c r="G197" s="266"/>
      <c r="H197" s="265"/>
      <c r="I197" s="265"/>
      <c r="J197" s="365"/>
      <c r="K197" s="269"/>
      <c r="L197" s="267"/>
      <c r="M197" s="24" t="s">
        <v>776</v>
      </c>
      <c r="N197" s="23" t="s">
        <v>1176</v>
      </c>
      <c r="O197" s="25"/>
      <c r="P197" s="26"/>
      <c r="Q197" s="112" t="s">
        <v>1177</v>
      </c>
      <c r="R197" s="102">
        <v>16</v>
      </c>
      <c r="S197" s="102">
        <v>40</v>
      </c>
      <c r="T197" s="95"/>
      <c r="U197" s="95" t="s">
        <v>770</v>
      </c>
      <c r="V197" s="95" t="s">
        <v>771</v>
      </c>
    </row>
    <row r="198" spans="1:22" ht="45">
      <c r="A198" s="163"/>
      <c r="B198" s="345"/>
      <c r="C198" s="348"/>
      <c r="D198" s="350" t="s">
        <v>503</v>
      </c>
      <c r="E198" s="353" t="s">
        <v>191</v>
      </c>
      <c r="F198" s="249" t="s">
        <v>192</v>
      </c>
      <c r="G198" s="246" t="s">
        <v>193</v>
      </c>
      <c r="H198" s="360"/>
      <c r="I198" s="360"/>
      <c r="J198" s="363" t="s">
        <v>1178</v>
      </c>
      <c r="K198" s="366" t="s">
        <v>1179</v>
      </c>
      <c r="L198" s="252" t="s">
        <v>763</v>
      </c>
      <c r="M198" s="24" t="s">
        <v>764</v>
      </c>
      <c r="N198" s="23" t="s">
        <v>1180</v>
      </c>
      <c r="O198" s="25" t="s">
        <v>451</v>
      </c>
      <c r="P198" s="26"/>
      <c r="Q198" s="112" t="s">
        <v>1181</v>
      </c>
      <c r="R198" s="102">
        <v>4</v>
      </c>
      <c r="S198" s="102">
        <v>8</v>
      </c>
      <c r="T198" s="95"/>
      <c r="U198" s="95" t="s">
        <v>845</v>
      </c>
      <c r="V198" s="95" t="s">
        <v>775</v>
      </c>
    </row>
    <row r="199" spans="1:22" ht="30">
      <c r="A199" s="163"/>
      <c r="B199" s="345"/>
      <c r="C199" s="348"/>
      <c r="D199" s="351"/>
      <c r="E199" s="354"/>
      <c r="F199" s="263"/>
      <c r="G199" s="262"/>
      <c r="H199" s="361"/>
      <c r="I199" s="361"/>
      <c r="J199" s="364"/>
      <c r="K199" s="254"/>
      <c r="L199" s="264"/>
      <c r="M199" s="24" t="s">
        <v>776</v>
      </c>
      <c r="N199" s="23" t="s">
        <v>1182</v>
      </c>
      <c r="O199" s="25"/>
      <c r="P199" s="26"/>
      <c r="Q199" s="112" t="s">
        <v>1183</v>
      </c>
      <c r="R199" s="102">
        <v>4</v>
      </c>
      <c r="S199" s="102">
        <v>8</v>
      </c>
      <c r="T199" s="95"/>
      <c r="U199" s="95" t="s">
        <v>845</v>
      </c>
      <c r="V199" s="95" t="s">
        <v>775</v>
      </c>
    </row>
    <row r="200" spans="1:22" ht="34.5" customHeight="1">
      <c r="A200" s="163"/>
      <c r="B200" s="345"/>
      <c r="C200" s="348"/>
      <c r="D200" s="351"/>
      <c r="E200" s="354"/>
      <c r="F200" s="263"/>
      <c r="G200" s="262"/>
      <c r="H200" s="361"/>
      <c r="I200" s="361"/>
      <c r="J200" s="364"/>
      <c r="K200" s="254"/>
      <c r="L200" s="264"/>
      <c r="M200" s="24" t="s">
        <v>780</v>
      </c>
      <c r="N200" s="23" t="s">
        <v>1184</v>
      </c>
      <c r="O200" s="25"/>
      <c r="P200" s="26"/>
      <c r="Q200" s="112" t="s">
        <v>1185</v>
      </c>
      <c r="R200" s="102">
        <v>30</v>
      </c>
      <c r="S200" s="102">
        <v>60</v>
      </c>
      <c r="T200" s="95"/>
      <c r="U200" s="95" t="s">
        <v>845</v>
      </c>
      <c r="V200" s="95" t="s">
        <v>775</v>
      </c>
    </row>
    <row r="201" spans="1:22" ht="34.5" customHeight="1">
      <c r="A201" s="163"/>
      <c r="B201" s="345"/>
      <c r="C201" s="348"/>
      <c r="D201" s="351"/>
      <c r="E201" s="354"/>
      <c r="F201" s="263"/>
      <c r="G201" s="262"/>
      <c r="H201" s="361"/>
      <c r="I201" s="361"/>
      <c r="J201" s="364"/>
      <c r="K201" s="254"/>
      <c r="L201" s="264"/>
      <c r="M201" s="24" t="s">
        <v>776</v>
      </c>
      <c r="N201" s="23" t="s">
        <v>1186</v>
      </c>
      <c r="O201" s="25"/>
      <c r="P201" s="26"/>
      <c r="Q201" s="112" t="s">
        <v>1187</v>
      </c>
      <c r="R201" s="102">
        <v>1</v>
      </c>
      <c r="S201" s="102">
        <v>3</v>
      </c>
      <c r="T201" s="95"/>
      <c r="U201" s="95" t="s">
        <v>845</v>
      </c>
      <c r="V201" s="95" t="s">
        <v>775</v>
      </c>
    </row>
    <row r="202" spans="1:22" ht="34.5" customHeight="1">
      <c r="A202" s="163"/>
      <c r="B202" s="345"/>
      <c r="C202" s="348"/>
      <c r="D202" s="351"/>
      <c r="E202" s="354"/>
      <c r="F202" s="263"/>
      <c r="G202" s="262"/>
      <c r="H202" s="361"/>
      <c r="I202" s="361"/>
      <c r="J202" s="364"/>
      <c r="K202" s="254"/>
      <c r="L202" s="264"/>
      <c r="M202" s="24" t="s">
        <v>780</v>
      </c>
      <c r="N202" s="23" t="s">
        <v>1188</v>
      </c>
      <c r="O202" s="25"/>
      <c r="P202" s="26"/>
      <c r="Q202" s="112" t="s">
        <v>1189</v>
      </c>
      <c r="R202" s="102" t="s">
        <v>805</v>
      </c>
      <c r="S202" s="102" t="s">
        <v>806</v>
      </c>
      <c r="T202" s="95"/>
      <c r="U202" s="95" t="s">
        <v>845</v>
      </c>
      <c r="V202" s="95" t="s">
        <v>775</v>
      </c>
    </row>
    <row r="203" spans="1:22" ht="33.75" customHeight="1">
      <c r="A203" s="163"/>
      <c r="B203" s="345"/>
      <c r="C203" s="348"/>
      <c r="D203" s="351"/>
      <c r="E203" s="354"/>
      <c r="F203" s="263"/>
      <c r="G203" s="262"/>
      <c r="H203" s="361"/>
      <c r="I203" s="361"/>
      <c r="J203" s="364"/>
      <c r="K203" s="254"/>
      <c r="L203" s="264"/>
      <c r="M203" s="24" t="s">
        <v>780</v>
      </c>
      <c r="N203" s="23" t="s">
        <v>1190</v>
      </c>
      <c r="O203" s="25"/>
      <c r="P203" s="26"/>
      <c r="Q203" s="112" t="s">
        <v>973</v>
      </c>
      <c r="R203" s="102" t="s">
        <v>805</v>
      </c>
      <c r="S203" s="102" t="s">
        <v>806</v>
      </c>
      <c r="T203" s="95"/>
      <c r="U203" s="95" t="s">
        <v>845</v>
      </c>
      <c r="V203" s="95" t="s">
        <v>775</v>
      </c>
    </row>
    <row r="204" spans="1:22" ht="45" customHeight="1">
      <c r="A204" s="163"/>
      <c r="B204" s="345"/>
      <c r="C204" s="348"/>
      <c r="D204" s="351"/>
      <c r="E204" s="354"/>
      <c r="F204" s="263"/>
      <c r="G204" s="262"/>
      <c r="H204" s="361"/>
      <c r="I204" s="361"/>
      <c r="J204" s="364"/>
      <c r="K204" s="254"/>
      <c r="L204" s="264"/>
      <c r="M204" s="24" t="s">
        <v>780</v>
      </c>
      <c r="N204" s="23" t="s">
        <v>1191</v>
      </c>
      <c r="O204" s="25"/>
      <c r="P204" s="26"/>
      <c r="Q204" s="112" t="s">
        <v>1189</v>
      </c>
      <c r="R204" s="102" t="s">
        <v>805</v>
      </c>
      <c r="S204" s="102" t="s">
        <v>806</v>
      </c>
      <c r="T204" s="95"/>
      <c r="U204" s="95" t="s">
        <v>845</v>
      </c>
      <c r="V204" s="95" t="s">
        <v>775</v>
      </c>
    </row>
    <row r="205" spans="1:22" ht="45">
      <c r="A205" s="163"/>
      <c r="B205" s="345"/>
      <c r="C205" s="348"/>
      <c r="D205" s="352"/>
      <c r="E205" s="355"/>
      <c r="F205" s="265"/>
      <c r="G205" s="266"/>
      <c r="H205" s="362"/>
      <c r="I205" s="362"/>
      <c r="J205" s="365"/>
      <c r="K205" s="255"/>
      <c r="L205" s="267"/>
      <c r="M205" s="24" t="s">
        <v>776</v>
      </c>
      <c r="N205" s="23" t="s">
        <v>1192</v>
      </c>
      <c r="O205" s="25"/>
      <c r="P205" s="26"/>
      <c r="Q205" s="112" t="s">
        <v>1193</v>
      </c>
      <c r="R205" s="102">
        <v>2</v>
      </c>
      <c r="S205" s="102">
        <v>4</v>
      </c>
      <c r="T205" s="95"/>
      <c r="U205" s="95" t="s">
        <v>845</v>
      </c>
      <c r="V205" s="95" t="s">
        <v>775</v>
      </c>
    </row>
    <row r="206" spans="1:22" ht="64.150000000000006" customHeight="1">
      <c r="A206" s="163"/>
      <c r="B206" s="345"/>
      <c r="C206" s="348"/>
      <c r="D206" s="350" t="s">
        <v>504</v>
      </c>
      <c r="E206" s="353" t="s">
        <v>194</v>
      </c>
      <c r="F206" s="243" t="s">
        <v>195</v>
      </c>
      <c r="G206" s="246" t="s">
        <v>196</v>
      </c>
      <c r="H206" s="249" t="s">
        <v>435</v>
      </c>
      <c r="I206" s="249" t="s">
        <v>438</v>
      </c>
      <c r="J206" s="252" t="str">
        <f>G206</f>
        <v>Implantar un distintiu de qualitat i compatibilitat amb la conservació dels productes de la Xarxa d'ENP o criteris de qualitat propis de l'ENP</v>
      </c>
      <c r="K206" s="253"/>
      <c r="L206" s="252" t="s">
        <v>763</v>
      </c>
      <c r="M206" s="24" t="s">
        <v>780</v>
      </c>
      <c r="N206" s="23" t="s">
        <v>1194</v>
      </c>
      <c r="O206" s="25" t="s">
        <v>451</v>
      </c>
      <c r="P206" s="26" t="s">
        <v>505</v>
      </c>
      <c r="Q206" s="112" t="s">
        <v>1195</v>
      </c>
      <c r="R206" s="102" t="s">
        <v>805</v>
      </c>
      <c r="S206" s="102" t="s">
        <v>806</v>
      </c>
      <c r="T206" s="95"/>
      <c r="U206" s="95" t="s">
        <v>1196</v>
      </c>
      <c r="V206" s="95" t="s">
        <v>1197</v>
      </c>
    </row>
    <row r="207" spans="1:22" ht="30" customHeight="1">
      <c r="A207" s="163"/>
      <c r="B207" s="345"/>
      <c r="C207" s="348"/>
      <c r="D207" s="351"/>
      <c r="E207" s="354"/>
      <c r="F207" s="273"/>
      <c r="G207" s="266"/>
      <c r="H207" s="265"/>
      <c r="I207" s="265"/>
      <c r="J207" s="267"/>
      <c r="K207" s="269"/>
      <c r="L207" s="267"/>
      <c r="M207" s="24" t="s">
        <v>780</v>
      </c>
      <c r="N207" s="23" t="s">
        <v>1198</v>
      </c>
      <c r="O207" s="25"/>
      <c r="P207" s="26"/>
      <c r="Q207" s="112" t="s">
        <v>1199</v>
      </c>
      <c r="R207" s="102" t="s">
        <v>805</v>
      </c>
      <c r="S207" s="102" t="s">
        <v>806</v>
      </c>
      <c r="T207" s="95"/>
      <c r="U207" s="95" t="s">
        <v>845</v>
      </c>
      <c r="V207" s="95" t="s">
        <v>775</v>
      </c>
    </row>
    <row r="208" spans="1:22" ht="30">
      <c r="A208" s="163"/>
      <c r="B208" s="345"/>
      <c r="C208" s="348"/>
      <c r="D208" s="351"/>
      <c r="E208" s="354"/>
      <c r="F208" s="243" t="s">
        <v>197</v>
      </c>
      <c r="G208" s="246" t="s">
        <v>198</v>
      </c>
      <c r="H208" s="249" t="s">
        <v>435</v>
      </c>
      <c r="I208" s="249" t="s">
        <v>436</v>
      </c>
      <c r="J208" s="252" t="str">
        <f>G208</f>
        <v>Integrar els productes i activitats locals de qualitat en l'oferta d'activitats d'informació i turístiques de l'ENP</v>
      </c>
      <c r="K208" s="253"/>
      <c r="L208" s="252" t="s">
        <v>763</v>
      </c>
      <c r="M208" s="24" t="s">
        <v>780</v>
      </c>
      <c r="N208" s="23" t="s">
        <v>1200</v>
      </c>
      <c r="O208" s="29" t="s">
        <v>506</v>
      </c>
      <c r="P208" s="26"/>
      <c r="Q208" s="112" t="s">
        <v>1201</v>
      </c>
      <c r="R208" s="102">
        <v>2</v>
      </c>
      <c r="S208" s="102">
        <v>5</v>
      </c>
      <c r="T208" s="95"/>
      <c r="U208" s="95" t="s">
        <v>1151</v>
      </c>
      <c r="V208" s="95" t="s">
        <v>987</v>
      </c>
    </row>
    <row r="209" spans="1:22" ht="45" customHeight="1">
      <c r="A209" s="163"/>
      <c r="B209" s="345"/>
      <c r="C209" s="348"/>
      <c r="D209" s="351"/>
      <c r="E209" s="354"/>
      <c r="F209" s="261"/>
      <c r="G209" s="262"/>
      <c r="H209" s="263"/>
      <c r="I209" s="263"/>
      <c r="J209" s="264"/>
      <c r="K209" s="268"/>
      <c r="L209" s="264"/>
      <c r="M209" s="24" t="s">
        <v>776</v>
      </c>
      <c r="N209" s="23" t="s">
        <v>1202</v>
      </c>
      <c r="O209" s="25"/>
      <c r="P209" s="26"/>
      <c r="Q209" s="112" t="s">
        <v>1203</v>
      </c>
      <c r="R209" s="102">
        <v>50</v>
      </c>
      <c r="S209" s="102">
        <v>70</v>
      </c>
      <c r="T209" s="95"/>
      <c r="U209" s="95" t="s">
        <v>845</v>
      </c>
      <c r="V209" s="95" t="s">
        <v>775</v>
      </c>
    </row>
    <row r="210" spans="1:22">
      <c r="A210" s="163"/>
      <c r="B210" s="345"/>
      <c r="C210" s="348"/>
      <c r="D210" s="351"/>
      <c r="E210" s="354"/>
      <c r="F210" s="273"/>
      <c r="G210" s="266"/>
      <c r="H210" s="265"/>
      <c r="I210" s="265"/>
      <c r="J210" s="267"/>
      <c r="K210" s="269"/>
      <c r="L210" s="267"/>
      <c r="M210" s="24" t="s">
        <v>780</v>
      </c>
      <c r="N210" s="23" t="s">
        <v>1204</v>
      </c>
      <c r="O210" s="25"/>
      <c r="P210" s="26"/>
      <c r="Q210" s="112" t="s">
        <v>1203</v>
      </c>
      <c r="R210" s="102">
        <v>10</v>
      </c>
      <c r="S210" s="102">
        <v>30</v>
      </c>
      <c r="T210" s="95"/>
      <c r="U210" s="95" t="s">
        <v>845</v>
      </c>
      <c r="V210" s="95" t="s">
        <v>775</v>
      </c>
    </row>
    <row r="211" spans="1:22" ht="15" customHeight="1">
      <c r="A211" s="163"/>
      <c r="B211" s="345"/>
      <c r="C211" s="348"/>
      <c r="D211" s="351"/>
      <c r="E211" s="354"/>
      <c r="F211" s="243" t="s">
        <v>199</v>
      </c>
      <c r="G211" s="246" t="s">
        <v>200</v>
      </c>
      <c r="H211" s="249" t="s">
        <v>435</v>
      </c>
      <c r="I211" s="249" t="s">
        <v>438</v>
      </c>
      <c r="J211" s="252" t="str">
        <f>G211</f>
        <v>Promoure fires d'artesania i productes locals de l'ENP</v>
      </c>
      <c r="K211" s="253"/>
      <c r="L211" s="282" t="s">
        <v>763</v>
      </c>
      <c r="M211" s="24" t="s">
        <v>776</v>
      </c>
      <c r="N211" s="23" t="s">
        <v>1205</v>
      </c>
      <c r="O211" s="25"/>
      <c r="P211" s="26"/>
      <c r="Q211" s="112" t="s">
        <v>1206</v>
      </c>
      <c r="R211" s="102">
        <v>3</v>
      </c>
      <c r="S211" s="102">
        <v>4</v>
      </c>
      <c r="T211" s="95"/>
      <c r="U211" s="95" t="s">
        <v>845</v>
      </c>
      <c r="V211" s="95" t="s">
        <v>775</v>
      </c>
    </row>
    <row r="212" spans="1:22" ht="45.75" customHeight="1">
      <c r="A212" s="163"/>
      <c r="B212" s="345"/>
      <c r="C212" s="348"/>
      <c r="D212" s="351"/>
      <c r="E212" s="354"/>
      <c r="F212" s="273"/>
      <c r="G212" s="266"/>
      <c r="H212" s="265"/>
      <c r="I212" s="265"/>
      <c r="J212" s="267"/>
      <c r="K212" s="269"/>
      <c r="L212" s="367"/>
      <c r="M212" s="24" t="s">
        <v>780</v>
      </c>
      <c r="N212" s="23" t="s">
        <v>1207</v>
      </c>
      <c r="O212" s="25"/>
      <c r="P212" s="26"/>
      <c r="Q212" s="112" t="s">
        <v>1208</v>
      </c>
      <c r="R212" s="102">
        <v>16</v>
      </c>
      <c r="S212" s="102">
        <v>32</v>
      </c>
      <c r="T212" s="95"/>
      <c r="U212" s="95" t="s">
        <v>845</v>
      </c>
      <c r="V212" s="95" t="s">
        <v>775</v>
      </c>
    </row>
    <row r="213" spans="1:22" ht="42.75" customHeight="1">
      <c r="A213" s="163"/>
      <c r="B213" s="345"/>
      <c r="C213" s="348"/>
      <c r="D213" s="351"/>
      <c r="E213" s="354"/>
      <c r="F213" s="243" t="s">
        <v>201</v>
      </c>
      <c r="G213" s="246" t="s">
        <v>202</v>
      </c>
      <c r="H213" s="249" t="s">
        <v>435</v>
      </c>
      <c r="I213" s="249" t="s">
        <v>438</v>
      </c>
      <c r="J213" s="252" t="str">
        <f>G213</f>
        <v xml:space="preserve">Generar aliances entre el sector primari, el turisme, la restauració i altres per fomentar la gastronomia local </v>
      </c>
      <c r="K213" s="253"/>
      <c r="L213" s="252" t="s">
        <v>763</v>
      </c>
      <c r="M213" s="24" t="s">
        <v>780</v>
      </c>
      <c r="N213" s="23" t="s">
        <v>1209</v>
      </c>
      <c r="O213" s="29"/>
      <c r="P213" s="26"/>
      <c r="Q213" s="112" t="s">
        <v>1210</v>
      </c>
      <c r="R213" s="102">
        <v>1</v>
      </c>
      <c r="S213" s="102">
        <v>4</v>
      </c>
      <c r="T213" s="95"/>
      <c r="U213" s="95" t="s">
        <v>845</v>
      </c>
      <c r="V213" s="95" t="s">
        <v>775</v>
      </c>
    </row>
    <row r="214" spans="1:22" ht="47.25" customHeight="1">
      <c r="A214" s="163"/>
      <c r="B214" s="345"/>
      <c r="C214" s="348"/>
      <c r="D214" s="351"/>
      <c r="E214" s="354"/>
      <c r="F214" s="261"/>
      <c r="G214" s="262"/>
      <c r="H214" s="263"/>
      <c r="I214" s="263"/>
      <c r="J214" s="264"/>
      <c r="K214" s="268"/>
      <c r="L214" s="264"/>
      <c r="M214" s="24" t="s">
        <v>783</v>
      </c>
      <c r="N214" s="23" t="s">
        <v>1211</v>
      </c>
      <c r="O214" s="29"/>
      <c r="P214" s="26"/>
      <c r="Q214" s="112" t="s">
        <v>1212</v>
      </c>
      <c r="R214" s="102" t="s">
        <v>805</v>
      </c>
      <c r="S214" s="102" t="s">
        <v>806</v>
      </c>
      <c r="T214" s="95"/>
      <c r="U214" s="95" t="s">
        <v>845</v>
      </c>
      <c r="V214" s="95" t="s">
        <v>775</v>
      </c>
    </row>
    <row r="215" spans="1:22">
      <c r="A215" s="163"/>
      <c r="B215" s="345"/>
      <c r="C215" s="348"/>
      <c r="D215" s="351"/>
      <c r="E215" s="354"/>
      <c r="F215" s="273"/>
      <c r="G215" s="266"/>
      <c r="H215" s="265"/>
      <c r="I215" s="265"/>
      <c r="J215" s="267"/>
      <c r="K215" s="269"/>
      <c r="L215" s="267"/>
      <c r="M215" s="24" t="s">
        <v>780</v>
      </c>
      <c r="N215" s="23" t="s">
        <v>1213</v>
      </c>
      <c r="O215" s="29"/>
      <c r="P215" s="26"/>
      <c r="Q215" s="112" t="s">
        <v>1210</v>
      </c>
      <c r="R215" s="102">
        <v>1</v>
      </c>
      <c r="S215" s="102">
        <v>4</v>
      </c>
      <c r="T215" s="95"/>
      <c r="U215" s="95" t="s">
        <v>845</v>
      </c>
      <c r="V215" s="95" t="s">
        <v>775</v>
      </c>
    </row>
    <row r="216" spans="1:22" ht="45">
      <c r="A216" s="163"/>
      <c r="B216" s="345"/>
      <c r="C216" s="348"/>
      <c r="D216" s="351"/>
      <c r="E216" s="354"/>
      <c r="F216" s="117" t="s">
        <v>203</v>
      </c>
      <c r="G216" s="114" t="s">
        <v>204</v>
      </c>
      <c r="H216" s="113" t="s">
        <v>435</v>
      </c>
      <c r="I216" s="113" t="s">
        <v>438</v>
      </c>
      <c r="J216" s="23"/>
      <c r="K216" s="22" t="s">
        <v>1214</v>
      </c>
      <c r="L216" s="23"/>
      <c r="M216" s="24"/>
      <c r="N216" s="23"/>
      <c r="O216" s="29" t="s">
        <v>451</v>
      </c>
      <c r="P216" s="26"/>
      <c r="Q216" s="112"/>
      <c r="R216" s="102"/>
      <c r="S216" s="102"/>
      <c r="T216" s="95"/>
      <c r="U216" s="95"/>
      <c r="V216" s="95"/>
    </row>
    <row r="217" spans="1:22" ht="30">
      <c r="A217" s="163"/>
      <c r="B217" s="345"/>
      <c r="C217" s="348"/>
      <c r="D217" s="351"/>
      <c r="E217" s="354"/>
      <c r="F217" s="243" t="s">
        <v>205</v>
      </c>
      <c r="G217" s="246" t="s">
        <v>206</v>
      </c>
      <c r="H217" s="249" t="s">
        <v>435</v>
      </c>
      <c r="I217" s="249" t="s">
        <v>438</v>
      </c>
      <c r="J217" s="252" t="str">
        <f>G217</f>
        <v>Elaborar una guia per promocionar els agents del territori que potencien i difonen els productes alimentaris locals i de qualitat (allotjaments, restaurants, cellers, establiments, elaboradors i productors)</v>
      </c>
      <c r="K217" s="253"/>
      <c r="L217" s="282" t="s">
        <v>763</v>
      </c>
      <c r="M217" s="24" t="s">
        <v>780</v>
      </c>
      <c r="N217" s="23" t="s">
        <v>1215</v>
      </c>
      <c r="O217" s="29" t="s">
        <v>506</v>
      </c>
      <c r="P217" s="26"/>
      <c r="Q217" s="112" t="s">
        <v>1210</v>
      </c>
      <c r="R217" s="102">
        <v>1</v>
      </c>
      <c r="S217" s="102">
        <v>4</v>
      </c>
      <c r="T217" s="95"/>
      <c r="U217" s="95" t="s">
        <v>845</v>
      </c>
      <c r="V217" s="95" t="s">
        <v>775</v>
      </c>
    </row>
    <row r="218" spans="1:22" ht="27.75" customHeight="1">
      <c r="A218" s="163"/>
      <c r="B218" s="345"/>
      <c r="C218" s="348"/>
      <c r="D218" s="352"/>
      <c r="E218" s="355"/>
      <c r="F218" s="273"/>
      <c r="G218" s="266"/>
      <c r="H218" s="265"/>
      <c r="I218" s="265"/>
      <c r="J218" s="267"/>
      <c r="K218" s="269"/>
      <c r="L218" s="367"/>
      <c r="M218" s="24" t="s">
        <v>780</v>
      </c>
      <c r="N218" s="166" t="s">
        <v>1216</v>
      </c>
      <c r="O218" s="29"/>
      <c r="P218" s="26"/>
      <c r="Q218" s="166" t="s">
        <v>1217</v>
      </c>
      <c r="R218" s="102">
        <v>1</v>
      </c>
      <c r="S218" s="102">
        <v>5</v>
      </c>
      <c r="T218" s="95"/>
      <c r="U218" s="95" t="s">
        <v>1218</v>
      </c>
      <c r="V218" s="95" t="s">
        <v>857</v>
      </c>
    </row>
    <row r="219" spans="1:22" ht="34.5" customHeight="1">
      <c r="A219" s="163"/>
      <c r="B219" s="345"/>
      <c r="C219" s="348"/>
      <c r="D219" s="368" t="s">
        <v>507</v>
      </c>
      <c r="E219" s="369" t="s">
        <v>207</v>
      </c>
      <c r="F219" s="243" t="s">
        <v>208</v>
      </c>
      <c r="G219" s="246" t="s">
        <v>209</v>
      </c>
      <c r="H219" s="249" t="s">
        <v>435</v>
      </c>
      <c r="I219" s="249" t="s">
        <v>436</v>
      </c>
      <c r="J219" s="252" t="str">
        <f>G219</f>
        <v>Treballar amb l'autoritat competent per garantir objectius de conservació d’espècies i hàbitats en la revisió dels Plans de Gestió Cinegètica</v>
      </c>
      <c r="K219" s="253"/>
      <c r="L219" s="252" t="s">
        <v>763</v>
      </c>
      <c r="M219" s="24" t="s">
        <v>780</v>
      </c>
      <c r="N219" s="23" t="s">
        <v>1219</v>
      </c>
      <c r="O219" s="25" t="s">
        <v>448</v>
      </c>
      <c r="P219" s="26"/>
      <c r="Q219" s="112" t="s">
        <v>1220</v>
      </c>
      <c r="R219" s="102">
        <v>4</v>
      </c>
      <c r="S219" s="102">
        <v>8</v>
      </c>
      <c r="T219" s="95"/>
      <c r="U219" s="95" t="s">
        <v>845</v>
      </c>
      <c r="V219" s="95" t="s">
        <v>775</v>
      </c>
    </row>
    <row r="220" spans="1:22" ht="45">
      <c r="A220" s="163"/>
      <c r="B220" s="345"/>
      <c r="C220" s="348"/>
      <c r="D220" s="368"/>
      <c r="E220" s="369"/>
      <c r="F220" s="261"/>
      <c r="G220" s="262"/>
      <c r="H220" s="263"/>
      <c r="I220" s="263"/>
      <c r="J220" s="264"/>
      <c r="K220" s="268"/>
      <c r="L220" s="264"/>
      <c r="M220" s="24" t="s">
        <v>780</v>
      </c>
      <c r="N220" s="23" t="s">
        <v>1221</v>
      </c>
      <c r="O220" s="25"/>
      <c r="P220" s="26"/>
      <c r="Q220" s="112" t="s">
        <v>1220</v>
      </c>
      <c r="R220" s="102">
        <v>4</v>
      </c>
      <c r="S220" s="102">
        <v>8</v>
      </c>
      <c r="T220" s="95"/>
      <c r="U220" s="95" t="s">
        <v>845</v>
      </c>
      <c r="V220" s="95" t="s">
        <v>775</v>
      </c>
    </row>
    <row r="221" spans="1:22" ht="45">
      <c r="A221" s="163"/>
      <c r="B221" s="345"/>
      <c r="C221" s="348"/>
      <c r="D221" s="368"/>
      <c r="E221" s="369"/>
      <c r="F221" s="273"/>
      <c r="G221" s="266"/>
      <c r="H221" s="265"/>
      <c r="I221" s="265"/>
      <c r="J221" s="267"/>
      <c r="K221" s="269"/>
      <c r="L221" s="267"/>
      <c r="M221" s="24" t="s">
        <v>783</v>
      </c>
      <c r="N221" s="23" t="s">
        <v>1222</v>
      </c>
      <c r="O221" s="25"/>
      <c r="P221" s="26"/>
      <c r="Q221" s="112" t="s">
        <v>1223</v>
      </c>
      <c r="R221" s="102">
        <v>2</v>
      </c>
      <c r="S221" s="102">
        <v>4</v>
      </c>
      <c r="T221" s="95"/>
      <c r="U221" s="95" t="s">
        <v>767</v>
      </c>
      <c r="V221" s="95" t="s">
        <v>768</v>
      </c>
    </row>
    <row r="222" spans="1:22" ht="30">
      <c r="A222" s="163"/>
      <c r="B222" s="345"/>
      <c r="C222" s="348"/>
      <c r="D222" s="368"/>
      <c r="E222" s="369"/>
      <c r="F222" s="243" t="s">
        <v>210</v>
      </c>
      <c r="G222" s="243" t="s">
        <v>211</v>
      </c>
      <c r="H222" s="243" t="s">
        <v>435</v>
      </c>
      <c r="I222" s="243" t="s">
        <v>436</v>
      </c>
      <c r="J222" s="301" t="str">
        <f>G222</f>
        <v>Col·laborar en la regulació i ordenació de la caça i la pesca en zones sensibles o amb risc d'afectació d'elements clau objecte de conservació</v>
      </c>
      <c r="K222" s="302"/>
      <c r="L222" s="301" t="s">
        <v>763</v>
      </c>
      <c r="M222" s="24" t="s">
        <v>776</v>
      </c>
      <c r="N222" s="23" t="s">
        <v>1224</v>
      </c>
      <c r="O222" s="25" t="s">
        <v>448</v>
      </c>
      <c r="P222" s="26"/>
      <c r="Q222" s="112" t="s">
        <v>1225</v>
      </c>
      <c r="R222" s="102">
        <v>1</v>
      </c>
      <c r="S222" s="102">
        <v>3</v>
      </c>
      <c r="T222" s="95"/>
      <c r="U222" s="95" t="s">
        <v>767</v>
      </c>
      <c r="V222" s="95" t="s">
        <v>768</v>
      </c>
    </row>
    <row r="223" spans="1:22" ht="60">
      <c r="A223" s="163"/>
      <c r="B223" s="345"/>
      <c r="C223" s="348"/>
      <c r="D223" s="368"/>
      <c r="E223" s="369"/>
      <c r="F223" s="261"/>
      <c r="G223" s="261"/>
      <c r="H223" s="261"/>
      <c r="I223" s="261"/>
      <c r="J223" s="370"/>
      <c r="K223" s="332"/>
      <c r="L223" s="370"/>
      <c r="M223" s="24" t="s">
        <v>776</v>
      </c>
      <c r="N223" s="23" t="s">
        <v>1226</v>
      </c>
      <c r="O223" s="25"/>
      <c r="P223" s="26"/>
      <c r="Q223" s="112" t="s">
        <v>796</v>
      </c>
      <c r="R223" s="102">
        <v>1</v>
      </c>
      <c r="S223" s="102">
        <v>2</v>
      </c>
      <c r="T223" s="95"/>
      <c r="U223" s="95" t="s">
        <v>767</v>
      </c>
      <c r="V223" s="95" t="s">
        <v>768</v>
      </c>
    </row>
    <row r="224" spans="1:22" ht="30">
      <c r="A224" s="163"/>
      <c r="B224" s="345"/>
      <c r="C224" s="348"/>
      <c r="D224" s="368"/>
      <c r="E224" s="369"/>
      <c r="F224" s="244"/>
      <c r="G224" s="244"/>
      <c r="H224" s="244"/>
      <c r="I224" s="244"/>
      <c r="J224" s="244"/>
      <c r="K224" s="325"/>
      <c r="L224" s="244"/>
      <c r="M224" s="24" t="s">
        <v>780</v>
      </c>
      <c r="N224" s="23" t="s">
        <v>1227</v>
      </c>
      <c r="O224" s="25"/>
      <c r="P224" s="26"/>
      <c r="Q224" s="112" t="s">
        <v>1228</v>
      </c>
      <c r="R224" s="102">
        <v>5</v>
      </c>
      <c r="S224" s="102">
        <v>20</v>
      </c>
      <c r="T224" s="95"/>
      <c r="U224" s="95" t="s">
        <v>767</v>
      </c>
      <c r="V224" s="95" t="s">
        <v>768</v>
      </c>
    </row>
    <row r="225" spans="1:22" ht="30">
      <c r="A225" s="163"/>
      <c r="B225" s="345"/>
      <c r="C225" s="348"/>
      <c r="D225" s="368"/>
      <c r="E225" s="369"/>
      <c r="F225" s="244"/>
      <c r="G225" s="244"/>
      <c r="H225" s="244"/>
      <c r="I225" s="244"/>
      <c r="J225" s="244"/>
      <c r="K225" s="325"/>
      <c r="L225" s="244"/>
      <c r="M225" s="24" t="s">
        <v>780</v>
      </c>
      <c r="N225" s="23" t="s">
        <v>1229</v>
      </c>
      <c r="O225" s="25"/>
      <c r="P225" s="26"/>
      <c r="Q225" s="112" t="s">
        <v>1230</v>
      </c>
      <c r="R225" s="102">
        <v>2</v>
      </c>
      <c r="S225" s="102">
        <v>8</v>
      </c>
      <c r="T225" s="95"/>
      <c r="U225" s="95" t="s">
        <v>856</v>
      </c>
      <c r="V225" s="95" t="s">
        <v>857</v>
      </c>
    </row>
    <row r="226" spans="1:22" ht="45">
      <c r="A226" s="163"/>
      <c r="B226" s="345"/>
      <c r="C226" s="348"/>
      <c r="D226" s="368"/>
      <c r="E226" s="369"/>
      <c r="F226" s="244"/>
      <c r="G226" s="244"/>
      <c r="H226" s="244"/>
      <c r="I226" s="244"/>
      <c r="J226" s="244"/>
      <c r="K226" s="325"/>
      <c r="L226" s="244"/>
      <c r="M226" s="24" t="s">
        <v>780</v>
      </c>
      <c r="N226" s="23" t="s">
        <v>1231</v>
      </c>
      <c r="O226" s="25"/>
      <c r="P226" s="26"/>
      <c r="Q226" s="112" t="s">
        <v>973</v>
      </c>
      <c r="R226" s="102" t="s">
        <v>805</v>
      </c>
      <c r="S226" s="102" t="s">
        <v>806</v>
      </c>
      <c r="T226" s="95"/>
      <c r="U226" s="95" t="s">
        <v>845</v>
      </c>
      <c r="V226" s="95" t="s">
        <v>775</v>
      </c>
    </row>
    <row r="227" spans="1:22" ht="45">
      <c r="A227" s="163"/>
      <c r="B227" s="345"/>
      <c r="C227" s="348"/>
      <c r="D227" s="368"/>
      <c r="E227" s="369"/>
      <c r="F227" s="244"/>
      <c r="G227" s="244"/>
      <c r="H227" s="244"/>
      <c r="I227" s="244"/>
      <c r="J227" s="244"/>
      <c r="K227" s="325"/>
      <c r="L227" s="244"/>
      <c r="M227" s="24" t="s">
        <v>783</v>
      </c>
      <c r="N227" s="23" t="s">
        <v>1232</v>
      </c>
      <c r="O227" s="25"/>
      <c r="P227" s="26"/>
      <c r="Q227" s="112" t="s">
        <v>800</v>
      </c>
      <c r="R227" s="102">
        <v>1</v>
      </c>
      <c r="S227" s="102">
        <v>4</v>
      </c>
      <c r="T227" s="95"/>
      <c r="U227" s="95" t="s">
        <v>767</v>
      </c>
      <c r="V227" s="95" t="s">
        <v>768</v>
      </c>
    </row>
    <row r="228" spans="1:22" ht="45">
      <c r="A228" s="163"/>
      <c r="B228" s="345"/>
      <c r="C228" s="348"/>
      <c r="D228" s="368"/>
      <c r="E228" s="369"/>
      <c r="F228" s="245"/>
      <c r="G228" s="245"/>
      <c r="H228" s="245"/>
      <c r="I228" s="245"/>
      <c r="J228" s="245"/>
      <c r="K228" s="303"/>
      <c r="L228" s="245"/>
      <c r="M228" s="24" t="s">
        <v>776</v>
      </c>
      <c r="N228" s="23" t="s">
        <v>1233</v>
      </c>
      <c r="O228" s="25"/>
      <c r="P228" s="26"/>
      <c r="Q228" s="112" t="s">
        <v>1234</v>
      </c>
      <c r="R228" s="102" t="s">
        <v>805</v>
      </c>
      <c r="S228" s="102" t="s">
        <v>806</v>
      </c>
      <c r="T228" s="95"/>
      <c r="U228" s="95" t="s">
        <v>845</v>
      </c>
      <c r="V228" s="95" t="s">
        <v>775</v>
      </c>
    </row>
    <row r="229" spans="1:22" ht="45">
      <c r="A229" s="163"/>
      <c r="B229" s="346"/>
      <c r="C229" s="349"/>
      <c r="D229" s="368"/>
      <c r="E229" s="369"/>
      <c r="F229" s="117" t="s">
        <v>212</v>
      </c>
      <c r="G229" s="114" t="s">
        <v>213</v>
      </c>
      <c r="H229" s="113" t="s">
        <v>435</v>
      </c>
      <c r="I229" s="113" t="s">
        <v>436</v>
      </c>
      <c r="J229" s="23"/>
      <c r="K229" s="30" t="s">
        <v>1235</v>
      </c>
      <c r="L229" s="23" t="s">
        <v>790</v>
      </c>
      <c r="M229" s="24"/>
      <c r="N229" s="23"/>
      <c r="O229" s="25"/>
      <c r="P229" s="26"/>
      <c r="Q229" s="112"/>
      <c r="R229" s="102"/>
      <c r="S229" s="102"/>
      <c r="T229" s="95"/>
      <c r="U229" s="95"/>
      <c r="V229" s="95"/>
    </row>
    <row r="230" spans="1:22" ht="45">
      <c r="A230" s="163"/>
      <c r="B230" s="167">
        <v>9</v>
      </c>
      <c r="C230" s="168" t="s">
        <v>214</v>
      </c>
      <c r="D230" s="350" t="s">
        <v>508</v>
      </c>
      <c r="E230" s="373" t="s">
        <v>215</v>
      </c>
      <c r="F230" s="243" t="s">
        <v>216</v>
      </c>
      <c r="G230" s="246" t="s">
        <v>217</v>
      </c>
      <c r="H230" s="249" t="s">
        <v>435</v>
      </c>
      <c r="I230" s="249" t="s">
        <v>438</v>
      </c>
      <c r="J230" s="252" t="str">
        <f>G230</f>
        <v>Desplegar la Carta Europea de Turisme Sostenible (CETS)</v>
      </c>
      <c r="K230" s="253"/>
      <c r="L230" s="282" t="s">
        <v>763</v>
      </c>
      <c r="M230" s="24" t="s">
        <v>776</v>
      </c>
      <c r="N230" s="169" t="s">
        <v>1236</v>
      </c>
      <c r="O230" s="25" t="s">
        <v>451</v>
      </c>
      <c r="P230" s="26"/>
      <c r="Q230" s="112" t="s">
        <v>1237</v>
      </c>
      <c r="R230" s="102">
        <v>25</v>
      </c>
      <c r="S230" s="102">
        <v>35</v>
      </c>
      <c r="T230" s="95"/>
      <c r="U230" s="95" t="s">
        <v>856</v>
      </c>
      <c r="V230" s="95" t="s">
        <v>857</v>
      </c>
    </row>
    <row r="231" spans="1:22" ht="27.75" customHeight="1">
      <c r="A231" s="163"/>
      <c r="B231" s="170"/>
      <c r="C231" s="171"/>
      <c r="D231" s="351"/>
      <c r="E231" s="374"/>
      <c r="F231" s="261"/>
      <c r="G231" s="262"/>
      <c r="H231" s="263"/>
      <c r="I231" s="263"/>
      <c r="J231" s="264"/>
      <c r="K231" s="268"/>
      <c r="L231" s="283"/>
      <c r="M231" s="24" t="s">
        <v>776</v>
      </c>
      <c r="N231" s="169" t="s">
        <v>1238</v>
      </c>
      <c r="O231" s="25"/>
      <c r="P231" s="26"/>
      <c r="Q231" s="112" t="s">
        <v>1239</v>
      </c>
      <c r="R231" s="102">
        <v>10</v>
      </c>
      <c r="S231" s="102">
        <v>30</v>
      </c>
      <c r="T231" s="95"/>
      <c r="U231" s="95" t="s">
        <v>856</v>
      </c>
      <c r="V231" s="95" t="s">
        <v>857</v>
      </c>
    </row>
    <row r="232" spans="1:22">
      <c r="A232" s="163"/>
      <c r="B232" s="170"/>
      <c r="C232" s="171"/>
      <c r="D232" s="351"/>
      <c r="E232" s="374"/>
      <c r="F232" s="261"/>
      <c r="G232" s="262"/>
      <c r="H232" s="263"/>
      <c r="I232" s="263"/>
      <c r="J232" s="264"/>
      <c r="K232" s="268"/>
      <c r="L232" s="283"/>
      <c r="M232" s="24" t="s">
        <v>783</v>
      </c>
      <c r="N232" s="169" t="s">
        <v>1240</v>
      </c>
      <c r="O232" s="25"/>
      <c r="P232" s="26"/>
      <c r="Q232" s="112" t="s">
        <v>1241</v>
      </c>
      <c r="R232" s="102">
        <v>1</v>
      </c>
      <c r="S232" s="102">
        <v>3</v>
      </c>
      <c r="T232" s="95"/>
      <c r="U232" s="95" t="s">
        <v>856</v>
      </c>
      <c r="V232" s="95" t="s">
        <v>857</v>
      </c>
    </row>
    <row r="233" spans="1:22" ht="30">
      <c r="A233" s="163"/>
      <c r="B233" s="170"/>
      <c r="C233" s="171"/>
      <c r="D233" s="351"/>
      <c r="E233" s="374"/>
      <c r="F233" s="261"/>
      <c r="G233" s="262"/>
      <c r="H233" s="263"/>
      <c r="I233" s="263"/>
      <c r="J233" s="264"/>
      <c r="K233" s="268"/>
      <c r="L233" s="283"/>
      <c r="M233" s="24" t="s">
        <v>764</v>
      </c>
      <c r="N233" s="169" t="s">
        <v>1242</v>
      </c>
      <c r="O233" s="25"/>
      <c r="P233" s="26"/>
      <c r="Q233" s="112" t="s">
        <v>1243</v>
      </c>
      <c r="R233" s="102" t="s">
        <v>805</v>
      </c>
      <c r="S233" s="102" t="s">
        <v>806</v>
      </c>
      <c r="T233" s="95"/>
      <c r="U233" s="95" t="s">
        <v>856</v>
      </c>
      <c r="V233" s="95" t="s">
        <v>857</v>
      </c>
    </row>
    <row r="234" spans="1:22" ht="30">
      <c r="A234" s="163"/>
      <c r="B234" s="170"/>
      <c r="C234" s="171"/>
      <c r="D234" s="351"/>
      <c r="E234" s="374"/>
      <c r="F234" s="273"/>
      <c r="G234" s="266"/>
      <c r="H234" s="265"/>
      <c r="I234" s="265"/>
      <c r="J234" s="267"/>
      <c r="K234" s="269"/>
      <c r="L234" s="367"/>
      <c r="M234" s="24" t="s">
        <v>776</v>
      </c>
      <c r="N234" s="169" t="s">
        <v>1244</v>
      </c>
      <c r="O234" s="25"/>
      <c r="P234" s="26"/>
      <c r="Q234" s="112" t="s">
        <v>1245</v>
      </c>
      <c r="R234" s="102">
        <v>4</v>
      </c>
      <c r="S234" s="102">
        <v>6</v>
      </c>
      <c r="T234" s="95"/>
      <c r="U234" s="95" t="s">
        <v>856</v>
      </c>
      <c r="V234" s="95" t="s">
        <v>857</v>
      </c>
    </row>
    <row r="235" spans="1:22" ht="38.25" customHeight="1">
      <c r="A235" s="163"/>
      <c r="B235" s="170"/>
      <c r="C235" s="171"/>
      <c r="D235" s="351"/>
      <c r="E235" s="374"/>
      <c r="F235" s="243" t="s">
        <v>218</v>
      </c>
      <c r="G235" s="246" t="s">
        <v>219</v>
      </c>
      <c r="H235" s="249" t="s">
        <v>435</v>
      </c>
      <c r="I235" s="249" t="s">
        <v>438</v>
      </c>
      <c r="J235" s="252" t="s">
        <v>1246</v>
      </c>
      <c r="K235" s="302" t="s">
        <v>1247</v>
      </c>
      <c r="L235" s="282" t="s">
        <v>763</v>
      </c>
      <c r="M235" s="24" t="s">
        <v>776</v>
      </c>
      <c r="N235" s="172" t="s">
        <v>1248</v>
      </c>
      <c r="O235" s="173"/>
      <c r="P235" s="174"/>
      <c r="Q235" s="132" t="s">
        <v>1249</v>
      </c>
      <c r="R235" s="102" t="s">
        <v>805</v>
      </c>
      <c r="S235" s="102" t="s">
        <v>806</v>
      </c>
      <c r="T235" s="95"/>
      <c r="U235" s="95" t="s">
        <v>1250</v>
      </c>
      <c r="V235" s="95" t="s">
        <v>775</v>
      </c>
    </row>
    <row r="236" spans="1:22" ht="36.75" customHeight="1">
      <c r="A236" s="163"/>
      <c r="B236" s="170"/>
      <c r="C236" s="171"/>
      <c r="D236" s="351"/>
      <c r="E236" s="374"/>
      <c r="F236" s="273"/>
      <c r="G236" s="266"/>
      <c r="H236" s="265"/>
      <c r="I236" s="265"/>
      <c r="J236" s="267"/>
      <c r="K236" s="333"/>
      <c r="L236" s="367"/>
      <c r="M236" s="24" t="s">
        <v>780</v>
      </c>
      <c r="N236" s="23" t="s">
        <v>1251</v>
      </c>
      <c r="O236" s="25"/>
      <c r="P236" s="26"/>
      <c r="Q236" s="112" t="s">
        <v>1237</v>
      </c>
      <c r="R236" s="102">
        <v>15</v>
      </c>
      <c r="S236" s="102">
        <v>29</v>
      </c>
      <c r="T236" s="95"/>
      <c r="U236" s="95" t="s">
        <v>1250</v>
      </c>
      <c r="V236" s="95" t="s">
        <v>775</v>
      </c>
    </row>
    <row r="237" spans="1:22" ht="63" customHeight="1">
      <c r="A237" s="163"/>
      <c r="B237" s="170"/>
      <c r="C237" s="171"/>
      <c r="D237" s="371"/>
      <c r="E237" s="375"/>
      <c r="F237" s="243" t="s">
        <v>1252</v>
      </c>
      <c r="G237" s="243" t="s">
        <v>1253</v>
      </c>
      <c r="H237" s="243" t="s">
        <v>435</v>
      </c>
      <c r="I237" s="243" t="s">
        <v>438</v>
      </c>
      <c r="J237" s="301" t="str">
        <f>G237</f>
        <v>Fomentar el guiatge interpretatiu al Parc Natural</v>
      </c>
      <c r="K237" s="302"/>
      <c r="L237" s="274" t="s">
        <v>763</v>
      </c>
      <c r="M237" s="24" t="s">
        <v>780</v>
      </c>
      <c r="N237" s="23" t="s">
        <v>1254</v>
      </c>
      <c r="O237" s="25"/>
      <c r="P237" s="26"/>
      <c r="Q237" s="112" t="s">
        <v>1255</v>
      </c>
      <c r="R237" s="102">
        <v>8</v>
      </c>
      <c r="S237" s="102">
        <v>24</v>
      </c>
      <c r="T237" s="95"/>
      <c r="U237" s="95" t="s">
        <v>856</v>
      </c>
      <c r="V237" s="95" t="s">
        <v>987</v>
      </c>
    </row>
    <row r="238" spans="1:22" ht="36.75" customHeight="1">
      <c r="A238" s="163"/>
      <c r="B238" s="170"/>
      <c r="C238" s="171"/>
      <c r="D238" s="372"/>
      <c r="E238" s="376"/>
      <c r="F238" s="245"/>
      <c r="G238" s="245"/>
      <c r="H238" s="245"/>
      <c r="I238" s="245"/>
      <c r="J238" s="245"/>
      <c r="K238" s="303"/>
      <c r="L238" s="276"/>
      <c r="M238" s="24" t="s">
        <v>776</v>
      </c>
      <c r="N238" s="23" t="s">
        <v>1256</v>
      </c>
      <c r="O238" s="25"/>
      <c r="P238" s="26"/>
      <c r="Q238" s="112" t="s">
        <v>1257</v>
      </c>
      <c r="R238" s="102">
        <v>20</v>
      </c>
      <c r="S238" s="102">
        <v>50</v>
      </c>
      <c r="T238" s="95"/>
      <c r="U238" s="95" t="s">
        <v>856</v>
      </c>
      <c r="V238" s="95" t="s">
        <v>987</v>
      </c>
    </row>
    <row r="239" spans="1:22" ht="45">
      <c r="A239" s="163"/>
      <c r="B239" s="170"/>
      <c r="C239" s="171"/>
      <c r="D239" s="350" t="s">
        <v>509</v>
      </c>
      <c r="E239" s="373" t="s">
        <v>220</v>
      </c>
      <c r="F239" s="117" t="s">
        <v>221</v>
      </c>
      <c r="G239" s="114" t="s">
        <v>222</v>
      </c>
      <c r="H239" s="113" t="s">
        <v>435</v>
      </c>
      <c r="I239" s="113" t="s">
        <v>438</v>
      </c>
      <c r="J239" s="172" t="s">
        <v>1258</v>
      </c>
      <c r="K239" s="175" t="s">
        <v>1259</v>
      </c>
      <c r="L239" s="27" t="s">
        <v>763</v>
      </c>
      <c r="M239" s="24" t="s">
        <v>776</v>
      </c>
      <c r="N239" s="23" t="s">
        <v>1260</v>
      </c>
      <c r="O239" s="25" t="s">
        <v>451</v>
      </c>
      <c r="P239" s="26"/>
      <c r="Q239" s="112" t="s">
        <v>1261</v>
      </c>
      <c r="R239" s="102">
        <v>3</v>
      </c>
      <c r="S239" s="102">
        <v>10</v>
      </c>
      <c r="T239" s="95"/>
      <c r="U239" s="95" t="s">
        <v>856</v>
      </c>
      <c r="V239" s="95" t="s">
        <v>987</v>
      </c>
    </row>
    <row r="240" spans="1:22" ht="36.75" customHeight="1">
      <c r="A240" s="163"/>
      <c r="B240" s="170"/>
      <c r="C240" s="171"/>
      <c r="D240" s="351"/>
      <c r="E240" s="374"/>
      <c r="F240" s="243" t="s">
        <v>223</v>
      </c>
      <c r="G240" s="243" t="s">
        <v>224</v>
      </c>
      <c r="H240" s="243" t="s">
        <v>435</v>
      </c>
      <c r="I240" s="243" t="s">
        <v>438</v>
      </c>
      <c r="J240" s="301" t="s">
        <v>1262</v>
      </c>
      <c r="K240" s="377" t="s">
        <v>1263</v>
      </c>
      <c r="L240" s="274" t="s">
        <v>763</v>
      </c>
      <c r="M240" s="24" t="s">
        <v>780</v>
      </c>
      <c r="N240" s="23" t="s">
        <v>1264</v>
      </c>
      <c r="O240" s="25" t="s">
        <v>451</v>
      </c>
      <c r="P240" s="26"/>
      <c r="Q240" s="112" t="s">
        <v>828</v>
      </c>
      <c r="R240" s="102">
        <v>10</v>
      </c>
      <c r="S240" s="102">
        <v>30</v>
      </c>
      <c r="T240" s="95"/>
      <c r="U240" s="95" t="s">
        <v>856</v>
      </c>
      <c r="V240" s="95" t="s">
        <v>857</v>
      </c>
    </row>
    <row r="241" spans="1:22" ht="63" customHeight="1">
      <c r="A241" s="176"/>
      <c r="B241" s="177"/>
      <c r="C241" s="178"/>
      <c r="D241" s="351"/>
      <c r="E241" s="375"/>
      <c r="F241" s="244"/>
      <c r="G241" s="244"/>
      <c r="H241" s="244"/>
      <c r="I241" s="244"/>
      <c r="J241" s="244"/>
      <c r="K241" s="325"/>
      <c r="L241" s="275"/>
      <c r="M241" s="24" t="s">
        <v>780</v>
      </c>
      <c r="N241" s="23" t="s">
        <v>1265</v>
      </c>
      <c r="O241" s="25"/>
      <c r="P241" s="26"/>
      <c r="Q241" s="112" t="s">
        <v>1266</v>
      </c>
      <c r="R241" s="102">
        <v>10</v>
      </c>
      <c r="S241" s="102">
        <v>25</v>
      </c>
      <c r="T241" s="95"/>
      <c r="U241" s="95" t="s">
        <v>1250</v>
      </c>
      <c r="V241" s="95" t="s">
        <v>775</v>
      </c>
    </row>
    <row r="242" spans="1:22" ht="76.5" customHeight="1">
      <c r="A242" s="176"/>
      <c r="B242" s="177"/>
      <c r="C242" s="178"/>
      <c r="D242" s="351"/>
      <c r="E242" s="375"/>
      <c r="F242" s="244"/>
      <c r="G242" s="244"/>
      <c r="H242" s="244"/>
      <c r="I242" s="244"/>
      <c r="J242" s="244"/>
      <c r="K242" s="325"/>
      <c r="L242" s="275"/>
      <c r="M242" s="179" t="s">
        <v>780</v>
      </c>
      <c r="N242" s="23" t="s">
        <v>1267</v>
      </c>
      <c r="O242" s="25"/>
      <c r="P242" s="26"/>
      <c r="Q242" s="112" t="s">
        <v>1268</v>
      </c>
      <c r="R242" s="102">
        <v>0</v>
      </c>
      <c r="S242" s="102">
        <v>4</v>
      </c>
      <c r="T242" s="95"/>
      <c r="U242" s="95" t="s">
        <v>1250</v>
      </c>
      <c r="V242" s="95" t="s">
        <v>775</v>
      </c>
    </row>
    <row r="243" spans="1:22" ht="54.75" customHeight="1">
      <c r="A243" s="176"/>
      <c r="B243" s="177"/>
      <c r="C243" s="178"/>
      <c r="D243" s="351"/>
      <c r="E243" s="376"/>
      <c r="F243" s="245"/>
      <c r="G243" s="245"/>
      <c r="H243" s="245"/>
      <c r="I243" s="245"/>
      <c r="J243" s="245"/>
      <c r="K243" s="303"/>
      <c r="L243" s="276"/>
      <c r="M243" s="24" t="s">
        <v>780</v>
      </c>
      <c r="N243" s="23" t="s">
        <v>1269</v>
      </c>
      <c r="O243" s="25"/>
      <c r="P243" s="26"/>
      <c r="Q243" s="112" t="s">
        <v>1270</v>
      </c>
      <c r="R243" s="102">
        <v>4</v>
      </c>
      <c r="S243" s="102">
        <v>20</v>
      </c>
      <c r="T243" s="95"/>
      <c r="U243" s="95" t="s">
        <v>1250</v>
      </c>
      <c r="V243" s="95" t="s">
        <v>775</v>
      </c>
    </row>
    <row r="244" spans="1:22" ht="68.45" customHeight="1">
      <c r="A244" s="378" t="s">
        <v>225</v>
      </c>
      <c r="B244" s="180">
        <v>10</v>
      </c>
      <c r="C244" s="181" t="s">
        <v>226</v>
      </c>
      <c r="D244" s="182" t="s">
        <v>510</v>
      </c>
      <c r="E244" s="183" t="s">
        <v>227</v>
      </c>
      <c r="F244" s="117" t="s">
        <v>228</v>
      </c>
      <c r="G244" s="114" t="s">
        <v>229</v>
      </c>
      <c r="H244" s="113" t="s">
        <v>435</v>
      </c>
      <c r="I244" s="113" t="s">
        <v>436</v>
      </c>
      <c r="J244" s="172" t="s">
        <v>1271</v>
      </c>
      <c r="K244" s="22" t="s">
        <v>1272</v>
      </c>
      <c r="L244" s="33" t="s">
        <v>763</v>
      </c>
      <c r="M244" s="24" t="s">
        <v>776</v>
      </c>
      <c r="N244" s="33" t="s">
        <v>1273</v>
      </c>
      <c r="O244" s="25"/>
      <c r="P244" s="26" t="s">
        <v>511</v>
      </c>
      <c r="Q244" s="112" t="s">
        <v>1274</v>
      </c>
      <c r="R244" s="102">
        <v>1</v>
      </c>
      <c r="S244" s="102">
        <v>3</v>
      </c>
      <c r="T244" s="95"/>
      <c r="U244" s="95" t="s">
        <v>845</v>
      </c>
      <c r="V244" s="95" t="s">
        <v>775</v>
      </c>
    </row>
    <row r="245" spans="1:22" ht="100.9" customHeight="1">
      <c r="A245" s="317"/>
      <c r="B245" s="184">
        <v>11</v>
      </c>
      <c r="C245" s="379" t="s">
        <v>230</v>
      </c>
      <c r="D245" s="381" t="s">
        <v>512</v>
      </c>
      <c r="E245" s="384" t="s">
        <v>231</v>
      </c>
      <c r="F245" s="117" t="s">
        <v>232</v>
      </c>
      <c r="G245" s="114" t="s">
        <v>233</v>
      </c>
      <c r="H245" s="113" t="s">
        <v>435</v>
      </c>
      <c r="I245" s="113" t="s">
        <v>436</v>
      </c>
      <c r="J245" s="172" t="s">
        <v>1275</v>
      </c>
      <c r="K245" s="22" t="s">
        <v>1272</v>
      </c>
      <c r="L245" s="21" t="s">
        <v>763</v>
      </c>
      <c r="M245" s="24" t="s">
        <v>776</v>
      </c>
      <c r="N245" s="21" t="s">
        <v>1276</v>
      </c>
      <c r="O245" s="25"/>
      <c r="P245" s="26" t="s">
        <v>511</v>
      </c>
      <c r="Q245" s="21" t="s">
        <v>1277</v>
      </c>
      <c r="R245" s="185">
        <v>0.4</v>
      </c>
      <c r="S245" s="185">
        <v>1</v>
      </c>
      <c r="T245" s="95"/>
      <c r="U245" s="95" t="s">
        <v>856</v>
      </c>
      <c r="V245" s="95" t="s">
        <v>987</v>
      </c>
    </row>
    <row r="246" spans="1:22" ht="48.75" customHeight="1">
      <c r="A246" s="317"/>
      <c r="B246" s="186"/>
      <c r="C246" s="380"/>
      <c r="D246" s="382"/>
      <c r="E246" s="385"/>
      <c r="F246" s="117" t="s">
        <v>234</v>
      </c>
      <c r="G246" s="114" t="s">
        <v>235</v>
      </c>
      <c r="H246" s="113" t="s">
        <v>435</v>
      </c>
      <c r="I246" s="113" t="s">
        <v>436</v>
      </c>
      <c r="J246" s="172" t="s">
        <v>1278</v>
      </c>
      <c r="K246" s="22" t="s">
        <v>1272</v>
      </c>
      <c r="L246" s="21" t="s">
        <v>763</v>
      </c>
      <c r="M246" s="24" t="s">
        <v>780</v>
      </c>
      <c r="N246" s="21" t="s">
        <v>1279</v>
      </c>
      <c r="O246" s="25"/>
      <c r="P246" s="26"/>
      <c r="Q246" s="21" t="s">
        <v>1280</v>
      </c>
      <c r="R246" s="185">
        <v>0.25</v>
      </c>
      <c r="S246" s="185">
        <v>1</v>
      </c>
      <c r="T246" s="95"/>
      <c r="U246" s="95" t="s">
        <v>856</v>
      </c>
      <c r="V246" s="95" t="s">
        <v>987</v>
      </c>
    </row>
    <row r="247" spans="1:22" ht="48" customHeight="1">
      <c r="A247" s="317"/>
      <c r="B247" s="186"/>
      <c r="C247" s="380"/>
      <c r="D247" s="382"/>
      <c r="E247" s="385"/>
      <c r="F247" s="243" t="s">
        <v>236</v>
      </c>
      <c r="G247" s="246" t="s">
        <v>237</v>
      </c>
      <c r="H247" s="249" t="s">
        <v>437</v>
      </c>
      <c r="I247" s="249" t="s">
        <v>436</v>
      </c>
      <c r="J247" s="252" t="s">
        <v>1281</v>
      </c>
      <c r="K247" s="302" t="s">
        <v>1282</v>
      </c>
      <c r="L247" s="387" t="s">
        <v>763</v>
      </c>
      <c r="M247" s="24" t="s">
        <v>776</v>
      </c>
      <c r="N247" s="21" t="s">
        <v>1283</v>
      </c>
      <c r="O247" s="25"/>
      <c r="P247" s="26" t="s">
        <v>511</v>
      </c>
      <c r="Q247" s="112" t="s">
        <v>1284</v>
      </c>
      <c r="R247" s="102" t="s">
        <v>805</v>
      </c>
      <c r="S247" s="102" t="s">
        <v>806</v>
      </c>
      <c r="T247" s="95"/>
      <c r="U247" s="95" t="s">
        <v>856</v>
      </c>
      <c r="V247" s="95" t="s">
        <v>987</v>
      </c>
    </row>
    <row r="248" spans="1:22" ht="27.75" customHeight="1">
      <c r="A248" s="317"/>
      <c r="B248" s="186"/>
      <c r="C248" s="187"/>
      <c r="D248" s="382"/>
      <c r="E248" s="385"/>
      <c r="F248" s="261"/>
      <c r="G248" s="262"/>
      <c r="H248" s="263"/>
      <c r="I248" s="263"/>
      <c r="J248" s="264"/>
      <c r="K248" s="332"/>
      <c r="L248" s="389"/>
      <c r="M248" s="24" t="s">
        <v>776</v>
      </c>
      <c r="N248" s="21" t="s">
        <v>1285</v>
      </c>
      <c r="O248" s="25"/>
      <c r="P248" s="26"/>
      <c r="Q248" s="112" t="s">
        <v>1286</v>
      </c>
      <c r="R248" s="102" t="s">
        <v>805</v>
      </c>
      <c r="S248" s="102" t="s">
        <v>806</v>
      </c>
      <c r="T248" s="95"/>
      <c r="U248" s="95" t="s">
        <v>856</v>
      </c>
      <c r="V248" s="95" t="s">
        <v>987</v>
      </c>
    </row>
    <row r="249" spans="1:22" ht="36" customHeight="1">
      <c r="A249" s="317"/>
      <c r="B249" s="186"/>
      <c r="C249" s="187"/>
      <c r="D249" s="382"/>
      <c r="E249" s="385"/>
      <c r="F249" s="273"/>
      <c r="G249" s="266"/>
      <c r="H249" s="265"/>
      <c r="I249" s="265"/>
      <c r="J249" s="267"/>
      <c r="K249" s="333"/>
      <c r="L249" s="388"/>
      <c r="M249" s="24" t="s">
        <v>776</v>
      </c>
      <c r="N249" s="21" t="s">
        <v>1287</v>
      </c>
      <c r="O249" s="25"/>
      <c r="P249" s="26"/>
      <c r="Q249" s="21" t="s">
        <v>1288</v>
      </c>
      <c r="R249" s="102">
        <v>4</v>
      </c>
      <c r="S249" s="102">
        <v>10</v>
      </c>
      <c r="T249" s="95"/>
      <c r="U249" s="95" t="s">
        <v>767</v>
      </c>
      <c r="V249" s="95" t="s">
        <v>768</v>
      </c>
    </row>
    <row r="250" spans="1:22" ht="39.75" customHeight="1">
      <c r="A250" s="317"/>
      <c r="B250" s="186"/>
      <c r="C250" s="187"/>
      <c r="D250" s="382"/>
      <c r="E250" s="385"/>
      <c r="F250" s="117" t="s">
        <v>238</v>
      </c>
      <c r="G250" s="114" t="s">
        <v>239</v>
      </c>
      <c r="H250" s="113" t="s">
        <v>435</v>
      </c>
      <c r="I250" s="113" t="s">
        <v>436</v>
      </c>
      <c r="J250" s="23" t="s">
        <v>1289</v>
      </c>
      <c r="K250" s="22" t="s">
        <v>1272</v>
      </c>
      <c r="L250" s="21" t="s">
        <v>763</v>
      </c>
      <c r="M250" s="24" t="s">
        <v>780</v>
      </c>
      <c r="N250" s="21" t="s">
        <v>1290</v>
      </c>
      <c r="O250" s="25"/>
      <c r="P250" s="26" t="s">
        <v>511</v>
      </c>
      <c r="Q250" s="21" t="s">
        <v>1291</v>
      </c>
      <c r="R250" s="102">
        <v>0</v>
      </c>
      <c r="S250" s="102">
        <v>3</v>
      </c>
      <c r="T250" s="95"/>
      <c r="U250" s="95" t="s">
        <v>1250</v>
      </c>
      <c r="V250" s="95" t="s">
        <v>775</v>
      </c>
    </row>
    <row r="251" spans="1:22" ht="36.75" customHeight="1">
      <c r="A251" s="317"/>
      <c r="B251" s="188"/>
      <c r="C251" s="187"/>
      <c r="D251" s="382"/>
      <c r="E251" s="385"/>
      <c r="F251" s="117" t="s">
        <v>240</v>
      </c>
      <c r="G251" s="114" t="s">
        <v>241</v>
      </c>
      <c r="H251" s="113" t="s">
        <v>435</v>
      </c>
      <c r="I251" s="113" t="s">
        <v>436</v>
      </c>
      <c r="J251" s="23" t="s">
        <v>1292</v>
      </c>
      <c r="K251" s="22" t="s">
        <v>1272</v>
      </c>
      <c r="L251" s="21" t="s">
        <v>763</v>
      </c>
      <c r="M251" s="24" t="s">
        <v>780</v>
      </c>
      <c r="N251" s="21" t="s">
        <v>1293</v>
      </c>
      <c r="O251" s="25"/>
      <c r="P251" s="26" t="s">
        <v>511</v>
      </c>
      <c r="Q251" s="112" t="s">
        <v>1294</v>
      </c>
      <c r="R251" s="102">
        <v>1</v>
      </c>
      <c r="S251" s="102">
        <v>3</v>
      </c>
      <c r="T251" s="95"/>
      <c r="U251" s="95" t="s">
        <v>767</v>
      </c>
      <c r="V251" s="95" t="s">
        <v>768</v>
      </c>
    </row>
    <row r="252" spans="1:22" ht="41.25" customHeight="1">
      <c r="A252" s="317"/>
      <c r="B252" s="188"/>
      <c r="C252" s="187"/>
      <c r="D252" s="382"/>
      <c r="E252" s="385"/>
      <c r="F252" s="117" t="s">
        <v>242</v>
      </c>
      <c r="G252" s="114" t="s">
        <v>243</v>
      </c>
      <c r="H252" s="113" t="s">
        <v>435</v>
      </c>
      <c r="I252" s="113" t="s">
        <v>436</v>
      </c>
      <c r="J252" s="23" t="s">
        <v>1295</v>
      </c>
      <c r="K252" s="22" t="s">
        <v>1272</v>
      </c>
      <c r="L252" s="21" t="s">
        <v>763</v>
      </c>
      <c r="M252" s="24" t="s">
        <v>780</v>
      </c>
      <c r="N252" s="21" t="s">
        <v>1296</v>
      </c>
      <c r="O252" s="25"/>
      <c r="P252" s="26" t="s">
        <v>511</v>
      </c>
      <c r="Q252" s="21" t="s">
        <v>1297</v>
      </c>
      <c r="R252" s="185">
        <v>0.4</v>
      </c>
      <c r="S252" s="185">
        <v>1</v>
      </c>
      <c r="T252" s="95"/>
      <c r="U252" s="95" t="s">
        <v>767</v>
      </c>
      <c r="V252" s="95" t="s">
        <v>787</v>
      </c>
    </row>
    <row r="253" spans="1:22" ht="88.15" customHeight="1">
      <c r="A253" s="317"/>
      <c r="B253" s="186"/>
      <c r="C253" s="187"/>
      <c r="D253" s="382"/>
      <c r="E253" s="385"/>
      <c r="F253" s="117" t="s">
        <v>244</v>
      </c>
      <c r="G253" s="114" t="s">
        <v>245</v>
      </c>
      <c r="H253" s="113" t="s">
        <v>437</v>
      </c>
      <c r="I253" s="113" t="s">
        <v>436</v>
      </c>
      <c r="J253" s="23" t="str">
        <f>G253</f>
        <v>Regular les zones de bany</v>
      </c>
      <c r="K253" s="22"/>
      <c r="L253" s="21" t="s">
        <v>763</v>
      </c>
      <c r="M253" s="24" t="s">
        <v>776</v>
      </c>
      <c r="N253" s="21" t="s">
        <v>1298</v>
      </c>
      <c r="O253" s="25"/>
      <c r="P253" s="26" t="s">
        <v>511</v>
      </c>
      <c r="Q253" s="112" t="s">
        <v>1294</v>
      </c>
      <c r="R253" s="102">
        <v>5</v>
      </c>
      <c r="S253" s="102">
        <v>15</v>
      </c>
      <c r="T253" s="95"/>
      <c r="U253" s="95" t="s">
        <v>856</v>
      </c>
      <c r="V253" s="95" t="s">
        <v>987</v>
      </c>
    </row>
    <row r="254" spans="1:22" ht="36" customHeight="1">
      <c r="A254" s="317"/>
      <c r="B254" s="186"/>
      <c r="C254" s="187"/>
      <c r="D254" s="382"/>
      <c r="E254" s="385"/>
      <c r="F254" s="117" t="s">
        <v>246</v>
      </c>
      <c r="G254" s="114" t="s">
        <v>247</v>
      </c>
      <c r="H254" s="113" t="s">
        <v>437</v>
      </c>
      <c r="I254" s="113" t="s">
        <v>436</v>
      </c>
      <c r="J254" s="23" t="str">
        <f>G254</f>
        <v>Regular l'enlairament i aterratge sense motor</v>
      </c>
      <c r="K254" s="22"/>
      <c r="L254" s="21" t="s">
        <v>763</v>
      </c>
      <c r="M254" s="24" t="s">
        <v>783</v>
      </c>
      <c r="N254" s="21" t="s">
        <v>1299</v>
      </c>
      <c r="O254" s="25"/>
      <c r="P254" s="26" t="s">
        <v>511</v>
      </c>
      <c r="Q254" s="21" t="s">
        <v>1300</v>
      </c>
      <c r="R254" s="185">
        <v>0.4</v>
      </c>
      <c r="S254" s="185">
        <v>1</v>
      </c>
      <c r="T254" s="95"/>
      <c r="U254" s="95" t="s">
        <v>856</v>
      </c>
      <c r="V254" s="95" t="s">
        <v>987</v>
      </c>
    </row>
    <row r="255" spans="1:22" ht="35.25" customHeight="1">
      <c r="A255" s="317"/>
      <c r="B255" s="186"/>
      <c r="C255" s="187"/>
      <c r="D255" s="382"/>
      <c r="E255" s="385"/>
      <c r="F255" s="117" t="s">
        <v>248</v>
      </c>
      <c r="G255" s="114" t="s">
        <v>249</v>
      </c>
      <c r="H255" s="113" t="s">
        <v>437</v>
      </c>
      <c r="I255" s="113" t="s">
        <v>436</v>
      </c>
      <c r="J255" s="23" t="s">
        <v>1301</v>
      </c>
      <c r="K255" s="22"/>
      <c r="L255" s="21" t="s">
        <v>763</v>
      </c>
      <c r="M255" s="24" t="s">
        <v>783</v>
      </c>
      <c r="N255" s="21" t="s">
        <v>1302</v>
      </c>
      <c r="O255" s="25"/>
      <c r="P255" s="26" t="s">
        <v>511</v>
      </c>
      <c r="Q255" s="21" t="s">
        <v>1303</v>
      </c>
      <c r="R255" s="185">
        <v>0.4</v>
      </c>
      <c r="S255" s="185">
        <v>1</v>
      </c>
      <c r="T255" s="95"/>
      <c r="U255" s="95" t="s">
        <v>856</v>
      </c>
      <c r="V255" s="95" t="s">
        <v>987</v>
      </c>
    </row>
    <row r="256" spans="1:22" ht="100.9" customHeight="1">
      <c r="A256" s="317"/>
      <c r="B256" s="186"/>
      <c r="C256" s="187"/>
      <c r="D256" s="382"/>
      <c r="E256" s="385"/>
      <c r="F256" s="243" t="s">
        <v>250</v>
      </c>
      <c r="G256" s="246" t="s">
        <v>251</v>
      </c>
      <c r="H256" s="249" t="s">
        <v>437</v>
      </c>
      <c r="I256" s="249" t="s">
        <v>436</v>
      </c>
      <c r="J256" s="252" t="s">
        <v>1304</v>
      </c>
      <c r="K256" s="253"/>
      <c r="L256" s="387" t="s">
        <v>763</v>
      </c>
      <c r="M256" s="24" t="s">
        <v>783</v>
      </c>
      <c r="N256" s="21" t="s">
        <v>1305</v>
      </c>
      <c r="O256" s="25"/>
      <c r="P256" s="26" t="s">
        <v>511</v>
      </c>
      <c r="Q256" s="21" t="s">
        <v>1306</v>
      </c>
      <c r="R256" s="185">
        <v>0.4</v>
      </c>
      <c r="S256" s="185">
        <v>1</v>
      </c>
      <c r="T256" s="95"/>
      <c r="U256" s="95" t="s">
        <v>856</v>
      </c>
      <c r="V256" s="95" t="s">
        <v>987</v>
      </c>
    </row>
    <row r="257" spans="1:22" ht="42" customHeight="1">
      <c r="A257" s="317"/>
      <c r="B257" s="186"/>
      <c r="C257" s="187"/>
      <c r="D257" s="382"/>
      <c r="E257" s="385"/>
      <c r="F257" s="273"/>
      <c r="G257" s="266"/>
      <c r="H257" s="265"/>
      <c r="I257" s="265"/>
      <c r="J257" s="267"/>
      <c r="K257" s="269"/>
      <c r="L257" s="388"/>
      <c r="M257" s="24" t="s">
        <v>780</v>
      </c>
      <c r="N257" s="21" t="s">
        <v>1307</v>
      </c>
      <c r="O257" s="25"/>
      <c r="P257" s="26"/>
      <c r="Q257" s="21" t="s">
        <v>1308</v>
      </c>
      <c r="R257" s="102">
        <v>0</v>
      </c>
      <c r="S257" s="102">
        <v>1</v>
      </c>
      <c r="T257" s="95"/>
      <c r="U257" s="95" t="s">
        <v>856</v>
      </c>
      <c r="V257" s="95" t="s">
        <v>857</v>
      </c>
    </row>
    <row r="258" spans="1:22" ht="33.75" customHeight="1">
      <c r="A258" s="317"/>
      <c r="B258" s="186"/>
      <c r="C258" s="187"/>
      <c r="D258" s="382"/>
      <c r="E258" s="385"/>
      <c r="F258" s="117" t="s">
        <v>252</v>
      </c>
      <c r="G258" s="114" t="s">
        <v>253</v>
      </c>
      <c r="H258" s="113" t="s">
        <v>435</v>
      </c>
      <c r="I258" s="113" t="s">
        <v>436</v>
      </c>
      <c r="J258" s="23" t="str">
        <f>G258</f>
        <v>Regular la presència d'animals de companyia</v>
      </c>
      <c r="K258" s="22"/>
      <c r="L258" s="21" t="s">
        <v>763</v>
      </c>
      <c r="M258" s="24" t="s">
        <v>776</v>
      </c>
      <c r="N258" s="21" t="s">
        <v>1309</v>
      </c>
      <c r="O258" s="25"/>
      <c r="P258" s="26" t="s">
        <v>511</v>
      </c>
      <c r="Q258" s="112" t="s">
        <v>1294</v>
      </c>
      <c r="R258" s="102">
        <v>5</v>
      </c>
      <c r="S258" s="102">
        <v>15</v>
      </c>
      <c r="T258" s="95"/>
      <c r="U258" s="95" t="s">
        <v>856</v>
      </c>
      <c r="V258" s="95" t="s">
        <v>987</v>
      </c>
    </row>
    <row r="259" spans="1:22" ht="116.45" customHeight="1">
      <c r="A259" s="317"/>
      <c r="B259" s="186"/>
      <c r="C259" s="187"/>
      <c r="D259" s="382"/>
      <c r="E259" s="385"/>
      <c r="F259" s="243" t="s">
        <v>254</v>
      </c>
      <c r="G259" s="246" t="s">
        <v>255</v>
      </c>
      <c r="H259" s="249" t="s">
        <v>435</v>
      </c>
      <c r="I259" s="249" t="s">
        <v>436</v>
      </c>
      <c r="J259" s="252" t="s">
        <v>1310</v>
      </c>
      <c r="K259" s="253" t="s">
        <v>1311</v>
      </c>
      <c r="L259" s="387" t="s">
        <v>763</v>
      </c>
      <c r="M259" s="24" t="s">
        <v>780</v>
      </c>
      <c r="N259" s="21" t="s">
        <v>1312</v>
      </c>
      <c r="O259" s="25"/>
      <c r="P259" s="26" t="s">
        <v>511</v>
      </c>
      <c r="Q259" s="21" t="s">
        <v>1313</v>
      </c>
      <c r="R259" s="102">
        <v>2</v>
      </c>
      <c r="S259" s="102">
        <v>4</v>
      </c>
      <c r="T259" s="95"/>
      <c r="U259" s="95" t="s">
        <v>856</v>
      </c>
      <c r="V259" s="95" t="s">
        <v>987</v>
      </c>
    </row>
    <row r="260" spans="1:22" ht="37.9" hidden="1" customHeight="1">
      <c r="A260" s="317"/>
      <c r="B260" s="186"/>
      <c r="C260" s="187"/>
      <c r="D260" s="383"/>
      <c r="E260" s="386"/>
      <c r="F260" s="273"/>
      <c r="G260" s="266"/>
      <c r="H260" s="265"/>
      <c r="I260" s="265"/>
      <c r="J260" s="267"/>
      <c r="K260" s="269"/>
      <c r="L260" s="388"/>
      <c r="M260" s="24" t="s">
        <v>780</v>
      </c>
      <c r="N260" s="21" t="s">
        <v>1314</v>
      </c>
      <c r="O260" s="25"/>
      <c r="P260" s="26"/>
      <c r="Q260" s="21" t="s">
        <v>1315</v>
      </c>
      <c r="R260" s="102">
        <v>6</v>
      </c>
      <c r="S260" s="102">
        <v>12</v>
      </c>
      <c r="T260" s="95"/>
      <c r="U260" s="95" t="s">
        <v>856</v>
      </c>
      <c r="V260" s="95" t="s">
        <v>987</v>
      </c>
    </row>
    <row r="261" spans="1:22" ht="62.45" customHeight="1">
      <c r="A261" s="317"/>
      <c r="B261" s="186"/>
      <c r="C261" s="187"/>
      <c r="D261" s="381" t="s">
        <v>513</v>
      </c>
      <c r="E261" s="393" t="s">
        <v>256</v>
      </c>
      <c r="F261" s="113" t="s">
        <v>257</v>
      </c>
      <c r="G261" s="114" t="s">
        <v>258</v>
      </c>
      <c r="H261" s="113" t="s">
        <v>435</v>
      </c>
      <c r="I261" s="113" t="s">
        <v>436</v>
      </c>
      <c r="J261" s="23" t="str">
        <f>G261</f>
        <v xml:space="preserve">Identificar i classificar la xarxa viària bàsica, secundària, senders i itineraris senyalitzats d'acord amb els ajuntaments </v>
      </c>
      <c r="K261" s="22"/>
      <c r="L261" s="23" t="s">
        <v>763</v>
      </c>
      <c r="M261" s="24" t="s">
        <v>780</v>
      </c>
      <c r="N261" s="23" t="s">
        <v>1316</v>
      </c>
      <c r="O261" s="25"/>
      <c r="P261" s="20" t="s">
        <v>514</v>
      </c>
      <c r="Q261" s="112" t="s">
        <v>1317</v>
      </c>
      <c r="R261" s="102">
        <v>0</v>
      </c>
      <c r="S261" s="102">
        <v>2</v>
      </c>
      <c r="T261" s="95"/>
      <c r="U261" s="95" t="s">
        <v>1318</v>
      </c>
      <c r="V261" s="95" t="s">
        <v>775</v>
      </c>
    </row>
    <row r="262" spans="1:22" ht="30" customHeight="1">
      <c r="A262" s="317"/>
      <c r="B262" s="186"/>
      <c r="C262" s="187"/>
      <c r="D262" s="382"/>
      <c r="E262" s="394"/>
      <c r="F262" s="249" t="s">
        <v>259</v>
      </c>
      <c r="G262" s="246" t="s">
        <v>260</v>
      </c>
      <c r="H262" s="249" t="s">
        <v>435</v>
      </c>
      <c r="I262" s="249" t="s">
        <v>436</v>
      </c>
      <c r="J262" s="252" t="str">
        <f>G262</f>
        <v>Treballar conjuntament amb els principals canals d’informació de rutes  per prioritzar itineraris oficials dins l’ENP</v>
      </c>
      <c r="K262" s="253"/>
      <c r="L262" s="252" t="s">
        <v>763</v>
      </c>
      <c r="M262" s="24" t="s">
        <v>776</v>
      </c>
      <c r="N262" s="23" t="s">
        <v>1319</v>
      </c>
      <c r="O262" s="25"/>
      <c r="P262" s="20" t="s">
        <v>515</v>
      </c>
      <c r="Q262" s="112" t="s">
        <v>1320</v>
      </c>
      <c r="R262" s="102">
        <v>5</v>
      </c>
      <c r="S262" s="102">
        <v>20</v>
      </c>
      <c r="T262" s="95"/>
      <c r="U262" s="95" t="s">
        <v>1318</v>
      </c>
      <c r="V262" s="95" t="s">
        <v>775</v>
      </c>
    </row>
    <row r="263" spans="1:22">
      <c r="A263" s="317"/>
      <c r="B263" s="186"/>
      <c r="C263" s="187"/>
      <c r="D263" s="383"/>
      <c r="E263" s="395"/>
      <c r="F263" s="265"/>
      <c r="G263" s="266"/>
      <c r="H263" s="265"/>
      <c r="I263" s="265"/>
      <c r="J263" s="267"/>
      <c r="K263" s="269"/>
      <c r="L263" s="267"/>
      <c r="M263" s="24" t="s">
        <v>764</v>
      </c>
      <c r="N263" s="23" t="s">
        <v>1321</v>
      </c>
      <c r="O263" s="25"/>
      <c r="P263" s="20"/>
      <c r="Q263" s="112" t="s">
        <v>1322</v>
      </c>
      <c r="R263" s="102">
        <v>4</v>
      </c>
      <c r="S263" s="102">
        <v>8</v>
      </c>
      <c r="T263" s="95"/>
      <c r="U263" s="95" t="s">
        <v>856</v>
      </c>
      <c r="V263" s="95" t="s">
        <v>987</v>
      </c>
    </row>
    <row r="264" spans="1:22" ht="50.25" customHeight="1">
      <c r="A264" s="317"/>
      <c r="B264" s="186"/>
      <c r="C264" s="187"/>
      <c r="D264" s="381" t="s">
        <v>516</v>
      </c>
      <c r="E264" s="390" t="s">
        <v>261</v>
      </c>
      <c r="F264" s="243" t="s">
        <v>262</v>
      </c>
      <c r="G264" s="246" t="s">
        <v>263</v>
      </c>
      <c r="H264" s="249" t="s">
        <v>435</v>
      </c>
      <c r="I264" s="249" t="s">
        <v>436</v>
      </c>
      <c r="J264" s="252" t="str">
        <f>G264</f>
        <v>Regular l'accés i la circulació</v>
      </c>
      <c r="K264" s="302" t="s">
        <v>1323</v>
      </c>
      <c r="L264" s="387" t="s">
        <v>763</v>
      </c>
      <c r="M264" s="24" t="s">
        <v>764</v>
      </c>
      <c r="N264" s="21" t="s">
        <v>1324</v>
      </c>
      <c r="O264" s="25"/>
      <c r="P264" s="26" t="s">
        <v>511</v>
      </c>
      <c r="Q264" s="21" t="s">
        <v>1325</v>
      </c>
      <c r="R264" s="102">
        <v>1</v>
      </c>
      <c r="S264" s="102">
        <v>3</v>
      </c>
      <c r="T264" s="95"/>
      <c r="U264" s="95" t="s">
        <v>856</v>
      </c>
      <c r="V264" s="95" t="s">
        <v>987</v>
      </c>
    </row>
    <row r="265" spans="1:22" ht="39.75" customHeight="1">
      <c r="A265" s="317"/>
      <c r="B265" s="186"/>
      <c r="C265" s="187"/>
      <c r="D265" s="382"/>
      <c r="E265" s="391"/>
      <c r="F265" s="273"/>
      <c r="G265" s="266"/>
      <c r="H265" s="265"/>
      <c r="I265" s="265"/>
      <c r="J265" s="267"/>
      <c r="K265" s="333"/>
      <c r="L265" s="388"/>
      <c r="M265" s="24" t="s">
        <v>764</v>
      </c>
      <c r="N265" s="21" t="s">
        <v>1326</v>
      </c>
      <c r="O265" s="25"/>
      <c r="P265" s="26"/>
      <c r="Q265" s="21" t="s">
        <v>1327</v>
      </c>
      <c r="R265" s="102">
        <v>2</v>
      </c>
      <c r="S265" s="102">
        <v>3</v>
      </c>
      <c r="T265" s="95"/>
      <c r="U265" s="95" t="s">
        <v>1318</v>
      </c>
      <c r="V265" s="95" t="s">
        <v>775</v>
      </c>
    </row>
    <row r="266" spans="1:22">
      <c r="A266" s="317"/>
      <c r="B266" s="186"/>
      <c r="C266" s="187"/>
      <c r="D266" s="382"/>
      <c r="E266" s="391"/>
      <c r="F266" s="243" t="s">
        <v>264</v>
      </c>
      <c r="G266" s="246" t="s">
        <v>265</v>
      </c>
      <c r="H266" s="249" t="s">
        <v>435</v>
      </c>
      <c r="I266" s="249" t="s">
        <v>436</v>
      </c>
      <c r="J266" s="252" t="str">
        <f>G266</f>
        <v>Regular la xarxa viària principal, secundària i restringida</v>
      </c>
      <c r="K266" s="302"/>
      <c r="L266" s="387" t="s">
        <v>763</v>
      </c>
      <c r="M266" s="366" t="s">
        <v>776</v>
      </c>
      <c r="N266" s="21" t="s">
        <v>1328</v>
      </c>
      <c r="O266" s="25"/>
      <c r="P266" s="26"/>
      <c r="Q266" s="112" t="s">
        <v>1329</v>
      </c>
      <c r="R266" s="102">
        <v>5</v>
      </c>
      <c r="S266" s="102">
        <v>10</v>
      </c>
      <c r="T266" s="95"/>
      <c r="U266" s="95" t="s">
        <v>1330</v>
      </c>
      <c r="V266" s="95" t="s">
        <v>771</v>
      </c>
    </row>
    <row r="267" spans="1:22">
      <c r="A267" s="317"/>
      <c r="B267" s="186"/>
      <c r="C267" s="187"/>
      <c r="D267" s="382"/>
      <c r="E267" s="391"/>
      <c r="F267" s="273"/>
      <c r="G267" s="266"/>
      <c r="H267" s="265"/>
      <c r="I267" s="265"/>
      <c r="J267" s="267"/>
      <c r="K267" s="333"/>
      <c r="L267" s="388"/>
      <c r="M267" s="255"/>
      <c r="N267" s="21" t="s">
        <v>1331</v>
      </c>
      <c r="O267" s="25"/>
      <c r="P267" s="26"/>
      <c r="Q267" s="21" t="s">
        <v>1332</v>
      </c>
      <c r="R267" s="102">
        <v>10</v>
      </c>
      <c r="S267" s="102">
        <v>20</v>
      </c>
      <c r="T267" s="95"/>
      <c r="U267" s="95" t="s">
        <v>1330</v>
      </c>
      <c r="V267" s="95" t="s">
        <v>771</v>
      </c>
    </row>
    <row r="268" spans="1:22" ht="38.25" customHeight="1">
      <c r="A268" s="317"/>
      <c r="B268" s="186"/>
      <c r="C268" s="187"/>
      <c r="D268" s="382"/>
      <c r="E268" s="391"/>
      <c r="F268" s="117" t="s">
        <v>266</v>
      </c>
      <c r="G268" s="114" t="s">
        <v>267</v>
      </c>
      <c r="H268" s="113" t="s">
        <v>437</v>
      </c>
      <c r="I268" s="113" t="s">
        <v>436</v>
      </c>
      <c r="J268" s="23" t="str">
        <f>G268</f>
        <v>Regular l'ús de drons, l'enlairament i l'aterratge</v>
      </c>
      <c r="K268" s="22"/>
      <c r="L268" s="21" t="s">
        <v>763</v>
      </c>
      <c r="M268" s="24" t="s">
        <v>780</v>
      </c>
      <c r="N268" s="21" t="s">
        <v>1333</v>
      </c>
      <c r="O268" s="25"/>
      <c r="P268" s="26" t="s">
        <v>511</v>
      </c>
      <c r="Q268" s="21" t="s">
        <v>1334</v>
      </c>
      <c r="R268" s="185">
        <v>0.4</v>
      </c>
      <c r="S268" s="185">
        <v>1</v>
      </c>
      <c r="T268" s="95"/>
      <c r="U268" s="95" t="s">
        <v>856</v>
      </c>
      <c r="V268" s="95" t="s">
        <v>987</v>
      </c>
    </row>
    <row r="269" spans="1:22" ht="48" customHeight="1">
      <c r="A269" s="317"/>
      <c r="B269" s="186"/>
      <c r="C269" s="187"/>
      <c r="D269" s="382"/>
      <c r="E269" s="391"/>
      <c r="F269" s="243" t="s">
        <v>268</v>
      </c>
      <c r="G269" s="246" t="s">
        <v>269</v>
      </c>
      <c r="H269" s="249" t="s">
        <v>435</v>
      </c>
      <c r="I269" s="249" t="s">
        <v>436</v>
      </c>
      <c r="J269" s="252" t="str">
        <f>G269</f>
        <v>Aplicar limitacions temporals d'accés o circulació</v>
      </c>
      <c r="K269" s="253"/>
      <c r="L269" s="387" t="s">
        <v>763</v>
      </c>
      <c r="M269" s="24" t="s">
        <v>780</v>
      </c>
      <c r="N269" s="21" t="s">
        <v>1335</v>
      </c>
      <c r="O269" s="25"/>
      <c r="P269" s="26" t="s">
        <v>511</v>
      </c>
      <c r="Q269" s="112" t="s">
        <v>1336</v>
      </c>
      <c r="R269" s="102">
        <v>3000</v>
      </c>
      <c r="S269" s="102">
        <v>6000</v>
      </c>
      <c r="T269" s="95"/>
      <c r="U269" s="95" t="s">
        <v>1337</v>
      </c>
      <c r="V269" s="95" t="s">
        <v>1338</v>
      </c>
    </row>
    <row r="270" spans="1:22" ht="30">
      <c r="A270" s="317"/>
      <c r="B270" s="186"/>
      <c r="C270" s="187"/>
      <c r="D270" s="382"/>
      <c r="E270" s="391"/>
      <c r="F270" s="261"/>
      <c r="G270" s="262"/>
      <c r="H270" s="263"/>
      <c r="I270" s="263"/>
      <c r="J270" s="264"/>
      <c r="K270" s="268"/>
      <c r="L270" s="389"/>
      <c r="M270" s="24" t="s">
        <v>776</v>
      </c>
      <c r="N270" s="21" t="s">
        <v>1339</v>
      </c>
      <c r="O270" s="25"/>
      <c r="P270" s="26"/>
      <c r="Q270" s="112" t="s">
        <v>1340</v>
      </c>
      <c r="R270" s="102">
        <v>4</v>
      </c>
      <c r="S270" s="102">
        <v>8</v>
      </c>
      <c r="T270" s="95"/>
      <c r="U270" s="95" t="s">
        <v>856</v>
      </c>
      <c r="V270" s="95" t="s">
        <v>987</v>
      </c>
    </row>
    <row r="271" spans="1:22" ht="30">
      <c r="A271" s="317"/>
      <c r="B271" s="186"/>
      <c r="C271" s="187"/>
      <c r="D271" s="382"/>
      <c r="E271" s="391"/>
      <c r="F271" s="273"/>
      <c r="G271" s="266"/>
      <c r="H271" s="265"/>
      <c r="I271" s="265"/>
      <c r="J271" s="267"/>
      <c r="K271" s="269"/>
      <c r="L271" s="388"/>
      <c r="M271" s="24" t="s">
        <v>776</v>
      </c>
      <c r="N271" s="21" t="s">
        <v>1341</v>
      </c>
      <c r="O271" s="25"/>
      <c r="P271" s="26"/>
      <c r="Q271" s="112" t="s">
        <v>1342</v>
      </c>
      <c r="R271" s="102">
        <v>4</v>
      </c>
      <c r="S271" s="102">
        <v>8</v>
      </c>
      <c r="T271" s="95"/>
      <c r="U271" s="95" t="s">
        <v>845</v>
      </c>
      <c r="V271" s="95" t="s">
        <v>775</v>
      </c>
    </row>
    <row r="272" spans="1:22" ht="41.25" customHeight="1">
      <c r="A272" s="317"/>
      <c r="B272" s="186"/>
      <c r="C272" s="187"/>
      <c r="D272" s="383"/>
      <c r="E272" s="392"/>
      <c r="F272" s="117" t="s">
        <v>270</v>
      </c>
      <c r="G272" s="114" t="s">
        <v>271</v>
      </c>
      <c r="H272" s="113" t="s">
        <v>435</v>
      </c>
      <c r="I272" s="113" t="s">
        <v>436</v>
      </c>
      <c r="J272" s="23" t="str">
        <f>G272</f>
        <v>Regular l'aparcament de vehícles</v>
      </c>
      <c r="K272" s="22"/>
      <c r="L272" s="21" t="s">
        <v>763</v>
      </c>
      <c r="M272" s="24" t="s">
        <v>780</v>
      </c>
      <c r="N272" s="21" t="s">
        <v>1343</v>
      </c>
      <c r="O272" s="25"/>
      <c r="P272" s="26" t="s">
        <v>511</v>
      </c>
      <c r="Q272" s="112" t="s">
        <v>1344</v>
      </c>
      <c r="R272" s="102">
        <v>12</v>
      </c>
      <c r="S272" s="102">
        <v>52</v>
      </c>
      <c r="T272" s="95"/>
      <c r="U272" s="95" t="s">
        <v>1330</v>
      </c>
      <c r="V272" s="95" t="s">
        <v>771</v>
      </c>
    </row>
    <row r="273" spans="1:22" ht="30">
      <c r="A273" s="317"/>
      <c r="B273" s="186"/>
      <c r="C273" s="187"/>
      <c r="D273" s="381" t="s">
        <v>517</v>
      </c>
      <c r="E273" s="390" t="s">
        <v>272</v>
      </c>
      <c r="F273" s="117" t="s">
        <v>273</v>
      </c>
      <c r="G273" s="114" t="s">
        <v>274</v>
      </c>
      <c r="H273" s="113" t="s">
        <v>435</v>
      </c>
      <c r="I273" s="113" t="s">
        <v>436</v>
      </c>
      <c r="J273" s="23" t="str">
        <f>G273</f>
        <v>Implementar l'ordenació de l'ús públic en col·laboració amb els agents del territori</v>
      </c>
      <c r="K273" s="22"/>
      <c r="L273" s="23" t="s">
        <v>763</v>
      </c>
      <c r="M273" s="24" t="s">
        <v>764</v>
      </c>
      <c r="N273" s="23" t="s">
        <v>1345</v>
      </c>
      <c r="O273" s="25"/>
      <c r="P273" s="26"/>
      <c r="Q273" s="112" t="s">
        <v>1346</v>
      </c>
      <c r="R273" s="102">
        <v>8</v>
      </c>
      <c r="S273" s="102">
        <v>16</v>
      </c>
      <c r="T273" s="95"/>
      <c r="U273" s="95" t="s">
        <v>845</v>
      </c>
      <c r="V273" s="95" t="s">
        <v>775</v>
      </c>
    </row>
    <row r="274" spans="1:22" ht="30">
      <c r="A274" s="317"/>
      <c r="B274" s="186"/>
      <c r="C274" s="187"/>
      <c r="D274" s="383"/>
      <c r="E274" s="392"/>
      <c r="F274" s="117" t="s">
        <v>275</v>
      </c>
      <c r="G274" s="114" t="s">
        <v>276</v>
      </c>
      <c r="H274" s="113" t="s">
        <v>435</v>
      </c>
      <c r="I274" s="113" t="s">
        <v>436</v>
      </c>
      <c r="J274" s="23" t="str">
        <f>G274</f>
        <v>Promoció i acompanyament en l'ordenació de l'ús públic de l'ENP des de l'àmbit municipal</v>
      </c>
      <c r="K274" s="22"/>
      <c r="L274" s="34" t="s">
        <v>763</v>
      </c>
      <c r="M274" s="24" t="s">
        <v>776</v>
      </c>
      <c r="N274" s="35" t="s">
        <v>1347</v>
      </c>
      <c r="O274" s="25"/>
      <c r="P274" s="26"/>
      <c r="Q274" s="21" t="s">
        <v>1348</v>
      </c>
      <c r="R274" s="102">
        <v>1</v>
      </c>
      <c r="S274" s="102">
        <v>4</v>
      </c>
      <c r="T274" s="95"/>
      <c r="U274" s="95" t="s">
        <v>845</v>
      </c>
      <c r="V274" s="95" t="s">
        <v>775</v>
      </c>
    </row>
    <row r="275" spans="1:22" ht="30">
      <c r="A275" s="317"/>
      <c r="B275" s="186"/>
      <c r="C275" s="187"/>
      <c r="D275" s="381" t="s">
        <v>518</v>
      </c>
      <c r="E275" s="384" t="s">
        <v>277</v>
      </c>
      <c r="F275" s="117" t="s">
        <v>278</v>
      </c>
      <c r="G275" s="114" t="s">
        <v>1349</v>
      </c>
      <c r="H275" s="113" t="s">
        <v>435</v>
      </c>
      <c r="I275" s="113" t="s">
        <v>436</v>
      </c>
      <c r="J275" s="23" t="str">
        <f>G275</f>
        <v>Realitzar l'inventari de senyalització de l'ENP</v>
      </c>
      <c r="K275" s="22"/>
      <c r="L275" s="27" t="s">
        <v>763</v>
      </c>
      <c r="M275" s="24" t="s">
        <v>776</v>
      </c>
      <c r="N275" s="23" t="s">
        <v>1350</v>
      </c>
      <c r="O275" s="25"/>
      <c r="P275" s="26"/>
      <c r="Q275" s="112" t="s">
        <v>1351</v>
      </c>
      <c r="R275" s="102">
        <v>1</v>
      </c>
      <c r="S275" s="102">
        <v>4</v>
      </c>
      <c r="T275" s="95"/>
      <c r="U275" s="95" t="s">
        <v>1330</v>
      </c>
      <c r="V275" s="95" t="s">
        <v>771</v>
      </c>
    </row>
    <row r="276" spans="1:22" ht="57.6" customHeight="1">
      <c r="A276" s="317"/>
      <c r="B276" s="186"/>
      <c r="C276" s="187"/>
      <c r="D276" s="382"/>
      <c r="E276" s="385"/>
      <c r="F276" s="243" t="s">
        <v>279</v>
      </c>
      <c r="G276" s="246" t="s">
        <v>280</v>
      </c>
      <c r="H276" s="249" t="s">
        <v>435</v>
      </c>
      <c r="I276" s="249" t="s">
        <v>436</v>
      </c>
      <c r="J276" s="252" t="str">
        <f>G276</f>
        <v xml:space="preserve">Implantar el programa de senyalització i manteniment </v>
      </c>
      <c r="K276" s="253"/>
      <c r="L276" s="252" t="s">
        <v>763</v>
      </c>
      <c r="M276" s="24" t="s">
        <v>780</v>
      </c>
      <c r="N276" s="23" t="s">
        <v>1352</v>
      </c>
      <c r="O276" s="29" t="s">
        <v>454</v>
      </c>
      <c r="P276" s="20" t="s">
        <v>519</v>
      </c>
      <c r="Q276" s="112" t="s">
        <v>1353</v>
      </c>
      <c r="R276" s="102">
        <v>2</v>
      </c>
      <c r="S276" s="102">
        <v>5</v>
      </c>
      <c r="T276" s="95"/>
      <c r="U276" s="95" t="s">
        <v>1330</v>
      </c>
      <c r="V276" s="95" t="s">
        <v>771</v>
      </c>
    </row>
    <row r="277" spans="1:22" ht="30">
      <c r="A277" s="317"/>
      <c r="B277" s="186"/>
      <c r="C277" s="187"/>
      <c r="D277" s="382"/>
      <c r="E277" s="385"/>
      <c r="F277" s="261"/>
      <c r="G277" s="262"/>
      <c r="H277" s="263"/>
      <c r="I277" s="263"/>
      <c r="J277" s="264"/>
      <c r="K277" s="268"/>
      <c r="L277" s="264"/>
      <c r="M277" s="24" t="s">
        <v>776</v>
      </c>
      <c r="N277" s="23" t="s">
        <v>1354</v>
      </c>
      <c r="O277" s="29"/>
      <c r="P277" s="20"/>
      <c r="Q277" s="112" t="s">
        <v>1355</v>
      </c>
      <c r="R277" s="102">
        <v>100</v>
      </c>
      <c r="S277" s="102">
        <v>250</v>
      </c>
      <c r="T277" s="95"/>
      <c r="U277" s="95" t="s">
        <v>1330</v>
      </c>
      <c r="V277" s="95" t="s">
        <v>771</v>
      </c>
    </row>
    <row r="278" spans="1:22" ht="30" customHeight="1">
      <c r="A278" s="317"/>
      <c r="B278" s="186"/>
      <c r="C278" s="187"/>
      <c r="D278" s="383"/>
      <c r="E278" s="386"/>
      <c r="F278" s="273"/>
      <c r="G278" s="266"/>
      <c r="H278" s="265"/>
      <c r="I278" s="265"/>
      <c r="J278" s="267"/>
      <c r="K278" s="269"/>
      <c r="L278" s="267"/>
      <c r="M278" s="24" t="s">
        <v>764</v>
      </c>
      <c r="N278" s="23" t="s">
        <v>1356</v>
      </c>
      <c r="O278" s="29"/>
      <c r="P278" s="20"/>
      <c r="Q278" s="112" t="s">
        <v>1357</v>
      </c>
      <c r="R278" s="102">
        <v>400</v>
      </c>
      <c r="S278" s="102">
        <v>600</v>
      </c>
      <c r="T278" s="95"/>
      <c r="U278" s="95" t="s">
        <v>1330</v>
      </c>
      <c r="V278" s="95" t="s">
        <v>771</v>
      </c>
    </row>
    <row r="279" spans="1:22" ht="45">
      <c r="A279" s="317"/>
      <c r="B279" s="186"/>
      <c r="C279" s="187"/>
      <c r="D279" s="381" t="s">
        <v>520</v>
      </c>
      <c r="E279" s="384" t="s">
        <v>281</v>
      </c>
      <c r="F279" s="117" t="s">
        <v>282</v>
      </c>
      <c r="G279" s="114" t="s">
        <v>283</v>
      </c>
      <c r="H279" s="113" t="s">
        <v>435</v>
      </c>
      <c r="I279" s="113" t="s">
        <v>438</v>
      </c>
      <c r="J279" s="23" t="str">
        <f>G279</f>
        <v xml:space="preserve">Potenciar la visita a espais alternatius dins de l'àmbit d'influència de l'espai natural per reduir la pressió en zones sensibles </v>
      </c>
      <c r="K279" s="22"/>
      <c r="L279" s="23" t="s">
        <v>763</v>
      </c>
      <c r="M279" s="24" t="s">
        <v>780</v>
      </c>
      <c r="N279" s="23" t="s">
        <v>1358</v>
      </c>
      <c r="O279" s="25"/>
      <c r="P279" s="26"/>
      <c r="Q279" s="112" t="s">
        <v>1185</v>
      </c>
      <c r="R279" s="102">
        <v>1</v>
      </c>
      <c r="S279" s="102">
        <v>4</v>
      </c>
      <c r="T279" s="95"/>
      <c r="U279" s="95" t="s">
        <v>856</v>
      </c>
      <c r="V279" s="95" t="s">
        <v>987</v>
      </c>
    </row>
    <row r="280" spans="1:22" ht="45">
      <c r="A280" s="317"/>
      <c r="B280" s="186"/>
      <c r="C280" s="187"/>
      <c r="D280" s="382"/>
      <c r="E280" s="385"/>
      <c r="F280" s="243" t="s">
        <v>284</v>
      </c>
      <c r="G280" s="321" t="s">
        <v>285</v>
      </c>
      <c r="H280" s="249" t="s">
        <v>435</v>
      </c>
      <c r="I280" s="249" t="s">
        <v>438</v>
      </c>
      <c r="J280" s="252" t="str">
        <f>G280</f>
        <v xml:space="preserve">Implementar les mesures extraordinàries de regulació de l'ús públic </v>
      </c>
      <c r="K280" s="253"/>
      <c r="L280" s="252" t="s">
        <v>763</v>
      </c>
      <c r="M280" s="24" t="s">
        <v>764</v>
      </c>
      <c r="N280" s="23" t="s">
        <v>1359</v>
      </c>
      <c r="O280" s="25"/>
      <c r="P280" s="26"/>
      <c r="Q280" s="112" t="s">
        <v>1360</v>
      </c>
      <c r="R280" s="102">
        <v>0</v>
      </c>
      <c r="S280" s="102">
        <v>3</v>
      </c>
      <c r="T280" s="95"/>
      <c r="U280" s="95" t="s">
        <v>856</v>
      </c>
      <c r="V280" s="95" t="s">
        <v>857</v>
      </c>
    </row>
    <row r="281" spans="1:22" ht="45">
      <c r="A281" s="317"/>
      <c r="B281" s="186"/>
      <c r="C281" s="187"/>
      <c r="D281" s="382"/>
      <c r="E281" s="385"/>
      <c r="F281" s="261"/>
      <c r="G281" s="322"/>
      <c r="H281" s="263"/>
      <c r="I281" s="263"/>
      <c r="J281" s="264"/>
      <c r="K281" s="268"/>
      <c r="L281" s="264"/>
      <c r="M281" s="24" t="s">
        <v>776</v>
      </c>
      <c r="N281" s="23" t="s">
        <v>1361</v>
      </c>
      <c r="O281" s="25"/>
      <c r="P281" s="26"/>
      <c r="Q281" s="112" t="s">
        <v>1362</v>
      </c>
      <c r="R281" s="102" t="s">
        <v>805</v>
      </c>
      <c r="S281" s="102" t="s">
        <v>806</v>
      </c>
      <c r="T281" s="95"/>
      <c r="U281" s="95" t="s">
        <v>845</v>
      </c>
      <c r="V281" s="95" t="s">
        <v>775</v>
      </c>
    </row>
    <row r="282" spans="1:22" ht="45">
      <c r="A282" s="317"/>
      <c r="B282" s="186"/>
      <c r="C282" s="187"/>
      <c r="D282" s="382"/>
      <c r="E282" s="385"/>
      <c r="F282" s="261"/>
      <c r="G282" s="322"/>
      <c r="H282" s="263"/>
      <c r="I282" s="263"/>
      <c r="J282" s="264"/>
      <c r="K282" s="268"/>
      <c r="L282" s="264"/>
      <c r="M282" s="24" t="s">
        <v>780</v>
      </c>
      <c r="N282" s="23" t="s">
        <v>1363</v>
      </c>
      <c r="O282" s="25"/>
      <c r="P282" s="26"/>
      <c r="Q282" s="112" t="s">
        <v>1364</v>
      </c>
      <c r="R282" s="102">
        <v>10</v>
      </c>
      <c r="S282" s="102">
        <v>30</v>
      </c>
      <c r="T282" s="95"/>
      <c r="U282" s="95" t="s">
        <v>1330</v>
      </c>
      <c r="V282" s="95" t="s">
        <v>771</v>
      </c>
    </row>
    <row r="283" spans="1:22" ht="32.25" customHeight="1">
      <c r="A283" s="317"/>
      <c r="B283" s="186"/>
      <c r="C283" s="187"/>
      <c r="D283" s="383"/>
      <c r="E283" s="386"/>
      <c r="F283" s="273"/>
      <c r="G283" s="323"/>
      <c r="H283" s="265"/>
      <c r="I283" s="265"/>
      <c r="J283" s="267"/>
      <c r="K283" s="269"/>
      <c r="L283" s="267"/>
      <c r="M283" s="24" t="s">
        <v>780</v>
      </c>
      <c r="N283" s="23" t="s">
        <v>1365</v>
      </c>
      <c r="O283" s="25"/>
      <c r="P283" s="26"/>
      <c r="Q283" s="112" t="s">
        <v>1366</v>
      </c>
      <c r="R283" s="102">
        <v>0</v>
      </c>
      <c r="S283" s="102">
        <v>2</v>
      </c>
      <c r="T283" s="95"/>
      <c r="U283" s="95" t="s">
        <v>856</v>
      </c>
      <c r="V283" s="95" t="s">
        <v>857</v>
      </c>
    </row>
    <row r="284" spans="1:22" ht="30">
      <c r="A284" s="317"/>
      <c r="B284" s="186"/>
      <c r="C284" s="187"/>
      <c r="D284" s="381" t="s">
        <v>521</v>
      </c>
      <c r="E284" s="390" t="s">
        <v>286</v>
      </c>
      <c r="F284" s="243" t="s">
        <v>287</v>
      </c>
      <c r="G284" s="246" t="s">
        <v>288</v>
      </c>
      <c r="H284" s="249" t="s">
        <v>435</v>
      </c>
      <c r="I284" s="249" t="s">
        <v>436</v>
      </c>
      <c r="J284" s="252" t="str">
        <f>G284</f>
        <v>Adequar els principals accessos, aparcaments i centres d'interès amb un ús elevat</v>
      </c>
      <c r="K284" s="253"/>
      <c r="L284" s="292" t="s">
        <v>763</v>
      </c>
      <c r="M284" s="24" t="s">
        <v>776</v>
      </c>
      <c r="N284" s="23" t="s">
        <v>1367</v>
      </c>
      <c r="O284" s="25"/>
      <c r="P284" s="26"/>
      <c r="Q284" s="112" t="s">
        <v>1368</v>
      </c>
      <c r="R284" s="102">
        <v>60</v>
      </c>
      <c r="S284" s="102">
        <v>100</v>
      </c>
      <c r="T284" s="95"/>
      <c r="U284" s="95" t="s">
        <v>1330</v>
      </c>
      <c r="V284" s="95" t="s">
        <v>771</v>
      </c>
    </row>
    <row r="285" spans="1:22" ht="61.5">
      <c r="A285" s="317"/>
      <c r="B285" s="186"/>
      <c r="C285" s="187"/>
      <c r="D285" s="382"/>
      <c r="E285" s="391"/>
      <c r="F285" s="261"/>
      <c r="G285" s="262"/>
      <c r="H285" s="263"/>
      <c r="I285" s="263"/>
      <c r="J285" s="264"/>
      <c r="K285" s="268"/>
      <c r="L285" s="396"/>
      <c r="M285" s="24" t="s">
        <v>783</v>
      </c>
      <c r="N285" s="23" t="s">
        <v>1369</v>
      </c>
      <c r="O285" s="25"/>
      <c r="P285" s="26"/>
      <c r="Q285" s="112" t="s">
        <v>1370</v>
      </c>
      <c r="R285" s="102">
        <v>1</v>
      </c>
      <c r="S285" s="102">
        <v>5</v>
      </c>
      <c r="T285" s="95"/>
      <c r="U285" s="95" t="s">
        <v>845</v>
      </c>
      <c r="V285" s="95" t="s">
        <v>775</v>
      </c>
    </row>
    <row r="286" spans="1:22" ht="60">
      <c r="A286" s="317"/>
      <c r="B286" s="186"/>
      <c r="C286" s="187"/>
      <c r="D286" s="382"/>
      <c r="E286" s="391"/>
      <c r="F286" s="261"/>
      <c r="G286" s="262"/>
      <c r="H286" s="263"/>
      <c r="I286" s="263"/>
      <c r="J286" s="264"/>
      <c r="K286" s="268"/>
      <c r="L286" s="396"/>
      <c r="M286" s="24" t="s">
        <v>780</v>
      </c>
      <c r="N286" s="23" t="s">
        <v>1371</v>
      </c>
      <c r="O286" s="25"/>
      <c r="P286" s="26"/>
      <c r="Q286" s="112" t="s">
        <v>800</v>
      </c>
      <c r="R286" s="102">
        <v>4</v>
      </c>
      <c r="S286" s="102">
        <v>12</v>
      </c>
      <c r="T286" s="95"/>
      <c r="U286" s="95" t="s">
        <v>1330</v>
      </c>
      <c r="V286" s="95" t="s">
        <v>771</v>
      </c>
    </row>
    <row r="287" spans="1:22" ht="30">
      <c r="A287" s="317"/>
      <c r="B287" s="186"/>
      <c r="C287" s="187"/>
      <c r="D287" s="382"/>
      <c r="E287" s="391"/>
      <c r="F287" s="261"/>
      <c r="G287" s="262"/>
      <c r="H287" s="263"/>
      <c r="I287" s="263"/>
      <c r="J287" s="264"/>
      <c r="K287" s="268"/>
      <c r="L287" s="396"/>
      <c r="M287" s="24" t="s">
        <v>764</v>
      </c>
      <c r="N287" s="23" t="s">
        <v>1372</v>
      </c>
      <c r="O287" s="25"/>
      <c r="P287" s="26"/>
      <c r="Q287" s="112" t="s">
        <v>1373</v>
      </c>
      <c r="R287" s="102">
        <v>1000</v>
      </c>
      <c r="S287" s="102">
        <v>1600</v>
      </c>
      <c r="T287" s="95"/>
      <c r="U287" s="95" t="s">
        <v>1330</v>
      </c>
      <c r="V287" s="95" t="s">
        <v>771</v>
      </c>
    </row>
    <row r="288" spans="1:22" ht="45">
      <c r="A288" s="317"/>
      <c r="B288" s="186"/>
      <c r="C288" s="187"/>
      <c r="D288" s="382"/>
      <c r="E288" s="391"/>
      <c r="F288" s="273"/>
      <c r="G288" s="266"/>
      <c r="H288" s="265"/>
      <c r="I288" s="265"/>
      <c r="J288" s="267"/>
      <c r="K288" s="269"/>
      <c r="L288" s="293"/>
      <c r="M288" s="24" t="s">
        <v>776</v>
      </c>
      <c r="N288" s="23" t="s">
        <v>1374</v>
      </c>
      <c r="O288" s="25"/>
      <c r="P288" s="26"/>
      <c r="Q288" s="112" t="s">
        <v>1375</v>
      </c>
      <c r="R288" s="102">
        <v>100</v>
      </c>
      <c r="S288" s="102">
        <v>160</v>
      </c>
      <c r="T288" s="95"/>
      <c r="U288" s="95" t="s">
        <v>1330</v>
      </c>
      <c r="V288" s="95" t="s">
        <v>771</v>
      </c>
    </row>
    <row r="289" spans="1:22" ht="30">
      <c r="A289" s="317"/>
      <c r="B289" s="186"/>
      <c r="C289" s="187"/>
      <c r="D289" s="382"/>
      <c r="E289" s="391"/>
      <c r="F289" s="243" t="s">
        <v>289</v>
      </c>
      <c r="G289" s="321" t="s">
        <v>1376</v>
      </c>
      <c r="H289" s="249" t="s">
        <v>435</v>
      </c>
      <c r="I289" s="249" t="s">
        <v>436</v>
      </c>
      <c r="J289" s="252" t="str">
        <f>G289</f>
        <v>Disposar dels equipaments i infraestructures necessàries,  accessibles  i inclusives per acollir, informar, facilitar la visita i garantir la seguretat dels visitants i la protecció de l'entorn</v>
      </c>
      <c r="K289" s="253"/>
      <c r="L289" s="252" t="s">
        <v>763</v>
      </c>
      <c r="M289" s="24" t="s">
        <v>780</v>
      </c>
      <c r="N289" s="23" t="s">
        <v>1377</v>
      </c>
      <c r="O289" s="25"/>
      <c r="P289" s="26"/>
      <c r="Q289" s="112" t="s">
        <v>1378</v>
      </c>
      <c r="R289" s="102">
        <v>60</v>
      </c>
      <c r="S289" s="102">
        <v>120</v>
      </c>
      <c r="T289" s="95"/>
      <c r="U289" s="95" t="s">
        <v>1330</v>
      </c>
      <c r="V289" s="95" t="s">
        <v>771</v>
      </c>
    </row>
    <row r="290" spans="1:22" ht="28.9" customHeight="1">
      <c r="A290" s="317"/>
      <c r="B290" s="186"/>
      <c r="C290" s="187"/>
      <c r="D290" s="382"/>
      <c r="E290" s="391"/>
      <c r="F290" s="261"/>
      <c r="G290" s="322"/>
      <c r="H290" s="263"/>
      <c r="I290" s="263"/>
      <c r="J290" s="264"/>
      <c r="K290" s="268"/>
      <c r="L290" s="264"/>
      <c r="M290" s="24" t="s">
        <v>776</v>
      </c>
      <c r="N290" s="23" t="s">
        <v>1379</v>
      </c>
      <c r="O290" s="25"/>
      <c r="P290" s="26"/>
      <c r="Q290" s="112" t="s">
        <v>1380</v>
      </c>
      <c r="R290" s="102">
        <v>12</v>
      </c>
      <c r="S290" s="102">
        <v>20</v>
      </c>
      <c r="T290" s="95"/>
      <c r="U290" s="95" t="s">
        <v>1330</v>
      </c>
      <c r="V290" s="95" t="s">
        <v>771</v>
      </c>
    </row>
    <row r="291" spans="1:22" ht="75">
      <c r="A291" s="317"/>
      <c r="B291" s="186"/>
      <c r="C291" s="187"/>
      <c r="D291" s="382"/>
      <c r="E291" s="391"/>
      <c r="F291" s="261"/>
      <c r="G291" s="322"/>
      <c r="H291" s="263"/>
      <c r="I291" s="263"/>
      <c r="J291" s="264"/>
      <c r="K291" s="268"/>
      <c r="L291" s="264"/>
      <c r="M291" s="24" t="s">
        <v>776</v>
      </c>
      <c r="N291" s="23" t="s">
        <v>1381</v>
      </c>
      <c r="O291" s="25"/>
      <c r="P291" s="26"/>
      <c r="Q291" s="112" t="s">
        <v>1382</v>
      </c>
      <c r="R291" s="102">
        <v>8</v>
      </c>
      <c r="S291" s="102">
        <v>20</v>
      </c>
      <c r="T291" s="95"/>
      <c r="U291" s="95" t="s">
        <v>1330</v>
      </c>
      <c r="V291" s="95" t="s">
        <v>771</v>
      </c>
    </row>
    <row r="292" spans="1:22" ht="45">
      <c r="A292" s="317"/>
      <c r="B292" s="186"/>
      <c r="C292" s="187"/>
      <c r="D292" s="382"/>
      <c r="E292" s="391"/>
      <c r="F292" s="261"/>
      <c r="G292" s="322"/>
      <c r="H292" s="263"/>
      <c r="I292" s="263"/>
      <c r="J292" s="264"/>
      <c r="K292" s="268"/>
      <c r="L292" s="264"/>
      <c r="M292" s="24" t="s">
        <v>776</v>
      </c>
      <c r="N292" s="23" t="s">
        <v>1383</v>
      </c>
      <c r="O292" s="25"/>
      <c r="P292" s="26"/>
      <c r="Q292" s="112" t="s">
        <v>1384</v>
      </c>
      <c r="R292" s="102">
        <v>5</v>
      </c>
      <c r="S292" s="102">
        <v>10</v>
      </c>
      <c r="T292" s="95"/>
      <c r="U292" s="95" t="s">
        <v>856</v>
      </c>
      <c r="V292" s="95" t="s">
        <v>857</v>
      </c>
    </row>
    <row r="293" spans="1:22" ht="30">
      <c r="A293" s="317"/>
      <c r="B293" s="186"/>
      <c r="C293" s="187"/>
      <c r="D293" s="382"/>
      <c r="E293" s="391"/>
      <c r="F293" s="261"/>
      <c r="G293" s="322"/>
      <c r="H293" s="263"/>
      <c r="I293" s="263"/>
      <c r="J293" s="264"/>
      <c r="K293" s="268"/>
      <c r="L293" s="264"/>
      <c r="M293" s="24" t="s">
        <v>776</v>
      </c>
      <c r="N293" s="23" t="s">
        <v>1385</v>
      </c>
      <c r="O293" s="25"/>
      <c r="P293" s="26"/>
      <c r="Q293" s="112" t="s">
        <v>1386</v>
      </c>
      <c r="R293" s="102">
        <v>1</v>
      </c>
      <c r="S293" s="102">
        <v>4</v>
      </c>
      <c r="T293" s="95"/>
      <c r="U293" s="95" t="s">
        <v>856</v>
      </c>
      <c r="V293" s="95" t="s">
        <v>987</v>
      </c>
    </row>
    <row r="294" spans="1:22" ht="60">
      <c r="A294" s="317"/>
      <c r="B294" s="186"/>
      <c r="C294" s="187"/>
      <c r="D294" s="382"/>
      <c r="E294" s="391"/>
      <c r="F294" s="261"/>
      <c r="G294" s="322"/>
      <c r="H294" s="263"/>
      <c r="I294" s="263"/>
      <c r="J294" s="264"/>
      <c r="K294" s="268"/>
      <c r="L294" s="264"/>
      <c r="M294" s="24" t="s">
        <v>776</v>
      </c>
      <c r="N294" s="23" t="s">
        <v>1387</v>
      </c>
      <c r="O294" s="25"/>
      <c r="P294" s="26"/>
      <c r="Q294" s="112" t="s">
        <v>1388</v>
      </c>
      <c r="R294" s="102">
        <v>2</v>
      </c>
      <c r="S294" s="102">
        <v>10</v>
      </c>
      <c r="T294" s="95"/>
      <c r="U294" s="95" t="s">
        <v>845</v>
      </c>
      <c r="V294" s="95" t="s">
        <v>775</v>
      </c>
    </row>
    <row r="295" spans="1:22" ht="30">
      <c r="A295" s="317"/>
      <c r="B295" s="186"/>
      <c r="C295" s="187"/>
      <c r="D295" s="382"/>
      <c r="E295" s="391"/>
      <c r="F295" s="261"/>
      <c r="G295" s="322"/>
      <c r="H295" s="263"/>
      <c r="I295" s="263"/>
      <c r="J295" s="264"/>
      <c r="K295" s="268"/>
      <c r="L295" s="264"/>
      <c r="M295" s="24" t="s">
        <v>776</v>
      </c>
      <c r="N295" s="23" t="s">
        <v>1389</v>
      </c>
      <c r="O295" s="25"/>
      <c r="P295" s="26"/>
      <c r="Q295" s="112" t="s">
        <v>1390</v>
      </c>
      <c r="R295" s="102">
        <v>1</v>
      </c>
      <c r="S295" s="102">
        <v>3</v>
      </c>
      <c r="T295" s="95"/>
      <c r="U295" s="95" t="s">
        <v>856</v>
      </c>
      <c r="V295" s="95" t="s">
        <v>857</v>
      </c>
    </row>
    <row r="296" spans="1:22" ht="30">
      <c r="A296" s="317"/>
      <c r="B296" s="186"/>
      <c r="C296" s="187"/>
      <c r="D296" s="382"/>
      <c r="E296" s="391"/>
      <c r="F296" s="261"/>
      <c r="G296" s="322"/>
      <c r="H296" s="263"/>
      <c r="I296" s="263"/>
      <c r="J296" s="264"/>
      <c r="K296" s="268"/>
      <c r="L296" s="264"/>
      <c r="M296" s="24" t="s">
        <v>776</v>
      </c>
      <c r="N296" s="23" t="s">
        <v>1391</v>
      </c>
      <c r="O296" s="25"/>
      <c r="P296" s="26"/>
      <c r="Q296" s="112" t="s">
        <v>1392</v>
      </c>
      <c r="R296" s="102">
        <v>3</v>
      </c>
      <c r="S296" s="102">
        <v>7</v>
      </c>
      <c r="T296" s="95"/>
      <c r="U296" s="95" t="s">
        <v>856</v>
      </c>
      <c r="V296" s="95" t="s">
        <v>987</v>
      </c>
    </row>
    <row r="297" spans="1:22" ht="45">
      <c r="A297" s="317"/>
      <c r="B297" s="186"/>
      <c r="C297" s="187"/>
      <c r="D297" s="382"/>
      <c r="E297" s="391"/>
      <c r="F297" s="261"/>
      <c r="G297" s="322"/>
      <c r="H297" s="263"/>
      <c r="I297" s="263"/>
      <c r="J297" s="264"/>
      <c r="K297" s="268"/>
      <c r="L297" s="264"/>
      <c r="M297" s="24" t="s">
        <v>776</v>
      </c>
      <c r="N297" s="23" t="s">
        <v>1393</v>
      </c>
      <c r="O297" s="25"/>
      <c r="P297" s="26"/>
      <c r="Q297" s="112" t="s">
        <v>973</v>
      </c>
      <c r="R297" s="119" t="s">
        <v>1394</v>
      </c>
      <c r="S297" s="119" t="s">
        <v>1395</v>
      </c>
      <c r="T297" s="95"/>
      <c r="U297" s="95" t="s">
        <v>845</v>
      </c>
      <c r="V297" s="95" t="s">
        <v>775</v>
      </c>
    </row>
    <row r="298" spans="1:22" ht="45">
      <c r="A298" s="317"/>
      <c r="B298" s="186"/>
      <c r="C298" s="187"/>
      <c r="D298" s="382"/>
      <c r="E298" s="391"/>
      <c r="F298" s="273"/>
      <c r="G298" s="323"/>
      <c r="H298" s="265"/>
      <c r="I298" s="265"/>
      <c r="J298" s="267"/>
      <c r="K298" s="269"/>
      <c r="L298" s="267"/>
      <c r="M298" s="24" t="s">
        <v>780</v>
      </c>
      <c r="N298" s="23" t="s">
        <v>1396</v>
      </c>
      <c r="O298" s="25"/>
      <c r="P298" s="26"/>
      <c r="Q298" s="112" t="s">
        <v>973</v>
      </c>
      <c r="R298" s="119" t="s">
        <v>1397</v>
      </c>
      <c r="S298" s="119" t="s">
        <v>1398</v>
      </c>
      <c r="T298" s="95"/>
      <c r="U298" s="95" t="s">
        <v>845</v>
      </c>
      <c r="V298" s="95" t="s">
        <v>775</v>
      </c>
    </row>
    <row r="299" spans="1:22" ht="67.900000000000006" customHeight="1">
      <c r="A299" s="317"/>
      <c r="B299" s="186"/>
      <c r="C299" s="187"/>
      <c r="D299" s="382"/>
      <c r="E299" s="391"/>
      <c r="F299" s="243" t="s">
        <v>290</v>
      </c>
      <c r="G299" s="321" t="s">
        <v>291</v>
      </c>
      <c r="H299" s="249" t="s">
        <v>435</v>
      </c>
      <c r="I299" s="249" t="s">
        <v>436</v>
      </c>
      <c r="J299" s="252" t="str">
        <f>G299</f>
        <v>Desenvolupar el Pla d'acollida als visitants en base al model de la DG</v>
      </c>
      <c r="K299" s="253"/>
      <c r="L299" s="397" t="s">
        <v>763</v>
      </c>
      <c r="M299" s="24" t="s">
        <v>764</v>
      </c>
      <c r="N299" s="189" t="s">
        <v>1399</v>
      </c>
      <c r="O299" s="25"/>
      <c r="P299" s="20" t="s">
        <v>522</v>
      </c>
      <c r="Q299" s="112" t="s">
        <v>1400</v>
      </c>
      <c r="R299" s="102" t="s">
        <v>805</v>
      </c>
      <c r="S299" s="102" t="s">
        <v>806</v>
      </c>
      <c r="T299" s="95"/>
      <c r="U299" s="95" t="s">
        <v>856</v>
      </c>
      <c r="V299" s="95" t="s">
        <v>857</v>
      </c>
    </row>
    <row r="300" spans="1:22" ht="39.75" customHeight="1">
      <c r="A300" s="317"/>
      <c r="B300" s="186"/>
      <c r="C300" s="187"/>
      <c r="D300" s="382"/>
      <c r="E300" s="391"/>
      <c r="F300" s="261"/>
      <c r="G300" s="322"/>
      <c r="H300" s="263"/>
      <c r="I300" s="263"/>
      <c r="J300" s="264"/>
      <c r="K300" s="268"/>
      <c r="L300" s="398"/>
      <c r="M300" s="24" t="s">
        <v>776</v>
      </c>
      <c r="N300" s="23" t="s">
        <v>1401</v>
      </c>
      <c r="O300" s="25"/>
      <c r="P300" s="20"/>
      <c r="Q300" s="23" t="s">
        <v>1402</v>
      </c>
      <c r="R300" s="102">
        <v>16</v>
      </c>
      <c r="S300" s="102">
        <v>28</v>
      </c>
      <c r="T300" s="95"/>
      <c r="U300" s="95" t="s">
        <v>856</v>
      </c>
      <c r="V300" s="95" t="s">
        <v>987</v>
      </c>
    </row>
    <row r="301" spans="1:22">
      <c r="A301" s="317"/>
      <c r="B301" s="186"/>
      <c r="C301" s="187"/>
      <c r="D301" s="382"/>
      <c r="E301" s="391"/>
      <c r="F301" s="261"/>
      <c r="G301" s="322"/>
      <c r="H301" s="263"/>
      <c r="I301" s="263"/>
      <c r="J301" s="264"/>
      <c r="K301" s="268"/>
      <c r="L301" s="398"/>
      <c r="M301" s="24" t="s">
        <v>776</v>
      </c>
      <c r="N301" s="190" t="s">
        <v>1403</v>
      </c>
      <c r="O301" s="25"/>
      <c r="P301" s="20"/>
      <c r="Q301" s="112" t="s">
        <v>1404</v>
      </c>
      <c r="R301" s="102">
        <v>3</v>
      </c>
      <c r="S301" s="102">
        <v>4</v>
      </c>
      <c r="T301" s="95"/>
      <c r="U301" s="95" t="s">
        <v>856</v>
      </c>
      <c r="V301" s="95" t="s">
        <v>987</v>
      </c>
    </row>
    <row r="302" spans="1:22">
      <c r="A302" s="317"/>
      <c r="B302" s="186"/>
      <c r="C302" s="187"/>
      <c r="D302" s="382"/>
      <c r="E302" s="391"/>
      <c r="F302" s="261"/>
      <c r="G302" s="322"/>
      <c r="H302" s="263"/>
      <c r="I302" s="263"/>
      <c r="J302" s="264"/>
      <c r="K302" s="268"/>
      <c r="L302" s="398"/>
      <c r="M302" s="24" t="s">
        <v>776</v>
      </c>
      <c r="N302" s="190" t="s">
        <v>1405</v>
      </c>
      <c r="O302" s="25"/>
      <c r="P302" s="20"/>
      <c r="Q302" s="112" t="s">
        <v>1406</v>
      </c>
      <c r="R302" s="102">
        <v>4</v>
      </c>
      <c r="S302" s="102">
        <v>8</v>
      </c>
      <c r="T302" s="95"/>
      <c r="U302" s="95" t="s">
        <v>856</v>
      </c>
      <c r="V302" s="95" t="s">
        <v>987</v>
      </c>
    </row>
    <row r="303" spans="1:22">
      <c r="A303" s="317"/>
      <c r="B303" s="186"/>
      <c r="C303" s="187"/>
      <c r="D303" s="382"/>
      <c r="E303" s="391"/>
      <c r="F303" s="261"/>
      <c r="G303" s="322"/>
      <c r="H303" s="263"/>
      <c r="I303" s="263"/>
      <c r="J303" s="264"/>
      <c r="K303" s="268"/>
      <c r="L303" s="398"/>
      <c r="M303" s="24" t="s">
        <v>783</v>
      </c>
      <c r="N303" s="190" t="s">
        <v>1407</v>
      </c>
      <c r="O303" s="25"/>
      <c r="P303" s="20"/>
      <c r="Q303" s="112" t="s">
        <v>1408</v>
      </c>
      <c r="R303" s="102">
        <v>3</v>
      </c>
      <c r="S303" s="102">
        <v>9</v>
      </c>
      <c r="T303" s="95"/>
      <c r="U303" s="95" t="s">
        <v>856</v>
      </c>
      <c r="V303" s="95" t="s">
        <v>987</v>
      </c>
    </row>
    <row r="304" spans="1:22" ht="30">
      <c r="A304" s="317"/>
      <c r="B304" s="186"/>
      <c r="C304" s="187"/>
      <c r="D304" s="382"/>
      <c r="E304" s="391"/>
      <c r="F304" s="273"/>
      <c r="G304" s="323"/>
      <c r="H304" s="265"/>
      <c r="I304" s="265"/>
      <c r="J304" s="267"/>
      <c r="K304" s="269"/>
      <c r="L304" s="399"/>
      <c r="M304" s="24" t="s">
        <v>780</v>
      </c>
      <c r="N304" s="190" t="s">
        <v>1409</v>
      </c>
      <c r="O304" s="25"/>
      <c r="P304" s="20"/>
      <c r="Q304" s="112" t="s">
        <v>1410</v>
      </c>
      <c r="R304" s="102">
        <v>1</v>
      </c>
      <c r="S304" s="102">
        <v>5</v>
      </c>
      <c r="T304" s="95"/>
      <c r="U304" s="95" t="s">
        <v>856</v>
      </c>
      <c r="V304" s="95" t="s">
        <v>987</v>
      </c>
    </row>
    <row r="305" spans="1:22" ht="61.9" customHeight="1">
      <c r="A305" s="317"/>
      <c r="B305" s="186"/>
      <c r="C305" s="187"/>
      <c r="D305" s="383"/>
      <c r="E305" s="392"/>
      <c r="F305" s="117" t="s">
        <v>292</v>
      </c>
      <c r="G305" s="191" t="s">
        <v>293</v>
      </c>
      <c r="H305" s="113" t="s">
        <v>435</v>
      </c>
      <c r="I305" s="113" t="s">
        <v>436</v>
      </c>
      <c r="J305" s="23" t="str">
        <f>G305</f>
        <v>Adaptar els missatges a donar des d'oficines d’informació, pròpies i alienes, d'acord amb el model de la DG</v>
      </c>
      <c r="K305" s="22"/>
      <c r="L305" s="23" t="s">
        <v>763</v>
      </c>
      <c r="M305" s="24" t="s">
        <v>776</v>
      </c>
      <c r="N305" s="23" t="s">
        <v>1411</v>
      </c>
      <c r="O305" s="25" t="s">
        <v>448</v>
      </c>
      <c r="P305" s="20" t="s">
        <v>523</v>
      </c>
      <c r="Q305" s="112" t="s">
        <v>1412</v>
      </c>
      <c r="R305" s="102" t="s">
        <v>805</v>
      </c>
      <c r="S305" s="102" t="s">
        <v>806</v>
      </c>
      <c r="T305" s="95"/>
      <c r="U305" s="95" t="s">
        <v>856</v>
      </c>
      <c r="V305" s="95" t="s">
        <v>987</v>
      </c>
    </row>
    <row r="306" spans="1:22" ht="52.15" customHeight="1">
      <c r="A306" s="317"/>
      <c r="B306" s="186"/>
      <c r="C306" s="187"/>
      <c r="D306" s="381" t="s">
        <v>524</v>
      </c>
      <c r="E306" s="390" t="s">
        <v>1413</v>
      </c>
      <c r="F306" s="243" t="s">
        <v>294</v>
      </c>
      <c r="G306" s="246" t="s">
        <v>295</v>
      </c>
      <c r="H306" s="249" t="s">
        <v>435</v>
      </c>
      <c r="I306" s="249" t="s">
        <v>438</v>
      </c>
      <c r="J306" s="252" t="str">
        <f>G306</f>
        <v>Elaborar i executar el Pla de vigilància de l’espai d'acord amb els cossos d’inspecció i seguretat</v>
      </c>
      <c r="K306" s="22"/>
      <c r="L306" s="23" t="s">
        <v>763</v>
      </c>
      <c r="M306" s="24" t="s">
        <v>780</v>
      </c>
      <c r="N306" s="23" t="s">
        <v>1414</v>
      </c>
      <c r="O306" s="25"/>
      <c r="P306" s="26"/>
      <c r="Q306" s="112" t="s">
        <v>1415</v>
      </c>
      <c r="R306" s="102">
        <v>2</v>
      </c>
      <c r="S306" s="102">
        <v>4</v>
      </c>
      <c r="T306" s="95"/>
      <c r="U306" s="95" t="s">
        <v>1250</v>
      </c>
      <c r="V306" s="95" t="s">
        <v>775</v>
      </c>
    </row>
    <row r="307" spans="1:22" ht="30">
      <c r="A307" s="317"/>
      <c r="B307" s="186"/>
      <c r="C307" s="187"/>
      <c r="D307" s="382"/>
      <c r="E307" s="391"/>
      <c r="F307" s="273"/>
      <c r="G307" s="266"/>
      <c r="H307" s="265"/>
      <c r="I307" s="265"/>
      <c r="J307" s="267"/>
      <c r="K307" s="22"/>
      <c r="L307" s="23" t="s">
        <v>763</v>
      </c>
      <c r="M307" s="24" t="s">
        <v>780</v>
      </c>
      <c r="N307" s="23" t="s">
        <v>1416</v>
      </c>
      <c r="O307" s="25"/>
      <c r="P307" s="26"/>
      <c r="Q307" s="23" t="s">
        <v>1417</v>
      </c>
      <c r="R307" s="102">
        <v>8</v>
      </c>
      <c r="S307" s="102">
        <v>20</v>
      </c>
      <c r="T307" s="95"/>
      <c r="U307" s="95" t="s">
        <v>1250</v>
      </c>
      <c r="V307" s="95" t="s">
        <v>775</v>
      </c>
    </row>
    <row r="308" spans="1:22" ht="30">
      <c r="A308" s="317"/>
      <c r="B308" s="186"/>
      <c r="C308" s="187"/>
      <c r="D308" s="382"/>
      <c r="E308" s="391"/>
      <c r="F308" s="243" t="s">
        <v>296</v>
      </c>
      <c r="G308" s="313" t="s">
        <v>297</v>
      </c>
      <c r="H308" s="243" t="s">
        <v>435</v>
      </c>
      <c r="I308" s="243" t="s">
        <v>436</v>
      </c>
      <c r="J308" s="270" t="str">
        <f>G308</f>
        <v>Millorar la coordinació amb els cossos de seguretat per efectuar accions de control i vigilància</v>
      </c>
      <c r="K308" s="253"/>
      <c r="L308" s="310" t="s">
        <v>763</v>
      </c>
      <c r="M308" s="24" t="s">
        <v>780</v>
      </c>
      <c r="N308" s="23" t="s">
        <v>1418</v>
      </c>
      <c r="O308" s="25"/>
      <c r="P308" s="26"/>
      <c r="Q308" s="112" t="s">
        <v>1220</v>
      </c>
      <c r="R308" s="102">
        <v>4</v>
      </c>
      <c r="S308" s="102">
        <v>16</v>
      </c>
      <c r="T308" s="95"/>
      <c r="U308" s="95" t="s">
        <v>1250</v>
      </c>
      <c r="V308" s="95" t="s">
        <v>775</v>
      </c>
    </row>
    <row r="309" spans="1:22" ht="45">
      <c r="A309" s="317"/>
      <c r="B309" s="186"/>
      <c r="C309" s="187"/>
      <c r="D309" s="382"/>
      <c r="E309" s="391"/>
      <c r="F309" s="245"/>
      <c r="G309" s="312"/>
      <c r="H309" s="245"/>
      <c r="I309" s="245"/>
      <c r="J309" s="312"/>
      <c r="K309" s="255"/>
      <c r="L309" s="311"/>
      <c r="M309" s="24" t="s">
        <v>776</v>
      </c>
      <c r="N309" s="23" t="s">
        <v>1419</v>
      </c>
      <c r="O309" s="25"/>
      <c r="P309" s="26"/>
      <c r="Q309" s="112" t="s">
        <v>1420</v>
      </c>
      <c r="R309" s="102">
        <v>1</v>
      </c>
      <c r="S309" s="102">
        <v>4</v>
      </c>
      <c r="T309" s="95"/>
      <c r="U309" s="95" t="s">
        <v>1250</v>
      </c>
      <c r="V309" s="95" t="s">
        <v>775</v>
      </c>
    </row>
    <row r="310" spans="1:22" ht="30">
      <c r="A310" s="317"/>
      <c r="B310" s="186"/>
      <c r="C310" s="187"/>
      <c r="D310" s="382"/>
      <c r="E310" s="391"/>
      <c r="F310" s="243" t="s">
        <v>298</v>
      </c>
      <c r="G310" s="313" t="s">
        <v>299</v>
      </c>
      <c r="H310" s="243" t="s">
        <v>435</v>
      </c>
      <c r="I310" s="249" t="s">
        <v>436</v>
      </c>
      <c r="J310" s="270" t="str">
        <f>G310</f>
        <v>Vetllar pel compliment d'informes i la vigilància tècnica de l'espai</v>
      </c>
      <c r="K310" s="253"/>
      <c r="L310" s="256" t="s">
        <v>763</v>
      </c>
      <c r="M310" s="24" t="s">
        <v>776</v>
      </c>
      <c r="N310" s="23" t="s">
        <v>1421</v>
      </c>
      <c r="O310" s="25"/>
      <c r="P310" s="26"/>
      <c r="Q310" s="23" t="s">
        <v>1422</v>
      </c>
      <c r="R310" s="102">
        <v>20</v>
      </c>
      <c r="S310" s="102">
        <v>40</v>
      </c>
      <c r="T310" s="95"/>
      <c r="U310" s="95" t="s">
        <v>1250</v>
      </c>
      <c r="V310" s="95" t="s">
        <v>775</v>
      </c>
    </row>
    <row r="311" spans="1:22" ht="39" customHeight="1">
      <c r="A311" s="317"/>
      <c r="B311" s="192"/>
      <c r="C311" s="193"/>
      <c r="D311" s="194"/>
      <c r="E311" s="195"/>
      <c r="F311" s="245"/>
      <c r="G311" s="312"/>
      <c r="H311" s="245"/>
      <c r="I311" s="251"/>
      <c r="J311" s="312"/>
      <c r="K311" s="255"/>
      <c r="L311" s="258"/>
      <c r="M311" s="24" t="s">
        <v>776</v>
      </c>
      <c r="N311" s="23" t="s">
        <v>1423</v>
      </c>
      <c r="O311" s="25"/>
      <c r="P311" s="26"/>
      <c r="Q311" s="23" t="s">
        <v>1424</v>
      </c>
      <c r="R311" s="102">
        <v>3</v>
      </c>
      <c r="S311" s="102">
        <v>5</v>
      </c>
      <c r="T311" s="95"/>
      <c r="U311" s="95" t="s">
        <v>856</v>
      </c>
      <c r="V311" s="95" t="s">
        <v>987</v>
      </c>
    </row>
    <row r="312" spans="1:22" ht="79.5" customHeight="1">
      <c r="A312" s="317"/>
      <c r="B312" s="400">
        <v>12</v>
      </c>
      <c r="C312" s="402" t="s">
        <v>300</v>
      </c>
      <c r="D312" s="404" t="s">
        <v>525</v>
      </c>
      <c r="E312" s="384" t="s">
        <v>301</v>
      </c>
      <c r="F312" s="117" t="s">
        <v>302</v>
      </c>
      <c r="G312" s="114" t="s">
        <v>303</v>
      </c>
      <c r="H312" s="113" t="s">
        <v>435</v>
      </c>
      <c r="I312" s="113" t="s">
        <v>436</v>
      </c>
      <c r="J312" s="23" t="str">
        <f>G312</f>
        <v>Ordenar el pla d’emergències</v>
      </c>
      <c r="K312" s="22"/>
      <c r="L312" s="23" t="s">
        <v>790</v>
      </c>
      <c r="M312" s="24" t="s">
        <v>783</v>
      </c>
      <c r="N312" s="23" t="s">
        <v>1425</v>
      </c>
      <c r="O312" s="25"/>
      <c r="P312" s="26"/>
      <c r="Q312" s="112" t="s">
        <v>1426</v>
      </c>
      <c r="R312" s="102" t="s">
        <v>805</v>
      </c>
      <c r="S312" s="102" t="s">
        <v>806</v>
      </c>
      <c r="T312" s="95"/>
      <c r="U312" s="95" t="s">
        <v>1250</v>
      </c>
      <c r="V312" s="95" t="s">
        <v>775</v>
      </c>
    </row>
    <row r="313" spans="1:22" ht="30">
      <c r="A313" s="317"/>
      <c r="B313" s="401"/>
      <c r="C313" s="403"/>
      <c r="D313" s="405"/>
      <c r="E313" s="385"/>
      <c r="F313" s="243" t="s">
        <v>304</v>
      </c>
      <c r="G313" s="246" t="s">
        <v>305</v>
      </c>
      <c r="H313" s="249" t="s">
        <v>435</v>
      </c>
      <c r="I313" s="249" t="s">
        <v>436</v>
      </c>
      <c r="J313" s="252" t="str">
        <f>G313</f>
        <v>Contribuir a la protecció dels assentaments humans respecte dels riscos naturals</v>
      </c>
      <c r="K313" s="253"/>
      <c r="L313" s="252" t="s">
        <v>763</v>
      </c>
      <c r="M313" s="24" t="s">
        <v>776</v>
      </c>
      <c r="N313" s="23" t="s">
        <v>1427</v>
      </c>
      <c r="O313" s="25"/>
      <c r="P313" s="26"/>
      <c r="Q313" s="112" t="s">
        <v>1428</v>
      </c>
      <c r="R313" s="102">
        <v>4</v>
      </c>
      <c r="S313" s="102">
        <v>12</v>
      </c>
      <c r="T313" s="95"/>
      <c r="U313" s="95" t="s">
        <v>1330</v>
      </c>
      <c r="V313" s="95" t="s">
        <v>771</v>
      </c>
    </row>
    <row r="314" spans="1:22" ht="63.75" customHeight="1">
      <c r="A314" s="317"/>
      <c r="B314" s="401"/>
      <c r="C314" s="403"/>
      <c r="D314" s="405"/>
      <c r="E314" s="385"/>
      <c r="F314" s="261"/>
      <c r="G314" s="262"/>
      <c r="H314" s="263"/>
      <c r="I314" s="263"/>
      <c r="J314" s="264"/>
      <c r="K314" s="268"/>
      <c r="L314" s="264"/>
      <c r="M314" s="24" t="s">
        <v>776</v>
      </c>
      <c r="N314" s="23" t="s">
        <v>1429</v>
      </c>
      <c r="O314" s="25"/>
      <c r="P314" s="26"/>
      <c r="Q314" s="112" t="s">
        <v>1400</v>
      </c>
      <c r="R314" s="102" t="s">
        <v>805</v>
      </c>
      <c r="S314" s="102" t="s">
        <v>806</v>
      </c>
      <c r="T314" s="95"/>
      <c r="U314" s="95" t="s">
        <v>774</v>
      </c>
      <c r="V314" s="95" t="s">
        <v>775</v>
      </c>
    </row>
    <row r="315" spans="1:22" ht="63.75" customHeight="1">
      <c r="A315" s="317"/>
      <c r="B315" s="401"/>
      <c r="C315" s="403"/>
      <c r="D315" s="405"/>
      <c r="E315" s="385"/>
      <c r="F315" s="261"/>
      <c r="G315" s="262"/>
      <c r="H315" s="263"/>
      <c r="I315" s="263"/>
      <c r="J315" s="264"/>
      <c r="K315" s="268"/>
      <c r="L315" s="264"/>
      <c r="M315" s="24" t="s">
        <v>780</v>
      </c>
      <c r="N315" s="23" t="s">
        <v>1430</v>
      </c>
      <c r="O315" s="25"/>
      <c r="P315" s="26"/>
      <c r="Q315" s="112" t="s">
        <v>1431</v>
      </c>
      <c r="R315" s="102" t="s">
        <v>1432</v>
      </c>
      <c r="S315" s="102" t="s">
        <v>1433</v>
      </c>
      <c r="T315" s="95"/>
      <c r="U315" s="95" t="s">
        <v>1330</v>
      </c>
      <c r="V315" s="95" t="s">
        <v>771</v>
      </c>
    </row>
    <row r="316" spans="1:22" ht="30">
      <c r="A316" s="317"/>
      <c r="B316" s="401"/>
      <c r="C316" s="403"/>
      <c r="D316" s="405"/>
      <c r="E316" s="385"/>
      <c r="F316" s="273"/>
      <c r="G316" s="266"/>
      <c r="H316" s="265"/>
      <c r="I316" s="265"/>
      <c r="J316" s="267"/>
      <c r="K316" s="269"/>
      <c r="L316" s="267"/>
      <c r="M316" s="24" t="s">
        <v>780</v>
      </c>
      <c r="N316" s="23" t="s">
        <v>1434</v>
      </c>
      <c r="O316" s="25"/>
      <c r="P316" s="26"/>
      <c r="Q316" s="112" t="s">
        <v>1435</v>
      </c>
      <c r="R316" s="102">
        <v>2</v>
      </c>
      <c r="S316" s="102">
        <v>8</v>
      </c>
      <c r="T316" s="95"/>
      <c r="U316" s="95" t="s">
        <v>1250</v>
      </c>
      <c r="V316" s="95" t="s">
        <v>775</v>
      </c>
    </row>
    <row r="317" spans="1:22" ht="90">
      <c r="A317" s="406" t="s">
        <v>306</v>
      </c>
      <c r="B317" s="407">
        <v>13</v>
      </c>
      <c r="C317" s="409" t="s">
        <v>307</v>
      </c>
      <c r="D317" s="411" t="s">
        <v>526</v>
      </c>
      <c r="E317" s="413" t="s">
        <v>308</v>
      </c>
      <c r="F317" s="415" t="s">
        <v>309</v>
      </c>
      <c r="G317" s="246" t="s">
        <v>310</v>
      </c>
      <c r="H317" s="249" t="s">
        <v>435</v>
      </c>
      <c r="I317" s="249" t="s">
        <v>436</v>
      </c>
      <c r="J317" s="252" t="str">
        <f>G317</f>
        <v>Definir el model de Xarxa d'Escoles de l'Espai Natural (XEEN) a l'ENP amb els agents educatius del territori</v>
      </c>
      <c r="K317" s="253"/>
      <c r="L317" s="252" t="s">
        <v>790</v>
      </c>
      <c r="M317" s="24" t="s">
        <v>776</v>
      </c>
      <c r="N317" s="23" t="s">
        <v>1436</v>
      </c>
      <c r="O317" s="36" t="s">
        <v>527</v>
      </c>
      <c r="P317" s="26"/>
      <c r="Q317" s="112" t="s">
        <v>1437</v>
      </c>
      <c r="R317" s="102">
        <v>12</v>
      </c>
      <c r="S317" s="102">
        <v>18</v>
      </c>
      <c r="T317" s="95"/>
      <c r="U317" s="95" t="s">
        <v>856</v>
      </c>
      <c r="V317" s="95" t="s">
        <v>857</v>
      </c>
    </row>
    <row r="318" spans="1:22" ht="30">
      <c r="A318" s="317"/>
      <c r="B318" s="407"/>
      <c r="C318" s="409"/>
      <c r="D318" s="411"/>
      <c r="E318" s="413"/>
      <c r="F318" s="416"/>
      <c r="G318" s="266"/>
      <c r="H318" s="265"/>
      <c r="I318" s="265"/>
      <c r="J318" s="267"/>
      <c r="K318" s="269"/>
      <c r="L318" s="267"/>
      <c r="M318" s="24" t="s">
        <v>776</v>
      </c>
      <c r="N318" s="23" t="s">
        <v>1438</v>
      </c>
      <c r="O318" s="36"/>
      <c r="P318" s="26"/>
      <c r="Q318" s="112" t="s">
        <v>800</v>
      </c>
      <c r="R318" s="102">
        <v>4</v>
      </c>
      <c r="S318" s="102">
        <v>8</v>
      </c>
      <c r="T318" s="95"/>
      <c r="U318" s="95" t="s">
        <v>856</v>
      </c>
      <c r="V318" s="95" t="s">
        <v>857</v>
      </c>
    </row>
    <row r="319" spans="1:22" ht="42.75" customHeight="1">
      <c r="A319" s="317"/>
      <c r="B319" s="407"/>
      <c r="C319" s="409"/>
      <c r="D319" s="411"/>
      <c r="E319" s="413"/>
      <c r="F319" s="415" t="s">
        <v>311</v>
      </c>
      <c r="G319" s="321" t="s">
        <v>312</v>
      </c>
      <c r="H319" s="249" t="s">
        <v>435</v>
      </c>
      <c r="I319" s="249" t="s">
        <v>436</v>
      </c>
      <c r="J319" s="252" t="s">
        <v>1439</v>
      </c>
      <c r="K319" s="302" t="s">
        <v>1440</v>
      </c>
      <c r="L319" s="420" t="s">
        <v>763</v>
      </c>
      <c r="M319" s="24" t="s">
        <v>764</v>
      </c>
      <c r="N319" s="37" t="s">
        <v>1441</v>
      </c>
      <c r="O319" s="36" t="s">
        <v>527</v>
      </c>
      <c r="P319" s="20" t="s">
        <v>528</v>
      </c>
      <c r="Q319" s="112" t="s">
        <v>1442</v>
      </c>
      <c r="R319" s="102">
        <v>2</v>
      </c>
      <c r="S319" s="102">
        <v>4</v>
      </c>
      <c r="T319" s="95"/>
      <c r="U319" s="95" t="s">
        <v>856</v>
      </c>
      <c r="V319" s="95" t="s">
        <v>857</v>
      </c>
    </row>
    <row r="320" spans="1:22" ht="40.5" customHeight="1">
      <c r="A320" s="317"/>
      <c r="B320" s="407"/>
      <c r="C320" s="409"/>
      <c r="D320" s="411"/>
      <c r="E320" s="413"/>
      <c r="F320" s="417"/>
      <c r="G320" s="322"/>
      <c r="H320" s="263"/>
      <c r="I320" s="263"/>
      <c r="J320" s="264"/>
      <c r="K320" s="332"/>
      <c r="L320" s="421"/>
      <c r="M320" s="24" t="s">
        <v>780</v>
      </c>
      <c r="N320" s="37" t="s">
        <v>1443</v>
      </c>
      <c r="O320" s="36"/>
      <c r="P320" s="20"/>
      <c r="Q320" s="112" t="s">
        <v>1444</v>
      </c>
      <c r="R320" s="102" t="s">
        <v>805</v>
      </c>
      <c r="S320" s="102" t="s">
        <v>806</v>
      </c>
      <c r="T320" s="95"/>
      <c r="U320" s="95" t="s">
        <v>856</v>
      </c>
      <c r="V320" s="95" t="s">
        <v>857</v>
      </c>
    </row>
    <row r="321" spans="1:22" ht="50.25" customHeight="1">
      <c r="A321" s="317"/>
      <c r="B321" s="407"/>
      <c r="C321" s="409"/>
      <c r="D321" s="411"/>
      <c r="E321" s="413"/>
      <c r="F321" s="416"/>
      <c r="G321" s="323"/>
      <c r="H321" s="265"/>
      <c r="I321" s="265"/>
      <c r="J321" s="267"/>
      <c r="K321" s="333"/>
      <c r="L321" s="422"/>
      <c r="M321" s="24" t="s">
        <v>776</v>
      </c>
      <c r="N321" s="37" t="s">
        <v>1445</v>
      </c>
      <c r="O321" s="36"/>
      <c r="P321" s="20"/>
      <c r="Q321" s="37" t="s">
        <v>1446</v>
      </c>
      <c r="R321" s="102">
        <v>1</v>
      </c>
      <c r="S321" s="102">
        <v>2</v>
      </c>
      <c r="T321" s="95"/>
      <c r="U321" s="95" t="s">
        <v>856</v>
      </c>
      <c r="V321" s="95" t="s">
        <v>857</v>
      </c>
    </row>
    <row r="322" spans="1:22" ht="45">
      <c r="A322" s="317"/>
      <c r="B322" s="407"/>
      <c r="C322" s="409"/>
      <c r="D322" s="411"/>
      <c r="E322" s="413"/>
      <c r="F322" s="415" t="s">
        <v>313</v>
      </c>
      <c r="G322" s="246" t="s">
        <v>314</v>
      </c>
      <c r="H322" s="249" t="s">
        <v>435</v>
      </c>
      <c r="I322" s="249" t="s">
        <v>436</v>
      </c>
      <c r="J322" s="252" t="str">
        <f>G322</f>
        <v xml:space="preserve">Formar i capacitar al professorat de la XEEN </v>
      </c>
      <c r="K322" s="253"/>
      <c r="L322" s="420" t="s">
        <v>763</v>
      </c>
      <c r="M322" s="24" t="s">
        <v>764</v>
      </c>
      <c r="N322" s="37" t="s">
        <v>1447</v>
      </c>
      <c r="O322" s="36" t="s">
        <v>527</v>
      </c>
      <c r="P322" s="20"/>
      <c r="Q322" s="112" t="s">
        <v>800</v>
      </c>
      <c r="R322" s="102">
        <v>4</v>
      </c>
      <c r="S322" s="102">
        <v>8</v>
      </c>
      <c r="T322" s="95"/>
      <c r="U322" s="95" t="s">
        <v>856</v>
      </c>
      <c r="V322" s="95" t="s">
        <v>857</v>
      </c>
    </row>
    <row r="323" spans="1:22">
      <c r="A323" s="317"/>
      <c r="B323" s="407"/>
      <c r="C323" s="409"/>
      <c r="D323" s="412"/>
      <c r="E323" s="414"/>
      <c r="F323" s="416"/>
      <c r="G323" s="266"/>
      <c r="H323" s="265"/>
      <c r="I323" s="265"/>
      <c r="J323" s="267"/>
      <c r="K323" s="269"/>
      <c r="L323" s="422"/>
      <c r="M323" s="24" t="s">
        <v>780</v>
      </c>
      <c r="N323" s="37" t="s">
        <v>1448</v>
      </c>
      <c r="O323" s="36"/>
      <c r="P323" s="20"/>
      <c r="Q323" s="112" t="s">
        <v>1449</v>
      </c>
      <c r="R323" s="102">
        <v>2</v>
      </c>
      <c r="S323" s="102">
        <v>4</v>
      </c>
      <c r="T323" s="95"/>
      <c r="U323" s="95" t="s">
        <v>856</v>
      </c>
      <c r="V323" s="95" t="s">
        <v>857</v>
      </c>
    </row>
    <row r="324" spans="1:22" ht="59.25" customHeight="1">
      <c r="A324" s="317"/>
      <c r="B324" s="407"/>
      <c r="C324" s="409"/>
      <c r="D324" s="418" t="s">
        <v>529</v>
      </c>
      <c r="E324" s="419" t="s">
        <v>315</v>
      </c>
      <c r="F324" s="243" t="s">
        <v>316</v>
      </c>
      <c r="G324" s="246" t="s">
        <v>317</v>
      </c>
      <c r="H324" s="249" t="s">
        <v>435</v>
      </c>
      <c r="I324" s="249" t="s">
        <v>436</v>
      </c>
      <c r="J324" s="252" t="str">
        <f>G324</f>
        <v>Adaptar i millorar l'oferta pedagògica de l'ENP generant situacions d'aprenentatge i treballs per projecte</v>
      </c>
      <c r="K324" s="253"/>
      <c r="L324" s="252" t="s">
        <v>763</v>
      </c>
      <c r="M324" s="24" t="s">
        <v>776</v>
      </c>
      <c r="N324" s="23" t="s">
        <v>1450</v>
      </c>
      <c r="O324" s="36" t="s">
        <v>527</v>
      </c>
      <c r="P324" s="20" t="s">
        <v>530</v>
      </c>
      <c r="Q324" s="112" t="s">
        <v>1451</v>
      </c>
      <c r="R324" s="102">
        <v>2</v>
      </c>
      <c r="S324" s="102">
        <v>4</v>
      </c>
      <c r="T324" s="95"/>
      <c r="U324" s="95" t="s">
        <v>856</v>
      </c>
      <c r="V324" s="95" t="s">
        <v>857</v>
      </c>
    </row>
    <row r="325" spans="1:22" ht="30">
      <c r="A325" s="317"/>
      <c r="B325" s="407"/>
      <c r="C325" s="409"/>
      <c r="D325" s="411"/>
      <c r="E325" s="413"/>
      <c r="F325" s="273"/>
      <c r="G325" s="266"/>
      <c r="H325" s="265"/>
      <c r="I325" s="265"/>
      <c r="J325" s="267"/>
      <c r="K325" s="269"/>
      <c r="L325" s="267"/>
      <c r="M325" s="24" t="s">
        <v>780</v>
      </c>
      <c r="N325" s="23" t="s">
        <v>1452</v>
      </c>
      <c r="O325" s="36"/>
      <c r="P325" s="20"/>
      <c r="Q325" s="23" t="s">
        <v>1453</v>
      </c>
      <c r="R325" s="102">
        <v>4</v>
      </c>
      <c r="S325" s="102">
        <v>8</v>
      </c>
      <c r="T325" s="95"/>
      <c r="U325" s="95" t="s">
        <v>856</v>
      </c>
      <c r="V325" s="95" t="s">
        <v>857</v>
      </c>
    </row>
    <row r="326" spans="1:22" ht="30" customHeight="1">
      <c r="A326" s="317"/>
      <c r="B326" s="407"/>
      <c r="C326" s="409"/>
      <c r="D326" s="411"/>
      <c r="E326" s="413"/>
      <c r="F326" s="117" t="s">
        <v>318</v>
      </c>
      <c r="G326" s="114" t="s">
        <v>319</v>
      </c>
      <c r="H326" s="113" t="s">
        <v>435</v>
      </c>
      <c r="I326" s="113" t="s">
        <v>438</v>
      </c>
      <c r="J326" s="23" t="s">
        <v>1454</v>
      </c>
      <c r="K326" s="21" t="s">
        <v>1455</v>
      </c>
      <c r="L326" s="23" t="s">
        <v>790</v>
      </c>
      <c r="M326" s="24" t="s">
        <v>780</v>
      </c>
      <c r="N326" s="23" t="s">
        <v>1456</v>
      </c>
      <c r="O326" s="36" t="s">
        <v>527</v>
      </c>
      <c r="P326" s="26"/>
      <c r="Q326" s="112" t="s">
        <v>1457</v>
      </c>
      <c r="R326" s="102">
        <v>2</v>
      </c>
      <c r="S326" s="102">
        <v>4</v>
      </c>
      <c r="T326" s="95"/>
      <c r="U326" s="95" t="s">
        <v>856</v>
      </c>
      <c r="V326" s="95" t="s">
        <v>987</v>
      </c>
    </row>
    <row r="327" spans="1:22" ht="60">
      <c r="A327" s="317"/>
      <c r="B327" s="407"/>
      <c r="C327" s="409"/>
      <c r="D327" s="411"/>
      <c r="E327" s="413"/>
      <c r="F327" s="117" t="s">
        <v>320</v>
      </c>
      <c r="G327" s="114" t="s">
        <v>321</v>
      </c>
      <c r="H327" s="113" t="s">
        <v>435</v>
      </c>
      <c r="I327" s="113" t="s">
        <v>438</v>
      </c>
      <c r="J327" s="23" t="str">
        <f>G327</f>
        <v>Elaborar recursos educatius sobre l’espai (que tinguin en compte les problemàtiques singulars del seu espai) i posar-los a disposició dels centres educatius</v>
      </c>
      <c r="K327" s="22"/>
      <c r="L327" s="23" t="s">
        <v>763</v>
      </c>
      <c r="M327" s="24" t="s">
        <v>780</v>
      </c>
      <c r="N327" s="23" t="s">
        <v>1458</v>
      </c>
      <c r="O327" s="36" t="s">
        <v>527</v>
      </c>
      <c r="P327" s="26"/>
      <c r="Q327" s="112" t="s">
        <v>1459</v>
      </c>
      <c r="R327" s="102">
        <v>1</v>
      </c>
      <c r="S327" s="102">
        <v>2</v>
      </c>
      <c r="T327" s="95"/>
      <c r="U327" s="95" t="s">
        <v>856</v>
      </c>
      <c r="V327" s="95" t="s">
        <v>987</v>
      </c>
    </row>
    <row r="328" spans="1:22" ht="25.5" customHeight="1">
      <c r="A328" s="317"/>
      <c r="B328" s="407"/>
      <c r="C328" s="409"/>
      <c r="D328" s="411"/>
      <c r="E328" s="413"/>
      <c r="F328" s="243" t="s">
        <v>322</v>
      </c>
      <c r="G328" s="246" t="s">
        <v>323</v>
      </c>
      <c r="H328" s="249" t="s">
        <v>435</v>
      </c>
      <c r="I328" s="249" t="s">
        <v>438</v>
      </c>
      <c r="J328" s="252" t="str">
        <f>G328</f>
        <v>Oferir projectes de recerca vinculats a l'espai natural per a l'alumnat universitari i de la XEEN</v>
      </c>
      <c r="K328" s="253"/>
      <c r="L328" s="252" t="s">
        <v>763</v>
      </c>
      <c r="M328" s="24" t="s">
        <v>776</v>
      </c>
      <c r="N328" s="23" t="s">
        <v>1460</v>
      </c>
      <c r="O328" s="36" t="s">
        <v>527</v>
      </c>
      <c r="P328" s="26"/>
      <c r="Q328" s="112" t="s">
        <v>1461</v>
      </c>
      <c r="R328" s="102">
        <v>4</v>
      </c>
      <c r="S328" s="102">
        <v>8</v>
      </c>
      <c r="T328" s="95"/>
      <c r="U328" s="95" t="s">
        <v>1462</v>
      </c>
      <c r="V328" s="95" t="s">
        <v>787</v>
      </c>
    </row>
    <row r="329" spans="1:22" ht="36.75" customHeight="1">
      <c r="A329" s="317"/>
      <c r="B329" s="407"/>
      <c r="C329" s="409"/>
      <c r="D329" s="412"/>
      <c r="E329" s="414"/>
      <c r="F329" s="273"/>
      <c r="G329" s="266"/>
      <c r="H329" s="265"/>
      <c r="I329" s="265"/>
      <c r="J329" s="267"/>
      <c r="K329" s="269"/>
      <c r="L329" s="267"/>
      <c r="M329" s="24" t="s">
        <v>780</v>
      </c>
      <c r="N329" s="23" t="s">
        <v>1463</v>
      </c>
      <c r="O329" s="36"/>
      <c r="P329" s="26"/>
      <c r="Q329" s="23" t="s">
        <v>1464</v>
      </c>
      <c r="R329" s="102">
        <v>15</v>
      </c>
      <c r="S329" s="102">
        <v>30</v>
      </c>
      <c r="T329" s="95"/>
      <c r="U329" s="95" t="s">
        <v>1462</v>
      </c>
      <c r="V329" s="95" t="s">
        <v>787</v>
      </c>
    </row>
    <row r="330" spans="1:22" ht="26.25" customHeight="1">
      <c r="A330" s="317"/>
      <c r="B330" s="407"/>
      <c r="C330" s="409"/>
      <c r="D330" s="418" t="s">
        <v>531</v>
      </c>
      <c r="E330" s="419" t="s">
        <v>324</v>
      </c>
      <c r="F330" s="117" t="s">
        <v>325</v>
      </c>
      <c r="G330" s="114" t="s">
        <v>326</v>
      </c>
      <c r="H330" s="113" t="s">
        <v>435</v>
      </c>
      <c r="I330" s="113" t="s">
        <v>436</v>
      </c>
      <c r="J330" s="23" t="str">
        <f>G330</f>
        <v>Establir un model de coordinació territorial amb agents clau de l'educació ambiental</v>
      </c>
      <c r="K330" s="22"/>
      <c r="L330" s="23" t="s">
        <v>763</v>
      </c>
      <c r="M330" s="24" t="s">
        <v>764</v>
      </c>
      <c r="N330" s="23" t="s">
        <v>1465</v>
      </c>
      <c r="O330" s="36" t="s">
        <v>527</v>
      </c>
      <c r="P330" s="26"/>
      <c r="Q330" s="112" t="s">
        <v>1466</v>
      </c>
      <c r="R330" s="102">
        <v>2</v>
      </c>
      <c r="S330" s="102">
        <v>4</v>
      </c>
      <c r="T330" s="95"/>
      <c r="U330" s="95" t="s">
        <v>856</v>
      </c>
      <c r="V330" s="95" t="s">
        <v>857</v>
      </c>
    </row>
    <row r="331" spans="1:22" ht="37.5" customHeight="1">
      <c r="A331" s="317"/>
      <c r="B331" s="407"/>
      <c r="C331" s="409"/>
      <c r="D331" s="411"/>
      <c r="E331" s="413"/>
      <c r="F331" s="117" t="s">
        <v>327</v>
      </c>
      <c r="G331" s="114" t="s">
        <v>328</v>
      </c>
      <c r="H331" s="113" t="s">
        <v>435</v>
      </c>
      <c r="I331" s="113" t="s">
        <v>436</v>
      </c>
      <c r="J331" s="23" t="str">
        <f>G331</f>
        <v>Cercar i establir col·laboracions i projectes conjunts amb agents clau del territori</v>
      </c>
      <c r="K331" s="22"/>
      <c r="L331" s="23" t="s">
        <v>763</v>
      </c>
      <c r="M331" s="24" t="s">
        <v>764</v>
      </c>
      <c r="N331" s="23" t="s">
        <v>1467</v>
      </c>
      <c r="O331" s="36" t="s">
        <v>527</v>
      </c>
      <c r="P331" s="26"/>
      <c r="Q331" s="112" t="s">
        <v>1468</v>
      </c>
      <c r="R331" s="102">
        <v>2</v>
      </c>
      <c r="S331" s="102">
        <v>4</v>
      </c>
      <c r="T331" s="95"/>
      <c r="U331" s="95" t="s">
        <v>856</v>
      </c>
      <c r="V331" s="95" t="s">
        <v>857</v>
      </c>
    </row>
    <row r="332" spans="1:22" ht="43.5" customHeight="1">
      <c r="A332" s="317"/>
      <c r="B332" s="407"/>
      <c r="C332" s="409"/>
      <c r="D332" s="411"/>
      <c r="E332" s="413"/>
      <c r="F332" s="243" t="s">
        <v>329</v>
      </c>
      <c r="G332" s="246" t="s">
        <v>330</v>
      </c>
      <c r="H332" s="249" t="s">
        <v>435</v>
      </c>
      <c r="I332" s="249" t="s">
        <v>436</v>
      </c>
      <c r="J332" s="252" t="str">
        <f>G332</f>
        <v>Elaborar formacions dirigides als informadors, educadors i altres prescriptors del territori</v>
      </c>
      <c r="K332" s="253"/>
      <c r="L332" s="252" t="s">
        <v>763</v>
      </c>
      <c r="M332" s="24" t="s">
        <v>764</v>
      </c>
      <c r="N332" s="23" t="s">
        <v>1469</v>
      </c>
      <c r="O332" s="36" t="s">
        <v>527</v>
      </c>
      <c r="P332" s="20" t="s">
        <v>532</v>
      </c>
      <c r="Q332" s="112" t="s">
        <v>1470</v>
      </c>
      <c r="R332" s="102">
        <v>1</v>
      </c>
      <c r="S332" s="102">
        <v>2</v>
      </c>
      <c r="T332" s="95"/>
      <c r="U332" s="95" t="s">
        <v>856</v>
      </c>
      <c r="V332" s="95" t="s">
        <v>987</v>
      </c>
    </row>
    <row r="333" spans="1:22" ht="35.25" customHeight="1">
      <c r="A333" s="317"/>
      <c r="B333" s="407"/>
      <c r="C333" s="409"/>
      <c r="D333" s="411"/>
      <c r="E333" s="413"/>
      <c r="F333" s="261"/>
      <c r="G333" s="262"/>
      <c r="H333" s="263"/>
      <c r="I333" s="263"/>
      <c r="J333" s="264"/>
      <c r="K333" s="268"/>
      <c r="L333" s="264"/>
      <c r="M333" s="24" t="s">
        <v>776</v>
      </c>
      <c r="N333" s="23" t="s">
        <v>1471</v>
      </c>
      <c r="O333" s="36"/>
      <c r="P333" s="20"/>
      <c r="Q333" s="112" t="s">
        <v>1472</v>
      </c>
      <c r="R333" s="102">
        <v>2</v>
      </c>
      <c r="S333" s="102">
        <v>4</v>
      </c>
      <c r="T333" s="95"/>
      <c r="U333" s="95" t="s">
        <v>856</v>
      </c>
      <c r="V333" s="95" t="s">
        <v>987</v>
      </c>
    </row>
    <row r="334" spans="1:22" ht="38.25" customHeight="1">
      <c r="A334" s="317"/>
      <c r="B334" s="407"/>
      <c r="C334" s="409"/>
      <c r="D334" s="411"/>
      <c r="E334" s="413"/>
      <c r="F334" s="261"/>
      <c r="G334" s="262"/>
      <c r="H334" s="263"/>
      <c r="I334" s="263"/>
      <c r="J334" s="264"/>
      <c r="K334" s="268"/>
      <c r="L334" s="264"/>
      <c r="M334" s="24" t="s">
        <v>776</v>
      </c>
      <c r="N334" s="23" t="s">
        <v>1473</v>
      </c>
      <c r="O334" s="36"/>
      <c r="P334" s="20"/>
      <c r="Q334" s="112" t="s">
        <v>1470</v>
      </c>
      <c r="R334" s="102">
        <v>2</v>
      </c>
      <c r="S334" s="102">
        <v>3</v>
      </c>
      <c r="T334" s="95"/>
      <c r="U334" s="95" t="s">
        <v>856</v>
      </c>
      <c r="V334" s="95" t="s">
        <v>857</v>
      </c>
    </row>
    <row r="335" spans="1:22" ht="30">
      <c r="A335" s="317"/>
      <c r="B335" s="407"/>
      <c r="C335" s="409"/>
      <c r="D335" s="412"/>
      <c r="E335" s="414"/>
      <c r="F335" s="273"/>
      <c r="G335" s="266"/>
      <c r="H335" s="265"/>
      <c r="I335" s="265"/>
      <c r="J335" s="267"/>
      <c r="K335" s="269"/>
      <c r="L335" s="267"/>
      <c r="M335" s="24" t="s">
        <v>780</v>
      </c>
      <c r="N335" s="23" t="s">
        <v>1474</v>
      </c>
      <c r="O335" s="36"/>
      <c r="P335" s="20"/>
      <c r="Q335" s="112" t="s">
        <v>1470</v>
      </c>
      <c r="R335" s="102">
        <v>12</v>
      </c>
      <c r="S335" s="102">
        <v>24</v>
      </c>
      <c r="T335" s="95"/>
      <c r="U335" s="95" t="s">
        <v>856</v>
      </c>
      <c r="V335" s="95" t="s">
        <v>987</v>
      </c>
    </row>
    <row r="336" spans="1:22" ht="42.75" customHeight="1">
      <c r="A336" s="317"/>
      <c r="B336" s="407"/>
      <c r="C336" s="409"/>
      <c r="D336" s="418" t="s">
        <v>533</v>
      </c>
      <c r="E336" s="423" t="s">
        <v>331</v>
      </c>
      <c r="F336" s="243" t="s">
        <v>332</v>
      </c>
      <c r="G336" s="246" t="s">
        <v>333</v>
      </c>
      <c r="H336" s="249" t="s">
        <v>435</v>
      </c>
      <c r="I336" s="249" t="s">
        <v>436</v>
      </c>
      <c r="J336" s="252" t="str">
        <f>G336</f>
        <v>Desplegar en el territori les campanyes de sensibilització i bones pràctiques que s'impulsin des de la DG</v>
      </c>
      <c r="K336" s="253"/>
      <c r="L336" s="252" t="s">
        <v>763</v>
      </c>
      <c r="M336" s="24" t="s">
        <v>764</v>
      </c>
      <c r="N336" s="23" t="s">
        <v>1475</v>
      </c>
      <c r="O336" s="36" t="s">
        <v>527</v>
      </c>
      <c r="P336" s="20" t="s">
        <v>534</v>
      </c>
      <c r="Q336" s="112" t="s">
        <v>1476</v>
      </c>
      <c r="R336" s="102">
        <v>12</v>
      </c>
      <c r="S336" s="102">
        <v>24</v>
      </c>
      <c r="T336" s="95"/>
      <c r="U336" s="95" t="s">
        <v>856</v>
      </c>
      <c r="V336" s="95" t="s">
        <v>987</v>
      </c>
    </row>
    <row r="337" spans="1:22" ht="30">
      <c r="A337" s="317"/>
      <c r="B337" s="407"/>
      <c r="C337" s="409"/>
      <c r="D337" s="411"/>
      <c r="E337" s="424"/>
      <c r="F337" s="261"/>
      <c r="G337" s="262"/>
      <c r="H337" s="263"/>
      <c r="I337" s="263"/>
      <c r="J337" s="264"/>
      <c r="K337" s="268"/>
      <c r="L337" s="264"/>
      <c r="M337" s="24" t="s">
        <v>776</v>
      </c>
      <c r="N337" s="23" t="s">
        <v>1477</v>
      </c>
      <c r="O337" s="36"/>
      <c r="P337" s="20"/>
      <c r="Q337" s="112" t="s">
        <v>1478</v>
      </c>
      <c r="R337" s="102">
        <v>8</v>
      </c>
      <c r="S337" s="102">
        <v>16</v>
      </c>
      <c r="T337" s="95"/>
      <c r="U337" s="95" t="s">
        <v>856</v>
      </c>
      <c r="V337" s="95" t="s">
        <v>987</v>
      </c>
    </row>
    <row r="338" spans="1:22" ht="30">
      <c r="A338" s="317"/>
      <c r="B338" s="407"/>
      <c r="C338" s="409"/>
      <c r="D338" s="411"/>
      <c r="E338" s="424"/>
      <c r="F338" s="273"/>
      <c r="G338" s="266"/>
      <c r="H338" s="265"/>
      <c r="I338" s="265"/>
      <c r="J338" s="267"/>
      <c r="K338" s="269"/>
      <c r="L338" s="267"/>
      <c r="M338" s="24" t="s">
        <v>776</v>
      </c>
      <c r="N338" s="23" t="s">
        <v>1479</v>
      </c>
      <c r="O338" s="36"/>
      <c r="P338" s="20"/>
      <c r="Q338" s="112" t="s">
        <v>1480</v>
      </c>
      <c r="R338" s="102">
        <v>8</v>
      </c>
      <c r="S338" s="102">
        <v>16</v>
      </c>
      <c r="T338" s="95"/>
      <c r="U338" s="95" t="s">
        <v>856</v>
      </c>
      <c r="V338" s="95" t="s">
        <v>987</v>
      </c>
    </row>
    <row r="339" spans="1:22" ht="45">
      <c r="A339" s="317"/>
      <c r="B339" s="407"/>
      <c r="C339" s="409"/>
      <c r="D339" s="411"/>
      <c r="E339" s="424"/>
      <c r="F339" s="243" t="s">
        <v>334</v>
      </c>
      <c r="G339" s="246" t="s">
        <v>335</v>
      </c>
      <c r="H339" s="249" t="s">
        <v>435</v>
      </c>
      <c r="I339" s="249" t="s">
        <v>438</v>
      </c>
      <c r="J339" s="252" t="s">
        <v>1481</v>
      </c>
      <c r="K339" s="302" t="s">
        <v>1482</v>
      </c>
      <c r="L339" s="252" t="s">
        <v>763</v>
      </c>
      <c r="M339" s="24" t="s">
        <v>776</v>
      </c>
      <c r="N339" s="23" t="s">
        <v>1483</v>
      </c>
      <c r="O339" s="36" t="s">
        <v>527</v>
      </c>
      <c r="P339" s="38"/>
      <c r="Q339" s="112" t="s">
        <v>1484</v>
      </c>
      <c r="R339" s="102">
        <v>15</v>
      </c>
      <c r="S339" s="102">
        <v>30</v>
      </c>
      <c r="T339" s="95"/>
      <c r="U339" s="95" t="s">
        <v>856</v>
      </c>
      <c r="V339" s="95" t="s">
        <v>987</v>
      </c>
    </row>
    <row r="340" spans="1:22">
      <c r="A340" s="317"/>
      <c r="B340" s="407"/>
      <c r="C340" s="409"/>
      <c r="D340" s="411"/>
      <c r="E340" s="424"/>
      <c r="F340" s="261"/>
      <c r="G340" s="262"/>
      <c r="H340" s="263"/>
      <c r="I340" s="263"/>
      <c r="J340" s="264"/>
      <c r="K340" s="332"/>
      <c r="L340" s="264"/>
      <c r="M340" s="24" t="s">
        <v>780</v>
      </c>
      <c r="N340" s="23" t="s">
        <v>1485</v>
      </c>
      <c r="O340" s="36"/>
      <c r="P340" s="38"/>
      <c r="Q340" s="112" t="s">
        <v>1486</v>
      </c>
      <c r="R340" s="102">
        <v>10</v>
      </c>
      <c r="S340" s="102">
        <v>20</v>
      </c>
      <c r="T340" s="95"/>
      <c r="U340" s="95" t="s">
        <v>856</v>
      </c>
      <c r="V340" s="95" t="s">
        <v>987</v>
      </c>
    </row>
    <row r="341" spans="1:22">
      <c r="A341" s="317"/>
      <c r="B341" s="407"/>
      <c r="C341" s="409"/>
      <c r="D341" s="411"/>
      <c r="E341" s="424"/>
      <c r="F341" s="261"/>
      <c r="G341" s="262"/>
      <c r="H341" s="263"/>
      <c r="I341" s="263"/>
      <c r="J341" s="264"/>
      <c r="K341" s="332"/>
      <c r="L341" s="264"/>
      <c r="M341" s="24" t="s">
        <v>780</v>
      </c>
      <c r="N341" s="23" t="s">
        <v>1487</v>
      </c>
      <c r="O341" s="36"/>
      <c r="P341" s="38"/>
      <c r="Q341" s="112" t="s">
        <v>1486</v>
      </c>
      <c r="R341" s="102">
        <v>10</v>
      </c>
      <c r="S341" s="102">
        <v>20</v>
      </c>
      <c r="T341" s="95"/>
      <c r="U341" s="95" t="s">
        <v>856</v>
      </c>
      <c r="V341" s="95" t="s">
        <v>987</v>
      </c>
    </row>
    <row r="342" spans="1:22" ht="45">
      <c r="A342" s="317"/>
      <c r="B342" s="407"/>
      <c r="C342" s="409"/>
      <c r="D342" s="411"/>
      <c r="E342" s="424"/>
      <c r="F342" s="273"/>
      <c r="G342" s="266"/>
      <c r="H342" s="265"/>
      <c r="I342" s="265"/>
      <c r="J342" s="267"/>
      <c r="K342" s="333"/>
      <c r="L342" s="267"/>
      <c r="M342" s="24" t="s">
        <v>780</v>
      </c>
      <c r="N342" s="23" t="s">
        <v>1488</v>
      </c>
      <c r="O342" s="36"/>
      <c r="P342" s="38"/>
      <c r="Q342" s="112" t="s">
        <v>1486</v>
      </c>
      <c r="R342" s="102">
        <v>4</v>
      </c>
      <c r="S342" s="102">
        <v>8</v>
      </c>
      <c r="T342" s="95"/>
      <c r="U342" s="95" t="s">
        <v>856</v>
      </c>
      <c r="V342" s="95" t="s">
        <v>987</v>
      </c>
    </row>
    <row r="343" spans="1:22" ht="30" customHeight="1">
      <c r="A343" s="317"/>
      <c r="B343" s="407"/>
      <c r="C343" s="409"/>
      <c r="D343" s="411"/>
      <c r="E343" s="424"/>
      <c r="F343" s="117" t="s">
        <v>336</v>
      </c>
      <c r="G343" s="191" t="s">
        <v>337</v>
      </c>
      <c r="H343" s="113" t="s">
        <v>435</v>
      </c>
      <c r="I343" s="113" t="s">
        <v>438</v>
      </c>
      <c r="J343" s="23"/>
      <c r="K343" s="21" t="s">
        <v>1482</v>
      </c>
      <c r="L343" s="23"/>
      <c r="M343" s="24"/>
      <c r="N343" s="23"/>
      <c r="O343" s="36" t="s">
        <v>527</v>
      </c>
      <c r="P343" s="38"/>
      <c r="Q343" s="112"/>
      <c r="R343" s="102"/>
      <c r="S343" s="102"/>
      <c r="T343" s="95"/>
      <c r="U343" s="95"/>
      <c r="V343" s="95"/>
    </row>
    <row r="344" spans="1:22" ht="45" customHeight="1">
      <c r="A344" s="317"/>
      <c r="B344" s="407"/>
      <c r="C344" s="409"/>
      <c r="D344" s="411"/>
      <c r="E344" s="424"/>
      <c r="F344" s="243" t="s">
        <v>338</v>
      </c>
      <c r="G344" s="246" t="s">
        <v>339</v>
      </c>
      <c r="H344" s="249" t="s">
        <v>435</v>
      </c>
      <c r="I344" s="249" t="s">
        <v>438</v>
      </c>
      <c r="J344" s="252" t="str">
        <f>G344</f>
        <v xml:space="preserve">Adaptar el programa de divulgació i sensibilització de l'ENP perquè incorpori una oferta d’activitats dirigida al lleure educatiu </v>
      </c>
      <c r="K344" s="253"/>
      <c r="L344" s="252" t="s">
        <v>763</v>
      </c>
      <c r="M344" s="24" t="s">
        <v>776</v>
      </c>
      <c r="N344" s="23" t="s">
        <v>1489</v>
      </c>
      <c r="O344" s="36"/>
      <c r="P344" s="38"/>
      <c r="Q344" s="23" t="s">
        <v>1490</v>
      </c>
      <c r="R344" s="102">
        <v>2</v>
      </c>
      <c r="S344" s="102">
        <v>4</v>
      </c>
      <c r="T344" s="95"/>
      <c r="U344" s="95" t="s">
        <v>1491</v>
      </c>
      <c r="V344" s="95" t="s">
        <v>1017</v>
      </c>
    </row>
    <row r="345" spans="1:22" ht="30">
      <c r="A345" s="317"/>
      <c r="B345" s="407"/>
      <c r="C345" s="409"/>
      <c r="D345" s="411"/>
      <c r="E345" s="424"/>
      <c r="F345" s="261"/>
      <c r="G345" s="262"/>
      <c r="H345" s="263"/>
      <c r="I345" s="263"/>
      <c r="J345" s="264"/>
      <c r="K345" s="268"/>
      <c r="L345" s="264"/>
      <c r="M345" s="24" t="s">
        <v>780</v>
      </c>
      <c r="N345" s="9" t="s">
        <v>1492</v>
      </c>
      <c r="Q345" s="23" t="s">
        <v>1493</v>
      </c>
      <c r="R345" s="102">
        <v>4</v>
      </c>
      <c r="S345" s="102">
        <v>12</v>
      </c>
      <c r="T345" s="95"/>
      <c r="U345" s="95" t="s">
        <v>1491</v>
      </c>
      <c r="V345" s="95" t="s">
        <v>1017</v>
      </c>
    </row>
    <row r="346" spans="1:22" ht="30">
      <c r="A346" s="317"/>
      <c r="B346" s="407"/>
      <c r="C346" s="409"/>
      <c r="D346" s="412"/>
      <c r="E346" s="425"/>
      <c r="F346" s="273"/>
      <c r="G346" s="266"/>
      <c r="H346" s="265"/>
      <c r="I346" s="265"/>
      <c r="J346" s="267"/>
      <c r="K346" s="269"/>
      <c r="L346" s="267"/>
      <c r="M346" s="24" t="s">
        <v>780</v>
      </c>
      <c r="N346" s="23" t="s">
        <v>1494</v>
      </c>
      <c r="Q346" s="112" t="s">
        <v>1495</v>
      </c>
      <c r="R346" s="102">
        <v>1</v>
      </c>
      <c r="S346" s="102">
        <v>4</v>
      </c>
      <c r="T346" s="95"/>
      <c r="U346" s="95" t="s">
        <v>1491</v>
      </c>
      <c r="V346" s="95" t="s">
        <v>1017</v>
      </c>
    </row>
    <row r="347" spans="1:22" ht="30">
      <c r="A347" s="317"/>
      <c r="B347" s="407"/>
      <c r="C347" s="409"/>
      <c r="D347" s="418" t="s">
        <v>535</v>
      </c>
      <c r="E347" s="419" t="s">
        <v>340</v>
      </c>
      <c r="F347" s="117" t="s">
        <v>341</v>
      </c>
      <c r="G347" s="191" t="s">
        <v>342</v>
      </c>
      <c r="H347" s="113" t="s">
        <v>435</v>
      </c>
      <c r="I347" s="113" t="s">
        <v>436</v>
      </c>
      <c r="J347" s="23" t="str">
        <f>G347</f>
        <v>Identificar col·lectius estratègics implicats en la gestió i l'ús del territori</v>
      </c>
      <c r="K347" s="22"/>
      <c r="L347" s="39" t="s">
        <v>763</v>
      </c>
      <c r="M347" s="24" t="s">
        <v>764</v>
      </c>
      <c r="N347" s="23" t="s">
        <v>1496</v>
      </c>
      <c r="O347" s="36" t="s">
        <v>527</v>
      </c>
      <c r="P347" s="26"/>
      <c r="Q347" s="112" t="s">
        <v>1497</v>
      </c>
      <c r="R347" s="102">
        <v>15</v>
      </c>
      <c r="S347" s="102">
        <v>30</v>
      </c>
      <c r="T347" s="95"/>
      <c r="U347" s="95" t="s">
        <v>1491</v>
      </c>
      <c r="V347" s="95" t="s">
        <v>987</v>
      </c>
    </row>
    <row r="348" spans="1:22" ht="30">
      <c r="A348" s="317"/>
      <c r="B348" s="407"/>
      <c r="C348" s="409"/>
      <c r="D348" s="411"/>
      <c r="E348" s="413"/>
      <c r="F348" s="243" t="s">
        <v>343</v>
      </c>
      <c r="G348" s="246" t="s">
        <v>344</v>
      </c>
      <c r="H348" s="249" t="s">
        <v>435</v>
      </c>
      <c r="I348" s="249" t="s">
        <v>438</v>
      </c>
      <c r="J348" s="252" t="s">
        <v>1498</v>
      </c>
      <c r="K348" s="302" t="s">
        <v>1499</v>
      </c>
      <c r="L348" s="252" t="s">
        <v>763</v>
      </c>
      <c r="M348" s="24" t="s">
        <v>776</v>
      </c>
      <c r="N348" s="23" t="s">
        <v>1500</v>
      </c>
      <c r="O348" s="36" t="s">
        <v>527</v>
      </c>
      <c r="P348" s="38"/>
      <c r="Q348" s="112" t="s">
        <v>1501</v>
      </c>
      <c r="R348" s="102">
        <v>1</v>
      </c>
      <c r="S348" s="102">
        <v>4</v>
      </c>
      <c r="T348" s="95"/>
      <c r="U348" s="95" t="s">
        <v>1491</v>
      </c>
      <c r="V348" s="95" t="s">
        <v>1017</v>
      </c>
    </row>
    <row r="349" spans="1:22" ht="28.5" customHeight="1">
      <c r="A349" s="317"/>
      <c r="B349" s="407"/>
      <c r="C349" s="409"/>
      <c r="D349" s="411"/>
      <c r="E349" s="413"/>
      <c r="F349" s="273"/>
      <c r="G349" s="266"/>
      <c r="H349" s="265"/>
      <c r="I349" s="265"/>
      <c r="J349" s="267"/>
      <c r="K349" s="333"/>
      <c r="L349" s="267"/>
      <c r="M349" s="24" t="s">
        <v>780</v>
      </c>
      <c r="N349" s="23" t="s">
        <v>1502</v>
      </c>
      <c r="O349" s="36"/>
      <c r="P349" s="38"/>
      <c r="Q349" s="112" t="s">
        <v>1503</v>
      </c>
      <c r="R349" s="102">
        <v>1</v>
      </c>
      <c r="S349" s="102">
        <v>4</v>
      </c>
      <c r="T349" s="95"/>
      <c r="U349" s="95" t="s">
        <v>774</v>
      </c>
      <c r="V349" s="95" t="s">
        <v>775</v>
      </c>
    </row>
    <row r="350" spans="1:22" ht="51" customHeight="1">
      <c r="A350" s="317"/>
      <c r="B350" s="407"/>
      <c r="C350" s="409"/>
      <c r="D350" s="411"/>
      <c r="E350" s="413"/>
      <c r="F350" s="117" t="s">
        <v>345</v>
      </c>
      <c r="G350" s="114" t="s">
        <v>346</v>
      </c>
      <c r="H350" s="113" t="s">
        <v>435</v>
      </c>
      <c r="I350" s="113" t="s">
        <v>438</v>
      </c>
      <c r="J350" s="23"/>
      <c r="K350" s="22" t="s">
        <v>1504</v>
      </c>
      <c r="L350" s="23"/>
      <c r="M350" s="24"/>
      <c r="N350" s="23"/>
      <c r="O350" s="36" t="s">
        <v>527</v>
      </c>
      <c r="P350" s="38"/>
      <c r="Q350" s="112"/>
      <c r="R350" s="102"/>
      <c r="S350" s="102"/>
      <c r="T350" s="95"/>
      <c r="U350" s="95"/>
      <c r="V350" s="95"/>
    </row>
    <row r="351" spans="1:22" ht="51.75" customHeight="1">
      <c r="A351" s="317"/>
      <c r="B351" s="407"/>
      <c r="C351" s="409"/>
      <c r="D351" s="411"/>
      <c r="E351" s="413"/>
      <c r="F351" s="243" t="s">
        <v>347</v>
      </c>
      <c r="G351" s="246" t="s">
        <v>348</v>
      </c>
      <c r="H351" s="249" t="s">
        <v>435</v>
      </c>
      <c r="I351" s="249" t="s">
        <v>438</v>
      </c>
      <c r="J351" s="252" t="str">
        <f>G351</f>
        <v xml:space="preserve">Executar els projectes de sensibilització i formació dirigits als agents del sector primari </v>
      </c>
      <c r="K351" s="253"/>
      <c r="L351" s="282" t="s">
        <v>763</v>
      </c>
      <c r="M351" s="24" t="s">
        <v>780</v>
      </c>
      <c r="N351" s="23" t="s">
        <v>1505</v>
      </c>
      <c r="O351" s="36" t="s">
        <v>527</v>
      </c>
      <c r="P351" s="38"/>
      <c r="Q351" s="112" t="s">
        <v>1486</v>
      </c>
      <c r="R351" s="102">
        <v>4</v>
      </c>
      <c r="S351" s="102">
        <v>16</v>
      </c>
      <c r="T351" s="95"/>
      <c r="U351" s="95" t="s">
        <v>1491</v>
      </c>
      <c r="V351" s="95" t="s">
        <v>1017</v>
      </c>
    </row>
    <row r="352" spans="1:22" ht="30">
      <c r="A352" s="317"/>
      <c r="B352" s="407"/>
      <c r="C352" s="409"/>
      <c r="D352" s="411"/>
      <c r="E352" s="413"/>
      <c r="F352" s="273"/>
      <c r="G352" s="266"/>
      <c r="H352" s="265"/>
      <c r="I352" s="265"/>
      <c r="J352" s="267"/>
      <c r="K352" s="269"/>
      <c r="L352" s="367"/>
      <c r="M352" s="24" t="s">
        <v>780</v>
      </c>
      <c r="N352" s="23" t="s">
        <v>1506</v>
      </c>
      <c r="O352" s="36"/>
      <c r="P352" s="38"/>
      <c r="Q352" s="112" t="s">
        <v>1449</v>
      </c>
      <c r="R352" s="102">
        <v>2</v>
      </c>
      <c r="S352" s="102">
        <v>6</v>
      </c>
      <c r="T352" s="95"/>
      <c r="U352" s="95" t="s">
        <v>1462</v>
      </c>
      <c r="V352" s="95" t="s">
        <v>787</v>
      </c>
    </row>
    <row r="353" spans="1:22" ht="30">
      <c r="A353" s="317"/>
      <c r="B353" s="407"/>
      <c r="C353" s="409"/>
      <c r="D353" s="411"/>
      <c r="E353" s="413"/>
      <c r="F353" s="243" t="s">
        <v>349</v>
      </c>
      <c r="G353" s="321" t="s">
        <v>350</v>
      </c>
      <c r="H353" s="249" t="s">
        <v>435</v>
      </c>
      <c r="I353" s="249" t="s">
        <v>436</v>
      </c>
      <c r="J353" s="252" t="str">
        <f>G353</f>
        <v>Elaborar i renovar periòdicament un programa d’educació ambiental adreçat a la població local que contribueixi a fomentar el sentiment de pertinença i la implicació en la conservació de l'ENP.</v>
      </c>
      <c r="K353" s="253"/>
      <c r="L353" s="252" t="s">
        <v>763</v>
      </c>
      <c r="M353" s="24" t="s">
        <v>764</v>
      </c>
      <c r="N353" s="23" t="s">
        <v>1507</v>
      </c>
      <c r="O353" s="36" t="s">
        <v>527</v>
      </c>
      <c r="P353" s="26"/>
      <c r="Q353" s="112" t="s">
        <v>1508</v>
      </c>
      <c r="R353" s="102">
        <v>1</v>
      </c>
      <c r="S353" s="102">
        <v>4</v>
      </c>
      <c r="T353" s="95"/>
      <c r="U353" s="95" t="s">
        <v>1491</v>
      </c>
      <c r="V353" s="95" t="s">
        <v>987</v>
      </c>
    </row>
    <row r="354" spans="1:22" ht="68.25" customHeight="1">
      <c r="A354" s="317"/>
      <c r="B354" s="407"/>
      <c r="C354" s="409"/>
      <c r="D354" s="411"/>
      <c r="E354" s="413"/>
      <c r="F354" s="261"/>
      <c r="G354" s="322"/>
      <c r="H354" s="263"/>
      <c r="I354" s="263"/>
      <c r="J354" s="264"/>
      <c r="K354" s="268"/>
      <c r="L354" s="264"/>
      <c r="M354" s="24" t="s">
        <v>776</v>
      </c>
      <c r="N354" s="23" t="s">
        <v>1509</v>
      </c>
      <c r="O354" s="36"/>
      <c r="P354" s="26"/>
      <c r="Q354" s="112" t="s">
        <v>1510</v>
      </c>
      <c r="R354" s="102">
        <v>25</v>
      </c>
      <c r="S354" s="102">
        <v>150</v>
      </c>
      <c r="T354" s="95"/>
      <c r="U354" s="95" t="s">
        <v>1491</v>
      </c>
      <c r="V354" s="95" t="s">
        <v>1017</v>
      </c>
    </row>
    <row r="355" spans="1:22" ht="52.5" customHeight="1">
      <c r="A355" s="317"/>
      <c r="B355" s="407"/>
      <c r="C355" s="409"/>
      <c r="D355" s="411"/>
      <c r="E355" s="413"/>
      <c r="F355" s="261"/>
      <c r="G355" s="322"/>
      <c r="H355" s="263"/>
      <c r="I355" s="263"/>
      <c r="J355" s="264"/>
      <c r="K355" s="268"/>
      <c r="L355" s="264"/>
      <c r="M355" s="24" t="s">
        <v>776</v>
      </c>
      <c r="N355" s="23" t="s">
        <v>1511</v>
      </c>
      <c r="O355" s="36"/>
      <c r="P355" s="26"/>
      <c r="Q355" s="23" t="s">
        <v>1512</v>
      </c>
      <c r="R355" s="102">
        <v>4</v>
      </c>
      <c r="S355" s="102">
        <v>20</v>
      </c>
      <c r="T355" s="95"/>
      <c r="U355" s="95" t="s">
        <v>774</v>
      </c>
      <c r="V355" s="95" t="s">
        <v>775</v>
      </c>
    </row>
    <row r="356" spans="1:22" ht="60">
      <c r="A356" s="317"/>
      <c r="B356" s="407"/>
      <c r="C356" s="409"/>
      <c r="D356" s="412"/>
      <c r="E356" s="414"/>
      <c r="F356" s="273"/>
      <c r="G356" s="323"/>
      <c r="H356" s="265"/>
      <c r="I356" s="265"/>
      <c r="J356" s="267"/>
      <c r="K356" s="269"/>
      <c r="L356" s="267"/>
      <c r="M356" s="24" t="s">
        <v>776</v>
      </c>
      <c r="N356" s="196" t="s">
        <v>1513</v>
      </c>
      <c r="O356" s="197"/>
      <c r="P356" s="198"/>
      <c r="Q356" s="196" t="s">
        <v>1512</v>
      </c>
      <c r="R356" s="199">
        <v>4</v>
      </c>
      <c r="S356" s="199">
        <v>20</v>
      </c>
      <c r="T356" s="200"/>
      <c r="U356" s="95" t="s">
        <v>774</v>
      </c>
      <c r="V356" s="95" t="s">
        <v>775</v>
      </c>
    </row>
    <row r="357" spans="1:22" ht="45">
      <c r="A357" s="317"/>
      <c r="B357" s="407"/>
      <c r="C357" s="409"/>
      <c r="D357" s="418" t="s">
        <v>536</v>
      </c>
      <c r="E357" s="426" t="s">
        <v>351</v>
      </c>
      <c r="F357" s="243" t="s">
        <v>352</v>
      </c>
      <c r="G357" s="246" t="s">
        <v>353</v>
      </c>
      <c r="H357" s="249" t="s">
        <v>435</v>
      </c>
      <c r="I357" s="249" t="s">
        <v>436</v>
      </c>
      <c r="J357" s="252" t="str">
        <f>G357</f>
        <v>Identificar els programes, projectes i accions en marxa o previstos a l’ENP que poden rebre el suport del voluntariat</v>
      </c>
      <c r="K357" s="253"/>
      <c r="L357" s="252" t="s">
        <v>763</v>
      </c>
      <c r="M357" s="24" t="s">
        <v>764</v>
      </c>
      <c r="N357" s="23" t="s">
        <v>1514</v>
      </c>
      <c r="O357" s="36" t="s">
        <v>527</v>
      </c>
      <c r="P357" s="26"/>
      <c r="Q357" s="112" t="s">
        <v>1515</v>
      </c>
      <c r="R357" s="102">
        <v>2</v>
      </c>
      <c r="S357" s="102">
        <v>12</v>
      </c>
      <c r="T357" s="95"/>
      <c r="U357" s="95" t="s">
        <v>1491</v>
      </c>
      <c r="V357" s="95" t="s">
        <v>1017</v>
      </c>
    </row>
    <row r="358" spans="1:22" ht="30">
      <c r="A358" s="317"/>
      <c r="B358" s="407"/>
      <c r="C358" s="409"/>
      <c r="D358" s="411"/>
      <c r="E358" s="427"/>
      <c r="F358" s="261"/>
      <c r="G358" s="262"/>
      <c r="H358" s="263"/>
      <c r="I358" s="263"/>
      <c r="J358" s="264"/>
      <c r="K358" s="268"/>
      <c r="L358" s="264"/>
      <c r="M358" s="24" t="s">
        <v>780</v>
      </c>
      <c r="N358" s="23" t="s">
        <v>1516</v>
      </c>
      <c r="O358" s="36"/>
      <c r="P358" s="26"/>
      <c r="Q358" s="112" t="s">
        <v>1517</v>
      </c>
      <c r="R358" s="102">
        <v>1</v>
      </c>
      <c r="S358" s="102">
        <v>4</v>
      </c>
      <c r="T358" s="95"/>
      <c r="U358" s="95" t="s">
        <v>1491</v>
      </c>
      <c r="V358" s="95" t="s">
        <v>1017</v>
      </c>
    </row>
    <row r="359" spans="1:22" ht="75">
      <c r="A359" s="317"/>
      <c r="B359" s="407"/>
      <c r="C359" s="409"/>
      <c r="D359" s="411"/>
      <c r="E359" s="427"/>
      <c r="F359" s="273"/>
      <c r="G359" s="266"/>
      <c r="H359" s="265"/>
      <c r="I359" s="265"/>
      <c r="J359" s="267"/>
      <c r="K359" s="269"/>
      <c r="L359" s="267"/>
      <c r="M359" s="24" t="s">
        <v>776</v>
      </c>
      <c r="N359" s="23" t="s">
        <v>1518</v>
      </c>
      <c r="O359" s="36"/>
      <c r="P359" s="26"/>
      <c r="Q359" s="112" t="s">
        <v>1519</v>
      </c>
      <c r="R359" s="102">
        <v>4</v>
      </c>
      <c r="S359" s="102">
        <v>16</v>
      </c>
      <c r="T359" s="95"/>
      <c r="U359" s="95" t="s">
        <v>1491</v>
      </c>
      <c r="V359" s="95" t="s">
        <v>1017</v>
      </c>
    </row>
    <row r="360" spans="1:22" ht="45" customHeight="1">
      <c r="A360" s="317"/>
      <c r="B360" s="407"/>
      <c r="C360" s="409"/>
      <c r="D360" s="411"/>
      <c r="E360" s="427"/>
      <c r="F360" s="243" t="s">
        <v>354</v>
      </c>
      <c r="G360" s="246" t="s">
        <v>355</v>
      </c>
      <c r="H360" s="249" t="s">
        <v>435</v>
      </c>
      <c r="I360" s="249" t="s">
        <v>436</v>
      </c>
      <c r="J360" s="252" t="str">
        <f>G360</f>
        <v>Establir un model de coordinació territorial amb agents clau del voluntariat ambiental</v>
      </c>
      <c r="K360" s="253"/>
      <c r="L360" s="252" t="s">
        <v>763</v>
      </c>
      <c r="M360" s="24" t="s">
        <v>776</v>
      </c>
      <c r="N360" s="23" t="s">
        <v>1520</v>
      </c>
      <c r="O360" s="29" t="s">
        <v>537</v>
      </c>
      <c r="P360" s="26" t="s">
        <v>538</v>
      </c>
      <c r="Q360" s="112" t="s">
        <v>973</v>
      </c>
      <c r="R360" s="102" t="s">
        <v>805</v>
      </c>
      <c r="S360" s="102" t="s">
        <v>806</v>
      </c>
      <c r="T360" s="95"/>
      <c r="U360" s="95" t="s">
        <v>1491</v>
      </c>
      <c r="V360" s="95" t="s">
        <v>1017</v>
      </c>
    </row>
    <row r="361" spans="1:22" ht="45">
      <c r="A361" s="317"/>
      <c r="B361" s="407"/>
      <c r="C361" s="409"/>
      <c r="D361" s="411"/>
      <c r="E361" s="427"/>
      <c r="F361" s="261"/>
      <c r="G361" s="262"/>
      <c r="H361" s="263"/>
      <c r="I361" s="263"/>
      <c r="J361" s="264"/>
      <c r="K361" s="268"/>
      <c r="L361" s="264"/>
      <c r="M361" s="24" t="s">
        <v>776</v>
      </c>
      <c r="N361" s="23" t="s">
        <v>1521</v>
      </c>
      <c r="O361" s="29"/>
      <c r="P361" s="26"/>
      <c r="Q361" s="23" t="s">
        <v>1522</v>
      </c>
      <c r="R361" s="102">
        <v>4</v>
      </c>
      <c r="S361" s="102">
        <v>8</v>
      </c>
      <c r="T361" s="95"/>
      <c r="U361" s="95" t="s">
        <v>1491</v>
      </c>
      <c r="V361" s="95" t="s">
        <v>1017</v>
      </c>
    </row>
    <row r="362" spans="1:22" ht="30">
      <c r="A362" s="317"/>
      <c r="B362" s="407"/>
      <c r="C362" s="409"/>
      <c r="D362" s="412"/>
      <c r="E362" s="428"/>
      <c r="F362" s="273"/>
      <c r="G362" s="266"/>
      <c r="H362" s="265"/>
      <c r="I362" s="265"/>
      <c r="J362" s="267"/>
      <c r="K362" s="269"/>
      <c r="L362" s="267"/>
      <c r="M362" s="24" t="s">
        <v>780</v>
      </c>
      <c r="N362" s="23" t="s">
        <v>1523</v>
      </c>
      <c r="O362" s="29"/>
      <c r="P362" s="26"/>
      <c r="Q362" s="112" t="s">
        <v>1524</v>
      </c>
      <c r="R362" s="102">
        <v>2</v>
      </c>
      <c r="S362" s="102">
        <v>6</v>
      </c>
      <c r="T362" s="95"/>
      <c r="U362" s="95" t="s">
        <v>1491</v>
      </c>
      <c r="V362" s="95" t="s">
        <v>1017</v>
      </c>
    </row>
    <row r="363" spans="1:22" ht="45" customHeight="1">
      <c r="A363" s="317"/>
      <c r="B363" s="407"/>
      <c r="C363" s="409"/>
      <c r="D363" s="429" t="s">
        <v>539</v>
      </c>
      <c r="E363" s="438" t="s">
        <v>356</v>
      </c>
      <c r="F363" s="201" t="s">
        <v>357</v>
      </c>
      <c r="G363" s="114" t="s">
        <v>358</v>
      </c>
      <c r="H363" s="113" t="s">
        <v>435</v>
      </c>
      <c r="I363" s="113" t="s">
        <v>436</v>
      </c>
      <c r="J363" s="23" t="str">
        <f>G363</f>
        <v>Dissenyar i adaptar activitats inclusives per a persones amb necessitats específiques</v>
      </c>
      <c r="K363" s="22"/>
      <c r="L363" s="23" t="s">
        <v>763</v>
      </c>
      <c r="M363" s="24" t="s">
        <v>780</v>
      </c>
      <c r="N363" s="23" t="s">
        <v>1525</v>
      </c>
      <c r="O363" s="36" t="s">
        <v>527</v>
      </c>
      <c r="P363" s="38"/>
      <c r="Q363" s="112" t="s">
        <v>973</v>
      </c>
      <c r="R363" s="102" t="s">
        <v>805</v>
      </c>
      <c r="S363" s="102" t="s">
        <v>806</v>
      </c>
      <c r="T363" s="95"/>
      <c r="U363" s="95" t="s">
        <v>1491</v>
      </c>
      <c r="V363" s="95" t="s">
        <v>987</v>
      </c>
    </row>
    <row r="364" spans="1:22" ht="36.75" customHeight="1">
      <c r="A364" s="317"/>
      <c r="B364" s="407"/>
      <c r="C364" s="409"/>
      <c r="D364" s="430"/>
      <c r="E364" s="434"/>
      <c r="F364" s="436" t="s">
        <v>359</v>
      </c>
      <c r="G364" s="246" t="s">
        <v>360</v>
      </c>
      <c r="H364" s="249" t="s">
        <v>435</v>
      </c>
      <c r="I364" s="249" t="s">
        <v>438</v>
      </c>
      <c r="J364" s="252" t="str">
        <f>G364</f>
        <v>Formar el personal de l'ENP (informadors i personal que treballa de cara al públic) en accessibilitat, diversitat funcional i diversitat de gènere</v>
      </c>
      <c r="K364" s="253"/>
      <c r="L364" s="252" t="s">
        <v>763</v>
      </c>
      <c r="M364" s="24" t="s">
        <v>776</v>
      </c>
      <c r="N364" s="23" t="s">
        <v>1526</v>
      </c>
      <c r="O364" s="36" t="s">
        <v>527</v>
      </c>
      <c r="P364" s="26"/>
      <c r="Q364" s="112" t="s">
        <v>1527</v>
      </c>
      <c r="R364" s="102">
        <v>1</v>
      </c>
      <c r="S364" s="102">
        <v>4</v>
      </c>
      <c r="T364" s="95"/>
      <c r="U364" s="95" t="s">
        <v>1491</v>
      </c>
      <c r="V364" s="95" t="s">
        <v>987</v>
      </c>
    </row>
    <row r="365" spans="1:22" ht="30">
      <c r="A365" s="317"/>
      <c r="B365" s="407"/>
      <c r="C365" s="409"/>
      <c r="D365" s="430"/>
      <c r="E365" s="434"/>
      <c r="F365" s="437"/>
      <c r="G365" s="266"/>
      <c r="H365" s="265"/>
      <c r="I365" s="265"/>
      <c r="J365" s="267"/>
      <c r="K365" s="269"/>
      <c r="L365" s="267"/>
      <c r="M365" s="24" t="s">
        <v>780</v>
      </c>
      <c r="N365" s="23" t="s">
        <v>1528</v>
      </c>
      <c r="O365" s="36"/>
      <c r="P365" s="26"/>
      <c r="Q365" s="112" t="s">
        <v>1527</v>
      </c>
      <c r="R365" s="102">
        <v>1</v>
      </c>
      <c r="S365" s="102">
        <v>4</v>
      </c>
      <c r="T365" s="95"/>
      <c r="U365" s="95" t="s">
        <v>1491</v>
      </c>
      <c r="V365" s="95" t="s">
        <v>987</v>
      </c>
    </row>
    <row r="366" spans="1:22" ht="60">
      <c r="A366" s="317"/>
      <c r="B366" s="407"/>
      <c r="C366" s="409"/>
      <c r="D366" s="431"/>
      <c r="E366" s="435"/>
      <c r="F366" s="201" t="s">
        <v>361</v>
      </c>
      <c r="G366" s="114" t="s">
        <v>362</v>
      </c>
      <c r="H366" s="113" t="s">
        <v>435</v>
      </c>
      <c r="I366" s="113" t="s">
        <v>436</v>
      </c>
      <c r="J366" s="23" t="str">
        <f>G366</f>
        <v>Incorporar la perspectiva de gènere als continguts i activitats de l'ENP</v>
      </c>
      <c r="K366" s="22"/>
      <c r="L366" s="23" t="s">
        <v>763</v>
      </c>
      <c r="M366" s="24" t="s">
        <v>780</v>
      </c>
      <c r="N366" s="23" t="s">
        <v>1529</v>
      </c>
      <c r="O366" s="36" t="s">
        <v>527</v>
      </c>
      <c r="P366" s="26"/>
      <c r="Q366" s="112" t="s">
        <v>973</v>
      </c>
      <c r="R366" s="102" t="s">
        <v>805</v>
      </c>
      <c r="S366" s="102" t="s">
        <v>806</v>
      </c>
      <c r="T366" s="95"/>
      <c r="U366" s="95" t="s">
        <v>1491</v>
      </c>
      <c r="V366" s="95" t="s">
        <v>987</v>
      </c>
    </row>
    <row r="367" spans="1:22" ht="30">
      <c r="A367" s="317"/>
      <c r="B367" s="407"/>
      <c r="C367" s="409"/>
      <c r="D367" s="429" t="s">
        <v>540</v>
      </c>
      <c r="E367" s="432" t="s">
        <v>363</v>
      </c>
      <c r="F367" s="436" t="s">
        <v>364</v>
      </c>
      <c r="G367" s="246" t="s">
        <v>365</v>
      </c>
      <c r="H367" s="249" t="s">
        <v>435</v>
      </c>
      <c r="I367" s="249" t="s">
        <v>438</v>
      </c>
      <c r="J367" s="252" t="str">
        <f>G367</f>
        <v>Dissenyar, implementar i fomentar itineraris saludables dins dels itineraris oficials dels ENP i en la zona d'influència</v>
      </c>
      <c r="K367" s="253"/>
      <c r="L367" s="252" t="s">
        <v>763</v>
      </c>
      <c r="M367" s="24" t="s">
        <v>776</v>
      </c>
      <c r="N367" s="23" t="s">
        <v>1530</v>
      </c>
      <c r="O367" s="36" t="s">
        <v>527</v>
      </c>
      <c r="P367" s="26"/>
      <c r="Q367" s="112" t="s">
        <v>1531</v>
      </c>
      <c r="R367" s="102">
        <v>1</v>
      </c>
      <c r="S367" s="102">
        <v>4</v>
      </c>
      <c r="T367" s="95"/>
      <c r="U367" s="95" t="s">
        <v>1491</v>
      </c>
      <c r="V367" s="95" t="s">
        <v>1017</v>
      </c>
    </row>
    <row r="368" spans="1:22" ht="45">
      <c r="A368" s="317"/>
      <c r="B368" s="407"/>
      <c r="C368" s="409"/>
      <c r="D368" s="430"/>
      <c r="E368" s="433"/>
      <c r="F368" s="437"/>
      <c r="G368" s="266"/>
      <c r="H368" s="265"/>
      <c r="I368" s="265"/>
      <c r="J368" s="267"/>
      <c r="K368" s="269"/>
      <c r="L368" s="267"/>
      <c r="M368" s="24" t="s">
        <v>780</v>
      </c>
      <c r="N368" s="23" t="s">
        <v>1532</v>
      </c>
      <c r="O368" s="36"/>
      <c r="P368" s="26"/>
      <c r="Q368" s="112" t="s">
        <v>1533</v>
      </c>
      <c r="R368" s="102">
        <v>1</v>
      </c>
      <c r="S368" s="102">
        <v>4</v>
      </c>
      <c r="T368" s="95"/>
      <c r="U368" s="95" t="s">
        <v>1491</v>
      </c>
      <c r="V368" s="95" t="s">
        <v>1017</v>
      </c>
    </row>
    <row r="369" spans="1:22" ht="75">
      <c r="A369" s="317"/>
      <c r="B369" s="407"/>
      <c r="C369" s="409"/>
      <c r="D369" s="430"/>
      <c r="E369" s="433"/>
      <c r="F369" s="436" t="s">
        <v>366</v>
      </c>
      <c r="G369" s="249" t="s">
        <v>367</v>
      </c>
      <c r="H369" s="249" t="s">
        <v>435</v>
      </c>
      <c r="I369" s="249" t="s">
        <v>438</v>
      </c>
      <c r="J369" s="270" t="str">
        <f>G369</f>
        <v>Identificar els agents clau i els àmbits de col·laboració per implementar el binomi salut i natura</v>
      </c>
      <c r="K369" s="253"/>
      <c r="L369" s="252" t="s">
        <v>763</v>
      </c>
      <c r="M369" s="24" t="s">
        <v>776</v>
      </c>
      <c r="N369" s="37" t="s">
        <v>1534</v>
      </c>
      <c r="O369" s="36" t="s">
        <v>527</v>
      </c>
      <c r="P369" s="26"/>
      <c r="Q369" s="112" t="s">
        <v>1535</v>
      </c>
      <c r="R369" s="102">
        <v>1</v>
      </c>
      <c r="S369" s="102">
        <v>4</v>
      </c>
      <c r="T369" s="95"/>
      <c r="U369" s="95" t="s">
        <v>1491</v>
      </c>
      <c r="V369" s="95" t="s">
        <v>1017</v>
      </c>
    </row>
    <row r="370" spans="1:22" ht="116.45" customHeight="1">
      <c r="A370" s="317"/>
      <c r="B370" s="407"/>
      <c r="C370" s="409"/>
      <c r="D370" s="430"/>
      <c r="E370" s="434"/>
      <c r="F370" s="251"/>
      <c r="G370" s="251"/>
      <c r="H370" s="251"/>
      <c r="I370" s="251"/>
      <c r="J370" s="312"/>
      <c r="K370" s="255"/>
      <c r="L370" s="248"/>
      <c r="M370" s="24" t="s">
        <v>783</v>
      </c>
      <c r="N370" s="37" t="s">
        <v>1536</v>
      </c>
      <c r="O370" s="36" t="s">
        <v>527</v>
      </c>
      <c r="P370" s="26"/>
      <c r="Q370" s="112" t="s">
        <v>800</v>
      </c>
      <c r="R370" s="102">
        <v>3</v>
      </c>
      <c r="S370" s="102">
        <v>8</v>
      </c>
      <c r="T370" s="95"/>
      <c r="U370" s="95" t="s">
        <v>1491</v>
      </c>
      <c r="V370" s="95" t="s">
        <v>1017</v>
      </c>
    </row>
    <row r="371" spans="1:22" ht="36.75" customHeight="1">
      <c r="A371" s="317"/>
      <c r="B371" s="407"/>
      <c r="C371" s="409"/>
      <c r="D371" s="430"/>
      <c r="E371" s="434"/>
      <c r="F371" s="436" t="s">
        <v>368</v>
      </c>
      <c r="G371" s="246" t="s">
        <v>369</v>
      </c>
      <c r="H371" s="249" t="s">
        <v>435</v>
      </c>
      <c r="I371" s="249" t="s">
        <v>438</v>
      </c>
      <c r="J371" s="252" t="str">
        <f>G371</f>
        <v xml:space="preserve">Incloure el concepte de salut i natura en els missatges educatius i comunicatius de l'ENP </v>
      </c>
      <c r="K371" s="253"/>
      <c r="L371" s="363" t="s">
        <v>763</v>
      </c>
      <c r="M371" s="24" t="s">
        <v>780</v>
      </c>
      <c r="N371" s="23" t="s">
        <v>1537</v>
      </c>
      <c r="O371" s="36" t="s">
        <v>527</v>
      </c>
      <c r="P371" s="26"/>
      <c r="Q371" s="112" t="s">
        <v>1538</v>
      </c>
      <c r="R371" s="102">
        <v>0</v>
      </c>
      <c r="S371" s="102">
        <v>1</v>
      </c>
      <c r="T371" s="95"/>
      <c r="U371" s="95" t="s">
        <v>1491</v>
      </c>
      <c r="V371" s="95" t="s">
        <v>1017</v>
      </c>
    </row>
    <row r="372" spans="1:22" ht="39" customHeight="1">
      <c r="A372" s="317"/>
      <c r="B372" s="407"/>
      <c r="C372" s="409"/>
      <c r="D372" s="430"/>
      <c r="E372" s="434"/>
      <c r="F372" s="437"/>
      <c r="G372" s="266"/>
      <c r="H372" s="265"/>
      <c r="I372" s="265"/>
      <c r="J372" s="267"/>
      <c r="K372" s="269"/>
      <c r="L372" s="365"/>
      <c r="M372" s="24" t="s">
        <v>776</v>
      </c>
      <c r="N372" s="23" t="s">
        <v>1539</v>
      </c>
      <c r="O372" s="36"/>
      <c r="P372" s="26"/>
      <c r="Q372" s="112" t="s">
        <v>1540</v>
      </c>
      <c r="R372" s="102">
        <v>4</v>
      </c>
      <c r="S372" s="102">
        <v>16</v>
      </c>
      <c r="T372" s="95"/>
      <c r="U372" s="95" t="s">
        <v>774</v>
      </c>
      <c r="V372" s="95" t="s">
        <v>775</v>
      </c>
    </row>
    <row r="373" spans="1:22" ht="30.75" customHeight="1">
      <c r="A373" s="317"/>
      <c r="B373" s="408"/>
      <c r="C373" s="410"/>
      <c r="D373" s="431"/>
      <c r="E373" s="435"/>
      <c r="F373" s="201" t="s">
        <v>370</v>
      </c>
      <c r="G373" s="191" t="s">
        <v>371</v>
      </c>
      <c r="H373" s="113" t="s">
        <v>435</v>
      </c>
      <c r="I373" s="113" t="s">
        <v>438</v>
      </c>
      <c r="J373" s="23" t="str">
        <f>G373</f>
        <v>Participar a les Taules territorials de Salut i Natura</v>
      </c>
      <c r="K373" s="22"/>
      <c r="L373" s="23" t="s">
        <v>790</v>
      </c>
      <c r="M373" s="24" t="s">
        <v>776</v>
      </c>
      <c r="N373" s="23" t="s">
        <v>1541</v>
      </c>
      <c r="O373" s="36" t="s">
        <v>527</v>
      </c>
      <c r="P373" s="26"/>
      <c r="Q373" s="112" t="s">
        <v>1542</v>
      </c>
      <c r="R373" s="102">
        <v>1</v>
      </c>
      <c r="S373" s="102">
        <v>4</v>
      </c>
      <c r="T373" s="95"/>
      <c r="U373" s="95" t="s">
        <v>1491</v>
      </c>
      <c r="V373" s="132" t="s">
        <v>857</v>
      </c>
    </row>
    <row r="374" spans="1:22" ht="69.75" customHeight="1">
      <c r="A374" s="317"/>
      <c r="B374" s="439">
        <v>14</v>
      </c>
      <c r="C374" s="443" t="s">
        <v>372</v>
      </c>
      <c r="D374" s="418" t="s">
        <v>541</v>
      </c>
      <c r="E374" s="419" t="s">
        <v>373</v>
      </c>
      <c r="F374" s="243" t="s">
        <v>374</v>
      </c>
      <c r="G374" s="246" t="s">
        <v>375</v>
      </c>
      <c r="H374" s="249" t="s">
        <v>435</v>
      </c>
      <c r="I374" s="249" t="s">
        <v>436</v>
      </c>
      <c r="J374" s="252" t="str">
        <f>G374</f>
        <v>Informar periòdicament sobre les tasques, projectes i actuacions que duu a terme l'ENP a la població</v>
      </c>
      <c r="K374" s="253"/>
      <c r="L374" s="252" t="s">
        <v>763</v>
      </c>
      <c r="M374" s="24" t="s">
        <v>764</v>
      </c>
      <c r="N374" s="32" t="s">
        <v>1543</v>
      </c>
      <c r="O374" s="25" t="s">
        <v>542</v>
      </c>
      <c r="P374" s="26" t="s">
        <v>543</v>
      </c>
      <c r="Q374" s="112" t="s">
        <v>1544</v>
      </c>
      <c r="R374" s="102">
        <v>12</v>
      </c>
      <c r="S374" s="102">
        <v>48</v>
      </c>
      <c r="T374" s="95"/>
      <c r="U374" s="95" t="s">
        <v>1491</v>
      </c>
      <c r="V374" s="95" t="s">
        <v>987</v>
      </c>
    </row>
    <row r="375" spans="1:22" ht="57.6" customHeight="1">
      <c r="A375" s="317"/>
      <c r="B375" s="440"/>
      <c r="C375" s="444"/>
      <c r="D375" s="411"/>
      <c r="E375" s="413"/>
      <c r="F375" s="261"/>
      <c r="G375" s="262"/>
      <c r="H375" s="263"/>
      <c r="I375" s="263"/>
      <c r="J375" s="264"/>
      <c r="K375" s="268"/>
      <c r="L375" s="264"/>
      <c r="M375" s="24" t="s">
        <v>776</v>
      </c>
      <c r="N375" s="32" t="s">
        <v>1545</v>
      </c>
      <c r="O375" s="25"/>
      <c r="P375" s="26"/>
      <c r="Q375" s="112" t="s">
        <v>1546</v>
      </c>
      <c r="R375" s="102">
        <v>2</v>
      </c>
      <c r="S375" s="102">
        <v>10</v>
      </c>
      <c r="T375" s="95"/>
      <c r="U375" s="95" t="s">
        <v>774</v>
      </c>
      <c r="V375" s="95" t="s">
        <v>775</v>
      </c>
    </row>
    <row r="376" spans="1:22" ht="57.6" customHeight="1">
      <c r="A376" s="317"/>
      <c r="B376" s="440"/>
      <c r="C376" s="444"/>
      <c r="D376" s="411"/>
      <c r="E376" s="413"/>
      <c r="F376" s="261"/>
      <c r="G376" s="262"/>
      <c r="H376" s="263"/>
      <c r="I376" s="263"/>
      <c r="J376" s="264"/>
      <c r="K376" s="268"/>
      <c r="L376" s="264"/>
      <c r="M376" s="24" t="s">
        <v>776</v>
      </c>
      <c r="N376" s="32" t="s">
        <v>1547</v>
      </c>
      <c r="O376" s="25"/>
      <c r="P376" s="26"/>
      <c r="Q376" s="112" t="s">
        <v>1548</v>
      </c>
      <c r="R376" s="102">
        <v>5</v>
      </c>
      <c r="S376" s="102">
        <v>20</v>
      </c>
      <c r="T376" s="95"/>
      <c r="U376" s="95" t="s">
        <v>774</v>
      </c>
      <c r="V376" s="95" t="s">
        <v>775</v>
      </c>
    </row>
    <row r="377" spans="1:22" ht="39" customHeight="1">
      <c r="A377" s="317"/>
      <c r="B377" s="441"/>
      <c r="C377" s="445"/>
      <c r="D377" s="411"/>
      <c r="E377" s="413"/>
      <c r="F377" s="261"/>
      <c r="G377" s="262"/>
      <c r="H377" s="263"/>
      <c r="I377" s="263"/>
      <c r="J377" s="264"/>
      <c r="K377" s="268"/>
      <c r="L377" s="264"/>
      <c r="M377" s="24" t="s">
        <v>783</v>
      </c>
      <c r="N377" s="32" t="s">
        <v>1549</v>
      </c>
      <c r="O377" s="25"/>
      <c r="P377" s="26"/>
      <c r="Q377" s="32" t="s">
        <v>1550</v>
      </c>
      <c r="R377" s="102">
        <v>2</v>
      </c>
      <c r="S377" s="102">
        <v>4</v>
      </c>
      <c r="T377" s="95"/>
      <c r="U377" s="95" t="s">
        <v>774</v>
      </c>
      <c r="V377" s="95" t="s">
        <v>775</v>
      </c>
    </row>
    <row r="378" spans="1:22" ht="39" customHeight="1">
      <c r="A378" s="317"/>
      <c r="B378" s="441"/>
      <c r="C378" s="445"/>
      <c r="D378" s="411"/>
      <c r="E378" s="413"/>
      <c r="F378" s="261"/>
      <c r="G378" s="262"/>
      <c r="H378" s="263"/>
      <c r="I378" s="263"/>
      <c r="J378" s="264"/>
      <c r="K378" s="268"/>
      <c r="L378" s="264"/>
      <c r="M378" s="24" t="s">
        <v>780</v>
      </c>
      <c r="N378" s="32" t="s">
        <v>1551</v>
      </c>
      <c r="O378" s="25"/>
      <c r="P378" s="26"/>
      <c r="Q378" s="112" t="s">
        <v>1552</v>
      </c>
      <c r="R378" s="102">
        <v>4</v>
      </c>
      <c r="S378" s="102">
        <v>8</v>
      </c>
      <c r="T378" s="95"/>
      <c r="U378" s="95" t="s">
        <v>774</v>
      </c>
      <c r="V378" s="95" t="s">
        <v>775</v>
      </c>
    </row>
    <row r="379" spans="1:22" ht="51.6" customHeight="1">
      <c r="A379" s="317"/>
      <c r="B379" s="441"/>
      <c r="C379" s="445"/>
      <c r="D379" s="411"/>
      <c r="E379" s="413"/>
      <c r="F379" s="261"/>
      <c r="G379" s="262"/>
      <c r="H379" s="263"/>
      <c r="I379" s="263"/>
      <c r="J379" s="264"/>
      <c r="K379" s="268"/>
      <c r="L379" s="264"/>
      <c r="M379" s="24" t="s">
        <v>776</v>
      </c>
      <c r="N379" s="32" t="s">
        <v>1553</v>
      </c>
      <c r="O379" s="25"/>
      <c r="P379" s="26"/>
      <c r="Q379" s="112" t="s">
        <v>1554</v>
      </c>
      <c r="R379" s="102" t="s">
        <v>790</v>
      </c>
      <c r="S379" s="102" t="s">
        <v>806</v>
      </c>
      <c r="T379" s="95"/>
      <c r="U379" s="95" t="s">
        <v>774</v>
      </c>
      <c r="V379" s="95" t="s">
        <v>775</v>
      </c>
    </row>
    <row r="380" spans="1:22" ht="89.25" customHeight="1">
      <c r="A380" s="317"/>
      <c r="B380" s="441"/>
      <c r="C380" s="445"/>
      <c r="D380" s="411"/>
      <c r="E380" s="413"/>
      <c r="F380" s="261"/>
      <c r="G380" s="262"/>
      <c r="H380" s="263"/>
      <c r="I380" s="263"/>
      <c r="J380" s="264"/>
      <c r="K380" s="268"/>
      <c r="L380" s="264"/>
      <c r="M380" s="24" t="s">
        <v>780</v>
      </c>
      <c r="N380" s="32" t="s">
        <v>1555</v>
      </c>
      <c r="O380" s="25"/>
      <c r="P380" s="26"/>
      <c r="Q380" s="112" t="s">
        <v>1556</v>
      </c>
      <c r="R380" s="102">
        <v>8</v>
      </c>
      <c r="S380" s="102">
        <v>24</v>
      </c>
      <c r="T380" s="95"/>
      <c r="U380" s="95" t="s">
        <v>774</v>
      </c>
      <c r="V380" s="95" t="s">
        <v>775</v>
      </c>
    </row>
    <row r="381" spans="1:22" ht="31.9" customHeight="1">
      <c r="A381" s="317"/>
      <c r="B381" s="441"/>
      <c r="C381" s="445"/>
      <c r="D381" s="411"/>
      <c r="E381" s="413"/>
      <c r="F381" s="261"/>
      <c r="G381" s="262"/>
      <c r="H381" s="263"/>
      <c r="I381" s="263"/>
      <c r="J381" s="264"/>
      <c r="K381" s="268"/>
      <c r="L381" s="264"/>
      <c r="M381" s="24" t="s">
        <v>776</v>
      </c>
      <c r="N381" s="32" t="s">
        <v>1557</v>
      </c>
      <c r="O381" s="25"/>
      <c r="P381" s="26"/>
      <c r="Q381" s="32" t="s">
        <v>1558</v>
      </c>
      <c r="R381" s="102">
        <v>4</v>
      </c>
      <c r="S381" s="102">
        <v>8</v>
      </c>
      <c r="T381" s="95"/>
      <c r="U381" s="95" t="s">
        <v>774</v>
      </c>
      <c r="V381" s="95" t="s">
        <v>775</v>
      </c>
    </row>
    <row r="382" spans="1:22" ht="45" customHeight="1">
      <c r="A382" s="317"/>
      <c r="B382" s="441"/>
      <c r="C382" s="445"/>
      <c r="D382" s="411"/>
      <c r="E382" s="413"/>
      <c r="F382" s="261"/>
      <c r="G382" s="262"/>
      <c r="H382" s="263"/>
      <c r="I382" s="263"/>
      <c r="J382" s="264"/>
      <c r="K382" s="268"/>
      <c r="L382" s="264"/>
      <c r="M382" s="24" t="s">
        <v>780</v>
      </c>
      <c r="N382" s="32" t="s">
        <v>1559</v>
      </c>
      <c r="O382" s="25"/>
      <c r="P382" s="26"/>
      <c r="Q382" s="32" t="s">
        <v>1560</v>
      </c>
      <c r="R382" s="102">
        <v>4</v>
      </c>
      <c r="S382" s="102">
        <v>12</v>
      </c>
      <c r="T382" s="95"/>
      <c r="U382" s="95" t="s">
        <v>1462</v>
      </c>
      <c r="V382" s="95" t="s">
        <v>787</v>
      </c>
    </row>
    <row r="383" spans="1:22" ht="41.45" customHeight="1">
      <c r="A383" s="317"/>
      <c r="B383" s="441"/>
      <c r="C383" s="445"/>
      <c r="D383" s="411"/>
      <c r="E383" s="413"/>
      <c r="F383" s="261"/>
      <c r="G383" s="262"/>
      <c r="H383" s="263"/>
      <c r="I383" s="263"/>
      <c r="J383" s="264"/>
      <c r="K383" s="268"/>
      <c r="L383" s="264"/>
      <c r="M383" s="24" t="s">
        <v>780</v>
      </c>
      <c r="N383" s="32" t="s">
        <v>1561</v>
      </c>
      <c r="O383" s="25"/>
      <c r="P383" s="26"/>
      <c r="Q383" s="32" t="s">
        <v>1562</v>
      </c>
      <c r="R383" s="102" t="s">
        <v>805</v>
      </c>
      <c r="S383" s="102" t="s">
        <v>806</v>
      </c>
      <c r="T383" s="95"/>
      <c r="U383" s="95" t="s">
        <v>774</v>
      </c>
      <c r="V383" s="95" t="s">
        <v>775</v>
      </c>
    </row>
    <row r="384" spans="1:22" ht="54.75" customHeight="1">
      <c r="A384" s="317"/>
      <c r="B384" s="441"/>
      <c r="C384" s="445"/>
      <c r="D384" s="411"/>
      <c r="E384" s="413"/>
      <c r="F384" s="261"/>
      <c r="G384" s="262"/>
      <c r="H384" s="263"/>
      <c r="I384" s="263"/>
      <c r="J384" s="264"/>
      <c r="K384" s="268"/>
      <c r="L384" s="264"/>
      <c r="M384" s="24" t="s">
        <v>776</v>
      </c>
      <c r="N384" s="32" t="s">
        <v>1563</v>
      </c>
      <c r="O384" s="25"/>
      <c r="P384" s="26"/>
      <c r="Q384" s="32" t="s">
        <v>1564</v>
      </c>
      <c r="R384" s="102">
        <v>6</v>
      </c>
      <c r="S384" s="102">
        <v>30</v>
      </c>
      <c r="T384" s="95"/>
      <c r="U384" s="95" t="s">
        <v>774</v>
      </c>
      <c r="V384" s="95" t="s">
        <v>775</v>
      </c>
    </row>
    <row r="385" spans="1:22" ht="54.75" customHeight="1">
      <c r="A385" s="317"/>
      <c r="B385" s="441"/>
      <c r="C385" s="445"/>
      <c r="D385" s="411"/>
      <c r="E385" s="413"/>
      <c r="F385" s="261"/>
      <c r="G385" s="262"/>
      <c r="H385" s="263"/>
      <c r="I385" s="263"/>
      <c r="J385" s="264"/>
      <c r="K385" s="268"/>
      <c r="L385" s="264"/>
      <c r="M385" s="24" t="s">
        <v>780</v>
      </c>
      <c r="N385" s="32" t="s">
        <v>1565</v>
      </c>
      <c r="O385" s="25"/>
      <c r="P385" s="26"/>
      <c r="Q385" s="32" t="s">
        <v>1566</v>
      </c>
      <c r="R385" s="102" t="s">
        <v>805</v>
      </c>
      <c r="S385" s="102" t="s">
        <v>806</v>
      </c>
      <c r="T385" s="95"/>
      <c r="U385" s="95" t="s">
        <v>774</v>
      </c>
      <c r="V385" s="95" t="s">
        <v>775</v>
      </c>
    </row>
    <row r="386" spans="1:22" ht="45" customHeight="1">
      <c r="A386" s="317"/>
      <c r="B386" s="441"/>
      <c r="C386" s="445"/>
      <c r="D386" s="411"/>
      <c r="E386" s="413"/>
      <c r="F386" s="273"/>
      <c r="G386" s="266"/>
      <c r="H386" s="265"/>
      <c r="I386" s="265"/>
      <c r="J386" s="267"/>
      <c r="K386" s="269"/>
      <c r="L386" s="267"/>
      <c r="M386" s="24" t="s">
        <v>780</v>
      </c>
      <c r="N386" s="32" t="s">
        <v>1567</v>
      </c>
      <c r="O386" s="25"/>
      <c r="P386" s="26"/>
      <c r="Q386" s="32" t="s">
        <v>1568</v>
      </c>
      <c r="R386" s="102">
        <v>10</v>
      </c>
      <c r="S386" s="102">
        <v>40</v>
      </c>
      <c r="T386" s="95"/>
      <c r="U386" s="95" t="s">
        <v>1462</v>
      </c>
      <c r="V386" s="95" t="s">
        <v>787</v>
      </c>
    </row>
    <row r="387" spans="1:22" ht="48.75" customHeight="1">
      <c r="A387" s="317"/>
      <c r="B387" s="441"/>
      <c r="C387" s="445"/>
      <c r="D387" s="411"/>
      <c r="E387" s="413"/>
      <c r="F387" s="243" t="s">
        <v>376</v>
      </c>
      <c r="G387" s="246" t="s">
        <v>377</v>
      </c>
      <c r="H387" s="249" t="s">
        <v>435</v>
      </c>
      <c r="I387" s="249" t="s">
        <v>436</v>
      </c>
      <c r="J387" s="252" t="str">
        <f>G387</f>
        <v>Garantir l'accessibilitat i gestió del coneixement disponible sobre l'ENP</v>
      </c>
      <c r="K387" s="253"/>
      <c r="L387" s="252" t="s">
        <v>763</v>
      </c>
      <c r="M387" s="24" t="s">
        <v>780</v>
      </c>
      <c r="N387" s="32" t="s">
        <v>1569</v>
      </c>
      <c r="O387" s="25"/>
      <c r="P387" s="26"/>
      <c r="Q387" s="112" t="s">
        <v>1570</v>
      </c>
      <c r="R387" s="102">
        <v>4</v>
      </c>
      <c r="S387" s="102">
        <v>12</v>
      </c>
      <c r="T387" s="95"/>
      <c r="U387" s="95" t="s">
        <v>1491</v>
      </c>
      <c r="V387" s="95" t="s">
        <v>987</v>
      </c>
    </row>
    <row r="388" spans="1:22" ht="38.25" customHeight="1">
      <c r="A388" s="317"/>
      <c r="B388" s="441"/>
      <c r="C388" s="445"/>
      <c r="D388" s="412"/>
      <c r="E388" s="414"/>
      <c r="F388" s="273"/>
      <c r="G388" s="266"/>
      <c r="H388" s="265"/>
      <c r="I388" s="265"/>
      <c r="J388" s="267"/>
      <c r="K388" s="269"/>
      <c r="L388" s="267"/>
      <c r="M388" s="24" t="s">
        <v>783</v>
      </c>
      <c r="N388" s="32" t="s">
        <v>1571</v>
      </c>
      <c r="O388" s="25"/>
      <c r="P388" s="26"/>
      <c r="Q388" s="112" t="s">
        <v>973</v>
      </c>
      <c r="R388" s="102" t="s">
        <v>805</v>
      </c>
      <c r="S388" s="102" t="s">
        <v>806</v>
      </c>
      <c r="T388" s="95"/>
      <c r="U388" s="95" t="s">
        <v>1491</v>
      </c>
      <c r="V388" s="95" t="s">
        <v>1017</v>
      </c>
    </row>
    <row r="389" spans="1:22" ht="39.75" customHeight="1">
      <c r="A389" s="317"/>
      <c r="B389" s="441"/>
      <c r="C389" s="445"/>
      <c r="D389" s="418" t="s">
        <v>544</v>
      </c>
      <c r="E389" s="419" t="s">
        <v>378</v>
      </c>
      <c r="F389" s="243" t="s">
        <v>379</v>
      </c>
      <c r="G389" s="246" t="s">
        <v>380</v>
      </c>
      <c r="H389" s="249" t="s">
        <v>435</v>
      </c>
      <c r="I389" s="249" t="s">
        <v>436</v>
      </c>
      <c r="J389" s="252" t="str">
        <f>G389</f>
        <v>Sensibilitzar als diferents agents sobre els valors de l'ENP</v>
      </c>
      <c r="K389" s="253"/>
      <c r="L389" s="252" t="s">
        <v>763</v>
      </c>
      <c r="M389" s="24" t="s">
        <v>780</v>
      </c>
      <c r="N389" s="32" t="s">
        <v>1572</v>
      </c>
      <c r="O389" s="25"/>
      <c r="P389" s="26" t="s">
        <v>545</v>
      </c>
      <c r="Q389" s="112" t="s">
        <v>1573</v>
      </c>
      <c r="R389" s="102">
        <v>1</v>
      </c>
      <c r="S389" s="102">
        <v>4</v>
      </c>
      <c r="T389" s="95"/>
      <c r="U389" s="95" t="s">
        <v>1491</v>
      </c>
      <c r="V389" s="95" t="s">
        <v>1017</v>
      </c>
    </row>
    <row r="390" spans="1:22" ht="53.25" customHeight="1">
      <c r="A390" s="317"/>
      <c r="B390" s="441"/>
      <c r="C390" s="445"/>
      <c r="D390" s="411"/>
      <c r="E390" s="413"/>
      <c r="F390" s="261"/>
      <c r="G390" s="262"/>
      <c r="H390" s="263"/>
      <c r="I390" s="263"/>
      <c r="J390" s="264"/>
      <c r="K390" s="268"/>
      <c r="L390" s="264"/>
      <c r="M390" s="24" t="s">
        <v>776</v>
      </c>
      <c r="N390" s="202" t="s">
        <v>1574</v>
      </c>
      <c r="O390" s="25"/>
      <c r="P390" s="26"/>
      <c r="Q390" s="112" t="s">
        <v>1575</v>
      </c>
      <c r="R390" s="102">
        <v>4</v>
      </c>
      <c r="S390" s="102">
        <v>8</v>
      </c>
      <c r="T390" s="95"/>
      <c r="U390" s="95" t="s">
        <v>1491</v>
      </c>
      <c r="V390" s="95" t="s">
        <v>1017</v>
      </c>
    </row>
    <row r="391" spans="1:22" ht="52.5" customHeight="1">
      <c r="A391" s="317"/>
      <c r="B391" s="441"/>
      <c r="C391" s="445"/>
      <c r="D391" s="412"/>
      <c r="E391" s="414"/>
      <c r="F391" s="273"/>
      <c r="G391" s="266"/>
      <c r="H391" s="265"/>
      <c r="I391" s="265"/>
      <c r="J391" s="267"/>
      <c r="K391" s="269"/>
      <c r="L391" s="267"/>
      <c r="M391" s="24" t="s">
        <v>783</v>
      </c>
      <c r="N391" s="32" t="s">
        <v>1576</v>
      </c>
      <c r="O391" s="25"/>
      <c r="P391" s="26"/>
      <c r="Q391" s="112" t="s">
        <v>1577</v>
      </c>
      <c r="R391" s="102">
        <v>1</v>
      </c>
      <c r="S391" s="102">
        <v>4</v>
      </c>
      <c r="T391" s="95"/>
      <c r="U391" s="95" t="s">
        <v>774</v>
      </c>
      <c r="V391" s="95" t="s">
        <v>775</v>
      </c>
    </row>
    <row r="392" spans="1:22" ht="41.25" customHeight="1">
      <c r="A392" s="317"/>
      <c r="B392" s="441"/>
      <c r="C392" s="445"/>
      <c r="D392" s="447" t="s">
        <v>546</v>
      </c>
      <c r="E392" s="419" t="s">
        <v>381</v>
      </c>
      <c r="F392" s="243" t="s">
        <v>382</v>
      </c>
      <c r="G392" s="246" t="s">
        <v>383</v>
      </c>
      <c r="H392" s="249" t="s">
        <v>435</v>
      </c>
      <c r="I392" s="249" t="s">
        <v>436</v>
      </c>
      <c r="J392" s="252" t="str">
        <f>G392</f>
        <v>Optimitzar els canals de comunicació</v>
      </c>
      <c r="K392" s="253"/>
      <c r="L392" s="252" t="s">
        <v>763</v>
      </c>
      <c r="M392" s="24" t="s">
        <v>780</v>
      </c>
      <c r="N392" s="32" t="s">
        <v>1578</v>
      </c>
      <c r="O392" s="25" t="s">
        <v>542</v>
      </c>
      <c r="P392" s="26"/>
      <c r="Q392" s="112" t="s">
        <v>973</v>
      </c>
      <c r="R392" s="102" t="s">
        <v>805</v>
      </c>
      <c r="S392" s="102" t="s">
        <v>806</v>
      </c>
      <c r="T392" s="95"/>
      <c r="U392" s="95" t="s">
        <v>774</v>
      </c>
      <c r="V392" s="95" t="s">
        <v>775</v>
      </c>
    </row>
    <row r="393" spans="1:22" ht="40.5" customHeight="1">
      <c r="A393" s="317"/>
      <c r="B393" s="441"/>
      <c r="C393" s="445"/>
      <c r="D393" s="448"/>
      <c r="E393" s="413"/>
      <c r="F393" s="261"/>
      <c r="G393" s="262"/>
      <c r="H393" s="263"/>
      <c r="I393" s="263"/>
      <c r="J393" s="264"/>
      <c r="K393" s="268"/>
      <c r="L393" s="264"/>
      <c r="M393" s="24" t="s">
        <v>780</v>
      </c>
      <c r="N393" s="32" t="s">
        <v>1579</v>
      </c>
      <c r="O393" s="25"/>
      <c r="P393" s="26"/>
      <c r="Q393" s="112" t="s">
        <v>973</v>
      </c>
      <c r="R393" s="102" t="s">
        <v>805</v>
      </c>
      <c r="S393" s="102" t="s">
        <v>806</v>
      </c>
      <c r="T393" s="95"/>
      <c r="U393" s="95" t="s">
        <v>1491</v>
      </c>
      <c r="V393" s="95" t="s">
        <v>1017</v>
      </c>
    </row>
    <row r="394" spans="1:22" ht="67.5" customHeight="1">
      <c r="A394" s="317"/>
      <c r="B394" s="441"/>
      <c r="C394" s="445"/>
      <c r="D394" s="448"/>
      <c r="E394" s="413"/>
      <c r="F394" s="261"/>
      <c r="G394" s="262"/>
      <c r="H394" s="263"/>
      <c r="I394" s="263"/>
      <c r="J394" s="264"/>
      <c r="K394" s="268"/>
      <c r="L394" s="264"/>
      <c r="M394" s="24" t="s">
        <v>776</v>
      </c>
      <c r="N394" s="32" t="s">
        <v>1580</v>
      </c>
      <c r="O394" s="25"/>
      <c r="P394" s="26"/>
      <c r="Q394" s="112" t="s">
        <v>1581</v>
      </c>
      <c r="R394" s="102" t="s">
        <v>805</v>
      </c>
      <c r="S394" s="102" t="s">
        <v>806</v>
      </c>
      <c r="T394" s="95"/>
      <c r="U394" s="95" t="s">
        <v>1491</v>
      </c>
      <c r="V394" s="95" t="s">
        <v>775</v>
      </c>
    </row>
    <row r="395" spans="1:22" ht="33.75" customHeight="1">
      <c r="A395" s="317"/>
      <c r="B395" s="441"/>
      <c r="C395" s="445"/>
      <c r="D395" s="448"/>
      <c r="E395" s="413"/>
      <c r="F395" s="261"/>
      <c r="G395" s="262"/>
      <c r="H395" s="263"/>
      <c r="I395" s="263"/>
      <c r="J395" s="264"/>
      <c r="K395" s="268"/>
      <c r="L395" s="264"/>
      <c r="M395" s="24" t="s">
        <v>776</v>
      </c>
      <c r="N395" s="32" t="s">
        <v>1582</v>
      </c>
      <c r="O395" s="25"/>
      <c r="P395" s="26"/>
      <c r="Q395" s="112" t="s">
        <v>1070</v>
      </c>
      <c r="R395" s="102">
        <v>48</v>
      </c>
      <c r="S395" s="102">
        <v>96</v>
      </c>
      <c r="T395" s="95"/>
      <c r="U395" s="95" t="s">
        <v>774</v>
      </c>
      <c r="V395" s="95" t="s">
        <v>775</v>
      </c>
    </row>
    <row r="396" spans="1:22" ht="60">
      <c r="A396" s="317"/>
      <c r="B396" s="441"/>
      <c r="C396" s="445"/>
      <c r="D396" s="448"/>
      <c r="E396" s="413"/>
      <c r="F396" s="273"/>
      <c r="G396" s="266"/>
      <c r="H396" s="265"/>
      <c r="I396" s="265"/>
      <c r="J396" s="267"/>
      <c r="K396" s="269"/>
      <c r="L396" s="267"/>
      <c r="M396" s="24" t="s">
        <v>780</v>
      </c>
      <c r="N396" s="32" t="s">
        <v>1583</v>
      </c>
      <c r="O396" s="25"/>
      <c r="P396" s="26"/>
      <c r="Q396" s="112" t="s">
        <v>1070</v>
      </c>
      <c r="R396" s="102">
        <v>12</v>
      </c>
      <c r="S396" s="102">
        <v>24</v>
      </c>
      <c r="T396" s="95"/>
      <c r="U396" s="95" t="s">
        <v>774</v>
      </c>
      <c r="V396" s="95" t="s">
        <v>775</v>
      </c>
    </row>
    <row r="397" spans="1:22" ht="27.75" customHeight="1">
      <c r="A397" s="317"/>
      <c r="B397" s="441"/>
      <c r="C397" s="445"/>
      <c r="D397" s="448"/>
      <c r="E397" s="413"/>
      <c r="F397" s="243" t="s">
        <v>384</v>
      </c>
      <c r="G397" s="246" t="s">
        <v>385</v>
      </c>
      <c r="H397" s="249" t="s">
        <v>435</v>
      </c>
      <c r="I397" s="249" t="s">
        <v>436</v>
      </c>
      <c r="J397" s="252" t="str">
        <f>G397</f>
        <v>Garantir l'harmonització de la comunicació com a Parc, Xarxa i Generalitat.</v>
      </c>
      <c r="K397" s="253"/>
      <c r="L397" s="252" t="s">
        <v>763</v>
      </c>
      <c r="M397" s="24" t="s">
        <v>780</v>
      </c>
      <c r="N397" s="32" t="s">
        <v>1584</v>
      </c>
      <c r="O397" s="25" t="s">
        <v>542</v>
      </c>
      <c r="P397" s="26"/>
      <c r="Q397" s="112" t="s">
        <v>1070</v>
      </c>
      <c r="R397" s="102">
        <v>4</v>
      </c>
      <c r="S397" s="102">
        <v>12</v>
      </c>
      <c r="T397" s="95"/>
      <c r="U397" s="95" t="s">
        <v>774</v>
      </c>
      <c r="V397" s="95" t="s">
        <v>775</v>
      </c>
    </row>
    <row r="398" spans="1:22" ht="90">
      <c r="A398" s="317"/>
      <c r="B398" s="441"/>
      <c r="C398" s="445"/>
      <c r="D398" s="448"/>
      <c r="E398" s="413"/>
      <c r="F398" s="261"/>
      <c r="G398" s="262"/>
      <c r="H398" s="263"/>
      <c r="I398" s="263"/>
      <c r="J398" s="264"/>
      <c r="K398" s="268"/>
      <c r="L398" s="264"/>
      <c r="M398" s="24" t="s">
        <v>776</v>
      </c>
      <c r="N398" s="32" t="s">
        <v>1585</v>
      </c>
      <c r="O398" s="25"/>
      <c r="P398" s="26"/>
      <c r="Q398" s="112" t="s">
        <v>973</v>
      </c>
      <c r="R398" s="102" t="s">
        <v>805</v>
      </c>
      <c r="S398" s="102" t="s">
        <v>806</v>
      </c>
      <c r="T398" s="95"/>
      <c r="U398" s="95" t="s">
        <v>774</v>
      </c>
      <c r="V398" s="95" t="s">
        <v>775</v>
      </c>
    </row>
    <row r="399" spans="1:22" ht="51" customHeight="1">
      <c r="A399" s="317"/>
      <c r="B399" s="442"/>
      <c r="C399" s="446"/>
      <c r="D399" s="449"/>
      <c r="E399" s="450"/>
      <c r="F399" s="273"/>
      <c r="G399" s="266"/>
      <c r="H399" s="265"/>
      <c r="I399" s="265"/>
      <c r="J399" s="267"/>
      <c r="K399" s="269"/>
      <c r="L399" s="267"/>
      <c r="M399" s="24" t="s">
        <v>780</v>
      </c>
      <c r="N399" s="32" t="s">
        <v>1586</v>
      </c>
      <c r="O399" s="25"/>
      <c r="P399" s="26"/>
      <c r="Q399" s="32" t="s">
        <v>1542</v>
      </c>
      <c r="R399" s="102">
        <v>3</v>
      </c>
      <c r="S399" s="102">
        <v>12</v>
      </c>
      <c r="T399" s="95"/>
      <c r="U399" s="95" t="s">
        <v>774</v>
      </c>
      <c r="V399" s="95" t="s">
        <v>775</v>
      </c>
    </row>
    <row r="400" spans="1:22" ht="55.5" customHeight="1">
      <c r="A400" s="451" t="s">
        <v>386</v>
      </c>
      <c r="B400" s="452">
        <v>15</v>
      </c>
      <c r="C400" s="455" t="s">
        <v>387</v>
      </c>
      <c r="D400" s="458" t="s">
        <v>547</v>
      </c>
      <c r="E400" s="461" t="s">
        <v>388</v>
      </c>
      <c r="F400" s="243" t="s">
        <v>389</v>
      </c>
      <c r="G400" s="243" t="s">
        <v>390</v>
      </c>
      <c r="H400" s="243" t="s">
        <v>435</v>
      </c>
      <c r="I400" s="243" t="s">
        <v>438</v>
      </c>
      <c r="J400" s="301" t="str">
        <f>G400</f>
        <v>Crear una taula de treball amb els agents prioritaris per a la gestió de l'ENP i els grups de treball temàtics necessaris</v>
      </c>
      <c r="K400" s="302"/>
      <c r="L400" s="302"/>
      <c r="M400" s="24" t="s">
        <v>776</v>
      </c>
      <c r="N400" s="32" t="s">
        <v>1587</v>
      </c>
      <c r="O400" s="25"/>
      <c r="P400" s="28"/>
      <c r="Q400" s="112" t="s">
        <v>1588</v>
      </c>
      <c r="R400" s="102">
        <v>4</v>
      </c>
      <c r="S400" s="102">
        <v>8</v>
      </c>
      <c r="T400" s="95"/>
      <c r="U400" s="95" t="s">
        <v>774</v>
      </c>
      <c r="V400" s="95" t="s">
        <v>775</v>
      </c>
    </row>
    <row r="401" spans="1:22" ht="29.25" customHeight="1">
      <c r="A401" s="451"/>
      <c r="B401" s="453"/>
      <c r="C401" s="456"/>
      <c r="D401" s="459"/>
      <c r="E401" s="462"/>
      <c r="F401" s="244"/>
      <c r="G401" s="244"/>
      <c r="H401" s="244"/>
      <c r="I401" s="244"/>
      <c r="J401" s="244"/>
      <c r="K401" s="325"/>
      <c r="L401" s="325"/>
      <c r="M401" s="24" t="s">
        <v>780</v>
      </c>
      <c r="N401" s="32" t="s">
        <v>1589</v>
      </c>
      <c r="O401" s="25"/>
      <c r="P401" s="28"/>
      <c r="Q401" s="112" t="s">
        <v>1588</v>
      </c>
      <c r="R401" s="102">
        <v>4</v>
      </c>
      <c r="S401" s="102">
        <v>8</v>
      </c>
      <c r="T401" s="95"/>
      <c r="U401" s="95" t="s">
        <v>774</v>
      </c>
      <c r="V401" s="95" t="s">
        <v>775</v>
      </c>
    </row>
    <row r="402" spans="1:22" ht="55.5" customHeight="1">
      <c r="A402" s="451"/>
      <c r="B402" s="453"/>
      <c r="C402" s="456"/>
      <c r="D402" s="459"/>
      <c r="E402" s="462"/>
      <c r="F402" s="244"/>
      <c r="G402" s="244"/>
      <c r="H402" s="244"/>
      <c r="I402" s="244"/>
      <c r="J402" s="244"/>
      <c r="K402" s="325"/>
      <c r="L402" s="325"/>
      <c r="M402" s="24" t="s">
        <v>780</v>
      </c>
      <c r="N402" s="32" t="s">
        <v>1590</v>
      </c>
      <c r="O402" s="25"/>
      <c r="P402" s="28"/>
      <c r="Q402" s="112" t="s">
        <v>800</v>
      </c>
      <c r="R402" s="102">
        <v>2</v>
      </c>
      <c r="S402" s="102">
        <v>8</v>
      </c>
      <c r="T402" s="95"/>
      <c r="U402" s="95" t="s">
        <v>774</v>
      </c>
      <c r="V402" s="95" t="s">
        <v>775</v>
      </c>
    </row>
    <row r="403" spans="1:22" ht="43.5" customHeight="1">
      <c r="A403" s="451"/>
      <c r="B403" s="453"/>
      <c r="C403" s="456"/>
      <c r="D403" s="459"/>
      <c r="E403" s="462"/>
      <c r="F403" s="244"/>
      <c r="G403" s="244"/>
      <c r="H403" s="244"/>
      <c r="I403" s="244"/>
      <c r="J403" s="244"/>
      <c r="K403" s="325"/>
      <c r="L403" s="325"/>
      <c r="M403" s="24" t="s">
        <v>776</v>
      </c>
      <c r="N403" s="32" t="s">
        <v>1591</v>
      </c>
      <c r="O403" s="25"/>
      <c r="P403" s="28"/>
      <c r="Q403" s="112" t="s">
        <v>800</v>
      </c>
      <c r="R403" s="102">
        <v>2</v>
      </c>
      <c r="S403" s="102">
        <v>8</v>
      </c>
      <c r="T403" s="95"/>
      <c r="U403" s="95" t="s">
        <v>774</v>
      </c>
      <c r="V403" s="95" t="s">
        <v>775</v>
      </c>
    </row>
    <row r="404" spans="1:22" ht="55.5" customHeight="1">
      <c r="A404" s="451"/>
      <c r="B404" s="453"/>
      <c r="C404" s="456"/>
      <c r="D404" s="459"/>
      <c r="E404" s="462"/>
      <c r="F404" s="244"/>
      <c r="G404" s="244"/>
      <c r="H404" s="244"/>
      <c r="I404" s="244"/>
      <c r="J404" s="244"/>
      <c r="K404" s="325"/>
      <c r="L404" s="325"/>
      <c r="M404" s="24" t="s">
        <v>776</v>
      </c>
      <c r="N404" s="32" t="s">
        <v>1592</v>
      </c>
      <c r="O404" s="25"/>
      <c r="P404" s="28"/>
      <c r="Q404" s="112" t="s">
        <v>1593</v>
      </c>
      <c r="R404" s="102">
        <v>1</v>
      </c>
      <c r="S404" s="102">
        <v>4</v>
      </c>
      <c r="T404" s="95"/>
      <c r="U404" s="95" t="s">
        <v>774</v>
      </c>
      <c r="V404" s="95" t="s">
        <v>775</v>
      </c>
    </row>
    <row r="405" spans="1:22" ht="55.5" customHeight="1">
      <c r="A405" s="451"/>
      <c r="B405" s="453"/>
      <c r="C405" s="456"/>
      <c r="D405" s="459"/>
      <c r="E405" s="462"/>
      <c r="F405" s="244"/>
      <c r="G405" s="244"/>
      <c r="H405" s="244"/>
      <c r="I405" s="244"/>
      <c r="J405" s="244"/>
      <c r="K405" s="325"/>
      <c r="L405" s="325"/>
      <c r="M405" s="24" t="s">
        <v>780</v>
      </c>
      <c r="N405" s="32" t="s">
        <v>1594</v>
      </c>
      <c r="O405" s="25"/>
      <c r="P405" s="28"/>
      <c r="Q405" s="112" t="s">
        <v>1595</v>
      </c>
      <c r="R405" s="102">
        <v>7</v>
      </c>
      <c r="S405" s="102">
        <v>15</v>
      </c>
      <c r="T405" s="95"/>
      <c r="U405" s="95" t="s">
        <v>774</v>
      </c>
      <c r="V405" s="95" t="s">
        <v>775</v>
      </c>
    </row>
    <row r="406" spans="1:22" ht="55.5" customHeight="1">
      <c r="A406" s="451"/>
      <c r="B406" s="453"/>
      <c r="C406" s="456"/>
      <c r="D406" s="459"/>
      <c r="E406" s="462"/>
      <c r="F406" s="245"/>
      <c r="G406" s="245"/>
      <c r="H406" s="245"/>
      <c r="I406" s="245"/>
      <c r="J406" s="245"/>
      <c r="K406" s="303"/>
      <c r="L406" s="303"/>
      <c r="M406" s="24" t="s">
        <v>780</v>
      </c>
      <c r="N406" s="32" t="s">
        <v>1596</v>
      </c>
      <c r="O406" s="25"/>
      <c r="P406" s="28"/>
      <c r="Q406" s="112" t="s">
        <v>973</v>
      </c>
      <c r="R406" s="102" t="s">
        <v>805</v>
      </c>
      <c r="S406" s="102" t="s">
        <v>806</v>
      </c>
      <c r="T406" s="95"/>
      <c r="U406" s="95" t="s">
        <v>774</v>
      </c>
      <c r="V406" s="95" t="s">
        <v>775</v>
      </c>
    </row>
    <row r="407" spans="1:22" ht="37.5" customHeight="1">
      <c r="A407" s="285"/>
      <c r="B407" s="454"/>
      <c r="C407" s="457"/>
      <c r="D407" s="459"/>
      <c r="E407" s="463"/>
      <c r="F407" s="117" t="s">
        <v>391</v>
      </c>
      <c r="G407" s="114" t="s">
        <v>392</v>
      </c>
      <c r="H407" s="113" t="s">
        <v>435</v>
      </c>
      <c r="I407" s="113" t="s">
        <v>438</v>
      </c>
      <c r="J407" s="23" t="str">
        <f>G407</f>
        <v>Disposar d'assessorament científic en l'ENP</v>
      </c>
      <c r="K407" s="22"/>
      <c r="L407" s="32"/>
      <c r="M407" s="24" t="s">
        <v>780</v>
      </c>
      <c r="N407" s="32" t="s">
        <v>1597</v>
      </c>
      <c r="O407" s="25"/>
      <c r="P407" s="28"/>
      <c r="Q407" s="112" t="s">
        <v>1588</v>
      </c>
      <c r="R407" s="102">
        <v>4</v>
      </c>
      <c r="S407" s="102">
        <v>8</v>
      </c>
      <c r="T407" s="95"/>
      <c r="U407" s="95" t="s">
        <v>1462</v>
      </c>
      <c r="V407" s="95" t="s">
        <v>787</v>
      </c>
    </row>
    <row r="408" spans="1:22" ht="51.75" customHeight="1">
      <c r="A408" s="285"/>
      <c r="B408" s="454"/>
      <c r="C408" s="457"/>
      <c r="D408" s="459"/>
      <c r="E408" s="463"/>
      <c r="F408" s="117" t="s">
        <v>393</v>
      </c>
      <c r="G408" s="114" t="s">
        <v>394</v>
      </c>
      <c r="H408" s="113" t="s">
        <v>435</v>
      </c>
      <c r="I408" s="113" t="s">
        <v>438</v>
      </c>
      <c r="J408" s="23"/>
      <c r="K408" s="21" t="s">
        <v>1598</v>
      </c>
      <c r="L408" s="32"/>
      <c r="M408" s="24"/>
      <c r="N408" s="32"/>
      <c r="O408" s="25"/>
      <c r="P408" s="28"/>
      <c r="Q408" s="112"/>
      <c r="R408" s="102"/>
      <c r="S408" s="102"/>
      <c r="T408" s="95"/>
      <c r="U408" s="95"/>
      <c r="V408" s="95"/>
    </row>
    <row r="409" spans="1:22" ht="51.75" customHeight="1">
      <c r="A409" s="285"/>
      <c r="B409" s="454"/>
      <c r="C409" s="457"/>
      <c r="D409" s="459"/>
      <c r="E409" s="463"/>
      <c r="F409" s="243" t="s">
        <v>395</v>
      </c>
      <c r="G409" s="243" t="s">
        <v>396</v>
      </c>
      <c r="H409" s="243" t="s">
        <v>435</v>
      </c>
      <c r="I409" s="243" t="s">
        <v>436</v>
      </c>
      <c r="J409" s="301" t="str">
        <f>G409</f>
        <v>Adaptar i desplegar el model de governança dels espais naturals protegits</v>
      </c>
      <c r="K409" s="302"/>
      <c r="L409" s="270" t="s">
        <v>763</v>
      </c>
      <c r="M409" s="24" t="s">
        <v>764</v>
      </c>
      <c r="N409" s="32" t="s">
        <v>1599</v>
      </c>
      <c r="O409" s="25"/>
      <c r="P409" s="20" t="s">
        <v>548</v>
      </c>
      <c r="Q409" s="112" t="s">
        <v>973</v>
      </c>
      <c r="R409" s="102" t="s">
        <v>805</v>
      </c>
      <c r="S409" s="102" t="s">
        <v>806</v>
      </c>
      <c r="T409" s="95"/>
      <c r="U409" s="95" t="s">
        <v>774</v>
      </c>
      <c r="V409" s="95" t="s">
        <v>775</v>
      </c>
    </row>
    <row r="410" spans="1:22" ht="36" customHeight="1">
      <c r="A410" s="285"/>
      <c r="B410" s="454"/>
      <c r="C410" s="457"/>
      <c r="D410" s="459"/>
      <c r="E410" s="463"/>
      <c r="F410" s="244"/>
      <c r="G410" s="244"/>
      <c r="H410" s="244"/>
      <c r="I410" s="244"/>
      <c r="J410" s="244"/>
      <c r="K410" s="325"/>
      <c r="L410" s="326"/>
      <c r="M410" s="24" t="s">
        <v>776</v>
      </c>
      <c r="N410" s="32" t="s">
        <v>1600</v>
      </c>
      <c r="O410" s="25"/>
      <c r="P410" s="28"/>
      <c r="Q410" s="112" t="s">
        <v>973</v>
      </c>
      <c r="R410" s="102" t="s">
        <v>805</v>
      </c>
      <c r="S410" s="102" t="s">
        <v>806</v>
      </c>
      <c r="T410" s="95"/>
      <c r="U410" s="95" t="s">
        <v>774</v>
      </c>
      <c r="V410" s="95" t="s">
        <v>775</v>
      </c>
    </row>
    <row r="411" spans="1:22" ht="49.5" customHeight="1">
      <c r="A411" s="285"/>
      <c r="B411" s="454"/>
      <c r="C411" s="457"/>
      <c r="D411" s="460"/>
      <c r="E411" s="464"/>
      <c r="F411" s="245"/>
      <c r="G411" s="245"/>
      <c r="H411" s="245"/>
      <c r="I411" s="245"/>
      <c r="J411" s="245"/>
      <c r="K411" s="303"/>
      <c r="L411" s="312"/>
      <c r="M411" s="24" t="s">
        <v>764</v>
      </c>
      <c r="N411" s="32" t="s">
        <v>1601</v>
      </c>
      <c r="O411" s="25"/>
      <c r="P411" s="20"/>
      <c r="Q411" s="112" t="s">
        <v>973</v>
      </c>
      <c r="R411" s="102" t="s">
        <v>805</v>
      </c>
      <c r="S411" s="102" t="s">
        <v>806</v>
      </c>
      <c r="T411" s="95"/>
      <c r="U411" s="95" t="s">
        <v>774</v>
      </c>
      <c r="V411" s="95" t="s">
        <v>775</v>
      </c>
    </row>
    <row r="412" spans="1:22" ht="33" customHeight="1">
      <c r="A412" s="285"/>
      <c r="B412" s="203">
        <v>16</v>
      </c>
      <c r="C412" s="204" t="s">
        <v>397</v>
      </c>
      <c r="D412" s="205" t="s">
        <v>549</v>
      </c>
      <c r="E412" s="206" t="s">
        <v>398</v>
      </c>
      <c r="F412" s="243" t="s">
        <v>399</v>
      </c>
      <c r="G412" s="246" t="s">
        <v>400</v>
      </c>
      <c r="H412" s="249" t="s">
        <v>435</v>
      </c>
      <c r="I412" s="249" t="s">
        <v>436</v>
      </c>
      <c r="J412" s="252" t="str">
        <f>G412</f>
        <v>Millorar el sistema de control de l'execució del pressupost, d'acord amb les indicacions de Serveis Centrals</v>
      </c>
      <c r="K412" s="253"/>
      <c r="L412" s="252" t="s">
        <v>763</v>
      </c>
      <c r="M412" s="24" t="s">
        <v>780</v>
      </c>
      <c r="N412" s="32" t="s">
        <v>1602</v>
      </c>
      <c r="O412" s="25"/>
      <c r="P412" s="28" t="s">
        <v>550</v>
      </c>
      <c r="Q412" s="112" t="s">
        <v>973</v>
      </c>
      <c r="R412" s="102" t="s">
        <v>805</v>
      </c>
      <c r="S412" s="102" t="s">
        <v>806</v>
      </c>
      <c r="T412" s="95"/>
      <c r="U412" s="32" t="s">
        <v>1603</v>
      </c>
      <c r="V412" s="95" t="s">
        <v>1604</v>
      </c>
    </row>
    <row r="413" spans="1:22" ht="66.75" customHeight="1">
      <c r="A413" s="285"/>
      <c r="B413" s="207"/>
      <c r="C413" s="208"/>
      <c r="D413" s="209"/>
      <c r="E413" s="210"/>
      <c r="F413" s="261"/>
      <c r="G413" s="262"/>
      <c r="H413" s="263"/>
      <c r="I413" s="263"/>
      <c r="J413" s="264"/>
      <c r="K413" s="268"/>
      <c r="L413" s="264"/>
      <c r="M413" s="24" t="s">
        <v>764</v>
      </c>
      <c r="N413" s="32" t="s">
        <v>1605</v>
      </c>
      <c r="O413" s="25"/>
      <c r="P413" s="28"/>
      <c r="Q413" s="112" t="s">
        <v>973</v>
      </c>
      <c r="R413" s="102" t="s">
        <v>805</v>
      </c>
      <c r="S413" s="102" t="s">
        <v>806</v>
      </c>
      <c r="T413" s="95"/>
      <c r="U413" s="32" t="s">
        <v>1603</v>
      </c>
      <c r="V413" s="95" t="s">
        <v>1604</v>
      </c>
    </row>
    <row r="414" spans="1:22" ht="66.75" customHeight="1">
      <c r="A414" s="285"/>
      <c r="B414" s="207"/>
      <c r="C414" s="208"/>
      <c r="D414" s="209"/>
      <c r="E414" s="210"/>
      <c r="F414" s="261"/>
      <c r="G414" s="262"/>
      <c r="H414" s="263"/>
      <c r="I414" s="263"/>
      <c r="J414" s="264"/>
      <c r="K414" s="268"/>
      <c r="L414" s="264"/>
      <c r="M414" s="24" t="s">
        <v>780</v>
      </c>
      <c r="N414" s="32" t="s">
        <v>1606</v>
      </c>
      <c r="O414" s="25"/>
      <c r="P414" s="28"/>
      <c r="Q414" s="112" t="s">
        <v>1070</v>
      </c>
      <c r="R414" s="102">
        <v>1</v>
      </c>
      <c r="S414" s="102">
        <v>4</v>
      </c>
      <c r="T414" s="95"/>
      <c r="U414" s="32" t="s">
        <v>1603</v>
      </c>
      <c r="V414" s="95" t="s">
        <v>1604</v>
      </c>
    </row>
    <row r="415" spans="1:22" ht="75">
      <c r="A415" s="285"/>
      <c r="B415" s="207"/>
      <c r="C415" s="208"/>
      <c r="D415" s="209"/>
      <c r="E415" s="210"/>
      <c r="F415" s="273"/>
      <c r="G415" s="266"/>
      <c r="H415" s="265"/>
      <c r="I415" s="265"/>
      <c r="J415" s="267"/>
      <c r="K415" s="269"/>
      <c r="L415" s="267"/>
      <c r="M415" s="24" t="s">
        <v>776</v>
      </c>
      <c r="N415" s="32" t="s">
        <v>1607</v>
      </c>
      <c r="O415" s="25"/>
      <c r="P415" s="28"/>
      <c r="Q415" s="112" t="s">
        <v>1608</v>
      </c>
      <c r="R415" s="102" t="s">
        <v>805</v>
      </c>
      <c r="S415" s="102" t="s">
        <v>806</v>
      </c>
      <c r="T415" s="95"/>
      <c r="U415" s="95" t="s">
        <v>1330</v>
      </c>
      <c r="V415" s="95" t="s">
        <v>771</v>
      </c>
    </row>
    <row r="416" spans="1:22" ht="72.75" customHeight="1">
      <c r="A416" s="285"/>
      <c r="B416" s="207"/>
      <c r="C416" s="208"/>
      <c r="D416" s="465" t="s">
        <v>551</v>
      </c>
      <c r="E416" s="468" t="s">
        <v>401</v>
      </c>
      <c r="F416" s="243" t="s">
        <v>402</v>
      </c>
      <c r="G416" s="246" t="s">
        <v>403</v>
      </c>
      <c r="H416" s="249" t="s">
        <v>435</v>
      </c>
      <c r="I416" s="249" t="s">
        <v>436</v>
      </c>
      <c r="J416" s="252" t="str">
        <f>G416</f>
        <v>Planificar i detectar les necessitats de contractació del l'ENP per a l'optimització dels contractes a nivell de Xarxa</v>
      </c>
      <c r="K416" s="253"/>
      <c r="L416" s="252" t="s">
        <v>763</v>
      </c>
      <c r="M416" s="24" t="s">
        <v>780</v>
      </c>
      <c r="N416" s="32" t="s">
        <v>1609</v>
      </c>
      <c r="O416" s="25"/>
      <c r="P416" s="26" t="s">
        <v>552</v>
      </c>
      <c r="Q416" s="112" t="s">
        <v>1610</v>
      </c>
      <c r="R416" s="102">
        <v>1</v>
      </c>
      <c r="S416" s="102">
        <v>4</v>
      </c>
      <c r="T416" s="95"/>
      <c r="U416" s="32" t="s">
        <v>1603</v>
      </c>
      <c r="V416" s="95" t="s">
        <v>1604</v>
      </c>
    </row>
    <row r="417" spans="1:22" ht="37.5" customHeight="1">
      <c r="A417" s="285"/>
      <c r="B417" s="207"/>
      <c r="C417" s="208"/>
      <c r="D417" s="459"/>
      <c r="E417" s="469"/>
      <c r="F417" s="261"/>
      <c r="G417" s="262"/>
      <c r="H417" s="263"/>
      <c r="I417" s="263"/>
      <c r="J417" s="264"/>
      <c r="K417" s="268"/>
      <c r="L417" s="264"/>
      <c r="M417" s="24" t="s">
        <v>783</v>
      </c>
      <c r="N417" s="32" t="s">
        <v>1611</v>
      </c>
      <c r="O417" s="25"/>
      <c r="P417" s="26"/>
      <c r="Q417" s="112" t="s">
        <v>973</v>
      </c>
      <c r="R417" s="102" t="s">
        <v>805</v>
      </c>
      <c r="S417" s="102" t="s">
        <v>806</v>
      </c>
      <c r="T417" s="95"/>
      <c r="U417" s="32" t="s">
        <v>774</v>
      </c>
      <c r="V417" s="95" t="s">
        <v>775</v>
      </c>
    </row>
    <row r="418" spans="1:22" ht="66.75" customHeight="1">
      <c r="A418" s="285"/>
      <c r="B418" s="207"/>
      <c r="C418" s="208"/>
      <c r="D418" s="459"/>
      <c r="E418" s="469"/>
      <c r="F418" s="273"/>
      <c r="G418" s="266"/>
      <c r="H418" s="265"/>
      <c r="I418" s="265"/>
      <c r="J418" s="267"/>
      <c r="K418" s="269"/>
      <c r="L418" s="267"/>
      <c r="M418" s="24" t="s">
        <v>780</v>
      </c>
      <c r="N418" s="32" t="s">
        <v>1612</v>
      </c>
      <c r="O418" s="25"/>
      <c r="P418" s="26"/>
      <c r="Q418" s="112" t="s">
        <v>1613</v>
      </c>
      <c r="R418" s="102">
        <v>2</v>
      </c>
      <c r="S418" s="102">
        <v>4</v>
      </c>
      <c r="T418" s="95"/>
      <c r="U418" s="32" t="s">
        <v>1603</v>
      </c>
      <c r="V418" s="95" t="s">
        <v>1604</v>
      </c>
    </row>
    <row r="419" spans="1:22" ht="38.25" customHeight="1">
      <c r="A419" s="285"/>
      <c r="B419" s="207"/>
      <c r="C419" s="208"/>
      <c r="D419" s="459"/>
      <c r="E419" s="469"/>
      <c r="F419" s="243" t="s">
        <v>404</v>
      </c>
      <c r="G419" s="471" t="s">
        <v>405</v>
      </c>
      <c r="H419" s="249" t="s">
        <v>435</v>
      </c>
      <c r="I419" s="249" t="s">
        <v>436</v>
      </c>
      <c r="J419" s="252" t="str">
        <f>G419</f>
        <v>Planificar i detectar les tasques de convocatòries d'ajuts de l'ENP</v>
      </c>
      <c r="K419" s="253"/>
      <c r="L419" s="252" t="s">
        <v>763</v>
      </c>
      <c r="M419" s="24" t="s">
        <v>780</v>
      </c>
      <c r="N419" s="21" t="s">
        <v>1614</v>
      </c>
      <c r="O419" s="25"/>
      <c r="P419" s="26"/>
      <c r="Q419" s="112" t="s">
        <v>1613</v>
      </c>
      <c r="R419" s="102">
        <v>1</v>
      </c>
      <c r="S419" s="102">
        <v>3</v>
      </c>
      <c r="T419" s="95"/>
      <c r="U419" s="32" t="s">
        <v>774</v>
      </c>
      <c r="V419" s="95" t="s">
        <v>775</v>
      </c>
    </row>
    <row r="420" spans="1:22" ht="60">
      <c r="A420" s="285"/>
      <c r="B420" s="207"/>
      <c r="C420" s="208"/>
      <c r="D420" s="459"/>
      <c r="E420" s="469"/>
      <c r="F420" s="261"/>
      <c r="G420" s="472"/>
      <c r="H420" s="263"/>
      <c r="I420" s="263"/>
      <c r="J420" s="264"/>
      <c r="K420" s="268"/>
      <c r="L420" s="264"/>
      <c r="M420" s="24" t="s">
        <v>776</v>
      </c>
      <c r="N420" s="21" t="s">
        <v>1615</v>
      </c>
      <c r="O420" s="25"/>
      <c r="P420" s="26"/>
      <c r="Q420" s="112" t="s">
        <v>1616</v>
      </c>
      <c r="R420" s="102">
        <v>1</v>
      </c>
      <c r="S420" s="102">
        <v>3</v>
      </c>
      <c r="T420" s="95"/>
      <c r="U420" s="32" t="s">
        <v>774</v>
      </c>
      <c r="V420" s="95" t="s">
        <v>775</v>
      </c>
    </row>
    <row r="421" spans="1:22" ht="60">
      <c r="A421" s="285"/>
      <c r="B421" s="207"/>
      <c r="C421" s="208"/>
      <c r="D421" s="459"/>
      <c r="E421" s="469"/>
      <c r="F421" s="261"/>
      <c r="G421" s="472"/>
      <c r="H421" s="263"/>
      <c r="I421" s="263"/>
      <c r="J421" s="264"/>
      <c r="K421" s="268"/>
      <c r="L421" s="264"/>
      <c r="M421" s="24" t="s">
        <v>780</v>
      </c>
      <c r="N421" s="21" t="s">
        <v>1617</v>
      </c>
      <c r="O421" s="25"/>
      <c r="P421" s="26"/>
      <c r="Q421" s="112" t="s">
        <v>1616</v>
      </c>
      <c r="R421" s="102">
        <v>1</v>
      </c>
      <c r="S421" s="102">
        <v>3</v>
      </c>
      <c r="T421" s="95"/>
      <c r="U421" s="32" t="s">
        <v>774</v>
      </c>
      <c r="V421" s="95" t="s">
        <v>775</v>
      </c>
    </row>
    <row r="422" spans="1:22" ht="28.5" customHeight="1">
      <c r="A422" s="285"/>
      <c r="B422" s="207"/>
      <c r="C422" s="208"/>
      <c r="D422" s="459"/>
      <c r="E422" s="469"/>
      <c r="F422" s="261"/>
      <c r="G422" s="472"/>
      <c r="H422" s="263"/>
      <c r="I422" s="263"/>
      <c r="J422" s="264"/>
      <c r="K422" s="268"/>
      <c r="L422" s="264"/>
      <c r="M422" s="24" t="s">
        <v>780</v>
      </c>
      <c r="N422" s="21" t="s">
        <v>1618</v>
      </c>
      <c r="O422" s="25"/>
      <c r="P422" s="26"/>
      <c r="Q422" s="112" t="s">
        <v>973</v>
      </c>
      <c r="R422" s="102" t="s">
        <v>805</v>
      </c>
      <c r="S422" s="102" t="s">
        <v>806</v>
      </c>
      <c r="T422" s="95"/>
      <c r="U422" s="32" t="s">
        <v>1603</v>
      </c>
      <c r="V422" s="95" t="s">
        <v>1604</v>
      </c>
    </row>
    <row r="423" spans="1:22" ht="55.5" customHeight="1">
      <c r="A423" s="285"/>
      <c r="B423" s="207"/>
      <c r="C423" s="208"/>
      <c r="D423" s="459"/>
      <c r="E423" s="469"/>
      <c r="F423" s="273"/>
      <c r="G423" s="473"/>
      <c r="H423" s="265"/>
      <c r="I423" s="265"/>
      <c r="J423" s="267"/>
      <c r="K423" s="269"/>
      <c r="L423" s="267"/>
      <c r="M423" s="24" t="s">
        <v>776</v>
      </c>
      <c r="N423" s="21" t="s">
        <v>1619</v>
      </c>
      <c r="O423" s="25"/>
      <c r="P423" s="26"/>
      <c r="Q423" s="112" t="s">
        <v>1620</v>
      </c>
      <c r="R423" s="102">
        <v>1</v>
      </c>
      <c r="S423" s="102">
        <v>4</v>
      </c>
      <c r="T423" s="95"/>
      <c r="U423" s="32" t="s">
        <v>774</v>
      </c>
      <c r="V423" s="95" t="s">
        <v>775</v>
      </c>
    </row>
    <row r="424" spans="1:22" ht="57.6" customHeight="1">
      <c r="A424" s="285"/>
      <c r="B424" s="207"/>
      <c r="C424" s="208"/>
      <c r="D424" s="459"/>
      <c r="E424" s="469"/>
      <c r="F424" s="243" t="s">
        <v>406</v>
      </c>
      <c r="G424" s="471" t="s">
        <v>407</v>
      </c>
      <c r="H424" s="249" t="s">
        <v>435</v>
      </c>
      <c r="I424" s="249" t="s">
        <v>436</v>
      </c>
      <c r="J424" s="252" t="str">
        <f>G424</f>
        <v>Establir i renovar en temps i forma convenis de col·laboració, convenis marc, acords, protocols i altres instruments de col·laboració.</v>
      </c>
      <c r="K424" s="253"/>
      <c r="L424" s="387" t="s">
        <v>763</v>
      </c>
      <c r="M424" s="24" t="s">
        <v>780</v>
      </c>
      <c r="N424" s="21" t="s">
        <v>1621</v>
      </c>
      <c r="O424" s="25"/>
      <c r="P424" s="28" t="s">
        <v>553</v>
      </c>
      <c r="Q424" s="112" t="s">
        <v>973</v>
      </c>
      <c r="R424" s="102" t="s">
        <v>805</v>
      </c>
      <c r="S424" s="102" t="s">
        <v>806</v>
      </c>
      <c r="T424" s="95"/>
      <c r="U424" s="32" t="s">
        <v>1622</v>
      </c>
      <c r="V424" s="95" t="s">
        <v>775</v>
      </c>
    </row>
    <row r="425" spans="1:22" ht="39" customHeight="1">
      <c r="A425" s="285"/>
      <c r="B425" s="207"/>
      <c r="C425" s="208"/>
      <c r="D425" s="466"/>
      <c r="E425" s="259"/>
      <c r="F425" s="261"/>
      <c r="G425" s="472"/>
      <c r="H425" s="263"/>
      <c r="I425" s="263"/>
      <c r="J425" s="264"/>
      <c r="K425" s="268"/>
      <c r="L425" s="389"/>
      <c r="M425" s="24" t="s">
        <v>780</v>
      </c>
      <c r="N425" s="21" t="s">
        <v>1623</v>
      </c>
      <c r="O425" s="25"/>
      <c r="P425" s="28"/>
      <c r="Q425" s="112" t="s">
        <v>973</v>
      </c>
      <c r="R425" s="102" t="s">
        <v>805</v>
      </c>
      <c r="S425" s="102" t="s">
        <v>806</v>
      </c>
      <c r="T425" s="95"/>
      <c r="U425" s="32" t="s">
        <v>1462</v>
      </c>
      <c r="V425" s="95" t="s">
        <v>787</v>
      </c>
    </row>
    <row r="426" spans="1:22" ht="44.25" customHeight="1">
      <c r="A426" s="285"/>
      <c r="B426" s="207"/>
      <c r="C426" s="208"/>
      <c r="D426" s="467"/>
      <c r="E426" s="470"/>
      <c r="F426" s="273"/>
      <c r="G426" s="473"/>
      <c r="H426" s="265"/>
      <c r="I426" s="265"/>
      <c r="J426" s="267"/>
      <c r="K426" s="269"/>
      <c r="L426" s="388"/>
      <c r="M426" s="24" t="s">
        <v>783</v>
      </c>
      <c r="N426" s="21" t="s">
        <v>1624</v>
      </c>
      <c r="O426" s="25"/>
      <c r="P426" s="28"/>
      <c r="Q426" s="112" t="s">
        <v>973</v>
      </c>
      <c r="R426" s="102" t="s">
        <v>805</v>
      </c>
      <c r="S426" s="102" t="s">
        <v>806</v>
      </c>
      <c r="T426" s="95"/>
      <c r="U426" s="32" t="s">
        <v>1603</v>
      </c>
      <c r="V426" s="95" t="s">
        <v>1604</v>
      </c>
    </row>
    <row r="427" spans="1:22" ht="30" customHeight="1">
      <c r="A427" s="285"/>
      <c r="B427" s="207"/>
      <c r="C427" s="208"/>
      <c r="D427" s="211" t="s">
        <v>554</v>
      </c>
      <c r="E427" s="212" t="s">
        <v>408</v>
      </c>
      <c r="F427" s="243" t="s">
        <v>409</v>
      </c>
      <c r="G427" s="471" t="s">
        <v>410</v>
      </c>
      <c r="H427" s="249" t="s">
        <v>435</v>
      </c>
      <c r="I427" s="249" t="s">
        <v>436</v>
      </c>
      <c r="J427" s="252" t="str">
        <f>G427</f>
        <v>Optimitzar l'elaboració d'informes</v>
      </c>
      <c r="K427" s="253"/>
      <c r="L427" s="387" t="s">
        <v>763</v>
      </c>
      <c r="M427" s="24" t="s">
        <v>780</v>
      </c>
      <c r="N427" s="21" t="s">
        <v>1625</v>
      </c>
      <c r="O427" s="25"/>
      <c r="P427" s="26"/>
      <c r="Q427" s="112" t="s">
        <v>973</v>
      </c>
      <c r="R427" s="102" t="s">
        <v>805</v>
      </c>
      <c r="S427" s="102" t="s">
        <v>806</v>
      </c>
      <c r="T427" s="95"/>
      <c r="U427" s="32" t="s">
        <v>1603</v>
      </c>
      <c r="V427" s="95" t="s">
        <v>1604</v>
      </c>
    </row>
    <row r="428" spans="1:22" ht="44.25" customHeight="1">
      <c r="A428" s="285"/>
      <c r="B428" s="207"/>
      <c r="C428" s="208"/>
      <c r="D428" s="213"/>
      <c r="E428" s="210"/>
      <c r="F428" s="261"/>
      <c r="G428" s="472"/>
      <c r="H428" s="263"/>
      <c r="I428" s="263"/>
      <c r="J428" s="264"/>
      <c r="K428" s="268"/>
      <c r="L428" s="389"/>
      <c r="M428" s="24" t="s">
        <v>783</v>
      </c>
      <c r="N428" s="21" t="s">
        <v>1626</v>
      </c>
      <c r="O428" s="25"/>
      <c r="P428" s="26"/>
      <c r="Q428" s="112" t="s">
        <v>973</v>
      </c>
      <c r="R428" s="102" t="s">
        <v>805</v>
      </c>
      <c r="S428" s="102" t="s">
        <v>806</v>
      </c>
      <c r="T428" s="95"/>
      <c r="U428" s="32" t="s">
        <v>1622</v>
      </c>
      <c r="V428" s="95" t="s">
        <v>775</v>
      </c>
    </row>
    <row r="429" spans="1:22" ht="40.5" customHeight="1">
      <c r="A429" s="285"/>
      <c r="B429" s="207"/>
      <c r="C429" s="208"/>
      <c r="D429" s="213"/>
      <c r="E429" s="210"/>
      <c r="F429" s="261"/>
      <c r="G429" s="472"/>
      <c r="H429" s="263"/>
      <c r="I429" s="263"/>
      <c r="J429" s="264"/>
      <c r="K429" s="268"/>
      <c r="L429" s="389"/>
      <c r="M429" s="24" t="s">
        <v>780</v>
      </c>
      <c r="N429" s="21" t="s">
        <v>1627</v>
      </c>
      <c r="O429" s="25"/>
      <c r="P429" s="26"/>
      <c r="Q429" s="112" t="s">
        <v>973</v>
      </c>
      <c r="R429" s="102" t="s">
        <v>805</v>
      </c>
      <c r="S429" s="102" t="s">
        <v>806</v>
      </c>
      <c r="T429" s="95"/>
      <c r="U429" s="32" t="s">
        <v>1622</v>
      </c>
      <c r="V429" s="95" t="s">
        <v>775</v>
      </c>
    </row>
    <row r="430" spans="1:22" ht="45">
      <c r="A430" s="285"/>
      <c r="B430" s="207"/>
      <c r="C430" s="208"/>
      <c r="D430" s="213"/>
      <c r="E430" s="210"/>
      <c r="F430" s="261"/>
      <c r="G430" s="472"/>
      <c r="H430" s="263"/>
      <c r="I430" s="263"/>
      <c r="J430" s="264"/>
      <c r="K430" s="268"/>
      <c r="L430" s="389"/>
      <c r="M430" s="24" t="s">
        <v>780</v>
      </c>
      <c r="N430" s="21" t="s">
        <v>1628</v>
      </c>
      <c r="O430" s="25"/>
      <c r="P430" s="26"/>
      <c r="Q430" s="112" t="s">
        <v>973</v>
      </c>
      <c r="R430" s="102" t="s">
        <v>805</v>
      </c>
      <c r="S430" s="102" t="s">
        <v>806</v>
      </c>
      <c r="T430" s="95"/>
      <c r="U430" s="32" t="s">
        <v>1622</v>
      </c>
      <c r="V430" s="95" t="s">
        <v>775</v>
      </c>
    </row>
    <row r="431" spans="1:22" ht="51" customHeight="1">
      <c r="A431" s="285"/>
      <c r="B431" s="207"/>
      <c r="C431" s="208"/>
      <c r="D431" s="213"/>
      <c r="E431" s="210"/>
      <c r="F431" s="273"/>
      <c r="G431" s="473"/>
      <c r="H431" s="265"/>
      <c r="I431" s="265"/>
      <c r="J431" s="267"/>
      <c r="K431" s="269"/>
      <c r="L431" s="388"/>
      <c r="M431" s="24" t="s">
        <v>783</v>
      </c>
      <c r="N431" s="21" t="s">
        <v>1618</v>
      </c>
      <c r="O431" s="25"/>
      <c r="P431" s="26"/>
      <c r="Q431" s="112" t="s">
        <v>973</v>
      </c>
      <c r="R431" s="102" t="s">
        <v>805</v>
      </c>
      <c r="S431" s="102" t="s">
        <v>806</v>
      </c>
      <c r="T431" s="95"/>
      <c r="U431" s="32" t="s">
        <v>1622</v>
      </c>
      <c r="V431" s="95" t="s">
        <v>775</v>
      </c>
    </row>
    <row r="432" spans="1:22" ht="24.75" customHeight="1">
      <c r="A432" s="285"/>
      <c r="B432" s="207"/>
      <c r="C432" s="208"/>
      <c r="D432" s="213"/>
      <c r="E432" s="210"/>
      <c r="F432" s="243" t="s">
        <v>411</v>
      </c>
      <c r="G432" s="246" t="s">
        <v>412</v>
      </c>
      <c r="H432" s="249" t="s">
        <v>435</v>
      </c>
      <c r="I432" s="249" t="s">
        <v>436</v>
      </c>
      <c r="J432" s="252" t="str">
        <f>G432</f>
        <v>Adequar i actualitzar els procediments i tramitacions realitzats des de l'ENP als nous processos i eines conjuntes proposades des de Serveis Centrals</v>
      </c>
      <c r="K432" s="253"/>
      <c r="L432" s="252" t="s">
        <v>790</v>
      </c>
      <c r="M432" s="24" t="s">
        <v>780</v>
      </c>
      <c r="N432" s="32" t="s">
        <v>1629</v>
      </c>
      <c r="O432" s="25"/>
      <c r="P432" s="28" t="s">
        <v>555</v>
      </c>
      <c r="Q432" s="112" t="s">
        <v>973</v>
      </c>
      <c r="R432" s="102" t="s">
        <v>805</v>
      </c>
      <c r="S432" s="102" t="s">
        <v>806</v>
      </c>
      <c r="T432" s="95"/>
      <c r="U432" s="32" t="s">
        <v>1622</v>
      </c>
      <c r="V432" s="95" t="s">
        <v>775</v>
      </c>
    </row>
    <row r="433" spans="1:22">
      <c r="A433" s="285"/>
      <c r="B433" s="207"/>
      <c r="C433" s="208"/>
      <c r="D433" s="213"/>
      <c r="E433" s="210"/>
      <c r="F433" s="273"/>
      <c r="G433" s="266"/>
      <c r="H433" s="265"/>
      <c r="I433" s="265"/>
      <c r="J433" s="267"/>
      <c r="K433" s="269"/>
      <c r="L433" s="267"/>
      <c r="M433" s="24" t="s">
        <v>783</v>
      </c>
      <c r="N433" s="32" t="s">
        <v>1618</v>
      </c>
      <c r="O433" s="25"/>
      <c r="P433" s="28"/>
      <c r="Q433" s="112" t="s">
        <v>973</v>
      </c>
      <c r="R433" s="102" t="s">
        <v>805</v>
      </c>
      <c r="S433" s="102" t="s">
        <v>806</v>
      </c>
      <c r="T433" s="95"/>
      <c r="U433" s="32" t="s">
        <v>1622</v>
      </c>
      <c r="V433" s="95" t="s">
        <v>775</v>
      </c>
    </row>
    <row r="434" spans="1:22" ht="36.75" customHeight="1">
      <c r="A434" s="285"/>
      <c r="B434" s="207"/>
      <c r="C434" s="208"/>
      <c r="D434" s="213"/>
      <c r="E434" s="210"/>
      <c r="F434" s="243" t="s">
        <v>413</v>
      </c>
      <c r="G434" s="471" t="s">
        <v>414</v>
      </c>
      <c r="H434" s="249" t="s">
        <v>435</v>
      </c>
      <c r="I434" s="249" t="s">
        <v>436</v>
      </c>
      <c r="J434" s="252" t="str">
        <f>G434</f>
        <v>Augmentar el coneixement de l'equip de treball en matèria de procediment administratiu</v>
      </c>
      <c r="K434" s="253"/>
      <c r="L434" s="252" t="s">
        <v>763</v>
      </c>
      <c r="M434" s="24" t="s">
        <v>780</v>
      </c>
      <c r="N434" s="32" t="s">
        <v>1630</v>
      </c>
      <c r="O434" s="25"/>
      <c r="P434" s="26"/>
      <c r="Q434" s="112" t="s">
        <v>1449</v>
      </c>
      <c r="R434" s="102">
        <v>2</v>
      </c>
      <c r="S434" s="102">
        <v>6</v>
      </c>
      <c r="T434" s="95"/>
      <c r="U434" s="32" t="s">
        <v>1622</v>
      </c>
      <c r="V434" s="95" t="s">
        <v>775</v>
      </c>
    </row>
    <row r="435" spans="1:22" ht="45" customHeight="1">
      <c r="A435" s="285"/>
      <c r="B435" s="207"/>
      <c r="C435" s="208"/>
      <c r="D435" s="213"/>
      <c r="E435" s="210"/>
      <c r="F435" s="261"/>
      <c r="G435" s="472"/>
      <c r="H435" s="263"/>
      <c r="I435" s="263"/>
      <c r="J435" s="264"/>
      <c r="K435" s="268"/>
      <c r="L435" s="264"/>
      <c r="M435" s="24" t="s">
        <v>783</v>
      </c>
      <c r="N435" s="32" t="s">
        <v>1631</v>
      </c>
      <c r="O435" s="25"/>
      <c r="P435" s="26"/>
      <c r="Q435" s="112" t="s">
        <v>1632</v>
      </c>
      <c r="R435" s="102">
        <v>2</v>
      </c>
      <c r="S435" s="102">
        <v>4</v>
      </c>
      <c r="T435" s="95"/>
      <c r="U435" s="32" t="s">
        <v>1622</v>
      </c>
      <c r="V435" s="95" t="s">
        <v>775</v>
      </c>
    </row>
    <row r="436" spans="1:22" ht="33.75" customHeight="1">
      <c r="A436" s="285"/>
      <c r="B436" s="207"/>
      <c r="C436" s="208"/>
      <c r="D436" s="213"/>
      <c r="E436" s="210"/>
      <c r="F436" s="273"/>
      <c r="G436" s="473"/>
      <c r="H436" s="265"/>
      <c r="I436" s="265"/>
      <c r="J436" s="267"/>
      <c r="K436" s="269"/>
      <c r="L436" s="267"/>
      <c r="M436" s="24" t="s">
        <v>780</v>
      </c>
      <c r="N436" s="32" t="s">
        <v>1633</v>
      </c>
      <c r="O436" s="25"/>
      <c r="P436" s="26"/>
      <c r="Q436" s="112" t="s">
        <v>1449</v>
      </c>
      <c r="R436" s="102">
        <v>2</v>
      </c>
      <c r="S436" s="102">
        <v>6</v>
      </c>
      <c r="T436" s="95"/>
      <c r="U436" s="32" t="s">
        <v>1622</v>
      </c>
      <c r="V436" s="95" t="s">
        <v>775</v>
      </c>
    </row>
    <row r="437" spans="1:22" ht="31.5" customHeight="1">
      <c r="A437" s="285"/>
      <c r="B437" s="207"/>
      <c r="C437" s="208"/>
      <c r="D437" s="213"/>
      <c r="E437" s="210"/>
      <c r="F437" s="243" t="s">
        <v>415</v>
      </c>
      <c r="G437" s="246" t="s">
        <v>416</v>
      </c>
      <c r="H437" s="249" t="s">
        <v>437</v>
      </c>
      <c r="I437" s="249" t="s">
        <v>436</v>
      </c>
      <c r="J437" s="252" t="str">
        <f>G437</f>
        <v>Garantir la transparència administrativa</v>
      </c>
      <c r="K437" s="253"/>
      <c r="L437" s="301" t="s">
        <v>763</v>
      </c>
      <c r="M437" s="24" t="s">
        <v>780</v>
      </c>
      <c r="N437" s="32" t="s">
        <v>1634</v>
      </c>
      <c r="O437" s="25"/>
      <c r="P437" s="26"/>
      <c r="Q437" s="112" t="s">
        <v>973</v>
      </c>
      <c r="R437" s="102" t="s">
        <v>805</v>
      </c>
      <c r="S437" s="102" t="s">
        <v>806</v>
      </c>
      <c r="T437" s="95"/>
      <c r="U437" s="32" t="s">
        <v>1622</v>
      </c>
      <c r="V437" s="95" t="s">
        <v>775</v>
      </c>
    </row>
    <row r="438" spans="1:22" ht="31.5" customHeight="1">
      <c r="A438" s="285"/>
      <c r="B438" s="207"/>
      <c r="C438" s="208"/>
      <c r="D438" s="213"/>
      <c r="E438" s="210"/>
      <c r="F438" s="261"/>
      <c r="G438" s="262"/>
      <c r="H438" s="263"/>
      <c r="I438" s="263"/>
      <c r="J438" s="264"/>
      <c r="K438" s="268"/>
      <c r="L438" s="370"/>
      <c r="M438" s="24" t="s">
        <v>776</v>
      </c>
      <c r="N438" s="32" t="s">
        <v>1635</v>
      </c>
      <c r="O438" s="25"/>
      <c r="P438" s="26"/>
      <c r="Q438" s="32" t="s">
        <v>1636</v>
      </c>
      <c r="R438" s="102">
        <v>20</v>
      </c>
      <c r="S438" s="102">
        <v>60</v>
      </c>
      <c r="T438" s="95"/>
      <c r="U438" s="95" t="s">
        <v>1337</v>
      </c>
      <c r="V438" s="95" t="s">
        <v>1637</v>
      </c>
    </row>
    <row r="439" spans="1:22" s="1" customFormat="1" ht="49.5" customHeight="1">
      <c r="A439" s="285"/>
      <c r="B439" s="207"/>
      <c r="C439" s="208"/>
      <c r="D439" s="213"/>
      <c r="E439" s="210"/>
      <c r="F439" s="273"/>
      <c r="G439" s="266"/>
      <c r="H439" s="265"/>
      <c r="I439" s="265"/>
      <c r="J439" s="267"/>
      <c r="K439" s="269"/>
      <c r="L439" s="475"/>
      <c r="M439" s="24" t="s">
        <v>780</v>
      </c>
      <c r="N439" s="32" t="s">
        <v>1638</v>
      </c>
      <c r="O439" s="25"/>
      <c r="P439" s="26"/>
      <c r="Q439" s="32" t="s">
        <v>1639</v>
      </c>
      <c r="R439" s="102" t="s">
        <v>805</v>
      </c>
      <c r="S439" s="102" t="s">
        <v>806</v>
      </c>
      <c r="T439" s="95"/>
      <c r="U439" s="95" t="s">
        <v>1337</v>
      </c>
      <c r="V439" s="95" t="s">
        <v>1637</v>
      </c>
    </row>
    <row r="440" spans="1:22" s="1" customFormat="1" ht="33" customHeight="1">
      <c r="A440" s="285"/>
      <c r="B440" s="207"/>
      <c r="C440" s="208"/>
      <c r="D440" s="209"/>
      <c r="E440" s="210"/>
      <c r="F440" s="243" t="s">
        <v>417</v>
      </c>
      <c r="G440" s="246" t="s">
        <v>418</v>
      </c>
      <c r="H440" s="249" t="s">
        <v>435</v>
      </c>
      <c r="I440" s="249" t="s">
        <v>438</v>
      </c>
      <c r="J440" s="252" t="str">
        <f>G440</f>
        <v>Millorar i mantenir el material i infraestructures de gestió</v>
      </c>
      <c r="K440" s="253"/>
      <c r="L440" s="301" t="s">
        <v>763</v>
      </c>
      <c r="M440" s="24" t="s">
        <v>780</v>
      </c>
      <c r="N440" s="32" t="s">
        <v>1640</v>
      </c>
      <c r="O440" s="25"/>
      <c r="P440" s="20"/>
      <c r="Q440" s="112" t="s">
        <v>1641</v>
      </c>
      <c r="R440" s="102">
        <v>4</v>
      </c>
      <c r="S440" s="102">
        <v>8</v>
      </c>
      <c r="T440" s="95"/>
      <c r="U440" s="32" t="s">
        <v>1603</v>
      </c>
      <c r="V440" s="95" t="s">
        <v>1604</v>
      </c>
    </row>
    <row r="441" spans="1:22" ht="27" customHeight="1">
      <c r="A441" s="285"/>
      <c r="B441" s="207"/>
      <c r="C441" s="208"/>
      <c r="D441" s="209"/>
      <c r="E441" s="210"/>
      <c r="F441" s="261"/>
      <c r="G441" s="262"/>
      <c r="H441" s="263"/>
      <c r="I441" s="263"/>
      <c r="J441" s="264"/>
      <c r="K441" s="268"/>
      <c r="L441" s="370"/>
      <c r="M441" s="24" t="s">
        <v>780</v>
      </c>
      <c r="N441" s="32" t="s">
        <v>1642</v>
      </c>
      <c r="O441" s="25"/>
      <c r="P441" s="20"/>
      <c r="Q441" s="112" t="s">
        <v>1643</v>
      </c>
      <c r="R441" s="102">
        <v>4</v>
      </c>
      <c r="S441" s="102">
        <v>12</v>
      </c>
      <c r="T441" s="95"/>
      <c r="U441" s="32" t="s">
        <v>1603</v>
      </c>
      <c r="V441" s="95" t="s">
        <v>1604</v>
      </c>
    </row>
    <row r="442" spans="1:22" ht="41.25" customHeight="1">
      <c r="A442" s="285"/>
      <c r="B442" s="207"/>
      <c r="C442" s="208"/>
      <c r="D442" s="209"/>
      <c r="E442" s="210"/>
      <c r="F442" s="273"/>
      <c r="G442" s="266"/>
      <c r="H442" s="265"/>
      <c r="I442" s="265"/>
      <c r="J442" s="267"/>
      <c r="K442" s="269"/>
      <c r="L442" s="475"/>
      <c r="M442" s="24" t="s">
        <v>780</v>
      </c>
      <c r="N442" s="32" t="s">
        <v>1644</v>
      </c>
      <c r="O442" s="25"/>
      <c r="P442" s="20"/>
      <c r="Q442" s="112" t="s">
        <v>1643</v>
      </c>
      <c r="R442" s="102">
        <v>4</v>
      </c>
      <c r="S442" s="102">
        <v>12</v>
      </c>
      <c r="T442" s="95"/>
      <c r="U442" s="32" t="s">
        <v>1330</v>
      </c>
      <c r="V442" s="95" t="s">
        <v>958</v>
      </c>
    </row>
    <row r="443" spans="1:22" ht="44.25" customHeight="1">
      <c r="A443" s="285"/>
      <c r="B443" s="207"/>
      <c r="C443" s="208"/>
      <c r="D443" s="458" t="s">
        <v>556</v>
      </c>
      <c r="E443" s="474" t="s">
        <v>419</v>
      </c>
      <c r="F443" s="243" t="s">
        <v>420</v>
      </c>
      <c r="G443" s="246" t="s">
        <v>421</v>
      </c>
      <c r="H443" s="249" t="s">
        <v>435</v>
      </c>
      <c r="I443" s="249" t="s">
        <v>436</v>
      </c>
      <c r="J443" s="252" t="str">
        <f>G443</f>
        <v>Revisar l’estat dels béns patrimonials i la situació administrativa-legal dels equipaments del parc</v>
      </c>
      <c r="K443" s="253"/>
      <c r="L443" s="252" t="s">
        <v>763</v>
      </c>
      <c r="M443" s="24" t="s">
        <v>764</v>
      </c>
      <c r="N443" s="32" t="s">
        <v>1645</v>
      </c>
      <c r="O443" s="25"/>
      <c r="P443" s="28" t="s">
        <v>557</v>
      </c>
      <c r="Q443" s="112" t="s">
        <v>973</v>
      </c>
      <c r="R443" s="119" t="s">
        <v>805</v>
      </c>
      <c r="S443" s="119" t="s">
        <v>806</v>
      </c>
      <c r="T443" s="112"/>
      <c r="U443" s="112" t="s">
        <v>774</v>
      </c>
      <c r="V443" s="112" t="s">
        <v>775</v>
      </c>
    </row>
    <row r="444" spans="1:22" ht="60">
      <c r="A444" s="285"/>
      <c r="B444" s="207"/>
      <c r="C444" s="208"/>
      <c r="D444" s="459"/>
      <c r="E444" s="469"/>
      <c r="F444" s="273"/>
      <c r="G444" s="266"/>
      <c r="H444" s="265"/>
      <c r="I444" s="265"/>
      <c r="J444" s="267"/>
      <c r="K444" s="269"/>
      <c r="L444" s="267"/>
      <c r="M444" s="24" t="s">
        <v>776</v>
      </c>
      <c r="N444" s="32" t="s">
        <v>1646</v>
      </c>
      <c r="O444" s="25"/>
      <c r="P444" s="28"/>
      <c r="Q444" s="112" t="s">
        <v>1647</v>
      </c>
      <c r="R444" s="119">
        <v>2</v>
      </c>
      <c r="S444" s="119">
        <v>8</v>
      </c>
      <c r="T444" s="112"/>
      <c r="U444" s="112" t="s">
        <v>774</v>
      </c>
      <c r="V444" s="112" t="s">
        <v>775</v>
      </c>
    </row>
    <row r="445" spans="1:22" ht="88.5" customHeight="1">
      <c r="A445" s="285"/>
      <c r="B445" s="207"/>
      <c r="C445" s="208"/>
      <c r="D445" s="459"/>
      <c r="E445" s="469"/>
      <c r="F445" s="243" t="s">
        <v>422</v>
      </c>
      <c r="G445" s="246" t="s">
        <v>423</v>
      </c>
      <c r="H445" s="249" t="s">
        <v>435</v>
      </c>
      <c r="I445" s="249" t="s">
        <v>436</v>
      </c>
      <c r="J445" s="252" t="str">
        <f>G445</f>
        <v>Tenir cobertes les pèrdues o danys materials del patrimoni de la Direcció General que hi ha a l'àmbit territorial del Parc, com a conseqüència de la materialització de qualsevol dels riscs emparats en el plec de prescripcions tècniques de la pòlissa.</v>
      </c>
      <c r="K445" s="253"/>
      <c r="L445" s="252" t="s">
        <v>763</v>
      </c>
      <c r="M445" s="24" t="s">
        <v>764</v>
      </c>
      <c r="N445" s="32" t="s">
        <v>1648</v>
      </c>
      <c r="O445" s="25"/>
      <c r="P445" s="28" t="s">
        <v>558</v>
      </c>
      <c r="Q445" s="112" t="s">
        <v>973</v>
      </c>
      <c r="R445" s="102" t="s">
        <v>805</v>
      </c>
      <c r="S445" s="102" t="s">
        <v>806</v>
      </c>
      <c r="T445" s="95"/>
      <c r="U445" s="32" t="s">
        <v>1603</v>
      </c>
      <c r="V445" s="95" t="s">
        <v>1604</v>
      </c>
    </row>
    <row r="446" spans="1:22" ht="29.25" customHeight="1">
      <c r="A446" s="285"/>
      <c r="B446" s="207"/>
      <c r="C446" s="208"/>
      <c r="D446" s="467"/>
      <c r="E446" s="470"/>
      <c r="F446" s="273"/>
      <c r="G446" s="266"/>
      <c r="H446" s="265"/>
      <c r="I446" s="265"/>
      <c r="J446" s="267"/>
      <c r="K446" s="269"/>
      <c r="L446" s="267"/>
      <c r="M446" s="24" t="s">
        <v>776</v>
      </c>
      <c r="N446" s="32" t="s">
        <v>1649</v>
      </c>
      <c r="O446" s="25"/>
      <c r="P446" s="28"/>
      <c r="Q446" s="112" t="s">
        <v>1650</v>
      </c>
      <c r="R446" s="102">
        <v>2</v>
      </c>
      <c r="S446" s="102">
        <v>6</v>
      </c>
      <c r="T446" s="95"/>
      <c r="U446" s="32" t="s">
        <v>1603</v>
      </c>
      <c r="V446" s="95" t="s">
        <v>1604</v>
      </c>
    </row>
    <row r="447" spans="1:22" ht="48" customHeight="1">
      <c r="A447" s="285"/>
      <c r="B447" s="207"/>
      <c r="C447" s="208"/>
      <c r="D447" s="465" t="s">
        <v>559</v>
      </c>
      <c r="E447" s="468" t="s">
        <v>424</v>
      </c>
      <c r="F447" s="243" t="s">
        <v>425</v>
      </c>
      <c r="G447" s="246" t="s">
        <v>426</v>
      </c>
      <c r="H447" s="249" t="s">
        <v>435</v>
      </c>
      <c r="I447" s="249" t="s">
        <v>436</v>
      </c>
      <c r="J447" s="252" t="str">
        <f>G447</f>
        <v>Millorar l'accessibilitat i la gestió documental del centre o punt de documentació de l'ENP</v>
      </c>
      <c r="K447" s="253"/>
      <c r="L447" s="252" t="s">
        <v>763</v>
      </c>
      <c r="M447" s="24" t="s">
        <v>783</v>
      </c>
      <c r="N447" s="23" t="s">
        <v>1651</v>
      </c>
      <c r="O447" s="25"/>
      <c r="P447" s="26" t="s">
        <v>560</v>
      </c>
      <c r="Q447" s="112" t="s">
        <v>973</v>
      </c>
      <c r="R447" s="102" t="s">
        <v>805</v>
      </c>
      <c r="S447" s="102" t="s">
        <v>806</v>
      </c>
      <c r="T447" s="95"/>
      <c r="U447" s="32" t="s">
        <v>1603</v>
      </c>
      <c r="V447" s="95" t="s">
        <v>1604</v>
      </c>
    </row>
    <row r="448" spans="1:22" ht="26.25" customHeight="1">
      <c r="A448" s="285"/>
      <c r="B448" s="207"/>
      <c r="C448" s="208"/>
      <c r="D448" s="459"/>
      <c r="E448" s="469"/>
      <c r="F448" s="261"/>
      <c r="G448" s="262"/>
      <c r="H448" s="263"/>
      <c r="I448" s="263"/>
      <c r="J448" s="264"/>
      <c r="K448" s="268"/>
      <c r="L448" s="264"/>
      <c r="M448" s="24" t="s">
        <v>776</v>
      </c>
      <c r="N448" s="23" t="s">
        <v>1652</v>
      </c>
      <c r="O448" s="25"/>
      <c r="P448" s="26"/>
      <c r="Q448" s="112" t="s">
        <v>973</v>
      </c>
      <c r="R448" s="102" t="s">
        <v>805</v>
      </c>
      <c r="S448" s="102" t="s">
        <v>806</v>
      </c>
      <c r="T448" s="95"/>
      <c r="U448" s="32" t="s">
        <v>1603</v>
      </c>
      <c r="V448" s="95" t="s">
        <v>1604</v>
      </c>
    </row>
    <row r="449" spans="1:22" ht="27" customHeight="1">
      <c r="A449" s="285"/>
      <c r="B449" s="207"/>
      <c r="C449" s="208"/>
      <c r="D449" s="459"/>
      <c r="E449" s="469"/>
      <c r="F449" s="261"/>
      <c r="G449" s="262"/>
      <c r="H449" s="263"/>
      <c r="I449" s="263"/>
      <c r="J449" s="264"/>
      <c r="K449" s="268"/>
      <c r="L449" s="264"/>
      <c r="M449" s="24" t="s">
        <v>780</v>
      </c>
      <c r="N449" s="23" t="s">
        <v>1653</v>
      </c>
      <c r="O449" s="25"/>
      <c r="P449" s="26"/>
      <c r="Q449" s="112" t="s">
        <v>973</v>
      </c>
      <c r="R449" s="102" t="s">
        <v>805</v>
      </c>
      <c r="S449" s="102" t="s">
        <v>806</v>
      </c>
      <c r="T449" s="95"/>
      <c r="U449" s="32" t="s">
        <v>1218</v>
      </c>
      <c r="V449" s="95" t="s">
        <v>987</v>
      </c>
    </row>
    <row r="450" spans="1:22" ht="27.75" customHeight="1">
      <c r="A450" s="285"/>
      <c r="B450" s="207"/>
      <c r="C450" s="208"/>
      <c r="D450" s="476"/>
      <c r="E450" s="479"/>
      <c r="F450" s="273"/>
      <c r="G450" s="266"/>
      <c r="H450" s="265"/>
      <c r="I450" s="265"/>
      <c r="J450" s="267"/>
      <c r="K450" s="269"/>
      <c r="L450" s="267"/>
      <c r="M450" s="24" t="s">
        <v>783</v>
      </c>
      <c r="N450" s="23" t="s">
        <v>1618</v>
      </c>
      <c r="O450" s="25"/>
      <c r="P450" s="26"/>
      <c r="Q450" s="112" t="s">
        <v>973</v>
      </c>
      <c r="R450" s="102" t="s">
        <v>805</v>
      </c>
      <c r="S450" s="102" t="s">
        <v>806</v>
      </c>
      <c r="T450" s="95"/>
      <c r="U450" s="32" t="s">
        <v>1603</v>
      </c>
      <c r="V450" s="95" t="s">
        <v>1604</v>
      </c>
    </row>
    <row r="451" spans="1:22" ht="30">
      <c r="A451" s="285"/>
      <c r="B451" s="207"/>
      <c r="C451" s="208"/>
      <c r="D451" s="465" t="s">
        <v>561</v>
      </c>
      <c r="E451" s="477" t="s">
        <v>427</v>
      </c>
      <c r="F451" s="243" t="s">
        <v>428</v>
      </c>
      <c r="G451" s="246" t="s">
        <v>429</v>
      </c>
      <c r="H451" s="249" t="s">
        <v>437</v>
      </c>
      <c r="I451" s="249" t="s">
        <v>436</v>
      </c>
      <c r="J451" s="252" t="str">
        <f>G451</f>
        <v>Gestió de la brigada de manteniment</v>
      </c>
      <c r="K451" s="253"/>
      <c r="L451" s="252" t="s">
        <v>763</v>
      </c>
      <c r="M451" s="24" t="s">
        <v>776</v>
      </c>
      <c r="N451" s="23" t="s">
        <v>1654</v>
      </c>
      <c r="O451" s="25"/>
      <c r="P451" s="26"/>
      <c r="Q451" s="112" t="s">
        <v>1655</v>
      </c>
      <c r="R451" s="102">
        <v>16</v>
      </c>
      <c r="S451" s="102">
        <v>24</v>
      </c>
      <c r="T451" s="95"/>
      <c r="U451" s="95" t="s">
        <v>1330</v>
      </c>
      <c r="V451" s="95" t="s">
        <v>771</v>
      </c>
    </row>
    <row r="452" spans="1:22" ht="45">
      <c r="A452" s="285"/>
      <c r="B452" s="207"/>
      <c r="C452" s="208"/>
      <c r="D452" s="459"/>
      <c r="E452" s="462"/>
      <c r="F452" s="261"/>
      <c r="G452" s="262"/>
      <c r="H452" s="263"/>
      <c r="I452" s="263"/>
      <c r="J452" s="264"/>
      <c r="K452" s="268"/>
      <c r="L452" s="264"/>
      <c r="M452" s="24" t="s">
        <v>776</v>
      </c>
      <c r="N452" s="23" t="s">
        <v>1656</v>
      </c>
      <c r="O452" s="25"/>
      <c r="P452" s="26"/>
      <c r="Q452" s="112" t="s">
        <v>1657</v>
      </c>
      <c r="R452" s="102">
        <v>1</v>
      </c>
      <c r="S452" s="102">
        <v>2</v>
      </c>
      <c r="T452" s="95"/>
      <c r="U452" s="95" t="s">
        <v>1330</v>
      </c>
      <c r="V452" s="95" t="s">
        <v>771</v>
      </c>
    </row>
    <row r="453" spans="1:22" ht="30">
      <c r="A453" s="285"/>
      <c r="B453" s="207"/>
      <c r="C453" s="208"/>
      <c r="D453" s="459"/>
      <c r="E453" s="463"/>
      <c r="F453" s="261"/>
      <c r="G453" s="262"/>
      <c r="H453" s="263"/>
      <c r="I453" s="263"/>
      <c r="J453" s="264"/>
      <c r="K453" s="268"/>
      <c r="L453" s="264"/>
      <c r="M453" s="24" t="s">
        <v>776</v>
      </c>
      <c r="N453" s="23" t="s">
        <v>1658</v>
      </c>
      <c r="O453" s="25"/>
      <c r="P453" s="26"/>
      <c r="Q453" s="112" t="s">
        <v>1659</v>
      </c>
      <c r="R453" s="102">
        <v>15</v>
      </c>
      <c r="S453" s="102">
        <v>33</v>
      </c>
      <c r="T453" s="95"/>
      <c r="U453" s="95" t="s">
        <v>1330</v>
      </c>
      <c r="V453" s="95" t="s">
        <v>771</v>
      </c>
    </row>
    <row r="454" spans="1:22" ht="30">
      <c r="A454" s="285"/>
      <c r="B454" s="207"/>
      <c r="C454" s="208"/>
      <c r="D454" s="459"/>
      <c r="E454" s="463"/>
      <c r="F454" s="273"/>
      <c r="G454" s="266"/>
      <c r="H454" s="265"/>
      <c r="I454" s="265"/>
      <c r="J454" s="267"/>
      <c r="K454" s="269"/>
      <c r="L454" s="267"/>
      <c r="M454" s="24" t="s">
        <v>764</v>
      </c>
      <c r="N454" s="23" t="s">
        <v>1660</v>
      </c>
      <c r="O454" s="25"/>
      <c r="P454" s="26"/>
      <c r="Q454" s="214" t="s">
        <v>1661</v>
      </c>
      <c r="R454" s="102">
        <v>11</v>
      </c>
      <c r="S454" s="102">
        <v>18</v>
      </c>
      <c r="T454" s="95"/>
      <c r="U454" s="214" t="s">
        <v>1250</v>
      </c>
      <c r="V454" s="214" t="s">
        <v>775</v>
      </c>
    </row>
    <row r="455" spans="1:22" ht="45">
      <c r="A455" s="285"/>
      <c r="B455" s="207"/>
      <c r="C455" s="208"/>
      <c r="D455" s="476"/>
      <c r="E455" s="478"/>
      <c r="F455" s="117" t="s">
        <v>430</v>
      </c>
      <c r="G455" s="114" t="s">
        <v>431</v>
      </c>
      <c r="H455" s="113" t="s">
        <v>437</v>
      </c>
      <c r="I455" s="113" t="s">
        <v>436</v>
      </c>
      <c r="J455" s="215" t="s">
        <v>1662</v>
      </c>
      <c r="K455" s="216" t="s">
        <v>1663</v>
      </c>
      <c r="L455" s="217" t="s">
        <v>763</v>
      </c>
      <c r="M455" s="218" t="s">
        <v>764</v>
      </c>
      <c r="N455" s="215" t="s">
        <v>1664</v>
      </c>
      <c r="O455" s="214" t="s">
        <v>1665</v>
      </c>
      <c r="P455" s="214">
        <v>7</v>
      </c>
      <c r="Q455" s="214" t="s">
        <v>1665</v>
      </c>
      <c r="R455" s="219">
        <v>8</v>
      </c>
      <c r="S455" s="219">
        <v>16</v>
      </c>
      <c r="T455" s="214"/>
      <c r="U455" s="214" t="s">
        <v>1250</v>
      </c>
      <c r="V455" s="214" t="s">
        <v>775</v>
      </c>
    </row>
    <row r="456" spans="1:22">
      <c r="F456" s="9"/>
    </row>
  </sheetData>
  <autoFilter ref="A4:P185" xr:uid="{00000000-0009-0000-0000-000002000000}"/>
  <dataConsolidate/>
  <mergeCells count="894">
    <mergeCell ref="D451:D455"/>
    <mergeCell ref="E451:E455"/>
    <mergeCell ref="F451:F454"/>
    <mergeCell ref="G451:G454"/>
    <mergeCell ref="H451:H454"/>
    <mergeCell ref="I451:I454"/>
    <mergeCell ref="J451:J454"/>
    <mergeCell ref="D447:D450"/>
    <mergeCell ref="E447:E450"/>
    <mergeCell ref="F447:F450"/>
    <mergeCell ref="G447:G450"/>
    <mergeCell ref="H447:H450"/>
    <mergeCell ref="I447:I450"/>
    <mergeCell ref="G445:G446"/>
    <mergeCell ref="H445:H446"/>
    <mergeCell ref="I445:I446"/>
    <mergeCell ref="J445:J446"/>
    <mergeCell ref="K445:K446"/>
    <mergeCell ref="L445:L446"/>
    <mergeCell ref="K451:K454"/>
    <mergeCell ref="L451:L454"/>
    <mergeCell ref="J447:J450"/>
    <mergeCell ref="K447:K450"/>
    <mergeCell ref="L447:L450"/>
    <mergeCell ref="D443:D446"/>
    <mergeCell ref="E443:E446"/>
    <mergeCell ref="F443:F444"/>
    <mergeCell ref="G443:G444"/>
    <mergeCell ref="H443:H444"/>
    <mergeCell ref="I443:I444"/>
    <mergeCell ref="L437:L439"/>
    <mergeCell ref="F440:F442"/>
    <mergeCell ref="G440:G442"/>
    <mergeCell ref="H440:H442"/>
    <mergeCell ref="I440:I442"/>
    <mergeCell ref="J440:J442"/>
    <mergeCell ref="K440:K442"/>
    <mergeCell ref="L440:L442"/>
    <mergeCell ref="F437:F439"/>
    <mergeCell ref="G437:G439"/>
    <mergeCell ref="H437:H439"/>
    <mergeCell ref="I437:I439"/>
    <mergeCell ref="J437:J439"/>
    <mergeCell ref="K437:K439"/>
    <mergeCell ref="J443:J444"/>
    <mergeCell ref="K443:K444"/>
    <mergeCell ref="L443:L444"/>
    <mergeCell ref="F445:F446"/>
    <mergeCell ref="L432:L433"/>
    <mergeCell ref="F434:F436"/>
    <mergeCell ref="G434:G436"/>
    <mergeCell ref="H434:H436"/>
    <mergeCell ref="I434:I436"/>
    <mergeCell ref="J434:J436"/>
    <mergeCell ref="K434:K436"/>
    <mergeCell ref="L434:L436"/>
    <mergeCell ref="F432:F433"/>
    <mergeCell ref="G432:G433"/>
    <mergeCell ref="H432:H433"/>
    <mergeCell ref="I432:I433"/>
    <mergeCell ref="J432:J433"/>
    <mergeCell ref="K432:K433"/>
    <mergeCell ref="L424:L426"/>
    <mergeCell ref="F427:F431"/>
    <mergeCell ref="G427:G431"/>
    <mergeCell ref="H427:H431"/>
    <mergeCell ref="I427:I431"/>
    <mergeCell ref="J427:J431"/>
    <mergeCell ref="K427:K431"/>
    <mergeCell ref="L427:L431"/>
    <mergeCell ref="F424:F426"/>
    <mergeCell ref="G424:G426"/>
    <mergeCell ref="H424:H426"/>
    <mergeCell ref="I424:I426"/>
    <mergeCell ref="J424:J426"/>
    <mergeCell ref="K424:K426"/>
    <mergeCell ref="G409:G411"/>
    <mergeCell ref="H409:H411"/>
    <mergeCell ref="I409:I411"/>
    <mergeCell ref="J409:J411"/>
    <mergeCell ref="K409:K411"/>
    <mergeCell ref="L409:L411"/>
    <mergeCell ref="L416:L418"/>
    <mergeCell ref="F419:F423"/>
    <mergeCell ref="G419:G423"/>
    <mergeCell ref="H419:H423"/>
    <mergeCell ref="I419:I423"/>
    <mergeCell ref="J419:J423"/>
    <mergeCell ref="K419:K423"/>
    <mergeCell ref="L419:L423"/>
    <mergeCell ref="F416:F418"/>
    <mergeCell ref="G416:G418"/>
    <mergeCell ref="H416:H418"/>
    <mergeCell ref="I416:I418"/>
    <mergeCell ref="J416:J418"/>
    <mergeCell ref="K416:K418"/>
    <mergeCell ref="K397:K399"/>
    <mergeCell ref="L397:L399"/>
    <mergeCell ref="G400:G406"/>
    <mergeCell ref="H400:H406"/>
    <mergeCell ref="I400:I406"/>
    <mergeCell ref="J400:J406"/>
    <mergeCell ref="K400:K406"/>
    <mergeCell ref="L400:L406"/>
    <mergeCell ref="A400:A455"/>
    <mergeCell ref="B400:B411"/>
    <mergeCell ref="C400:C411"/>
    <mergeCell ref="D400:D411"/>
    <mergeCell ref="E400:E411"/>
    <mergeCell ref="F400:F406"/>
    <mergeCell ref="F409:F411"/>
    <mergeCell ref="F412:F415"/>
    <mergeCell ref="D416:D426"/>
    <mergeCell ref="E416:E426"/>
    <mergeCell ref="G412:G415"/>
    <mergeCell ref="H412:H415"/>
    <mergeCell ref="I412:I415"/>
    <mergeCell ref="J412:J415"/>
    <mergeCell ref="K412:K415"/>
    <mergeCell ref="L412:L415"/>
    <mergeCell ref="L387:L388"/>
    <mergeCell ref="J389:J391"/>
    <mergeCell ref="K389:K391"/>
    <mergeCell ref="L389:L391"/>
    <mergeCell ref="D392:D399"/>
    <mergeCell ref="E392:E399"/>
    <mergeCell ref="F392:F396"/>
    <mergeCell ref="G392:G396"/>
    <mergeCell ref="H392:H396"/>
    <mergeCell ref="I392:I396"/>
    <mergeCell ref="J392:J396"/>
    <mergeCell ref="D389:D391"/>
    <mergeCell ref="E389:E391"/>
    <mergeCell ref="F389:F391"/>
    <mergeCell ref="G389:G391"/>
    <mergeCell ref="H389:H391"/>
    <mergeCell ref="I389:I391"/>
    <mergeCell ref="K392:K396"/>
    <mergeCell ref="L392:L396"/>
    <mergeCell ref="F397:F399"/>
    <mergeCell ref="G397:G399"/>
    <mergeCell ref="H397:H399"/>
    <mergeCell ref="I397:I399"/>
    <mergeCell ref="J397:J399"/>
    <mergeCell ref="L371:L372"/>
    <mergeCell ref="B374:B399"/>
    <mergeCell ref="C374:C399"/>
    <mergeCell ref="D374:D388"/>
    <mergeCell ref="E374:E388"/>
    <mergeCell ref="F374:F386"/>
    <mergeCell ref="G374:G386"/>
    <mergeCell ref="H374:H386"/>
    <mergeCell ref="I374:I386"/>
    <mergeCell ref="J374:J386"/>
    <mergeCell ref="F371:F372"/>
    <mergeCell ref="G371:G372"/>
    <mergeCell ref="H371:H372"/>
    <mergeCell ref="I371:I372"/>
    <mergeCell ref="J371:J372"/>
    <mergeCell ref="K371:K372"/>
    <mergeCell ref="K374:K386"/>
    <mergeCell ref="L374:L386"/>
    <mergeCell ref="F387:F388"/>
    <mergeCell ref="G387:G388"/>
    <mergeCell ref="H387:H388"/>
    <mergeCell ref="I387:I388"/>
    <mergeCell ref="J387:J388"/>
    <mergeCell ref="K387:K388"/>
    <mergeCell ref="K367:K368"/>
    <mergeCell ref="L367:L368"/>
    <mergeCell ref="F369:F370"/>
    <mergeCell ref="G369:G370"/>
    <mergeCell ref="H369:H370"/>
    <mergeCell ref="I369:I370"/>
    <mergeCell ref="J369:J370"/>
    <mergeCell ref="K369:K370"/>
    <mergeCell ref="L369:L370"/>
    <mergeCell ref="D367:D373"/>
    <mergeCell ref="E367:E373"/>
    <mergeCell ref="F367:F368"/>
    <mergeCell ref="G367:G368"/>
    <mergeCell ref="H367:H368"/>
    <mergeCell ref="I367:I368"/>
    <mergeCell ref="J367:J368"/>
    <mergeCell ref="D363:D366"/>
    <mergeCell ref="E363:E366"/>
    <mergeCell ref="F364:F365"/>
    <mergeCell ref="G364:G365"/>
    <mergeCell ref="H364:H365"/>
    <mergeCell ref="I364:I365"/>
    <mergeCell ref="G360:G362"/>
    <mergeCell ref="H360:H362"/>
    <mergeCell ref="I360:I362"/>
    <mergeCell ref="J360:J362"/>
    <mergeCell ref="K360:K362"/>
    <mergeCell ref="L360:L362"/>
    <mergeCell ref="J364:J365"/>
    <mergeCell ref="K364:K365"/>
    <mergeCell ref="L364:L365"/>
    <mergeCell ref="D357:D362"/>
    <mergeCell ref="E357:E362"/>
    <mergeCell ref="F357:F359"/>
    <mergeCell ref="G357:G359"/>
    <mergeCell ref="H357:H359"/>
    <mergeCell ref="I357:I359"/>
    <mergeCell ref="L351:L352"/>
    <mergeCell ref="F353:F356"/>
    <mergeCell ref="G353:G356"/>
    <mergeCell ref="H353:H356"/>
    <mergeCell ref="I353:I356"/>
    <mergeCell ref="J353:J356"/>
    <mergeCell ref="K353:K356"/>
    <mergeCell ref="L353:L356"/>
    <mergeCell ref="F351:F352"/>
    <mergeCell ref="G351:G352"/>
    <mergeCell ref="H351:H352"/>
    <mergeCell ref="I351:I352"/>
    <mergeCell ref="J351:J352"/>
    <mergeCell ref="K351:K352"/>
    <mergeCell ref="J357:J359"/>
    <mergeCell ref="K357:K359"/>
    <mergeCell ref="L357:L359"/>
    <mergeCell ref="F360:F362"/>
    <mergeCell ref="L344:L346"/>
    <mergeCell ref="D347:D356"/>
    <mergeCell ref="E347:E356"/>
    <mergeCell ref="F348:F349"/>
    <mergeCell ref="G348:G349"/>
    <mergeCell ref="H348:H349"/>
    <mergeCell ref="I348:I349"/>
    <mergeCell ref="J348:J349"/>
    <mergeCell ref="K348:K349"/>
    <mergeCell ref="L348:L349"/>
    <mergeCell ref="F344:F346"/>
    <mergeCell ref="G344:G346"/>
    <mergeCell ref="H344:H346"/>
    <mergeCell ref="I344:I346"/>
    <mergeCell ref="J344:J346"/>
    <mergeCell ref="K344:K346"/>
    <mergeCell ref="D336:D346"/>
    <mergeCell ref="E336:E346"/>
    <mergeCell ref="K336:K338"/>
    <mergeCell ref="L336:L338"/>
    <mergeCell ref="F339:F342"/>
    <mergeCell ref="G339:G342"/>
    <mergeCell ref="H339:H342"/>
    <mergeCell ref="I339:I342"/>
    <mergeCell ref="J339:J342"/>
    <mergeCell ref="K339:K342"/>
    <mergeCell ref="L339:L342"/>
    <mergeCell ref="F336:F338"/>
    <mergeCell ref="G336:G338"/>
    <mergeCell ref="H336:H338"/>
    <mergeCell ref="I336:I338"/>
    <mergeCell ref="J336:J338"/>
    <mergeCell ref="D330:D335"/>
    <mergeCell ref="E330:E335"/>
    <mergeCell ref="F332:F335"/>
    <mergeCell ref="G332:G335"/>
    <mergeCell ref="H332:H335"/>
    <mergeCell ref="I332:I335"/>
    <mergeCell ref="F328:F329"/>
    <mergeCell ref="G328:G329"/>
    <mergeCell ref="H328:H329"/>
    <mergeCell ref="I328:I329"/>
    <mergeCell ref="J328:J329"/>
    <mergeCell ref="K328:K329"/>
    <mergeCell ref="L328:L329"/>
    <mergeCell ref="J332:J335"/>
    <mergeCell ref="K332:K335"/>
    <mergeCell ref="L332:L335"/>
    <mergeCell ref="I324:I325"/>
    <mergeCell ref="K319:K321"/>
    <mergeCell ref="L319:L321"/>
    <mergeCell ref="F322:F323"/>
    <mergeCell ref="G322:G323"/>
    <mergeCell ref="H322:H323"/>
    <mergeCell ref="I322:I323"/>
    <mergeCell ref="J322:J323"/>
    <mergeCell ref="K322:K323"/>
    <mergeCell ref="L322:L323"/>
    <mergeCell ref="J324:J325"/>
    <mergeCell ref="K324:K325"/>
    <mergeCell ref="L324:L325"/>
    <mergeCell ref="K313:K316"/>
    <mergeCell ref="L313:L316"/>
    <mergeCell ref="A317:A399"/>
    <mergeCell ref="B317:B373"/>
    <mergeCell ref="C317:C373"/>
    <mergeCell ref="D317:D323"/>
    <mergeCell ref="E317:E323"/>
    <mergeCell ref="F317:F318"/>
    <mergeCell ref="G317:G318"/>
    <mergeCell ref="H317:H318"/>
    <mergeCell ref="I317:I318"/>
    <mergeCell ref="J317:J318"/>
    <mergeCell ref="K317:K318"/>
    <mergeCell ref="L317:L318"/>
    <mergeCell ref="F319:F321"/>
    <mergeCell ref="G319:G321"/>
    <mergeCell ref="H319:H321"/>
    <mergeCell ref="I319:I321"/>
    <mergeCell ref="J319:J321"/>
    <mergeCell ref="D324:D329"/>
    <mergeCell ref="E324:E329"/>
    <mergeCell ref="F324:F325"/>
    <mergeCell ref="G324:G325"/>
    <mergeCell ref="H324:H325"/>
    <mergeCell ref="B312:B316"/>
    <mergeCell ref="C312:C316"/>
    <mergeCell ref="D312:D316"/>
    <mergeCell ref="E312:E316"/>
    <mergeCell ref="F313:F316"/>
    <mergeCell ref="G313:G316"/>
    <mergeCell ref="H313:H316"/>
    <mergeCell ref="I313:I316"/>
    <mergeCell ref="J313:J316"/>
    <mergeCell ref="K308:K309"/>
    <mergeCell ref="L308:L309"/>
    <mergeCell ref="F310:F311"/>
    <mergeCell ref="G310:G311"/>
    <mergeCell ref="H310:H311"/>
    <mergeCell ref="I310:I311"/>
    <mergeCell ref="J310:J311"/>
    <mergeCell ref="K310:K311"/>
    <mergeCell ref="L310:L311"/>
    <mergeCell ref="D306:D310"/>
    <mergeCell ref="E306:E310"/>
    <mergeCell ref="F306:F307"/>
    <mergeCell ref="G306:G307"/>
    <mergeCell ref="H306:H307"/>
    <mergeCell ref="I306:I307"/>
    <mergeCell ref="J306:J307"/>
    <mergeCell ref="F308:F309"/>
    <mergeCell ref="G308:G309"/>
    <mergeCell ref="H308:H309"/>
    <mergeCell ref="I308:I309"/>
    <mergeCell ref="J308:J309"/>
    <mergeCell ref="D284:D305"/>
    <mergeCell ref="E284:E305"/>
    <mergeCell ref="F284:F288"/>
    <mergeCell ref="G284:G288"/>
    <mergeCell ref="H284:H288"/>
    <mergeCell ref="I284:I288"/>
    <mergeCell ref="J284:J288"/>
    <mergeCell ref="K284:K288"/>
    <mergeCell ref="L284:L288"/>
    <mergeCell ref="F289:F298"/>
    <mergeCell ref="G289:G298"/>
    <mergeCell ref="H289:H298"/>
    <mergeCell ref="I289:I298"/>
    <mergeCell ref="J289:J298"/>
    <mergeCell ref="K289:K298"/>
    <mergeCell ref="L289:L298"/>
    <mergeCell ref="L299:L304"/>
    <mergeCell ref="F299:F304"/>
    <mergeCell ref="G299:G304"/>
    <mergeCell ref="H299:H304"/>
    <mergeCell ref="I299:I304"/>
    <mergeCell ref="J299:J304"/>
    <mergeCell ref="K299:K304"/>
    <mergeCell ref="D279:D283"/>
    <mergeCell ref="E279:E283"/>
    <mergeCell ref="F280:F283"/>
    <mergeCell ref="G280:G283"/>
    <mergeCell ref="H280:H283"/>
    <mergeCell ref="I280:I283"/>
    <mergeCell ref="J280:J283"/>
    <mergeCell ref="K280:K283"/>
    <mergeCell ref="L280:L283"/>
    <mergeCell ref="L266:L267"/>
    <mergeCell ref="D273:D274"/>
    <mergeCell ref="E273:E274"/>
    <mergeCell ref="D275:D278"/>
    <mergeCell ref="E275:E278"/>
    <mergeCell ref="F276:F278"/>
    <mergeCell ref="G276:G278"/>
    <mergeCell ref="M266:M267"/>
    <mergeCell ref="F269:F271"/>
    <mergeCell ref="G269:G271"/>
    <mergeCell ref="H269:H271"/>
    <mergeCell ref="I269:I271"/>
    <mergeCell ref="J269:J271"/>
    <mergeCell ref="K269:K271"/>
    <mergeCell ref="L269:L271"/>
    <mergeCell ref="H276:H278"/>
    <mergeCell ref="I276:I278"/>
    <mergeCell ref="J276:J278"/>
    <mergeCell ref="K276:K278"/>
    <mergeCell ref="L276:L278"/>
    <mergeCell ref="J262:J263"/>
    <mergeCell ref="K262:K263"/>
    <mergeCell ref="L262:L263"/>
    <mergeCell ref="D264:D272"/>
    <mergeCell ref="E264:E272"/>
    <mergeCell ref="F264:F265"/>
    <mergeCell ref="G264:G265"/>
    <mergeCell ref="H264:H265"/>
    <mergeCell ref="I264:I265"/>
    <mergeCell ref="J264:J265"/>
    <mergeCell ref="D261:D263"/>
    <mergeCell ref="E261:E263"/>
    <mergeCell ref="F262:F263"/>
    <mergeCell ref="G262:G263"/>
    <mergeCell ref="H262:H263"/>
    <mergeCell ref="I262:I263"/>
    <mergeCell ref="K264:K265"/>
    <mergeCell ref="L264:L265"/>
    <mergeCell ref="F266:F267"/>
    <mergeCell ref="G266:G267"/>
    <mergeCell ref="H266:H267"/>
    <mergeCell ref="I266:I267"/>
    <mergeCell ref="J266:J267"/>
    <mergeCell ref="K266:K267"/>
    <mergeCell ref="I247:I249"/>
    <mergeCell ref="J247:J249"/>
    <mergeCell ref="K247:K249"/>
    <mergeCell ref="L247:L249"/>
    <mergeCell ref="F256:F257"/>
    <mergeCell ref="G256:G257"/>
    <mergeCell ref="H256:H257"/>
    <mergeCell ref="I256:I257"/>
    <mergeCell ref="J256:J257"/>
    <mergeCell ref="K256:K257"/>
    <mergeCell ref="J240:J243"/>
    <mergeCell ref="K240:K243"/>
    <mergeCell ref="L240:L243"/>
    <mergeCell ref="A244:A316"/>
    <mergeCell ref="C245:C247"/>
    <mergeCell ref="D245:D260"/>
    <mergeCell ref="E245:E260"/>
    <mergeCell ref="F247:F249"/>
    <mergeCell ref="G247:G249"/>
    <mergeCell ref="H247:H249"/>
    <mergeCell ref="D239:D243"/>
    <mergeCell ref="E239:E243"/>
    <mergeCell ref="F240:F243"/>
    <mergeCell ref="G240:G243"/>
    <mergeCell ref="H240:H243"/>
    <mergeCell ref="I240:I243"/>
    <mergeCell ref="L256:L257"/>
    <mergeCell ref="F259:F260"/>
    <mergeCell ref="G259:G260"/>
    <mergeCell ref="H259:H260"/>
    <mergeCell ref="I259:I260"/>
    <mergeCell ref="J259:J260"/>
    <mergeCell ref="K259:K260"/>
    <mergeCell ref="L259:L260"/>
    <mergeCell ref="K222:K228"/>
    <mergeCell ref="L235:L236"/>
    <mergeCell ref="F237:F238"/>
    <mergeCell ref="G237:G238"/>
    <mergeCell ref="H237:H238"/>
    <mergeCell ref="I237:I238"/>
    <mergeCell ref="J237:J238"/>
    <mergeCell ref="K237:K238"/>
    <mergeCell ref="L237:L238"/>
    <mergeCell ref="F235:F236"/>
    <mergeCell ref="G235:G236"/>
    <mergeCell ref="H235:H236"/>
    <mergeCell ref="I235:I236"/>
    <mergeCell ref="J235:J236"/>
    <mergeCell ref="K235:K236"/>
    <mergeCell ref="D230:D238"/>
    <mergeCell ref="E230:E238"/>
    <mergeCell ref="F230:F234"/>
    <mergeCell ref="G230:G234"/>
    <mergeCell ref="H230:H234"/>
    <mergeCell ref="I230:I234"/>
    <mergeCell ref="J230:J234"/>
    <mergeCell ref="K230:K234"/>
    <mergeCell ref="L230:L234"/>
    <mergeCell ref="L217:L218"/>
    <mergeCell ref="D219:D229"/>
    <mergeCell ref="E219:E229"/>
    <mergeCell ref="F219:F221"/>
    <mergeCell ref="G219:G221"/>
    <mergeCell ref="H219:H221"/>
    <mergeCell ref="I219:I221"/>
    <mergeCell ref="J219:J221"/>
    <mergeCell ref="K219:K221"/>
    <mergeCell ref="L219:L221"/>
    <mergeCell ref="F217:F218"/>
    <mergeCell ref="G217:G218"/>
    <mergeCell ref="H217:H218"/>
    <mergeCell ref="I217:I218"/>
    <mergeCell ref="J217:J218"/>
    <mergeCell ref="K217:K218"/>
    <mergeCell ref="D206:D218"/>
    <mergeCell ref="E206:E218"/>
    <mergeCell ref="L222:L228"/>
    <mergeCell ref="F222:F228"/>
    <mergeCell ref="G222:G228"/>
    <mergeCell ref="H222:H228"/>
    <mergeCell ref="I222:I228"/>
    <mergeCell ref="J222:J228"/>
    <mergeCell ref="J211:J212"/>
    <mergeCell ref="K211:K212"/>
    <mergeCell ref="L211:L212"/>
    <mergeCell ref="F213:F215"/>
    <mergeCell ref="G213:G215"/>
    <mergeCell ref="H213:H215"/>
    <mergeCell ref="I213:I215"/>
    <mergeCell ref="J213:J215"/>
    <mergeCell ref="K213:K215"/>
    <mergeCell ref="L213:L215"/>
    <mergeCell ref="F211:F212"/>
    <mergeCell ref="G211:G212"/>
    <mergeCell ref="H211:H212"/>
    <mergeCell ref="I211:I212"/>
    <mergeCell ref="J206:J207"/>
    <mergeCell ref="K206:K207"/>
    <mergeCell ref="L206:L207"/>
    <mergeCell ref="F208:F210"/>
    <mergeCell ref="G208:G210"/>
    <mergeCell ref="H208:H210"/>
    <mergeCell ref="I208:I210"/>
    <mergeCell ref="J208:J210"/>
    <mergeCell ref="K208:K210"/>
    <mergeCell ref="L208:L210"/>
    <mergeCell ref="F206:F207"/>
    <mergeCell ref="G206:G207"/>
    <mergeCell ref="H206:H207"/>
    <mergeCell ref="I206:I207"/>
    <mergeCell ref="H179:H180"/>
    <mergeCell ref="I179:I180"/>
    <mergeCell ref="J179:J180"/>
    <mergeCell ref="K179:K180"/>
    <mergeCell ref="L179:L180"/>
    <mergeCell ref="G179:G180"/>
    <mergeCell ref="L193:L197"/>
    <mergeCell ref="D198:D205"/>
    <mergeCell ref="E198:E205"/>
    <mergeCell ref="F198:F205"/>
    <mergeCell ref="G198:G205"/>
    <mergeCell ref="H198:H205"/>
    <mergeCell ref="I198:I205"/>
    <mergeCell ref="J198:J205"/>
    <mergeCell ref="K198:K205"/>
    <mergeCell ref="L198:L205"/>
    <mergeCell ref="F193:F197"/>
    <mergeCell ref="G193:G197"/>
    <mergeCell ref="H193:H197"/>
    <mergeCell ref="I193:I197"/>
    <mergeCell ref="J193:J197"/>
    <mergeCell ref="K193:K197"/>
    <mergeCell ref="L170:L173"/>
    <mergeCell ref="F175:F176"/>
    <mergeCell ref="G175:G176"/>
    <mergeCell ref="H175:H176"/>
    <mergeCell ref="I175:I176"/>
    <mergeCell ref="J175:J176"/>
    <mergeCell ref="K175:K176"/>
    <mergeCell ref="L175:L176"/>
    <mergeCell ref="B181:B229"/>
    <mergeCell ref="C181:C229"/>
    <mergeCell ref="D181:D197"/>
    <mergeCell ref="E181:E197"/>
    <mergeCell ref="F181:F191"/>
    <mergeCell ref="B179:B180"/>
    <mergeCell ref="C179:C180"/>
    <mergeCell ref="D179:D180"/>
    <mergeCell ref="E179:E180"/>
    <mergeCell ref="F179:F180"/>
    <mergeCell ref="G181:G191"/>
    <mergeCell ref="H181:H191"/>
    <mergeCell ref="I181:I191"/>
    <mergeCell ref="J181:J191"/>
    <mergeCell ref="K181:K191"/>
    <mergeCell ref="L181:L191"/>
    <mergeCell ref="D169:D178"/>
    <mergeCell ref="E169:E178"/>
    <mergeCell ref="F170:F173"/>
    <mergeCell ref="G170:G173"/>
    <mergeCell ref="H170:H173"/>
    <mergeCell ref="I170:I173"/>
    <mergeCell ref="J161:J162"/>
    <mergeCell ref="K161:K162"/>
    <mergeCell ref="L161:L162"/>
    <mergeCell ref="F163:F167"/>
    <mergeCell ref="G163:G167"/>
    <mergeCell ref="H163:H167"/>
    <mergeCell ref="I163:I167"/>
    <mergeCell ref="J163:J167"/>
    <mergeCell ref="K163:K167"/>
    <mergeCell ref="L163:L167"/>
    <mergeCell ref="D149:D168"/>
    <mergeCell ref="E149:E168"/>
    <mergeCell ref="F161:F162"/>
    <mergeCell ref="G161:G162"/>
    <mergeCell ref="H161:H162"/>
    <mergeCell ref="I161:I162"/>
    <mergeCell ref="J170:J173"/>
    <mergeCell ref="K170:K173"/>
    <mergeCell ref="L147:L150"/>
    <mergeCell ref="J153:J154"/>
    <mergeCell ref="K153:K154"/>
    <mergeCell ref="L153:L154"/>
    <mergeCell ref="F155:F159"/>
    <mergeCell ref="G155:G159"/>
    <mergeCell ref="H155:H159"/>
    <mergeCell ref="I155:I159"/>
    <mergeCell ref="J155:J159"/>
    <mergeCell ref="K155:K159"/>
    <mergeCell ref="L155:L159"/>
    <mergeCell ref="F153:F154"/>
    <mergeCell ref="G153:G154"/>
    <mergeCell ref="H153:H154"/>
    <mergeCell ref="I153:I154"/>
    <mergeCell ref="J140:J141"/>
    <mergeCell ref="K140:K141"/>
    <mergeCell ref="L140:L141"/>
    <mergeCell ref="D141:D148"/>
    <mergeCell ref="E141:E148"/>
    <mergeCell ref="F142:F143"/>
    <mergeCell ref="G142:G143"/>
    <mergeCell ref="H142:H143"/>
    <mergeCell ref="I142:I143"/>
    <mergeCell ref="J142:J143"/>
    <mergeCell ref="D132:D140"/>
    <mergeCell ref="E132:E140"/>
    <mergeCell ref="F140:F141"/>
    <mergeCell ref="G140:G141"/>
    <mergeCell ref="H140:H141"/>
    <mergeCell ref="I140:I141"/>
    <mergeCell ref="K142:K143"/>
    <mergeCell ref="L142:L143"/>
    <mergeCell ref="F147:F150"/>
    <mergeCell ref="G147:G150"/>
    <mergeCell ref="H147:H150"/>
    <mergeCell ref="I147:I150"/>
    <mergeCell ref="J147:J150"/>
    <mergeCell ref="K147:K150"/>
    <mergeCell ref="K129:K131"/>
    <mergeCell ref="L129:L131"/>
    <mergeCell ref="J132:J133"/>
    <mergeCell ref="K132:K133"/>
    <mergeCell ref="L132:L133"/>
    <mergeCell ref="F135:F139"/>
    <mergeCell ref="G135:G139"/>
    <mergeCell ref="H135:H139"/>
    <mergeCell ref="I135:I139"/>
    <mergeCell ref="J135:J139"/>
    <mergeCell ref="K135:K139"/>
    <mergeCell ref="L135:L139"/>
    <mergeCell ref="F132:F133"/>
    <mergeCell ref="G132:G133"/>
    <mergeCell ref="H132:H133"/>
    <mergeCell ref="I132:I133"/>
    <mergeCell ref="J124:J125"/>
    <mergeCell ref="K124:K125"/>
    <mergeCell ref="L124:L125"/>
    <mergeCell ref="C126:C129"/>
    <mergeCell ref="D126:D131"/>
    <mergeCell ref="E126:E131"/>
    <mergeCell ref="F126:F128"/>
    <mergeCell ref="G126:G128"/>
    <mergeCell ref="H126:H128"/>
    <mergeCell ref="I126:I128"/>
    <mergeCell ref="D115:D125"/>
    <mergeCell ref="E115:E125"/>
    <mergeCell ref="F124:F125"/>
    <mergeCell ref="G124:G125"/>
    <mergeCell ref="H124:H125"/>
    <mergeCell ref="I124:I125"/>
    <mergeCell ref="J126:J128"/>
    <mergeCell ref="K126:K128"/>
    <mergeCell ref="L126:L128"/>
    <mergeCell ref="F129:F131"/>
    <mergeCell ref="G129:G131"/>
    <mergeCell ref="H129:H131"/>
    <mergeCell ref="I129:I131"/>
    <mergeCell ref="J129:J131"/>
    <mergeCell ref="J115:J118"/>
    <mergeCell ref="K115:K118"/>
    <mergeCell ref="L115:L118"/>
    <mergeCell ref="F119:F123"/>
    <mergeCell ref="G119:G123"/>
    <mergeCell ref="H119:H123"/>
    <mergeCell ref="I119:I123"/>
    <mergeCell ref="J119:J123"/>
    <mergeCell ref="K119:K123"/>
    <mergeCell ref="L119:L123"/>
    <mergeCell ref="F115:F118"/>
    <mergeCell ref="G115:G118"/>
    <mergeCell ref="H115:H118"/>
    <mergeCell ref="I115:I118"/>
    <mergeCell ref="L111:L112"/>
    <mergeCell ref="F113:F114"/>
    <mergeCell ref="G113:G114"/>
    <mergeCell ref="H113:H114"/>
    <mergeCell ref="I113:I114"/>
    <mergeCell ref="J113:J114"/>
    <mergeCell ref="K113:K114"/>
    <mergeCell ref="L113:L114"/>
    <mergeCell ref="F111:F112"/>
    <mergeCell ref="G111:G112"/>
    <mergeCell ref="H111:H112"/>
    <mergeCell ref="I111:I112"/>
    <mergeCell ref="J111:J112"/>
    <mergeCell ref="K111:K112"/>
    <mergeCell ref="I91:I92"/>
    <mergeCell ref="J91:J92"/>
    <mergeCell ref="K91:K92"/>
    <mergeCell ref="J101:J105"/>
    <mergeCell ref="K101:K105"/>
    <mergeCell ref="L101:L105"/>
    <mergeCell ref="F107:F108"/>
    <mergeCell ref="G107:G108"/>
    <mergeCell ref="H107:H108"/>
    <mergeCell ref="I107:I108"/>
    <mergeCell ref="J107:J108"/>
    <mergeCell ref="K107:K108"/>
    <mergeCell ref="L107:L108"/>
    <mergeCell ref="F84:F90"/>
    <mergeCell ref="G84:G90"/>
    <mergeCell ref="H84:H90"/>
    <mergeCell ref="I84:I90"/>
    <mergeCell ref="J84:J90"/>
    <mergeCell ref="K84:K90"/>
    <mergeCell ref="L84:L90"/>
    <mergeCell ref="D101:D109"/>
    <mergeCell ref="E101:E109"/>
    <mergeCell ref="F101:F105"/>
    <mergeCell ref="G101:G105"/>
    <mergeCell ref="H101:H105"/>
    <mergeCell ref="I101:I105"/>
    <mergeCell ref="L91:L92"/>
    <mergeCell ref="F93:F100"/>
    <mergeCell ref="G93:G100"/>
    <mergeCell ref="H93:H100"/>
    <mergeCell ref="I93:I100"/>
    <mergeCell ref="J93:J100"/>
    <mergeCell ref="K93:K100"/>
    <mergeCell ref="L93:L100"/>
    <mergeCell ref="F91:F92"/>
    <mergeCell ref="G91:G92"/>
    <mergeCell ref="H91:H92"/>
    <mergeCell ref="D78:D83"/>
    <mergeCell ref="E78:E83"/>
    <mergeCell ref="F79:F81"/>
    <mergeCell ref="G79:G81"/>
    <mergeCell ref="H79:H81"/>
    <mergeCell ref="I79:I81"/>
    <mergeCell ref="K69:K74"/>
    <mergeCell ref="L69:L74"/>
    <mergeCell ref="F75:F76"/>
    <mergeCell ref="G75:G76"/>
    <mergeCell ref="H75:H76"/>
    <mergeCell ref="I75:I76"/>
    <mergeCell ref="J75:J76"/>
    <mergeCell ref="K75:K76"/>
    <mergeCell ref="L75:L76"/>
    <mergeCell ref="J79:J81"/>
    <mergeCell ref="K79:K81"/>
    <mergeCell ref="L79:L81"/>
    <mergeCell ref="J67:J68"/>
    <mergeCell ref="K67:K68"/>
    <mergeCell ref="L67:L68"/>
    <mergeCell ref="D69:D77"/>
    <mergeCell ref="E69:E77"/>
    <mergeCell ref="F69:F74"/>
    <mergeCell ref="G69:G74"/>
    <mergeCell ref="H69:H74"/>
    <mergeCell ref="I69:I74"/>
    <mergeCell ref="J69:J74"/>
    <mergeCell ref="D66:D68"/>
    <mergeCell ref="E66:E68"/>
    <mergeCell ref="F67:F68"/>
    <mergeCell ref="G67:G68"/>
    <mergeCell ref="H67:H68"/>
    <mergeCell ref="I67:I68"/>
    <mergeCell ref="K58:K61"/>
    <mergeCell ref="L58:L61"/>
    <mergeCell ref="F63:F64"/>
    <mergeCell ref="G63:G64"/>
    <mergeCell ref="H63:H64"/>
    <mergeCell ref="I63:I64"/>
    <mergeCell ref="J63:J64"/>
    <mergeCell ref="K63:K64"/>
    <mergeCell ref="L63:L64"/>
    <mergeCell ref="D54:D56"/>
    <mergeCell ref="E54:E56"/>
    <mergeCell ref="D58:D65"/>
    <mergeCell ref="E58:E65"/>
    <mergeCell ref="F58:F61"/>
    <mergeCell ref="G58:G61"/>
    <mergeCell ref="H58:H61"/>
    <mergeCell ref="I58:I61"/>
    <mergeCell ref="J58:J61"/>
    <mergeCell ref="L47:L48"/>
    <mergeCell ref="D49:D53"/>
    <mergeCell ref="E49:E53"/>
    <mergeCell ref="F49:F50"/>
    <mergeCell ref="G49:G50"/>
    <mergeCell ref="H49:H50"/>
    <mergeCell ref="I49:I50"/>
    <mergeCell ref="J49:J50"/>
    <mergeCell ref="K49:K50"/>
    <mergeCell ref="L49:L50"/>
    <mergeCell ref="F47:F48"/>
    <mergeCell ref="G47:G48"/>
    <mergeCell ref="H47:H48"/>
    <mergeCell ref="I47:I48"/>
    <mergeCell ref="J47:J48"/>
    <mergeCell ref="K47:K48"/>
    <mergeCell ref="L51:L52"/>
    <mergeCell ref="F51:F52"/>
    <mergeCell ref="G51:G52"/>
    <mergeCell ref="H51:H52"/>
    <mergeCell ref="I51:I52"/>
    <mergeCell ref="J51:J52"/>
    <mergeCell ref="K51:K52"/>
    <mergeCell ref="G30:G34"/>
    <mergeCell ref="H30:H34"/>
    <mergeCell ref="I30:I34"/>
    <mergeCell ref="J30:J34"/>
    <mergeCell ref="K30:K34"/>
    <mergeCell ref="K39:K40"/>
    <mergeCell ref="L39:L40"/>
    <mergeCell ref="F42:F46"/>
    <mergeCell ref="G42:G46"/>
    <mergeCell ref="H42:H46"/>
    <mergeCell ref="I42:I46"/>
    <mergeCell ref="J42:J46"/>
    <mergeCell ref="K42:K46"/>
    <mergeCell ref="L42:L46"/>
    <mergeCell ref="D36:D38"/>
    <mergeCell ref="E36:E38"/>
    <mergeCell ref="D39:D48"/>
    <mergeCell ref="E39:E48"/>
    <mergeCell ref="F39:F40"/>
    <mergeCell ref="G39:G40"/>
    <mergeCell ref="H39:H40"/>
    <mergeCell ref="I39:I40"/>
    <mergeCell ref="J39:J40"/>
    <mergeCell ref="G27:G28"/>
    <mergeCell ref="H27:H28"/>
    <mergeCell ref="I27:I28"/>
    <mergeCell ref="J27:J28"/>
    <mergeCell ref="K27:K28"/>
    <mergeCell ref="L27:L28"/>
    <mergeCell ref="L21:L23"/>
    <mergeCell ref="D24:D35"/>
    <mergeCell ref="E24:E35"/>
    <mergeCell ref="F24:F25"/>
    <mergeCell ref="G24:G25"/>
    <mergeCell ref="H24:H25"/>
    <mergeCell ref="I24:I25"/>
    <mergeCell ref="J24:J25"/>
    <mergeCell ref="L24:L25"/>
    <mergeCell ref="F27:F28"/>
    <mergeCell ref="F21:F23"/>
    <mergeCell ref="G21:G23"/>
    <mergeCell ref="H21:H23"/>
    <mergeCell ref="I21:I23"/>
    <mergeCell ref="J21:J23"/>
    <mergeCell ref="K21:K23"/>
    <mergeCell ref="L30:L34"/>
    <mergeCell ref="F30:F34"/>
    <mergeCell ref="D10:D23"/>
    <mergeCell ref="E10:E23"/>
    <mergeCell ref="F10:F12"/>
    <mergeCell ref="G10:G12"/>
    <mergeCell ref="H10:H12"/>
    <mergeCell ref="I10:I12"/>
    <mergeCell ref="J10:J12"/>
    <mergeCell ref="K10:K12"/>
    <mergeCell ref="L10:L12"/>
    <mergeCell ref="L14:L17"/>
    <mergeCell ref="F18:F20"/>
    <mergeCell ref="G18:G20"/>
    <mergeCell ref="H18:H20"/>
    <mergeCell ref="I18:I20"/>
    <mergeCell ref="J18:J20"/>
    <mergeCell ref="K18:K20"/>
    <mergeCell ref="L18:L20"/>
    <mergeCell ref="F14:F17"/>
    <mergeCell ref="G14:G17"/>
    <mergeCell ref="H14:H17"/>
    <mergeCell ref="I14:I17"/>
    <mergeCell ref="J14:J17"/>
    <mergeCell ref="K14:K17"/>
    <mergeCell ref="R3:S3"/>
    <mergeCell ref="T3:V3"/>
    <mergeCell ref="D5:D9"/>
    <mergeCell ref="E5:E9"/>
    <mergeCell ref="F5:F9"/>
    <mergeCell ref="G5:G9"/>
    <mergeCell ref="H5:H9"/>
    <mergeCell ref="I5:I9"/>
    <mergeCell ref="J5:J9"/>
    <mergeCell ref="K5:K9"/>
    <mergeCell ref="L6:L9"/>
  </mergeCells>
  <conditionalFormatting sqref="H360:I360 K360">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'Z:\317\04476\PN_ALT PIRINEU\1. Direccio\1.04 Planificació\Pla Estrategic\Definitiu 2025-2028\[Pla Estrategic ENP 2025-2028_Alt Pirineu_final.xlsx]Full1'!#REF!</xm:f>
          </x14:formula1>
          <xm:sqref>M345:M350 M353:M454 M5 M268:M343 M8:M266 L13:L14 L18 L21 L24 L26:L27 L5:L6 L41:L42 L47 L49 L51 L53:L58 L62:L63 L65:L67 L69 L35:L39 L82:L84 L91 L93 L101 L77:L79 L115 L119:L120 L124 L126:L127 L129 L113 L134:L135 L140 L151:L153 L155:L157 L160:L161 L163 L168:L170 L144:L147 L192:L193 L198 L206 L208 L211 L213 L216:L217 L219 L222 L229:L230 L235 L181 L250:L256 L258:L259 L261:L262 L264 L266 L268:L269 L272:L276 L279:L282 L284:L286 L289 L299 L244:L247 L317 L319 L322 L324 L326:L328 L330:L332 L336 L339 L343:L344 L347:L348 L350:L351 L353 L357:L358 L360 L363:L364 L366:L367 L373:L376 L387 L389 L392 L397 L371 L416 L419:L421 L424 L427 L432 L434 L437:L438 L440 L443 L445 L447 L451:L452 L10 L29:L30 L75 L106:L107 L109:L111 L132 L142 L174:L175 L177:L179 L239:L240 L305:L308 L310 L312:L313 L369 L400 L412 L407:L409 H13:I14 H18:I18 H21:I21 H24:I24 H26:I27 H29:I30 H35:I39 H41:I42 H47:I47 H49:I49 H51:I51 H53:I58 H62:I63 H65:I67 H69:I69 H10:I10 H82:I84 H91:I91 H93:I93 H101:I101 H77:I79 H115:I115 H119:I120 H124:I124 H126:I127 H129:I129 H113:I113 H134:I135 H140:I140 H151:I153 H155:I157 H160:I161 H163:I163 H168:I170 H144:I147 H192:I193 H198:I198 H206:I206 H208:I208 H211:I211 H213:I213 H216:I217 H219:I219 H222:I222 H229:I230 H235:I235 H181:I181 H250:I256 H258:I259 H261:I262 H264:I264 H266:I266 H268:I269 H272:I276 H279:I282 H284:I286 H289:I289 H299:I299 H305:I306 H244:I247 H317:I317 H319:I319 H322:I322 H324:I324 H326:I328 H330:I332 H336:I336 H339:I339 H343:I344 H347:I348 H350:I351 H353:I353 H357:I358 H360:I360 H363:I364 H366:I367 H373:I376 H387:I387 H389:I389 H392:I392 H397:I397 H371:I371 H416:I416 H419:I421 H424:I424 H427:I427 H432:I432 H434:I434 H437:I438 H440:I440 H443:I443 H445:I445 H447:I447 H451:I452 H455:I455 H5:I5 H75:I75 H106:I107 H109:I111 H132:I132 H142:I142 H174:I175 H177:I179 H239:I240 H308:I308 H310:I310 H312:I313 H369:I369 H400:I400 H412:I412 H407:I409</xm:sqref>
        </x14:dataValidation>
        <x14:dataValidation type="list" allowBlank="1" showInputMessage="1" showErrorMessage="1" xr:uid="{00000000-0002-0000-0200-000003000000}">
          <x14:formula1>
            <xm:f>'Z:\317\04476\PN_ALT PIRINEU\1. Direccio\1.04 Planificació\Pla Estrategic\[Model Pla Estrategic ENP_v2024_Alt Pirineu v2 - NCS.xlsx]Full1'!#REF!</xm:f>
          </x14:formula1>
          <xm:sqref>M351:M352 M344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5"/>
  <sheetViews>
    <sheetView topLeftCell="A19" workbookViewId="0">
      <selection activeCell="G38" sqref="G38"/>
    </sheetView>
  </sheetViews>
  <sheetFormatPr defaultColWidth="8.7109375" defaultRowHeight="15"/>
  <cols>
    <col min="1" max="1" width="14.42578125" customWidth="1"/>
    <col min="2" max="2" width="33" customWidth="1"/>
    <col min="3" max="3" width="53.140625" customWidth="1"/>
    <col min="5" max="5" width="30" customWidth="1"/>
    <col min="7" max="7" width="70.140625" customWidth="1"/>
    <col min="9" max="9" width="53.85546875" customWidth="1"/>
  </cols>
  <sheetData>
    <row r="1" spans="1:9">
      <c r="B1" s="4" t="s">
        <v>608</v>
      </c>
      <c r="C1" s="4" t="s">
        <v>613</v>
      </c>
      <c r="D1" s="2"/>
      <c r="E1" s="48" t="s">
        <v>596</v>
      </c>
      <c r="G1" s="66" t="s">
        <v>636</v>
      </c>
      <c r="I1" t="s">
        <v>637</v>
      </c>
    </row>
    <row r="2" spans="1:9">
      <c r="A2" t="s">
        <v>631</v>
      </c>
      <c r="B2" s="64" t="s">
        <v>621</v>
      </c>
      <c r="C2" s="49" t="s">
        <v>567</v>
      </c>
      <c r="E2" s="43" t="s">
        <v>597</v>
      </c>
      <c r="G2" s="67"/>
    </row>
    <row r="3" spans="1:9" ht="30">
      <c r="A3" t="s">
        <v>631</v>
      </c>
      <c r="B3" s="64" t="s">
        <v>622</v>
      </c>
      <c r="C3" s="49" t="s">
        <v>568</v>
      </c>
      <c r="E3" s="43" t="s">
        <v>598</v>
      </c>
      <c r="G3" s="67" t="s">
        <v>638</v>
      </c>
      <c r="I3" s="68" t="s">
        <v>639</v>
      </c>
    </row>
    <row r="4" spans="1:9">
      <c r="A4" t="s">
        <v>631</v>
      </c>
      <c r="B4" s="64" t="s">
        <v>623</v>
      </c>
      <c r="C4" s="49" t="s">
        <v>614</v>
      </c>
      <c r="E4" s="43" t="s">
        <v>599</v>
      </c>
      <c r="G4" s="67" t="s">
        <v>640</v>
      </c>
      <c r="I4" s="69" t="s">
        <v>641</v>
      </c>
    </row>
    <row r="5" spans="1:9">
      <c r="A5" t="s">
        <v>632</v>
      </c>
      <c r="B5" s="65" t="s">
        <v>624</v>
      </c>
      <c r="C5" s="49" t="s">
        <v>569</v>
      </c>
      <c r="E5" s="43" t="s">
        <v>600</v>
      </c>
      <c r="G5" s="67" t="s">
        <v>642</v>
      </c>
      <c r="I5" s="68" t="s">
        <v>643</v>
      </c>
    </row>
    <row r="6" spans="1:9" ht="30">
      <c r="A6" t="s">
        <v>632</v>
      </c>
      <c r="B6" s="65" t="s">
        <v>625</v>
      </c>
      <c r="C6" s="49" t="s">
        <v>570</v>
      </c>
      <c r="E6" s="43" t="s">
        <v>601</v>
      </c>
      <c r="G6" s="67" t="s">
        <v>1828</v>
      </c>
      <c r="I6" s="69" t="s">
        <v>645</v>
      </c>
    </row>
    <row r="7" spans="1:9" ht="30">
      <c r="A7" t="s">
        <v>633</v>
      </c>
      <c r="B7" s="64" t="s">
        <v>609</v>
      </c>
      <c r="C7" s="49" t="s">
        <v>577</v>
      </c>
      <c r="E7" s="43" t="s">
        <v>602</v>
      </c>
      <c r="G7" s="67" t="s">
        <v>644</v>
      </c>
      <c r="I7" s="68" t="s">
        <v>647</v>
      </c>
    </row>
    <row r="8" spans="1:9">
      <c r="A8" t="s">
        <v>634</v>
      </c>
      <c r="B8" s="65" t="s">
        <v>626</v>
      </c>
      <c r="C8" s="49" t="s">
        <v>571</v>
      </c>
      <c r="E8" s="43" t="s">
        <v>603</v>
      </c>
      <c r="G8" s="67" t="s">
        <v>646</v>
      </c>
      <c r="I8" s="69" t="s">
        <v>649</v>
      </c>
    </row>
    <row r="9" spans="1:9">
      <c r="A9" t="s">
        <v>634</v>
      </c>
      <c r="B9" s="65" t="s">
        <v>627</v>
      </c>
      <c r="C9" s="49" t="s">
        <v>615</v>
      </c>
      <c r="G9" s="67" t="s">
        <v>648</v>
      </c>
      <c r="I9" s="68" t="s">
        <v>651</v>
      </c>
    </row>
    <row r="10" spans="1:9" ht="30">
      <c r="A10" t="s">
        <v>634</v>
      </c>
      <c r="B10" s="65" t="s">
        <v>628</v>
      </c>
      <c r="C10" s="49" t="s">
        <v>572</v>
      </c>
      <c r="G10" s="67" t="s">
        <v>650</v>
      </c>
      <c r="I10" s="69" t="s">
        <v>653</v>
      </c>
    </row>
    <row r="11" spans="1:9" ht="30">
      <c r="A11" t="s">
        <v>634</v>
      </c>
      <c r="B11" s="65" t="s">
        <v>629</v>
      </c>
      <c r="C11" s="49" t="s">
        <v>619</v>
      </c>
      <c r="G11" s="67" t="s">
        <v>652</v>
      </c>
      <c r="I11" s="68" t="s">
        <v>655</v>
      </c>
    </row>
    <row r="12" spans="1:9" ht="30">
      <c r="A12" t="s">
        <v>634</v>
      </c>
      <c r="B12" s="65" t="s">
        <v>630</v>
      </c>
      <c r="C12" s="49" t="s">
        <v>573</v>
      </c>
      <c r="G12" s="67" t="s">
        <v>654</v>
      </c>
      <c r="I12" s="69" t="s">
        <v>657</v>
      </c>
    </row>
    <row r="13" spans="1:9" ht="30">
      <c r="A13" t="s">
        <v>635</v>
      </c>
      <c r="B13" s="65" t="s">
        <v>611</v>
      </c>
      <c r="C13" s="49" t="s">
        <v>616</v>
      </c>
      <c r="G13" s="67" t="s">
        <v>656</v>
      </c>
      <c r="I13" s="68" t="s">
        <v>659</v>
      </c>
    </row>
    <row r="14" spans="1:9" ht="30">
      <c r="A14" t="s">
        <v>635</v>
      </c>
      <c r="B14" s="65" t="s">
        <v>610</v>
      </c>
      <c r="C14" s="49" t="s">
        <v>617</v>
      </c>
      <c r="G14" s="67" t="s">
        <v>658</v>
      </c>
      <c r="I14" s="69" t="s">
        <v>661</v>
      </c>
    </row>
    <row r="15" spans="1:9" ht="30">
      <c r="A15" t="s">
        <v>589</v>
      </c>
      <c r="B15" s="65" t="s">
        <v>589</v>
      </c>
      <c r="C15" s="49" t="s">
        <v>574</v>
      </c>
      <c r="G15" s="67" t="s">
        <v>660</v>
      </c>
      <c r="I15" s="68" t="s">
        <v>663</v>
      </c>
    </row>
    <row r="16" spans="1:9" ht="30">
      <c r="C16" s="49" t="s">
        <v>575</v>
      </c>
      <c r="G16" s="67" t="s">
        <v>662</v>
      </c>
      <c r="I16" s="69" t="s">
        <v>665</v>
      </c>
    </row>
    <row r="17" spans="3:9" ht="30">
      <c r="C17" s="49" t="s">
        <v>576</v>
      </c>
      <c r="G17" s="67" t="s">
        <v>664</v>
      </c>
      <c r="I17" s="68" t="s">
        <v>667</v>
      </c>
    </row>
    <row r="18" spans="3:9" ht="30">
      <c r="C18" s="49" t="s">
        <v>618</v>
      </c>
      <c r="G18" s="67" t="s">
        <v>666</v>
      </c>
      <c r="I18" s="69" t="s">
        <v>669</v>
      </c>
    </row>
    <row r="19" spans="3:9">
      <c r="C19" s="49" t="s">
        <v>589</v>
      </c>
      <c r="G19" s="67" t="s">
        <v>668</v>
      </c>
      <c r="I19" s="68" t="s">
        <v>671</v>
      </c>
    </row>
    <row r="20" spans="3:9">
      <c r="G20" s="67" t="s">
        <v>670</v>
      </c>
      <c r="I20" s="69" t="s">
        <v>673</v>
      </c>
    </row>
    <row r="21" spans="3:9">
      <c r="G21" s="67" t="s">
        <v>1840</v>
      </c>
      <c r="I21" s="68" t="s">
        <v>675</v>
      </c>
    </row>
    <row r="22" spans="3:9">
      <c r="G22" s="67" t="s">
        <v>672</v>
      </c>
      <c r="I22" s="69" t="s">
        <v>677</v>
      </c>
    </row>
    <row r="23" spans="3:9">
      <c r="G23" s="67" t="s">
        <v>674</v>
      </c>
      <c r="I23" s="68" t="s">
        <v>679</v>
      </c>
    </row>
    <row r="24" spans="3:9">
      <c r="G24" s="67" t="s">
        <v>676</v>
      </c>
      <c r="I24" s="69" t="s">
        <v>681</v>
      </c>
    </row>
    <row r="25" spans="3:9">
      <c r="G25" s="67" t="s">
        <v>678</v>
      </c>
      <c r="I25" s="68" t="s">
        <v>683</v>
      </c>
    </row>
    <row r="26" spans="3:9">
      <c r="G26" s="67" t="s">
        <v>680</v>
      </c>
      <c r="I26" s="69" t="s">
        <v>685</v>
      </c>
    </row>
    <row r="27" spans="3:9">
      <c r="G27" s="67" t="s">
        <v>682</v>
      </c>
      <c r="I27" s="68" t="s">
        <v>687</v>
      </c>
    </row>
    <row r="28" spans="3:9">
      <c r="G28" s="67" t="s">
        <v>684</v>
      </c>
      <c r="I28" s="69" t="s">
        <v>689</v>
      </c>
    </row>
    <row r="29" spans="3:9">
      <c r="G29" s="67" t="s">
        <v>1870</v>
      </c>
      <c r="I29" s="68" t="s">
        <v>691</v>
      </c>
    </row>
    <row r="30" spans="3:9">
      <c r="G30" s="67" t="s">
        <v>686</v>
      </c>
      <c r="I30" s="69" t="s">
        <v>693</v>
      </c>
    </row>
    <row r="31" spans="3:9">
      <c r="G31" s="67" t="s">
        <v>688</v>
      </c>
      <c r="I31" s="68" t="s">
        <v>695</v>
      </c>
    </row>
    <row r="32" spans="3:9">
      <c r="G32" s="67" t="s">
        <v>690</v>
      </c>
      <c r="I32" s="69" t="s">
        <v>697</v>
      </c>
    </row>
    <row r="33" spans="7:9">
      <c r="G33" s="67" t="s">
        <v>1824</v>
      </c>
      <c r="I33" s="68" t="s">
        <v>699</v>
      </c>
    </row>
    <row r="34" spans="7:9">
      <c r="G34" s="67" t="s">
        <v>692</v>
      </c>
      <c r="I34" s="69" t="s">
        <v>701</v>
      </c>
    </row>
    <row r="35" spans="7:9">
      <c r="G35" s="67" t="s">
        <v>694</v>
      </c>
      <c r="I35" s="68" t="s">
        <v>703</v>
      </c>
    </row>
    <row r="36" spans="7:9">
      <c r="G36" s="67" t="s">
        <v>696</v>
      </c>
      <c r="I36" s="69" t="s">
        <v>691</v>
      </c>
    </row>
    <row r="37" spans="7:9">
      <c r="G37" s="67" t="s">
        <v>1881</v>
      </c>
      <c r="I37" s="68" t="s">
        <v>706</v>
      </c>
    </row>
    <row r="38" spans="7:9">
      <c r="G38" s="67" t="s">
        <v>698</v>
      </c>
      <c r="I38" s="69" t="s">
        <v>708</v>
      </c>
    </row>
    <row r="39" spans="7:9">
      <c r="G39" s="67" t="s">
        <v>700</v>
      </c>
      <c r="I39" s="68" t="s">
        <v>709</v>
      </c>
    </row>
    <row r="40" spans="7:9">
      <c r="G40" s="67" t="s">
        <v>702</v>
      </c>
      <c r="I40" s="69" t="s">
        <v>710</v>
      </c>
    </row>
    <row r="41" spans="7:9">
      <c r="G41" s="67" t="s">
        <v>704</v>
      </c>
      <c r="I41" s="68" t="s">
        <v>711</v>
      </c>
    </row>
    <row r="42" spans="7:9">
      <c r="G42" s="67" t="s">
        <v>705</v>
      </c>
      <c r="I42" s="69" t="s">
        <v>712</v>
      </c>
    </row>
    <row r="43" spans="7:9">
      <c r="G43" s="67" t="s">
        <v>707</v>
      </c>
      <c r="I43" s="68" t="s">
        <v>713</v>
      </c>
    </row>
    <row r="44" spans="7:9">
      <c r="I44" s="69" t="s">
        <v>714</v>
      </c>
    </row>
    <row r="45" spans="7:9">
      <c r="I45" s="68" t="s">
        <v>715</v>
      </c>
    </row>
    <row r="46" spans="7:9">
      <c r="I46" s="69" t="s">
        <v>716</v>
      </c>
    </row>
    <row r="47" spans="7:9">
      <c r="I47" s="68" t="s">
        <v>717</v>
      </c>
    </row>
    <row r="48" spans="7:9">
      <c r="I48" s="69" t="s">
        <v>718</v>
      </c>
    </row>
    <row r="49" spans="9:9">
      <c r="I49" s="68" t="s">
        <v>719</v>
      </c>
    </row>
    <row r="50" spans="9:9">
      <c r="I50" s="69" t="s">
        <v>720</v>
      </c>
    </row>
    <row r="51" spans="9:9">
      <c r="I51" s="68" t="s">
        <v>721</v>
      </c>
    </row>
    <row r="52" spans="9:9">
      <c r="I52" s="69" t="s">
        <v>722</v>
      </c>
    </row>
    <row r="53" spans="9:9">
      <c r="I53" s="68" t="s">
        <v>723</v>
      </c>
    </row>
    <row r="54" spans="9:9">
      <c r="I54" s="69" t="s">
        <v>724</v>
      </c>
    </row>
    <row r="55" spans="9:9">
      <c r="I55" s="68" t="s">
        <v>725</v>
      </c>
    </row>
    <row r="56" spans="9:9">
      <c r="I56" s="69" t="s">
        <v>726</v>
      </c>
    </row>
    <row r="57" spans="9:9">
      <c r="I57" s="68" t="s">
        <v>727</v>
      </c>
    </row>
    <row r="58" spans="9:9">
      <c r="I58" s="69" t="s">
        <v>728</v>
      </c>
    </row>
    <row r="59" spans="9:9">
      <c r="I59" s="68" t="s">
        <v>729</v>
      </c>
    </row>
    <row r="60" spans="9:9">
      <c r="I60" s="69" t="s">
        <v>730</v>
      </c>
    </row>
    <row r="61" spans="9:9">
      <c r="I61" s="68" t="s">
        <v>731</v>
      </c>
    </row>
    <row r="62" spans="9:9">
      <c r="I62" s="69" t="s">
        <v>732</v>
      </c>
    </row>
    <row r="63" spans="9:9">
      <c r="I63" s="68" t="s">
        <v>733</v>
      </c>
    </row>
    <row r="64" spans="9:9">
      <c r="I64" s="69" t="s">
        <v>734</v>
      </c>
    </row>
    <row r="65" spans="9:9">
      <c r="I65" s="68" t="s">
        <v>735</v>
      </c>
    </row>
    <row r="66" spans="9:9">
      <c r="I66" s="69" t="s">
        <v>736</v>
      </c>
    </row>
    <row r="67" spans="9:9">
      <c r="I67" s="68" t="s">
        <v>737</v>
      </c>
    </row>
    <row r="68" spans="9:9">
      <c r="I68" s="69" t="s">
        <v>738</v>
      </c>
    </row>
    <row r="69" spans="9:9">
      <c r="I69" s="68" t="s">
        <v>739</v>
      </c>
    </row>
    <row r="70" spans="9:9">
      <c r="I70" s="69" t="s">
        <v>740</v>
      </c>
    </row>
    <row r="71" spans="9:9">
      <c r="I71" s="68" t="s">
        <v>741</v>
      </c>
    </row>
    <row r="72" spans="9:9">
      <c r="I72" s="69" t="s">
        <v>742</v>
      </c>
    </row>
    <row r="73" spans="9:9">
      <c r="I73" s="68" t="s">
        <v>743</v>
      </c>
    </row>
    <row r="74" spans="9:9">
      <c r="I74" s="69" t="s">
        <v>744</v>
      </c>
    </row>
    <row r="75" spans="9:9">
      <c r="I75" s="68" t="s">
        <v>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CFFE-58D8-4666-A608-6344936E8C5C}">
  <dimension ref="A1:Q21"/>
  <sheetViews>
    <sheetView workbookViewId="0">
      <selection activeCell="C23" sqref="C23"/>
    </sheetView>
  </sheetViews>
  <sheetFormatPr defaultRowHeight="15"/>
  <cols>
    <col min="1" max="1" width="44.7109375" bestFit="1" customWidth="1"/>
    <col min="2" max="2" width="16.7109375" customWidth="1"/>
    <col min="4" max="4" width="11.42578125" customWidth="1"/>
    <col min="5" max="5" width="22.28515625" customWidth="1"/>
    <col min="6" max="6" width="24.28515625" customWidth="1"/>
    <col min="7" max="7" width="14.140625" customWidth="1"/>
    <col min="8" max="8" width="15.7109375" customWidth="1"/>
    <col min="9" max="9" width="18" customWidth="1"/>
    <col min="10" max="10" width="21.42578125" customWidth="1"/>
    <col min="11" max="11" width="18.7109375" customWidth="1"/>
    <col min="12" max="12" width="15.28515625" customWidth="1"/>
    <col min="13" max="13" width="28.7109375" customWidth="1"/>
    <col min="14" max="14" width="46.28515625" customWidth="1"/>
    <col min="15" max="15" width="38.28515625" customWidth="1"/>
    <col min="16" max="16" width="21.7109375" customWidth="1"/>
    <col min="17" max="17" width="16.5703125" customWidth="1"/>
  </cols>
  <sheetData>
    <row r="1" spans="1:17">
      <c r="A1" s="512" t="s">
        <v>1984</v>
      </c>
      <c r="B1" s="513" t="s">
        <v>1985</v>
      </c>
      <c r="D1" s="514" t="s">
        <v>1986</v>
      </c>
      <c r="E1" s="514" t="s">
        <v>1987</v>
      </c>
      <c r="F1" s="514" t="s">
        <v>1988</v>
      </c>
      <c r="G1" s="514" t="s">
        <v>1989</v>
      </c>
      <c r="H1" s="514" t="s">
        <v>1990</v>
      </c>
      <c r="I1" s="514" t="s">
        <v>1991</v>
      </c>
      <c r="J1" s="514" t="s">
        <v>1992</v>
      </c>
      <c r="K1" s="514" t="s">
        <v>1993</v>
      </c>
      <c r="L1" s="514" t="s">
        <v>1994</v>
      </c>
      <c r="M1" s="514" t="s">
        <v>1995</v>
      </c>
      <c r="N1" s="514" t="s">
        <v>1996</v>
      </c>
      <c r="O1" s="514" t="s">
        <v>1997</v>
      </c>
      <c r="P1" s="514" t="s">
        <v>1998</v>
      </c>
      <c r="Q1" s="514" t="s">
        <v>1999</v>
      </c>
    </row>
    <row r="2" spans="1:17">
      <c r="A2" s="514" t="s">
        <v>1986</v>
      </c>
      <c r="B2" t="s">
        <v>2000</v>
      </c>
      <c r="D2" s="514" t="s">
        <v>2001</v>
      </c>
      <c r="E2" s="514" t="s">
        <v>2002</v>
      </c>
      <c r="F2" s="514" t="s">
        <v>2003</v>
      </c>
      <c r="G2" s="514" t="s">
        <v>2004</v>
      </c>
      <c r="H2" s="514" t="s">
        <v>2005</v>
      </c>
      <c r="I2" s="514" t="s">
        <v>2006</v>
      </c>
      <c r="J2" s="514" t="s">
        <v>2146</v>
      </c>
      <c r="K2" s="514" t="s">
        <v>2007</v>
      </c>
      <c r="L2" s="514" t="s">
        <v>2008</v>
      </c>
      <c r="M2" s="514" t="s">
        <v>2009</v>
      </c>
      <c r="N2" s="514" t="s">
        <v>2010</v>
      </c>
      <c r="O2" s="514" t="s">
        <v>2011</v>
      </c>
      <c r="P2" s="514" t="s">
        <v>2012</v>
      </c>
      <c r="Q2" s="514" t="s">
        <v>2013</v>
      </c>
    </row>
    <row r="3" spans="1:17">
      <c r="A3" s="514" t="s">
        <v>1987</v>
      </c>
      <c r="B3" t="s">
        <v>2014</v>
      </c>
      <c r="D3" s="514" t="s">
        <v>2015</v>
      </c>
      <c r="E3" s="514" t="s">
        <v>2016</v>
      </c>
      <c r="F3" s="514" t="s">
        <v>2017</v>
      </c>
      <c r="G3" s="514" t="s">
        <v>2018</v>
      </c>
      <c r="H3" s="514" t="s">
        <v>2019</v>
      </c>
      <c r="I3" s="514" t="s">
        <v>2020</v>
      </c>
      <c r="J3" s="514" t="s">
        <v>2048</v>
      </c>
      <c r="K3" s="514" t="s">
        <v>2021</v>
      </c>
      <c r="L3" s="514" t="s">
        <v>2022</v>
      </c>
      <c r="M3" s="514" t="s">
        <v>2023</v>
      </c>
      <c r="N3" s="514" t="s">
        <v>2024</v>
      </c>
      <c r="O3" s="514" t="s">
        <v>2025</v>
      </c>
      <c r="P3" s="514" t="s">
        <v>2026</v>
      </c>
      <c r="Q3" s="514" t="s">
        <v>2027</v>
      </c>
    </row>
    <row r="4" spans="1:17">
      <c r="A4" s="514" t="s">
        <v>1988</v>
      </c>
      <c r="B4" t="s">
        <v>2028</v>
      </c>
      <c r="D4" s="514" t="s">
        <v>2029</v>
      </c>
      <c r="E4" s="514" t="s">
        <v>2030</v>
      </c>
      <c r="F4" s="514" t="s">
        <v>2031</v>
      </c>
      <c r="G4" s="514" t="s">
        <v>2032</v>
      </c>
      <c r="H4" s="514" t="s">
        <v>2033</v>
      </c>
      <c r="I4" s="514" t="s">
        <v>2034</v>
      </c>
      <c r="J4" s="514" t="s">
        <v>2075</v>
      </c>
      <c r="K4" s="514" t="s">
        <v>2035</v>
      </c>
      <c r="L4" s="514" t="s">
        <v>2036</v>
      </c>
      <c r="M4" s="514" t="s">
        <v>2037</v>
      </c>
      <c r="N4" s="514" t="s">
        <v>2038</v>
      </c>
      <c r="O4" s="514" t="s">
        <v>2039</v>
      </c>
      <c r="P4" s="514" t="s">
        <v>2040</v>
      </c>
      <c r="Q4" s="514" t="s">
        <v>2041</v>
      </c>
    </row>
    <row r="5" spans="1:17">
      <c r="A5" s="514" t="s">
        <v>1989</v>
      </c>
      <c r="B5" t="s">
        <v>2042</v>
      </c>
      <c r="E5" s="514" t="s">
        <v>2043</v>
      </c>
      <c r="F5" s="514" t="s">
        <v>2044</v>
      </c>
      <c r="G5" s="514" t="s">
        <v>2045</v>
      </c>
      <c r="H5" s="514" t="s">
        <v>2046</v>
      </c>
      <c r="I5" s="514" t="s">
        <v>2047</v>
      </c>
      <c r="J5" s="514" t="s">
        <v>2087</v>
      </c>
      <c r="K5" s="514" t="s">
        <v>2049</v>
      </c>
      <c r="L5" s="514" t="s">
        <v>2050</v>
      </c>
      <c r="M5" s="514" t="s">
        <v>2051</v>
      </c>
      <c r="N5" s="514" t="s">
        <v>2052</v>
      </c>
      <c r="O5" s="514" t="s">
        <v>2053</v>
      </c>
      <c r="P5" s="514" t="s">
        <v>2054</v>
      </c>
      <c r="Q5" s="514" t="s">
        <v>2055</v>
      </c>
    </row>
    <row r="6" spans="1:17">
      <c r="A6" s="514" t="s">
        <v>1990</v>
      </c>
      <c r="B6" t="s">
        <v>2056</v>
      </c>
      <c r="E6" s="514" t="s">
        <v>2057</v>
      </c>
      <c r="F6" s="514" t="s">
        <v>2058</v>
      </c>
      <c r="G6" s="514" t="s">
        <v>2059</v>
      </c>
      <c r="H6" s="514" t="s">
        <v>2060</v>
      </c>
      <c r="I6" s="514" t="s">
        <v>2061</v>
      </c>
      <c r="J6" s="514" t="s">
        <v>2149</v>
      </c>
      <c r="K6" s="514" t="s">
        <v>2062</v>
      </c>
      <c r="L6" s="514" t="s">
        <v>2063</v>
      </c>
      <c r="M6" s="514" t="s">
        <v>2064</v>
      </c>
      <c r="N6" s="514" t="s">
        <v>2065</v>
      </c>
      <c r="O6" s="514" t="s">
        <v>2066</v>
      </c>
      <c r="P6" s="514" t="s">
        <v>2067</v>
      </c>
      <c r="Q6" s="514" t="s">
        <v>2068</v>
      </c>
    </row>
    <row r="7" spans="1:17">
      <c r="A7" s="514" t="s">
        <v>1991</v>
      </c>
      <c r="B7" t="s">
        <v>2069</v>
      </c>
      <c r="E7" s="514" t="s">
        <v>2070</v>
      </c>
      <c r="F7" s="514" t="s">
        <v>2071</v>
      </c>
      <c r="G7" s="514" t="s">
        <v>2072</v>
      </c>
      <c r="H7" s="514" t="s">
        <v>2073</v>
      </c>
      <c r="I7" s="514" t="s">
        <v>2074</v>
      </c>
      <c r="J7" s="514" t="s">
        <v>2107</v>
      </c>
      <c r="L7" s="514" t="s">
        <v>2076</v>
      </c>
      <c r="M7" s="514" t="s">
        <v>2077</v>
      </c>
      <c r="N7" s="514" t="s">
        <v>2078</v>
      </c>
      <c r="O7" s="514" t="s">
        <v>2079</v>
      </c>
      <c r="P7" s="514" t="s">
        <v>2080</v>
      </c>
      <c r="Q7" s="514" t="s">
        <v>2081</v>
      </c>
    </row>
    <row r="8" spans="1:17">
      <c r="A8" s="514" t="s">
        <v>1992</v>
      </c>
      <c r="B8" t="s">
        <v>2082</v>
      </c>
      <c r="F8" s="514" t="s">
        <v>2083</v>
      </c>
      <c r="G8" s="514" t="s">
        <v>2084</v>
      </c>
      <c r="H8" s="514" t="s">
        <v>2085</v>
      </c>
      <c r="I8" s="514" t="s">
        <v>2086</v>
      </c>
      <c r="J8" s="514" t="s">
        <v>2150</v>
      </c>
      <c r="L8" s="514" t="s">
        <v>2088</v>
      </c>
      <c r="M8" s="514" t="s">
        <v>2089</v>
      </c>
      <c r="N8" s="514" t="s">
        <v>2090</v>
      </c>
      <c r="O8" s="514" t="s">
        <v>2091</v>
      </c>
      <c r="P8" s="514" t="s">
        <v>2092</v>
      </c>
      <c r="Q8" s="514" t="s">
        <v>2093</v>
      </c>
    </row>
    <row r="9" spans="1:17">
      <c r="A9" s="514" t="s">
        <v>1993</v>
      </c>
      <c r="B9" t="s">
        <v>2094</v>
      </c>
      <c r="F9" s="514" t="s">
        <v>2095</v>
      </c>
      <c r="G9" s="514" t="s">
        <v>2096</v>
      </c>
      <c r="H9" s="514" t="s">
        <v>2097</v>
      </c>
      <c r="I9" s="514" t="s">
        <v>2098</v>
      </c>
      <c r="J9" s="514" t="s">
        <v>2147</v>
      </c>
      <c r="L9" s="514" t="s">
        <v>2099</v>
      </c>
      <c r="M9" s="514" t="s">
        <v>2100</v>
      </c>
      <c r="N9" s="514" t="s">
        <v>2101</v>
      </c>
      <c r="O9" s="514" t="s">
        <v>2102</v>
      </c>
      <c r="P9" s="514" t="s">
        <v>2103</v>
      </c>
    </row>
    <row r="10" spans="1:17">
      <c r="A10" s="514" t="s">
        <v>1994</v>
      </c>
      <c r="B10" t="s">
        <v>2104</v>
      </c>
      <c r="F10" s="514" t="s">
        <v>2105</v>
      </c>
      <c r="I10" s="514" t="s">
        <v>2106</v>
      </c>
      <c r="J10" s="514" t="s">
        <v>2121</v>
      </c>
      <c r="L10" s="514" t="s">
        <v>2108</v>
      </c>
      <c r="M10" s="514" t="s">
        <v>2109</v>
      </c>
      <c r="O10" s="514" t="s">
        <v>2110</v>
      </c>
      <c r="P10" s="514" t="s">
        <v>2111</v>
      </c>
    </row>
    <row r="11" spans="1:17">
      <c r="A11" s="514" t="s">
        <v>1995</v>
      </c>
      <c r="B11" t="s">
        <v>2112</v>
      </c>
      <c r="F11" s="514" t="s">
        <v>2113</v>
      </c>
      <c r="I11" s="514" t="s">
        <v>2114</v>
      </c>
      <c r="J11" s="514" t="s">
        <v>2134</v>
      </c>
      <c r="M11" s="514" t="s">
        <v>2115</v>
      </c>
      <c r="O11" s="514" t="s">
        <v>2116</v>
      </c>
      <c r="P11" s="514" t="s">
        <v>2117</v>
      </c>
    </row>
    <row r="12" spans="1:17">
      <c r="A12" s="514" t="s">
        <v>1996</v>
      </c>
      <c r="B12" t="s">
        <v>2118</v>
      </c>
      <c r="F12" s="514" t="s">
        <v>2119</v>
      </c>
      <c r="I12" s="514" t="s">
        <v>2120</v>
      </c>
      <c r="J12" s="514" t="s">
        <v>2148</v>
      </c>
      <c r="M12" s="514" t="s">
        <v>2122</v>
      </c>
      <c r="O12" s="514" t="s">
        <v>2123</v>
      </c>
      <c r="P12" s="514" t="s">
        <v>2124</v>
      </c>
    </row>
    <row r="13" spans="1:17">
      <c r="A13" s="514" t="s">
        <v>1997</v>
      </c>
      <c r="B13" t="s">
        <v>2125</v>
      </c>
      <c r="F13" s="514" t="s">
        <v>2126</v>
      </c>
      <c r="I13" s="514" t="s">
        <v>2127</v>
      </c>
      <c r="J13" s="514" t="s">
        <v>2151</v>
      </c>
      <c r="M13" s="514" t="s">
        <v>2128</v>
      </c>
      <c r="O13" s="514" t="s">
        <v>2129</v>
      </c>
      <c r="P13" s="514" t="s">
        <v>2130</v>
      </c>
    </row>
    <row r="14" spans="1:17">
      <c r="A14" s="514" t="s">
        <v>1998</v>
      </c>
      <c r="B14" t="s">
        <v>2131</v>
      </c>
      <c r="F14" s="514" t="s">
        <v>2132</v>
      </c>
      <c r="I14" s="514" t="s">
        <v>2133</v>
      </c>
      <c r="J14" s="514"/>
      <c r="M14" s="514" t="s">
        <v>2135</v>
      </c>
      <c r="P14" s="514"/>
    </row>
    <row r="15" spans="1:17">
      <c r="A15" s="514" t="s">
        <v>1999</v>
      </c>
      <c r="B15" t="s">
        <v>2136</v>
      </c>
      <c r="F15" s="514" t="s">
        <v>2137</v>
      </c>
      <c r="I15" s="514" t="s">
        <v>2138</v>
      </c>
      <c r="J15" s="514"/>
      <c r="M15" s="514" t="s">
        <v>2139</v>
      </c>
      <c r="P15" s="514"/>
    </row>
    <row r="16" spans="1:17">
      <c r="F16" s="514" t="s">
        <v>2140</v>
      </c>
      <c r="J16" s="514"/>
      <c r="P16" s="514"/>
    </row>
    <row r="17" spans="3:6">
      <c r="F17" s="514" t="s">
        <v>2141</v>
      </c>
    </row>
    <row r="18" spans="3:6">
      <c r="F18" s="514" t="s">
        <v>2142</v>
      </c>
    </row>
    <row r="19" spans="3:6">
      <c r="C19" t="s">
        <v>763</v>
      </c>
      <c r="F19" s="514" t="s">
        <v>2143</v>
      </c>
    </row>
    <row r="20" spans="3:6">
      <c r="C20" t="s">
        <v>790</v>
      </c>
      <c r="F20" s="514" t="s">
        <v>2144</v>
      </c>
    </row>
    <row r="21" spans="3:6">
      <c r="F21" s="514" t="s">
        <v>2145</v>
      </c>
    </row>
  </sheetData>
  <dataValidations count="2">
    <dataValidation showInputMessage="1" showErrorMessage="1" error=" " promptTitle="Cerca (obligatori)" prompt="Aquest registre de tipus Unitat responsable ja ha d'existir al Microsoft Dynamics 365 o en aquest fitxer d'origen." sqref="A2:A15 D1:Q1" xr:uid="{515D3749-888A-437A-A1A1-5BAC4A5CB257}"/>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K2:K6 L2:L10 M2:M15 N2:N9 O2:P13 D2:D4 P14:P15 J16 I2:J15" xr:uid="{670432DC-89F8-4D90-BBC5-81059D3FA40B}">
      <formula1>200</formula1>
    </dataValidation>
  </dataValidation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7454ABF6DBB141AF3CB8D16AB7A872" ma:contentTypeVersion="8" ma:contentTypeDescription="Crea un document nou" ma:contentTypeScope="" ma:versionID="2021a7530f4558d89db871d305b06fb9">
  <xsd:schema xmlns:xsd="http://www.w3.org/2001/XMLSchema" xmlns:xs="http://www.w3.org/2001/XMLSchema" xmlns:p="http://schemas.microsoft.com/office/2006/metadata/properties" xmlns:ns2="9a081172-b0b2-43c5-ad2b-9c1cb8f67e01" xmlns:ns3="da98c164-a57d-40d4-8901-16c51c954546" targetNamespace="http://schemas.microsoft.com/office/2006/metadata/properties" ma:root="true" ma:fieldsID="a984bbc448a9226f1fda0185f78dfc3b" ns2:_="" ns3:_="">
    <xsd:import namespace="9a081172-b0b2-43c5-ad2b-9c1cb8f67e01"/>
    <xsd:import namespace="da98c164-a57d-40d4-8901-16c51c95454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081172-b0b2-43c5-ad2b-9c1cb8f67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98c164-a57d-40d4-8901-16c51c954546" elementFormDefault="qualified">
    <xsd:import namespace="http://schemas.microsoft.com/office/2006/documentManagement/types"/>
    <xsd:import namespace="http://schemas.microsoft.com/office/infopath/2007/PartnerControls"/>
    <xsd:element name="SharedWithUsers" ma:index="12"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 compartit amb detal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2.xml><?xml version="1.0" encoding="utf-8"?>
<ds:datastoreItem xmlns:ds="http://schemas.openxmlformats.org/officeDocument/2006/customXml" ds:itemID="{7C7093D0-574C-49C0-8DD1-50215F051A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081172-b0b2-43c5-ad2b-9c1cb8f67e01"/>
    <ds:schemaRef ds:uri="da98c164-a57d-40d4-8901-16c51c9545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3BBD1B-D8EB-4F55-AA85-1B39798B5B8A}">
  <ds:schemaRefs>
    <ds:schemaRef ds:uri="http://purl.org/dc/elements/1.1/"/>
    <ds:schemaRef ds:uri="http://schemas.microsoft.com/office/2006/documentManagement/types"/>
    <ds:schemaRef ds:uri="http://purl.org/dc/terms/"/>
    <ds:schemaRef ds:uri="da98c164-a57d-40d4-8901-16c51c954546"/>
    <ds:schemaRef ds:uri="http://purl.org/dc/dcmitype/"/>
    <ds:schemaRef ds:uri="http://schemas.microsoft.com/office/infopath/2007/PartnerControls"/>
    <ds:schemaRef ds:uri="http://schemas.openxmlformats.org/package/2006/metadata/core-properties"/>
    <ds:schemaRef ds:uri="9a081172-b0b2-43c5-ad2b-9c1cb8f67e0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Garriga Lujan, Marc</cp:lastModifiedBy>
  <cp:revision/>
  <dcterms:created xsi:type="dcterms:W3CDTF">2015-06-05T18:17:20Z</dcterms:created>
  <dcterms:modified xsi:type="dcterms:W3CDTF">2026-10-23T07:27:51Z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0x010100F27454ABF6DBB141AF3CB8D16AB7A872</vt:lpwstr>
  </property>
  <property fmtid="{D5CDD505-2E9C-101B-9397-08002B2CF9AE}" pid="3" name="_dlc_DocIdItemGuid">
    <vt:lpwstr>ff0341f0-9088-483e-b5f9-a8fd6d8609de</vt:lpwstr>
  </property>
  <property fmtid="{D5CDD505-2E9C-101B-9397-08002B2CF9AE}" pid="4" name="MediaServiceImageTags">
    <vt:lpwstr/>
  </property>
</Properties>
</file>