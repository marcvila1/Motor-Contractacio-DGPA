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mc:AlternateContent xmlns:mc="http://schemas.openxmlformats.org/markup-compatibility/2006">
    <mc:Choice Requires="x15">
      <x15ac:absPath xmlns:x15ac="http://schemas.microsoft.com/office/spreadsheetml/2010/11/ac" url="https://anthesisllc.sharepoint.com/sites/clients2/Parc Natural de la Zona Volcnica de la Garrotxa/P-1015315 NAT_Apoyo plan estrategico PN Zona volcanica Garrotxa/Analysis/"/>
    </mc:Choice>
  </mc:AlternateContent>
  <xr:revisionPtr revIDLastSave="735" documentId="8_{1CD13647-CBE5-40D2-8A61-74023025265B}" xr6:coauthVersionLast="47" xr6:coauthVersionMax="47" xr10:uidLastSave="{B2418111-BC63-482D-B2EC-8A52F365FB2E}"/>
  <bookViews>
    <workbookView xWindow="-28920" yWindow="-7830" windowWidth="29040" windowHeight="15720" firstSheet="3" activeTab="3" xr2:uid="{00000000-000D-0000-FFFF-FFFF00000000}"/>
  </bookViews>
  <sheets>
    <sheet name="ESTRATÈGIA" sheetId="8" r:id="rId1"/>
    <sheet name="INSTRUCCIONS" sheetId="6" r:id="rId2"/>
    <sheet name="PRIORITZACIÓ" sheetId="7" r:id="rId3"/>
    <sheet name="PLA" sheetId="3" r:id="rId4"/>
    <sheet name="Hores per blocs" sheetId="15" r:id="rId5"/>
    <sheet name="VINCLE AMENAÇA_OBJ. OPERATIU" sheetId="9" r:id="rId6"/>
    <sheet name="Taxonomia Amenaces" sheetId="10" r:id="rId7"/>
    <sheet name="Llistes" sheetId="11" r:id="rId8"/>
    <sheet name="BUIDAT_ACCIONS_vDec" sheetId="14" r:id="rId9"/>
    <sheet name="BUIDAT_ACCIONS_vNov" sheetId="12" state="hidden" r:id="rId10"/>
    <sheet name="Full1" sheetId="5" state="hidden" r:id="rId11"/>
  </sheets>
  <definedNames>
    <definedName name="_xlnm._FilterDatabase" localSheetId="8" hidden="1">BUIDAT_ACCIONS_vDec!$A$1:$O$428</definedName>
    <definedName name="_xlnm._FilterDatabase" localSheetId="9" hidden="1">BUIDAT_ACCIONS_vNov!$A$1:$D$415</definedName>
    <definedName name="_xlnm._FilterDatabase" localSheetId="3" hidden="1">PLA!$A$4:$AF$188</definedName>
    <definedName name="_xlnm._FilterDatabase" localSheetId="2" hidden="1">PRIORITZACIÓ!$A$2:$L$150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3" i="3" l="1"/>
  <c r="L19" i="3"/>
  <c r="L28" i="3"/>
  <c r="L29" i="3"/>
  <c r="L32" i="3"/>
  <c r="L33" i="3"/>
  <c r="L38" i="3"/>
  <c r="L46" i="3"/>
  <c r="L53" i="3"/>
  <c r="L95" i="3"/>
  <c r="L111" i="3"/>
  <c r="L112" i="3"/>
  <c r="L127" i="3"/>
  <c r="L135" i="3"/>
  <c r="L137" i="3"/>
  <c r="L177" i="3"/>
  <c r="L179" i="3"/>
  <c r="L180" i="3"/>
  <c r="L142" i="3"/>
  <c r="L98" i="3"/>
  <c r="L90" i="3"/>
  <c r="L73" i="3"/>
  <c r="L65" i="3"/>
  <c r="L51" i="3"/>
  <c r="L187" i="3"/>
  <c r="L185" i="3"/>
  <c r="L184" i="3"/>
  <c r="L183" i="3"/>
  <c r="L182" i="3"/>
  <c r="L181" i="3"/>
  <c r="L178" i="3"/>
  <c r="L176" i="3"/>
  <c r="L172" i="3"/>
  <c r="L165" i="3"/>
  <c r="L161" i="3"/>
  <c r="L160" i="3"/>
  <c r="L155" i="3"/>
  <c r="L154" i="3"/>
  <c r="L150" i="3"/>
  <c r="L141" i="3"/>
  <c r="L132" i="3"/>
  <c r="L128" i="3"/>
  <c r="L125" i="3"/>
  <c r="L124" i="3"/>
  <c r="L123" i="3"/>
  <c r="L122" i="3"/>
  <c r="L121" i="3"/>
  <c r="L120" i="3"/>
  <c r="L119" i="3"/>
  <c r="L114" i="3"/>
  <c r="L113" i="3"/>
  <c r="L110" i="3"/>
  <c r="L109" i="3"/>
  <c r="L107" i="3"/>
  <c r="L104" i="3"/>
  <c r="L103" i="3"/>
  <c r="L101" i="3"/>
  <c r="L96" i="3"/>
  <c r="L93" i="3"/>
  <c r="L92" i="3"/>
  <c r="L88" i="3"/>
  <c r="L80" i="3"/>
  <c r="L79" i="3"/>
  <c r="L78" i="3"/>
  <c r="L76" i="3"/>
  <c r="L75" i="3"/>
  <c r="L74" i="3"/>
  <c r="L72" i="3"/>
  <c r="L68" i="3"/>
  <c r="L66" i="3"/>
  <c r="L64" i="3"/>
  <c r="L54" i="3"/>
  <c r="L52" i="3"/>
  <c r="L50" i="3"/>
  <c r="L48" i="3"/>
  <c r="L47" i="3"/>
  <c r="L44" i="3"/>
  <c r="L43" i="3"/>
  <c r="L41" i="3"/>
  <c r="L40" i="3"/>
  <c r="L26" i="3"/>
  <c r="L23" i="3"/>
  <c r="L21" i="3"/>
  <c r="L16" i="3"/>
  <c r="L10" i="3"/>
  <c r="E20" i="15"/>
  <c r="F20" i="15" s="1"/>
  <c r="E14" i="15"/>
  <c r="E13" i="15"/>
  <c r="E12" i="15"/>
  <c r="E11" i="15"/>
  <c r="E10" i="15"/>
  <c r="E9" i="15"/>
  <c r="D10" i="15"/>
  <c r="D11" i="15"/>
  <c r="D12" i="15"/>
  <c r="H11" i="15" s="1"/>
  <c r="D13" i="15"/>
  <c r="H12" i="15" s="1"/>
  <c r="D14" i="15"/>
  <c r="D9" i="15"/>
  <c r="C15" i="15"/>
  <c r="L7" i="3"/>
  <c r="L57" i="3"/>
  <c r="L9" i="3"/>
  <c r="L188" i="3"/>
  <c r="L186" i="3"/>
  <c r="L175" i="3"/>
  <c r="L174" i="3"/>
  <c r="L171" i="3"/>
  <c r="L170" i="3"/>
  <c r="L169" i="3"/>
  <c r="L168" i="3"/>
  <c r="L167" i="3"/>
  <c r="L166" i="3"/>
  <c r="L164" i="3"/>
  <c r="L163" i="3"/>
  <c r="L162" i="3"/>
  <c r="L159" i="3"/>
  <c r="L158" i="3"/>
  <c r="L157" i="3"/>
  <c r="L156" i="3"/>
  <c r="L153" i="3"/>
  <c r="L152" i="3"/>
  <c r="L151" i="3"/>
  <c r="L149" i="3"/>
  <c r="L148" i="3"/>
  <c r="L147" i="3"/>
  <c r="L146" i="3"/>
  <c r="L145" i="3"/>
  <c r="L144" i="3"/>
  <c r="L143" i="3"/>
  <c r="L140" i="3"/>
  <c r="L139" i="3"/>
  <c r="L138" i="3"/>
  <c r="L136" i="3"/>
  <c r="L134" i="3"/>
  <c r="L133" i="3"/>
  <c r="L131" i="3"/>
  <c r="L130" i="3"/>
  <c r="L129" i="3"/>
  <c r="L126" i="3"/>
  <c r="L118" i="3"/>
  <c r="L116" i="3"/>
  <c r="L115" i="3"/>
  <c r="L106" i="3"/>
  <c r="L105" i="3"/>
  <c r="L100" i="3"/>
  <c r="L99" i="3"/>
  <c r="L97" i="3"/>
  <c r="L94" i="3"/>
  <c r="L91" i="3"/>
  <c r="L89" i="3"/>
  <c r="L87" i="3"/>
  <c r="L84" i="3"/>
  <c r="L82" i="3"/>
  <c r="L81" i="3"/>
  <c r="L77" i="3"/>
  <c r="L71" i="3"/>
  <c r="L70" i="3"/>
  <c r="L67" i="3"/>
  <c r="L63" i="3"/>
  <c r="L62" i="3"/>
  <c r="L61" i="3"/>
  <c r="L59" i="3"/>
  <c r="L58" i="3"/>
  <c r="L56" i="3"/>
  <c r="L55" i="3"/>
  <c r="L49" i="3"/>
  <c r="L45" i="3"/>
  <c r="L42" i="3"/>
  <c r="L39" i="3"/>
  <c r="L37" i="3"/>
  <c r="L36" i="3"/>
  <c r="L35" i="3"/>
  <c r="L34" i="3"/>
  <c r="L31" i="3"/>
  <c r="L27" i="3"/>
  <c r="L25" i="3"/>
  <c r="L24" i="3"/>
  <c r="L18" i="3"/>
  <c r="L17" i="3"/>
  <c r="L15" i="3"/>
  <c r="L13" i="3"/>
  <c r="L12" i="3"/>
  <c r="L11" i="3"/>
  <c r="L8" i="3"/>
  <c r="L6" i="3"/>
  <c r="F10" i="15" l="1"/>
  <c r="F14" i="15"/>
  <c r="F13" i="15"/>
  <c r="F12" i="15"/>
  <c r="F9" i="15"/>
  <c r="F11" i="15"/>
  <c r="D15" i="15"/>
  <c r="D24" i="15" s="1"/>
  <c r="E25" i="15" s="1"/>
  <c r="B17" i="9"/>
  <c r="F22" i="15" l="1"/>
  <c r="B6" i="9"/>
  <c r="B7" i="9"/>
  <c r="B8" i="9"/>
  <c r="B9" i="9"/>
  <c r="B10" i="9"/>
  <c r="B11" i="9"/>
  <c r="B12" i="9"/>
  <c r="B13" i="9"/>
  <c r="B14" i="9"/>
  <c r="B15" i="9"/>
  <c r="B16" i="9"/>
  <c r="B18" i="9"/>
  <c r="B19" i="9"/>
  <c r="B20" i="9"/>
  <c r="B21" i="9"/>
  <c r="B22" i="9"/>
  <c r="B23" i="9"/>
  <c r="B24" i="9"/>
  <c r="B25" i="9"/>
  <c r="B26" i="9"/>
  <c r="B27" i="9"/>
  <c r="B28" i="9"/>
  <c r="B29" i="9"/>
  <c r="B30" i="9"/>
  <c r="B31" i="9"/>
  <c r="B32" i="9"/>
  <c r="B33" i="9"/>
  <c r="B34" i="9"/>
  <c r="B35" i="9"/>
  <c r="B36" i="9"/>
  <c r="B5" i="9"/>
</calcChain>
</file>

<file path=xl/sharedStrings.xml><?xml version="1.0" encoding="utf-8"?>
<sst xmlns="http://schemas.openxmlformats.org/spreadsheetml/2006/main" count="9111" uniqueCount="2835">
  <si>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</si>
  <si>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</si>
  <si>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</si>
  <si>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</si>
  <si>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</si>
  <si>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</si>
  <si>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</si>
  <si>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</si>
  <si>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</si>
  <si>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</si>
  <si>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</si>
  <si>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</si>
  <si>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</si>
  <si>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</si>
  <si>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</si>
  <si>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</si>
  <si>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</si>
  <si>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</si>
  <si>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</si>
  <si>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</si>
  <si>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</si>
  <si>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</si>
  <si>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</si>
  <si>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</si>
  <si>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</si>
  <si>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</si>
  <si>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</si>
  <si>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</si>
  <si>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</si>
  <si>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</si>
  <si>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</si>
  <si>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</si>
  <si>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</si>
  <si>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</si>
  <si>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</si>
  <si>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</si>
  <si>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</si>
  <si>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</si>
  <si>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</si>
  <si>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</si>
  <si>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ES5120001 "Alta Garrotxa-Massís de les Salines"</t>
  </si>
  <si>
    <t>LLISTAT D'ELEMENTS PRESENT A L'ESPAI</t>
  </si>
  <si>
    <t>AMENACES PER A CADA ELEMENT</t>
  </si>
  <si>
    <t>Hàbitats d'interès comunitari</t>
  </si>
  <si>
    <t>PP 6.2 i 6.3</t>
  </si>
  <si>
    <t>PP A8</t>
  </si>
  <si>
    <t>MAP</t>
  </si>
  <si>
    <t>25% IdR</t>
  </si>
  <si>
    <t>Puntuació IdR</t>
  </si>
  <si>
    <t>PRIORITARI PE</t>
  </si>
  <si>
    <t>Comentaris en cas de canvi en la priorització</t>
  </si>
  <si>
    <t>Amenaça 1 segons taxonomia</t>
  </si>
  <si>
    <t>Amenaça 2 segons taxonomia</t>
  </si>
  <si>
    <t>Amenaça 3 segons taxonomia</t>
  </si>
  <si>
    <t>Altres amenaces</t>
  </si>
  <si>
    <t>Nota: La priorització d'elements actual inclou els Elements Clau que es van determinar en l'instrument de gestió aprovat amb l'Acord de Govern 150/2014 (Annex 6)</t>
  </si>
  <si>
    <t>3130 - Aigües estagnants oligotròfiques o mesotròfiques amb vegetació de Littorelletea uniflorae i/o Isoëto-nanojuncetea</t>
  </si>
  <si>
    <t>Si</t>
  </si>
  <si>
    <t>Sí</t>
  </si>
  <si>
    <t>Desaparició d'activitats tradicionals</t>
  </si>
  <si>
    <t>Gestió de l'aigua</t>
  </si>
  <si>
    <t>Ramaderia</t>
  </si>
  <si>
    <t>Aquest Acord era per les Zones Especials de Conservació, no per les ZEPA i, per tant, no es va fer l'exercici de priorització de les aus.</t>
  </si>
  <si>
    <t>3140 - Aigües oligomesotròfiques calcàries amb vegetació bèntica de Chara spp.</t>
  </si>
  <si>
    <t>També inclou el primer quartil de l'exercici de la UIC per prioritzar els elements present a cada espai de Natura 2000, és a dir, el 25% dels</t>
  </si>
  <si>
    <t>3240 - Rius de tipus alpí amb bosquines de muntanya</t>
  </si>
  <si>
    <t>Impactes del canvi climàtic relatius a l'alteració del règim de precipitació i sequera</t>
  </si>
  <si>
    <t>Molèsties per activitats recreatives</t>
  </si>
  <si>
    <t>elements amb major índex de rellevància a l'espai. Veure document metodològic aquí:</t>
  </si>
  <si>
    <t>3250 - Rius mediterranis amb vegetació del Glaucion flavi</t>
  </si>
  <si>
    <t>3260 - Rius de terra baixa i de la muntanya mitjana amb vegetació submersa o parcialment flotant (Ranunculion fluitantis i Callitricho-Batrachion)</t>
  </si>
  <si>
    <t>https://gencat.sharepoint.com/sites/Informaciiconeixementpatrimoninatural2/Documents%20compartits/Forms/AllItems.aspx?csf=1&amp;web=1&amp;e=3x4ZkK&amp;ovuser=3b9427dc%2Dd30e%2D43bc%2D8c06%2Dff7253676fec%2Cjordiparpal%40gencat%2Ecat&amp;OR=Teams%2DHL&amp;CT=1713942253212&amp;clic</t>
  </si>
  <si>
    <t>3270 - Rius amb vores llotoses colonitzades per herbassars nitròfils del Chenopodion rubri (p.p.) i del Bidention (p.p.)</t>
  </si>
  <si>
    <t>4030 - Landes atlàntiques i subatlàntiques seques</t>
  </si>
  <si>
    <t>Espècies invasores</t>
  </si>
  <si>
    <t>4090 - Matollars xerocàntics endèmics oromediterranis</t>
  </si>
  <si>
    <t>Dubtós</t>
  </si>
  <si>
    <t>Molt poc representatiu per superfície</t>
  </si>
  <si>
    <t>5110 - Boixedes xerotermòfiles permanents, dels vessants rocosos</t>
  </si>
  <si>
    <t>Plagues i patògens</t>
  </si>
  <si>
    <t>5130 - Formacions de Juniperus communis colonitzadores de landes o de pastures calcícoles</t>
  </si>
  <si>
    <t>No</t>
  </si>
  <si>
    <t>Espècie colonitzadora d'espais oberts molt abundant</t>
  </si>
  <si>
    <t>5210 - Màquies i garrigues amb Juniperus spp. arborescents, no dunars</t>
  </si>
  <si>
    <t>6110p - Prats calcàris o basòfils d'Alysso-Sedion albi (*)</t>
  </si>
  <si>
    <t>6210 - Prats -i fàcies emmatades- medioeuropeus, seminaturals, sobre substrat calcari (Festuco-Brometea)</t>
  </si>
  <si>
    <t>6410 - Herbassars de Molinia coerulea en sòls calcaris torbosos o argil·lollimosos (Molinion caeruleae)</t>
  </si>
  <si>
    <t>6420 - Jonqueres i herbassars graminoides humits, mediterranis, del Molinio-Holoschoenion</t>
  </si>
  <si>
    <t>6430 - Herbassars higròfils, tant de marges i vorades com de l'alta muntanya</t>
  </si>
  <si>
    <t>Fitxa ZEC posa 0 ha. No surt a la memòria hàbitats de la AG</t>
  </si>
  <si>
    <t>6510 - Prats de dall de terra baixa i de la muntanya mitjana (Arrhenatherion)</t>
  </si>
  <si>
    <t>Index de rellevància molt elevat però no hi ha a l'espai</t>
  </si>
  <si>
    <t>7220p - Fonts petrificants amb formació de travertí (Cratoneurion commutati)</t>
  </si>
  <si>
    <t>Àrees recretives i turístiques</t>
  </si>
  <si>
    <t>8130 - Tarteres de l'Europa meridional amb vegetació poc o molt termòfila</t>
  </si>
  <si>
    <t>element clau però sense accions associades</t>
  </si>
  <si>
    <t>Espècies desestabilitzades</t>
  </si>
  <si>
    <t>8210 - Costers rocosos calcaris amb vegetació rupícola</t>
  </si>
  <si>
    <t>8220 - Costers rocosos silicis amb vegetació rupícola</t>
  </si>
  <si>
    <t>No és representatiu a l'espai</t>
  </si>
  <si>
    <t>8310 - Coves no explotades pel turisme</t>
  </si>
  <si>
    <t>9120 - Fagedes acidòfiles</t>
  </si>
  <si>
    <t xml:space="preserve">Treballs forestals </t>
  </si>
  <si>
    <t>Impactes del canvi climàtic relatius a l'alteració del règim de temperatures</t>
  </si>
  <si>
    <t>9130 - Fagedes neutròfiles</t>
  </si>
  <si>
    <t>9150 - Fagedes calcícoles xerotermòfiles</t>
  </si>
  <si>
    <t>9160 - Rouredes de roure pènol i boscos mixtos del Carpinion betuli</t>
  </si>
  <si>
    <t>9180p - Boscos de vessants rostos, tarteres o barrancs, del Tilio-Acerion</t>
  </si>
  <si>
    <t>NO present a l'espai</t>
  </si>
  <si>
    <t>91E0p - Vernedes i altres boscos de ribera afins (Alno-Padion)</t>
  </si>
  <si>
    <t>9240 - Rouredes ibèriques de roure valencià (Quercus faginea) i roure africà (Quercus canariensis)</t>
  </si>
  <si>
    <t>9260 - Castanyedes</t>
  </si>
  <si>
    <t>Poc representatiu a l'espai</t>
  </si>
  <si>
    <t>9330 - Suredes</t>
  </si>
  <si>
    <t>9340 - Alzinars i carrascars</t>
  </si>
  <si>
    <t>9530p - Pinedes submediterrànies de pinassa (Pinus nigra subsp. salzmannii)</t>
  </si>
  <si>
    <t>Poca superfície a l'espai</t>
  </si>
  <si>
    <t>9540 - Pinedes mediterrànies</t>
  </si>
  <si>
    <t>rellevant per gestió risc d'incendis</t>
  </si>
  <si>
    <t>9580p - Boscs mediterranis de Taxus baccata (*)</t>
  </si>
  <si>
    <t>Espècies presents a l'espai</t>
  </si>
  <si>
    <t>Abida gittenbergeri</t>
  </si>
  <si>
    <t>Abida secale affinis</t>
  </si>
  <si>
    <t>Acanthocreagris granulata</t>
  </si>
  <si>
    <t>Accipiter gentilis gentilis</t>
  </si>
  <si>
    <t>Espècie forestal no amenaçada</t>
  </si>
  <si>
    <t>Actitis hypoleucos</t>
  </si>
  <si>
    <t>no present a l'Alta Garrotxa (deu ser a Salines?)</t>
  </si>
  <si>
    <t>Alcedo atthis</t>
  </si>
  <si>
    <t>Poc representatiu perquè hi ha pocs rius de cabal permanent, però surt a Directiva aus</t>
  </si>
  <si>
    <t>Polució aquàtica</t>
  </si>
  <si>
    <t>Allium pyrenaicum</t>
  </si>
  <si>
    <t>Alytes obstetricans</t>
  </si>
  <si>
    <t>Anas platyrhynchos</t>
  </si>
  <si>
    <t>Molt abundant arreu i gens representatiu de l'espai</t>
  </si>
  <si>
    <t>Anthus campestris</t>
  </si>
  <si>
    <t>No present a l'espai</t>
  </si>
  <si>
    <t>Aquila chrysaetos</t>
  </si>
  <si>
    <t>Caça i recol·lecció d'animals</t>
  </si>
  <si>
    <t>Arvicola sapidus</t>
  </si>
  <si>
    <t>Austropotamobius pallipes</t>
  </si>
  <si>
    <t>Barbastella barbastellus</t>
  </si>
  <si>
    <t>Modificació del clima</t>
  </si>
  <si>
    <t>Barbus meridionalis</t>
  </si>
  <si>
    <t>Pesca i semblants</t>
  </si>
  <si>
    <t>Belisarius xambeui</t>
  </si>
  <si>
    <t>Bofilliella subarcuata</t>
  </si>
  <si>
    <t>Foc</t>
  </si>
  <si>
    <t>Bubo bubo</t>
  </si>
  <si>
    <t>Buteo buteo</t>
  </si>
  <si>
    <t>Poc representatiu de l'espai, està més associat a planes agrícoles</t>
  </si>
  <si>
    <t>Callimorpha quadripunctaria</t>
  </si>
  <si>
    <t>Calotriton asper</t>
  </si>
  <si>
    <t>Canis lupus</t>
  </si>
  <si>
    <t>No està establert com a reproductor</t>
  </si>
  <si>
    <t>Caprimulgus europaeus</t>
  </si>
  <si>
    <t xml:space="preserve">No està amenaçat i no tenim dades </t>
  </si>
  <si>
    <t>Cerambyx cerdo</t>
  </si>
  <si>
    <t>Certhia brachydactyla all others</t>
  </si>
  <si>
    <t>Abundant</t>
  </si>
  <si>
    <t>Cinclus cinclus</t>
  </si>
  <si>
    <t>Circaetus gallicus</t>
  </si>
  <si>
    <t>Circus cyaneus</t>
  </si>
  <si>
    <t>No present a l'Alta Garrotxa</t>
  </si>
  <si>
    <t>Coenagrion mercuriale</t>
  </si>
  <si>
    <t>Columba palumbus palumbus</t>
  </si>
  <si>
    <t>Molt abundant</t>
  </si>
  <si>
    <t>Coronella austriaca</t>
  </si>
  <si>
    <t>Coturnix coturnix</t>
  </si>
  <si>
    <t>Dichoropetalum schottii</t>
  </si>
  <si>
    <t>Dryocopus martius</t>
  </si>
  <si>
    <t>Dryopteris remota</t>
  </si>
  <si>
    <t>Emberiza martius</t>
  </si>
  <si>
    <t>ERROR. Si es refereix al repicatalons Emberiza shoeniclus, no està present a l'Alta Garrotxa</t>
  </si>
  <si>
    <t>Eriogaster catax</t>
  </si>
  <si>
    <t>No especificada</t>
  </si>
  <si>
    <t>Euphorbia duvalii</t>
  </si>
  <si>
    <t>Euphydryas aurinia</t>
  </si>
  <si>
    <t>Euplagia quadripunctaria</t>
  </si>
  <si>
    <t>Espècie dublicada degut a canvi de gènere</t>
  </si>
  <si>
    <t>Falco peregrinus</t>
  </si>
  <si>
    <t>Falco subbuteo</t>
  </si>
  <si>
    <t>Falco tinnunculus</t>
  </si>
  <si>
    <t>Fringilla coelebs all others</t>
  </si>
  <si>
    <t>Galerida cristata</t>
  </si>
  <si>
    <t>Glandora oleifolia</t>
  </si>
  <si>
    <t>Graellsia isabellae</t>
  </si>
  <si>
    <t>Gypaetus barbatus</t>
  </si>
  <si>
    <t>Gyps fulvus</t>
  </si>
  <si>
    <t>Hieraaetus fasciatus</t>
  </si>
  <si>
    <t>Cuabarrada no nidificant, només cites puntuals</t>
  </si>
  <si>
    <t>Hieraaetus pennatus</t>
  </si>
  <si>
    <t>Hierophis viridiflavus</t>
  </si>
  <si>
    <t>Islamia globulus =
Neohoratia
globulus globulus</t>
  </si>
  <si>
    <t>Jynx torquilla</t>
  </si>
  <si>
    <t>Lanius collurio</t>
  </si>
  <si>
    <t>Larus michahellis</t>
  </si>
  <si>
    <t>No present</t>
  </si>
  <si>
    <t>Limax cinereoniger</t>
  </si>
  <si>
    <t>Lithobius allothyphlus</t>
  </si>
  <si>
    <t>Loxia curvirostra</t>
  </si>
  <si>
    <t>Escàs</t>
  </si>
  <si>
    <t>Lucanus cervus</t>
  </si>
  <si>
    <t>Lullula arborea</t>
  </si>
  <si>
    <t>Lutra lutra</t>
  </si>
  <si>
    <t>Mauremys leprosa</t>
  </si>
  <si>
    <t>No present a l'AG</t>
  </si>
  <si>
    <t>Merops apiaster</t>
  </si>
  <si>
    <t>No representatiu de l'espai</t>
  </si>
  <si>
    <t>Milvus milvus</t>
  </si>
  <si>
    <t>Miniopterus schreibersii</t>
  </si>
  <si>
    <t>Moitessieria collensis</t>
  </si>
  <si>
    <t>Moitessieria mugae</t>
  </si>
  <si>
    <t>Muscicapa striata</t>
  </si>
  <si>
    <t>Mustela nivalis</t>
  </si>
  <si>
    <t>Mustela putorius</t>
  </si>
  <si>
    <t>Myotis alcathoe</t>
  </si>
  <si>
    <t>Myotis bechsteinii</t>
  </si>
  <si>
    <t>Myotis blythii</t>
  </si>
  <si>
    <t>Myotis capaccinii</t>
  </si>
  <si>
    <t>Myotis daubentonii</t>
  </si>
  <si>
    <t>Myotis emarginatus</t>
  </si>
  <si>
    <t>Myotis myotis</t>
  </si>
  <si>
    <t>Neophron percnopterus</t>
  </si>
  <si>
    <t>Otus scops</t>
  </si>
  <si>
    <t>Oxygastra curtisii</t>
  </si>
  <si>
    <t>Passer montanus</t>
  </si>
  <si>
    <t>Pelobates cultripes</t>
  </si>
  <si>
    <t>Periparus ater all others</t>
  </si>
  <si>
    <t>Pernis apivorus</t>
  </si>
  <si>
    <t>Phengaris arion = Maculinea arion</t>
  </si>
  <si>
    <t>Poecile palustris</t>
  </si>
  <si>
    <t>Polygala vayredae</t>
  </si>
  <si>
    <t>Plantacions forestals</t>
  </si>
  <si>
    <t>Pyrrhocorax pyrrhocorax</t>
  </si>
  <si>
    <t>Pyrrhula pyrrhula</t>
  </si>
  <si>
    <t>Poc representatiu</t>
  </si>
  <si>
    <t>Rana temporaria</t>
  </si>
  <si>
    <t>Rhinolophus euryale</t>
  </si>
  <si>
    <t>Rhinolophus ferrumequinum</t>
  </si>
  <si>
    <t>Rhinolophus hipposideros</t>
  </si>
  <si>
    <t>Rhyparomeris lineata</t>
  </si>
  <si>
    <t>Roncus judsoni</t>
  </si>
  <si>
    <t>Rosalia alpina</t>
  </si>
  <si>
    <t>Saxicola torquatus</t>
  </si>
  <si>
    <t>Scolopax rusticola</t>
  </si>
  <si>
    <t>Squalius laietanus</t>
  </si>
  <si>
    <t>Streptopelia turtur</t>
  </si>
  <si>
    <t>Sylvia cantillans</t>
  </si>
  <si>
    <t>Sylvia undata</t>
  </si>
  <si>
    <t>Testudo hermanni</t>
  </si>
  <si>
    <t>Tichodroma muraria</t>
  </si>
  <si>
    <t>Timon lepidus</t>
  </si>
  <si>
    <t>Triturus marmoratus</t>
  </si>
  <si>
    <t>Troglodytes troglodytes all others</t>
  </si>
  <si>
    <t>Upupa epops</t>
  </si>
  <si>
    <t>Zamenis longissimus</t>
  </si>
  <si>
    <t>Es posa la priorització segons el MAP i la del Pla de protecció (EC en alguna de les tres categories de les taules A8.1 i A8.2)</t>
  </si>
  <si>
    <t>En blau, espècies que no surten al MAP i s'afegeixen en aparèixer al llistat de l'índex de rellevància</t>
  </si>
  <si>
    <t>En vermell, espècies presents a les taules 6.2 i 6.3 de la memòria del Pla de protecció (criteris recollits a l'annex 2)</t>
  </si>
  <si>
    <t>MODEL DE PLA ESTRATÈGIC PELS ENP</t>
  </si>
  <si>
    <t>Espai natural protegit:</t>
  </si>
  <si>
    <t>Alta Garrotxa</t>
  </si>
  <si>
    <t>Fita a assolir en 4 anys</t>
  </si>
  <si>
    <t>Calendarització interna</t>
  </si>
  <si>
    <t>Gestió interna</t>
  </si>
  <si>
    <t>EIXOS</t>
  </si>
  <si>
    <t>Objectius generals (PP)</t>
  </si>
  <si>
    <t>Objectius estratègics</t>
  </si>
  <si>
    <t>OBJECTIUS operatius</t>
  </si>
  <si>
    <t>Comú / Específic</t>
  </si>
  <si>
    <t>Obligatori / Optatiu</t>
  </si>
  <si>
    <t>Marc de referència</t>
  </si>
  <si>
    <t>Resultats derivats</t>
  </si>
  <si>
    <t>Objectius operatius Alta Garrotxa</t>
  </si>
  <si>
    <t>Justificació del canvi o no inclusió d'un OP</t>
  </si>
  <si>
    <t>Objectiu aplicable amb accions que depenen de l'AG</t>
  </si>
  <si>
    <t>Objectiu aplicable amb accions que depenen de la Direcció General de PAMN</t>
  </si>
  <si>
    <t>Prioritat</t>
  </si>
  <si>
    <t>Proposta d'accions</t>
  </si>
  <si>
    <t>Proposta concreta d'accions</t>
  </si>
  <si>
    <r>
      <t>Mesures MAP</t>
    </r>
    <r>
      <rPr>
        <b/>
        <sz val="11"/>
        <color rgb="FFFF0000"/>
        <rFont val="Calibri"/>
        <family val="2"/>
        <scheme val="minor"/>
      </rPr>
      <t xml:space="preserve"> Traslladar observacions en vermell al MAP de l'Alta Garrotxa</t>
    </r>
  </si>
  <si>
    <t>Mesures PPAG</t>
  </si>
  <si>
    <t>Mesures d'altres plans</t>
  </si>
  <si>
    <t>Indicadors</t>
  </si>
  <si>
    <t>Valor mínim</t>
  </si>
  <si>
    <t>Valor objectiu (desitjable)</t>
  </si>
  <si>
    <t>Executat/ en curs</t>
  </si>
  <si>
    <t>2026/27</t>
  </si>
  <si>
    <t>2027/28</t>
  </si>
  <si>
    <t>2028/29</t>
  </si>
  <si>
    <t>2029/30</t>
  </si>
  <si>
    <t>Hores de dedicació</t>
  </si>
  <si>
    <t>Àrea responsable</t>
  </si>
  <si>
    <t>Persona responsable</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</si>
  <si>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</si>
  <si>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</si>
  <si>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</si>
  <si>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</si>
  <si>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</si>
  <si>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</si>
  <si>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</si>
  <si>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</si>
  <si>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SFF: Elaboració de plans de gestió específics per a espècies de conservació prioritària i directrius de gestió d'hàbitats.
SFF/SENP: Definir a nivell de cluster quins son els que es poden elaborar conjuntament.</t>
  </si>
  <si>
    <t>Implementar i executar plans i mesures de gestió específiques per a hàbitats i espècies de conservació prioritària dins l'ENP</t>
  </si>
  <si>
    <t>Canvi de redactat OP. Implementació d'accions no emmarcades en un Pla de gestió específic</t>
  </si>
  <si>
    <t>ALTA</t>
  </si>
  <si>
    <t>Implementació del PIRE i de millores en el maneig de les activitats agràries_CAG, FPC i DGPA
Millora d'hàbitats i espècies de conservació prioritària (espais oberts, fluvials, basses, boscos, etc) d'acord el PPAG_CAG
Disseny del pla de seguiment de la biodiversitat de l'Alta Garrotxa_CAG i DGPA
Gestió de l'ús públic per protegir hàbitats i espècies de conservació prioritària d'acord amb PPAG i el PUP (escalada, bany, barrancs, etc)_CAG</t>
  </si>
  <si>
    <r>
      <rPr>
        <sz val="11"/>
        <color rgb="FFFF0000"/>
        <rFont val="Calibri"/>
        <family val="2"/>
      </rPr>
      <t>REVISAR EL MAP I DISTRIBUIR ACCIONS A LA RESTA DE PLA ESTRATÈGIC</t>
    </r>
    <r>
      <rPr>
        <sz val="11"/>
        <color rgb="FF00B0F0"/>
        <rFont val="Calibri"/>
        <family val="2"/>
      </rPr>
      <t xml:space="preserve"> *Recuperació d'hàbitat6210 i espècies associades a espais oberts (ratpenats, papallones, aus, insectes pol·linitzadors (relacionar amb espècies concretes)
*Cartografia i proposta gestió hàbitats fluvials 91E0p, 3250, 3260, 3270
amb perspectiva canvi climàtic
*Millora de basses i punts d'aigua
* Gestió ús públic gorgues (fonts petrificants 7221) (gestió barrancs i restauració hàbitat)
* Seguiment de la regulació de l'escalada per afectació als costers rocosos 8210 i de l'imapcte sobre fauna i flora rupícoles
* Seguiment de les comunicacions d'espeleologia per les coves no explotades pel turisme 8310
* Estudi fauna cavernícola i ratpenats 8310 (invertebrats)
* Dissenyar Pla de Seguiment de la biodiversitat de l'ALta Garrotxa (identifcar grups de fauna i flora protegida) Cerambix cerdo, Cinclus cinclus, rèptils i tot el que estigui al llistat i no es fa cap seguiment concret, Distribució escarbats saproxilics, guatlla i becada, tortora i ungulats salvatges, escorxador , cotoliu, turó, mustela, gat salvatge
* 9120, 9130, 9150, 9160, 9340, 9240 treballs forestals adaptació al canvi climàtic i lliure evolució tendència a la maduresa
* Estudi preliminar presència i distribució gasteròpodes amenaçats (prioritat baixa)
* Cartografia distribució amfibis
* Seguiment amfibis (mig termini)
* Seguiment rupícoles en zones escalada
* Seguiment àguila daurada
* Estudi rata d'aigua Arvicola sapidus (priorita baixa)
* Cranc de riu ho fa la Gene (impuls)
* Promoure recerca duc (rapis nocturns)
* Gestió de la convivència amb el llop (impuls)
* Seguiment SEGRE, SOCC, trencalòs
*  Seguiment flora amenaçada i accions de conservació (6 taxons)
</t>
    </r>
    <r>
      <rPr>
        <sz val="11"/>
        <color rgb="FFFF0000"/>
        <rFont val="Calibri"/>
        <family val="2"/>
      </rPr>
      <t xml:space="preserve">*Redacció del projecte executiu d’intervenció forestal per a la millora de l’hàbitat de Polygala vayredae
*Seguiment de l'estat ecològic dels prats a l'Alta Garrotxa
</t>
    </r>
    <r>
      <rPr>
        <sz val="11"/>
        <color rgb="FF00B0F0"/>
        <rFont val="Calibri"/>
        <family val="2"/>
      </rPr>
      <t>* Coordinació amb Caça per sp aus cinegetiques i ungulats
* restauració bosc ribera
* seguiment aufrany
* Suport a la FPC en l'elaboració de plans de maneig per la gesitó de pastures i seguiment en les zones on s'han realitzat cremes prescrites (proiecte Foc i Biodiversitat i Projecte Forwards_CAG</t>
    </r>
    <r>
      <rPr>
        <sz val="11"/>
        <color rgb="FFFF0000"/>
        <rFont val="Calibri"/>
        <family val="2"/>
      </rPr>
      <t xml:space="preserve"> (en algun cas pot afectar especies i hàbitats interès comunitari. 
* Millora de la senyalització dels itineraris (zona del Comanegra) per evitar els impactes del senderisme dispers per accedir al cim i l'afectació al 6210.
* Coordinació amb els cossos de seguretat i CAR en cas d'incidències sobre habitats forestals protegits (ex. teixedes)_CAG</t>
    </r>
    <r>
      <rPr>
        <sz val="11"/>
        <color rgb="FF00B0F0"/>
        <rFont val="Calibri"/>
        <family val="2"/>
      </rPr>
      <t xml:space="preserve">
</t>
    </r>
  </si>
  <si>
    <r>
      <t>*Control sanitari de la població de cranc de riu.</t>
    </r>
    <r>
      <rPr>
        <sz val="11"/>
        <color rgb="FFFF0000"/>
        <rFont val="Calibri"/>
        <family val="2"/>
        <scheme val="minor"/>
      </rPr>
      <t xml:space="preserve"> Ho fa la generalitat</t>
    </r>
    <r>
      <rPr>
        <sz val="11"/>
        <color theme="1"/>
        <rFont val="Calibri"/>
        <family val="2"/>
        <scheme val="minor"/>
      </rPr>
      <t xml:space="preserve">
*Consolidació del programa de cria en captivitat del cranc de riu autòcton.</t>
    </r>
    <r>
      <rPr>
        <sz val="11"/>
        <color rgb="FFFF0000"/>
        <rFont val="Calibri"/>
        <family val="2"/>
        <scheme val="minor"/>
      </rPr>
      <t>Ho fa la generalitat</t>
    </r>
    <r>
      <rPr>
        <sz val="11"/>
        <color theme="1"/>
        <rFont val="Calibri"/>
        <family val="2"/>
        <scheme val="minor"/>
      </rPr>
      <t xml:space="preserve">
*Actuacions de conservació de les zones conegudes de posta regular de les especies de peixos d'interès comunitari.</t>
    </r>
    <r>
      <rPr>
        <sz val="11"/>
        <color rgb="FFFF0000"/>
        <rFont val="Calibri"/>
        <family val="2"/>
        <scheme val="minor"/>
      </rPr>
      <t>Ho podem parlar amb en Quim Pou. El primer pas és identificar això com una part de l'estudi de seguiment de peixos.</t>
    </r>
    <r>
      <rPr>
        <sz val="11"/>
        <color theme="1"/>
        <rFont val="Calibri"/>
        <family val="2"/>
        <scheme val="minor"/>
      </rPr>
      <t xml:space="preserve">
*Actuacions de millora d'hàbitat en boscos subalpins amb presència espècies amenaçades. </t>
    </r>
    <r>
      <rPr>
        <sz val="11"/>
        <color rgb="FFFF0000"/>
        <rFont val="Calibri"/>
        <family val="2"/>
        <scheme val="minor"/>
      </rPr>
      <t>No en tenim. Traslladar al MAP original</t>
    </r>
    <r>
      <rPr>
        <sz val="11"/>
        <color theme="1"/>
        <rFont val="Calibri"/>
        <family val="2"/>
        <scheme val="minor"/>
      </rPr>
      <t xml:space="preserve">
*Actuacions de manteniment dels matollars d’arç blanc i aranyoner, principals plantes nutrícies d'Eriogaster catax. </t>
    </r>
    <r>
      <rPr>
        <sz val="11"/>
        <color rgb="FFFF0000"/>
        <rFont val="Calibri"/>
        <family val="2"/>
        <scheme val="minor"/>
      </rPr>
      <t xml:space="preserve">Es pot dir que ho fem quan fem espais oberts en deixar zona de més baixa intensitat i creant zones ecotons en el perímetre. INtegrar en els criteris d'EEOO aquestes espècies especificament. Integrar en el MAP original aquest aclariment. </t>
    </r>
    <r>
      <rPr>
        <sz val="11"/>
        <color theme="1"/>
        <rFont val="Calibri"/>
        <family val="2"/>
        <scheme val="minor"/>
      </rPr>
      <t xml:space="preserve">
*Actuacions de manteniment de les masses de lligabosc (Lonicera sp) com a principal planta nutrícia d'Euphydryas aurinia.</t>
    </r>
    <r>
      <rPr>
        <sz val="11"/>
        <color rgb="FFFF0000"/>
        <rFont val="Calibri"/>
        <family val="2"/>
        <scheme val="minor"/>
      </rPr>
      <t>Es pot dir que ho fem quan fem espais oberts en deixar zona de més baixa intensitat i creant zones ecotons en el perímetre. INtegrar en els criteris d'EEOO aquestes espècies especificament. Integrar en el MAP original aquest aclariment.</t>
    </r>
    <r>
      <rPr>
        <sz val="11"/>
        <color theme="1"/>
        <rFont val="Calibri"/>
        <family val="2"/>
        <scheme val="minor"/>
      </rPr>
      <t xml:space="preserve">
*Actuacions de manteniment de les masses de Pinus sylvestris i Pinus nigra en les principals àrees de distribució de Graellsia isabelae. Establiment de rodals amb gestió adaptativa pel manteniment dels processos ecològics.
*Actuacions de millora de l'habitat de Lutra lutra.</t>
    </r>
    <r>
      <rPr>
        <sz val="11"/>
        <color rgb="FFFF0000"/>
        <rFont val="Calibri"/>
        <family val="2"/>
        <scheme val="minor"/>
      </rPr>
      <t xml:space="preserve"> L'espècie està en expansió. No es prioritari en aquest Pla estratègic. </t>
    </r>
    <r>
      <rPr>
        <sz val="11"/>
        <color theme="1"/>
        <rFont val="Calibri"/>
        <family val="2"/>
        <scheme val="minor"/>
      </rPr>
      <t xml:space="preserve">
*Actuacions de restauració de zones de cria d'Emys orbicularis i Mauremys leprosa.</t>
    </r>
    <r>
      <rPr>
        <sz val="11"/>
        <color rgb="FFFF0000"/>
        <rFont val="Calibri"/>
        <family val="2"/>
        <scheme val="minor"/>
      </rPr>
      <t>No aplica a AG</t>
    </r>
    <r>
      <rPr>
        <sz val="11"/>
        <color theme="1"/>
        <rFont val="Calibri"/>
        <family val="2"/>
        <scheme val="minor"/>
      </rPr>
      <t xml:space="preserve">
*Actuacions per mantenir una estructura vegetal adequada en zones properes a l'entrada de coves/refugis amb presència de rats-penats. </t>
    </r>
    <r>
      <rPr>
        <sz val="11"/>
        <color rgb="FFFF0000"/>
        <rFont val="Calibri"/>
        <family val="2"/>
        <scheme val="minor"/>
      </rPr>
      <t xml:space="preserve">Es va fer alguna actuació a la cova de polí. Si fem un seguiment de ratpenats valorar si és necessari. </t>
    </r>
    <r>
      <rPr>
        <sz val="11"/>
        <color theme="1"/>
        <rFont val="Calibri"/>
        <family val="2"/>
        <scheme val="minor"/>
      </rPr>
      <t xml:space="preserve">
*Col·locació de caixes refugi per a ratpenats com a mesura transitòria fins que s’aconsegueixi el grau de maduresa i l’abundància de cavitats suficient en el bosc.</t>
    </r>
    <r>
      <rPr>
        <sz val="11"/>
        <color rgb="FFFF0000"/>
        <rFont val="Calibri"/>
        <family val="2"/>
        <scheme val="minor"/>
      </rPr>
      <t xml:space="preserve"> Ja s'ha fet. Si fem de nou un seguiment de ratpenats valorar l'estat de les caixes existents i valorar si és necessari. Contrastar amb XPuig si aquesta actuació és necessària. </t>
    </r>
    <r>
      <rPr>
        <sz val="11"/>
        <color theme="1"/>
        <rFont val="Calibri"/>
        <family val="2"/>
        <scheme val="minor"/>
      </rPr>
      <t xml:space="preserve">
*Els instruments de planificació i ordenació dels espais naturals protegits estableixen mesures de protecció específica dels refugis i colònies de rat-penats.</t>
    </r>
    <r>
      <rPr>
        <sz val="11"/>
        <color rgb="FFFF0000"/>
        <rFont val="Calibri"/>
        <family val="2"/>
        <scheme val="minor"/>
      </rPr>
      <t xml:space="preserve">El PPAG no ho preveu però es te constància de les coves amb més valors i en base a això es fan les autortizacions. </t>
    </r>
    <r>
      <rPr>
        <sz val="11"/>
        <color theme="1"/>
        <rFont val="Calibri"/>
        <family val="2"/>
        <scheme val="minor"/>
      </rPr>
      <t xml:space="preserve">
*Execució de mesures de tractaments específics a petita escala en fagedes destinats a incrementar la disponibilitat de microhàbitats potencialment adequats per a Rosalia alpina. </t>
    </r>
    <r>
      <rPr>
        <sz val="11"/>
        <color rgb="FFFF0000"/>
        <rFont val="Calibri"/>
        <family val="2"/>
        <scheme val="minor"/>
      </rPr>
      <t xml:space="preserve">Cal un projecte executiu en aquest sentit. </t>
    </r>
    <r>
      <rPr>
        <sz val="11"/>
        <color theme="1"/>
        <rFont val="Calibri"/>
        <family val="2"/>
        <scheme val="minor"/>
      </rPr>
      <t xml:space="preserve">
*Incorporació de la tórtora europea en els instruments i plans de gestió dels espais de Natura 2000 en què l'espècie estigui considerada.</t>
    </r>
    <r>
      <rPr>
        <sz val="11"/>
        <color rgb="FFFF0000"/>
        <rFont val="Calibri"/>
        <family val="2"/>
        <scheme val="minor"/>
      </rPr>
      <t xml:space="preserve"> La tenim  com a tàxon prioritzat</t>
    </r>
    <r>
      <rPr>
        <sz val="11"/>
        <color theme="1"/>
        <rFont val="Calibri"/>
        <family val="2"/>
        <scheme val="minor"/>
      </rPr>
      <t xml:space="preserve">
*Creació de zones d'alimentació riques en llavors per a la tórtora europea i altres espècies mitjançant la implantació de zones lliures de sembra i/o  sembres específiques per a la fauna. </t>
    </r>
    <r>
      <rPr>
        <sz val="11"/>
        <color rgb="FFFF0000"/>
        <rFont val="Calibri"/>
        <family val="2"/>
        <scheme val="minor"/>
      </rPr>
      <t>No entenc bén bé que cal fer?</t>
    </r>
    <r>
      <rPr>
        <sz val="11"/>
        <color theme="1"/>
        <rFont val="Calibri"/>
        <family val="2"/>
        <scheme val="minor"/>
      </rPr>
      <t xml:space="preserve">
*Recuperació de la qualitat de les pastures d'interès comunitari  i les espècies associades (10% de la superfície total de 6170, 6210 i 6230).</t>
    </r>
    <r>
      <rPr>
        <sz val="11"/>
        <color rgb="FFFF0000"/>
        <rFont val="Calibri"/>
        <family val="2"/>
        <scheme val="minor"/>
      </rPr>
      <t xml:space="preserve"> Integrat. </t>
    </r>
    <r>
      <rPr>
        <sz val="11"/>
        <color theme="1"/>
        <rFont val="Calibri"/>
        <family val="2"/>
        <scheme val="minor"/>
      </rPr>
      <t xml:space="preserve">
*Actuacions de restauració dels indrets més degradats dels hàbitats o les àrees amb presència d'espècies d'interès comunitari en zones de roquissars, dunes o àrees de vegetació esparsa en base a una identificació i valoració de l'estat de conservació.</t>
    </r>
    <r>
      <rPr>
        <sz val="11"/>
        <color rgb="FFFF0000"/>
        <rFont val="Calibri"/>
        <family val="2"/>
        <scheme val="minor"/>
      </rPr>
      <t xml:space="preserve"> No es una prioritat. NO tenim espècies d'interès comunitari amb hàbitats degradats. No prioritari. </t>
    </r>
    <r>
      <rPr>
        <sz val="11"/>
        <color theme="1"/>
        <rFont val="Calibri"/>
        <family val="2"/>
        <scheme val="minor"/>
      </rPr>
      <t xml:space="preserve">
*Incorporació de criteris de conservació de l'hàbitat (p.ex. accions de control biològic) en les accions per la prevenció de les malalties del castanyes (xancre i tinta) o plagues (vespeta del castanyer). </t>
    </r>
    <r>
      <rPr>
        <sz val="11"/>
        <color rgb="FFFF0000"/>
        <rFont val="Calibri"/>
        <family val="2"/>
        <scheme val="minor"/>
      </rPr>
      <t xml:space="preserve">Es pot fer un estudi de millora hàbitat del xancre a Hortmoier. Parlar amb en QUim Avellà- </t>
    </r>
    <r>
      <rPr>
        <sz val="11"/>
        <color theme="1"/>
        <rFont val="Calibri"/>
        <family val="2"/>
        <scheme val="minor"/>
      </rPr>
      <t xml:space="preserve">
*Aplicació de mesures físiques per minimitzar el risc d'erosió a les àrees amb presència de l'hàbitat. </t>
    </r>
    <r>
      <rPr>
        <sz val="11"/>
        <color rgb="FFFF0000"/>
        <rFont val="Calibri"/>
        <family val="2"/>
        <scheme val="minor"/>
      </rPr>
      <t xml:space="preserve">Millora de la senyalització al Comanegra. Seguiment de l'actuació i implementació de mesures, Algun lloc més?
</t>
    </r>
    <r>
      <rPr>
        <sz val="11"/>
        <color theme="1"/>
        <rFont val="Calibri"/>
        <family val="2"/>
        <scheme val="minor"/>
      </rPr>
      <t xml:space="preserve">*Redacció del projecte executiu d’intervenció forestal per a la millora de l’hàbitat de Polygala vayredae </t>
    </r>
    <r>
      <rPr>
        <sz val="11"/>
        <color rgb="FFFF0000"/>
        <rFont val="Calibri"/>
        <family val="2"/>
        <scheme val="minor"/>
      </rPr>
      <t>Ho he afegit</t>
    </r>
    <r>
      <rPr>
        <sz val="11"/>
        <color theme="1"/>
        <rFont val="Calibri"/>
        <family val="2"/>
        <scheme val="minor"/>
      </rPr>
      <t xml:space="preserve">
</t>
    </r>
  </si>
  <si>
    <r>
      <t xml:space="preserve">*Altres actuacions de conservació del patrimoni natural i del paisatge. </t>
    </r>
    <r>
      <rPr>
        <sz val="11"/>
        <color rgb="FFFF0000"/>
        <rFont val="Calibri"/>
        <family val="2"/>
        <scheme val="minor"/>
      </rPr>
      <t xml:space="preserve">Es contempla de forma transversal a totes les accions planificades </t>
    </r>
    <r>
      <rPr>
        <sz val="11"/>
        <color theme="1"/>
        <rFont val="Calibri"/>
        <family val="2"/>
        <scheme val="minor"/>
      </rPr>
      <t xml:space="preserve">
*Mesures de foment d’actuacions per la gestió de teixedes, castanyedes i deveses </t>
    </r>
    <r>
      <rPr>
        <sz val="11"/>
        <color rgb="FFFF0000"/>
        <rFont val="Calibri"/>
        <family val="2"/>
        <scheme val="minor"/>
      </rPr>
      <t>S'ha fet un projecte europeu per millorar les teixedes i es va descartar la possibilitat de fer millores en les castanyedes (es va fer amb Galanthus, demanar a en Quim avellà)</t>
    </r>
    <r>
      <rPr>
        <sz val="11"/>
        <color theme="1"/>
        <rFont val="Calibri"/>
        <family val="2"/>
        <scheme val="minor"/>
      </rPr>
      <t xml:space="preserve">
</t>
    </r>
  </si>
  <si>
    <r>
      <t xml:space="preserve">*Accions de conservació de tàxons de flora </t>
    </r>
    <r>
      <rPr>
        <sz val="11"/>
        <color rgb="FFFF0000"/>
        <rFont val="Calibri"/>
        <family val="2"/>
        <scheme val="minor"/>
      </rPr>
      <t>En curs amb el SFF</t>
    </r>
    <r>
      <rPr>
        <sz val="11"/>
        <rFont val="Calibri"/>
        <family val="2"/>
        <scheme val="minor"/>
      </rPr>
      <t xml:space="preserve">
*Millora d’hàbitats i control de flora invasora
</t>
    </r>
  </si>
  <si>
    <t>1) Nombre de plans de gestió específics per a elements prioritaris redactats i implementats
2) Nombre de mesures/actuacions específiques per a elements prioritaris redactades i implementades</t>
  </si>
  <si>
    <t>1) 1
2) 5</t>
  </si>
  <si>
    <t>1) 3
2) 7</t>
  </si>
  <si>
    <t>x</t>
  </si>
  <si>
    <t>No tenim àrees</t>
  </si>
  <si>
    <t>En no tenir àrees no hi ha una unica persona responsable. Per les dimensions de l'entitat i sense quadre de substitució es fa de forma conjunta</t>
  </si>
  <si>
    <t>01.1.2</t>
  </si>
  <si>
    <t>Adaptar i executar plans de gestió específics per a elements geològics de conservació prioritària dins l'ENP</t>
  </si>
  <si>
    <t>MITJANA</t>
  </si>
  <si>
    <r>
      <t xml:space="preserve">Desenvolupament de la Geoestratègia de l'ENPAG_CAG
</t>
    </r>
    <r>
      <rPr>
        <sz val="11"/>
        <color rgb="FFFF0000"/>
        <rFont val="Calibri"/>
        <family val="2"/>
        <scheme val="minor"/>
      </rPr>
      <t xml:space="preserve"> </t>
    </r>
  </si>
  <si>
    <t>*Desenvolupament de la Geoestratègia de l'ENPAG_CAG
* Estudi hidrpgeològic de l' ENPAG_Contracte Programa entre la DGPA i ICGC</t>
  </si>
  <si>
    <r>
      <t xml:space="preserve">*Redacció d'un pla d'accés públic a les coves d'alt valor natural i geològic_ </t>
    </r>
    <r>
      <rPr>
        <sz val="11"/>
        <color rgb="FFFF0000"/>
        <rFont val="Calibri"/>
        <family val="2"/>
        <scheme val="minor"/>
      </rPr>
      <t xml:space="preserve">En el PPAG es va resoldre amb la necessitat de comunicació a les coves i es va descartar cap limitaicó. Traslladar el MAP original. </t>
    </r>
    <r>
      <rPr>
        <sz val="11"/>
        <color theme="1"/>
        <rFont val="Calibri"/>
        <family val="2"/>
        <scheme val="minor"/>
      </rPr>
      <t xml:space="preserve">
*Actuacions de restauració de les coves degradades. </t>
    </r>
    <r>
      <rPr>
        <sz val="11"/>
        <color rgb="FFFF0000"/>
        <rFont val="Calibri"/>
        <family val="2"/>
        <scheme val="minor"/>
      </rPr>
      <t xml:space="preserve">Què hi ha degradat? No en tenim constància. Es descarta per aquest pla estratègic. </t>
    </r>
  </si>
  <si>
    <r>
      <t xml:space="preserve">*Planificació i execució de les accions de conservació dels elements d’interès geològic inventariats. </t>
    </r>
    <r>
      <rPr>
        <sz val="11"/>
        <color rgb="FFFF0000"/>
        <rFont val="Calibri"/>
        <family val="2"/>
        <scheme val="minor"/>
      </rPr>
      <t>Es fa amb al seuiment de la geoestratègia.</t>
    </r>
    <r>
      <rPr>
        <sz val="11"/>
        <rFont val="Calibri"/>
        <family val="2"/>
        <scheme val="minor"/>
      </rPr>
      <t xml:space="preserve"> </t>
    </r>
  </si>
  <si>
    <t xml:space="preserve">1) Nombre d'actuacions/mesures incloses a la geoestratègia
</t>
  </si>
  <si>
    <t xml:space="preserve">1) 2
</t>
  </si>
  <si>
    <t xml:space="preserve">1) 6
</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</si>
  <si>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</si>
  <si>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</si>
  <si>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</si>
  <si>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</si>
  <si>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</si>
  <si>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ESNATURA</t>
  </si>
  <si>
    <t>SENP: Elaboració d'un manual per la implementació dels OSAM</t>
  </si>
  <si>
    <t>Formació específica al personal del CAG sobre els open estàndards _DGPA
Implementar els open estàndards a la gestió de l'espai _CAG</t>
  </si>
  <si>
    <t>*Formació específica al personal del CAG sobre els open estàndards- DGPA</t>
  </si>
  <si>
    <r>
      <t xml:space="preserve">*Programa de seguiment del Pla. </t>
    </r>
    <r>
      <rPr>
        <sz val="11"/>
        <color rgb="FFFF0000"/>
        <rFont val="Calibri"/>
        <family val="2"/>
        <scheme val="minor"/>
      </rPr>
      <t>Crec que no aplica aquí. HO posaria a la linia 31</t>
    </r>
    <r>
      <rPr>
        <sz val="11"/>
        <color theme="1"/>
        <rFont val="Calibri"/>
        <family val="2"/>
        <scheme val="minor"/>
      </rPr>
      <t xml:space="preserve">
*Avaluació de l’efectivitat i actualització del Pla. </t>
    </r>
    <r>
      <rPr>
        <sz val="11"/>
        <color rgb="FFFF0000"/>
        <rFont val="Calibri"/>
        <family val="2"/>
        <scheme val="minor"/>
      </rPr>
      <t xml:space="preserve">Crec que no aplica aquí. Ho posaria a la linia 31. </t>
    </r>
  </si>
  <si>
    <r>
      <t>*Reunió taller un cop l’any per fer el seguiment i avaluar l’estratègia de geoconservació.,</t>
    </r>
    <r>
      <rPr>
        <sz val="11"/>
        <color rgb="FFFF0000"/>
        <rFont val="Calibri"/>
        <family val="2"/>
        <scheme val="minor"/>
      </rPr>
      <t xml:space="preserve"> Crec que no aplica aquí. Ho posaria </t>
    </r>
    <r>
      <rPr>
        <sz val="11"/>
        <color theme="1"/>
        <rFont val="Calibri"/>
        <family val="2"/>
        <scheme val="minor"/>
      </rPr>
      <t>a</t>
    </r>
    <r>
      <rPr>
        <sz val="11"/>
        <color rgb="FFFF0000"/>
        <rFont val="Calibri"/>
        <family val="2"/>
        <scheme val="minor"/>
      </rPr>
      <t xml:space="preserve">l 01,01,2- </t>
    </r>
  </si>
  <si>
    <t>1) Formació realitzada
2) % de proejectes/accions que incorporen open estandards</t>
  </si>
  <si>
    <t>1) 1
2) 50</t>
  </si>
  <si>
    <t>1) 1
2) 75</t>
  </si>
  <si>
    <t>01.2.2</t>
  </si>
  <si>
    <t>Executar les mesures previstes en els plans de conservació o recuperació d'espècies amenaçades de forma coordinada amb el Servei de Flora i Fauna en l'àmbit de l'ENP</t>
  </si>
  <si>
    <t>MAP
Catàlegs</t>
  </si>
  <si>
    <t>SFF: Elaboració de plans de conservació o recuperació d'espècies protegides</t>
  </si>
  <si>
    <t>Implicació i participació en la redacció dels plans de conservació/recuperació d'epècies amenaçades_DGPA i CAG
Execució de les accions contemplades en els plans de conservació/recuperació aprovats dins l'àmbit de l'ENP_CAG</t>
  </si>
  <si>
    <r>
      <t>*Execució de les accions pactades amb el SFF per espècies de flora vascular amenaçada</t>
    </r>
    <r>
      <rPr>
        <sz val="11"/>
        <color rgb="FFFF0000"/>
        <rFont val="Calibri"/>
        <family val="2"/>
      </rPr>
      <t xml:space="preserve"> (nombrar totes les de la llista)</t>
    </r>
    <r>
      <rPr>
        <sz val="11"/>
        <color rgb="FF00B0F0"/>
        <rFont val="Calibri"/>
        <family val="2"/>
      </rPr>
      <t xml:space="preserve">
* Participació en el seguiment del SEGRE (aus rapinyaires) i el cens simultari de Gypaetus barbatus </t>
    </r>
    <r>
      <rPr>
        <sz val="11"/>
        <color rgb="FFFF0000"/>
        <rFont val="Calibri"/>
        <family val="2"/>
      </rPr>
      <t>valorar si va a coneixement o si ho repetim</t>
    </r>
    <r>
      <rPr>
        <sz val="11"/>
        <color rgb="FF00B0F0"/>
        <rFont val="Calibri"/>
        <family val="2"/>
      </rPr>
      <t xml:space="preserve">
</t>
    </r>
    <r>
      <rPr>
        <sz val="11"/>
        <color rgb="FFFF0000"/>
        <rFont val="Calibri"/>
        <family val="2"/>
      </rPr>
      <t>QUINS MËS PLANS HI HA APROVATA PER ESPÈCIES?</t>
    </r>
  </si>
  <si>
    <r>
      <rPr>
        <sz val="11"/>
        <color rgb="FFFF0000"/>
        <rFont val="Calibri"/>
        <family val="2"/>
        <scheme val="minor"/>
      </rPr>
      <t>*Aprovació dels Plans de Conservació i/o Recuperació de les espècies de fauna d'interès comunitari.</t>
    </r>
    <r>
      <rPr>
        <sz val="11"/>
        <color theme="1"/>
        <rFont val="Calibri"/>
        <family val="2"/>
        <scheme val="minor"/>
      </rPr>
      <t xml:space="preserve">
*Realització d'altres mesures vinculades als Plans de Conservació i/o Recuperació de les espècies aquàtiques d'interès comunitari amenaçades.Hi ha plans de conservació associats a espècies aquàtiques. 
*Execució d'altres mesures incloses als plans de conservació de   Callimorpha quadripunctaria i Euphydryas aurinia.
*Execució de mesures de desenvolupament del pla de recuperació de rapinyaires.</t>
    </r>
  </si>
  <si>
    <t xml:space="preserve">1) Nombre de plans de conservació o recuperació en els que s'ha participat
2) Nombre de mesures executades en els plans de conservació o recuperació vigents
</t>
  </si>
  <si>
    <t>1) 2
2) 2</t>
  </si>
  <si>
    <t>1) 4
2) 4</t>
  </si>
  <si>
    <t>01.2.3</t>
  </si>
  <si>
    <t>Executar les mesures de gestió previstes en els plans de control i erradicació d'espècies exòtiques de forma coordinada amb el Servei de Flora i Fauna en l'àmbit de l'ENP</t>
  </si>
  <si>
    <t>ESNATURA
MAP</t>
  </si>
  <si>
    <t>SFF: Elaboració de plans de control i erradicació d'espècies exòtiques</t>
  </si>
  <si>
    <t xml:space="preserve">Implicació en la redacció de plans de control i erradicació d'EEI i protocols per la gestió preventiva de vies d'entrada vinculades a sectors d'activitat_DGPA i CAG
Execució d'accions de control d'EEI_CAG
Suport a una prova pilot per al control de Seneci inaquidens en zones amb presència d'hàbitat i espècies d'interès comunitari o amb impacte sobre l'activitat agroramadera_DGPA i CAG
</t>
  </si>
  <si>
    <t>*Actuacions de manteniment i control d'Ailanthus altissina_CAG
*Disseny d'una prova pilot per al control de Seneci inaquidens en zones amb presència d'hàbitat i espècies d'interès comunitari o amb impacte sobre l'activitat agroramadera_CAG i SFF
*Protocol comú per als ENPs de protocols per a la gestió preventiva de vies d'entrada vinculada a sectors d'activitat (per exemple, jardineria, aqüicultura, distribució comercial), inclosos codis de conducta i manuals de bones pràctiques_SFF
*Plans de control de crancs invasors_DGPA</t>
  </si>
  <si>
    <r>
      <t xml:space="preserve">*Elaboració i execució de plans de control d'espècies exòtiques i prevenció del seu ús en activitats productives en zones fluvials. </t>
    </r>
    <r>
      <rPr>
        <sz val="11"/>
        <color rgb="FFFF0000"/>
        <rFont val="Calibri"/>
        <family val="2"/>
        <scheme val="minor"/>
      </rPr>
      <t>No és el cas de l'AG</t>
    </r>
    <r>
      <rPr>
        <sz val="11"/>
        <color theme="1"/>
        <rFont val="Calibri"/>
        <family val="2"/>
        <scheme val="minor"/>
      </rPr>
      <t xml:space="preserve">
*Redacció de protocols per a la gestió preventiva de vies d'entrada vinculada a sectors d'activitat (per exemple, jardineria, aqüicultura, distribució comercial), inclosos codis de conducta i manuals de bones pràctiques.</t>
    </r>
    <r>
      <rPr>
        <sz val="11"/>
        <color rgb="FFFF0000"/>
        <rFont val="Calibri"/>
        <family val="2"/>
        <scheme val="minor"/>
      </rPr>
      <t xml:space="preserve"> Això ho podria fer la DG? </t>
    </r>
    <r>
      <rPr>
        <sz val="11"/>
        <color theme="1"/>
        <rFont val="Calibri"/>
        <family val="2"/>
        <scheme val="minor"/>
      </rPr>
      <t xml:space="preserve">
*Execució de plans de control de crancs invasors (Procambarus clarki, Pacifastacus leniusculus i Orconectes limosus).
*Elaboració i execució de  plans de control d'espècies exòtiques i prevenció del seu ús en activitats productives. </t>
    </r>
    <r>
      <rPr>
        <sz val="11"/>
        <color rgb="FFFF0000"/>
        <rFont val="Calibri"/>
        <family val="2"/>
        <scheme val="minor"/>
      </rPr>
      <t>CPf?? demanar a en Quim Avellà</t>
    </r>
    <r>
      <rPr>
        <sz val="11"/>
        <color theme="1"/>
        <rFont val="Calibri"/>
        <family val="2"/>
        <scheme val="minor"/>
      </rPr>
      <t xml:space="preserve">
*Elaboració i execució de plans globals de control d'altres espècies exòtiques i prevenció del seu ús en activitats productives</t>
    </r>
    <r>
      <rPr>
        <sz val="11"/>
        <color rgb="FFFF0000"/>
        <rFont val="Calibri"/>
        <family val="2"/>
        <scheme val="minor"/>
      </rPr>
      <t xml:space="preserve">.DGPA. valorar si tot el que es globar ho volem posar o no cal fer referència. </t>
    </r>
  </si>
  <si>
    <t xml:space="preserve">1) Nombre de plans/ protocols de control d'espècies exòtiques en els que s'ha participat
2) Nombre de mesures executades en els plans de gestió d'espècies exòtiques
3)Execució prova pilot
</t>
  </si>
  <si>
    <t>1) 2
2) 2
3) 0</t>
  </si>
  <si>
    <t>1) 4
2) 4
3) 1</t>
  </si>
  <si>
    <t>01.2.4</t>
  </si>
  <si>
    <t xml:space="preserve">Desplegar els objectius i tasques recollits en els instruments de referència i compromisos internacionals  </t>
  </si>
  <si>
    <t>Específic</t>
  </si>
  <si>
    <t xml:space="preserve">Optatiu </t>
  </si>
  <si>
    <t>Impuls-Suport</t>
  </si>
  <si>
    <t xml:space="preserve">Col·laboració en la implementació pràctica de projectes de l'àrea internacional a petició de la DGPA </t>
  </si>
  <si>
    <t xml:space="preserve">*Seguiment dels avenços de la Generalitat en aquest desplegament unitari en territori català. </t>
  </si>
  <si>
    <t>1) Nombre de col·laboracions</t>
  </si>
  <si>
    <t>1) 1</t>
  </si>
  <si>
    <t>1) 2</t>
  </si>
  <si>
    <t>01.3</t>
  </si>
  <si>
    <t>Crear ecosistemes complexes, resilients, i d'alta biodiversitat per garantir la recuperació dels processos ecosistèmics</t>
  </si>
  <si>
    <t>01.3.1</t>
  </si>
  <si>
    <t>Identificar espais pel foment de la dinàmica natural i l'aprofitament no extractiu</t>
  </si>
  <si>
    <t>SENP/SFF: Definir criteris metodològics</t>
  </si>
  <si>
    <t>Realitzat</t>
  </si>
  <si>
    <t>Objectiu operatiu assolit, sense mesures continuïstes en el termini del present Pla estratègic</t>
  </si>
  <si>
    <t xml:space="preserve">* Projecte de renaturalització_DGPA (PPAG)
*Realitzar la signatura de convenis de dinàmica natural amb propietaris_DGPA (PPAG) 
</t>
  </si>
  <si>
    <r>
      <t xml:space="preserve">*Signatura de convenis de dinàmica naturals </t>
    </r>
    <r>
      <rPr>
        <sz val="11"/>
        <color rgb="FFFF0000"/>
        <rFont val="Calibri"/>
        <family val="2"/>
        <scheme val="minor"/>
      </rPr>
      <t xml:space="preserve">Competència de la generalitat en tant que competent. </t>
    </r>
    <r>
      <rPr>
        <sz val="11"/>
        <color theme="1"/>
        <rFont val="Calibri"/>
        <family val="2"/>
        <scheme val="minor"/>
      </rPr>
      <t xml:space="preserve">
*Identificació efectiva dels rodals madurs que tendeixen a evolució natural en tots els Plans d'Ordenació Forestal. </t>
    </r>
    <r>
      <rPr>
        <sz val="11"/>
        <color rgb="FFFF0000"/>
        <rFont val="Calibri"/>
        <family val="2"/>
        <scheme val="minor"/>
      </rPr>
      <t xml:space="preserve">Hi ha estudi de galanthus que identifica els rodals clau de l'espai. No es té una cartografia/buidat de tots els plans però no es considera necessària sino més prioritari el projecte de renaturalització i els convenis de dinàmica natural pròpiament. </t>
    </r>
  </si>
  <si>
    <t xml:space="preserve">*Projecte de renaturalització i valorització en la zona de foment de la dinàmica natural
*Mesures de foment de la gestió de finques en règim de dinàmica natural i aprofitament no extractiu
</t>
  </si>
  <si>
    <t>01.3.2</t>
  </si>
  <si>
    <t>Afavorir la maduresa dels sistemes forestals</t>
  </si>
  <si>
    <t>Redacció del Projecte de renaturalització i adaptació al canvi climàtic_DGPA (PPAG)
Execució del Projecte de renaturalització i adaptació al canvi climàtic_DGPA (PPAG)
Signatura de convenis de dinàmica natural amb propietaris_DGPA (PPAG) 
Incorporació dels criteris del PPAG als IOF_DGPA</t>
  </si>
  <si>
    <r>
      <t xml:space="preserve">* Projecte de renaturalització_DGPA (PPAG)
*Signatura de convenis de dinàmica natural amb propietaris_DGPA (PPAG) 
* Compliment dels informes de SSTT i el compliment de criteris_CPF </t>
    </r>
    <r>
      <rPr>
        <sz val="11"/>
        <color rgb="FFFF0000"/>
        <rFont val="Calibri"/>
        <family val="2"/>
      </rPr>
      <t>Demanar Quim Avellà com revisen el compliment dels criteris i si ho fan.</t>
    </r>
    <r>
      <rPr>
        <sz val="11"/>
        <color rgb="FF00B0F0"/>
        <rFont val="Calibri"/>
        <family val="2"/>
      </rPr>
      <t xml:space="preserve">
</t>
    </r>
  </si>
  <si>
    <r>
      <rPr>
        <sz val="11"/>
        <color rgb="FFFF0000"/>
        <rFont val="Calibri"/>
        <family val="2"/>
        <scheme val="minor"/>
      </rPr>
      <t>TOTES AQUETES ACCIONS /CRITERIS ES PODEN INTEGRAR A LES DUES ACCIONS DETERMINADES A LA COLUMNA ANTERIOR</t>
    </r>
    <r>
      <rPr>
        <sz val="11"/>
        <color theme="1"/>
        <rFont val="Calibri"/>
        <family val="2"/>
        <scheme val="minor"/>
      </rPr>
      <t>. *Actuacions per al foment de la maduresa i naturalitat dels boscos_ 
*Actuacions de  gestió forestal dirigida al manteniment de la maduresa i naturalitat de la massa en boscos públics.
*Actuacions de manteniment de grans peus de planifolis i altres arbres vells caducifolis per afavorir el manteniment d'espècies forestals d'interès comunitari (Rosalia alpina, Lucanus cervus i Osmoderma eremita).
*Actuacions per fomentar la presència de fusta morta en peu o a terra i d'arbres vells o decrèpits en boscos públics.
*Actuacions de gestió per augmentar  la densitat de cavitats fomentant la presència d’arbres decrèpits o morts.
*Actuacions de millora de la maduresa dels boscos dels hàbitats 9160, 9240 i 9540.
*Mesures d'adaptació de boscos de 9340 al canvi climàtic i per a l'increment de la maduresa o l'entrada d'espècies de futur (Phyllirea sp, Pistacia sp....).
*Realització de tractaments silvícoles en boscos premadurs, tot buscant estructures amb edats irregulars, que garanteixin un equilibri entre les diferents classes d'edat, amb grans diàmetres, amb separació vertical de les copes dels arbres amb els estrats.</t>
    </r>
  </si>
  <si>
    <t>*Mesures de foment d’actuacions d’acceleració o millora de la maduresa del bosc</t>
  </si>
  <si>
    <t>1) Redacció del projecte
2) Nombre d'actuacions executades del projecte
3) Nombre de convenis signats
4) Incorporació dels criteris als IOF</t>
  </si>
  <si>
    <t>1) 1
2) 2
3) 3
4) 1</t>
  </si>
  <si>
    <t>1) 1
2) 4
3) 5
4) 1 (a tots)</t>
  </si>
  <si>
    <t>01.3.3</t>
  </si>
  <si>
    <t>Generar pertorbacions controlades</t>
  </si>
  <si>
    <t>Execució d'accions per generar pertorbacions controlades (incloses al PPAG, Pla de cremes prescrites, Projecte de Renaturalització, PIRE, etc)_DGPA i CAG</t>
  </si>
  <si>
    <t>*Projecte de renaturalització_DGPA (PPAG)
* Pla de cremes prescrites_FPC (Ajut entitats)</t>
  </si>
  <si>
    <t>*Redacció d’un projecte de renaturalització a l’Alta Garrotxa</t>
  </si>
  <si>
    <t xml:space="preserve">*Comissió per la coexistència amb cànids i resta de fauna
</t>
  </si>
  <si>
    <t>1) Nombre d'accions executades a l'ENP</t>
  </si>
  <si>
    <t>1) 3</t>
  </si>
  <si>
    <t>2) 6</t>
  </si>
  <si>
    <t>01.3.4</t>
  </si>
  <si>
    <t xml:space="preserve">Restaurar la dinàmica natural dels rius </t>
  </si>
  <si>
    <t>Restaurar i conservar la dinàmica i estructura natural dels rius, les zones humides, i altres hàbitats d'aigua dolça</t>
  </si>
  <si>
    <t>Canvi de redactat OP. Adaptar el redactat per a tot tipus de masses d'aigua</t>
  </si>
  <si>
    <t>Suport tècnic en l'execució d'accions de millora de connectivitat fluvial_CAG
Foment de la custòdia fluvial_CAG</t>
  </si>
  <si>
    <r>
      <t>*Elaboració d'una cartografia d'hàbitats fluvials i un programa d'actuacions per a la millora dels hàbitats (</t>
    </r>
    <r>
      <rPr>
        <sz val="11"/>
        <color rgb="FFFF0000"/>
        <rFont val="Calibri"/>
        <family val="2"/>
      </rPr>
      <t>anomenar els hàbitats)</t>
    </r>
    <r>
      <rPr>
        <sz val="11"/>
        <color rgb="FF00B0F0"/>
        <rFont val="Calibri"/>
        <family val="2"/>
      </rPr>
      <t>_CAG
*Seguiment dels treballs de construcció del connector fluvial del Gomarell (riera de Sant Aniol) que realitza l'Ajuntament de Montagut i Oix_CAG
* Acord de custòdia fluvial a la conca de la Muga_CAG</t>
    </r>
  </si>
  <si>
    <r>
      <t>*Recuperació de basses. Projecte ponderful.</t>
    </r>
    <r>
      <rPr>
        <sz val="11"/>
        <color rgb="FFFF0000"/>
        <rFont val="Calibri"/>
        <family val="2"/>
        <scheme val="minor"/>
      </rPr>
      <t xml:space="preserve"> No aplica aquí. Aplica al primer objectiu </t>
    </r>
    <r>
      <rPr>
        <sz val="11"/>
        <color theme="1"/>
        <rFont val="Calibri"/>
        <family val="2"/>
        <scheme val="minor"/>
      </rPr>
      <t xml:space="preserve">
*Restauració de la morfologia, la connectivitat i les riberes de les masses d'aigua rius del DCFC. </t>
    </r>
    <r>
      <rPr>
        <sz val="11"/>
        <color rgb="FFFF0000"/>
        <rFont val="Calibri"/>
        <family val="2"/>
        <scheme val="minor"/>
      </rPr>
      <t>Connector fluvial del Gomarelli acord de custòdia fluvial al sector de la Muga</t>
    </r>
    <r>
      <rPr>
        <sz val="11"/>
        <color theme="1"/>
        <rFont val="Calibri"/>
        <family val="2"/>
        <scheme val="minor"/>
      </rPr>
      <t xml:space="preserve">
*Actuacions de millora de la vegetació ripària a partir de l'aplicació del Programa de Manteniment i conservació de lleres de l'ACA, especialment en àrees que requereixen recuperació de cobertura arbòria.</t>
    </r>
    <r>
      <rPr>
        <sz val="11"/>
        <color rgb="FFFF0000"/>
        <rFont val="Calibri"/>
        <family val="2"/>
        <scheme val="minor"/>
      </rPr>
      <t xml:space="preserve"> Primer farem la cartografia el programa d'actuacions, a posteriori redacció de projectes executius. </t>
    </r>
    <r>
      <rPr>
        <sz val="11"/>
        <color theme="1"/>
        <rFont val="Calibri"/>
        <family val="2"/>
        <scheme val="minor"/>
      </rPr>
      <t xml:space="preserve">
*Actuacions pel manteniment de la dinàmica hidrològica pròpia de l'hàbitat 6420, evitant drenatges o inundacions permanents. On en tenim? </t>
    </r>
    <r>
      <rPr>
        <sz val="11"/>
        <color rgb="FFFF0000"/>
        <rFont val="Calibri"/>
        <family val="2"/>
        <scheme val="minor"/>
      </rPr>
      <t xml:space="preserve">Seria el qu hi ha a Palomeres?si no ho sabem li podem demanar a en Lluis Benejam. Però seria a l'objectiu 1. Valorar si és el cas d'aques hàbitat específicament. </t>
    </r>
    <r>
      <rPr>
        <sz val="11"/>
        <color theme="1"/>
        <rFont val="Calibri"/>
        <family val="2"/>
        <scheme val="minor"/>
      </rPr>
      <t xml:space="preserve">
</t>
    </r>
  </si>
  <si>
    <t>1) Nombre d'actuacions executades
2) Nombre d'acords</t>
  </si>
  <si>
    <t>1) 1
2) 1</t>
  </si>
  <si>
    <t>01.3.5</t>
  </si>
  <si>
    <t>Fomentar el paisatge en mosaïc</t>
  </si>
  <si>
    <t xml:space="preserve">Recuperació d'espais oberts segons PIRE_CAG
Execució del Programa de compensacions per afavorir ramaderia extensiva segons PIRE_DGPA
</t>
  </si>
  <si>
    <r>
      <t xml:space="preserve">* Projecte de recuperació d'espais oberts_CAG
*Desenvolupament del PIRE i del Programa de Compensacions a l'activitat ramadera_CAG i DGPA
* Seguiment de l'estat ecològic dels prats de l'Alta Garrotxa_CAG
* Anàlisi d'oportunitats per la recuperació de prats de dall_CAG </t>
    </r>
    <r>
      <rPr>
        <sz val="11"/>
        <color rgb="FFFF0000"/>
        <rFont val="Calibri"/>
        <family val="2"/>
      </rPr>
      <t>valorar si es factible a ENPAG</t>
    </r>
  </si>
  <si>
    <r>
      <t xml:space="preserve">*Recuperació de pastures i espais oberts  </t>
    </r>
    <r>
      <rPr>
        <sz val="11"/>
        <color rgb="FFFF0000"/>
        <rFont val="Calibri"/>
        <family val="2"/>
        <scheme val="minor"/>
      </rPr>
      <t xml:space="preserve">En curs des de 2009. </t>
    </r>
    <r>
      <rPr>
        <sz val="11"/>
        <color theme="1"/>
        <rFont val="Calibri"/>
        <family val="2"/>
        <scheme val="minor"/>
      </rPr>
      <t xml:space="preserve">
*Manteniment dels espais oberts (conreus i pastures), els prats de dall i un paisatge en mosaic en les zones amb presència destacada d'espècies d'interès comunitari</t>
    </r>
    <r>
      <rPr>
        <sz val="11"/>
        <color rgb="FFFF0000"/>
        <rFont val="Calibri"/>
        <family val="2"/>
        <scheme val="minor"/>
      </rPr>
      <t xml:space="preserve">En curs des de 2009. </t>
    </r>
    <r>
      <rPr>
        <sz val="11"/>
        <color theme="1"/>
        <rFont val="Calibri"/>
        <family val="2"/>
        <scheme val="minor"/>
      </rPr>
      <t xml:space="preserve">
*Potenciar la ramaderia extensiva per conservar els hàbitats agroforestals i prevenir incendis forestals.</t>
    </r>
    <r>
      <rPr>
        <sz val="11"/>
        <color rgb="FFFF0000"/>
        <rFont val="Calibri"/>
        <family val="2"/>
        <scheme val="minor"/>
      </rPr>
      <t xml:space="preserve">En curs des de 2009. </t>
    </r>
    <r>
      <rPr>
        <sz val="11"/>
        <color theme="1"/>
        <rFont val="Calibri"/>
        <family val="2"/>
        <scheme val="minor"/>
      </rPr>
      <t xml:space="preserve">
*Realització de desbrossades selectives en zones de matollar  per a afavorir l'hàbitat de la tórtora europea.</t>
    </r>
    <r>
      <rPr>
        <sz val="11"/>
        <color rgb="FFFF0000"/>
        <rFont val="Calibri"/>
        <family val="2"/>
        <scheme val="minor"/>
      </rPr>
      <t>Es fa amb els criteris de recuperació EEOO (ecotons, conservació espècies nutrícies, i reducció de la intensitat als marges de l'actuació, períemtres irregulars)</t>
    </r>
    <r>
      <rPr>
        <sz val="11"/>
        <color theme="1"/>
        <rFont val="Calibri"/>
        <family val="2"/>
        <scheme val="minor"/>
      </rPr>
      <t xml:space="preserve">
*Mesures de conservació de la vegetació arbustiva i de la bardissa en fons de valls mantenint un mosaic de vegetació. </t>
    </r>
    <r>
      <rPr>
        <sz val="11"/>
        <color rgb="FFFF0000"/>
        <rFont val="Calibri"/>
        <family val="2"/>
        <scheme val="minor"/>
      </rPr>
      <t xml:space="preserve">Es un hàbitat no en regressió per s'apliquen els criteris abans descrits quan es fa recuperació d'espais oberts. </t>
    </r>
    <r>
      <rPr>
        <sz val="11"/>
        <color theme="1"/>
        <rFont val="Calibri"/>
        <family val="2"/>
        <scheme val="minor"/>
      </rPr>
      <t xml:space="preserve">
*Els instruments de planificació i ordenació dels espais naturals protegits eviten l'aforestació en nuclis rellevants dels matollars i prats d'interès comunitari.S</t>
    </r>
    <r>
      <rPr>
        <sz val="11"/>
        <color rgb="FFFF0000"/>
        <rFont val="Calibri"/>
        <family val="2"/>
        <scheme val="minor"/>
      </rPr>
      <t>i, el PPAG preveu àrees atenció condicionada associades a espais oberts.</t>
    </r>
    <r>
      <rPr>
        <sz val="11"/>
        <color theme="1"/>
        <rFont val="Calibri"/>
        <family val="2"/>
        <scheme val="minor"/>
      </rPr>
      <t xml:space="preserve"> 
*Recuperació de prats de dall (5% de la superfície actual). </t>
    </r>
    <r>
      <rPr>
        <sz val="11"/>
        <color rgb="FFFF0000"/>
        <rFont val="Calibri"/>
        <family val="2"/>
        <scheme val="minor"/>
      </rPr>
      <t>Què podriem fer per encara aquesta actuació?</t>
    </r>
  </si>
  <si>
    <t>*Mesures de foment d’actuacions de recuperació i manteniment de pastures.</t>
  </si>
  <si>
    <t xml:space="preserve">*Recuperació de pastures i d'hàbitsts d'espais oberts 
*Redacció de Plans de Pastura prescrita 
*Ampliació i recuperació de pastures
</t>
  </si>
  <si>
    <t>1) Nombre d'actuacions executades
2) Nombre d'explotacions ramaderes afavorides</t>
  </si>
  <si>
    <t>1) 3
2) 2</t>
  </si>
  <si>
    <t>1) 6
2) 4</t>
  </si>
  <si>
    <t>01.3.6</t>
  </si>
  <si>
    <t>Gestionar i intervenir en la dinàmica de poblacions de fauna que no tenen depredador natural</t>
  </si>
  <si>
    <t>BAIXA</t>
  </si>
  <si>
    <t>Participació i impuls del control directe de poblacions de fauna d'acord amb l'organisme competent en matèria de gestió cinegètica_CAG i DGPA</t>
  </si>
  <si>
    <t>1) Nombre d'accions de control impulsades</t>
  </si>
  <si>
    <t>1) 0</t>
  </si>
  <si>
    <t>1) 1 (segons necessitats)</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</si>
  <si>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</si>
  <si>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</si>
  <si>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</si>
  <si>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</si>
  <si>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</si>
  <si>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Foment i signatura d'acords de custòdia amb entitats o el CAG_CAG
Signatura de convenis de dinàmica natural amb propietaris_DGPA</t>
  </si>
  <si>
    <t xml:space="preserve">* Signatura d'acords de custòdia per realitzar accions de millora d'hàbitat dins ENPAG_CAG
* Signatura d'un acord de cusòdia fluvial amb l'ACA per a sector de la Muga_CAG
*Signatura de convenis de dinàmica natural amb propietaris_DGPA (PPAG) 
</t>
  </si>
  <si>
    <t>*Promoure acords de custòdia del territori</t>
  </si>
  <si>
    <t>*Diagnosi i proposta d’accions-custodia fluvial a la Muga
*Acord de custòdia fluvial per la Reserva Natural Parcial de la Muga</t>
  </si>
  <si>
    <t>1) Nombre d'acords de custòdia aconseguits
2) Nombre de convenis de dinàmica natural signats</t>
  </si>
  <si>
    <t>1) 3
2) 3</t>
  </si>
  <si>
    <t>1) 6
2) 5</t>
  </si>
  <si>
    <t>01.4.2</t>
  </si>
  <si>
    <t>Fomentar bones pràctiques entre els col·lectius de propietaris i gestors del territori</t>
  </si>
  <si>
    <t>Divulgació de bones pràctiques per la gestió d'hàbitats i espècies (estudi canvi climàtic, maneig de pastures)</t>
  </si>
  <si>
    <r>
      <t>* Trasllat als propietaris dels resultats de l'estudi del CREAF sobre l'impacte del canvi climàtic a les masses forestals de l'ENPAG_CAG
* Creació una taula de treball per consensuar BBPP de gestió forestal al'ENPAG</t>
    </r>
    <r>
      <rPr>
        <sz val="11"/>
        <color rgb="FFFF0000"/>
        <rFont val="Calibri"/>
        <family val="2"/>
      </rPr>
      <t xml:space="preserve"> ¿???</t>
    </r>
    <r>
      <rPr>
        <sz val="11"/>
        <color rgb="FF00B0F0"/>
        <rFont val="Calibri"/>
        <family val="2"/>
      </rPr>
      <t xml:space="preserve">
* Creació d'un manual de BBPP de gestió forestal  vinculat a l'adaptació del canvi climàtic_CAG 
* Suport a la FPC  en la redacció de Plans de maneig per a la gestió del pastoreig (Projecte Forwards)_CAG</t>
    </r>
  </si>
  <si>
    <r>
      <t>I</t>
    </r>
    <r>
      <rPr>
        <sz val="11"/>
        <color rgb="FFFF0000"/>
        <rFont val="Calibri"/>
        <family val="2"/>
        <scheme val="minor"/>
      </rPr>
      <t>NCLOURE COM A CRITERIS DE BBPP O BÉ FORA DE L'ABAST DAQUEST PLA ESTRATÈGIC</t>
    </r>
    <r>
      <rPr>
        <sz val="11"/>
        <color theme="1"/>
        <rFont val="Calibri"/>
        <family val="2"/>
        <scheme val="minor"/>
      </rPr>
      <t xml:space="preserve">*Actuacions per disminuir i substituir els productes fitosanitaris per altres de més selectius i de baixa toxicitat (AAA) tant per a la fauna terrestre com aquàtica.
*Actuacions de foment de l'ús de permetrines enlloc d'organoclorats pel tractament de la fusta d'edificacions amb presència de rat-penats.
*Actuacions de manteniment dels sistemes tradicionals de gestió de les pastures. </t>
    </r>
    <r>
      <rPr>
        <sz val="11"/>
        <color rgb="FFFF0000"/>
        <rFont val="Calibri"/>
        <family val="2"/>
        <scheme val="minor"/>
      </rPr>
      <t xml:space="preserve">Es realitza a trvés del projecte d'EEOO perquè la recuperació espais permet la transhumància dins de l'espai, i s'articula a través del PIRE. </t>
    </r>
  </si>
  <si>
    <t>*Implicació de la pagesia en el manteniment d’espais oberts i recuperació d’elements d’interès que acompanyen el patrimoni geològic HO fem en el desenvolupament de l'estratègia</t>
  </si>
  <si>
    <t xml:space="preserve">1) Nombre de sessions de divulgació
2) Elaboració de material divulgatiu
</t>
  </si>
  <si>
    <t>1) 2
2) 1</t>
  </si>
  <si>
    <t>1) 4
2) 2</t>
  </si>
  <si>
    <t>01.4.3</t>
  </si>
  <si>
    <t>Impulsar la coordinació amb els ens locals en la gestió finques públiques situades dins d’ENP</t>
  </si>
  <si>
    <t>No aplica, finca pública de la Generalitat</t>
  </si>
  <si>
    <t>Objectiu no aplicable a l'espai</t>
  </si>
  <si>
    <t>*Consens en el marc del CP del CAG les accions impulades per l'ens en finca pública.</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</si>
  <si>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</si>
  <si>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</si>
  <si>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</si>
  <si>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</si>
  <si>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</si>
  <si>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</si>
  <si>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Implementar els resultats de l'estudi d'adaptació dels boscos de l'Alta Garrotxa</t>
  </si>
  <si>
    <t>Es té una estudi-prova pilot a específic per l'ENPAG</t>
  </si>
  <si>
    <t>Redacció del Pla d'adaptació al canvi climàtic de l'ENP_DGPA i CAG
Foment d'actuacions per a la creació de refugis climàtics_DGPA i CAG
Divulgació dels criteris de gestió d'adaptació al canvi climàtic a l'ENP_DGPA i CAG</t>
  </si>
  <si>
    <t xml:space="preserve">* Signatura d'acords de custòdia per realitzar accions de millora d'hàbitat dins ENPAG_CAG
*Signatura de convenis de dinàmica natural amb propietaris_DGPA (PPAG) 
*Suport a DGBoscos (SSTT) en la definció i seguiment del projecte de refugis climàtics del MITECO_CAG i DGPA (SSTT)
*Integració dels criteris de la prova pilot sobre canvi climàtic en els informes dels SSTT respecte a actuacions forestals_DGPA (SSTT)
* Creació d'un manual de BBPP de gestió forestal  vinculat a l'adaptació del canvi climàtic_CAG </t>
  </si>
  <si>
    <t>1) Redacció del Pla
2) Nombre d'actuacions
3) Nombre de sessions divulgatives CC</t>
  </si>
  <si>
    <t>1) 1
2) 3
3) 1</t>
  </si>
  <si>
    <t>1) 1
2) 6
3) 2</t>
  </si>
  <si>
    <t>02.1.2</t>
  </si>
  <si>
    <t>Gestionar i planificar els recursos hídrics de l'ENP</t>
  </si>
  <si>
    <t>Redacció del Pla de gestió dels recursos hídrics d'acord amb l'estudi hidrogeològic de l'ENP_DGPA
Suport a la regulació de les captacions per ús domèstic_CAG</t>
  </si>
  <si>
    <t xml:space="preserve">Podem fer alguna cosa per evitar els impactes del canvi climàtic sobre els recursos hídrics. Què podem fer? HO podem integrar en l'estudi de gestió dels hàbitats de ribera?? Mirar què han fet altres espais. </t>
  </si>
  <si>
    <t>1) Redacciódel Pla</t>
  </si>
  <si>
    <t>02.1.3</t>
  </si>
  <si>
    <t>Participar en la redacció i execució dels instruments d'ordenació forestal sostenible i per la conservació en finques públiques</t>
  </si>
  <si>
    <t>DGEFMN: Redacció d'IOF en finques públiques</t>
  </si>
  <si>
    <t>Promoure la redacció d'instruments d'ordenació forestal sostenible i l'execució d'accions per la conservació i millora dels boscos i els elements d'interès</t>
  </si>
  <si>
    <t>Canvi de redactat OP. Inclusió d'accions forestals per a la millora de la biodiversitat sense detallar la propietat de la finca</t>
  </si>
  <si>
    <t xml:space="preserve">Suport a la implementació dels IOF en finca pública_CAG i SSTT
</t>
  </si>
  <si>
    <t>*Suport a DGBoscos (SSTT) en la definció i seguiment del projecte de refugis climàtics del MITECO_CAG i DGPA (SSTT)</t>
  </si>
  <si>
    <r>
      <t xml:space="preserve">*Redacció del projecte executiu d’intervenció forestal per a la millora de l’hàbitat de Polygala vayredae </t>
    </r>
    <r>
      <rPr>
        <sz val="11"/>
        <color rgb="FFFF0000"/>
        <rFont val="Calibri"/>
        <family val="2"/>
        <scheme val="minor"/>
      </rPr>
      <t xml:space="preserve">Això no aplica en aquest objecitu, va en el primer. Ho he posat al primer objectiu. </t>
    </r>
    <r>
      <rPr>
        <sz val="11"/>
        <color theme="1"/>
        <rFont val="Calibri"/>
        <family val="2"/>
        <scheme val="minor"/>
      </rPr>
      <t xml:space="preserve">
*Els Plans d’Ordenació Forestal de finques públiques inclouen criteris orientats a la conservació de les millors àrees amb presència d'hàbitats o espècies d'interès comunitari.</t>
    </r>
    <r>
      <rPr>
        <sz val="11"/>
        <color rgb="FFFF0000"/>
        <rFont val="Calibri"/>
        <family val="2"/>
        <scheme val="minor"/>
      </rPr>
      <t xml:space="preserve">Hem donat suport amb la info de la que disposem sobre patirmoni natural. </t>
    </r>
    <r>
      <rPr>
        <sz val="11"/>
        <color theme="1"/>
        <rFont val="Calibri"/>
        <family val="2"/>
        <scheme val="minor"/>
      </rPr>
      <t xml:space="preserve">
*Els instruments de planificació forestal han de tenir en compte la realització de les estassades de forma més selectiva per tal d'evitar la tala d'espècies d'interès especial als boscos d'interès comunitari.</t>
    </r>
    <r>
      <rPr>
        <sz val="11"/>
        <color rgb="FFFF0000"/>
        <rFont val="Calibri"/>
        <family val="2"/>
        <scheme val="minor"/>
      </rPr>
      <t>Ja està integrat. contrastat amb la Miriam.</t>
    </r>
    <r>
      <rPr>
        <sz val="11"/>
        <color theme="1"/>
        <rFont val="Calibri"/>
        <family val="2"/>
        <scheme val="minor"/>
      </rPr>
      <t xml:space="preserve"> 
*Establiment de mesures de gestió per a la conservació en els models de gestió ORGEST. Per exemple, el manteniment d'un mínim de 5 a 10 arbres/ha de més de 40 dn, respecte a Hedera, peus morts, arbres amb cavitats sense tallar, etc.</t>
    </r>
    <r>
      <rPr>
        <sz val="11"/>
        <color rgb="FFFF0000"/>
        <rFont val="Calibri"/>
        <family val="2"/>
        <scheme val="minor"/>
      </rPr>
      <t>Ja està integrat. contrastat amb la Miriam.</t>
    </r>
    <r>
      <rPr>
        <sz val="11"/>
        <color theme="1"/>
        <rFont val="Calibri"/>
        <family val="2"/>
        <scheme val="minor"/>
      </rPr>
      <t xml:space="preserve">
*Els instruments de planificació forestal han d’establir una freqüència de nou anys entre estassades en les rouredes d'interès comunitari (9160,9230,9240).</t>
    </r>
    <r>
      <rPr>
        <sz val="11"/>
        <color rgb="FFFF0000"/>
        <rFont val="Calibri"/>
        <family val="2"/>
        <scheme val="minor"/>
      </rPr>
      <t>Ja està integrat. contrastat amb la Miriam.</t>
    </r>
    <r>
      <rPr>
        <sz val="11"/>
        <color theme="1"/>
        <rFont val="Calibri"/>
        <family val="2"/>
        <scheme val="minor"/>
      </rPr>
      <t xml:space="preserve">
*Mesures i actuacions d'us de la ramaderia extensiva o d'aclarides selectives per controlar l'excés de sotabosc a pinedes i alzinars.</t>
    </r>
    <r>
      <rPr>
        <sz val="11"/>
        <color rgb="FFFF0000"/>
        <rFont val="Calibri"/>
        <family val="2"/>
        <scheme val="minor"/>
      </rPr>
      <t>Ja està integrat. contrastat amb la Miriam.</t>
    </r>
    <r>
      <rPr>
        <sz val="11"/>
        <color theme="1"/>
        <rFont val="Calibri"/>
        <family val="2"/>
        <scheme val="minor"/>
      </rPr>
      <t xml:space="preserve">
*Recuperació de tècniques tradicionals d'aclarida al voltant dels arbres més productius per minimitzar la pertorbació que suposen les estassades generals de l'estrat arbustiu.</t>
    </r>
    <r>
      <rPr>
        <sz val="11"/>
        <color rgb="FFFF0000"/>
        <rFont val="Calibri"/>
        <family val="2"/>
        <scheme val="minor"/>
      </rPr>
      <t>Ja està integrat. contrastat amb la Miriam.</t>
    </r>
    <r>
      <rPr>
        <sz val="11"/>
        <color theme="1"/>
        <rFont val="Calibri"/>
        <family val="2"/>
        <scheme val="minor"/>
      </rPr>
      <t xml:space="preserve">
*Actuacions per augmentar la presència d'espècies arbòries i arbustives productores de fruits susceptibles de ser font d'aliment per a la fauna.</t>
    </r>
    <r>
      <rPr>
        <sz val="11"/>
        <color rgb="FFFF0000"/>
        <rFont val="Calibri"/>
        <family val="2"/>
        <scheme val="minor"/>
      </rPr>
      <t>Ja està integrat. contrastat amb la Miriam.</t>
    </r>
    <r>
      <rPr>
        <sz val="11"/>
        <color theme="1"/>
        <rFont val="Calibri"/>
        <family val="2"/>
        <scheme val="minor"/>
      </rPr>
      <t xml:space="preserve">
*Realització de les estassades de forma més selectives per tal d'evitar la tala d'espècies d'interès especial.</t>
    </r>
    <r>
      <rPr>
        <sz val="11"/>
        <color rgb="FFFF0000"/>
        <rFont val="Calibri"/>
        <family val="2"/>
        <scheme val="minor"/>
      </rPr>
      <t>Ja està integrat. contrastat amb la Miriam.</t>
    </r>
    <r>
      <rPr>
        <sz val="11"/>
        <color theme="1"/>
        <rFont val="Calibri"/>
        <family val="2"/>
        <scheme val="minor"/>
      </rPr>
      <t xml:space="preserve">
*Actuacions de gestió forestal específica per conservació dels rodals de 9580 dins la massa mitjançant tallades selectives.</t>
    </r>
    <r>
      <rPr>
        <sz val="11"/>
        <color rgb="FFFF0000"/>
        <rFont val="Calibri"/>
        <family val="2"/>
        <scheme val="minor"/>
      </rPr>
      <t>Hi ha teixeda en finca pública? Crec que no aplica. Contrastat amb la Miriam.</t>
    </r>
  </si>
  <si>
    <t xml:space="preserve">1) Percentatge d'actuacions forestal amb IOF redactat en que s'ha participat a petició de la DGB
</t>
  </si>
  <si>
    <t>1) 25</t>
  </si>
  <si>
    <t>2) 50</t>
  </si>
  <si>
    <t>02.1.4</t>
  </si>
  <si>
    <t>Promoure la redacció d'instruments d'ordenació forestal per reduir la sensibilitat i vulnerabilitat dels boscos al canvi climàtic en finques privades</t>
  </si>
  <si>
    <t>Optatiu</t>
  </si>
  <si>
    <t>Col·laboració amb el CPF per al foment dels IOF per reduir la sensibilitat i vulnerabilitat al canvi climàtic en finca privada_CAG
Foment i revisió de les mesures compensatòries i condicions d'execució dels dels IOF perquè no siguin agressius amb l'hàbitat forestal_CAG
Foment de la implementació crèdits climàtics forestals_CAG</t>
  </si>
  <si>
    <t xml:space="preserve"> * Trasllat als propietaris dels resultats de l'estudi del CREAF sobre l'impacte del canvi climàtic a les masses forestals de l'ENPAG_CAG
* Sigantura d'acords de custòdia per realitzar accions de millora d'hàbitat dins ENPAG_CAG
* Signatura de convenis de dinàmica natural amb propietaris_DGPA (PPAG) 
*Integració dels criteris de la prova pilot sobre canvi climàtic en els informes dels SSTT respecte a actuacions forestals_DGPA (SSTT)
* Creació d' una taula de treball per consensuar BBPP de gestió forestal a l' ENPAG ¿???
* Creació d'un manual de BBPP de gestió forestal  vinculat a l'adaptació del canvi climàtic_CAG
</t>
  </si>
  <si>
    <t xml:space="preserve">1) Nombre d'accions conjuntes de divulgació </t>
  </si>
  <si>
    <t>02.2</t>
  </si>
  <si>
    <t xml:space="preserve">Planificar la prevenció i extinció d’incendis forestals i la gestió del foc de forma coordinada amb els diferents agents del territori </t>
  </si>
  <si>
    <t>02.2.1</t>
  </si>
  <si>
    <t xml:space="preserve">Redactar i implementar el Pla de Prevenció d'Incendis </t>
  </si>
  <si>
    <t>Equip de PPI: Disseny del protocol de treball</t>
  </si>
  <si>
    <t>MÀXIMA</t>
  </si>
  <si>
    <t>Redacció dels PEGs inclosos al PIE_CAG
Implementació d'accions del PIE (xarxa viària, espais oberts)_CAG
Manteniment i adequació de la xarxa viària per a la prevenció d'incendis_CAG</t>
  </si>
  <si>
    <t>* Suport a la FPC i la DGPA en el projecte Foc i Biodiversitat a l'Alta Garrotxa_CAG
* Redacció dels projectes executius dels PEGs definits pel Cos de Bombers_CAG
* Establiment de lligams amb el GPIF (Forestal Catalana) per a l'execució del PIE de l'ENPAG_CAG i DGPA
* Impuls de l'aprovació de l'Annex del PIE vinculat als PEGs redefinits_CAG
* Millora de la xarxa viària establerta al PIE_CAG
* Pagament per serveis ambientals als ramaders_DGPA
* Priorització de la recuperació d'EEOO en PEGs i sectors prioritzats al PIE_CAG
* Manteniment dels punts d'aigua segons incidències_CAG/Ajuntaments</t>
  </si>
  <si>
    <t>*Actuacions de prevenció i extinció de grans incendis forestals.</t>
  </si>
  <si>
    <t>*Construcció i manteniment de vials forestals per a la prevenció d'incendis
*Actuacions en punts crítics associats a la xarxa viària per a la prevenció d'incendis
*Construcció i manteniment de punts d'aigua de la xarxa bàsica per a la prevenció d'incendis
*Protecció, adequació i senyalització de punts d'aigua de la xarxa bàsica per a l'extinció d'incendis
*Actuacions sobre la vegetació per a l'obertura de franges auxiliars de trànsit (FAT) i tractament de restes vegetals
*Actuacions sobre la vegetació per a la creació d'àrees estratègiques de baixa càrrega de combustible per a la prevenció d'incendis
*Implementació d'intraestructures o serveis per als ramats de manteniment de les àrees estratègiques
*Manteniment d'àrees estratègiques de baixa càrrega de combustible per a la prevenció d'incendis mitjançant pasturatge amb ramaderia extenisva
*Actuacions sobre la vegetació per l'obertura d'àrees de seguretat amb eliminació de restes in situ
*Actuacions sobre la vegetació a l'entorn dels punts d'aigua d'extinció d'incendis
*Actuacions sobre la vegetació en Zones de Foment de la Gestió (ZFG)</t>
  </si>
  <si>
    <t xml:space="preserve">1) Nombre de PEGs redactats
2) Nombre d'accions implementades
</t>
  </si>
  <si>
    <t>1) 3
2) 4</t>
  </si>
  <si>
    <t>1) 6
2) 8</t>
  </si>
  <si>
    <t>02.2.2</t>
  </si>
  <si>
    <t>Definir i planificar la gestió del foc per a la millora de l'ENP</t>
  </si>
  <si>
    <t>SPEN: Elaboració d'un model de pla de gestió</t>
  </si>
  <si>
    <t xml:space="preserve">Suport a la FPC en el seguiment de les zones on s'han realitzat cremes prescrites (proiecte Foc i Biodiversitat i Projecte Forwards_CAG
Participació i dinamització de la Taula de foc de l'Alta Garrotxa_CAG
Suport a la sensibilització sobre el foc com a eina de gestió_CAG </t>
  </si>
  <si>
    <t xml:space="preserve">* Suport a la FPC i la DGPA en el projecte Foc i Biodiversitat a l'Alta Garrotxa (pla de cremes prescrites i execució de treballs forestals en PEGs_CAG
* Suport a la FPC en l'elaboració de plans de maneig per la gesitó de pastures i seguiment en les zones on s'han realitzat cremes prescrites (proiecte Foc i Biodiversitat i Projecte Forwards_CAG
* Participació i dinamització de la Taula de foc de l'Alta Garrotxa_CAG
* Suport a la FPC  i participació en les sessions de sensibilització sobre el foc com a eina de gestió_CAG 
</t>
  </si>
  <si>
    <r>
      <t xml:space="preserve">*Regulació de pràctiques de gestió de pastures (cremes controlades i ramaderia intensiva) que poden comportar una simplificació de l'ecosistema o la desaparició dels hàbitats 4060 i 6420. </t>
    </r>
    <r>
      <rPr>
        <sz val="11"/>
        <color rgb="FFFF0000"/>
        <rFont val="Calibri"/>
        <family val="2"/>
        <scheme val="minor"/>
      </rPr>
      <t xml:space="preserve">Plans de maneig del pastoreig que construirem amb la FPC en el projecte Forwards. (si és l'hàbitat ho tindrem en compte). </t>
    </r>
  </si>
  <si>
    <r>
      <t xml:space="preserve">*Planificació per la prevenció i extinció d’incendis forestals i per la gestió del foc.  </t>
    </r>
    <r>
      <rPr>
        <sz val="11"/>
        <color rgb="FFFF0000"/>
        <rFont val="Calibri"/>
        <family val="2"/>
        <scheme val="minor"/>
      </rPr>
      <t xml:space="preserve">En curs- </t>
    </r>
  </si>
  <si>
    <t>*Constitució d'una Taula de foc i elaboració dels projectes executius dels punts estratègics de gestió per incendis</t>
  </si>
  <si>
    <t>1) Nombre d'espais objecte de seguiment
2) Nombre de sessions de la taula de foc
3) Nombre d'accions de sensibilització</t>
  </si>
  <si>
    <t>1) 2 
2) 4
3) 1</t>
  </si>
  <si>
    <t>1) 4
2) 6
3) 2</t>
  </si>
  <si>
    <t>02.2.3</t>
  </si>
  <si>
    <t>Treballar per a la prevenció d'incendis juntament amb els propietaris, ajuntaments, protecció civil, ADF i bombers.</t>
  </si>
  <si>
    <t xml:space="preserve">Participació i dinamització de la Taula de foc de l'Alta Garrotxa_CAG
Suport a la sensibilització sobre el foc com a eina de gestió_CAG </t>
  </si>
  <si>
    <t xml:space="preserve">* Participació i dinamització de la Taula de foc de l'Alta Garrotxa_CAG
* Suport a la FPC  i participació en les sessions de sensibilització sobre el foc com a eina de gestió_CAG </t>
  </si>
  <si>
    <t>1) Nombre de sessions de la taula de foc
2) Nombre d'accions de sensibilització</t>
  </si>
  <si>
    <t>1) 4
2) 1</t>
  </si>
  <si>
    <t>1) 6
2) 2</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</si>
  <si>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</si>
  <si>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</si>
  <si>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</si>
  <si>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</si>
  <si>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</si>
  <si>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Suport i assessorament als SSTT en l'emissió d'informes dins al tramitació de l'AIA de projectes i activitats dins ENPAG_CAG i SSTT</t>
  </si>
  <si>
    <t>* Tramitació dels DAE necessaris en el desenvolupament de projectes promoguts pel Consorci_CAG
* Suport als SSTT en l'emissió d'informes dins al tramitació de l'AIA_CAG i SSTT
* Assessorament i interlocució en l'àmbit de l'AIA en el marc de la implementació de planificació /projectes impulsats per tercers_CAG</t>
  </si>
  <si>
    <r>
      <t xml:space="preserve">*L'avaluació ambiental de la creació de nous vials i infraestructures en àrees amb presència d'hàbitats o espècies d'interès comunitari ha de minimitzar la seva afectació evitant l'afectació de les àrees més ben conservades. </t>
    </r>
    <r>
      <rPr>
        <sz val="11"/>
        <color rgb="FFFF0000"/>
        <rFont val="Calibri"/>
        <family val="2"/>
        <scheme val="minor"/>
      </rPr>
      <t>Es realitza sempre prèvia consulta amb SSTT i OTAA</t>
    </r>
  </si>
  <si>
    <t>1) Percentatge de suport i assessorament realitzat a petició dels SSTT</t>
  </si>
  <si>
    <t>1) 65%</t>
  </si>
  <si>
    <t>1) 100%</t>
  </si>
  <si>
    <t>03.1.2</t>
  </si>
  <si>
    <t>Exercir un seguiment efectiu de les obres al Parc juntament amb les Oficines Territorials d'Acció i Avaluació Ambiental als efectes d'assegurar la correcta translació de la tutela administrativa.</t>
  </si>
  <si>
    <t xml:space="preserve">No tenim capacitat ni som competents </t>
  </si>
  <si>
    <t>Objectiu descartat per falta de capacitat o competències</t>
  </si>
  <si>
    <t>03.1.3</t>
  </si>
  <si>
    <t>Participar en la compensació d'impactes residuals durant els processos d'avaluació ambiental mitjançant la identificació de necessitats d'actuació prioritària dins i fora dels límits de l’ENP</t>
  </si>
  <si>
    <t>No tenim capacitat</t>
  </si>
  <si>
    <r>
      <t xml:space="preserve">*Identificació de punts d'atropellament d'amfibis_CAG </t>
    </r>
    <r>
      <rPr>
        <sz val="11"/>
        <color rgb="FFFF0000"/>
        <rFont val="Calibri"/>
        <family val="2"/>
      </rPr>
      <t>(com es fa això, ho podem demanar en el marc del SACC)</t>
    </r>
  </si>
  <si>
    <r>
      <t>*Identificació de punts d'atropellament d'amfibis i construcció de passos de fauna.</t>
    </r>
    <r>
      <rPr>
        <sz val="11"/>
        <color rgb="FFFF0000"/>
        <rFont val="Calibri"/>
        <family val="2"/>
        <scheme val="minor"/>
      </rPr>
      <t xml:space="preserve"> Intentar fer a través de l'estudi del SACCi si no de forma complementària. </t>
    </r>
    <r>
      <rPr>
        <sz val="11"/>
        <color theme="1"/>
        <rFont val="Calibri"/>
        <family val="2"/>
        <scheme val="minor"/>
      </rPr>
      <t xml:space="preserve">
*Actuacions de correcció dels suports de línies elèctriques on es detectin noves electrocucions o amb risc potencial d'electrocució i senyalització amb salvaocells de les línies perilloses per col·lisió.</t>
    </r>
    <r>
      <rPr>
        <sz val="11"/>
        <color rgb="FFFF0000"/>
        <rFont val="Calibri"/>
        <family val="2"/>
        <scheme val="minor"/>
      </rPr>
      <t xml:space="preserve"> No es un problema greu  a AG per poca circulació rodada. contrstar Dani. </t>
    </r>
    <r>
      <rPr>
        <sz val="11"/>
        <color theme="1"/>
        <rFont val="Calibri"/>
        <family val="2"/>
        <scheme val="minor"/>
      </rPr>
      <t xml:space="preserve">
*Actuacions de correcció de punts negres d'atropellament de L. lutra i Mustela lutreola</t>
    </r>
    <r>
      <rPr>
        <sz val="11"/>
        <color rgb="FFFF0000"/>
        <rFont val="Calibri"/>
        <family val="2"/>
        <scheme val="minor"/>
      </rPr>
      <t xml:space="preserve">. No és una problema greu a AG per poca circulació rodada. Contrastar Dani. </t>
    </r>
  </si>
  <si>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</si>
  <si>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</si>
  <si>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</si>
  <si>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</si>
  <si>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SPEN: Elaboració del Pla rector d'usos i gestió.
SPEN: Elaboració del Pla rector d'usos i gestió</t>
  </si>
  <si>
    <t>Revisar el PPAG</t>
  </si>
  <si>
    <t xml:space="preserve">Suport a la revisió i seguiment del PPAG segons el que estableix apartat 12 de la memòria del mateix Pla, a instàncies del SPENP_CAG </t>
  </si>
  <si>
    <t xml:space="preserve">* Suport a la revisió i seguiment del PPAG segons el que estableix apartat 12 de la memòria del mateix Pla, a instàncies del SPENP. </t>
  </si>
  <si>
    <t>1) Revisió del PPAG</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</si>
  <si>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</si>
  <si>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</si>
  <si>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</si>
  <si>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</si>
  <si>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</si>
  <si>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 xml:space="preserve">Suport a la materialització de l'estudi hidrogeològic i els seguiments associats en el marc del CP entre la DGPA i ICGC_CAG
Foment,  a través de l'organisme competent (ACA),  de major nombre de punts de control de cabal a la xarxa fluvial_ACA i CAG
Signatura d'acords de custòdia fluvial a l'ENPAG_ACA i CAG
</t>
  </si>
  <si>
    <r>
      <rPr>
        <sz val="11"/>
        <color rgb="FF00B0F0"/>
        <rFont val="Calibri"/>
        <family val="2"/>
      </rPr>
      <t>* Impulsar la materialització de l'estudi hidrogeològic i els seguiments associats en el marc del CP entre la DGPA i ICGC_CAG
* Acord de custòdia fluvial a la conca de la Muga_CAG
* Neteja del futur connector fluvial del Gomarell a la riera de Sant Aniol_CAG</t>
    </r>
    <r>
      <rPr>
        <sz val="11"/>
        <color rgb="FFFF0000"/>
        <rFont val="Calibri"/>
        <family val="2"/>
      </rPr>
      <t xml:space="preserve">
Podem fer alguna cosa per evitar els impactes del canvi climàtic sobre els recursos hídrics. Què podem fer? HO podem integrar en l'estudi de gestió dels hàbitats de ribera?? Mirar què han fet altres espais. </t>
    </r>
  </si>
  <si>
    <r>
      <t xml:space="preserve">*Concertació amb els titulars de concessions d'aigua per a la implantació de cabals ecològics. </t>
    </r>
    <r>
      <rPr>
        <sz val="11"/>
        <color rgb="FFFF0000"/>
        <rFont val="Calibri"/>
        <family val="2"/>
        <scheme val="minor"/>
      </rPr>
      <t>ACA</t>
    </r>
    <r>
      <rPr>
        <sz val="11"/>
        <color theme="1"/>
        <rFont val="Calibri"/>
        <family val="2"/>
        <scheme val="minor"/>
      </rPr>
      <t xml:space="preserve">
*Implementació dels cabals ecològics segons marc normatiu del Pla de gestió de l'Aigua (2016-2021) i aplicació de les mesures del capítol A1.Cabals manteniment.</t>
    </r>
    <r>
      <rPr>
        <sz val="11"/>
        <color rgb="FFFF0000"/>
        <rFont val="Calibri"/>
        <family val="2"/>
        <scheme val="minor"/>
      </rPr>
      <t>aCA</t>
    </r>
  </si>
  <si>
    <t xml:space="preserve">1) Realització estudi hidrogeològic
2) Establiment de punts de control
3) Signatura acords de custòdia </t>
  </si>
  <si>
    <t>1) 1
2) 1
3) 1</t>
  </si>
  <si>
    <t>1) 1
2) 2
3) 1</t>
  </si>
  <si>
    <t>03.3.2</t>
  </si>
  <si>
    <t>Vetllar per la regulació dels dragatges, canalitzacions o implantació d'activitats extractives que puguin modificar la llera i el cabal dels rius</t>
  </si>
  <si>
    <r>
      <t xml:space="preserve">*Els instruments de planificació i ordenació dels espais naturals protegits  no admeten la realització de canvis en la morfologia de les lleres on l'hàbitat 6430 és present. </t>
    </r>
    <r>
      <rPr>
        <sz val="11"/>
        <color rgb="FFFF0000"/>
        <rFont val="Calibri"/>
        <family val="2"/>
        <scheme val="minor"/>
      </rPr>
      <t xml:space="preserve">Contrastar amb en Guifré </t>
    </r>
    <r>
      <rPr>
        <sz val="11"/>
        <color theme="1"/>
        <rFont val="Calibri"/>
        <family val="2"/>
        <scheme val="minor"/>
      </rPr>
      <t xml:space="preserve">
*Els instruments de planificació i ordenació dels espais naturals protegits  regulen aquelles activitats que puguin generar una alteració del sistema exo-endocàrstic (extracció o alteració del curs d'aigua subterrània, etc.).</t>
    </r>
    <r>
      <rPr>
        <sz val="11"/>
        <color rgb="FFFF0000"/>
        <rFont val="Calibri"/>
        <family val="2"/>
        <scheme val="minor"/>
      </rPr>
      <t>Contrastar amb en Guifré.</t>
    </r>
    <r>
      <rPr>
        <sz val="11"/>
        <color theme="1"/>
        <rFont val="Calibri"/>
        <family val="2"/>
        <scheme val="minor"/>
      </rPr>
      <t xml:space="preserve"> </t>
    </r>
  </si>
  <si>
    <t>03.3.3</t>
  </si>
  <si>
    <t>Avaluar i controlar les actuacions que produeixin drenatges, captacions o que puguin impedir l’arribada d’aigua tant superficial com freàtica</t>
  </si>
  <si>
    <r>
      <t>*Els instruments de planificació i ordenació dels espais naturals protegits  regulen les actuacions que requereixen drenatges, captacions  i altres usos de les masses d'aigua o que puguin impedir l’arribada d’aigua tant superficial com freàtica afectant a la conservació d'hàbitats i espècies d'interès comunitari aquàtics o litorals.</t>
    </r>
    <r>
      <rPr>
        <sz val="11"/>
        <color rgb="FFFF0000"/>
        <rFont val="Calibri"/>
        <family val="2"/>
        <scheme val="minor"/>
      </rPr>
      <t>si</t>
    </r>
    <r>
      <rPr>
        <sz val="11"/>
        <color theme="1"/>
        <rFont val="Calibri"/>
        <family val="2"/>
        <scheme val="minor"/>
      </rPr>
      <t xml:space="preserve">
*Establiment de procediments de concertació amb els titulars de concessions d'aigua per determinar els drets d'ús i els efectes sobre la conservació del patrimoni natural de les mateixes.</t>
    </r>
    <r>
      <rPr>
        <sz val="11"/>
        <color rgb="FFFF0000"/>
        <rFont val="Calibri"/>
        <family val="2"/>
        <scheme val="minor"/>
      </rPr>
      <t xml:space="preserve">ACA ho te establerts. </t>
    </r>
    <r>
      <rPr>
        <sz val="11"/>
        <color theme="1"/>
        <rFont val="Calibri"/>
        <family val="2"/>
        <scheme val="minor"/>
      </rPr>
      <t xml:space="preserve">
*Avaluació de les actuacions que requereixen drenatges, captacions  i altres usos de les masses d'aigua o que puguin impedir l’arribada d’aigua tant superficial com freàtica afectant a la conservació dels elements d'interès comunitari.</t>
    </r>
    <r>
      <rPr>
        <sz val="11"/>
        <color rgb="FFFF0000"/>
        <rFont val="Calibri"/>
        <family val="2"/>
        <scheme val="minor"/>
      </rPr>
      <t>ACA en fa seguiment,</t>
    </r>
    <r>
      <rPr>
        <sz val="11"/>
        <color theme="1"/>
        <rFont val="Calibri"/>
        <family val="2"/>
        <scheme val="minor"/>
      </rPr>
      <t xml:space="preserve"> </t>
    </r>
  </si>
  <si>
    <t>03.3.4</t>
  </si>
  <si>
    <t>Vetllar pel compliment de la normativa de depuració dels efluents agroramaders, urbans i industrials que s'aboquen als cursos fluvials</t>
  </si>
  <si>
    <t>Suport als Ajuntaments per agilitzar la construcció dels sistemes de depuració de nuclis urbans (Beget, Albanyà i Sant Llorenç de la Muga)_CAG</t>
  </si>
  <si>
    <t>* Suport als Ajuntaments per agilitzar la construcció dels sistemes de depuració de nuclis urbans (Beget, Albanyà i Sant Llorenç de la Muga_CAG
* Acord de custòdia fluvial a la conca de la Muga_CAG</t>
  </si>
  <si>
    <r>
      <t xml:space="preserve">*Augment dels sistemes de depuració i tractament d'aigües per garantir les condicions fisicoquímiques de l'aigua a través de l'aplicació de les mesures dels capítols C1 i C2 del Programa de Mesures del Pla de gestió de l'Aigua de l'ACA. </t>
    </r>
    <r>
      <rPr>
        <sz val="11"/>
        <color rgb="FF00B0F0"/>
        <rFont val="Calibri"/>
        <family val="2"/>
        <scheme val="minor"/>
      </rPr>
      <t xml:space="preserve">Es fa donant suport als AJuntaments. </t>
    </r>
  </si>
  <si>
    <t>1) Redacció del projecte executiu per part de l'organisme competent</t>
  </si>
  <si>
    <t>03.4</t>
  </si>
  <si>
    <t>Incrementar el patrimoni públic destinat a la conservació i millora del patrimoni natural</t>
  </si>
  <si>
    <t>03.4.1</t>
  </si>
  <si>
    <t xml:space="preserve">Identificar espais prioritaris per a la compra de terrenys de més valor dins l'ENP </t>
  </si>
  <si>
    <t>SENP/SPEN: Facilitar els criteris a seguir</t>
  </si>
  <si>
    <t>Realitzat juntament amb la DGPA</t>
  </si>
  <si>
    <r>
      <t>*Compra (o adquisició de drets de tala) de rodals madurs, premadurs, o amb agrupacions d’arbres grans, vells, morts en peu, amb abundància de cavitats. També s'hi inclouen boscos singulars per raons biogeogràfiques o d'escassetat. P</t>
    </r>
    <r>
      <rPr>
        <sz val="11"/>
        <color rgb="FFFF0000"/>
        <rFont val="Calibri"/>
        <family val="2"/>
        <scheme val="minor"/>
      </rPr>
      <t>endent de la DG, està previst al PPAG</t>
    </r>
  </si>
  <si>
    <t>03.4.2</t>
  </si>
  <si>
    <t>Identificar espais prioritaris per a la gestió directa</t>
  </si>
  <si>
    <r>
      <rPr>
        <sz val="11"/>
        <color rgb="FF00B0F0"/>
        <rFont val="Calibri"/>
        <family val="2"/>
      </rPr>
      <t>* Millores en l'adequació del campanar de Santa Cecília com a punt de refugi d'espècies de quiròpters_CAG (</t>
    </r>
    <r>
      <rPr>
        <sz val="11"/>
        <color rgb="FFFF0000"/>
        <rFont val="Calibri"/>
        <family val="2"/>
      </rPr>
      <t>demanara en Xevi si considera necessari extendre a altres punts amb algun mètode)</t>
    </r>
    <r>
      <rPr>
        <i/>
        <sz val="11"/>
        <color rgb="FF00B0F0"/>
        <rFont val="Calibri"/>
        <family val="2"/>
      </rPr>
      <t xml:space="preserve">
Realitzat juntament amb la DGPA</t>
    </r>
  </si>
  <si>
    <r>
      <t xml:space="preserve">*Adequació d'alguna edificació de propietat pública com a refugi de Rhinolophus ferrumequinun, preferiblement propers a llacunes. </t>
    </r>
    <r>
      <rPr>
        <sz val="11"/>
        <color rgb="FFFF0000"/>
        <rFont val="Calibri"/>
        <family val="2"/>
        <scheme val="minor"/>
      </rPr>
      <t xml:space="preserve">Es va fer a sant cecilia. Valorar si cal extendre a altres punts. </t>
    </r>
    <r>
      <rPr>
        <sz val="11"/>
        <color theme="1"/>
        <rFont val="Calibri"/>
        <family val="2"/>
        <scheme val="minor"/>
      </rPr>
      <t xml:space="preserve">
*Actuacions de restauració dels indrets més degradats dels hàbitats o les àrees amb presència d'espècies d'interès comunitari en zones de prats i pastures en base a una identificació i valoració de l'estat de conservació. </t>
    </r>
    <r>
      <rPr>
        <sz val="11"/>
        <color rgb="FFFF0000"/>
        <rFont val="Calibri"/>
        <family val="2"/>
        <scheme val="minor"/>
      </rPr>
      <t xml:space="preserve">Estudi estat ecològic de prats. No l'aplicaria en aquest obkectiu propiament, hi ha més adients. </t>
    </r>
    <r>
      <rPr>
        <sz val="11"/>
        <color theme="1"/>
        <rFont val="Calibri"/>
        <family val="2"/>
        <scheme val="minor"/>
      </rPr>
      <t xml:space="preserve">
*Actuacions de restauració dels indrets més degradats dels hàbitats o les àrees amb presència d'espècies d'interès comunitari en zones forestals en base a una identificació i valoració de l'estat de conservació. </t>
    </r>
    <r>
      <rPr>
        <sz val="11"/>
        <color rgb="FFFF0000"/>
        <rFont val="Calibri"/>
        <family val="2"/>
        <scheme val="minor"/>
      </rPr>
      <t xml:space="preserve">Millora de la senyalitzacio de l' l'itinerari de MOnars per evitar el senderimse dispers. </t>
    </r>
    <r>
      <rPr>
        <sz val="11"/>
        <color theme="1"/>
        <rFont val="Calibri"/>
        <family val="2"/>
        <scheme val="minor"/>
      </rPr>
      <t xml:space="preserve">
*Delimitació de zones de protecció al voltant de les àrees forestals més ben conservades de determinats hàbitats d'interès comunitari per l'esmorteïment de possibles impactes.</t>
    </r>
    <r>
      <rPr>
        <sz val="11"/>
        <color rgb="FFFF0000"/>
        <rFont val="Calibri"/>
        <family val="2"/>
        <scheme val="minor"/>
      </rPr>
      <t xml:space="preserve"> les zones forestals benconservades son poc freqüentades. Actuar en cas d'incidències recurrents. </t>
    </r>
  </si>
  <si>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</si>
  <si>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</si>
  <si>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</si>
  <si>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</si>
  <si>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</si>
  <si>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</si>
  <si>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 xml:space="preserve">Recull del patrimoni etnològic i cultural immaterial més rellevant a l'ENPAG_CAG
</t>
  </si>
  <si>
    <r>
      <t xml:space="preserve">* Inventari de patrimoni cultural immaterial (metodologia de la UNESCO)_CAG (en cas de disposar de POCTEFA)
(el material ja està realitzat) - llegendes, rondalles i vocabulari específic i patrimoni musical-  
</t>
    </r>
    <r>
      <rPr>
        <sz val="11"/>
        <color rgb="FFFF0000"/>
        <rFont val="Calibri"/>
        <family val="2"/>
      </rPr>
      <t xml:space="preserve">* Identificació de les fórmules de maneig tradicional del bestiar en el context del projecte de la FPC de Foc i Biodivesitat_CAG
</t>
    </r>
  </si>
  <si>
    <r>
      <t xml:space="preserve">*Inventari de les mines, els forns de calç, les teuleries, les antigues pedreres, les fargues, etc. </t>
    </r>
    <r>
      <rPr>
        <sz val="11"/>
        <color rgb="FFFF0000"/>
        <rFont val="Calibri"/>
        <family val="2"/>
        <scheme val="minor"/>
      </rPr>
      <t>En curs</t>
    </r>
  </si>
  <si>
    <t>1) Realitzacio del recull de patrimoni etnològic i cultural immaterial</t>
  </si>
  <si>
    <t xml:space="preserve">1) 1 </t>
  </si>
  <si>
    <t>04.1.2</t>
  </si>
  <si>
    <t>Elaborar el catàleg lingüístic (localismes) de patrimoni natural, geografia popular, festes i activitats tradicionals de l'ENP</t>
  </si>
  <si>
    <t>Inclòs a l'anterior</t>
  </si>
  <si>
    <t>Accions recollides en altres objectius operatius</t>
  </si>
  <si>
    <t>Valorar si es pot posar en l'anterior</t>
  </si>
  <si>
    <t>04.1.3</t>
  </si>
  <si>
    <t>Elaborar la cartografia de la xarxa de camins ramaders i senders tradicionals de l'ENP</t>
  </si>
  <si>
    <t>Actualització de la xarxa de camins tradicionals de l'ENP_CAG</t>
  </si>
  <si>
    <t xml:space="preserve">* Instar els Ajuntaments a que facin els corresponents catàlegs de camins públics. </t>
  </si>
  <si>
    <t>*Manteniment de la ruta transhumant</t>
  </si>
  <si>
    <t>1) Cartografia de la xarxa de camins 
2) Kms amb manteniment per part del CAG</t>
  </si>
  <si>
    <t>1) 1
2) 100</t>
  </si>
  <si>
    <t>1) 1
2) 200</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</si>
  <si>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</si>
  <si>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</si>
  <si>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</si>
  <si>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</si>
  <si>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Revisió periòdica de la llista d'ens de referència en patrimoni cultural_CAG</t>
  </si>
  <si>
    <t xml:space="preserve">1) Nombre de revisions realitzades </t>
  </si>
  <si>
    <t>04.2.2</t>
  </si>
  <si>
    <t>Articular treballs conjunts entre l'ENP i representants, gestors o custodis del patrimoni cultural per a la seva protecció i millora</t>
  </si>
  <si>
    <t>Signatura de convenis amb entitats de conservació del patrimoni cultural_CAG
Impulsar formació en matèria de pedra seca_CAG</t>
  </si>
  <si>
    <t>* Signatura d'un conveni amb els Amics de Sant Aniol_CAG
* Formació en matèria de pedra seca en el marc de la TVAPO i paral·lelament amb la FES i IES Garrotxa_CAG</t>
  </si>
  <si>
    <t>1) Signatura de convenis
2) Edicions de formació en mat de pedra seca</t>
  </si>
  <si>
    <t>04.2.3</t>
  </si>
  <si>
    <t>Coordinar i participar dels treballs de restauració arquitectònica i del patrimoni cultural</t>
  </si>
  <si>
    <t>Neteja d'elements de patrimoni cultural_CAG
Accions de manteniment i recuperació de camins tradicionals_CAG
Accions de conservació de parets i estructures de pedra seca_CAG</t>
  </si>
  <si>
    <t>* Accions per a la conservació de parets i estructures de pedra seca_CAG</t>
  </si>
  <si>
    <t>*Adequació de la rectoria de Sant Aniol</t>
  </si>
  <si>
    <t>1) Accions de neteja d'elements de patrimoni cultural
2) Trams recuperats o restaurats
3) Millores sobre estructures de pedra seca</t>
  </si>
  <si>
    <t>1) 5
2) 1
3) 1</t>
  </si>
  <si>
    <t>1) 10 
2) 2
3) 2</t>
  </si>
  <si>
    <t>04.2.4</t>
  </si>
  <si>
    <t>Disposar de personal especialitzat en patrimoni cultural</t>
  </si>
  <si>
    <t>Dotació al CAG de personal especialitzat en patrimoni cultural_DGPA</t>
  </si>
  <si>
    <t>* Dotar el Consorci de personal especialitzat_DGPA</t>
  </si>
  <si>
    <t>1) Personal especialitzat en patrimoni cultural</t>
  </si>
  <si>
    <t>04.3</t>
  </si>
  <si>
    <t>Potenciar la conservació i recuperació del patrimoni cultural material i immaterial de l'ENP</t>
  </si>
  <si>
    <t>04.3.1</t>
  </si>
  <si>
    <t xml:space="preserve">Recuperar i conservar el patrimoni cultural rural immaterial associat a les activitats i aprofitaments tradicionals </t>
  </si>
  <si>
    <t>Celebració d'una jornada d'activitats tradicionals de la Garrotxa_CAG i PNZVG</t>
  </si>
  <si>
    <t>Aplec de Sant Aniol</t>
  </si>
  <si>
    <t>1) Jornades</t>
  </si>
  <si>
    <t>04.3.2</t>
  </si>
  <si>
    <t>Recuperar i conservar el patrimoni cultural rural vinculat específicament a construccions de pedra en sec</t>
  </si>
  <si>
    <t>Accions de conservació de parets i estructures de pedra seca_CAG</t>
  </si>
  <si>
    <t>* Accions per a la conservació de parets i estructures de pedra seca_CAG
Millores específiques a Lliurona</t>
  </si>
  <si>
    <t>*Actuacions de conservació i recuperació dels murs de pedra seca.</t>
  </si>
  <si>
    <t>1) Millores sobre estructures de pedra seca</t>
  </si>
  <si>
    <t>04.3.3</t>
  </si>
  <si>
    <t xml:space="preserve">Fomentar la recuperació i conservació de l'arquitectura tradicional d'intrès de les edificacions i construccions </t>
  </si>
  <si>
    <t>04.3.4</t>
  </si>
  <si>
    <t>Identificar i conservar la diversitat domesticada de varietats agrícoles i ramaderes locals</t>
  </si>
  <si>
    <t>Dotació al CAG de personal especialitzat en l'àmbit agrari_DGPA</t>
  </si>
  <si>
    <t>* Suport al pagament per serveis ambientals que està articulant la DGPA,  fomentant espècies de pota petita_CAG</t>
  </si>
  <si>
    <t>04.4</t>
  </si>
  <si>
    <t xml:space="preserve">Donar a conèixer els elements culturals com a valors del paisatge de l'ENP en les activitats d'ús públic </t>
  </si>
  <si>
    <t>04.4.1</t>
  </si>
  <si>
    <t>Integrar el patrimoni cultural als itineraris i cartelleria de l'ENP.</t>
  </si>
  <si>
    <t>Integració progressiva dels elements de patrimoni cultural als fulletons d'itineraris_CAG
Recuperació de camins transfronterers_CAG
Foment i manteniment d'una xarxa d'itineraris amb la Catalunya Nord_CAG</t>
  </si>
  <si>
    <t>* Integració d'aquests elements en els nous itineraris_CAG
Integració del patrimoni cultural a l'exposició de la Rectoria_CAG</t>
  </si>
  <si>
    <t>1) Nombre de fulletons amb referència al patrimoni cultural</t>
  </si>
  <si>
    <t>1) 4</t>
  </si>
  <si>
    <t>04.4.2</t>
  </si>
  <si>
    <t>Incorporar el patrimoni cultural en els plans d’ús públic i educació ambiental per fomentar-ne la seva conservació i divulgació.</t>
  </si>
  <si>
    <t xml:space="preserve">Integració del patrimoni cultural en el PUP G i AG, en el disseny d'activitats i en els centres d'informació de l'ENPAG_CAG
</t>
  </si>
  <si>
    <t>* Conveni amb els Amics de Sant Aniol (Rectoria de Sant Aniol)  i l'Ajuntament de Sales de Llierca (Rectoria de Sant Grau) per donar usos amb caràcter d'ús públic a aquestes edificacions_CAG
* Adquisició de la Rectoria de Sadernes com a centre interpretació i acollida de l'ENPAG_CAG</t>
  </si>
  <si>
    <r>
      <t xml:space="preserve">*Potenciar els valors naturals i culturals de la comarca i de l'espai com a oferta per als visitants </t>
    </r>
    <r>
      <rPr>
        <sz val="11"/>
        <color rgb="FFFF0000"/>
        <rFont val="Calibri"/>
        <family val="2"/>
        <scheme val="minor"/>
      </rPr>
      <t>fet</t>
    </r>
  </si>
  <si>
    <t>1) Integració de l'eix cultural en aquestes iniciatives</t>
  </si>
  <si>
    <t>04.4.3</t>
  </si>
  <si>
    <t>Formar el personal dels punts d’informació en els valors culturals de l'ENP</t>
  </si>
  <si>
    <t>Integració del patrimoni cultural en el Curs per al bon coneixement de la Garrotxa i en la formació continua que es fa amb la FES en el marc del desplegament de la Carta Europea de Turismse Sostenible_CAG</t>
  </si>
  <si>
    <t>* Integració del patrimini cultural en el Curs per al bon coneixement de la Garrotxa i en la formació continua que es fa amb la FES en el marc del desplegament de la Carta Europea de Turismse Sostenible_CAG</t>
  </si>
  <si>
    <t>1) Sessions formatives sobre patrimoni cultural</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</si>
  <si>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</si>
  <si>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</si>
  <si>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</si>
  <si>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</si>
  <si>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</si>
  <si>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Realitzat, existeix la Carta del Paisatge de l'Alta Garrotxa (Observatori del Paisatge)</t>
  </si>
  <si>
    <t xml:space="preserve">* En el Catàleg del Paisatge de les Comarques Gironines es defineix la Unitat paisatgística de l’Alta Garrotxa, per la que presenta uns objectius de qualitat paisatgística i una proposta de mesures (criteris) i accions específiques, identificant els elements clau. 
De la mateixa manera el PPAG estableix cartogràficament les zones de fragilitat paisatgística i a l'Annex 3 de la memòria estableix els  Elements d’interès paisatgístic i cultural de l’espai. </t>
  </si>
  <si>
    <t>05.2</t>
  </si>
  <si>
    <t>Millorar la qualitat paisatgística</t>
  </si>
  <si>
    <t>05.2.1</t>
  </si>
  <si>
    <t>Desplegar actuacions de restauració dels elements d'interès paisatgístic degradats</t>
  </si>
  <si>
    <t>Seguiment amb l'organisme competent i el SPENP de l'estat de les restauracions de les explotacions extractives_CAG</t>
  </si>
  <si>
    <t>1) Identificació de les explotacions amb data de caducitat propera i estat</t>
  </si>
  <si>
    <t>05.2.2</t>
  </si>
  <si>
    <t>Gestionar l'abandonament d'infraestructures i instal·lacions amb impactes sobre els valors de l'espai</t>
  </si>
  <si>
    <t>05.2.3</t>
  </si>
  <si>
    <t>Minimitzar la brutícia, deixalles, vandalisme i males praxis dins l'ENP</t>
  </si>
  <si>
    <t>Servei de neteja i manteniment d'infraestructures de l'ENPAG_CAG
Difusió de Bones pràctiques a través de diferents mitjans_CAG</t>
  </si>
  <si>
    <t>Servei de neteja i manteniment d'infraestructures de l'ENPAG_CAG</t>
  </si>
  <si>
    <t>1) Hores destinades a manteniment i neteja 
2) Integració de BBPP en material de difusió, cartelleria, etc.</t>
  </si>
  <si>
    <t>1) 150
2) 2</t>
  </si>
  <si>
    <t>1)300€
2) 4</t>
  </si>
  <si>
    <t>05.3</t>
  </si>
  <si>
    <t>Protegir la qualitat acústica i lumínica de l'ENP</t>
  </si>
  <si>
    <t>05.3.1</t>
  </si>
  <si>
    <t>Promoure la certificació de qualitat del cel nocturn</t>
  </si>
  <si>
    <t xml:space="preserve"> Integració de la certificació de qualitat del cel nocturn  a la CETS Garrotxa durant la renovació prevista per al 2025_CAG</t>
  </si>
  <si>
    <r>
      <t xml:space="preserve">* Integració de la certificació de qualitat del cel nocturn  a la CETS Garrotxa durant la renovació prevista per al 2025_CAG
</t>
    </r>
    <r>
      <rPr>
        <i/>
        <sz val="11"/>
        <color rgb="FF00B0F0"/>
        <rFont val="Calibri"/>
        <family val="2"/>
      </rPr>
      <t>Realitzat al nucli Albanyà.</t>
    </r>
    <r>
      <rPr>
        <sz val="11"/>
        <color rgb="FF00B0F0"/>
        <rFont val="Calibri"/>
        <family val="2"/>
      </rPr>
      <t xml:space="preserve"> </t>
    </r>
  </si>
  <si>
    <r>
      <t>*Promoció de les declaracions de cel nocturn</t>
    </r>
    <r>
      <rPr>
        <sz val="11"/>
        <color rgb="FFFF0000"/>
        <rFont val="Calibri"/>
        <family val="2"/>
        <scheme val="minor"/>
      </rPr>
      <t xml:space="preserve"> en curs</t>
    </r>
  </si>
  <si>
    <t>1) Accions realitzades per promoure la certificació de qualitat del cel nocturn</t>
  </si>
  <si>
    <t>05.3.2</t>
  </si>
  <si>
    <t>Promoure la certificació de zones d'especial protecció de la qualitat acústica</t>
  </si>
  <si>
    <t>Integració de la certificació de zones d'especial protecció dela qualitat acústica a la CETS Garrotxa durant la renovació prevista per al 2025_CAG</t>
  </si>
  <si>
    <t>* Integració de la certificació de zones d'especial protecció dela qualitat acústica a la CETS Garrotxa durant la renovació prevista per al 2025_CAG</t>
  </si>
  <si>
    <r>
      <t xml:space="preserve">*Promoció de les zones d’especial protecció de la qualitat acústica </t>
    </r>
    <r>
      <rPr>
        <sz val="11"/>
        <color rgb="FFFF0000"/>
        <rFont val="Calibri"/>
        <family val="2"/>
        <scheme val="minor"/>
      </rPr>
      <t>en curs</t>
    </r>
  </si>
  <si>
    <t>1) Accions realitzades per promoure la certificació de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</si>
  <si>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</si>
  <si>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</si>
  <si>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</si>
  <si>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</si>
  <si>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</si>
  <si>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</si>
  <si>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Directriva Habitats
Carta emplaçament
ESNATURA
Catàlegs</t>
  </si>
  <si>
    <t>UIC/SFF/SPEN: Definir criteris d'identificació d'elements interès.
UIC/SFF/SPEN: Definició dels objectes de conservació clau comuns a nivell de Xarxa d'ENP o clúster territorial</t>
  </si>
  <si>
    <t xml:space="preserve">Realitzat durant la confecció del PPAG, la geoestratègia i revisat amb el MAP i el Pla Estratègic (pestanya "Priorització"). </t>
  </si>
  <si>
    <t xml:space="preserve">Realitzat durant la confecció del PPAG i revisat amb el MAP i el Pla Estratègic. </t>
  </si>
  <si>
    <r>
      <t xml:space="preserve">*Realització d'un inventari  i catàleg de coves que diagnostiqui i analitzi el seu estat de conservació. </t>
    </r>
    <r>
      <rPr>
        <sz val="11"/>
        <color rgb="FFFF0000"/>
        <rFont val="Calibri"/>
        <family val="2"/>
        <scheme val="minor"/>
      </rPr>
      <t>Inventari realtizat. Parlar amb enllorenç si cal un estudi exhausitiu de l'estat de consevaicó. Què diu l'estratègia al respecte?</t>
    </r>
  </si>
  <si>
    <r>
      <t xml:space="preserve">*Inventari-catàleg actualitzat de les coves, avencs, gorges i congostos </t>
    </r>
    <r>
      <rPr>
        <sz val="11"/>
        <color rgb="FFFF0000"/>
        <rFont val="Calibri"/>
        <family val="2"/>
        <scheme val="minor"/>
      </rPr>
      <t xml:space="preserve"> en curs</t>
    </r>
    <r>
      <rPr>
        <sz val="11"/>
        <color theme="1"/>
        <rFont val="Calibri"/>
        <family val="2"/>
        <scheme val="minor"/>
      </rPr>
      <t xml:space="preserve">
*Elaboració de fitxes dels punts i le</t>
    </r>
    <r>
      <rPr>
        <sz val="11"/>
        <color rgb="FFFF0000"/>
        <rFont val="Calibri"/>
        <family val="2"/>
        <scheme val="minor"/>
      </rPr>
      <t>s zones per l’inventari d'elements geològics fet</t>
    </r>
    <r>
      <rPr>
        <sz val="11"/>
        <color theme="1"/>
        <rFont val="Calibri"/>
        <family val="2"/>
        <scheme val="minor"/>
      </rPr>
      <t xml:space="preserve">
</t>
    </r>
  </si>
  <si>
    <t>06.1.2</t>
  </si>
  <si>
    <t>Definir espais fràgils i zones d'especial atenció</t>
  </si>
  <si>
    <t>SPEN: Inventari i cartografia d'espais fràgils i zones d'especial atenció</t>
  </si>
  <si>
    <t>Realitzat durant la confecció del PPAG</t>
  </si>
  <si>
    <t>Realitzat durant  la confecció del PPAG.</t>
  </si>
  <si>
    <r>
      <t xml:space="preserve">*Identificació dels indrets més representatius dels hàbitats i espècies d'interès comunitari, millora de la cartografia i valoració del seu estat de conservació. </t>
    </r>
    <r>
      <rPr>
        <sz val="11"/>
        <color rgb="FFFF0000"/>
        <rFont val="Calibri"/>
        <family val="2"/>
        <scheme val="minor"/>
      </rPr>
      <t xml:space="preserve">Revisió de la cartgografia amb els estudis que es facin. </t>
    </r>
    <r>
      <rPr>
        <sz val="11"/>
        <color theme="1"/>
        <rFont val="Calibri"/>
        <family val="2"/>
        <scheme val="minor"/>
      </rPr>
      <t xml:space="preserve">
*Actualització de les Reserves Naturals Fluvials.</t>
    </r>
    <r>
      <rPr>
        <sz val="11"/>
        <color rgb="FFFF0000"/>
        <rFont val="Calibri"/>
        <family val="2"/>
        <scheme val="minor"/>
      </rPr>
      <t xml:space="preserve"> Just ho està fent l'ACA i estem ajudant les empreses adjudicatàries amb la informació i coneixement del que disposem. </t>
    </r>
    <r>
      <rPr>
        <sz val="11"/>
        <color theme="1"/>
        <rFont val="Calibri"/>
        <family val="2"/>
        <scheme val="minor"/>
      </rPr>
      <t xml:space="preserve">
*Estudi sobre l'interès relatiu per a la biodiversitat de les representacions locals dels prats d'interès comunitari, en particular 6420, amb l'objectiu de prioritzar la gestió dels indrets més rellevants. </t>
    </r>
    <r>
      <rPr>
        <sz val="11"/>
        <color rgb="FFFF0000"/>
        <rFont val="Calibri"/>
        <family val="2"/>
        <scheme val="minor"/>
      </rPr>
      <t xml:space="preserve">Tenim estudi hàbitats, revisar si identifica espècies. </t>
    </r>
  </si>
  <si>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</si>
  <si>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</si>
  <si>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</si>
  <si>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</si>
  <si>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UIC: Coordinar i contractar l'elaboració de la cartografia</t>
  </si>
  <si>
    <t>Trasllat de la cartografia de l'ENPAG a la UIC segons protocol que defineixi la Unitat (actualment en elaboració)_CAG</t>
  </si>
  <si>
    <t>Traslladat de la cartografia de l'ENPAG a la UIC segons protocol que defineixi la Unitat (actualment en elaboració)_CAG</t>
  </si>
  <si>
    <r>
      <t xml:space="preserve">*Adaptació i integració de la cartografia dels hàbitats fluvials. </t>
    </r>
    <r>
      <rPr>
        <sz val="11"/>
        <color rgb="FFFF0000"/>
        <rFont val="Calibri"/>
        <family val="2"/>
        <scheme val="minor"/>
      </rPr>
      <t xml:space="preserve">Cartografia dels hàbitats fluvials de les Reserves Naturals Fluvials. Ho farem a través estudi de cartografia xarxa fluvial. </t>
    </r>
    <r>
      <rPr>
        <sz val="11"/>
        <color theme="1"/>
        <rFont val="Calibri"/>
        <family val="2"/>
        <scheme val="minor"/>
      </rPr>
      <t xml:space="preserve">
*Inventaris i cartografia fina dels hàbitats 81XX i impulsar estudis sobre la dinàmica geomorfològica i morfodinàmica de les roques. </t>
    </r>
    <r>
      <rPr>
        <sz val="11"/>
        <color rgb="FFFF0000"/>
        <rFont val="Calibri"/>
        <family val="2"/>
        <scheme val="minor"/>
      </rPr>
      <t xml:space="preserve">Ja els tenim cartografiats. Valorar que diu estratègia sobre l'estudi de tarteres, es prioritari fer seguiment de la seva evolucó,. cal posar específicament o ho posem en el marc del seguiment de l'estratègia. </t>
    </r>
    <r>
      <rPr>
        <sz val="11"/>
        <color theme="1"/>
        <rFont val="Calibri"/>
        <family val="2"/>
        <scheme val="minor"/>
      </rPr>
      <t xml:space="preserve">
*Cartografia de detall de les torberes i comunitats fontinals dins espai de la xarxa Natura 2000 (7110,7140,7220, 7230, 7240). </t>
    </r>
    <r>
      <rPr>
        <sz val="11"/>
        <color rgb="FFFF0000"/>
        <rFont val="Calibri"/>
        <family val="2"/>
        <scheme val="minor"/>
      </rPr>
      <t xml:space="preserve">realitzat estudi hàbitat. </t>
    </r>
    <r>
      <rPr>
        <sz val="11"/>
        <color theme="1"/>
        <rFont val="Calibri"/>
        <family val="2"/>
        <scheme val="minor"/>
      </rPr>
      <t xml:space="preserve">
*Millora de la cartografia a petita escala de les àrees de presència d'hàbitats d'interès comunitari.</t>
    </r>
    <r>
      <rPr>
        <sz val="11"/>
        <color rgb="FFFF0000"/>
        <rFont val="Calibri"/>
        <family val="2"/>
        <scheme val="minor"/>
      </rPr>
      <t xml:space="preserve"> La tenim ja  a escala 1:10,000</t>
    </r>
  </si>
  <si>
    <r>
      <t>*Cartografia i caracterització de les formacions de travertí de la Vall de Sant Aniol</t>
    </r>
    <r>
      <rPr>
        <sz val="11"/>
        <color rgb="FFFF0000"/>
        <rFont val="Calibri"/>
        <family val="2"/>
        <scheme val="minor"/>
      </rPr>
      <t xml:space="preserve"> fet</t>
    </r>
    <r>
      <rPr>
        <sz val="11"/>
        <color theme="1"/>
        <rFont val="Calibri"/>
        <family val="2"/>
        <scheme val="minor"/>
      </rPr>
      <t xml:space="preserve">
*Cartografia de punts d’interès geològic del sector de Lliurona, Albanyà i Bac Grillera</t>
    </r>
    <r>
      <rPr>
        <sz val="11"/>
        <color rgb="FFFF0000"/>
        <rFont val="Calibri"/>
        <family val="2"/>
        <scheme val="minor"/>
      </rPr>
      <t xml:space="preserve"> fet</t>
    </r>
    <r>
      <rPr>
        <sz val="11"/>
        <color theme="1"/>
        <rFont val="Calibri"/>
        <family val="2"/>
        <scheme val="minor"/>
      </rPr>
      <t xml:space="preserve">
*Cartografia a 1:10.000 de les tarteres
</t>
    </r>
  </si>
  <si>
    <t xml:space="preserve">1) Nombre de capes integrades al SIG corporatiu, a instàncies de la UIC
</t>
  </si>
  <si>
    <t>1) 6</t>
  </si>
  <si>
    <t>06.2.2</t>
  </si>
  <si>
    <t>Conèixer i estudiar els processos naturals propis de l’espai, la seva funcionalitat, i ecologia en referència als ecosistemes</t>
  </si>
  <si>
    <t>Conèixer i estudiar els elements i processos naturals propis de l’espai, la seva tendència, funcionalitat, i ecologia, per al desenvolupament d'accions de gestió i conservació</t>
  </si>
  <si>
    <t xml:space="preserve">Foment i coordinació estudis sobre la polinització, el funcionament de les xarxes tròfiques (l'herbivoria, depredadors, etc. ),  i la hidrogeologia de l'ENPAG_CAG i DGPA </t>
  </si>
  <si>
    <r>
      <t xml:space="preserve">* Suport al desenvolupament del projecte de renaturalització del PPAG_CAG
* Seguiment de l'estat ecològic dels prats en el marc de les accions del  projecte de FPC sobre foc i biodiversitat_CAG
* Suport a la UdG en el seguiment de grups de fauna en el marc del projecte de FPC sobre foc i biodiversitat_CAG
* Segona fase de l'estudi de polinització_CAG
* Seguiment sobre l'evolució de l'hàbitat 8130 (tarteres). </t>
    </r>
    <r>
      <rPr>
        <sz val="11"/>
        <color rgb="FFFF0000"/>
        <rFont val="Calibri"/>
        <family val="2"/>
      </rPr>
      <t>contrastar al'estratègia de geoconservació si és prioritari</t>
    </r>
    <r>
      <rPr>
        <sz val="11"/>
        <color rgb="FF00B0F0"/>
        <rFont val="Calibri"/>
        <family val="2"/>
      </rPr>
      <t>._CAG
* Inspecció visual dels itineraris i el seu entorn per valorar processos erosius per hiperfreqüentació_CAG</t>
    </r>
  </si>
  <si>
    <r>
      <rPr>
        <sz val="11"/>
        <color rgb="FFFF0000"/>
        <rFont val="Calibri"/>
        <family val="2"/>
        <scheme val="minor"/>
      </rPr>
      <t xml:space="preserve">TOT INTEGRAT AL PLA DE SEGUIMENT DE LA BIODIVERSITAT DE L'ALTA GARROTXA. no crec que correspongui específicament amb aquest objectiu 
</t>
    </r>
    <r>
      <rPr>
        <sz val="11"/>
        <color theme="1"/>
        <rFont val="Calibri"/>
        <family val="2"/>
        <scheme val="minor"/>
      </rPr>
      <t xml:space="preserve"> *Estudis sobre l'estatus i l'ecologia dels ocells d'interès comunitari.
*Estudis sobre l’estatus i ecologia dels rats-penats.
*Estudis sobre l’estatus i ecologia de les espècies de fauna d'interès comunitari.
*Estudis sobre l’estatus, distribució i biologia de les espècies d'invertebrats d'interès comunitari.
*Estudis per a la millora del coneixement de la especificitat alimentícia de l'eruga  d'Euphydryas aurinia i de selecció de l'hàbitat.
*Estudi sobre l’ecologia dels hàbitats dels quals no es té prou informació  i el seu estat de conservació.
*Seguiment del grau de regeneració i fertilitat de les comunitats de 4090, 5130 i 5210 per detectar possibles canvis deguts al canvi climàtic.</t>
    </r>
  </si>
  <si>
    <t>*Millora del coneixement sobre els valors de l’espai i el sistema de seguiment d’aquests</t>
  </si>
  <si>
    <t xml:space="preserve">*Estudi de l’origen dels granits
*Descripció de l’estratigrafia del Cambroordovicià
*Caracterització geològica de les mineralitzacions
*Estudi sobre pol·linitzadors de l'Alta Garrotxa
</t>
  </si>
  <si>
    <t xml:space="preserve">1) Nombre d'estudis/seguiments de processos realitzats
</t>
  </si>
  <si>
    <t>06.2.3</t>
  </si>
  <si>
    <t>Conèixer els usos i factors de canvi rellevants en l'evolució dels elements de conservació, i avaluar els efectes que generen en l’espai (pressions i amenaces)</t>
  </si>
  <si>
    <t xml:space="preserve">SENP/UIC: Elaborar la classificació i cartografia de les pressions o factors de canvi sobre el medi natural </t>
  </si>
  <si>
    <t xml:space="preserve">Estudi sobre l'impacte del canvi climàtic als boscos de l'ENPAG en el marc del CP entre la DGPA i CREAF_DGPA
Identificació dels impactes de l'ús públic sobre els valors de l'ENPAG_CAG
Seguiment de l'estat ecològic dels prats en el marc de les accions del  projecte de FPC sobre foc i biodiversitat_CAG
</t>
  </si>
  <si>
    <r>
      <rPr>
        <sz val="11"/>
        <color rgb="FFFF0000"/>
        <rFont val="Calibri"/>
        <family val="2"/>
      </rPr>
      <t xml:space="preserve">Aquest bloc i anterior els confonc. Contrastar Guifré si la classififació es bona. </t>
    </r>
    <r>
      <rPr>
        <sz val="11"/>
        <color rgb="FF00B0F0"/>
        <rFont val="Calibri"/>
        <family val="2"/>
      </rPr>
      <t xml:space="preserve">
* Estudi sobre la hidrogeologia de l'ENPAG en el marc del CP entre la DGPA i l'ICGC_DGPA
* Estudi sobre l'impacte del canvi climàtic als boscos de l'ENPAG en el marc del CP entre la DGPA i CREAF_DGPA
* Col·laboració amb la UIC per al trasllat de la informació sobre factors de canvi_CAG
</t>
    </r>
  </si>
  <si>
    <r>
      <t xml:space="preserve">*Estudi de l’efecte de la pastura i els incendis en els matollars d'interès comunitari. </t>
    </r>
    <r>
      <rPr>
        <sz val="11"/>
        <color rgb="FFFF0000"/>
        <rFont val="Calibri"/>
        <family val="2"/>
        <scheme val="minor"/>
      </rPr>
      <t xml:space="preserve"> Estudi de seguiment de flora i fauna en el marc dle projecte de FPC. </t>
    </r>
    <r>
      <rPr>
        <sz val="11"/>
        <color theme="1"/>
        <rFont val="Calibri"/>
        <family val="2"/>
        <scheme val="minor"/>
      </rPr>
      <t xml:space="preserve">
*Avaluació de l'afectació de les furgades dels porcs senglars en relació amb la fertilitat del sòl i la composició florística</t>
    </r>
    <r>
      <rPr>
        <sz val="11"/>
        <color rgb="FFFF0000"/>
        <rFont val="Calibri"/>
        <family val="2"/>
        <scheme val="minor"/>
      </rPr>
      <t xml:space="preserve">. No prioritari en HIC, però si en flora. Quan es fan els estudis ja es té en compte. </t>
    </r>
    <r>
      <rPr>
        <sz val="11"/>
        <color theme="1"/>
        <rFont val="Calibri"/>
        <family val="2"/>
        <scheme val="minor"/>
      </rPr>
      <t xml:space="preserve">
*Seguiment dels nivells d'erosió d'hàbitats d'interès comunitari a causa de la freqüentació humana.</t>
    </r>
    <r>
      <rPr>
        <sz val="11"/>
        <color rgb="FFFF0000"/>
        <rFont val="Calibri"/>
        <family val="2"/>
        <scheme val="minor"/>
      </rPr>
      <t xml:space="preserve"> Inspeccions visuals al COmanegra per l'itinerari. </t>
    </r>
  </si>
  <si>
    <t>*Millora del coneixement sobre els factors de canvi que es donen a l’espai i els efectes que generen, i sistema de seguiment d’aquests.</t>
  </si>
  <si>
    <t xml:space="preserve">*Recull de la memòria històrica dels hidrocarburs (conceptes de canvi climàtic)
*Cartografia del perill de despreniments i esllavissades de les zones més freqüentades (població local o visitant)
*Alteració i erosió d’unitats geològiques
</t>
  </si>
  <si>
    <t>1) Realització de l'estudi de CC
2) Identificació impactes clau
3) Prats amb seguiment</t>
  </si>
  <si>
    <t>1) 1
1) 4
3) 5</t>
  </si>
  <si>
    <t>1) 1
2) 6
3) 8</t>
  </si>
  <si>
    <t>06.2.4</t>
  </si>
  <si>
    <t>Conèixer l'impacte de les gestió de l'aigua, sobre la biodiversitat.</t>
  </si>
  <si>
    <t>Estudi i seguiment sobre la hidrogeologia de l'ENPAG en el marc del CP entre la DGPA i l'ICGC_DGPA</t>
  </si>
  <si>
    <r>
      <t xml:space="preserve">* Estudi i seguiment sobre la hidrogeologia de l'ENPAG en el marc del CP entre la DGPA i l'ICGC_DGPA
</t>
    </r>
    <r>
      <rPr>
        <i/>
        <sz val="11"/>
        <color rgb="FF00B0F0"/>
        <rFont val="Calibri"/>
        <family val="2"/>
      </rPr>
      <t xml:space="preserve">El primer model hidrogeològic de l'espai ja ha estat realitzat per part del CAG. </t>
    </r>
  </si>
  <si>
    <t>*Seguiment de les surgències d’aigua</t>
  </si>
  <si>
    <t xml:space="preserve">1) Realització estudi hidrogeològic
</t>
  </si>
  <si>
    <t xml:space="preserve">1)1 </t>
  </si>
  <si>
    <t>06.2.5</t>
  </si>
  <si>
    <t>Participar en el coneixement de la tendència d'espècies plaga amb afectacions sobre ecosistemes o activitats econòmiques dins l'ENP</t>
  </si>
  <si>
    <t>Participació en dels estudis de les autoritats competents_CAG</t>
  </si>
  <si>
    <t>*Participació en dels estudis de les autoritats competents</t>
  </si>
  <si>
    <r>
      <t xml:space="preserve">*Foment de la investigació per trobar noves mesures de lluita biològica contra la processionària del pi que no afectin a altres lepidòpters, com Graellsia isabelae. </t>
    </r>
    <r>
      <rPr>
        <sz val="11"/>
        <color rgb="FFFF0000"/>
        <rFont val="Calibri"/>
        <family val="2"/>
        <scheme val="minor"/>
      </rPr>
      <t xml:space="preserve">Competència Agents Rurals. </t>
    </r>
  </si>
  <si>
    <t>1) Participació a petició de l'òrgan competent</t>
  </si>
  <si>
    <t>06.2.6</t>
  </si>
  <si>
    <t>Conèixer la tendència d'espècies exòtiques invasores amb afectacions sobre ecosistemes o activitats econòmiques dins l'ENP</t>
  </si>
  <si>
    <t>Treball de camp pel seguiment i cerca de nous rodals d'Ailanthus altissima_CAG
Participació en el disseny d'una prova pilot per la control de seneci a l'Alta Garrotxa_SFF i CAG</t>
  </si>
  <si>
    <t>* Control de les poblacions d'Ailanthus altissima_CAG
* Disseny d'una prova pilot per la control de seneci a l'Alta Garrotxa_SFF i CAG</t>
  </si>
  <si>
    <t>1) Intervenció en punts/rodals de l'espai</t>
  </si>
  <si>
    <t>06.2.7</t>
  </si>
  <si>
    <t>Coneixer com millorar la connectivitat de forma coordinada amb altres ENP</t>
  </si>
  <si>
    <t>Es descarta perquè tenim espais contigus sense grans barreres/infraestructures artificials</t>
  </si>
  <si>
    <t>FORA DEL TERMINI DEL PLA</t>
  </si>
  <si>
    <t>Objectiu fora de termini del present Pla estratègic</t>
  </si>
  <si>
    <t xml:space="preserve">Decidir amb capceleres i zona volcànica si volem fer alguna actuació en aquest sentit. </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</si>
  <si>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</si>
  <si>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</si>
  <si>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</si>
  <si>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</si>
  <si>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</si>
  <si>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 xml:space="preserve">Participació en el sistema de definció d'estàndards de seguiment per part de la UIC_CAG i DGPA </t>
  </si>
  <si>
    <r>
      <t xml:space="preserve">* Participació en el sistema de definció d'estàndards de seguiment per part de la UIC_CAG </t>
    </r>
    <r>
      <rPr>
        <sz val="11"/>
        <color rgb="FFFF0000"/>
        <rFont val="Calibri"/>
        <family val="2"/>
      </rPr>
      <t xml:space="preserve">Nuria, contactar amb UIC per veure en quin punt està. </t>
    </r>
  </si>
  <si>
    <t>06.3.2</t>
  </si>
  <si>
    <t>Adequar i executar el sistema de seguiment periòdic dels grups clau de l'ENP al sistema estàndard de seguiment</t>
  </si>
  <si>
    <t>UIC/SFF: Definir el sistema estàndard de seguiment i el protocol d'aplicació
UIC: Elaborar el protocol d'informació i coneixement</t>
  </si>
  <si>
    <t>Seguiment de la població d'Aquila chrysaetos_CAG
Participació en el SOCC, SEGRE, cens simultani de trencalòs_CAG
Seguiment de les poblacions d'amfibis_CAG
Realització de nous estudis de base o actualització dels existents de grups de fauna, flora amenaçada i hàbitats necessaris per dissenyar el Pla de seguiment de la biodiversitat de l'ENPAG_CAG i DGPA
Disseny d'un Pla de seguiment de la biodiversitat específic per ENPAG (Pendent de l'estandarització de la DGPA_UIC patrimoni)</t>
  </si>
  <si>
    <r>
      <t xml:space="preserve">* Disseny d'un Pla de seguiment de la biodiversitat específic per ENPAG prioritzant el que es detalla a continuació </t>
    </r>
    <r>
      <rPr>
        <sz val="11"/>
        <color rgb="FFFF0000"/>
        <rFont val="Calibri"/>
        <family val="2"/>
      </rPr>
      <t>(detallar i eliminar del primer objecitu i l'excel de correspondència de la susana)</t>
    </r>
    <r>
      <rPr>
        <sz val="11"/>
        <color rgb="FF00B0F0"/>
        <rFont val="Calibri"/>
        <family val="2"/>
      </rPr>
      <t>_CAG</t>
    </r>
  </si>
  <si>
    <r>
      <rPr>
        <sz val="11"/>
        <color rgb="FFFF0000"/>
        <rFont val="Calibri"/>
        <family val="2"/>
        <scheme val="minor"/>
      </rPr>
      <t>TOT INTEGRAT AL PLA DE SEGUIMENT DE LA BIODIVERSITAT DE L'ALTA GARROTXA.</t>
    </r>
    <r>
      <rPr>
        <sz val="11"/>
        <color theme="1"/>
        <rFont val="Calibri"/>
        <family val="2"/>
        <scheme val="minor"/>
      </rPr>
      <t xml:space="preserve">
 *Establiment de programes de seguiment de les poblacions d'aus d'interès comunitari.
*Establiment de programes de seguiment de les poblacions d'A. pallipes.
*Seguiment de ropalòcers i quiròpters en el marc del SISEBIO.
*Establiment de programes de seguiment de les espècies d'invertebrats d'interès comunitari.
*Establiment de programes de seguiment de les poblacions de Macromia splendens, Oxygastra curtisii i Coenagrion mercuriale.
*Establiment de programes de seguiment dels hàbitats d'interès comunitari.</t>
    </r>
  </si>
  <si>
    <t xml:space="preserve">*Seguiment cada cinc anys de les tarteres (Bassegoda, Guitarriu, Montmajor, etc.)
*Seguiment Dichoropetalum schottii i estudi demogràfic
*Seguiment de Dryopteris remota i conservació de l'hàbitat
*Seguiment de l’àliga daurada (Aquila chrysaetos)
*Seguiment de les espècies presa de grans rapinyaires
*Seguiment del trencalòs (Gypaetus barbatus)
*Seguiment de rapinyaires a l’ENP (SEGRE)
*Participació al Seguiment dels Ocells Comuns de Catalunya (SOCC)
</t>
  </si>
  <si>
    <t xml:space="preserve">1) Nombre d'espècies i hàbitats clau estudiats i incorporats al seguiment
</t>
  </si>
  <si>
    <t>1) 15</t>
  </si>
  <si>
    <t>06.3.3</t>
  </si>
  <si>
    <t xml:space="preserve">Mantenir una base de dades de seguiment de patrimoni natural de l'ENP actualitzada i ordenada </t>
  </si>
  <si>
    <t>Manteniment i actualització de la base de dades de l'ENP corresponent al Pla de seguiment de la Biodiversitat_CAG
Aportació de dades a  l'Observatori de Pnat (segons indicacions UIC)_CAG</t>
  </si>
  <si>
    <t>això ho ha de fer la UIC i nosaltres nodrir?</t>
  </si>
  <si>
    <t xml:space="preserve">1) Nombre d'espècies i hàbitats clau estudiats i incorporats a la base de dades SINATCAT
</t>
  </si>
  <si>
    <t>1) 10</t>
  </si>
  <si>
    <t>06.3.4</t>
  </si>
  <si>
    <t>Participar en el grups de treball per a la definició i organització del SINATCAT</t>
  </si>
  <si>
    <t>UIC/SENP: Crear i coordinar una metodologia participativa per a la definició del SINATCAT</t>
  </si>
  <si>
    <t>Participació en els grups de treball en el marc de la definició del SINATCAT a petició de la DGPA_CAG</t>
  </si>
  <si>
    <t>* Participació en els grups de treball en el marc de la definició del SINATCAT a petició de la DGPA_CAG</t>
  </si>
  <si>
    <t>1) Percentatge de participació en els grups de treball i formacions</t>
  </si>
  <si>
    <t>1) 50</t>
  </si>
  <si>
    <t>1) 80</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</si>
  <si>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</si>
  <si>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</si>
  <si>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</si>
  <si>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</si>
  <si>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</si>
  <si>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Detecció d'organismes amb qui traçar linies de col·laboració per definir actuacions conjuntes entre patrimoni natural i cultural_CAGi DGPA</t>
  </si>
  <si>
    <t>* Identificació del centres museístics propers territorialment o per temàtiques per poder generar sinèrgies en revalorització del patrimoni natural i cultural (terra, Museu etnogràfic Ripoll, Espai Crater)_CAG i DGPA</t>
  </si>
  <si>
    <t>*Continuar treballant amb el "Pla d'Espais Museístics, d'espais d'interès natural i cultural" iniciat pel Parc Natural de la Zona Volcànica de la Garrotxa per a una millor interpretació del patrimoni.</t>
  </si>
  <si>
    <t xml:space="preserve">1) Nombre de col·laboracions amb museus </t>
  </si>
  <si>
    <t>06.4.2</t>
  </si>
  <si>
    <t>Establir acords amb les institucions de recerca i naturalistes per al desenvolupament d'estudis i inventaris dins l'ENP en el marc de les seves línies de recerca</t>
  </si>
  <si>
    <t>SENP: Elaborar un mapa d'agents de referècia</t>
  </si>
  <si>
    <t xml:space="preserve">Elaboració d'un mapa d'institucions per col·laborar en l'àmbit de recerca i coneixement del territori_CAG
Col·laboració amb UNiversitats per a la confecció de projectes i treballs de final de graus i màster_CAG
Renovació/signatura de convenis amb institucions/centres de recerca amb objectius comuns_CAG
</t>
  </si>
  <si>
    <t xml:space="preserve">* Elaboració d'un mapa d'institucions per col·laborar en l'àmbit de recerca i coneixement del territori_CAG
* Col·laboració amb la UdG per a la confecció d'un projecte POCTEFA per revaloritzar el patrimoni cultural en ENPs_CAG
* Renovació del conveni amb la Fundació Bionexus i amb en Centre Sostenibilitat Territorial_CAG
</t>
  </si>
  <si>
    <t xml:space="preserve">*Col·laboracions amb centres de recerca i entitats naturalistes.
</t>
  </si>
  <si>
    <t>1) Nombre de col·laboracions amb institucions de recerca</t>
  </si>
  <si>
    <t>06.4.3</t>
  </si>
  <si>
    <t xml:space="preserve">Potenciar la ciència ciutadana en l’ENP com a eina per generar coneixement </t>
  </si>
  <si>
    <t>Dinamització del voluntariat per a la realització de seguiments de biodiversitat_CAG</t>
  </si>
  <si>
    <t>* Col·laboració amb les iniciatives de ciència ciutadana en el projecte de Foc i biodiversitat de la FPC_CAG</t>
  </si>
  <si>
    <t>1) Inciatives de voluntariat vinculades a la conservació i/o seguiment de la biodiversitat</t>
  </si>
  <si>
    <t>06.4.4</t>
  </si>
  <si>
    <t xml:space="preserve">Crear i desenvolupar jornades de recerca de l'ENP de forma anual on els diferents centres mostrin els estudis realizats en l'ENP </t>
  </si>
  <si>
    <t>SENP: Suport en l'organització de les jornades</t>
  </si>
  <si>
    <t xml:space="preserve">Proper pla estratègic si aconseguim pressupost minim per recerca- </t>
  </si>
  <si>
    <t>06.4.5</t>
  </si>
  <si>
    <t>Posar a disposició de la recerca, equipaments i serveis de l'ENP</t>
  </si>
  <si>
    <t>Gestió d'autoritzacions de pas, cessió puntual d'espais, etc._CAG</t>
  </si>
  <si>
    <t>* Adequació de la Rectoria de Sadernes i establiment de preus públics per l'acollida de personal de recerca_CAG</t>
  </si>
  <si>
    <t>1) Nombre d'autoritzacions o cessions puntuals realitzades</t>
  </si>
  <si>
    <t>06.4.6</t>
  </si>
  <si>
    <t xml:space="preserve">Crear l'Observatori de recerca de l'ENP vinculat a l'Observatori del Patrimoni natural i la biodiversitat </t>
  </si>
  <si>
    <t>UIC: Suport en la creació de l'Observatori de reserca</t>
  </si>
  <si>
    <t>Participació en l'Observatori del Patrimoni Natural de la Generalitat_CAG</t>
  </si>
  <si>
    <t>1) Participació en les iniciatives a petició de l'Observatori</t>
  </si>
  <si>
    <t>1) 50%</t>
  </si>
  <si>
    <t>1) 80%</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</si>
  <si>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</si>
  <si>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</si>
  <si>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</si>
  <si>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</si>
  <si>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</si>
  <si>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Participació en el procés d'estandarització de la DGPA de la presa de dades vinculades a ús públic _CAG</t>
  </si>
  <si>
    <t>* Participació en el procés d'estandarització de la DGPA de la presa de dades vinculades a ús públic _CAG</t>
  </si>
  <si>
    <t>1) Participació en el procés estandarització a petició de la DGPA</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</si>
  <si>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</si>
  <si>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</si>
  <si>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</si>
  <si>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Seguiment de les dades de freqüentació a través dels punts d'informació, l'ecocomptador, els sensors aforament i les autoritzacions vinculades a les reserves d'aparcament i pràctica del descens de barrancs a l'ENP_CAG</t>
  </si>
  <si>
    <t>* Seguiment de les dades de freqüentació a través dels punts d'informació, l'ecocomptador, els sensors aforament i les autoritzacions vinculades a les reserves d'aparcament i pràctica del descens de barrancs a l'ENP_CAG</t>
  </si>
  <si>
    <t>*Estudi, i proposta de mesures d’ordenació i gestió, pels sectors més freqüentats de l’espai</t>
  </si>
  <si>
    <t>*Recollir les dades dels visitants a través de l’aplicatiu que estableixi el responsable de l’espai natural (a través d’un suport electrònic tipus tauleta tàctil o ordinador amb connexió a internet).
*Dissenyar i realitzar enquestes adreçades als visitants de l’espai natural.</t>
  </si>
  <si>
    <t>1) Punts de recollida de dades de freqüentació i de perfil d'usuari</t>
  </si>
  <si>
    <t>06.5.3</t>
  </si>
  <si>
    <t>Identificar les activitats i actors de l’espai.</t>
  </si>
  <si>
    <t>Identificació de nous actors i activitats durant el desenvolupament del PUP (l'anàlisi està realitzat i contemplat a la memòria del PPAG)_CAG</t>
  </si>
  <si>
    <t>* Identificació de nous actors i activitats durant el desenvolupament del PUP (l'anàlisi està realitzat i contemplat a la memòria del PPAG)_CAG</t>
  </si>
  <si>
    <t>1) Redacció del PUP amb identificació dels actors</t>
  </si>
  <si>
    <t>06.5.4</t>
  </si>
  <si>
    <t>Identificar en cartografia les males praxis i punts de massificació</t>
  </si>
  <si>
    <t>Identificació, si s'escau, de noves zones de massificació a mida que es vagin identificat (l'anàlisi està realitzat i contemplat a la memòria del PIE)_CAG</t>
  </si>
  <si>
    <t>* Identificació, si s'escau, de noves zones de massificació a mida que es vagin identificat (l'anàlisi està realitzat i contemplat a la memòria del PIE)_CAG</t>
  </si>
  <si>
    <t>1) Redacció del PUP amb identificació dels sectors</t>
  </si>
  <si>
    <t>06.5.5</t>
  </si>
  <si>
    <t>Adaptar i mantenir un registre d'activitats, actors i inciències en ús públic (curses, conflictes, queixes, etc)</t>
  </si>
  <si>
    <t>UIC: Disseny d'un model de registre d'activitats, actors i inciències en ús públic</t>
  </si>
  <si>
    <t>Registre de les dades  segons el protocol d'incidències elaborat per part del DGPA_CAG i DGPA
Recollida de suggeriments i reclamació dels usuaris_CAG i informació</t>
  </si>
  <si>
    <t>* Integració de dades en el registre un cop estigui sistematitzat_CAG</t>
  </si>
  <si>
    <t>1) Disposar d'un registre sistematitzat</t>
  </si>
  <si>
    <t>06.5.6</t>
  </si>
  <si>
    <t>Identificar els impactes (positius i negatius) que generen les activitats d'ús públic dins l'ENP</t>
  </si>
  <si>
    <t>Indentificació, si s'escau, dels impactes derivats de noves activitats d'us públic (l'anàlisi ja està realitzat a diferents documents:PPAG, Model de gestió de zones fluvials DdGi, etc.)</t>
  </si>
  <si>
    <t>* Indentificació, si s'escau, dels impactes derivats de noves activitats d'us públic (l'anàlisi ja està realitzat a diferents documents:PPAG, Model de gestió de zones fluvials DdGi, etc.)</t>
  </si>
  <si>
    <t>*Estudi dels serveis ecosistèmics de la comarca per la salut i el benestar de les persones</t>
  </si>
  <si>
    <t>1) Redacció del PUP amb identificació de noves activitats i impactes</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</si>
  <si>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</si>
  <si>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</si>
  <si>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</si>
  <si>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</si>
  <si>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</si>
  <si>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 col·laborar en l'aplicació de Plans de Desenvolupament Local Sostenible </t>
  </si>
  <si>
    <t>Participació en l'aplicació dels Plans de desenvolupament local sostenible_CAG</t>
  </si>
  <si>
    <t>* Identificació dels consistoris que tenen un Pla de desenvolupament local_CAG</t>
  </si>
  <si>
    <t>*Grup motor per al relleu agrari. Cens de cedents</t>
  </si>
  <si>
    <t>1) Nombre de reunions en què el personal participa a petició dels mateixos ajuntaments</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</si>
  <si>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</si>
  <si>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</si>
  <si>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</si>
  <si>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</si>
  <si>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</si>
  <si>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Assessorar i donar suport als productors agropecuaris en l'aplicació de bones pràctiques per la conservació dels hàbitats i les espècies presents</t>
  </si>
  <si>
    <t>Canvi de redactat OP. Inclusió de la ramaderia</t>
  </si>
  <si>
    <t>Suport a la FPC  en la redacció de Plans de maneig per a la gestió del pastoreig (Projecte Forwards i altres)_CAG
Identificació de les BBPP per a una gestió de la pastura orientada a la conservació del patrimoni natural_CAG
Anàlisi de les potencialitats del maneig de bestiar amb les noves tecnologies_CAG
Revisió dels IOF perquè no siguin agressius amb l'hàbitat forestal (i incloure mesures compensatòries i condicions d'execució)_CAG
Reforçar la vigilància en l'exeució dels IOF_CAR, CPF i CAG</t>
  </si>
  <si>
    <t>* Suport a la FPC  en la redacció de Plans de maneig per a la gestió del pastoreig (Projecte Forwards i altres)_CAG
* Identificació de les BBPP per a una gestió de la pastura orientada a la conservació del patrimoni natural_CAG</t>
  </si>
  <si>
    <r>
      <t>*Realització de campanya de foment de la disminució i substitució dels productes fitosanitaris per altres de més selectius i de baixa toxicitat (AAA) tant per a la fauna terrestre com aquàtica.</t>
    </r>
    <r>
      <rPr>
        <sz val="11"/>
        <color rgb="FFFF0000"/>
        <rFont val="Calibri"/>
        <family val="2"/>
        <scheme val="minor"/>
      </rPr>
      <t xml:space="preserve"> No es un problema greu a l'espai, activitat agrícola minima. </t>
    </r>
    <r>
      <rPr>
        <sz val="11"/>
        <color theme="1"/>
        <rFont val="Calibri"/>
        <family val="2"/>
        <scheme val="minor"/>
      </rPr>
      <t xml:space="preserve">
*Incorporació de mesures en les pràctiques agrícoles per tal de fer compatibles la producció agrícola i la conservació de les mulleres. </t>
    </r>
    <r>
      <rPr>
        <sz val="11"/>
        <color rgb="FFFF0000"/>
        <rFont val="Calibri"/>
        <family val="2"/>
        <scheme val="minor"/>
      </rPr>
      <t>No es un problema greu a l'espai, activitat agrícola minima.</t>
    </r>
    <r>
      <rPr>
        <sz val="11"/>
        <color theme="1"/>
        <rFont val="Calibri"/>
        <family val="2"/>
        <scheme val="minor"/>
      </rPr>
      <t xml:space="preserve"> 
*Divulgació i valorització de les espècies pròpies d'ambients agrícoles entre els agents locals, incidint en la importància de l'aplicació de pràctiques de gestió encaminades a la seva conservació. </t>
    </r>
    <r>
      <rPr>
        <sz val="11"/>
        <color rgb="FFFF0000"/>
        <rFont val="Calibri"/>
        <family val="2"/>
        <scheme val="minor"/>
      </rPr>
      <t xml:space="preserve">No es un problema greu a l'espai, activitat agrícola minima. </t>
    </r>
  </si>
  <si>
    <t xml:space="preserve">*Estudi i innovació en mètodes de recuperació i manteniment de pastures
*Implementació d’eines digitals per al control i seguiment del bestiar
*Preparació i protecció envers atacs de cànids i altra fauna
</t>
  </si>
  <si>
    <t>1) Actuacions realitzades per millorar la gestió agrària</t>
  </si>
  <si>
    <t>08.1.2</t>
  </si>
  <si>
    <t xml:space="preserve">Oferir formació als productors agraris per millorar el seu coneixement sobre tècniques eficients i respectuoses amb la conservació del patrimoni natural i cultural </t>
  </si>
  <si>
    <t>Suport a l'organització de jornades dirigides al sector primari per divulgar informació útil per al maneig de pastures_CAG, FPC PNZVG</t>
  </si>
  <si>
    <t xml:space="preserve">* Suport a la FPC  en la formació dels ramaders en la gestió del pastoreig orientat a la conservació (Projecte Forwards i altres)_CAG
</t>
  </si>
  <si>
    <t>*Organització de formacions</t>
  </si>
  <si>
    <t xml:space="preserve">1) Nombre de jornades realitzades </t>
  </si>
  <si>
    <t>08.1.3</t>
  </si>
  <si>
    <t>Promoure la recuperació i conservació de marges i punts d'aigua associats a la ramaderia i l'agricultura i d'interès per la biodiversitat</t>
  </si>
  <si>
    <t>Promoure l'adequació d'edificacions, la recuperació de marges i la conservació de punts d'aigua associats a la ramaderia i l'agricultura d'interès per la biodiversitat</t>
  </si>
  <si>
    <t>Canvi de redactat OP. Inclusió d'edificacions rurals</t>
  </si>
  <si>
    <t xml:space="preserve">Dinamització d'accions per al manteniment, millora o recuperació de punts d'aigua, ja sigui directament o a través d'altres institucions_CAG
Formació en matèria de pedra seca_CAG
</t>
  </si>
  <si>
    <t>* Desenvolupament dels acords del Conveni i els Acords signats amb la Fundació Bionexus per a la millora de punts d'aigua_CAG+ font de lliurona+PIE
* Formació en matèria de pedra seca en el marc de la TVAPO i paral·lelament amb la FES i IES Garrotxa_CAG</t>
  </si>
  <si>
    <r>
      <rPr>
        <sz val="11"/>
        <color rgb="FFFF0000"/>
        <rFont val="Calibri"/>
        <family val="2"/>
        <scheme val="minor"/>
      </rPr>
      <t xml:space="preserve">Aquestes accions no encaixen ben bé amb l'objectiu.
</t>
    </r>
    <r>
      <rPr>
        <sz val="11"/>
        <color theme="1"/>
        <rFont val="Calibri"/>
        <family val="2"/>
        <scheme val="minor"/>
      </rPr>
      <t xml:space="preserve"> *Manteniment de marges i tanques arbustives i arbrades entre prats i pastures, llindars i clarianes de bosc. </t>
    </r>
    <r>
      <rPr>
        <sz val="11"/>
        <color rgb="FFFF0000"/>
        <rFont val="Calibri"/>
        <family val="2"/>
        <scheme val="minor"/>
      </rPr>
      <t xml:space="preserve">Es fa amb la creació ecotons en EEOO. </t>
    </r>
    <r>
      <rPr>
        <sz val="11"/>
        <color theme="1"/>
        <rFont val="Calibri"/>
        <family val="2"/>
        <scheme val="minor"/>
      </rPr>
      <t xml:space="preserve">
*Potenciació de franges de ribera entre cultius i la llera (DPH) a través, per exemple, de les mesures incloses al PDR de Catalunya. No tenim cultius a l'entorn del bosc de ribera. 
*Conservació de punts d'aigua propers a zones forestals com a llocs d'alimentació preferent.
*Actuacions per instal·lar abeuradors i evitar instal·lacions de suport a la ramaderia properes als ecosistemes lèntics (basses permanents, estanys i llacunes) per tal de protegir els hàbitats 3110, 3140, 3150 i 3170 associats a ells.</t>
    </r>
    <r>
      <rPr>
        <sz val="11"/>
        <color rgb="FFFF0000"/>
        <rFont val="Calibri"/>
        <family val="2"/>
        <scheme val="minor"/>
      </rPr>
      <t xml:space="preserve"> COnveni fundacio bionexus. </t>
    </r>
    <r>
      <rPr>
        <sz val="11"/>
        <color theme="1"/>
        <rFont val="Calibri"/>
        <family val="2"/>
        <scheme val="minor"/>
      </rPr>
      <t xml:space="preserve">
*Els instruments de planificació i ordenació de l'espai han d'evitar la substitució total o parcial de 6420 per basses i abeuradors per bestiar.
*Manteniment dels punts d’aigua, basses o entollaments temporals presents com a zones importants per a la flora i fauna aquàtica i terrestre amb una secció sense accés al bestiar.</t>
    </r>
    <r>
      <rPr>
        <sz val="11"/>
        <color rgb="FFFF0000"/>
        <rFont val="Calibri"/>
        <family val="2"/>
        <scheme val="minor"/>
      </rPr>
      <t xml:space="preserve"> A través dels informes. </t>
    </r>
    <r>
      <rPr>
        <sz val="11"/>
        <color theme="1"/>
        <rFont val="Calibri"/>
        <family val="2"/>
        <scheme val="minor"/>
      </rPr>
      <t xml:space="preserve">
*Construcció d’abeuradors propers per evitar la pressió sobre la torbera en cas de falta d’aigua a la zona. </t>
    </r>
    <r>
      <rPr>
        <sz val="11"/>
        <color rgb="FFFF0000"/>
        <rFont val="Calibri"/>
        <family val="2"/>
        <scheme val="minor"/>
      </rPr>
      <t xml:space="preserve">En tenim en els llocs identificats (Bestrecà)  i ho farem a Palomeres. </t>
    </r>
  </si>
  <si>
    <t>*Manteniment de punts d'aigua
*Infraestructures per a l’abastiment d’aigua</t>
  </si>
  <si>
    <t xml:space="preserve">1) Nombre d'actuacions executades
</t>
  </si>
  <si>
    <t>08.1.4</t>
  </si>
  <si>
    <t xml:space="preserve">Crec que no cal un específic, està inclòs tot el que fem en altres </t>
  </si>
  <si>
    <r>
      <rPr>
        <sz val="11"/>
        <color rgb="FFFF0000"/>
        <rFont val="Calibri"/>
        <family val="2"/>
        <scheme val="minor"/>
      </rPr>
      <t xml:space="preserve">Ja està establert en altres objectius (compensacions a ramaderia i convenis dinàmica natural). </t>
    </r>
    <r>
      <rPr>
        <sz val="11"/>
        <color theme="1"/>
        <rFont val="Calibri"/>
        <family val="2"/>
        <scheme val="minor"/>
      </rPr>
      <t xml:space="preserve">
*Establiment del Programa de compensacions a la ramaderia extensiva associada a la conservació 
*Compensació per danys a la ramaderia i l’apicultura (Ursus arctos, Gyps fulvus, Canis lupus,…).
*Consolidació i agilització de compensacions –flora i fauna- (estudis per determinar mètodes eficaços de valoració del dany o la limitació, estudis per identificar mètodes efectius de prevenció de danys,…).
*Compensació per limitacions en la gestió forestal planificada en PTGMF, o que forma part d'algun dret adquirit d'aprofitament forestal, (drets de tala, sistemes d'extracció de fusta més costosos, rodals d'exclusió, etc...) derivades de la presència d'hàbitats o espècies d'interès comunitari.
</t>
    </r>
  </si>
  <si>
    <t>*Mesures de foment per a la instal·lació d’infraestructura ramadera i per la protecció de conreus i instal·lacions agràries</t>
  </si>
  <si>
    <t xml:space="preserve">*Elaboració d’un Programa de compensació pels serveis ambientals de la pastura
*Pagament pel servei ambiental de manteniment de pastures
*Infraestructures de suport al maneig del bestiar
*Impuls d’obradors compartits
*Creació d’una borsa de pastures i ramades: finques, pastors/es i explotacions ramaderes
</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</si>
  <si>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</si>
  <si>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</si>
  <si>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</si>
  <si>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</si>
  <si>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Establiment de marcs de treball amb diferents agents del territori en el marc d'accions i projectes desenvolupats a l'ENPAG_CAG</t>
  </si>
  <si>
    <t>* Establiment de marcs de treball amb diferents agents del territori en el marc d'accions i projectes desenvolupats a l'ENPAG (ordenació de l'ús públic a la vall de Sant Aniol, TVAPO, CETS, Relleu agrari, custòdia del territori, contacte directe amb propietaris i ramaders, etc.)</t>
  </si>
  <si>
    <t>*Creació d’una associació de ramaders/es de l’Alta Garrotxa
*Establir complicitats amb altres entitats, associacions locals i sectors econòmics</t>
  </si>
  <si>
    <t>1) Nombre d'iniciatives per establir sinèrgies amb els agents del territori</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</si>
  <si>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</si>
  <si>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</si>
  <si>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</si>
  <si>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</si>
  <si>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SENP: Crear una marca que identifiqui els productes agroalimentaris generats en els ENP</t>
  </si>
  <si>
    <t>Participació en les reunions amb la DGPA per la generació d'un segell comú_DGPA i CAG</t>
  </si>
  <si>
    <t>* Accions per a la implementació a l'ENPAG de la marca de qualitat de productes agroalimentaris creada per part del SENP_CAG i DGPA</t>
  </si>
  <si>
    <t>1) Creació d'un nou segell comú per part de la DGPA</t>
  </si>
  <si>
    <t>08.3.2</t>
  </si>
  <si>
    <t>Integrar els productes i activitats locals de qualitat en l'oferta d'activitats d'informació i turístiques de l'ENP</t>
  </si>
  <si>
    <t>ESNATURA
CETS</t>
  </si>
  <si>
    <t>Revisió del sistema d'acreditació de les empreses CETS per integrar productes i activitats locals_CAG
Cerca d'alternatives per incloure i acreditar entitats i ajuntaments (o concessions dels mateixos) a la CETS_CAG
Particiapció en el Programa Visites en Valors_CAG</t>
  </si>
  <si>
    <t>* Integració dels procuctes locals en les activitats d'EA que es desenvolupin en el marc del Contracte del Servei d'EA de la Generalitat_CAG i DGPA</t>
  </si>
  <si>
    <t>*Fer que la població local se senti involucrada en activitats turístiques
*Crear i involucrar entitats no turístiques en esdeveniments turístics</t>
  </si>
  <si>
    <t>1) Integració dels productes locals com a element de valoració de l'acreditació CETS
2) Anys en els que es desenvolupa el Programa visites en valors o similar</t>
  </si>
  <si>
    <t>1) 1
2) 2</t>
  </si>
  <si>
    <t>08.3.3</t>
  </si>
  <si>
    <t>Promoure fires d'artesania i productes locals de l'ENP</t>
  </si>
  <si>
    <t>*Accions  de promoció dels productes agrícoles vinculats a la conservació dels valors naturals dels espais Natura 2000.</t>
  </si>
  <si>
    <t>*Dinamització d’un punt de venta de producte local</t>
  </si>
  <si>
    <t>08.3.4</t>
  </si>
  <si>
    <t xml:space="preserve">Generar aliances entre el sector primari, el turisme, la restauració i altres per fomentar la gastronomia local </t>
  </si>
  <si>
    <t>Col·laboració amb Turisme Garrotxa i Garrotxa Hostalatge per desenvolupar accions vinculades a gastronomia de la CETS_CAG</t>
  </si>
  <si>
    <t>*Acollir en zones rurals
*Donar a conèixer l'oferta i els recursos turístics entre la població local
*Evidenciar els beneficis del sector turístic a la destinació – Visitor Payback</t>
  </si>
  <si>
    <t>1) Nombre d'actuacions de la CETS vinculades a Gastronomia</t>
  </si>
  <si>
    <t xml:space="preserve">1)2 </t>
  </si>
  <si>
    <t>08.3.5</t>
  </si>
  <si>
    <t>Elaborar una diagnòsi del teixit productiu local i un pla d’acció amb línies de treball i actuacions concretes per donar-li suport</t>
  </si>
  <si>
    <t>Realitzat, contemplat al Pla d'impuls de la Ramaderia Extensiva</t>
  </si>
  <si>
    <t>*Desenvolupament del PIRE i del Programa de Compensacions a l'activitat ramadera_CAG i DGPA</t>
  </si>
  <si>
    <t>08.3.6</t>
  </si>
  <si>
    <t>Promoure els agents del territori que potencien i difonen els productes alimentaris locals i de qualitat (allotjaments, restaurants, cellers, establiments, elaboradors i productors)</t>
  </si>
  <si>
    <t>Revisió del sistema d'acreditació de les empreses CETS per integrar productes i activitats locals_CAG</t>
  </si>
  <si>
    <t>* Identificació dels establiments que hi ha dins dels municipis que formen part de l'ENPAG i determinar en quina mesura promocionen producte local i especificament de l'ENPAG_CAG</t>
  </si>
  <si>
    <t>1) Integració dels productes locals com a element de valoració de l'acreditació CETS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</si>
  <si>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</si>
  <si>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</si>
  <si>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</si>
  <si>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</si>
  <si>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 xml:space="preserve"> Suport al Servei de Gestió cinegètica, segons demandes, per establiment de mesures per la conservació d'espècies i hàbitats objectes de conservació i millorar les poblacions presa (conill i perdiu)  en la revisió de Plans de gestió cinegètica</t>
  </si>
  <si>
    <t xml:space="preserve">* Suport al Servei de Gestió cinegètica, segons demandes, per establiment de mesures per la conservació d'espècies i hàbitats objectes de conservació i millorar les poblacions presa (conill i perdiu)  en la revisió de Plans de gestió cinegètica. </t>
  </si>
  <si>
    <t>*Acords amb les Societats de Caçadors per a incorporar objectius de conservació d’espècies, com la tórtora comú, i hàbitats en la revisió dels Plans de Gestió Cinegètica.</t>
  </si>
  <si>
    <t xml:space="preserve">1) Plans de Gestió Cinegètica en els que s'ha participat a petició de l'organisme competents
 </t>
  </si>
  <si>
    <t>08.4.2</t>
  </si>
  <si>
    <t>Col·laborar en la regulació i ordenació de la caça i la pesca en zones sensibles o amb risc d'afectació d'elements clau objecte de conservació</t>
  </si>
  <si>
    <t>* Suport al servei de Gestió cinegètica, en funció de les demandes i la capacitat interna del CAG_CAG</t>
  </si>
  <si>
    <r>
      <t xml:space="preserve">*Foment dels acords amb les societats de caçadors per millorar la gestió de les poblacions de conills i perdius en àrees amb presència d'Aquila fasciata.
*Actuacions de potenciació del conill i perdiu com a preses
*Declaració de refugis de pesca a les capçaleres dels rius on és present Barbus meridionalis.
*Establir acords amb societats de pescadors per tal de crear zones de refugi de pesca en zones particularment estratègiques. </t>
    </r>
    <r>
      <rPr>
        <sz val="11"/>
        <color rgb="FFFF0000"/>
        <rFont val="Calibri"/>
        <family val="2"/>
        <scheme val="minor"/>
      </rPr>
      <t xml:space="preserve">fet,. </t>
    </r>
    <r>
      <rPr>
        <sz val="11"/>
        <color theme="1"/>
        <rFont val="Calibri"/>
        <family val="2"/>
        <scheme val="minor"/>
      </rPr>
      <t xml:space="preserve">
*Els instruments de planificació i ordenació dels espais naturals protegits regulen la pesca recreativa en àrees amb presència de peixos d'interès comunitari evitant l'ús d'esquer viu.</t>
    </r>
  </si>
  <si>
    <t>08.4.3</t>
  </si>
  <si>
    <t>Donar suport en la gestió de poblacions que generen danys a les activitats econòmiques de l'ENP</t>
  </si>
  <si>
    <t>Suport al servei de Gestió cinegètica, en funció de les demandes i la capacitat interna del CAG_CAG</t>
  </si>
  <si>
    <t>1) Col·laboracions realitzades segons petició de l'organisme competent</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</si>
  <si>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</si>
  <si>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</si>
  <si>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</si>
  <si>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</si>
  <si>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</si>
  <si>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Impuls per l'acreditació de l'ENPAG (paral·lela a la del PNZVG)  en el marc de la CETS de la Garrotxa, en el seu procés de renovació 26-30_CAG
Coordinació de la CETS_CAG
Implementació de la metodologia AGILE i gestió  OKR_CAG</t>
  </si>
  <si>
    <t xml:space="preserve">* Implementació de la CETS Garrotxa_CAG
* Impuls per l'acreditació de l'ENPAG (paral·lela a la del PNZVG)  en el marc de la CETS de la Garrotxa, en el seu procés de renovació 26-30_CAG
</t>
  </si>
  <si>
    <t>*Carta Europea de Turisme Sostenible de la Federació EUROPARC</t>
  </si>
  <si>
    <t>*Participació activa a la carta europea de turisme sostenible
*Realitzar un treball de benchmark nacional i internacional de models de governança
*Organitzar sessions de participació amb experts per analitzar diferents models de governança
*Organitzar activitats participatives amb els agents implicats per a la co-creació del model
*Dissenyar un model sostenible de governança integrador i vertebrador
*Testejar el prototip del model de governança
*Concretar i implementar el model de governança
*Avaluar i millorar contínuament el model de governança
*Dur a terme accions de promoció local, nacional i internacional del turisme sostenible a la Garrotxa donant importància a la visualització de la CETS</t>
  </si>
  <si>
    <t>1) Dossier de renovació
2) Reunions realitzades
3) Participació en Grups OKR de treball</t>
  </si>
  <si>
    <t>1) 1
2) 10
3) 1</t>
  </si>
  <si>
    <t>1) 1
2) 25
3) 2</t>
  </si>
  <si>
    <t>09.1.2</t>
  </si>
  <si>
    <t>Tramitar la certificació Biosphere</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</si>
  <si>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</si>
  <si>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</si>
  <si>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</si>
  <si>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</si>
  <si>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Revisió del sistema d'acreditació de la CETS per augmentar els criteris de sostenibilitat_CAG</t>
  </si>
  <si>
    <t>* Mapa de les principals empreses que operen a l'ENPAG_CAG</t>
  </si>
  <si>
    <t>*Promoure una oferta turística sostenible de qualitat
*Incrementar el nombre d'empreses i paquets turístics a partir de la Fase II i III de la CETS
*Redactar un Pla de mobilitat sostenible i eco mobilitat turística
*Desplegar el Pla de mobilitat sostenible i eco mobilitat turística i contribuir a la implementació del Pla a través d'inversions
*Incorporar els Objectius de Desenvolupament Sostenible (ODS) en tots els productes
*Mantenir i millorar la xarxa d'indicadors turístics i ambientals de la Garrotxa
*Realitzar accions orientades a un model de Smart Destination</t>
  </si>
  <si>
    <t>1) revisió del sistema d'acreditació de les empreses cets</t>
  </si>
  <si>
    <t>09.2.2</t>
  </si>
  <si>
    <t>Crear productes i paquets turístics amb associacions d’empreses turístiques i operadors turístics</t>
  </si>
  <si>
    <t>Suport al Programa de Visites amb valors_CAG</t>
  </si>
  <si>
    <t>* Programa Visites amb Valors juntament amb Turisme Garrotxa i PNZVG_CAG
* Col·laboració amb Turisme Garrotxa en la creació de nous productes turístics_CAG</t>
  </si>
  <si>
    <t>*La Garrotxa Soft &amp; Smart County. Destinació turística sostenible i intel·ligent
*Crear una oferta que inclogui la mobilitat com a experiència turística per al visitant
*Crear nous productes 4D
*Promoció de nous productes 4D
*Consolidar el "Servei d'Innovació i Producte turístic" dirigit a empreses turístiques del territori CETS</t>
  </si>
  <si>
    <t>1) Anys en que es dona suport al Programa de visites amb valors o similar</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</si>
  <si>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</si>
  <si>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</si>
  <si>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</si>
  <si>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</si>
  <si>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</si>
  <si>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</si>
  <si>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SPEN: Elaborar model</t>
  </si>
  <si>
    <t>Realitzat a través del PPAG, inclusió en els informes de SSTT si s'escau</t>
  </si>
  <si>
    <t xml:space="preserve">Competència directa  de SSTT. </t>
  </si>
  <si>
    <t>10.1.2</t>
  </si>
  <si>
    <t>Ordenar els aprofitaments i extraccions dins l'espai</t>
  </si>
  <si>
    <t>Regular els aprofitaments i extraccions dins l'espai</t>
  </si>
  <si>
    <r>
      <rPr>
        <sz val="11"/>
        <color rgb="FF000000"/>
        <rFont val="Calibri"/>
        <family val="2"/>
        <scheme val="minor"/>
      </rPr>
      <t xml:space="preserve">NOU OP. </t>
    </r>
    <r>
      <rPr>
        <sz val="11"/>
        <color rgb="FFFF0000"/>
        <rFont val="Calibri"/>
        <family val="2"/>
        <scheme val="minor"/>
      </rPr>
      <t>Realitzat a través del PPAG, icnlusió en els informes de SSTT si s'escau</t>
    </r>
  </si>
  <si>
    <t xml:space="preserve">NO CREC que calgui un específic. Contrastar les mesures del MAP com es contemplen en el PPAG, si no estan previstes, veure com es pot intergrar als informes de SSTT, </t>
  </si>
  <si>
    <r>
      <t xml:space="preserve">*Els instruments de planificació i ordenació dels espais naturals protegits han de regular la càrrega ramadera de manera que s'asseguri la no afectació a l'hàbitat adequat pels ocells d'interès comunitari. </t>
    </r>
    <r>
      <rPr>
        <sz val="11"/>
        <color rgb="FFFF0000"/>
        <rFont val="Calibri"/>
        <family val="2"/>
        <scheme val="minor"/>
      </rPr>
      <t xml:space="preserve">Ja tenim PPAG aprovat. </t>
    </r>
    <r>
      <rPr>
        <sz val="11"/>
        <color theme="1"/>
        <rFont val="Calibri"/>
        <family val="2"/>
        <scheme val="minor"/>
      </rPr>
      <t xml:space="preserve">
*Els instruments de planificació i ordenació dels espais naturals protegits han de regular la càrrega ramadera en els llocs on es detecti un problema de sobrepastura o de regeneració dels hàbitats d'interès comunitari.</t>
    </r>
    <r>
      <rPr>
        <sz val="11"/>
        <color rgb="FFFF0000"/>
        <rFont val="Calibri"/>
        <family val="2"/>
        <scheme val="minor"/>
      </rPr>
      <t xml:space="preserve">Ja tenim PPAG aprovat. </t>
    </r>
    <r>
      <rPr>
        <sz val="11"/>
        <color theme="1"/>
        <rFont val="Calibri"/>
        <family val="2"/>
        <scheme val="minor"/>
      </rPr>
      <t xml:space="preserve">
*Coordinació amb els agents locals per evitar nous usos que puguin afectar les masses d'aigua en àrees amb presencia d'hàbitats o espècies d'interès comunitari.  </t>
    </r>
    <r>
      <rPr>
        <sz val="11"/>
        <color rgb="FFFF0000"/>
        <rFont val="Calibri"/>
        <family val="2"/>
        <scheme val="minor"/>
      </rPr>
      <t xml:space="preserve">INformes de SSTT que donen compliment al PPAG. </t>
    </r>
    <r>
      <rPr>
        <sz val="11"/>
        <color theme="1"/>
        <rFont val="Calibri"/>
        <family val="2"/>
        <scheme val="minor"/>
      </rPr>
      <t xml:space="preserve">
*Els instruments de planificació i ordenació dels espais naturals protegits no admeten la reforestació o les rompudes d'àrees amb presència rellevant de determinats hàbitats d'interès comunitari</t>
    </r>
    <r>
      <rPr>
        <sz val="11"/>
        <color rgb="FFFF0000"/>
        <rFont val="Calibri"/>
        <family val="2"/>
        <scheme val="minor"/>
      </rPr>
      <t xml:space="preserve"> Inclòs a PPAG</t>
    </r>
    <r>
      <rPr>
        <sz val="11"/>
        <color theme="1"/>
        <rFont val="Calibri"/>
        <family val="2"/>
        <scheme val="minor"/>
      </rPr>
      <t xml:space="preserve">
*Actuacions dirigides a evitar el trepig excessiu de determinats hàbitats d'interès comunitari de matollars que pugui erosionar el sòl i identificació dels que estiguin sobrepasturats o en risc. </t>
    </r>
    <r>
      <rPr>
        <sz val="11"/>
        <color rgb="FFFF0000"/>
        <rFont val="Calibri"/>
        <family val="2"/>
        <scheme val="minor"/>
      </rPr>
      <t xml:space="preserve">Realitzat a Comanegra. </t>
    </r>
    <r>
      <rPr>
        <sz val="11"/>
        <color theme="1"/>
        <rFont val="Calibri"/>
        <family val="2"/>
        <scheme val="minor"/>
      </rPr>
      <t xml:space="preserve">
*Els instruments de planificació i ordenació dels espais naturals protegits  no admeten les tallades de grans peus o d'extenses masses de boix a l'hàbitat 5110. Inclòs al PPAG. 
*Limitació de la implantació o la ressembra amb noves espècies herbàcies productives pel bestiar als prats de muntanya.</t>
    </r>
    <r>
      <rPr>
        <sz val="11"/>
        <color rgb="FFFF0000"/>
        <rFont val="Calibri"/>
        <family val="2"/>
        <scheme val="minor"/>
      </rPr>
      <t xml:space="preserve"> S'ha intentat pero la resembra a l'AG amb espècies pròpies té molta dificultat tecnica </t>
    </r>
    <r>
      <rPr>
        <sz val="11"/>
        <color theme="1"/>
        <rFont val="Calibri"/>
        <family val="2"/>
        <scheme val="minor"/>
      </rPr>
      <t xml:space="preserve">
*Actuacions dirigides a evitar el trepig excessiu de determinats hàbitats d'interès comunitari de prats o pastures que pugui erosionar el sòl i identificació dels que estiguin sobrepasturats o en risc </t>
    </r>
    <r>
      <rPr>
        <sz val="11"/>
        <color rgb="FFFF0000"/>
        <rFont val="Calibri"/>
        <family val="2"/>
        <scheme val="minor"/>
      </rPr>
      <t>realitzat a comanegra</t>
    </r>
    <r>
      <rPr>
        <sz val="11"/>
        <color theme="1"/>
        <rFont val="Calibri"/>
        <family val="2"/>
        <scheme val="minor"/>
      </rPr>
      <t xml:space="preserve">
*Els instruments de planificació i ordenació dels espais naturals protegits  no admeten la roturació de marges de bosc per augmentar pastures i conreus on hi hagi enclavaments rellevants de 6430.</t>
    </r>
    <r>
      <rPr>
        <sz val="11"/>
        <color rgb="FFFF0000"/>
        <rFont val="Calibri"/>
        <family val="2"/>
        <scheme val="minor"/>
      </rPr>
      <t xml:space="preserve"> Inclos al PPAG. </t>
    </r>
    <r>
      <rPr>
        <sz val="11"/>
        <color theme="1"/>
        <rFont val="Calibri"/>
        <family val="2"/>
        <scheme val="minor"/>
      </rPr>
      <t xml:space="preserve">
*Els instruments de planificació i ordenació dels espais naturals protegits  regulen l’extracció de pedra en zones rellevants dels hàbitats 1240, 8210 i 8220 amb presència d’espècies amenaçades. </t>
    </r>
    <r>
      <rPr>
        <sz val="11"/>
        <color rgb="FFFF0000"/>
        <rFont val="Calibri"/>
        <family val="2"/>
        <scheme val="minor"/>
      </rPr>
      <t xml:space="preserve">Ja el tenim aprovat i inclòs. </t>
    </r>
    <r>
      <rPr>
        <sz val="11"/>
        <color theme="1"/>
        <rFont val="Calibri"/>
        <family val="2"/>
        <scheme val="minor"/>
      </rPr>
      <t xml:space="preserve">
*Els instruments de planificació i ordenació dels espais naturals protegits regulen les tallades forestals en zones ombrívoles dins de boscos amb presència dels hàbitats 8210 i 8220. </t>
    </r>
    <r>
      <rPr>
        <sz val="11"/>
        <color rgb="FFFF0000"/>
        <rFont val="Calibri"/>
        <family val="2"/>
        <scheme val="minor"/>
      </rPr>
      <t xml:space="preserve">NO tinc clar que ho contempli. </t>
    </r>
    <r>
      <rPr>
        <sz val="11"/>
        <color theme="1"/>
        <rFont val="Calibri"/>
        <family val="2"/>
        <scheme val="minor"/>
      </rPr>
      <t xml:space="preserve">
*Els instruments de planificació i ordenació dels espais naturals protegits regulen l'activitat forestal en aquelles àrees forestals que presentin unes condicions hídriques més estressants pels hàbitats 9120, 9130 i 9150. Idem,</t>
    </r>
    <r>
      <rPr>
        <sz val="11"/>
        <color rgb="FFFF0000"/>
        <rFont val="Calibri"/>
        <family val="2"/>
        <scheme val="minor"/>
      </rPr>
      <t xml:space="preserve"> NO tenim clares les zones d'estrés, Veure DEBOSCAT. </t>
    </r>
    <r>
      <rPr>
        <sz val="11"/>
        <color theme="1"/>
        <rFont val="Calibri"/>
        <family val="2"/>
        <scheme val="minor"/>
      </rPr>
      <t xml:space="preserve">
*Els instruments de planificació i ordenació dels espais naturals protegits regulen les espècies forestals introduïdes en las àrees amb presència de l'hàbitat 9160.</t>
    </r>
    <r>
      <rPr>
        <sz val="11"/>
        <color rgb="FFFF0000"/>
        <rFont val="Calibri"/>
        <family val="2"/>
        <scheme val="minor"/>
      </rPr>
      <t xml:space="preserve">Contrastar com ho contempla el Pla. </t>
    </r>
    <r>
      <rPr>
        <sz val="11"/>
        <color theme="1"/>
        <rFont val="Calibri"/>
        <family val="2"/>
        <scheme val="minor"/>
      </rPr>
      <t xml:space="preserve">
*Els instruments de planificació i ordenació dels espais naturals protegits prohibeixen les activitats ramaderes en zones afectades per incendis en els seus primers cinc anys de regeneració. </t>
    </r>
    <r>
      <rPr>
        <sz val="11"/>
        <color rgb="FFFF0000"/>
        <rFont val="Calibri"/>
        <family val="2"/>
        <scheme val="minor"/>
      </rPr>
      <t xml:space="preserve">COntrastar com ho contempla el pla. </t>
    </r>
    <r>
      <rPr>
        <sz val="11"/>
        <color theme="1"/>
        <rFont val="Calibri"/>
        <family val="2"/>
        <scheme val="minor"/>
      </rPr>
      <t xml:space="preserve">
*Els instruments de planificació i ordenació dels espais natural protegits no admeten l'extracció de pedra tosca en àrees amb presència de d'hàbitats d'interès comunitari.</t>
    </r>
    <r>
      <rPr>
        <sz val="11"/>
        <color rgb="FFFF0000"/>
        <rFont val="Calibri"/>
        <family val="2"/>
        <scheme val="minor"/>
      </rPr>
      <t xml:space="preserve"> Si, però fins ara faltava cartografia Ara ja està feta i es tindrà en compte. </t>
    </r>
    <r>
      <rPr>
        <sz val="11"/>
        <color theme="1"/>
        <rFont val="Calibri"/>
        <family val="2"/>
        <scheme val="minor"/>
      </rPr>
      <t xml:space="preserve">
*Els instruments de planificació i ordenació dels espais naturals protegits no admeten la gestió forestal amb finalitat de producció fustanera en les zones amb presència de l'hàbitat 9180. </t>
    </r>
    <r>
      <rPr>
        <sz val="11"/>
        <color rgb="FFFF0000"/>
        <rFont val="Calibri"/>
        <family val="2"/>
        <scheme val="minor"/>
      </rPr>
      <t>Contrastar.</t>
    </r>
  </si>
  <si>
    <t>*Potenciar la conservació a partir de les capacitats de càrrega</t>
  </si>
  <si>
    <t>ORDENAR L'ÚS PÚBLIC I SOCIAL per a la protecció dels hàbitats, espècies i elements geològics</t>
  </si>
  <si>
    <t>11.1</t>
  </si>
  <si>
    <t>Estandaritzar regulació de l’ús públic i social en base al model acordat per govern</t>
  </si>
  <si>
    <t>11.1.1</t>
  </si>
  <si>
    <t>Regular l'acampada i pernoctació  en base al model de Pla de protecció</t>
  </si>
  <si>
    <t>Suport a la revisió d'ordenances municipals en base a un model comú per regular la pernoctació i acampada_CAG</t>
  </si>
  <si>
    <t>* Suport a l'establiment d'àrees d'acampada en el territori, en compliment del PPAG, la normativa urbanística i el Pla director de campings (segons sol·licituds i necessitats)_CAG</t>
  </si>
  <si>
    <t>1) Ordenances revisades</t>
  </si>
  <si>
    <t>1) 11</t>
  </si>
  <si>
    <t>11.1.2</t>
  </si>
  <si>
    <t>Regular la circulació rodada no motoritzada en base al model de Pla de protecció</t>
  </si>
  <si>
    <t>* Revisió de la freqüentació (sensors i dades recollides manualment) en les zones més emblemàtiques en relació a la capacitat de càrrega pre-establerta_CAG</t>
  </si>
  <si>
    <t>11.1.3</t>
  </si>
  <si>
    <t>Regular l'escalada i alpinisme, barranquisme, i espeleologia  en base al model de Pla de protecció</t>
  </si>
  <si>
    <t>Gestió de les sol·licituds de descens de barrancs_CAG
Dinamització de la comissió d'escalada_CAG i DGPA</t>
  </si>
  <si>
    <t>* Gestió de les sol·licituds de descens de barrancs_CAG
* Dinamització de la comissió d'escalada_CAG i DGPA</t>
  </si>
  <si>
    <t xml:space="preserve">*Els instruments de planificació i ordenació dels espais naturals protegits  regulen l’escalada en zones rellevants amb presència d’espècies o hàbitats amenaçats.
*Elaboració d’un aplicatiu sobre la regulació de l’escalada.
*Actuacions per restringir l'accés a les coves amb presència de rats-penats en època de cria.
</t>
  </si>
  <si>
    <t xml:space="preserve">*Regulació de l'escalada
*Regulació del descens de barrancs
</t>
  </si>
  <si>
    <t xml:space="preserve">1) Tramitació de sol·licituds de barrancs
2) Sessions de la comissió d'escalada
</t>
  </si>
  <si>
    <t>1) 1 (es tramiten totes)
2) 2</t>
  </si>
  <si>
    <t>1) 1 ( es tramiten totes)
2) 4</t>
  </si>
  <si>
    <t>11.1.4</t>
  </si>
  <si>
    <t>Regular les curses i altres activitats esportives organitzades en base al model de Pla de protecció</t>
  </si>
  <si>
    <t>Estàndard per la realització de curses organitzades ( zonificació, limitacions de participants, calendari, etc)_DGPA</t>
  </si>
  <si>
    <t>* Suport a SSTT de la DGPA en l'emissió informes per a l'autorització de curses segons el que estableix el PPAG_CAG i DGPA
* Cerca de models en altres ENPs de zonificació, limitacions de participants, calendari, etc._CAG i DGPA</t>
  </si>
  <si>
    <t>*Calendari de curses i activitats organitzades.</t>
  </si>
  <si>
    <t xml:space="preserve">1) Elaboració d'un estàndard vinculat a curses i activitats organitzades </t>
  </si>
  <si>
    <t>11.1.5</t>
  </si>
  <si>
    <t>Regular els enregistraments i l'observació de fauna i natura en base al model de Pla de protecció</t>
  </si>
  <si>
    <t>Participació en el Grup de Conservació que està establint els criteris d'autorització pels enregistraments_CAG i DGPA</t>
  </si>
  <si>
    <t>* Suport a SSTT de la DGPA en l'emissió informes per a l'autorització d'enregistraments i observacions de natura segons el que estableix el PPAG_CAG i DGPA</t>
  </si>
  <si>
    <t>1) Participació en les sessions del grup de conservació</t>
  </si>
  <si>
    <t>11.1.6</t>
  </si>
  <si>
    <t>Regular les activitats científiques en base al model de Pla de protecció</t>
  </si>
  <si>
    <t xml:space="preserve">Regular les activitats científiques i de recol·lecció de plantes, bolets i altres organismes o elements d'interès </t>
  </si>
  <si>
    <r>
      <rPr>
        <sz val="11"/>
        <color rgb="FF000000"/>
        <rFont val="Calibri"/>
        <family val="2"/>
        <scheme val="minor"/>
      </rPr>
      <t>Canvi de redactat OP. Inclusió de la recol·lecció no científica.</t>
    </r>
    <r>
      <rPr>
        <sz val="11"/>
        <color rgb="FFFF0000"/>
        <rFont val="Calibri"/>
        <family val="2"/>
        <scheme val="minor"/>
      </rPr>
      <t xml:space="preserve"> Realitzat a través del PPAG, inclusió en els informes de SSTT si s'escau</t>
    </r>
  </si>
  <si>
    <t>* Suport a SSTT de la DGPA en l'emissió informes per a l'autorització d'activitats científiques segons el que estableix el PPAG_CAG i DGPA</t>
  </si>
  <si>
    <t>*Regulació de la recol·lecció de plantes emprades en medicina popular presents en 8210 i 8220.
*Vigilància i regulació estricta de la herborització d'afeccionats i/o professionals.</t>
  </si>
  <si>
    <t>11.1.7</t>
  </si>
  <si>
    <t>Regular les zones de bany</t>
  </si>
  <si>
    <t xml:space="preserve">Zonificat al PPAG, no cal informe. </t>
  </si>
  <si>
    <t>11.1.8</t>
  </si>
  <si>
    <t>Regular l'enlairament i aterratge sense motor</t>
  </si>
  <si>
    <t>11.1.9</t>
  </si>
  <si>
    <t>Regular el submarinisme i l'snorkel</t>
  </si>
  <si>
    <t>No aplica</t>
  </si>
  <si>
    <t>11.1.10</t>
  </si>
  <si>
    <t>Regular les activitats aquàtiques i nàutiques i zones de fondeig</t>
  </si>
  <si>
    <t>11.1.11</t>
  </si>
  <si>
    <t>Regular la presència d'animals de companyia</t>
  </si>
  <si>
    <t>Realitzat a través del PPAG</t>
  </si>
  <si>
    <t>* Reforç de la senyalització en punts crítics amb molta freqüentació i on es donen conflictes amb altres visitants, activitat ramadera o veïns del sector_CAG</t>
  </si>
  <si>
    <t>11.1.12</t>
  </si>
  <si>
    <t>Regular lels activitats d'educació ambiental i el lleure educatiu</t>
  </si>
  <si>
    <t>* Suport a SSTT de la DGPA en l'emissió informes per a l'autorització d'activitats d'EA segons el que estableix el PPAG_CAG i DGPA</t>
  </si>
  <si>
    <t>11.2</t>
  </si>
  <si>
    <t>Disposar de la xarxa viària i itineraris oficials de l'ENP</t>
  </si>
  <si>
    <t>11.2.1</t>
  </si>
  <si>
    <t xml:space="preserve">Identificar i classificar la xarxa viària bàsica, secundària, senders i itineraris senyalitzats d'acord amb els ajuntaments </t>
  </si>
  <si>
    <t>Persones i natura: concretar criteris</t>
  </si>
  <si>
    <t>Realitzat a través del PPAG i Itinerànnia</t>
  </si>
  <si>
    <r>
      <rPr>
        <sz val="11"/>
        <color rgb="FF00B050"/>
        <rFont val="Calibri"/>
        <family val="2"/>
      </rPr>
      <t xml:space="preserve">XV classificada al PPAG. </t>
    </r>
    <r>
      <rPr>
        <sz val="11"/>
        <color rgb="FF00B0F0"/>
        <rFont val="Calibri"/>
        <family val="2"/>
      </rPr>
      <t xml:space="preserve">
* Renovació del conveni amb el Consell Comarcal de la Garrotxa per al manteniment d'itineraris de l'Alta Garrotxa, de les parròquies i els GRs_CAG </t>
    </r>
  </si>
  <si>
    <t>*Manteniment de xarxa viària</t>
  </si>
  <si>
    <t>11.2.2</t>
  </si>
  <si>
    <t>Treballar conjuntament amb els principals canals d’informació de rutes  per prioritzar itineraris oficials dins l’ENP</t>
  </si>
  <si>
    <t>Persones i natura: Coordinació</t>
  </si>
  <si>
    <t>Manteniment i actualització del Wikiloc dels itineraris del Consorci_Itinerànnia i CAG
Contracte i revisió de rutes amb el SIEA_CAG
Actualització de la web del Consorci amb itineraris revisats_CAG</t>
  </si>
  <si>
    <t>* Integració a Wikilog dels itineraris del Consorci_CAG
* Actualització de la web del Consorci amb itineraris revisats_CAG</t>
  </si>
  <si>
    <t>*Compte de Wikiloc per ENP de l'Alta Garrotxa
*Fer, periòdicament, recerques per wikiloc per identificar els itineraris més freqüentats i aquells que poden comportar un impacte en l’espai i comunicar-los al responsable de l’espai.</t>
  </si>
  <si>
    <t xml:space="preserve">1) Nombre d'itineraris oficials prioritzats en els canals d'informació 
</t>
  </si>
  <si>
    <t>1) 5</t>
  </si>
  <si>
    <t>11.2.3</t>
  </si>
  <si>
    <t>Disposar d'infraestructures viàries en bon estat</t>
  </si>
  <si>
    <t>Manteniment i adequació de la xarxa viària (vicle directe amb el PIE)_CAG</t>
  </si>
  <si>
    <t xml:space="preserve">1) % de xarxa viària en bon estat
</t>
  </si>
  <si>
    <t>1) 75%</t>
  </si>
  <si>
    <t>11.3</t>
  </si>
  <si>
    <t>Implementar el protocol estandarditzat basat en el pla per la regulació al accés, circulació i ús de la xarxa viària</t>
  </si>
  <si>
    <t>11.3.1</t>
  </si>
  <si>
    <t>Regular l'accés i la circulació</t>
  </si>
  <si>
    <t>Gestió de la regulació de l'accés motoritzat juntament amb els Ajuntaments i en compliment del PPAG_CAG
Suport als ens locals en la instal·lació i manteniment de la senyalètica de regulació del pas de vehicles en zones forestals _CAG</t>
  </si>
  <si>
    <t>* Gestió de la regulació de l'accés motoritzat juntament amb els Ajuntaments i en compliment del PPAG_CAG</t>
  </si>
  <si>
    <t>*Execució de mesures pel control de l'accés de persones i vehicles motoritzats en les zones amb presència d'hàbitats o a àrees d'interès per a espècies d'interès comunitari</t>
  </si>
  <si>
    <t>*Regulació de l'accés motoritzat</t>
  </si>
  <si>
    <t xml:space="preserve">1) Nombre d'indrets o xarxa viària amb restriccions d'accés
</t>
  </si>
  <si>
    <t>11.3.2</t>
  </si>
  <si>
    <t>Regular la xarxa viària principal, secundària i restringida</t>
  </si>
  <si>
    <t>Realitzat. PPAG</t>
  </si>
  <si>
    <t>Realitzat al PPAG</t>
  </si>
  <si>
    <t>11.3.3</t>
  </si>
  <si>
    <t>Regular l'ús de drons, l'enlairament i l'aterratge</t>
  </si>
  <si>
    <t>* Suport a SSTT de la DGPA en l'emissió informes per a l'autorització de vols amb dron segons el que estableix el PPAG_CAG i DGPA</t>
  </si>
  <si>
    <t>11.3.4</t>
  </si>
  <si>
    <t>Aplicar limitacions temporals d'accés o circulació</t>
  </si>
  <si>
    <t>Gestió de la regulació de l'accés motoritzat juntament amb els Ajuntaments i en compliment del PPAG_CAG</t>
  </si>
  <si>
    <t>11.3.5</t>
  </si>
  <si>
    <t>Regular l'aparcament de vehícles</t>
  </si>
  <si>
    <t>Tramitació  urbanística dels aparcaments habilitats per la gestió de l'ús públic de l'espai_CAG</t>
  </si>
  <si>
    <t>* Tramitacions urbanístiques per adequació de zones d'aparcament en els sectors de la Muga i de la Vall de Sant Aniol_CAG</t>
  </si>
  <si>
    <t xml:space="preserve">1) Expedients de tramitació iniciats </t>
  </si>
  <si>
    <t>11.4</t>
  </si>
  <si>
    <t>Enfortir la col·laboració i coordinació amb els agents d'ús públic (empreses, entitats i ajuntaments)</t>
  </si>
  <si>
    <t>11.4.1</t>
  </si>
  <si>
    <t>Implementar l'ordenació de l'ús públic en col·laboració amb els agents del territori</t>
  </si>
  <si>
    <t>Taula de coordinació per a la gestió de l'ús públic per eixos afectats_CAG
Taula de mobilitat i us públic de la Garrotxa_CAG
Foment de la custòdia fluvial_CAG</t>
  </si>
  <si>
    <t>* Taula de coordinació per a la gestió de l'ús públic a la vall de Sant Aniol_CAG</t>
  </si>
  <si>
    <t>1) Espais de coordinació establerts</t>
  </si>
  <si>
    <t>11.4.2</t>
  </si>
  <si>
    <t>Promoció i acompanyament en l'ordenació de l'ús públic de l'ENP des de l'àmbit municipal</t>
  </si>
  <si>
    <t>Taula de coordinació per a la gestió de l'ús públic a la vall de Sant Aniol_CAG
Taula de mobilitat i us públic de la Garrotxa_CAG
Foment de la custòdia fluvial_CAG</t>
  </si>
  <si>
    <t>* Suport als municipis en l'ordenació de l'ús públic en els sectors més freqüentats (Gitarriu, vall de Sant Aniol, sector de Beget, Borró, Eix Muga, etc.)</t>
  </si>
  <si>
    <t>11.5</t>
  </si>
  <si>
    <t>Mantenir i millorar la senyalització de l'ENP</t>
  </si>
  <si>
    <t>11.5.1</t>
  </si>
  <si>
    <t>Realitzar l'inventari de senyalètica de l'ENP</t>
  </si>
  <si>
    <t>Integració de l'ENPAG en el sistema establert per la Generalitat per a l'inventari de senyals (si ens deixen) _CAG</t>
  </si>
  <si>
    <t>* Integració dels senyals detectats en una Base de dades per part de la Brigada de Forestal Catalana i l'empresa adjudicatària del manteniment a l'ENPAG_CAG</t>
  </si>
  <si>
    <t>1) Integració en el sistema de la Generalitat</t>
  </si>
  <si>
    <t>11.5.2</t>
  </si>
  <si>
    <t xml:space="preserve">Implantar el programa de senyalització i manteniment </t>
  </si>
  <si>
    <t>Persones i natura: Revisió del manual de senyalització</t>
  </si>
  <si>
    <t>Identificació, confecció i instal·lació dels senyals necessaris per la gestió de l'ENPAG_CAG
Seguiment de l'estat dels senyals instal·lats per part de la Brigada_CAG</t>
  </si>
  <si>
    <t>* Identificació anual dels senyals que cal reposar i els nous que cal col·locar, ja sigui per al compliment d'una normativa, BBPP o informació de valors sobre l'espai (seguint el Manual tècnic de senyalització en ENPs)_CAG</t>
  </si>
  <si>
    <t>*Programa de senyalització</t>
  </si>
  <si>
    <t xml:space="preserve">*Neteja i senyalització mínima dels punts i zones d’interès geològic de l’inventari
*Manteniment d'itineraris, GRs i altres
*Adequació i manteniment d'altres infraestructures i senyalització 
*Comunicar les incidències que es detectin en els equipaments informatius (cartelleres, senyalitzacions...) i de regulació de l’ús públic
</t>
  </si>
  <si>
    <t>1) Nombre de tipues de rètols amb manteniment i supervisió periòdic</t>
  </si>
  <si>
    <t>11.6</t>
  </si>
  <si>
    <t>Prevenir i gestionar els impactes derivats de la sobrefreqüentació</t>
  </si>
  <si>
    <t>11.6.1</t>
  </si>
  <si>
    <t xml:space="preserve">Potenciar la visita a espais alternatius dins de l'àmbit d'influència de l'espai natural per reduir la pressió en zones sensibles </t>
  </si>
  <si>
    <t>Es descarta portar persones a altres punts (tots els punts accessibles ja tenen freqüentació)</t>
  </si>
  <si>
    <t>11.6.2</t>
  </si>
  <si>
    <t xml:space="preserve">Implementar les mesures extraordinàries de regulació de l'ús públic </t>
  </si>
  <si>
    <t>Implementacio de mesures segons incidències_CAG</t>
  </si>
  <si>
    <t>Que són mesures extraordinàries?</t>
  </si>
  <si>
    <t>1) Percentatge de mesures implementades respecte les incidències detectades</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</si>
  <si>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</si>
  <si>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</si>
  <si>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</si>
  <si>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</si>
  <si>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 xml:space="preserve">Estudi alternatives en punts d'alt valor natural afectats per sobrefreqüentació (Gorg Blau)_DGPA
Renovació del conveni amb el Consell Comarcal de la Garrotxa per al manteniment d'itineraris a l'Alta Garrotxa_CAG
Adequació  i manteniment, juntament amb els Ajuntaments afectats, dels aparcaments en els principals punts d'afluència (Sant Aniol, Muga)_CAG
Tramitació  urbanística dels aparcaments habilitats per la gestió de l'ús públic de l'espai_CAG
</t>
  </si>
  <si>
    <t>* Renovació del conveni amb el Consell Comarcal de la Garrotxa per al manteniment d'itineraris de l'Alta Garrotxa, de les parròquies i els GRs_CAG
* Adequació  i manteniment, juntament amb els Ajuntaments afectats, dels aparcaments en els principals punts d'afluència (Sant Aniol, Muga)_CAG</t>
  </si>
  <si>
    <t>*Adequació pàrquing de Sadernes</t>
  </si>
  <si>
    <t>1) Nombre d'accions realitzades
2) Aparcaments funcionals i en bon estat</t>
  </si>
  <si>
    <t>1) 3
2) 3 (Sadernes,Beget i Albanyà)</t>
  </si>
  <si>
    <t>11.7.2</t>
  </si>
  <si>
    <t>Disposar i manternir els serveis,  equipaments i infraestructures necessàries i accessibles per acollir, informar, facilitar la visita i garantir la seguretat dels visitants i la protecció de l'entorn</t>
  </si>
  <si>
    <t xml:space="preserve">Adequació de la Rectoria de Sadernes com CI de l'ENPAG_CAG
Reubicació del Servei d'Acollida d'Albanyà_CAG
Convenis amb entitats i Ajuntaments per dotar d'usos amb caràcter públic infraestructures en punts estratègics de l'espai_CAG
</t>
  </si>
  <si>
    <t>* Reubicació del Servei d'acollida d'Albanyà_CAG
* Tramitació urbanística a l'entorn dels Punts d'acollida de Sadernes i d'Albanyà_CAG
* Suport per a la dignificacio dels Serveis d'acollida del Borró, Beget i Sant Llorenç de la Muga_CAG
* Conveni amb els Amics de Sant Aniol (Rectoria de Sant Aniol)  i l'Ajuntament de Sales de Llierca (Rectoria de Sant Grau) per donar usos amb caràcter d'ús públic a aquestes edificacions_CAG
* Identificació d'altres establiments públics dels Ajuntaments (ex. rectoria Oix)  que formen part de l'ENPAG per establir una xarxa d'acollida al visitant a l'ENPAG, tot determinant els fils conductors a tractar en cada espai (POCTEFA) _CAG
* Adquisició i adequació de la Rectoria de Sadernes com a centre interpretació i acollida de l'ENPAG_CAG+ ESQUIROLET</t>
  </si>
  <si>
    <t>*Punts d’entrada i acollida de l’espai i infraestructures
d’ús públic</t>
  </si>
  <si>
    <t>*Adequació i manteniment d'infraestructures de suport en nuclis
*Projecte executiu associat al Pla Especial Urbanístic Autònom de l'Eix Central de l'ENP
*Adequació del centre d'acollida i interpretació de l'ENP de l'Alta Garrotxa 
*Definició del sistema de serveis en xarxa per a una acollida de qualitat del visitant a l'ENP de l'Alta Garrotxa
*Mantenir i millorar les infraestructures del Parc Natural i dinamitzar itineraris i camins
*Gestionar de forma integral les àrees d'acollida de visitants
*Relacionar espais d'acollida de visitants amb la conservació del territori: Espai Cràter
*Relacionar els espais d'acollida de visitants amb la conservació del territori: Centre de Natura i Cultura de la Vall d'en Bas - Can Trona
*Mantenir els centres d'informació en les condicions acordades amb el responsable de l’espai natural i informar de qualsevol anomalia o incidència, dins o fora dels equipaments.
*Millora de la xarxa de camins</t>
  </si>
  <si>
    <t>1) Nombre d'equipaments/infraestructures  funcionals i en bon estat</t>
  </si>
  <si>
    <t>11.7.3</t>
  </si>
  <si>
    <t>Desenvolupar el Pla d'acollida als visitants en base al model de la DG</t>
  </si>
  <si>
    <t>Persones i natura: model de protocol d'acollida</t>
  </si>
  <si>
    <t>Execució de l'acció 12 del Pla estratègic d'EA i V de l'ENPAG: Redacció del Pla d'ordenació de l'acollida i l'accessibilitat_CAG</t>
  </si>
  <si>
    <r>
      <t xml:space="preserve">* Desenvolupament de l'acció </t>
    </r>
    <r>
      <rPr>
        <sz val="11"/>
        <color rgb="FFFFC000"/>
        <rFont val="Calibri"/>
        <family val="2"/>
      </rPr>
      <t>NN</t>
    </r>
    <r>
      <rPr>
        <sz val="11"/>
        <color rgb="FF00B0F0"/>
        <rFont val="Calibri"/>
        <family val="2"/>
      </rPr>
      <t xml:space="preserve"> del PEiVA de l'ENPAG orientada als serveis d'informació de l'ENPAG_CAG</t>
    </r>
    <r>
      <rPr>
        <sz val="11"/>
        <color rgb="FFFF0000"/>
        <rFont val="Calibri"/>
        <family val="2"/>
      </rPr>
      <t xml:space="preserve">
 </t>
    </r>
    <r>
      <rPr>
        <sz val="11"/>
        <color rgb="FF00B0F0"/>
        <rFont val="Calibri"/>
        <family val="2"/>
      </rPr>
      <t>* Implementaicó del model d'acollida de la DGPA (</t>
    </r>
    <r>
      <rPr>
        <sz val="11"/>
        <color rgb="FFFF0000"/>
        <rFont val="Calibri"/>
        <family val="2"/>
      </rPr>
      <t>PENDENT)</t>
    </r>
    <r>
      <rPr>
        <sz val="11"/>
        <color rgb="FF00B0F0"/>
        <rFont val="Calibri"/>
        <family val="2"/>
      </rPr>
      <t>en el marc del dispositiu de l'ENPAG_CAG</t>
    </r>
  </si>
  <si>
    <t>*Redacció del Pla d'ordenació de l'acollida i l'accessibilitat a l'ENP de l'Alta Garrotxa</t>
  </si>
  <si>
    <t>1) Elaboració del Pla</t>
  </si>
  <si>
    <t>11.7.4</t>
  </si>
  <si>
    <t>Adaptar els missatges a donar des d'oficines d’informació, pròpies i alienes, d'acord amb el model de la DG</t>
  </si>
  <si>
    <t>Persones i natura: Unifica missatges que s'incorporen en el model de protocol d'acollida</t>
  </si>
  <si>
    <t>Adopció (adaptació) dels missatges establerts pels protocols del model d'acollida establert per la DGPA (un cop confeccionts) en el desenvolupament de l'acció 12 del PEiVA  de l'ENPAG_CAG</t>
  </si>
  <si>
    <r>
      <t xml:space="preserve">* Adopció (adaptació) dels missatges establerts pels protocols del model d'acollida establert per la DGPA (un cop confeccionts) en el desenvolupament de l'acció </t>
    </r>
    <r>
      <rPr>
        <sz val="11"/>
        <color rgb="FFFFC000"/>
        <rFont val="Calibri"/>
        <family val="2"/>
      </rPr>
      <t>NN</t>
    </r>
    <r>
      <rPr>
        <sz val="11"/>
        <color rgb="FF00B0F0"/>
        <rFont val="Calibri"/>
        <family val="2"/>
      </rPr>
      <t xml:space="preserve"> del PEiVA  de l'ENPAG_CAG</t>
    </r>
  </si>
  <si>
    <t>1) Adopció del protocol d'informació</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</si>
  <si>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</si>
  <si>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</si>
  <si>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</si>
  <si>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</si>
  <si>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 xml:space="preserve">Licitació pont per a Serveis de Guardes de Camp a l'ENPAG_CAG
Integració de l'ENPAG en la propera licitació del Guardes de Camp realitzada per la Generalitat per ENPs_DGPA
Demanda d'una patrulla del CAR per l'ENPAG_DGPA i CAG
</t>
  </si>
  <si>
    <t xml:space="preserve">* Licitació pont per a Serveis de Guardes de Camp a l'ENPAG_CAG
* Integració de l'ENPAG en la propera licitació del Guardes de Camp realitzada per la Generalitat per ENPs_DGPA
</t>
  </si>
  <si>
    <t>*Actuacions de control i vigilància</t>
  </si>
  <si>
    <t>1) Sectors clau amb vigilància</t>
  </si>
  <si>
    <t>11.8.2</t>
  </si>
  <si>
    <t>Millorar la coordinació amb els cossos de seguretat per efectuar accions de control i vigilància</t>
  </si>
  <si>
    <t>Planificació d'un sistema de coordinació i col·laboració amb el Cos de Mossos d'Esquadra i el Cos d'Agents Rurals_CAG
Coordinació anual amb el Cos de Mossos d'Esquadra i el Cos d'Agents Rurals_CAG</t>
  </si>
  <si>
    <t>* Coordinació anual amb el Cos de Mossos d'Esquadra i el Cos d'Agents Rurals_CAG</t>
  </si>
  <si>
    <t>*Millora de la vigilància dels espais protegits de la XN2000 per evitar l’alteració o destrucció dels hàbitats i la mort i molèsties a les espècies.
*Vigilància als punts de cria i d’hivernada més importants per evitar molèsties a les poblacions d'espècies d'interès comunitari.</t>
  </si>
  <si>
    <t xml:space="preserve">*Servei de guardes rurals
</t>
  </si>
  <si>
    <t xml:space="preserve">1) Nombre de reunions anuals realitzades amb els cossos de seguretat </t>
  </si>
  <si>
    <t>11.8.3</t>
  </si>
  <si>
    <t>Vetllar pel compliment d'informes i la vigilància tècnica de l'espai</t>
  </si>
  <si>
    <t>Competència directa de DGPA</t>
  </si>
  <si>
    <t>GESTIONAR ELS RISCOS NATURALS per a l'autoprotecció de la població local</t>
  </si>
  <si>
    <t>12.1</t>
  </si>
  <si>
    <t>Col·laborar amb les autoritats competents per a la gestió de riscos dins l’ENP</t>
  </si>
  <si>
    <t>12.1.1</t>
  </si>
  <si>
    <t>Ordenar el pla d’emergències</t>
  </si>
  <si>
    <t>Recull i anàlisi del risc d'esllevissades i inundació al Pla d'Autoprotecció_CAG
Redacció d'un protocol d'actuació per esllevissades quan hi ha camins afectats_CAG</t>
  </si>
  <si>
    <t>??</t>
  </si>
  <si>
    <t>*Acollir els visitants del centre d’informació i informar-los, tenint en compte tant les alertes oficials de Protecció Civil (NEUCAT, INFOCAT, etc.) i avisos del Pla Alfa com informació periòdica que faciliti la persona responsable de l’espai natural als centres de visitants (estat de les pistes forestals, avisos de batudes, activitats organitzades...).
*Quan el protocol ho estableixi, contactar amb cossos d’emergències a través del 112</t>
  </si>
  <si>
    <t>1) Redacció/ Actualització del Pla d'autoprotecció</t>
  </si>
  <si>
    <t>12.1.2</t>
  </si>
  <si>
    <t>Contribuir a la protecció dels assentaments humans respecte dels riscos naturals</t>
  </si>
  <si>
    <t>VINCULAT AL 02.2.2 (PREVENCIÓ INCENDIS) 
* Suport al Cos de Bombers en cas d'emergència_CAG
* Redacció dels projectes executius dels PEGs definits pel Cos de Bombers_CAG
* Establiment de lligams amb el GPIF (Forestal Catalana) per a l'execució del PIE de l'ENPAG_CAG i DGPA
* Impuls de l'aprovació de l'Annex del PIE vinculat als PEGs redefinits_CAG
* Millora de la xarxa viària establerta al PIE_CAG i Ajuntaments
* Pagament per serveis ambientals als ramaders_DGPA
* Priorització de la recuperació d'EEOO en PEGs i sectors prioritzats al PIE_CAG
* Manteniment dels punts d'aigua segons incidències_CAG/Ajuntaments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</si>
  <si>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</si>
  <si>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</si>
  <si>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</si>
  <si>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</si>
  <si>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</si>
  <si>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</si>
  <si>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</si>
  <si>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Creació de la xarxa d'escoles vinculades a l'ENPAG en el marc del contracte del Servei d'Informació i EA de la Generalitat_CAG i DGPA</t>
  </si>
  <si>
    <t>* Creació de la xarxa d'escoles vinculades a l'ENPAG en el marc del contracte del Servei d'Informació i EA de la Generalitat_CAG i DGPA</t>
  </si>
  <si>
    <t>*Redacció del projecte socioeducatiu de l'ENP de l'Alta Garrotxa</t>
  </si>
  <si>
    <t xml:space="preserve">1) Creació de la xarxa </t>
  </si>
  <si>
    <t>13.1.2</t>
  </si>
  <si>
    <t>Desplegar el model de Xarxa d'Escoles de l'Espai Natural (XEEN) a l'ENP d'acord amb el model general</t>
  </si>
  <si>
    <t>SEA: Elabora model de xarxa</t>
  </si>
  <si>
    <t>Impuls de punts de trobada entre docents i alumnes de les escoles de la Xarxa_CAG i DGPA</t>
  </si>
  <si>
    <t>Es farà dins el contracte?</t>
  </si>
  <si>
    <t xml:space="preserve">*Facilitar espais de trobada entre els centres educatius i la persona responsable de l’espai per a la creació de projectes compartits.
*Organitzar les reunions del grup de treball
*Dissenyar i desenvolupar projectes compartits entre els centres educatius de la Xarxa i l’espai natural
*Organitzar trobades d’intercanvi d’experiències
*Avaluar el funcionament de la Xarxa
</t>
  </si>
  <si>
    <t>1) Nombre de trobades entre els centres educatius de l'espai</t>
  </si>
  <si>
    <t>13.1.3</t>
  </si>
  <si>
    <t xml:space="preserve">Formar i capacitar al professorat de la XEEN </t>
  </si>
  <si>
    <t>Creació del contingut d'una formació per acreditar docents en el bon coneixement de l'ENPAG_CAG i DGPA</t>
  </si>
  <si>
    <t>*Millorar el coneixement de l’espai natural per part de l’alumnat i el professorat d’aquests centres.
*Dissenyar i organitzar formacions adreçades al professorat del centres educatius de la Xarxa</t>
  </si>
  <si>
    <t>1) Disseny dels continguts de la formació 
2) Formacions realitzades amb docents</t>
  </si>
  <si>
    <t>1) 1
2) 3</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</si>
  <si>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</si>
  <si>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</si>
  <si>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</si>
  <si>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</si>
  <si>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</si>
  <si>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Creació d'una oferta pedagògica per les escoles vinculades a l'ENPAG_CAG i DGPA</t>
  </si>
  <si>
    <t>* Creació d'espais d'aprenentatges dins l'ENPAG i a l'entorn de les escoles pròpiament, en el marc del contracte del Servei d'Informació i EA de la Generalitat_CAG i DGPA</t>
  </si>
  <si>
    <t>1) Nombre de recursos educatius/activitats disponibles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</si>
  <si>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</si>
  <si>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</si>
  <si>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</si>
  <si>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</si>
  <si>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Creació d'activitats educatives d'acord amb les necessitats de les escoles vinculades a l'ENPAG, especialment l'escola de Lliurona i les de la ZER del Llierca_CAG i DGPA</t>
  </si>
  <si>
    <t>* Creació d'activitats educatives d'acord amb les necessitats de les escoles vinculades a l'ENPAG, especialment l'escola de Lliurona i les de la ZER del Llierca_CAG i DGPA</t>
  </si>
  <si>
    <t>*Recurs pedagògic del paisatge i carst.
*Itinerari Borró o Llierca
*Activitat sobre la relació roques i homes
*Itinerari Burró o Llierca
*Activitat sobre la relació roques i homes
*Itinerari Sant Feliu de Riu
*Recurs pedagògic sobre l’aigua i el canvi climàtic
*Itinerari Ormoier o Sant Aniol
*Creació de l'oferta pedagògica i recursos didàctics per a l'educació formal.
*Implementació de l'oferta pedagògica i recursos didàctics per a l'educació formal
*Garantir una oferta pedagògica per a la població escolar
*Executar les activitats d’educació ambiental d’acord amb l’oferta pedagògica de l’espai natural corresponent</t>
  </si>
  <si>
    <t>13.2.4</t>
  </si>
  <si>
    <t>Oferir projectes de recerca vinculats a l'espai natural per a l'alumnat universitari i de la XEEN</t>
  </si>
  <si>
    <t>Establiment de sinèrgies amb centres universitaris per fomentar la recerca a l'ENPAG (paleontologia: UB, turisme, geografia, ccaa: udg)</t>
  </si>
  <si>
    <t>* Establiment de sinèrgies amb centres universitaris per fomentar la recerca a l'ENPAG (paleontologia: UB, turisme, geografia, ccaa: udg)</t>
  </si>
  <si>
    <t>*Beca per realitzar treballs de fi de grau, màster, etc.</t>
  </si>
  <si>
    <t>1) Treballs de recerca elaborats a l'espai natural</t>
  </si>
  <si>
    <t>13.3</t>
  </si>
  <si>
    <t>Establir mecanismes estables de formació, treball i coordinació amb els col·lectius implicats en la sensibilització i l'educació dins el ENP</t>
  </si>
  <si>
    <t>13.3.1</t>
  </si>
  <si>
    <t>Establir un model de coordinació territorial amb agents clau de l'educació ambiental</t>
  </si>
  <si>
    <t>Segons necessitats però a priori no és necessari (no es donen activitats EA pròpiament)</t>
  </si>
  <si>
    <t>Podem reprendre els participants al procés participatiu del projecte socioeducatiu?? Amb quin objeciu, per desenvolupar alguna activitat? Per desenvolupar el detall d'alguna activitat?</t>
  </si>
  <si>
    <t>*Elaboració de programes de formació i sensibilització a l'ENP de l'Alta Garrotxa.
*Pacte territorial per a l'educació ambiental a l'ENP de l'Alta Garrotxa</t>
  </si>
  <si>
    <t>13.3.2</t>
  </si>
  <si>
    <t>Cercar i establir col·laboracions i projectes conjunts amb agents clau del territori</t>
  </si>
  <si>
    <t>Identificació d'activitats conjuntes a través de la TVAPO_CAG i DGPA</t>
  </si>
  <si>
    <t>* Identificació d'activitats conjuntes a través de la TVAPO_CAG i DGPA</t>
  </si>
  <si>
    <t>*Establir complicitats amb agents clau del territori nacional i internacional (CETS)
*Sensibilitzar a través de prescriptors (CETS)</t>
  </si>
  <si>
    <t xml:space="preserve">1) Nombre d'entitats implicades
2) Nombre d'activitat conjuntes realitzades </t>
  </si>
  <si>
    <t>1) 2
2) 5</t>
  </si>
  <si>
    <t>13.3.3</t>
  </si>
  <si>
    <t>Elaborar formacions dirigides als informadors, educadors i altres prescriptors del territori</t>
  </si>
  <si>
    <t>SEA: Elabora propostes MODEL de programes de formació</t>
  </si>
  <si>
    <t>Participació en el disseny, l'adequació i el desenvolupament del programa de formació de la CETS (curs de bon coneixement, curs del sector turístic, programa de formació contínua, curs de gestió del territori, sessions per personal i càrrec electes de l'administració pública, etc)_CAG</t>
  </si>
  <si>
    <t>* Participació en el disseny, l'adequació i el desenvolupament del programa de formació de la CETS (curs de bon coneixedor, curs del sector turístic, programa de formació contínua, curs de gestió del territori, sessions per personal i càrrec electes de l'administració pública, etc)_CAG</t>
  </si>
  <si>
    <t>*Definició dels continguts mínims per transmetre en la informació i sensibilització per part dels serveis d'informació i educació ambiental de l'ENP de l'Alta Garrotxa.
*Professionalitzar el sector turístic</t>
  </si>
  <si>
    <t>1) Desplegament del programa de la taula de formació de la CETS
2) Capacitació i actualització de la formació dels SI i SGR dels contractes de la Generalitat</t>
  </si>
  <si>
    <t>13.4</t>
  </si>
  <si>
    <t>Desplegar un programa de divulgació i sensibilització per a visitants</t>
  </si>
  <si>
    <t>13.4.1</t>
  </si>
  <si>
    <t>Desplegar en el territori les campanyes de sensibilització i bones pràctiques que s'impulsin des de la DG</t>
  </si>
  <si>
    <t>SEA: Elabora un document marc per unificar missatges i coordinar la difusió</t>
  </si>
  <si>
    <t>Desplegar les accions de sensibilització, educació ambiental i informació en el territori impulsades per la DG.
Supervisió del desplegament, seguiment i coordinació del contracte d'Educació ambiental i servei d'informació als Espais Naturals Protegits</t>
  </si>
  <si>
    <t>* Suport a la DGPA en la implementacio de mesures de sensibilització a l'ENPAG_CAG i DGPA</t>
  </si>
  <si>
    <t>*Foment de les bones pràctiques en les activitats d’ús públic.</t>
  </si>
  <si>
    <t>*Convivència de la ramaderia amb visitants per oci o per altres Activitats
*Proporcionar pautes per a una visita més responsable
*Garantir la bona acollida i una informació activa als visitants de l’espai natural, fent èmfasi en la importància dels valors naturals i culturals de l’espai i les restriccions associades a l’espai per a una bona conservació.
*Informar sobre les bones pràctiques recomanades per la persona responsable de l’espai natural per tal de garantir una visita responsable amb el mínim impacte possible.</t>
  </si>
  <si>
    <t xml:space="preserve">1) Nombre de comunicacions per difondre BBPP (internes i Gene)
2) Punts amb serveis Informació implementats
</t>
  </si>
  <si>
    <t>1) 3 anuals 
2)3</t>
  </si>
  <si>
    <t>1) 6 anuals
2)5</t>
  </si>
  <si>
    <t>13.4.2</t>
  </si>
  <si>
    <t xml:space="preserve">Adaptar el programa de divulgació i sensibilització de l'ENP perquè incorpori una oferta d’activitats adequada per a famílies </t>
  </si>
  <si>
    <t>Creació d'activitats per famílies i públic general a l'ENPAG, en el marc del contracte del Servei d'Informació i EA de la Generalitat_CAG i DGPA
Distribució de les descobertes en familia des dels punts d'informació_CAG</t>
  </si>
  <si>
    <t>* Creació d'activitats per famílies i públic general a l'ENPAG, en el marc del contracte del Servei d'Informació i EA de la Generalitat_CAG i DGPA</t>
  </si>
  <si>
    <t>*Dissenyar i millorar les activitats d’educació ambiental de l’oferta pedagògica de l’espai natural adreçades a la diversitat de col·lectius previstos en el Pla estratègic de l’espai natural (centres educatius, població local, visitants...), avaluar-les i incorporar-hi les millores acordades</t>
  </si>
  <si>
    <t>1) Nombre activitats dissenyades
2) Descobertes distribuïdes</t>
  </si>
  <si>
    <t>1) 2
1) 400</t>
  </si>
  <si>
    <t>1) 3
2) 800</t>
  </si>
  <si>
    <t>13.4.3</t>
  </si>
  <si>
    <t xml:space="preserve">Adaptar el programa de divulgació i sensibilització de l'ENP perquè incorpori una oferta d’activitats adequada per a altres perfils </t>
  </si>
  <si>
    <t>Quins perfils?</t>
  </si>
  <si>
    <t>13.4.4</t>
  </si>
  <si>
    <t xml:space="preserve">Adaptar el programa de divulgació i sensibilització de l'ENP perquè incorpori una oferta d’activitats dirigida al lleure educatiu </t>
  </si>
  <si>
    <t>Creació d'un programa formatiu per educadors en el lleure per millorar l'EA en el marc del contracte de SI i EA_CAG i DGPA</t>
  </si>
  <si>
    <t>Ho inclou el contracte?</t>
  </si>
  <si>
    <t>*Creació d'un programa d'activitats per a l'educació no formal</t>
  </si>
  <si>
    <t>1) Percentatge d'activitats destinades al lleure educatiu/educació no formal</t>
  </si>
  <si>
    <t>1) 10%</t>
  </si>
  <si>
    <t>1) 20%</t>
  </si>
  <si>
    <t>13.5</t>
  </si>
  <si>
    <t>Desplegar un programa de sensibilització i formació per als col·lectius del territori estratègics en la conservació de la natura</t>
  </si>
  <si>
    <t>13.5.1</t>
  </si>
  <si>
    <t>Identificar col·lectius estratègics implicats en la gestió i l'ús del territori</t>
  </si>
  <si>
    <t>Relació d'agents del territori que poden tenir una incidència en la gestió de l'ENP_CAG</t>
  </si>
  <si>
    <t>* Relació d'agents del territori que poden tenir una incidència en la gestió de l'ENP_CAG</t>
  </si>
  <si>
    <t xml:space="preserve">*Llista de persones locals interessades a participar en la conservació (whatsapp, correu electrònic, etc.)
</t>
  </si>
  <si>
    <t>1) Disposar de la relació d'agents</t>
  </si>
  <si>
    <t>13.5.2</t>
  </si>
  <si>
    <t>Executar els projectes de sensibilització i formació dirigits al sector turístic, esportiu i de lleure</t>
  </si>
  <si>
    <t>Formacions realitzades per part de l'ENPAG en el programa de previst a la taula formació de la CETS_CAG</t>
  </si>
  <si>
    <t>* Desenvolupament del programa de formació de la CETS_CAG</t>
  </si>
  <si>
    <t>*Implementació de programes de formació i sensibilització a l'ENP de l'Alta Garrotxa
*Implementació del programa d'activitats per a l'educació no formal</t>
  </si>
  <si>
    <t>1) Nombre de projectes i activitats de sensibilització executades</t>
  </si>
  <si>
    <t>1) 2 anuals</t>
  </si>
  <si>
    <t>1) 3 anuals</t>
  </si>
  <si>
    <t>13.5.3</t>
  </si>
  <si>
    <t xml:space="preserve">Executar els projectes de sensibilització i formació dirigits als agents de lleure educatiu </t>
  </si>
  <si>
    <t>Suport i col·laboració en la formació d'educadors en el lleure per millorar l'EA en el marc del contracte de SI i EA_CAG i DGPA
Crear una formació per educadors en el lleure educatiu local en el marc del contracte de SI iEA de la Generalitat_CAG i DGPA</t>
  </si>
  <si>
    <t>1) Nombre activitats formatives per educadors en formació
2) Nombre activitats formatives  per educadors titulats</t>
  </si>
  <si>
    <t>13.5.4</t>
  </si>
  <si>
    <t xml:space="preserve">Executar els projectes de sensibilització i formació dirigits als agents del sector primari </t>
  </si>
  <si>
    <t>Suport a la FPC  en la formació dels ramaders en la gestió del pastoreig orientat a la conservació (Projecte Forwards i altres)_CAG</t>
  </si>
  <si>
    <t>* Suport a la FPC  en la formació dels ramaders en la gestió del pastoreig orientat a la conservació (Projecte Forwards i altres)_CAG</t>
  </si>
  <si>
    <t>1) Sessions realitzades amb el sector primari</t>
  </si>
  <si>
    <t>13.5.5</t>
  </si>
  <si>
    <t>Elaborar i renovar periòdicament un programa d’educació ambiental adreçat a la població local que contribueixi a fomentar el sentiment de pertinença i la implicació en la conservació de l'ENP.</t>
  </si>
  <si>
    <t>Disseny i execució d'un programa d'activitats per al públic en general_CAG</t>
  </si>
  <si>
    <r>
      <t xml:space="preserve">* Creació d'activitats per famílies i públic general </t>
    </r>
    <r>
      <rPr>
        <sz val="11"/>
        <color rgb="FFFF0000"/>
        <rFont val="Calibri"/>
        <family val="2"/>
      </rPr>
      <t>cal matissa</t>
    </r>
    <r>
      <rPr>
        <sz val="11"/>
        <color rgb="FF00B0F0"/>
        <rFont val="Calibri"/>
        <family val="2"/>
      </rPr>
      <t>r  a l'ENPAG, en el marc del contracte del Servei d'Informació i EA de la Generalitat_CAG i DGPA</t>
    </r>
  </si>
  <si>
    <t>*Afavorir la creació d’un vincle i sentiment de pertinença amb l’espai natural i la implicació dels centres en la seva conservació.</t>
  </si>
  <si>
    <t>1) Nombre de mesures o programes adeçats a afavorir el vincle amb l'espai natural i la població local</t>
  </si>
  <si>
    <t>13.6</t>
  </si>
  <si>
    <t xml:space="preserve">Fomentar accions de voluntariat per conservar el patrimoni natural i cultural </t>
  </si>
  <si>
    <t>13.6.1</t>
  </si>
  <si>
    <t>Identificar els programes, projectes i accions en marxa o previstos a l’ENP que poden rebre el suport del voluntariat</t>
  </si>
  <si>
    <t>Identificació de projectes i activitats conjuntes a través de la TVAPO_CAG i DGPA
Participació en les accions transversals de la TVAPO_CAG</t>
  </si>
  <si>
    <t>* Identificació d'activitats conjuntes a través de la TVAPO_CAG i DGPA (ex. Pedra seca)+pla de biodiversitat+ geoestratègia ajut csic CST</t>
  </si>
  <si>
    <t>*Programa permanent d'educació ambiental i voluntariat ambiental</t>
  </si>
  <si>
    <t>*Vincular projectes de conservació amb la població local i visitants
*Crear nous projectes per involucrar la població local en la conservació
*Presentar propostes a incorporar al pla d’acció anual de la Taula.
*Participar en l’organització de les accions transversals que s’acordin en el marc de la Taula com, per exemple, una acció conjunta en el marc del Dia internacional del Voluntariat.</t>
  </si>
  <si>
    <t>1) Nombre d'activitats de voluntariat ambiental executades a l'entorn de l'ENP</t>
  </si>
  <si>
    <t>13.6.2</t>
  </si>
  <si>
    <t>Establir un model de coordinació territorial amb agents clau del voluntariat ambiental</t>
  </si>
  <si>
    <t>ESNATURA
PEEVA</t>
  </si>
  <si>
    <t xml:space="preserve">SEA: Elabora Model de Taula de Voluntariat Ambiental </t>
  </si>
  <si>
    <t>Dinamització de la TVAPO a través del contracte de secretaria del contracte del Servei d'Informació i EA de la Geenralitat_CAG i DGPA</t>
  </si>
  <si>
    <t>* Dinamització de la TVAPO a través del contracte de secretaria del contracte del Serve d'Informació i EA de la Geenralitat_CAG i DGPA (particiapció reunions plenàries, promoure adhesio d'entitats, difondre cartellera, coordinació per organització accions i memòries)</t>
  </si>
  <si>
    <t>*Programa estratègic d'educació i voluntariat ambiental de l'ENP
*Participar activament en les 3 reunions plenàries de la Taula.
*Promoure l’adhesió a la Taula de les entitats del territori, contactant amb les entitats de voluntariat del territori que encara no hi participin, explicar-los els objectius de la taula i motivar-los perquè s’hi incorporin.
*Difondre la Taula i les seves accions a través de la cartellera i mitjans digitals de l’espai (butlletí, web...), i contactant amb agents del territori que puguin col·laborar en aquesta difusió a través dels seus propis mitjans.
*Contactar i coordinar-se amb les entitats de la Taula per a l’organització d’accions de voluntariat a l’espai natural: organitzant, si cal, reunions per acordar l’acció voluntària amb els tècnics de l’espai natural, valorant amb el responsable de l’espai, en cas necessari, la cessió de material o altres recursos dels quals disposi l’espai natural, difonent l’acció de voluntariat a través dels mitjans de què disposa l’espai.
*Participar en la redacció de la memòria anual de les Taules de Voluntariat Ambiental i en la revisió final de la proposta de memòria.
*Participar en l’avaluació de la Taula i aportar propostes de millora.</t>
  </si>
  <si>
    <t>1) Percentatge de participació de l'espai en les trobades de la Taula
2) Nombre d'accions impulsades per la Taula amb participació de l'espai</t>
  </si>
  <si>
    <t>1) 60%
2) 2</t>
  </si>
  <si>
    <t>1) 90%
2) 4</t>
  </si>
  <si>
    <t>13.7</t>
  </si>
  <si>
    <t xml:space="preserve">Treballar per a la universalitat de les accions d’educació, sensibilització i voluntariat ambiental </t>
  </si>
  <si>
    <t>13.7.1</t>
  </si>
  <si>
    <t>Dissenyar i adaptar activitats inclusives per a persones amb necessitats específiques</t>
  </si>
  <si>
    <t>Anàlisi de les oportunitats per millorar l'accessibilitat a l'ENPAG_CAG
Desenvolupament projectes que promoguin la cooperació amb entitats de voluntariat per tal de guiar persones amb diversitat funcional_CAG
Elaboració de memòries anuals accessibles_CAG</t>
  </si>
  <si>
    <t>* Disseny d'itineraris inclusius per cadira Joellete i altres necessitats específiques juntament amb el PNZVG_CAG</t>
  </si>
  <si>
    <t>*Projecte d'accessibilitat turística "La Garrotxa per a tothom"</t>
  </si>
  <si>
    <t>1) Realització de l'anàlisi
2) Nombre de projectes desenvolupats
3) Memòries anuals accessibles</t>
  </si>
  <si>
    <t>1) 1
2) 1
3) 4</t>
  </si>
  <si>
    <t>13.7.2</t>
  </si>
  <si>
    <t>Formar el personal de l'ENP (informadors i personal que treballa de cara al públic) en accessibilitat, diversitat funcional i diversitat de gènere</t>
  </si>
  <si>
    <t xml:space="preserve">Integració al programa de formació de la CETS (formació contínua) d'una capacitació dirigida al personal de l'ENP (informadors i personal que treballa de cara al públic) en accessibilitat, diversitat funcional i diversitat de gènere_CAG, PNZVG i FES (CETS) </t>
  </si>
  <si>
    <t>* Integració a la taula de formació de la CETS d'una sessió d'atenció a la diversitat juntament amb el PNZVG_CAG</t>
  </si>
  <si>
    <t>1) Integració d'una formació sobre diversitat i accessibilitat</t>
  </si>
  <si>
    <t>13.7.3</t>
  </si>
  <si>
    <t>Incorporar la perspectiva de gènere als continguts i activitats de l'ENP</t>
  </si>
  <si>
    <t>Integració al programa de formació de la CETS (formació contínua) d'una capacitació dirigida al personal de l'ENP (informadors i personal que treballa de cara al públic) sobre la integració de la perspectiva de gènere en els continguts i activitats_CAG, PNZVG I FES (CETS)</t>
  </si>
  <si>
    <t>* Modificaicó del nom del curs de bon coneixedor pel de "Curs de bon coneixement de la Garrotxa"</t>
  </si>
  <si>
    <t>1) Integració d'una formació sobre perspectiva de gènere</t>
  </si>
  <si>
    <t>13.8</t>
  </si>
  <si>
    <t>Desplegar i adaptar el programa Salut i Natura de la DG en l'àmbit de l'ENP</t>
  </si>
  <si>
    <t>13.8.1</t>
  </si>
  <si>
    <t>Dissenyar, implementar i fomentar itineraris saludables dins dels itineraris oficials dels ENP i en la zona d'influència</t>
  </si>
  <si>
    <t xml:space="preserve">Establiment dels criteris per tal que un itinerari sigui considerat saludable_DGPA
</t>
  </si>
  <si>
    <t>Poctefa: que es cou a al taula de salut i natura</t>
  </si>
  <si>
    <t>*Creació d'experiències relacionades amb la salut i el benestar per a la població local i el visitant</t>
  </si>
  <si>
    <t>1) Establiment de criteris</t>
  </si>
  <si>
    <t>13.8.2</t>
  </si>
  <si>
    <t>Identificar els agents clau i els àmbits de col·laboració per implementar el binomi salut i natura</t>
  </si>
  <si>
    <t>Suport a la DGPA en la implementacio de mesures vinculades a la salut i natura_CAG i DGPA</t>
  </si>
  <si>
    <t>*Incorporació de la salut i el benestar a les empreses CETS</t>
  </si>
  <si>
    <t>1) Participació en  les reunions de disseny de les mesures vinculades a salut i natura</t>
  </si>
  <si>
    <t>13.8.3</t>
  </si>
  <si>
    <t xml:space="preserve">Incloure el concepte de salut i natura en els missatges educatius i comunicatius de l'ENP </t>
  </si>
  <si>
    <t>Suport a la DGPA en la inclusió del concepte salut i natura en els missatges educatius i comunicatius de l'ENPAG_DGPA</t>
  </si>
  <si>
    <t>*Integrar la salut com a element clau en l'experiència de l’usuari (visitant i població local)</t>
  </si>
  <si>
    <t>1) Accions de difusió amb el concepte de salut i natura segons les indicacions de l DGPA</t>
  </si>
  <si>
    <t>1) 8</t>
  </si>
  <si>
    <t>13.8.4</t>
  </si>
  <si>
    <t>Participar a les Taules territorials de Salut i Natura</t>
  </si>
  <si>
    <t>Participació a les taules de salut i natura_CAG</t>
  </si>
  <si>
    <t xml:space="preserve">1) Participació </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</si>
  <si>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</si>
  <si>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</si>
  <si>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</si>
  <si>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</si>
  <si>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</si>
  <si>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Pla de comunicació</t>
  </si>
  <si>
    <t>SENP: Elaborar els productes comunicatius</t>
  </si>
  <si>
    <t>Actualització de l'apartat de notícies de la web de l'ENPAG_CAG
Difusió de projectes i activitats a través de les XXSS_CAG
Publicar a la web el Programa d'Actuacions i la Memòria anual_CAG</t>
  </si>
  <si>
    <t>* Millora de la comunicació a les xarxes socials_CAG</t>
  </si>
  <si>
    <t>*Elaborar el calendari d’activitats del centre d’informació.</t>
  </si>
  <si>
    <t>1) Nombre de notícies penjades a la web
2) Nombre de publicacions a les XXSS
3) Publicació del PA I MA</t>
  </si>
  <si>
    <t>1) 20 anuals
2) 20 anuals
3) 2 anuals</t>
  </si>
  <si>
    <t>1) 30 anuals
2) 30 anuals
3) 2 anuals</t>
  </si>
  <si>
    <t>14.1.2</t>
  </si>
  <si>
    <t>Garantir l'accessibilitat i gestió del coneixement disponible sobre l'ENP</t>
  </si>
  <si>
    <t>Establiment d'un sistema de col·laboració amb el PNZVG per sistematitzar la gestió documental conjuntament_CAG</t>
  </si>
  <si>
    <r>
      <t xml:space="preserve">* Millorar la transparència de l'organisme_CAG
</t>
    </r>
    <r>
      <rPr>
        <sz val="11"/>
        <color rgb="FFFF0000"/>
        <rFont val="Calibri"/>
        <family val="2"/>
      </rPr>
      <t>Buscar una fórmula de col·laboració amb el PNZVG per sistematitzar la gestió documental</t>
    </r>
    <r>
      <rPr>
        <sz val="11"/>
        <color rgb="FF00B0F0"/>
        <rFont val="Calibri"/>
        <family val="2"/>
      </rPr>
      <t xml:space="preserve">
</t>
    </r>
  </si>
  <si>
    <t>*Servei d’informació als usuaris i visitants de l’espai</t>
  </si>
  <si>
    <t>*Elaboració i edició de material interpretatiu del territori
*Lliurar als visitants, segons necessitats, el material informatiu gratuït.
*Realitzar tasques de cobrament del preu públic de material informatiu, publicacions, de merchandising o el cobrament del cost d’un servei vinculat a la gestió de l’ús públic.
*Elaborar materials informatius en format digital</t>
  </si>
  <si>
    <t>1) Formalització d'aquest marc de col·laboració</t>
  </si>
  <si>
    <t>14.2</t>
  </si>
  <si>
    <t>Conscienciar sobre els valors de l'ENP als diferents públics objectiu</t>
  </si>
  <si>
    <t>14.2.1</t>
  </si>
  <si>
    <t>Sensibilitzar als diferents agents sobre els valors de l'ENP</t>
  </si>
  <si>
    <t>SEA: Crear material divulgatiu</t>
  </si>
  <si>
    <t>Difusió de material de bones pràctiques elaborat per la DGPA i el CAG_CAG
Píndoles digitals sobre els valors naturals de l'ENPAG_CAG</t>
  </si>
  <si>
    <t>* Sensibilització de l'usuari en el marc del contracte del Servei d'Informació i EA de la Generalitat_DGPA
* Campanya de comunicació de BBPP a l'ENPAG_CAG</t>
  </si>
  <si>
    <t xml:space="preserve">*Geoitinerari en format de custòdia geològica d’Ormoier, Sant Aniol i Riu
*Incorporació de la geologia a les guies sensibilitzadores per als usuaris de l’espai
*Mapes guies de diferents elements del patrimoni geològic de l’espai (parcel·les de coneixement)
*Sortides, xerrades, etc. Anuals
*Curs d’introducció a la geologia de l’Alta Garrotxa (paisatge, relació amb l’home, etc.)
*Servei d'informació i sensibilització ambiental de l'espai natural protegit
*Compartir l'estratègia de comunicació CETS i impulsar la creació de materials i continguts comunicatius
*Incrementar la sensibilització i el compromís de les persones en la conservació dels valors de la comarca
*Divulgar activament els valors naturals i culturals de l’espai per tal de donar-los a conèixer la necessitat de protegir, regular l’accés i fer-ne un ús responsable seguint les bones pràctiques recomanades per la persona responsable. Aprofitar els recursos expositius i informatius de què disposi l’espai per sensibilitzar als visitants sobre els valors de l’espai.
</t>
  </si>
  <si>
    <t>1) Nombre de materials o píndoles  de sensibilització divulgats</t>
  </si>
  <si>
    <t>1) 20</t>
  </si>
  <si>
    <t>14.3</t>
  </si>
  <si>
    <t xml:space="preserve">Disposar d'una comunicació ordenada efectiva, positiva i coordinada que arribi a la ciutadania i aquesta pugui reconèixer fàcilment </t>
  </si>
  <si>
    <t>14.3.1</t>
  </si>
  <si>
    <t>Optimitzar els canals de comunicació</t>
  </si>
  <si>
    <t>Identificació de les estratègies i planificació de les accions mínimes de comunicació necessàries_CAG</t>
  </si>
  <si>
    <t>* Coordinació ENPAG-DGPA segons les directrius establertes per la DGPA_CAG i DGPA</t>
  </si>
  <si>
    <t>*Web, xarxes socials i Viquipèdia
*Pàgina web, xarxes socials i bulletí@
*Atendre les consultes d’informació telefòniques i les que arriben per correu electrònic. 
*Difondre electrònicament, a través de la base de dades de contactes de l’espai natural i altres recursos de què disposi l’espai, com ara butlletí digital, web..., les activitats del centre.
*Revisar periòdicament la pàgina web de l’espai natural i redactar i publicar nous continguts per actualitzar-la i millorar-la.</t>
  </si>
  <si>
    <t>1) Planificació de les accions de comunicació clau de l'ENPAG</t>
  </si>
  <si>
    <t>14.3.2</t>
  </si>
  <si>
    <t>Garantir l'harmonització de la comunicació com a Parc, Xarxa i Generalitat.</t>
  </si>
  <si>
    <t>Harmonització de la comunicació en base als manualde publicació de la Generalitat per ENPs_ CAG</t>
  </si>
  <si>
    <t>*Elaboració i implementació del Pla de comunicació de l'ENP de l'Alta Garrotxa 
*Coordinar els plans de comunicació de les entitats implicades a la CETS</t>
  </si>
  <si>
    <t xml:space="preserve">1) Percentatge de continguts harmonitzats </t>
  </si>
  <si>
    <t>1) 70%</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</si>
  <si>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</si>
  <si>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</si>
  <si>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</si>
  <si>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</si>
  <si>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</si>
  <si>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</si>
  <si>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Manteniment i creació d'espais de participació segons necessitats_CAG
Impuls i dinamització del Consell consultiu per donar veu als propietaris_CAG</t>
  </si>
  <si>
    <t>* Suport a la DGPA en la creació de taules de governança previstes en el PPAG_CAG i DGPA
CONSELL CONSULTIU DE COOPERACIÓ
Participació a al taula de Foc de l'AG impulsada pel Cos de Bombers_CAG
Dinamització de la Comissió d'escalada_CAG
Taula de voluntariat dels Pirineus orientals_CAG
Taula de la vall de Sant Aniol_CAG
OKRs de la CETS_CAG
Dinamització dl grup motor de la Relleu Agrari_CAG
Espai de custòdia fluvial a la Muga_CAG
Espais de participació sobre el canvi climatic i gestió forestal_CAG
Taula de mobilitat i ús públic de la Garrotxa_CAG
Taula de salut i natura_CAG
Grup de treballs temàtics de la Generalitat (us públic, cultuar i natura, conservació)_CAG</t>
  </si>
  <si>
    <t>*Taula de treball transfronterera</t>
  </si>
  <si>
    <t xml:space="preserve">1) Espais de participació actius
</t>
  </si>
  <si>
    <t>15.1.2</t>
  </si>
  <si>
    <t>Disposar d'assessorament científic en l'ENP</t>
  </si>
  <si>
    <t>Assessorament extern en diferents àmbit temàtics vinculats als valors naturals_CAG</t>
  </si>
  <si>
    <t>Com s'ha d'establir??</t>
  </si>
  <si>
    <t>1) Assessoraments contractats</t>
  </si>
  <si>
    <t>15.1.3</t>
  </si>
  <si>
    <t>Incloure entitats i organismes científics i culturals de referència en els mecanismes de presa de decisions de l'ENP</t>
  </si>
  <si>
    <t>* Creació del consell consultiu de cooperació previstos en els Estatuts del Consorci_CAG</t>
  </si>
  <si>
    <t>15.1.4</t>
  </si>
  <si>
    <t>Adaptar i desplegar el model de governança dels espais naturals protegits</t>
  </si>
  <si>
    <t>SENP: Elaborar una proposta de model de governança dels espais naturals protegits</t>
  </si>
  <si>
    <t>Desenvolupament de la LA 08_Governança del PPAG_DGPA (i CAG)</t>
  </si>
  <si>
    <t>* Participació en la creació de models de governança dins la xarxa d'ENPs a instàncies de la DGPA_CAG i DGPA</t>
  </si>
  <si>
    <t xml:space="preserve">*Dinamització taules de governança
</t>
  </si>
  <si>
    <t>1) percentatge d'accions de Governança del PPAG desenvolupades</t>
  </si>
  <si>
    <t>MILLORAR L'EFICIÈNCIA de la gestió administrativa</t>
  </si>
  <si>
    <t>16.1</t>
  </si>
  <si>
    <t>Optimitzar l'aplicació pressupostaria</t>
  </si>
  <si>
    <t>16.1.1</t>
  </si>
  <si>
    <t>Millorar el sistema de control de l'execució del pressupost, d'acord amb les indicacions de Serveis Centrals</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</si>
  <si>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</si>
  <si>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Auditoria anual dels comptes generals_CAG</t>
  </si>
  <si>
    <t>* Control de l'execució del pressupost_CAG</t>
  </si>
  <si>
    <t>*Mesures per al finançament de costos derivats de l’aplicació de la normativa</t>
  </si>
  <si>
    <t>1) Auditoria realitzades</t>
  </si>
  <si>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</si>
  <si>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</si>
  <si>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</si>
  <si>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t>
  </si>
  <si>
    <t>SENP: Crear espais de coordinació entre ENP per detectar necessitats conjuntes.</t>
  </si>
  <si>
    <t>Participació en la identificacio de contractacions comunes dins la xarxa d'ENPs a instàncies de la DGPA_CAG i DGPA</t>
  </si>
  <si>
    <t>* Participació en la identificacio de contractacions comunes dins la xarxa d'ENPs a instàncies de la DGPA_CAG i DGPA</t>
  </si>
  <si>
    <t>1)Inclusió de l'ENPAG en les licitacions que afecten ENPs</t>
  </si>
  <si>
    <t>16.2.2</t>
  </si>
  <si>
    <t>Planificar i detectar les tasques de convocatòries d'ajuts de l'ENP</t>
  </si>
  <si>
    <t>No aplica a CAG</t>
  </si>
  <si>
    <t>16.2.3</t>
  </si>
  <si>
    <t>Establir i renovar en temps i forma convenis de col·laboració, convenis marc, acords, protocols i altres instruments de col·laboració.</t>
  </si>
  <si>
    <t>UGA: Coordinar l'elaboració dels catàlegs col·lectius amb ENP, universitats i centres documentació</t>
  </si>
  <si>
    <t>Relacio de convenis i seguiment per la seva renovació si s'escau_CAG</t>
  </si>
  <si>
    <t>* Relacio de convenis i seguiment per la seva renovació si s'escau_CAG</t>
  </si>
  <si>
    <t>1) relació actualitzada de convenis</t>
  </si>
  <si>
    <t>16.3</t>
  </si>
  <si>
    <t>Agilitzar, incrementar l'eficiència  i incrementar l’assoliment dels procediments administratius</t>
  </si>
  <si>
    <t>16.3.1</t>
  </si>
  <si>
    <t>Optimitzar l'elaboració d'informes</t>
  </si>
  <si>
    <t>Competència directa de SSTT DGPA</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</si>
  <si>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</si>
  <si>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</si>
  <si>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</si>
  <si>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No aplica, som sector públic però no Generalitat</t>
  </si>
  <si>
    <t>* Implementació de procediments segons indicacions de la UGA_CAG</t>
  </si>
  <si>
    <t>16.3.3</t>
  </si>
  <si>
    <t>Augmentar el coneixement de l'equip de treball en matèria de procediment administratiu</t>
  </si>
  <si>
    <t>Aprenentatge continu de procediment administratiu en formació específica o a través de les indicacions i aclariments del secretari_CAG</t>
  </si>
  <si>
    <t>* Aprenentatge continu de procediment administratiu en formació específica i a través de les indicacions i aclariments del secretari_CAG</t>
  </si>
  <si>
    <t>1) Indicacions i revisions integrades amb el secretari en procediments actius</t>
  </si>
  <si>
    <t>16.3.4</t>
  </si>
  <si>
    <t>Garantir la transparència administrativa</t>
  </si>
  <si>
    <t>Anàlisi del compliment de la transparència_CAG</t>
  </si>
  <si>
    <t>* Licitació d'un servei per al compliment de la transparència_CAG</t>
  </si>
  <si>
    <t>1) Anàlisi realitzat</t>
  </si>
  <si>
    <t>16.3.5</t>
  </si>
  <si>
    <t>Millorar i mantenir el material i infraestructures de gestió</t>
  </si>
  <si>
    <t>Manteniment d'infraestructures a través de la Brigada mòbil en ENPs de Forestal Catalana_SSTT (DGPA)
Manteniment d'infraestructures a través de l'empresa adjudicatària del manteniment_CAG</t>
  </si>
  <si>
    <t>* Manteniment d'infraestructures a través de la Brigada mòbil en ENPs de Forestal Catalana_SSTT (DGPA)
* Manteniment d'infraestructures a través de l'empresa adjudicatària del manteniment_CAG</t>
  </si>
  <si>
    <t>1) Actuacions realitzades per part de les Brigades</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</si>
  <si>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</si>
  <si>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</si>
  <si>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</si>
  <si>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</si>
  <si>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</si>
  <si>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Manteniment d'infraestructures a través de l'empresa adjudicatària del manteniment_CAG</t>
  </si>
  <si>
    <t>1) Intervencions vinculades a manteniment d'infraestructures</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</si>
  <si>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</si>
  <si>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</si>
  <si>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</si>
  <si>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Assegurances vigents_CAG</t>
  </si>
  <si>
    <t xml:space="preserve">1) Assegurança danys materials </t>
  </si>
  <si>
    <t>16.5</t>
  </si>
  <si>
    <t>Estructurar la gestió documental</t>
  </si>
  <si>
    <t>16.5.1</t>
  </si>
  <si>
    <t>Millorar l'accessibilitat i la gestió documental del centre o punt de documentació de l'ENP</t>
  </si>
  <si>
    <t>SENP: Disseny d'una metodologia de treball conjunta</t>
  </si>
  <si>
    <t>Aplicació del sistema de col·laboració amb el PNZVG per sistematitzar la gestió documental conjuntament_CAG</t>
  </si>
  <si>
    <t>Buscar una fórmula de col·laboració amb el PNZVG per sistematitzar la gestió documental</t>
  </si>
  <si>
    <t>*Gestionar sol·licituds i reserves prèvies rebudes a través de la web de l’espai, vinculades a l’ús públic.
*Recollir els suggeriments i les reclamacions dels usuaris.</t>
  </si>
  <si>
    <t>1) Establiment del sistema de col·laboració</t>
  </si>
  <si>
    <t>16.6</t>
  </si>
  <si>
    <t>Gestionar recursos humans</t>
  </si>
  <si>
    <t>16.6.1</t>
  </si>
  <si>
    <t>Gestió de la brigada de manteniment</t>
  </si>
  <si>
    <t>Diposició d'una Brigada de Forestal Catalana, pròpia per l'ENPAG_DGPA
 Coordinació periòdica per avaluar la gestió de tasques de l'empresa adjudicatària del manteniment_CAG
Coordinació amb SSTT per la priorització de tasques de la Brigada mòbil en ENPs de Forestal Catalana_ CAG i SSTT (DGPA)</t>
  </si>
  <si>
    <t>* Coordinació periòdica per avaluar la gestió de tasques de l'empresa adjudicatària del manteniment_CAG
* Coordinació amb SSTT per la priorització de tasques de la Brigada mòbil en ENPs de Forestal Catalana_ CAG i SSTT (DGPA)</t>
  </si>
  <si>
    <t>1) Disposició d'una brigada de FC a tgemps complert per AG
2) Interaccions de coordinació amb les Brigades
3) Sessions de concreció de les tasques amb SSTT</t>
  </si>
  <si>
    <t>1) 1
2) 20 anuals
3) 6 anuals</t>
  </si>
  <si>
    <t>1) 1
2) 40 anuals
3) 12 anuals</t>
  </si>
  <si>
    <t>16.6.2</t>
  </si>
  <si>
    <t>Gestió de personal</t>
  </si>
  <si>
    <t>Dotació complementària de pressupost o personal per disposar d'un TAG, un tècnic compartit d'ús públic i educació ambiental, un de desenvolupament rural, un enginyer forestal, un tècnic de cultura i un de documentació_CAG i DGPA</t>
  </si>
  <si>
    <t>direcció, a1, a2, c1, tag, nuria, susana, 3 BRI, cultura, desenvolupament rural i documentació</t>
  </si>
  <si>
    <t>sara</t>
  </si>
  <si>
    <t>*Contractació d'un/a tècnic/a de desenvolupament ramader i agrari
*Dotació a l'espai natural protegit d'un tècnic per executar i implementar l'estratègia d'educació i voluntariat ambiental.</t>
  </si>
  <si>
    <t xml:space="preserve">1) Nombre de persones contractades treballant (total o parcialment) a l'espai
</t>
  </si>
  <si>
    <t>1) 13</t>
  </si>
  <si>
    <t>Proposta de distribució d'hores</t>
  </si>
  <si>
    <t xml:space="preserve">Prèvia </t>
  </si>
  <si>
    <t xml:space="preserve">Gestió </t>
  </si>
  <si>
    <t>Sara 35% hores</t>
  </si>
  <si>
    <t>Marta 85%</t>
  </si>
  <si>
    <t xml:space="preserve">Ens queden </t>
  </si>
  <si>
    <t>22010 hores</t>
  </si>
  <si>
    <t>Distribució aprox per blocs</t>
  </si>
  <si>
    <t>Hores computades a l'excel del Pla</t>
  </si>
  <si>
    <t>Diferència</t>
  </si>
  <si>
    <t>50 hores són 1,5 dies per any</t>
  </si>
  <si>
    <t>Natura</t>
  </si>
  <si>
    <t>200 són 6,25 dies any</t>
  </si>
  <si>
    <t>Cultura</t>
  </si>
  <si>
    <t>Coneixement</t>
  </si>
  <si>
    <t>Desenvolupament local</t>
  </si>
  <si>
    <t>Us public</t>
  </si>
  <si>
    <t>EiVA</t>
  </si>
  <si>
    <t>Total</t>
  </si>
  <si>
    <t xml:space="preserve">Hem comptat les hores dels 4 pax de Consorci i 1/3 de la Nuria i la Susanna. </t>
  </si>
  <si>
    <t>La de coneixement-us públic s'integra en el funcionament habitual dels serveis d'us públic</t>
  </si>
  <si>
    <t>Gestió</t>
  </si>
  <si>
    <t>Total hores</t>
  </si>
  <si>
    <t>TAULA DE VINCLE ENTRE LES AMENACES I ELS OBJECTIUS OPERATIUS DE L'EIX DEL PATRIMONI NATURAL</t>
  </si>
  <si>
    <t>Eix 1. Natura</t>
  </si>
  <si>
    <t>Codi</t>
  </si>
  <si>
    <t>Objectius operatius</t>
  </si>
  <si>
    <t>Tipologia amenaça</t>
  </si>
  <si>
    <t>Amenaça concreta</t>
  </si>
  <si>
    <t>Activitat agrícola</t>
  </si>
  <si>
    <t>Espècies invasores i patògens</t>
  </si>
  <si>
    <t>Gestió i modificació de sistemes naturals</t>
  </si>
  <si>
    <t>Canvi global i/o climàtic</t>
  </si>
  <si>
    <t>Extracció de recursos naturals</t>
  </si>
  <si>
    <t>Producció primària</t>
  </si>
  <si>
    <t>Grans pertorbacions naturals</t>
  </si>
  <si>
    <t>Infrastructures de transport i serveis</t>
  </si>
  <si>
    <t>Polució</t>
  </si>
  <si>
    <t>AFEGIR LES FILES QUE S'HAGIN INCORPORAT A LA TAULA DEL PLA</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</si>
  <si>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</si>
  <si>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</si>
  <si>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</si>
  <si>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</si>
  <si>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</si>
  <si>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</si>
  <si>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</si>
  <si>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</si>
  <si>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</si>
  <si>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</si>
  <si>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</si>
  <si>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</si>
  <si>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</si>
  <si>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Refugis de muntanya que es remodelen, impacten etc</t>
  </si>
  <si>
    <t>Cultius annuals i perennes. Canvis de tipus de cultiu, secà a regadiu o al revés. Canvi d'usos del sòl com cultius de vinya a muntanya, Inclosos el cultiu de l'arròs amb substàncies biocides. Inclòs el cultiu de marihuana</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</si>
  <si>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</si>
  <si>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</si>
  <si>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</si>
  <si>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</si>
  <si>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</si>
  <si>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</si>
  <si>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</si>
  <si>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</si>
  <si>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</si>
  <si>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</si>
  <si>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</si>
  <si>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</si>
  <si>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</si>
  <si>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</si>
  <si>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</si>
  <si>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</si>
  <si>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Caça i recolecció d'animals, ous, mel silvestre, etc ja sigui per subsistència, esport, tradició, comerç o de forma accidental</t>
  </si>
  <si>
    <t>Recol·lecció de vegetals</t>
  </si>
  <si>
    <t>Recolecció de plantes, bolets, resines, líquens, etc</t>
  </si>
  <si>
    <t>Treball forestals de tota mena (arreu, selectiva, carboneig, aclarides, etc)</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</si>
  <si>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</si>
  <si>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</si>
  <si>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</si>
  <si>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</si>
  <si>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</si>
  <si>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</si>
  <si>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</si>
  <si>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</si>
  <si>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</si>
  <si>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</si>
  <si>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</si>
  <si>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</si>
  <si>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</si>
  <si>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Activitats per modificar el clima o processos naturals (prevenció de gelades, fertilització amb ferro a l'oceà, captura de carboni, etc)</t>
  </si>
  <si>
    <t>Gestió d'hàbitats</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</si>
  <si>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</si>
  <si>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</si>
  <si>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 com rates en illes, animals domèstics assilvestrats, musclo zebra, bambú, peixos introduïts com Phoxinus en estanys d'alta muntanya, etc</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</si>
  <si>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</si>
  <si>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</si>
  <si>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</si>
  <si>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Malalties que afecten conills, grip aviar, botulisme, castanyers, oliveres, cítrics, amfibis, etc</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</si>
  <si>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</si>
  <si>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</si>
  <si>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</si>
  <si>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</si>
  <si>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</si>
  <si>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</si>
  <si>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</si>
  <si>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Pertorbacions d'origen geològic</t>
  </si>
  <si>
    <t>De tipus geològic com terratrèmols, esllavissades, allaus, erupcions volcàniques</t>
  </si>
  <si>
    <t>Pertorbacions d'origen metereològic</t>
  </si>
  <si>
    <t>Per fenòmens extrems com inundacions, temporals, pedregades, etc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</si>
  <si>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</si>
  <si>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</si>
  <si>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</si>
  <si>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</si>
  <si>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</si>
  <si>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</si>
  <si>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</si>
  <si>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ORDRE</t>
  </si>
  <si>
    <t>DOCUMENT</t>
  </si>
  <si>
    <t>CODI OBJECTIU</t>
  </si>
  <si>
    <t>OBJECTIU</t>
  </si>
  <si>
    <t>CODI ACCIÓ</t>
  </si>
  <si>
    <t>ACCIÓ</t>
  </si>
  <si>
    <t>Executat/ planificat</t>
  </si>
  <si>
    <t>NO APLICA</t>
  </si>
  <si>
    <t>Comentaris ENP</t>
  </si>
  <si>
    <t>CODI OP</t>
  </si>
  <si>
    <t>OP</t>
  </si>
  <si>
    <t>OP MODIFICAT</t>
  </si>
  <si>
    <t>CODI NOU</t>
  </si>
  <si>
    <t>OP PROPOSTA</t>
  </si>
  <si>
    <t>Repetides</t>
  </si>
  <si>
    <t>Estratègia de geoconservació</t>
  </si>
  <si>
    <t>Coneixement i seguiment</t>
  </si>
  <si>
    <t>Cartografia i caracterització de les formacions de travertí de la Vall de Sant Aniol</t>
  </si>
  <si>
    <t>Executat</t>
  </si>
  <si>
    <t xml:space="preserve">Inventari-catàleg actualitzat de les coves, avencs, gorges i congostos </t>
  </si>
  <si>
    <t>Executat en part/en curs</t>
  </si>
  <si>
    <t>juntament amb el centre de la sostenibilitat territorial</t>
  </si>
  <si>
    <t>Similar a l'acció 16, 34 i 329</t>
  </si>
  <si>
    <t>Cartografia de punts d’interès geològic del sector de Lliurona, Albanyà i Bac Grillera</t>
  </si>
  <si>
    <t>Cartografia a 1:10.000 de les tarteres</t>
  </si>
  <si>
    <t>Estudi de l’origen dels granits</t>
  </si>
  <si>
    <t>Descripció de l’estratigrafia del Cambroordovicià</t>
  </si>
  <si>
    <t>Beca per realitzar treballs de fi de grau, màster, etc.</t>
  </si>
  <si>
    <t>Inventari de les mines, els forns de calç, les teuleries, les antigues pedreres, les fargues, etc.</t>
  </si>
  <si>
    <t>Caracterització geològica de les mineralitzacions</t>
  </si>
  <si>
    <t>Recull de la memòria històrica dels hidrocarburs (conceptes de canvi climàtic)</t>
  </si>
  <si>
    <t>Inventari de basses en la formació Bellmunt</t>
  </si>
  <si>
    <t>NA</t>
  </si>
  <si>
    <t>descartada, no n'hi ha</t>
  </si>
  <si>
    <t>Cartografia del perill de despreniments i esllavissades de les zones més freqüentades (població local o visitant)</t>
  </si>
  <si>
    <t>Anàlisi de l’evolució de les surgències del Gorg Blau, el Pont de Valentí, el Borró, Ormoier, etc.</t>
  </si>
  <si>
    <t>pendent estudi hidrogeològic ICGC (nosaltres fem de precursors)</t>
  </si>
  <si>
    <t>Seguiment de l’erosió antròpica dels travertins vora les surgències (Sant Aniol, Pont del Llierca, etc.</t>
  </si>
  <si>
    <t>no de forma estructural, som conscient de les incidències pel treball de camp</t>
  </si>
  <si>
    <t>Seguiment cada cinc anys de les tarteres (Bassegoda, Guitarriu, Montmajor, etc.)</t>
  </si>
  <si>
    <t>Conservació dels elements del patrimoni geològic</t>
  </si>
  <si>
    <t>Elaboració de fitxes dels punts i les zones per l’inventari d'elements geològics</t>
  </si>
  <si>
    <t>Acords de custòdia geològica amb els propietaris</t>
  </si>
  <si>
    <t>s'ha intentat però no ha prosperat, de moment es descarta</t>
  </si>
  <si>
    <t>Planificació i execució de les accions de conservació dels elements d’interès geològic inventariats</t>
  </si>
  <si>
    <t>Implicació de la pagesia en el manteniment d’espais oberts i recuperació d’elements d’interès que acompanyen el patrimoni geològic</t>
  </si>
  <si>
    <t>Neteja i senyalització mínima dels punts i zones d’interès geològic de l’inventari</t>
  </si>
  <si>
    <t>En curs indefinidament</t>
  </si>
  <si>
    <t>Divulgació, educació i implicació de la societat</t>
  </si>
  <si>
    <t>Geoitinerari en format de custòdia geològica d’Ormoier, Sant Aniol i Riu</t>
  </si>
  <si>
    <t>a Hortmoier descartat, a Sant Aniol i riu ho treballem</t>
  </si>
  <si>
    <t>Web, xarxes socials i Viquipèdia</t>
  </si>
  <si>
    <t>web i xxss publiquem si fem alguna acció, però no a viquipedia</t>
  </si>
  <si>
    <t>Similar a les accions 67 i 377</t>
  </si>
  <si>
    <t>Incorporació de la geologia a les guies sensibilitzadores per als usuaris de l’espai</t>
  </si>
  <si>
    <t>Creació de material específic</t>
  </si>
  <si>
    <t>Similar a l'acció 24</t>
  </si>
  <si>
    <t>Mapes guies de diferents elements del patrimoni geològic de l’espai (parcel·les de coneixement)</t>
  </si>
  <si>
    <t>Similar a l'acció 23</t>
  </si>
  <si>
    <t>Recurs pedagògic del paisatge i carst. *Itinerari Borró o Llierca</t>
  </si>
  <si>
    <t>es descarten itineraris però s'estan creant materials especifics per temàtiques</t>
  </si>
  <si>
    <t>Activitat sobre la relació roques i homes *Itinerari Burró o Llierca</t>
  </si>
  <si>
    <t>Activitat sobre la relació roques i homes *Itinerari Sant Feliu de Riu</t>
  </si>
  <si>
    <t>Recurs pedagògic sobre l’aigua i el canvi climàtic *Itinerari Ormoier o Sant Aniol</t>
  </si>
  <si>
    <t>Sortides, xerrades, etc. Anuals</t>
  </si>
  <si>
    <t>es contempa al curs de bon coneixedor de la Garrotxa i s'ha fet alguna xerrada, es podries fer més</t>
  </si>
  <si>
    <t>Curs d’introducció a la geologia de l’Alta Garrotxa (paisatge, relació amb l’home, etc.)</t>
  </si>
  <si>
    <t xml:space="preserve">en curs, es contempa al curs de bon coneixedor de la Garrotxa </t>
  </si>
  <si>
    <t>Llista de persones locals interessades a participar en la conservació (whatsapp, correu electrònic, etc.)</t>
  </si>
  <si>
    <t>Similar a l'acció 160</t>
  </si>
  <si>
    <t>Seguiment de les surgències d’aigua</t>
  </si>
  <si>
    <t>pendent estudi hidrogeològic ICGC</t>
  </si>
  <si>
    <t>Alteració i erosió d’unitats geològiques</t>
  </si>
  <si>
    <t>Realització d’un inventari de totes les coves i avencs de l’espai</t>
  </si>
  <si>
    <t>creació de material específic</t>
  </si>
  <si>
    <t>Similar a l'acció 2</t>
  </si>
  <si>
    <t>Marc legal i governança</t>
  </si>
  <si>
    <t>Reunió taller un cop l’any per fer el seguiment i avaluar l’estratègia de geoconservació</t>
  </si>
  <si>
    <t>Programa anual d'actuacions</t>
  </si>
  <si>
    <t>Seguiment Dichoropetalum schottii i estudi demogràfic</t>
  </si>
  <si>
    <t>es pot fer de nou un cop acabi el floralab, revisar notes de la darrera reunió amb la Sonia Herrando</t>
  </si>
  <si>
    <t>Seguiment de Dryopteris remota i conservació de l'hàbitat</t>
  </si>
  <si>
    <t>Accions de conservació de tàxons de flora</t>
  </si>
  <si>
    <t>Similar a l'acció 44</t>
  </si>
  <si>
    <t>Seguiment de l’àliga daurada (Aquila chrysaetos)</t>
  </si>
  <si>
    <t>Seguiment de les espècies presa de grans rapinyaires</t>
  </si>
  <si>
    <t>Seguiment del trencalòs (Gypaetus barbatus)</t>
  </si>
  <si>
    <t>Seguiment de rapinyaires a l’ENP (SEGRE)</t>
  </si>
  <si>
    <t>Participació al Seguiment dels Ocells Comuns de Catalunya (SOCC)</t>
  </si>
  <si>
    <t>Millora d’hàbitats i control de flora invasora</t>
  </si>
  <si>
    <t>Similar a l'acció 38</t>
  </si>
  <si>
    <t>Projecte constructiu i document ambiental del connector fluvial al Gomarell</t>
  </si>
  <si>
    <t>Suport/Impuls</t>
  </si>
  <si>
    <t>Donem suport als ajuntaments en el desenvolupament</t>
  </si>
  <si>
    <t>NOU OP</t>
  </si>
  <si>
    <t>01.3.7</t>
  </si>
  <si>
    <t>Afavorir la connectivitat ecològica del territori</t>
  </si>
  <si>
    <t>Diagnosi i proposta d’accions-custodia fluvial a la Muga</t>
  </si>
  <si>
    <t>Constitució d'una Taula de foc i elaboració dels projectes executius dels punts estratègics de gestió per incendis</t>
  </si>
  <si>
    <t>la taula funciona indefinidament. estem ara mateix elaborant els projectes executius dels primers pegs delimitats per Bombers, la resta els encarregarem més endavant. Posteriorment cal buscar finançament per al seva execució. Tenim un projecte amb FPC en el que som collaboradors, i preveiem executar les accions previstes ena quest projectes executius</t>
  </si>
  <si>
    <t xml:space="preserve">Recuperació de pastures i d'hàbitsts d'espais oberts </t>
  </si>
  <si>
    <t>Similar a les accions 117, 185 i 234</t>
  </si>
  <si>
    <t>Acord de custòdia fluvial per la Reserva Natural Parcial de la Muga</t>
  </si>
  <si>
    <t>Similar a l'acció 120</t>
  </si>
  <si>
    <t>Adequació de la rectoria de Sant Aniol</t>
  </si>
  <si>
    <t>anirem fent millores progressivament</t>
  </si>
  <si>
    <t>Grup motor per al relleu agrari. Cens de cedents</t>
  </si>
  <si>
    <t>Manteniment de punts d'aigua</t>
  </si>
  <si>
    <t>Aquí tenim un projecte amb FUndació Bionexus 2025-2026</t>
  </si>
  <si>
    <t>Similar a l'acció 77</t>
  </si>
  <si>
    <t>Manteniment de xarxa viària</t>
  </si>
  <si>
    <t>Similar a l'acció 60</t>
  </si>
  <si>
    <t>Adequació i manteniment d'infraestructures de suport en nuclis</t>
  </si>
  <si>
    <t>Disposar dels equipaments i infraestructures necessàries i accessibles per acollir, informar, facilitar la visita i garantir la seguretat dels visitants i la protecció de l'entorn</t>
  </si>
  <si>
    <t>Participació activa a la carta europea de turisme sostenible</t>
  </si>
  <si>
    <t>Estem treballant amb europarc perquè acreditin ENPAG pròpiament amb la CETS de la Garrotxa (1 procés,2 ENP acreditats)</t>
  </si>
  <si>
    <t>Estudi sobre pol·linitzadors de l'Alta Garrotxa</t>
  </si>
  <si>
    <t>Hem de valorar si podem fer seguiment de polinitzadors al 2027, per exemple</t>
  </si>
  <si>
    <t>Ús Públic i Social</t>
  </si>
  <si>
    <t>Servei d'informació i sensibilització ambiental de l'espai natural protegit</t>
  </si>
  <si>
    <t>Projecte executiu associat al Pla Especial Urbanístic Autònom de l'Eix Central de l'ENP</t>
  </si>
  <si>
    <t>2025 preveu el seguiment de la tramitació urbanística i si es pot encarregar la redacció del projecte executiu. Enguany no ha estat possible. 2027 en funció finançment, obres de millora dels aparcament</t>
  </si>
  <si>
    <t>Manteniment d'itineraris, GRs i altres</t>
  </si>
  <si>
    <t>tenim un conveni amb el CCG i fem directament millores segons necessitats</t>
  </si>
  <si>
    <t>Similar a l'acció 78</t>
  </si>
  <si>
    <t>Compte de Wikiloc per ENP de l'Alta Garrotxa</t>
  </si>
  <si>
    <t>El 2025 es posarà a punt (estem gairebé) i caldrà fer mantenimetn indefinidament</t>
  </si>
  <si>
    <t>Similar a l'acció 53</t>
  </si>
  <si>
    <t>Regulació de l'escalada</t>
  </si>
  <si>
    <t>Cal fer seguimetn incidències, tenim una comissió escalada, temes de BBPP, gestió de reequipaments. HO fem juntament amb SSTT i DG</t>
  </si>
  <si>
    <t>Similar a l'acció 200</t>
  </si>
  <si>
    <t>Regulació del descens de barrancs</t>
  </si>
  <si>
    <t>Tramiten la sol·licitud de 6000 participants anual</t>
  </si>
  <si>
    <t>Regulació de l'accés motoritzat</t>
  </si>
  <si>
    <t xml:space="preserve">Senyalitzacio, emissió autoritzacions de pas, aprovacions ajuntaments per prevenció incemdis, etc. </t>
  </si>
  <si>
    <t xml:space="preserve">Adequació i manteniment d'altres infraestructures i senyalització </t>
  </si>
  <si>
    <t>Servei de guardes rurals</t>
  </si>
  <si>
    <t>La Garrotxa Soft &amp; Smart County. Destinació turística sostenible i intel·ligent</t>
  </si>
  <si>
    <t>En curs, fins a finals de 2027</t>
  </si>
  <si>
    <t>Educació i Voluntariat</t>
  </si>
  <si>
    <t>Pàgina web, xarxes socials i bulletí@</t>
  </si>
  <si>
    <t>Similar a les accions 22 i 377</t>
  </si>
  <si>
    <t>Elaboració i edició de material interpretatiu del territori</t>
  </si>
  <si>
    <t>Similar a l'acció 123</t>
  </si>
  <si>
    <t>Projecte socioeducatiu</t>
  </si>
  <si>
    <t>EN PROCÉS 2024_executat</t>
  </si>
  <si>
    <t>Programa estratègic d'educació i voluntariat ambiental de l'ENP</t>
  </si>
  <si>
    <t>EN PROCÉS 2024_en desenvolupament i millora segons els PLecs</t>
  </si>
  <si>
    <t>Adequació del centre d'acollida i interpretació de l'ENP de l'Alta Garrotxa</t>
  </si>
  <si>
    <t>EN PROCÉS 2024_2025 especialment i indefinidament millores</t>
  </si>
  <si>
    <t>Pla d'impuls a la ramaderia extensiva</t>
  </si>
  <si>
    <t>Contractació d'un/a tècnic/a de desenvolupament ramader i agrari</t>
  </si>
  <si>
    <t>Compensació per la prestació de serveis ambientals de la ramaderia extensiva</t>
  </si>
  <si>
    <t>Elaboració d’un Programa de compensació pels serveis ambientals de la pastura</t>
  </si>
  <si>
    <t>Fem de precursors i busquem fórmules de finançament propis i a través d'altres institucions</t>
  </si>
  <si>
    <t>Suport tècnic, material i/o econòmic per a la fixació d'aprofitaments i usos benificiosos per a l'espai</t>
  </si>
  <si>
    <t>Similar a l'acció 76</t>
  </si>
  <si>
    <t>Redacció de Plans de Pastura prescrita</t>
  </si>
  <si>
    <t>2025 en col·labroació amb la FPC</t>
  </si>
  <si>
    <t>Ampliació i recuperació de pastures</t>
  </si>
  <si>
    <t>HO fem anualment</t>
  </si>
  <si>
    <t>Pagament pel servei ambiental de manteniment de pastures</t>
  </si>
  <si>
    <t>s'estan buscant fórmules amb la FPC, DG i LIfeECO ADAPT. FEm de percursors però no tenim capacitat ara mateix</t>
  </si>
  <si>
    <t>Similar a l'acció 73</t>
  </si>
  <si>
    <t>Adequació d'intraestructures per a la pastura</t>
  </si>
  <si>
    <t>Infraestructures per a l’abastiment d’aigua</t>
  </si>
  <si>
    <t>2025 i indefinidament</t>
  </si>
  <si>
    <t>Tenim un conveni amb la FUndació bionexus per a la millora d epunts d'aigua i tenim partida per al manteniment de punts d'aigua de l'espai</t>
  </si>
  <si>
    <t>Similar a l'acció 52</t>
  </si>
  <si>
    <t>Millora de la xarxa de camins</t>
  </si>
  <si>
    <t>2025 i indefinits</t>
  </si>
  <si>
    <t>veure conveni que tenim amb el CCG</t>
  </si>
  <si>
    <t>Similar a l'acció 59</t>
  </si>
  <si>
    <t>Infraestructures de suport al maneig del bestiar</t>
  </si>
  <si>
    <t>puntual</t>
  </si>
  <si>
    <t>Cabanes per als pastors</t>
  </si>
  <si>
    <t>nosaltres no ho fem. hem donat suport a boscos per posar una cabana a monars</t>
  </si>
  <si>
    <t>Implementació d'eines d'innovació en el maneig de la pastura</t>
  </si>
  <si>
    <t>Estudi i innovació en mètodes de recuperació i manteniment de pastures</t>
  </si>
  <si>
    <t xml:space="preserve">col·laborem amb FPC, cremes prescrites </t>
  </si>
  <si>
    <t>Assessorar i donar suport als productors agropecuaris per l'aplicació de bones pràctiques argopecuàries en la conservació dels hàbitats i les espècies presents</t>
  </si>
  <si>
    <t>Similar a l'acció 82</t>
  </si>
  <si>
    <t>Implementació d’eines digitals per al control i seguiment del bestiar</t>
  </si>
  <si>
    <t>Prova pilot de seguiment de collars</t>
  </si>
  <si>
    <t>Els hem comprat el 2024 però farem seguiment juntamnet amb la FPC per veure la seva viabilitat i si és el cas ho impulsarem a l'ENP</t>
  </si>
  <si>
    <t>Similar a l'acció 81</t>
  </si>
  <si>
    <t>Suport a la transhumància</t>
  </si>
  <si>
    <t>Manteniment de la ruta transhumant</t>
  </si>
  <si>
    <t>ho hem fet segons sol·licituds, ho podem fer si ens ho demana algun pastor, però no està previst.</t>
  </si>
  <si>
    <t xml:space="preserve">Suport a l'activitat ramadera mitjançant el control de malalties </t>
  </si>
  <si>
    <t>Creació d’un programa de suport sanitari a la ramaderia (PSSR)</t>
  </si>
  <si>
    <t>no som competeents</t>
  </si>
  <si>
    <t>Dinamització del producte local</t>
  </si>
  <si>
    <t>Dinamització d’un punt de venta de producte local</t>
  </si>
  <si>
    <t>adrinoc</t>
  </si>
  <si>
    <t>Promoure els productes locals de l'ENP</t>
  </si>
  <si>
    <t>Impuls d’obradors compartits</t>
  </si>
  <si>
    <t>Coexistència amb fauna</t>
  </si>
  <si>
    <t>Comissió per la coexistència amb cànids i resta de fauna</t>
  </si>
  <si>
    <t>HO porta el servei de fauna i el CAR. De moment no ho toquem però suposem que en algun moment ho haurem de fer. de moment indefinit.</t>
  </si>
  <si>
    <t>Preparació i protecció envers atacs de cànids i altra fauna</t>
  </si>
  <si>
    <t>Governança i gestió</t>
  </si>
  <si>
    <t>Convivència de la ramaderia amb visitants per oci o per altres Activitats</t>
  </si>
  <si>
    <t>segons incidències (senuyalitzacio, tanques, etc)</t>
  </si>
  <si>
    <t>Creació d’una borsa de pastures i ramades: finques, pastors/es i explotacions ramaderes</t>
  </si>
  <si>
    <t>en col·laboracióa mb ADRINOC, vinculat al grup de relleu agrari</t>
  </si>
  <si>
    <t>Organització de formacions</t>
  </si>
  <si>
    <t>Creació d’una associació de ramaders/es de l’Alta Garrotxa</t>
  </si>
  <si>
    <t>es una cosa que entenem que han de dinamitzar ells mateixos, si bé tenim molt de contacte, valorar si el treball conjunt es considera. POdem fer referència a establir llaços amb el sector ramader</t>
  </si>
  <si>
    <t>Taula de treball transfronterera</t>
  </si>
  <si>
    <t xml:space="preserve">La tenim però només amb els Acaldes, surten molts temes. FOrmem part del Pais art i història. </t>
  </si>
  <si>
    <t>Pla d'educació ambiental i voluntariat</t>
  </si>
  <si>
    <t>Activitats i programes d'educació ambiental i entitats i accions de voluntariat ambiental</t>
  </si>
  <si>
    <t>Redacció del projecte socioeducatiu de l'ENP de l'Alta Garrotxa</t>
  </si>
  <si>
    <t>Elaboració de programes de formació i sensibilització a l'ENP de l'Alta Garrotxa.</t>
  </si>
  <si>
    <t>en curs segons els plecs, 2025 en endavant</t>
  </si>
  <si>
    <t>Implementació de programes de formació i sensibilització a l'ENP de l'Alta Garrotxa</t>
  </si>
  <si>
    <t>Creació de l'oferta pedagògica i recursos didàctics per a l'educació formal.</t>
  </si>
  <si>
    <t>Similar a l'acció 98</t>
  </si>
  <si>
    <t>Implementació de l'oferta pedagògica i recursos didàctics per a l'educació formal</t>
  </si>
  <si>
    <t>Similar a l'acció 97</t>
  </si>
  <si>
    <t>Creació d'un programa d'activitats per a l'educació no formal</t>
  </si>
  <si>
    <t>Implementació del programa d'activitats per a l'educació no formal</t>
  </si>
  <si>
    <t>Definició dels continguts mínims per transmetre en la informació i sensibilització per part dels serveis d'informació i educació ambiental de l'ENP de l'Alta Garrotxa.</t>
  </si>
  <si>
    <t>Recursos humans i governança</t>
  </si>
  <si>
    <t>Pacte territorial per a l'educació ambiental a l'ENP de l'Alta Garrotxa</t>
  </si>
  <si>
    <t xml:space="preserve">s'ha fet algun procés participatiu. Es participa en el pacte educatiu de la Garrotxa que inclou diferents àmbits. </t>
  </si>
  <si>
    <t>Dotació a l'espai natural protegit d'un tècnic per executar i implementar l'estratègia d'educació i voluntariat ambiental.</t>
  </si>
  <si>
    <t>es compta amb la nuria cruset, tècnica compartida</t>
  </si>
  <si>
    <t>Definició del sistema de serveis en xarxa per a una acollida de qualitat del visitant a l'ENP de l'Alta Garrotxa</t>
  </si>
  <si>
    <t>Equipaments i recursos</t>
  </si>
  <si>
    <t>Redacció del Pla d'ordenació de l'acollida i l'accessibilitat a l'ENP de l'Alta Garrotxa</t>
  </si>
  <si>
    <t>no es té redactat si bé està clar, valorar si cal integrar</t>
  </si>
  <si>
    <t xml:space="preserve">Comunicació </t>
  </si>
  <si>
    <t>Elaboració i implementació del Pla de comunicació de l'ENP de l'Alta Garrotxa</t>
  </si>
  <si>
    <t>No executat</t>
  </si>
  <si>
    <t>2025. volem contractar una empresa que ens ajudi amb la comunicació</t>
  </si>
  <si>
    <t>Pla de protecció</t>
  </si>
  <si>
    <t>Millora del coneixement</t>
  </si>
  <si>
    <t>Millora del coneixement sobre els valors de l’espai i el sistema de seguiment d’aquests</t>
  </si>
  <si>
    <t>2025, amfibis, però estem valorant diferents vies de finançament (revisar amb tota oficina i susanna MAP)+</t>
  </si>
  <si>
    <t>ho fem segons els recursos disponibles</t>
  </si>
  <si>
    <t>Millora del coneixement sobre els factors de canvi que es donen a l’espai i els efectes que generen, i sistema de seguiment d’aquests.</t>
  </si>
  <si>
    <t>Des de 2024 creaf està treballant amb canvi climatic i ICGC ha d'encarar el hidrogeològic. Ho articulema  través de CProgrames de la DG amb els centres de recerca. Cal veure en general com reflectim el suport perquè sense la cerca d'aqeustes aliances per part del CAG seria impossible</t>
  </si>
  <si>
    <t>Col·laboracions amb centres de recerca i entitats naturalistes.</t>
  </si>
  <si>
    <t>2025, en curs</t>
  </si>
  <si>
    <t>Taula de voluntariat</t>
  </si>
  <si>
    <t>Gestió directa del medi natural</t>
  </si>
  <si>
    <t>Projecte de renaturalització i valorització en la zona de foment de la dinàmica natural</t>
  </si>
  <si>
    <t>2025. Esperem que sigui un encàrrec de la DG al CREAF</t>
  </si>
  <si>
    <t>Planificació per la prevenció i extinció d’incendis forestals i per la gestió del foc</t>
  </si>
  <si>
    <t>pendent execució segons finançament disponible. ho fem a través de sunvencions EEOO i FPC a través ajut entitats</t>
  </si>
  <si>
    <t>Compra de terrenys o de drets d’explotació</t>
  </si>
  <si>
    <t>descartat. no tenim capacitat, DG</t>
  </si>
  <si>
    <t>Altres actuacions de conservació del patrimoni natural i del paisatge</t>
  </si>
  <si>
    <t>EEOO, millora hàbitats</t>
  </si>
  <si>
    <t>Foment de l’activitat de particulars, empreses, entitats i ens locals favorable per a l’assoliment dels objectius de l’espai</t>
  </si>
  <si>
    <t>Mesures de foment de la gestió de finques en règim de dinàmica natural i aprofitament no extractiu</t>
  </si>
  <si>
    <t>Vinculat al projecte de renaturalització</t>
  </si>
  <si>
    <t>Mesures de foment d’actuacions d’acceleració o millora de la maduresa del bosc</t>
  </si>
  <si>
    <t>Similar a les accions 191 i 232</t>
  </si>
  <si>
    <t>Mesures de foment d’actuacions per la gestió de teixedes, castanyedes i deveses</t>
  </si>
  <si>
    <t>Mesures de foment d’actuacions de recuperació i manteniment de pastures.</t>
  </si>
  <si>
    <t>Similar a les accions 48, 185 i 234</t>
  </si>
  <si>
    <t>Mesures de foment per a la instal·lació d’infraestructura ramadera i per la protecció de conreus i instal·lacions agràries</t>
  </si>
  <si>
    <t xml:space="preserve">Es fa amb els AJuts del PEIN a particulars </t>
  </si>
  <si>
    <t>Mesures per al finançament de costos derivats de l’aplicació de la normativa</t>
  </si>
  <si>
    <t>Promoure acords de custòdia del territori</t>
  </si>
  <si>
    <t>Similar a l'acció 49</t>
  </si>
  <si>
    <t>Ordenació de l'ús públic, senyalització i informació in situ als usuaris de l'espai.</t>
  </si>
  <si>
    <t>Programa de senyalització</t>
  </si>
  <si>
    <t>No hi ha un programa sinó projectes per sectors segons necessitats i incidències</t>
  </si>
  <si>
    <t>Punts d’entrada i acollida de l’espai i infraestructures
d’ús públic</t>
  </si>
  <si>
    <t>Servei d’informació als usuaris i visitants de l’espai</t>
  </si>
  <si>
    <t>Similar a l'acció 68</t>
  </si>
  <si>
    <t>Calendari de curses i activitats organitzades.</t>
  </si>
  <si>
    <t>SPEN hi està treballant</t>
  </si>
  <si>
    <t>Estudi, i proposta de mesures d’ordenació i gestió, pels sectors més freqüentats de l’espai</t>
  </si>
  <si>
    <t>Educació ambiental</t>
  </si>
  <si>
    <t>Foment de les bones pràctiques en les activitats d’ús públic.</t>
  </si>
  <si>
    <t>COmunicació</t>
  </si>
  <si>
    <t>Similar a les accions 159 i 381</t>
  </si>
  <si>
    <t>Programa del Programa permanent d'educació ambiental i voluntariat ambiental</t>
  </si>
  <si>
    <t>A través del contracte del SInformació (Plecs)</t>
  </si>
  <si>
    <t>Promoció i valorització de l’espai natural protegit</t>
  </si>
  <si>
    <t>Carta Europea de Turisme Sostenible de la Federació EUROPARC</t>
  </si>
  <si>
    <t>Executat en part</t>
  </si>
  <si>
    <t>S'està treballant en la doble acreditació</t>
  </si>
  <si>
    <t>Fet a l’Alta Garrotxa</t>
  </si>
  <si>
    <t>Descartat. segons conversa amb la Nuria Sendrós es descarta per la complexitat legal</t>
  </si>
  <si>
    <t>Promoció de les zones d’especial protecció de la qualitat acústica</t>
  </si>
  <si>
    <t xml:space="preserve">Promoció de les declaracions de cel nocturn </t>
  </si>
  <si>
    <t>Vigilància de l’espai</t>
  </si>
  <si>
    <t>Redacció d'un Pla d’inspecció i vigilància de l’espai</t>
  </si>
  <si>
    <t>Descartat. No tenim un pla pròpiament però ho tenim ben planificat en la licitaicó de serveis</t>
  </si>
  <si>
    <t>Actuacions de control i vigilància</t>
  </si>
  <si>
    <t>Governança</t>
  </si>
  <si>
    <t>Dinamització taules de governança</t>
  </si>
  <si>
    <t>Ens falten recursos per dinamitzar-les totes. estem amb la taula de foc i volem crearl dins el projecte de fundació pau costa 1 de ramaderia, gestió forestal i propietat+</t>
  </si>
  <si>
    <t>Actualització del Pla</t>
  </si>
  <si>
    <t>Programa de seguiment del Pla</t>
  </si>
  <si>
    <t>En COl·laboració amb la DG -servei de planificaciío</t>
  </si>
  <si>
    <t>Similar a l'acció 136</t>
  </si>
  <si>
    <t>Avaluació de l’efectivitat i actualització del Pla</t>
  </si>
  <si>
    <t>Similar a l'acció 135</t>
  </si>
  <si>
    <t>Estratègia de Turisme Sostenible de la Garrotxa</t>
  </si>
  <si>
    <t>Arribar a un model de governança de la CETS integrador i vertebrador</t>
  </si>
  <si>
    <t>1.1</t>
  </si>
  <si>
    <t>Realitzar un treball de benchmark nacional i internacional de models de governança</t>
  </si>
  <si>
    <t>Amb implicació de l'espai</t>
  </si>
  <si>
    <t>1.2</t>
  </si>
  <si>
    <t>Organitzar sessions de participació amb experts per analitzar diferents models de governança</t>
  </si>
  <si>
    <t>Similar a l'acció 139</t>
  </si>
  <si>
    <t>1.3</t>
  </si>
  <si>
    <t>Organitzar activitats participatives amb els agents implicats per a la co-creació del model</t>
  </si>
  <si>
    <t>Similar a l'acció 138</t>
  </si>
  <si>
    <t>1.4</t>
  </si>
  <si>
    <t>Dissenyar un model sostenible de governança integrador i vertebrador</t>
  </si>
  <si>
    <t>1.5</t>
  </si>
  <si>
    <t>Testejar el prototip del model de governança</t>
  </si>
  <si>
    <t>Similar a les accions 142 i 143</t>
  </si>
  <si>
    <t>1.6</t>
  </si>
  <si>
    <t>Concretar i implementar el model de governança</t>
  </si>
  <si>
    <t>Similar a les accions 141 i 143</t>
  </si>
  <si>
    <t>1.7</t>
  </si>
  <si>
    <t>Avaluar i millorar contínuament el model de governança</t>
  </si>
  <si>
    <t>Similar a les accions 141 i 142</t>
  </si>
  <si>
    <t>Posicionar la CETS com un element aglutinador i identitari del turisme sostenible</t>
  </si>
  <si>
    <t>2.1</t>
  </si>
  <si>
    <t>Coordinar els plans de comunicació de les entitats implicades a la CETS</t>
  </si>
  <si>
    <t>Compartir l'estratègia de comunicació CETS i impulsar la creació de materials i continguts comunicatius</t>
  </si>
  <si>
    <t>2.3</t>
  </si>
  <si>
    <t>*Promoure una oferta turística sostenible de qualitat</t>
  </si>
  <si>
    <t>2.4</t>
  </si>
  <si>
    <t>*Incrementar el nombre d'empreses i paquets turístics a partir de la Fase II i III de la CETS</t>
  </si>
  <si>
    <t>Integrar la mobilitat com a part de l'experiència de la visita</t>
  </si>
  <si>
    <t>3.1</t>
  </si>
  <si>
    <t>Redactar un Pla de mobilitat sostenible i eco mobilitat turística</t>
  </si>
  <si>
    <t>Similar a l'acció 149</t>
  </si>
  <si>
    <t>3.2</t>
  </si>
  <si>
    <t>Desplegar el Pla de mobilitat sostenible i eco mobilitat turística i contribuir a la implementació del Pla a través d'inversions</t>
  </si>
  <si>
    <t>Similar a l'acció 148</t>
  </si>
  <si>
    <t>3.3</t>
  </si>
  <si>
    <t>Sensibilitzar a través de prescriptors (CETS)</t>
  </si>
  <si>
    <t xml:space="preserve">Cercar i establir col·laboracions i projectes conjunts amb agents clau del territori
</t>
  </si>
  <si>
    <t>3.4</t>
  </si>
  <si>
    <t>Establir complicitats amb agents clau del territori nacional i internacional (CETS)</t>
  </si>
  <si>
    <t>3.6</t>
  </si>
  <si>
    <t>Crear una oferta que inclogui la mobilitat com a experiència turística per al visitant</t>
  </si>
  <si>
    <t>3.7</t>
  </si>
  <si>
    <t>*Mantenir i millorar les infraestructures del Parc Natural i dinamitzar itineraris i camins</t>
  </si>
  <si>
    <t>3.8</t>
  </si>
  <si>
    <t>*Gestionar de forma integral les àrees d'acollida de visitants</t>
  </si>
  <si>
    <t>Potenciar el valor de l'experiència al territori (respecte la natura)</t>
  </si>
  <si>
    <t>4.1</t>
  </si>
  <si>
    <t>Potenciar els valors naturals i culturals de la comarca i de l'espai com a oferta per als visitants</t>
  </si>
  <si>
    <t>4.2</t>
  </si>
  <si>
    <t>Incrementar la sensibilització i el compromís de les persones en la conservació dels valors de la comarca</t>
  </si>
  <si>
    <t>Hem creat un programa d'activitats amb valors que es mantindrà en el temps</t>
  </si>
  <si>
    <t>4.3</t>
  </si>
  <si>
    <t>4.4</t>
  </si>
  <si>
    <t>Implicar directament a l'usuari en la conservació del territori</t>
  </si>
  <si>
    <t>5.1</t>
  </si>
  <si>
    <t>Proporcionar pautes per a una visita més responsable</t>
  </si>
  <si>
    <t>Similar a les accions 126 i 381</t>
  </si>
  <si>
    <t>5.2</t>
  </si>
  <si>
    <t>Vincular projectes de conservació amb la població local i visitants</t>
  </si>
  <si>
    <t>Similar a l'acció 31</t>
  </si>
  <si>
    <t>5.3</t>
  </si>
  <si>
    <t>Crear nous projectes per involucrar la població local en la conservació</t>
  </si>
  <si>
    <t>5.4</t>
  </si>
  <si>
    <t>Relacionar espais d'acollida de visitants amb la conservació del territori: Espai Cràter</t>
  </si>
  <si>
    <t>5.5</t>
  </si>
  <si>
    <t>Relacionar els espais d'acollida de visitants amb la conservació del territori: Centre de Natura i Cultura de la Vall d'en Bas - Can Trona</t>
  </si>
  <si>
    <t>5.6</t>
  </si>
  <si>
    <t>*Garantir una oferta pedagògica per a la població escolar</t>
  </si>
  <si>
    <t>Augmentar el valor del sector turístic per part de la població local i la resta de sectors</t>
  </si>
  <si>
    <t>6.1</t>
  </si>
  <si>
    <t>Professionalitzar el sector turístic</t>
  </si>
  <si>
    <t>6.2</t>
  </si>
  <si>
    <t>Fer que la població local se senti involucrada en activitats turístiques</t>
  </si>
  <si>
    <t>Similar a l'acció 169</t>
  </si>
  <si>
    <t>6.3</t>
  </si>
  <si>
    <t>Evidenciar els beneficis del sector turístic a la destinació – Visitor Payback</t>
  </si>
  <si>
    <t>6.4</t>
  </si>
  <si>
    <t>Acollir en zones rurals</t>
  </si>
  <si>
    <t>6.5</t>
  </si>
  <si>
    <t>Crear i involucrar entitats no turístiques en esdeveniments turístics</t>
  </si>
  <si>
    <t>Similar a l'acció 166</t>
  </si>
  <si>
    <t>6.6</t>
  </si>
  <si>
    <t>Projecte d'accessibilitat turística "La Garrotxa per a tothom"</t>
  </si>
  <si>
    <t>6.7</t>
  </si>
  <si>
    <t>Establir complicitats amb altres entitats, associacions locals i sectors econòmics</t>
  </si>
  <si>
    <t>6.8</t>
  </si>
  <si>
    <t>Donar a conèixer l'oferta i els recursos turístics entre la població local</t>
  </si>
  <si>
    <t>Impulsar el desenvolupament econòmic del sector turístic</t>
  </si>
  <si>
    <t>7.1</t>
  </si>
  <si>
    <t>Crear nous productes 4D</t>
  </si>
  <si>
    <t>Similar a l'acció 174</t>
  </si>
  <si>
    <t>7.2</t>
  </si>
  <si>
    <t>Promoció de nous productes 4D</t>
  </si>
  <si>
    <t>Similar a l'acció 173</t>
  </si>
  <si>
    <t>7.3</t>
  </si>
  <si>
    <t>Incorporar els Objectius de Desenvolupament Sostenible (ODS) en tots els productes</t>
  </si>
  <si>
    <t>7.4</t>
  </si>
  <si>
    <t>*Consolidar el "Servei d'Innovació i Producte turístic" dirigit a empreses turístiques del territori CETS</t>
  </si>
  <si>
    <t>7.5</t>
  </si>
  <si>
    <t>*Mantenir i millorar la xarxa d'indicadors turístics i ambientals de la Garrotxa</t>
  </si>
  <si>
    <t>7.6</t>
  </si>
  <si>
    <t>*Realitzar accions orientades a un model de Smart Destination</t>
  </si>
  <si>
    <t>7.7</t>
  </si>
  <si>
    <t>*Dur a terme accions de promoció local, nacional i internacional del turisme sostenible a la Garrotxa donant importància a la visualització de la CETS</t>
  </si>
  <si>
    <t>Reconèixer i valoritzar la salut/ hàbits saludables</t>
  </si>
  <si>
    <t>8.1</t>
  </si>
  <si>
    <t>Integrar la salut com a element clau en l'experiència de l’usuari (visitant i població local)</t>
  </si>
  <si>
    <t>8.2</t>
  </si>
  <si>
    <t>Creació d'experiències relacionades amb la salut i el benestar per a la població local i el visitant</t>
  </si>
  <si>
    <t>8.3</t>
  </si>
  <si>
    <t>Incorporació de la salut i el benestar a les empreses CETS</t>
  </si>
  <si>
    <t>8.4</t>
  </si>
  <si>
    <t>Estudi dels serveis ecosistèmics de la comarca per la salut i el benestar de les persones</t>
  </si>
  <si>
    <t>Ordenació de l'ús públic</t>
  </si>
  <si>
    <t>Adequació pàrquing de Sadernes</t>
  </si>
  <si>
    <t>estem fent la tramitació ambiental</t>
  </si>
  <si>
    <t>Recuperació de pastures i espais oberts</t>
  </si>
  <si>
    <t>Similar a les accions 48, 117 i 234</t>
  </si>
  <si>
    <t>Establiment del Programa de compensacions a la ramaderia extensiva associada a la conservació</t>
  </si>
  <si>
    <t>S'està intentant implementar amb FPC i DG</t>
  </si>
  <si>
    <t>Similar a l'acció 228</t>
  </si>
  <si>
    <t>Finques</t>
  </si>
  <si>
    <t>Compra finques Hortmoier i Sant Aniol (Can Prat i el Curtal)</t>
  </si>
  <si>
    <t>Descartat. La generalitat diu que no ho pots fer i nosaltres no tenim prou consistència en el temps</t>
  </si>
  <si>
    <t>Signatura de convenis de dinàmica naturals</t>
  </si>
  <si>
    <t>Ho ha de fer la DG en tant que competent</t>
  </si>
  <si>
    <t>Connector fluvial a la resclosa del Gomarell a la riera de Sant Aniol.</t>
  </si>
  <si>
    <t>Recuperació de basses. Projecte ponderful.</t>
  </si>
  <si>
    <t>DG encarrega a CREAF projecte renaturalització</t>
  </si>
  <si>
    <t>Actuacions per al foment de la maduresa i naturalitat dels boscos</t>
  </si>
  <si>
    <t>Similar a les accions 115 i 232</t>
  </si>
  <si>
    <t>Redacció del projecte executiu d’intervenció forestal per a la millora de l’hàbitat de Polygala vayredae</t>
  </si>
  <si>
    <t>Servei Flora ho encarrega i nosaltres demanarem subvenció</t>
  </si>
  <si>
    <t>Redacció d’un projecte de renaturalització a l’Alta Garrotxa</t>
  </si>
  <si>
    <t>EIC</t>
  </si>
  <si>
    <t>E28.25</t>
  </si>
  <si>
    <t>Elaboració i execució de plans de control d'espècies exòtiques i prevenció del seu ús en activitats productives en zones fluvials.</t>
  </si>
  <si>
    <t>2026. Encarregar cartografia d'hàbitats fluvials si no ens en sortim per altres bandes</t>
  </si>
  <si>
    <t>E31.23</t>
  </si>
  <si>
    <t>Identificació de punts d'atropellament d'amfibis i construcció de passos de fauna.</t>
  </si>
  <si>
    <t>Caldria coordinar-se amb el CAR i/o fer un estudi per identificar si hi ha punts negres d'atropellament a l'espai. No hi ha grans carreteres dins l'espai per això no és una problemàtica prioritària.</t>
  </si>
  <si>
    <t>Correcció i compensació d'impactes residuals mitjançant la identificació de necessitats d'actuació prioritària dins i fora dels límits de l’ENP</t>
  </si>
  <si>
    <t>E13.09</t>
  </si>
  <si>
    <t>Establiment de programes de seguiment de les poblacions d'aus d'interès comunitari.</t>
  </si>
  <si>
    <t>Executada en part</t>
  </si>
  <si>
    <t xml:space="preserve">Es porten a terme alguns seguiments sistematitzats com l'àguila daurada i el trencalòs. Però caldria incloure altres espècies d'aus d'interès comunitari. </t>
  </si>
  <si>
    <t>E11.36</t>
  </si>
  <si>
    <t>Els instruments de planificació i ordenació dels espais naturals protegits  regulen l’escalada en zones rellevants amb presència d’espècies o hàbitats amenaçats.</t>
  </si>
  <si>
    <t>E12.17</t>
  </si>
  <si>
    <t>Foment dels acords amb les societats de caçadors per millorar la gestió de les poblacions de conills i perdius en àrees amb presència d'Aquila fasciata.</t>
  </si>
  <si>
    <t>No se li ha donat gaire prioritat ja que la major part de la caça a l'ENP és major.</t>
  </si>
  <si>
    <t>Similar a l'acció 202</t>
  </si>
  <si>
    <t>E14.41</t>
  </si>
  <si>
    <t>Estudis sobre l'estatus i l'ecologia dels ocells d'interès comunitari.</t>
  </si>
  <si>
    <t>Es fan estudis d'algunes espècies però falta coneixement d'altres.</t>
  </si>
  <si>
    <t>E27.13</t>
  </si>
  <si>
    <t>Elaboració d’un aplicatiu sobre la regulació de l’escalada.</t>
  </si>
  <si>
    <t>2027. Més aviat ens han proposat un instamaps els escaladors, Valorar a la propera comissió escalada</t>
  </si>
  <si>
    <t>Similar a l'acció 61</t>
  </si>
  <si>
    <t>E31.02</t>
  </si>
  <si>
    <t>Actuacions de correcció dels suports de línies elèctriques on es detectin noves electrocucions o amb risc potencial d'electrocució i senyalització amb salvaocells de les línies perilloses per col·lisió.</t>
  </si>
  <si>
    <t xml:space="preserve">Hi ha poques línies que travessen l'ENP. El Pla de Protecció ho regula al seu art. 67: han de ser soterrades i si no és possible, pel seu impacte, han de minimitzar el risc d'lelectrocució. Es tracta d'una mesura de la que s'haurien de fer càrrec les companyies elèctriques. En tot cas des de l'ENP es pot identificar els suports amb més risc previs al Pla de Protecció. La coordinació amb el CAR també és important ja que són els que aixequen acta quan s'asseventen d'electrocucions i tenen les dades. </t>
  </si>
  <si>
    <t>E31.04</t>
  </si>
  <si>
    <t>Actuacions de potenciació del conill i perdiu com a preses</t>
  </si>
  <si>
    <t>S'han fet vedrunes per conills sense gaire èxit, no és el seu hàbitat . També abeuradors per perdius. Caldria estudiar altres mesures per potenciar-los</t>
  </si>
  <si>
    <t>Similar a l'acció 198</t>
  </si>
  <si>
    <t>E11.45</t>
  </si>
  <si>
    <t>Els instruments de planificació i ordenació dels espais naturals protegits  regulen les actuacions que requereixen drenatges, captacions  i altres usos de les masses d'aigua o que puguin impedir l’arribada d’aigua tant superficial com freàtica afectant a la conservació d'hàbitats i espècies d'interès comunitari aquàtics o litorals.</t>
  </si>
  <si>
    <t>El Pla de protecció regula de les captacions i drenatges al seu art. 41. Però la competència per regular els usos d'aigua i la seva l'afectació és de l'ACA i hauria de tenir-se en compte en els seus informes</t>
  </si>
  <si>
    <t>E11.95</t>
  </si>
  <si>
    <t>Aprovació dels Plans de Conservació i/o Recuperació de les espècies de fauna d'interès comunitari.</t>
  </si>
  <si>
    <t>Quines espè cies són? trencalòs, només? (contrastar amb susanna i dani)</t>
  </si>
  <si>
    <t>E12.06</t>
  </si>
  <si>
    <t>Concertació amb els titulars de concessions d'aigua per a la implantació de cabals ecològics.</t>
  </si>
  <si>
    <t>Els ajuntaments tenen un requeriment de l'ACA, vinculat amb el Gomarell. en el marc del conveni de custòdia fluvial de la Muga es poden definir accions en aquest sentit.</t>
  </si>
  <si>
    <t>E12.15</t>
  </si>
  <si>
    <t>Establiment de procediments de concertació amb els titulars de concessions d'aigua per determinar els drets d'ús i els efectes sobre la conservació del patrimoni natural de les mateixes.</t>
  </si>
  <si>
    <t xml:space="preserve">L'Art. 44 regula els aprofitaments d'aigua superficial i subterrània, no es permeten nous aprofitaments (excepte si no interrompen la continuitat curs d'aigua), acondicionament de fonts, i prioritzar i exhaurir la recollida d'aigües pluvials. Cal mantenir sempre el cabal ecològic segon legislació i normativa vigent on l'ACA té un paper molt important. </t>
  </si>
  <si>
    <t>E13.14</t>
  </si>
  <si>
    <t>Establiment de programes de seguiment de les poblacions d'A. pallipes.</t>
  </si>
  <si>
    <t>Caldria donar continuïtat. Determinar quins programes hi ha en curs a la Garrotxa i si cal fer alguna cosa al respecte. Dani i susanna</t>
  </si>
  <si>
    <t>E13.16</t>
  </si>
  <si>
    <t>Millora de la vigilància dels espais protegits de la XN2000 per evitar l’alteració o destrucció dels hàbitats i la mort i molèsties a les espècies.</t>
  </si>
  <si>
    <t>Cal manteniment</t>
  </si>
  <si>
    <t>Similar a l'acció 274</t>
  </si>
  <si>
    <t>E13.27</t>
  </si>
  <si>
    <t>Control sanitari de la població de cranc de riu.</t>
  </si>
  <si>
    <t>Similar a l'acció 7</t>
  </si>
  <si>
    <t>E15.10</t>
  </si>
  <si>
    <t>Redacció de protocols per a la gestió preventiva de vies d'entrada vinculada a sectors d'activitat (per exemple, jardineria, aqüicultura, distribució comercial), inclosos codis de conducta i manuals de bones pràctiques.</t>
  </si>
  <si>
    <t>no executat</t>
  </si>
  <si>
    <t xml:space="preserve">almenys no específic per AG, algun espai ho té fet //La redacció de protocols en aquest sentit poder no és competència de l'òrgan gestor de l'espai. Cal tenir una mirada més àmplia. </t>
  </si>
  <si>
    <t>E26.23</t>
  </si>
  <si>
    <t>Avaluació de les actuacions que requereixen drenatges, captacions  i altres usos de les masses d'aigua o que puguin impedir l’arribada d’aigua tant superficial com freàtica afectant a la conservació dels elements d'interès comunitari.</t>
  </si>
  <si>
    <t>algunes accions es perfilaran a l'acord de custodia de la Muga</t>
  </si>
  <si>
    <t>E28.15</t>
  </si>
  <si>
    <t>Augment dels sistemes de depuració i tractament d'aigües per garantir les condicions fisicoquímiques de l'aigua a través de l'aplicació de les mesures dels capítols C1 i C2 del Programa de Mesures del Pla de gestió de l'Aigua de l'ACA.</t>
  </si>
  <si>
    <t>Molts municipis hi estan treballant per millorar el sanejament  per part de l'ACA, Albanyà, sant Llorenç, Beget ...</t>
  </si>
  <si>
    <t>Vetllar pel compliment de la normativa de depuració dels efluents agroramaders, urbans i industrials que s'aboquen als cursos fluvials, i promoure bones pràctiques entre els gestors i propietaris del territori</t>
  </si>
  <si>
    <t>E28.18</t>
  </si>
  <si>
    <t>Consolidació del programa de cria en captivitat del cranc de riu autòcton.</t>
  </si>
  <si>
    <t>No es porta a terme dins l'espai però sí, molt a prop, fet que facilita les repoblacions</t>
  </si>
  <si>
    <t>Similar a l'acció 6</t>
  </si>
  <si>
    <t>E28.21</t>
  </si>
  <si>
    <t>Realització d'altres mesures vinculades als Plans de Conservació i/o Recuperació de les espècies aquàtiques d'interès comunitari amenaçades.</t>
  </si>
  <si>
    <t xml:space="preserve">No sé quins plans estan redactats. Caldria valorar quines són aquestes altres mesures consultant els Plans de conservació. Al riu Arnera situat a límit de l'espai natural de les Salines caldria tenir en compte possibles actuacions de conservació. 
</t>
  </si>
  <si>
    <t>E28.26</t>
  </si>
  <si>
    <t>Execució de plans de control de crancs invasors (Procambarus clarki, Pacifastacus leniusculus i Orconectes limosus).</t>
  </si>
  <si>
    <t>No sé el grau implementacio a AG</t>
  </si>
  <si>
    <t>E22.19</t>
  </si>
  <si>
    <t>Actuacions per disminuir i substituir els productes fitosanitaris per altres de més selectius i de baixa toxicitat (AAA) tant per a la fauna terrestre com aquàtica.</t>
  </si>
  <si>
    <t xml:space="preserve">Actuació que no s'ha considerat necessaria aplicar en l'ENP. Per altre banda és molt complexa donada la gran quantitat d'agents implicats, com el sector agroramader.
</t>
  </si>
  <si>
    <t>E28.41</t>
  </si>
  <si>
    <t>Implementació dels cabals ecològics segons marc normatiu del Pla de gestió de l'Aigua (2016-2021) i aplicació de les mesures del capítol A1.Cabals manteniment.</t>
  </si>
  <si>
    <t>l'ACA ho està requerint als Ajuntaments amb captació, pocs a AG</t>
  </si>
  <si>
    <t>E12.05</t>
  </si>
  <si>
    <t>Compra (o adquisició de drets de tala) de rodals madurs, premadurs, o amb agrupacions d’arbres grans, vells, morts en peu, amb abundància de cavitats. També s'hi inclouen boscos singulars per raons biogeogràfiques o d'escassetat.</t>
  </si>
  <si>
    <t>COnvenis de la DGi</t>
  </si>
  <si>
    <t>E13.24</t>
  </si>
  <si>
    <t>Seguiment de ropalòcers i quiròpters en el marc del SISEBIO.</t>
  </si>
  <si>
    <t>Revisió Dani i Susana</t>
  </si>
  <si>
    <t>E14.37</t>
  </si>
  <si>
    <t>Estudis sobre l’estatus i ecologia dels rats-penats.</t>
  </si>
  <si>
    <t>Es informació vella, caldria actualitzar</t>
  </si>
  <si>
    <t>E11.12</t>
  </si>
  <si>
    <t>Declaració de refugis de pesca a les capçaleres dels rius on és present Barbus meridionalis.</t>
  </si>
  <si>
    <t>E11.74</t>
  </si>
  <si>
    <t>L'avaluació ambiental de la creació de nous vials i infraestructures en àrees amb presència d'hàbitats o espècies d'interès comunitari ha de minimitzar la seva afectació evitant l'afectació de les àrees més ben conservades.</t>
  </si>
  <si>
    <t>E12.24</t>
  </si>
  <si>
    <t>Establir acords amb societats de pescadors per tal de crear zones de refugi de pesca en zones particularment estratègiques.</t>
  </si>
  <si>
    <t>Similar a l'acció 258</t>
  </si>
  <si>
    <t>E14.38</t>
  </si>
  <si>
    <t>Estudis sobre l’estatus i ecologia de les espècies de fauna d'interès comunitari.</t>
  </si>
  <si>
    <t xml:space="preserve">Caldira determinar quins prioritzem. </t>
  </si>
  <si>
    <t>E28.02</t>
  </si>
  <si>
    <t>Actuacions de conservació de les zones conegudes de posta regular de les especies de peixos d'interès comunitari.</t>
  </si>
  <si>
    <t>Caldria identificar quins són i les accions a desenvolupar</t>
  </si>
  <si>
    <t>E28.38</t>
  </si>
  <si>
    <t>Restauració de la morfologia, la connectivitat i les riberes de les masses d'aigua rius del DCFC.</t>
  </si>
  <si>
    <t>En curs al gomarell i es preveu identificació de mesures a l'acord de custòdia de la muga</t>
  </si>
  <si>
    <t>E28.44</t>
  </si>
  <si>
    <t>Creació de connectors fluvials en estructures en ús quan hi ha canvis en el títol concessional i altres casuístiques.</t>
  </si>
  <si>
    <t>E32.01</t>
  </si>
  <si>
    <t>Compensació per danys a la ramaderia i l’apicultura (Ursus arctos, Gyps fulvus, Canis lupus,…).</t>
  </si>
  <si>
    <t>Ho fa el Servei de Fauna</t>
  </si>
  <si>
    <t>Similar a l'acció186</t>
  </si>
  <si>
    <t>E32.05</t>
  </si>
  <si>
    <t>Consolidació i agilització de compensacions –flora i fauna- (estudis per determinar mètodes eficaços de valoració del dany o la limitació, estudis per identificar mètodes efectius de prevenció de danys,…).</t>
  </si>
  <si>
    <t>Per llop ho fa el servei de fauna, nosaltres hem fet compensacions a ramaders per delimitar zones de pastures amb especies de flora protegida</t>
  </si>
  <si>
    <t>E13.06</t>
  </si>
  <si>
    <t>Establiment de programes de seguiment de les espècies d'invertebrats d'interès comunitari.</t>
  </si>
  <si>
    <t>E14.39</t>
  </si>
  <si>
    <t>Estudis sobre l’estatus, distribució i biologia de les espècies d'invertebrats d'interès comunitari.</t>
  </si>
  <si>
    <t>E26.01</t>
  </si>
  <si>
    <t>Actuacions de  gestió forestal dirigida al manteniment de la maduresa i naturalitat de la massa en boscos públics.</t>
  </si>
  <si>
    <t>Es preveu definir més accions en el prjecte de renaturalitzacio</t>
  </si>
  <si>
    <t>Similar a les accions 115 i 191</t>
  </si>
  <si>
    <t>E11.58</t>
  </si>
  <si>
    <t>Els instruments de planificació i ordenació dels espais naturals protegits han de regular la càrrega ramadera de manera que s'asseguri la no afectació a l'hàbitat adequat pels ocells d'interès comunitari.</t>
  </si>
  <si>
    <t xml:space="preserve">Preveiem fer uan prova pilot de pla de maneig amb el projecte LIFE Eco adapt, amb seguiment de la seva efectivitat. amb FPC. </t>
  </si>
  <si>
    <t>E12.19</t>
  </si>
  <si>
    <t>Foment de l’ús dels ramats com a mecanisme de gestió de guarets per a la conservació de l’avifauna en erms i altres zones amb vegetació natural a través d'acords amb els seus propietaris.</t>
  </si>
  <si>
    <t>Vinculat a l'anterior</t>
  </si>
  <si>
    <t>Similar a les accions 48, 117 i 185</t>
  </si>
  <si>
    <t>E12.29</t>
  </si>
  <si>
    <t>Accions  de promoció dels productes agrícoles vinculats a la conservació dels valors naturals dels espais Natura 2000.</t>
  </si>
  <si>
    <t xml:space="preserve">Veure comentari "Fet a l'alta garrotxa". </t>
  </si>
  <si>
    <t>E15.06</t>
  </si>
  <si>
    <t>Divulgació i valorització de les espècies pròpies d'ambients agrícoles entre els agents locals, incidint en la importància de l'aplicació de pràctiques de gestió encaminades a la seva conservació.</t>
  </si>
  <si>
    <t>Ho fa el sigma</t>
  </si>
  <si>
    <t>E11.75</t>
  </si>
  <si>
    <t>Execució de mesures pel control de l'accés de persones i vehicles motoritzats en les zones amb presència d'hàbitats o a àrees d'interès per a espècies d'interès comunitari</t>
  </si>
  <si>
    <t>E13.15</t>
  </si>
  <si>
    <t>Establiment de programes de seguiment de les poblacions de Macromia splendens, Oxygastra curtisii i Coenagrion mercuriale.</t>
  </si>
  <si>
    <t>valorar si es un prioritat</t>
  </si>
  <si>
    <t>E28.06</t>
  </si>
  <si>
    <t>Actuacions de millora de la vegetació ripària a partir de l'aplicació del Programa de Manteniment i conservació de lleres de l'ACA, especialment en àrees que requereixen recuperació de cobertura arbòria.</t>
  </si>
  <si>
    <t>vinculada amb l'acció de cartografia d'hàbitats fluvials</t>
  </si>
  <si>
    <t>E26.14</t>
  </si>
  <si>
    <t>Actuacions de millora d'hàbitat en boscos subalpins amb presència espècies amenaçades.</t>
  </si>
  <si>
    <t>Segons subvencions</t>
  </si>
  <si>
    <t>E26.13</t>
  </si>
  <si>
    <t>Actuacions de manteniment dels matollars d’arç blanc i aranyoner, principals plantes nutrícies d'Eriogaster catax.</t>
  </si>
  <si>
    <t>Mantenim sctors als espais oberts que esdevenen zona d'ecotó amb estrat matollar</t>
  </si>
  <si>
    <t>E22.21</t>
  </si>
  <si>
    <t>Manteniment dels espais oberts (conreus i pastures), els prats de dall i un paisatge en mosaic en les zones amb presència destacada d'espècies d'interès comunitari</t>
  </si>
  <si>
    <t>Similar a l'acció 318</t>
  </si>
  <si>
    <t>E11.57</t>
  </si>
  <si>
    <t>Els instruments de planificació i ordenació dels espais naturals protegits han de regular la càrrega ramadera en els llocs on es detecti un problema de sobrepastura o de regeneració dels hàbitats d'interès comunitari.</t>
  </si>
  <si>
    <t>vinculada a la implementació de plans de maneig orientats a la conservació esmentats anteriorment</t>
  </si>
  <si>
    <t>E14.32</t>
  </si>
  <si>
    <t>Estudis per a la millora del coneixement de la especificitat alimentícia de l'eruga  d'Euphydryas aurinia i de selecció de l'hàbitat.</t>
  </si>
  <si>
    <t>valorar prioritzacio</t>
  </si>
  <si>
    <t>E24.10</t>
  </si>
  <si>
    <t>Execució d'altres mesures incloses als plans de conservació de   Callimorpha quadripunctaria i Euphydryas aurinia.</t>
  </si>
  <si>
    <t>E24.15</t>
  </si>
  <si>
    <t>Potenciar la ramaderia extensiva per conservar els hàbitats agroforestals i prevenir incendis forestals.</t>
  </si>
  <si>
    <t xml:space="preserve">PIRE, PIE, etc, </t>
  </si>
  <si>
    <t>E26.11</t>
  </si>
  <si>
    <t>Actuacions de manteniment de les masses de lligabosc (Lonicera sp) com a principal planta nutrícia d'Euphydryas aurinia.</t>
  </si>
  <si>
    <t>E14.43</t>
  </si>
  <si>
    <t>Identificació dels indrets més representatius dels hàbitats i espècies d'interès comunitari, millora de la cartografia i valoració del seu estat de conservació.</t>
  </si>
  <si>
    <t>E24.16</t>
  </si>
  <si>
    <t>Realització de campanya de foment de la disminució i substitució dels productes fitosanitaris per altres de més selectius i de baixa toxicitat (AAA) tant per a la fauna terrestre com aquàtica.</t>
  </si>
  <si>
    <t>E14.42</t>
  </si>
  <si>
    <t>Foment de la investigació per trobar noves mesures de lluita biològica contra la processionària del pi que no afectin a altres lepidòpters, com Graellsia isabelae.</t>
  </si>
  <si>
    <t>E26.12</t>
  </si>
  <si>
    <t>Actuacions de manteniment de les masses de Pinus sylvestris i Pinus nigra en les principals àrees de distribució de Graellsia isabelae. Establiment de rodals amb gestió adaptativa pel manteniment dels processos ecològics.</t>
  </si>
  <si>
    <t>E11.86</t>
  </si>
  <si>
    <t>Revisió i actualització del Pla de Recuperació de Gypaetus barbatus.</t>
  </si>
  <si>
    <t>No som competents</t>
  </si>
  <si>
    <t>E31.20</t>
  </si>
  <si>
    <t>Execució de mesures de desenvolupament del pla de recuperació de rapinyaires.</t>
  </si>
  <si>
    <t>E26.08</t>
  </si>
  <si>
    <t>Actuacions de manteniment de grans peus de planifolis i altres arbres vells caducifolis per afavorir el manteniment d'espècies forestals d'interès comunitari (Rosalia alpina, Lucanus cervus i Osmoderma eremita).</t>
  </si>
  <si>
    <t>Similar a les accions 255 i 256</t>
  </si>
  <si>
    <t>E26.20</t>
  </si>
  <si>
    <t>Actuacions per fomentar la presència de fusta morta en peu o a terra i d'arbres vells o decrèpits en boscos públics.</t>
  </si>
  <si>
    <t>HO preveu el PPAG en la normativa i recomanacins</t>
  </si>
  <si>
    <t>Similar a les accions 254 i 256</t>
  </si>
  <si>
    <t>E26.22</t>
  </si>
  <si>
    <t>Actuacions de gestió per augmentar  la densitat de cavitats fomentant la presència d’arbres decrèpits o morts.</t>
  </si>
  <si>
    <t>Ho preveu el PPAG en la normativa i recomanacions</t>
  </si>
  <si>
    <t>Similar a les accions 254 i 255</t>
  </si>
  <si>
    <t>E26.33</t>
  </si>
  <si>
    <t>Manteniment de marges i tanques arbustives i arbrades entre prats i pastures, llindars i clarianes de bosc.</t>
  </si>
  <si>
    <t>Es un criteri en la recuperació d'EEOO</t>
  </si>
  <si>
    <t>E11.39</t>
  </si>
  <si>
    <t>Els instruments de planificació i ordenació dels espais naturals protegits regulen la pesca recreativa en àrees amb presència de peixos d'interès comunitari evitant l'ús d'esquer viu.</t>
  </si>
  <si>
    <t>Similar a l'acció 223</t>
  </si>
  <si>
    <t>E28.07</t>
  </si>
  <si>
    <t>Actuacions de millora de l'habitat de Lutra lutra.</t>
  </si>
  <si>
    <t>E28.32</t>
  </si>
  <si>
    <t>Potenciació de franges de ribera entre cultius i la llera (DPH) a través, per exemple, de les mesures incloses al PDR de Catalunya.</t>
  </si>
  <si>
    <t>E28.48</t>
  </si>
  <si>
    <t>Actuacions de correcció de punts negres d'atropellament de L. lutra i Mustela lutreola.</t>
  </si>
  <si>
    <t>No es una incidència recurrent a l'espai</t>
  </si>
  <si>
    <t>E28.10</t>
  </si>
  <si>
    <t>Actuacions de restauració de zones de cria d'Emys orbicularis i Mauremys leprosa.</t>
  </si>
  <si>
    <t>E28.46</t>
  </si>
  <si>
    <t>Millora de la connectivitat entre les localitats amb presència d'Emys orbicularis i Mauremys leprosa.</t>
  </si>
  <si>
    <t>E29.01</t>
  </si>
  <si>
    <t>Adequació d'antigues mines amb presència de colònies de rats-penats per evitar esllavissades.</t>
  </si>
  <si>
    <t>Fora de termini del PE</t>
  </si>
  <si>
    <t>no es prioritari</t>
  </si>
  <si>
    <t>E29.02</t>
  </si>
  <si>
    <t>Actuacions per mantenir una estructura vegetal adequada en zones properes a l'entrada de coves/refugis amb presència de rats-penats.</t>
  </si>
  <si>
    <t>S'eviten estassades</t>
  </si>
  <si>
    <t>Similar a l'acció 270</t>
  </si>
  <si>
    <t>E29.04</t>
  </si>
  <si>
    <t>Actuacions per restringir l'accés a les coves amb presència de rats-penats en època de cria.</t>
  </si>
  <si>
    <t xml:space="preserve">Caldria tonrar a fer un estudi de ratpenats </t>
  </si>
  <si>
    <t>E31.12</t>
  </si>
  <si>
    <t>Col·locació de caixes refugi per a ratpenats com a mesura transitòria fins que s’aconsegueixi el grau de maduresa i l’abundància de cavitats suficient en el bosc.</t>
  </si>
  <si>
    <t xml:space="preserve">Ara ningú fa seguiment de ratpenats valorar de nou. </t>
  </si>
  <si>
    <t>E31.13</t>
  </si>
  <si>
    <t>Conservació de punts d'aigua propers a zones forestals com a llocs d'alimentació preferent.</t>
  </si>
  <si>
    <t>E31.18</t>
  </si>
  <si>
    <t>Establiment d'ajudes o deduccions econòmiques als propietaris que mantinguin colònies de ratpenats en els seus edificis o infraestructures.</t>
  </si>
  <si>
    <t>No tenim capacitat econòmica, es pot fer en el marc d'alguns ajuts</t>
  </si>
  <si>
    <t>E11.54</t>
  </si>
  <si>
    <t>Els instruments de planificació i ordenació dels espais naturals protegits estableixen mesures de protecció específica dels refugis i colònies de rat-penats.</t>
  </si>
  <si>
    <t xml:space="preserve">Annexos del Pla </t>
  </si>
  <si>
    <t>Similar a l'acció 265</t>
  </si>
  <si>
    <t>E31.03</t>
  </si>
  <si>
    <t>Actuacions de foment de l'ús de permetrines enlloc d'organoclorats pel tractament de la fusta d'edificacions amb presència de rat-penats.</t>
  </si>
  <si>
    <t>a reivisar</t>
  </si>
  <si>
    <t>E31.06</t>
  </si>
  <si>
    <t>Actuacions per promoure l'abandó de cadàvers de bestiar domèstic, en explotacions extensives, en àrees remotes.</t>
  </si>
  <si>
    <t>Es fa a través del DARP</t>
  </si>
  <si>
    <t>E31.07</t>
  </si>
  <si>
    <t>Adequació d'alguna edificació de propietat pública com a refugi de Rhinolophus ferrumequinun, preferiblement propers a llacunes.</t>
  </si>
  <si>
    <t>Es pot fer amb Boscos a alguna finca de monars</t>
  </si>
  <si>
    <t>E13.33</t>
  </si>
  <si>
    <t>Vigilància als punts de cria i d’hivernada més importants per evitar molèsties a les poblacions d'espècies d'interès comunitari.</t>
  </si>
  <si>
    <t>CAG, UB, CAR</t>
  </si>
  <si>
    <t>Similar a l'acció 208</t>
  </si>
  <si>
    <t>E26.30</t>
  </si>
  <si>
    <t>Execució de mesures de tractaments específics a petita escala en fagedes destinats a incrementar la disponibilitat de microhàbitats potencialment adequats per a Rosalia alpina.</t>
  </si>
  <si>
    <t>a revisar</t>
  </si>
  <si>
    <t>E11.94</t>
  </si>
  <si>
    <t>Incorporació de la tórtora europea en els instruments i plans de gestió dels espais de Natura 2000 en què l'espècie estigui considerada.</t>
  </si>
  <si>
    <t>la tenim als annexos del PPAG</t>
  </si>
  <si>
    <t>E31.01</t>
  </si>
  <si>
    <t>Acords amb les Societats de Caçadors per a incorporar objectius de conservació d’espècies, com la tórtora comú, i hàbitats en la revisió dels Plans de Gestió Cinegètica.</t>
  </si>
  <si>
    <t>Ho podem impulsar amb caça. Contactar amb SSTT</t>
  </si>
  <si>
    <t>E31.34</t>
  </si>
  <si>
    <t>Creació de zones d'alimentació riques en llavors per a la tórtora europea i altres espècies mitjançant la implantació de zones lliures de sembra i/o  sembres específiques per a la fauna.</t>
  </si>
  <si>
    <t>Podem fer un pla de millora de la tortora uqe inclogui el detall d'aquests actuacios i com implementar-ho a l'espai</t>
  </si>
  <si>
    <t>E31.35</t>
  </si>
  <si>
    <t>Realització de desbrossades selectives en zones de matollar  per a afavorir l'hàbitat de la tórtora europea.</t>
  </si>
  <si>
    <t>E11.24</t>
  </si>
  <si>
    <t>Els instruments de planificació forestal han d’incloure objectius de conservació de Testudo hermanni tenint en compte els seus requeriments ambientals.</t>
  </si>
  <si>
    <t>NO afecta AG</t>
  </si>
  <si>
    <t>E13.32</t>
  </si>
  <si>
    <t>Vigilància de l'accés a les zones amb presència de Testudo hermanni per evitar captura d'individus i possible venda de tortugues.</t>
  </si>
  <si>
    <t>E22.03</t>
  </si>
  <si>
    <t>Actuacions de permeabilització de les infraestructures existents permetent la connectivitat entre nuclis poblacionals de Testudo hermanni.</t>
  </si>
  <si>
    <t>E22.13</t>
  </si>
  <si>
    <t>Compatibilització dels usos agrícoles amb la supervivència de la tortuga mediterrània.</t>
  </si>
  <si>
    <t>E22.18</t>
  </si>
  <si>
    <t>Execució d'altres mesures previstes al pla recuperació de Testudo hermanni.</t>
  </si>
  <si>
    <t>E22.22</t>
  </si>
  <si>
    <t>Mesures de conservació de la vegetació arbustiva i de la bardissa en fons de valls mantenint un mosaic de vegetació.</t>
  </si>
  <si>
    <t>es un criteri en recuperació eeoo</t>
  </si>
  <si>
    <t>HIC</t>
  </si>
  <si>
    <t>E14.04</t>
  </si>
  <si>
    <t>Adaptació i integració de la cartografia dels hàbitats fluvials. Cartografia dels hàbitats fluvials de les Reserves Naturals Fluvials.</t>
  </si>
  <si>
    <t>Volem fer cartografia nova, amb SV estem mirant vies de finançament</t>
  </si>
  <si>
    <t>E12.09</t>
  </si>
  <si>
    <t>Coordinació amb els agents locals per evitar nous usos que puguin afectar les masses d'aigua en àrees amb presencia d'hàbitats o espècies d'interès comunitari.</t>
  </si>
  <si>
    <t>Acord de custòdia ACA Muga i procés participatiu establert a Sant Aniol</t>
  </si>
  <si>
    <t>E12.30</t>
  </si>
  <si>
    <t>Compra de drets d'extracció directa d'aigua a zones humides associades als hàbitats 3140,3150 i 3160.</t>
  </si>
  <si>
    <t>NO tenim capacitat</t>
  </si>
  <si>
    <t>E28.12</t>
  </si>
  <si>
    <t>Actuacions per instal·lar abeuradors i evitar instal·lacions de suport a la ramaderia properes als ecosistemes lèntics (basses permanents, estanys i llacunes) per tal de protegir els hàbitats 3110, 3140, 3150 i 3170 associats a ells.</t>
  </si>
  <si>
    <t>Executada en part+impulsors</t>
  </si>
  <si>
    <t>Col·laboració amb FUndació bionexus</t>
  </si>
  <si>
    <t>Similar a l'acció 356</t>
  </si>
  <si>
    <t>E28.45</t>
  </si>
  <si>
    <t>Millora de la connectivitat entre les localitats amb presència de boscos de ribera així com entre els hàbitats aquàtics i els ecosistemes naturals terrestres adjacents, especialment pels hàbitats d'estanys i basses.</t>
  </si>
  <si>
    <t>Vinculat a la nova cartografia que volem fer i accions de millora dels hàbitats</t>
  </si>
  <si>
    <t>E11.87</t>
  </si>
  <si>
    <t>Actualització de les Reserves Naturals Fluvials.</t>
  </si>
  <si>
    <t>Executada en part+suport</t>
  </si>
  <si>
    <t>S'està fent ara per part d'una empresa contractada per ACA i els estem ajudant</t>
  </si>
  <si>
    <t>E14.26</t>
  </si>
  <si>
    <t>Estudi sobre l’ecologia dels hàbitats dels quals no es té prou informació  i el seu estat de conservació.</t>
  </si>
  <si>
    <t>Quins hàbitats hauriem de revisar? Prioritzar SV i DC</t>
  </si>
  <si>
    <t>E11.55</t>
  </si>
  <si>
    <t>Els instruments de planificació i ordenació dels espais naturals protegits eviten l'aforestació en nuclis rellevants dels matollars i prats d'interès comunitari.</t>
  </si>
  <si>
    <t>Tenim PPAG, no a lugar</t>
  </si>
  <si>
    <t>E11.61</t>
  </si>
  <si>
    <t>Els instruments de planificació i ordenació dels espais naturals protegits no admeten la reforestació o les rompudes d'àrees amb presència rellevant de determinats hàbitats d'interès comunitari</t>
  </si>
  <si>
    <t>E22.02</t>
  </si>
  <si>
    <t>Actuacions de manteniment dels sistemes tradicionals de gestió de les pastures.</t>
  </si>
  <si>
    <t>Ho estem intentant lligar a través dels nous plans de maneig i fomentant la pota petita</t>
  </si>
  <si>
    <t>E13.13</t>
  </si>
  <si>
    <t>Establiment de programes de seguiment dels hàbitats d'interès comunitari.</t>
  </si>
  <si>
    <t>Necessari, en Pau sainz està intentant establir un sistema de seguiment d'espècies i hàbitatscomuns per tots els ENPS ens servirà per definir el programa de seguiment de la biodiversitat de l'ALta Garrotxa</t>
  </si>
  <si>
    <t>E13.34</t>
  </si>
  <si>
    <t>Seguiment del grau de regeneració i fertilitat de les comunitats de 4090, 5130 i 5210 per detectar possibles canvis deguts al canvi climàtic.</t>
  </si>
  <si>
    <t>E14.15</t>
  </si>
  <si>
    <t xml:space="preserve">Estudi de l’efecte de la pastura i els incendis en els matollars d'interès comunitari. </t>
  </si>
  <si>
    <t>Ho podem articular en funció  del programa de cremes prescrites de la FPC, o parlar amb la udg si ho poden integrar</t>
  </si>
  <si>
    <t>E22.09</t>
  </si>
  <si>
    <t>Actuacions dirigides a evitar el trepig excessiu de determinats hàbitats d'interès comunitari de matollars que pugui erosionar el sòl i identificació dels que estiguin sobrepasturats o en risc.</t>
  </si>
  <si>
    <t>EEoo i els plans de maneig van encarats en aquesta linia</t>
  </si>
  <si>
    <t>Similar a l'acció 308</t>
  </si>
  <si>
    <t>E11.33</t>
  </si>
  <si>
    <t>Els instruments de planificació i ordenació dels espais naturals protegits  no admeten les tallades de grans peus o d'extenses masses de boix a l'hàbitat 5110.</t>
  </si>
  <si>
    <t>a revisar que estableix el PPAf</t>
  </si>
  <si>
    <t>E22.06</t>
  </si>
  <si>
    <t>Actuacions de recuperació i/o restauració dels hàbitats 5110 i 5120 mitjançant cremes controlades en aquelles àrees amb abandonament de la ramaderia extensiva.</t>
  </si>
  <si>
    <t>no es preveu ara mateix</t>
  </si>
  <si>
    <t>E22.07</t>
  </si>
  <si>
    <t>Actuacions de restauració de l'hàbitat si en un període de 5 anys després d'un incendi, l'hàbitat encara té menys del 30% de cobertura.</t>
  </si>
  <si>
    <t>No aplicable avui dia. Aplicable en cas d'incendi</t>
  </si>
  <si>
    <t>E22.01</t>
  </si>
  <si>
    <t>Actuacions de conservació i recuperació dels murs de pedra seca.</t>
  </si>
  <si>
    <t xml:space="preserve">Es vol recuperar a l'AG a través de la taula de voluntariat tvapo i s'estan engegant projecte, com un poctefa que podria anar per aqeusta banda. Es vol replicar un estudi a AG sobre el valor de la pedra seca com a refugi climàtic </t>
  </si>
  <si>
    <t>E14.05</t>
  </si>
  <si>
    <t>Avaluació de l'afectació de les furgades dels porcs senglars en relació amb la fertilitat del sòl i la composició florística.</t>
  </si>
  <si>
    <t xml:space="preserve">Es manté un tancat a la mare de deu del mont i al Beç per evitar les afectacions de la fauna salvatge a espècies de flora amenaçada </t>
  </si>
  <si>
    <t>E24.02</t>
  </si>
  <si>
    <t>Actuacions de restauració dels indrets més degradats dels hàbitats o les àrees amb presència d'espècies d'interès comunitari en zones de prats i pastures en base a una identificació i valoració de l'estat de conservació.</t>
  </si>
  <si>
    <t>Similar a l'acció 348</t>
  </si>
  <si>
    <t>E24.12</t>
  </si>
  <si>
    <t>Limitació de la implantació o la ressembra amb noves espècies herbàcies productives pel bestiar als prats de muntanya.</t>
  </si>
  <si>
    <t>S'ha intentat la ressembra però no ens hem ensortit. poques entitats, empreses amb expertesa en l'àmbit</t>
  </si>
  <si>
    <t>E24.18</t>
  </si>
  <si>
    <t>Recuperació de la qualitat de les pastures d'interès comunitari  i les espècies associades (10% de la superfície total de 6170, 6210 i 6230).</t>
  </si>
  <si>
    <t>E24.03</t>
  </si>
  <si>
    <t>Actuacions dirigides a evitar el trepig excessiu de determinats hàbitats d'interès comunitari de prats o pastures que pugui erosionar el sòl i identificació dels que estiguin sobrepasturats o en risc</t>
  </si>
  <si>
    <t xml:space="preserve"> 2025 estudi de la qualitat ecològica dels pratsi seguiment anys posteriors. EEoo i els plans de maneig van encarats en aquesta linia. Es vol posar en marxa el seguiment esmentat</t>
  </si>
  <si>
    <t>Similar a l'acció 299</t>
  </si>
  <si>
    <t>E11.27</t>
  </si>
  <si>
    <t>Els instruments de planificació i ordenació de l'espai han d'evitar la substitució total o parcial de 6420 per basses i abeuradors per bestiar.</t>
  </si>
  <si>
    <t>E11.84</t>
  </si>
  <si>
    <t>Regulació de pràctiques de gestió de pastures (cremes controlades i ramaderia intensiva) que poden comportar una simplificació de l'ecosistema o la desaparició dels hàbitats 4060 i 6420.</t>
  </si>
  <si>
    <t>A l'espai no es permet intensiva</t>
  </si>
  <si>
    <t>E14.27</t>
  </si>
  <si>
    <t>Estudi sobre l'interès relatiu per a la biodiversitat de les representacions locals dels prats d'interès comunitari, en particular 6420, amb l'objectiu de prioritzar la gestió dels indrets més rellevants.</t>
  </si>
  <si>
    <t>Valorar si el ponderful treballa amb aquests hàbitats</t>
  </si>
  <si>
    <t>E24.04</t>
  </si>
  <si>
    <t>Actuacions pel manteniment de la dinàmica hidrològica pròpia de l'hàbitat 6420, evitant drenatges o inundacions permanents.</t>
  </si>
  <si>
    <t>valorar si el ponderful treballa amb aquests hàbitats</t>
  </si>
  <si>
    <t>E11.31</t>
  </si>
  <si>
    <t>Els instruments de planificació i ordenació dels espais naturals protegits  no admeten la realització de canvis en la morfologia de les lleres on l'hàbitat 6430 és present.</t>
  </si>
  <si>
    <t>En fa referència el PPAG a través dels annexos? reivsar si es un hàbitata cartografiat, si és el cas el tenim present en les planificacions</t>
  </si>
  <si>
    <t>E11.32</t>
  </si>
  <si>
    <t>Els instruments de planificació i ordenació dels espais naturals protegits  no admeten la roturació de marges de bosc per augmentar pastures i conreus on hi hagi enclavaments rellevants de 6430.</t>
  </si>
  <si>
    <t>En fa referència el PPAG a través dels annexos?</t>
  </si>
  <si>
    <t>E24.08</t>
  </si>
  <si>
    <t>Elaboració i execució de  plans de control d'espècies exòtiques i prevenció del seu ús en activitats productives.</t>
  </si>
  <si>
    <t>Similar a l'acció 326</t>
  </si>
  <si>
    <t>E24.13</t>
  </si>
  <si>
    <t>Manteniment en superfície i en qualitat dels prats de dall.</t>
  </si>
  <si>
    <t xml:space="preserve">A l'AG hi ha molt pocs, valorar si cal prioritzar. </t>
  </si>
  <si>
    <t>E24.17</t>
  </si>
  <si>
    <t>Realització de campanyes per fomentar la fertilització orgànica.</t>
  </si>
  <si>
    <t>NO es molt habitual a l'AG, no prioritari</t>
  </si>
  <si>
    <t>E24.19</t>
  </si>
  <si>
    <t>Recuperació de prats de dall (5% de la superfície actual).</t>
  </si>
  <si>
    <t>es pot fer un estudi per al foment de la recuperació de prats de fall. Parlar amb Ona alay sobre la idoneïtat</t>
  </si>
  <si>
    <t>Similar a l'acció 242</t>
  </si>
  <si>
    <t>E13.26</t>
  </si>
  <si>
    <t>Seguiment dels nivells d'erosió d'hàbitats d'interès comunitari a causa de la freqüentació humana.</t>
  </si>
  <si>
    <t>Es detecta en funció incidències i es van executant mesures (ex. COmanegra). Actualment es vol fer un estudi alternatives per l'entonr del Gorg Blau que també té aquests problemes</t>
  </si>
  <si>
    <t>E14.47</t>
  </si>
  <si>
    <t>Inventaris i cartografia fina dels hàbitats 81XX i impulsar estudis sobre la dinàmica geomorfològica i morfodinàmica de les roques.</t>
  </si>
  <si>
    <t>Veure estratègia geoconsevació</t>
  </si>
  <si>
    <t>E27.03</t>
  </si>
  <si>
    <t>Actuacions de restauració dels indrets més degradats dels hàbitats o les àrees amb presència d'espècies d'interès comunitari en zones de roquissars, dunes o àrees de vegetació esparsa en base a una identificació i valoració de l'estat de conservació.</t>
  </si>
  <si>
    <t>E11.37</t>
  </si>
  <si>
    <t>Els instruments de planificació i ordenació dels espais naturals protegits  regulen l’extracció de pedra en zones rellevants dels hàbitats 1240, 8210 i 8220 amb presència d’espècies amenaçades.</t>
  </si>
  <si>
    <t>E11.49</t>
  </si>
  <si>
    <t>Els instruments de planificació i ordenació dels espais naturals protegits regulen les tallades forestals en zones ombrívoles dins de boscos amb presència dels hàbitats 8210 i 8220.</t>
  </si>
  <si>
    <t>E11.82</t>
  </si>
  <si>
    <t>Regulació de la recol·lecció de plantes emprades en medicina popular presents en 8210 i 8220.</t>
  </si>
  <si>
    <t>E13.31</t>
  </si>
  <si>
    <t>Vigilància i regulació estricta de la herborització d'afeccionats i/o professionals.</t>
  </si>
  <si>
    <t>E11.81</t>
  </si>
  <si>
    <t>Elaboració i execució de plans globals de control d'altres espècies exòtiques i prevenció del seu ús en activitats productives.</t>
  </si>
  <si>
    <t>Valorar si cal fer un nou pla de control d'invasores</t>
  </si>
  <si>
    <t>Similar a l'acció 315</t>
  </si>
  <si>
    <t>E11.34</t>
  </si>
  <si>
    <t>Els instruments de planificació i ordenació dels espais naturals protegits  regulen aquelles activitats que puguin generar una alteració del sistema exo-endocàrstic (extracció o alteració del curs d'aigua subterrània, etc.).</t>
  </si>
  <si>
    <t>E11.80</t>
  </si>
  <si>
    <t>Redacció d'un pla d'accés públic a les coves d'alt valor natural i geològic.</t>
  </si>
  <si>
    <t>EL PPAG estableix limitacions i necessitat de comunicació prèvia per espeleologia. No existeix com a tal un pla</t>
  </si>
  <si>
    <t>E14.51</t>
  </si>
  <si>
    <t>Realització d'un inventari  i catàleg de coves que diagnostiqui i analitzi el seu estat de conservació.</t>
  </si>
  <si>
    <t>E15.03</t>
  </si>
  <si>
    <t>Campanya de sensibilització per a evitar que els espeleòlegs deixin els seus residus a les coves.</t>
  </si>
  <si>
    <t>No es un problema habitual, no prioritari</t>
  </si>
  <si>
    <t>E29.03</t>
  </si>
  <si>
    <t>Actuacions de restauració de les coves degradades.</t>
  </si>
  <si>
    <t xml:space="preserve">caldria identificar-les. </t>
  </si>
  <si>
    <t>E11.42</t>
  </si>
  <si>
    <t>Els instruments de planificació i ordenació dels espais naturals protegits regulen l'activitat forestal en aquelles àrees forestals que presentin unes condicions hídriques més estressants pels hàbitats 9120, 9130 i 9150.</t>
  </si>
  <si>
    <t>E11.68</t>
  </si>
  <si>
    <t>Els Plans d’Ordenació Forestal de finques públiques inclouen criteris orientats a la conservació de les millors àrees amb presència d'hàbitats o espècies d'interès comunitari.</t>
  </si>
  <si>
    <t>PPAG</t>
  </si>
  <si>
    <t>Participar en la redacció i execució dels instruments d'ordenació forestal sostenible en finques públiques per la conservació d'elements d'interès</t>
  </si>
  <si>
    <t>E11.71</t>
  </si>
  <si>
    <t>Identificació efectiva dels rodals madurs que tendeixen a evolució natural en tots els Plans d'Ordenació Forestal.</t>
  </si>
  <si>
    <t>Esta identificat, no tinc clar que estigui en els plans ordenació, caldria fer un treball de transferèncai amb generalitat i CPF</t>
  </si>
  <si>
    <t>E11.78</t>
  </si>
  <si>
    <t>Els instruments de planificació forestal han de tenir en compte la realització de les estassades de forma més selectiva per tal d'evitar la tala d'espècies d'interès especial als boscos d'interès comunitari.</t>
  </si>
  <si>
    <t>E26.27</t>
  </si>
  <si>
    <t>Establiment de mesures de gestió per a la conservació en els models de gestió ORGEST. Per exemple, el manteniment d'un mínim de 5 a 10 arbres/ha de més de 40 dn, respecte a Hedera, peus morts, arbres amb cavitats sense tallar, etc.</t>
  </si>
  <si>
    <t>Contrastar amb CPF</t>
  </si>
  <si>
    <t>E26.35</t>
  </si>
  <si>
    <t>Manteniment dels punts d’aigua, basses o entollaments temporals presents com a zones importants per a la flora i fauna aquàtica i terrestre amb una secció sense accés al bestiar.</t>
  </si>
  <si>
    <t>E32.07</t>
  </si>
  <si>
    <t>Compensació per limitacions en la gestió forestal planificada en PTGMF, o que forma part d'algun dret adquirit d'aprofitament forestal, (drets de tala, sistemes d'extracció de fusta més costosos, rodals d'exclusió, etc...) derivades de la presència d'hàbitats o espècies d'interès comunitari.</t>
  </si>
  <si>
    <t>E11.19</t>
  </si>
  <si>
    <t>Els instruments de planificació forestal han d’establir una freqüència de nou anys entre estassades en les rouredes d'interès comunitari (9160,9230,9240).</t>
  </si>
  <si>
    <t>E11.46</t>
  </si>
  <si>
    <t>Els instruments de planificació i ordenació dels espais naturals protegits regulen les espècies forestals introduïdes en las àrees amb presència de l'hàbitat 9160.</t>
  </si>
  <si>
    <t>E26.37</t>
  </si>
  <si>
    <t>Mesures i actuacions d'us de la ramaderia extensiva o d'aclarides selectives per controlar l'excés de sotabosc a pinedes i alzinars.</t>
  </si>
  <si>
    <t>E26.49</t>
  </si>
  <si>
    <t>Actuacions de millora de la maduresa dels boscos dels hàbitats 9160, 9240 i 9540.</t>
  </si>
  <si>
    <t>Valorar si calen de noves</t>
  </si>
  <si>
    <t>E26.44</t>
  </si>
  <si>
    <t>Recuperació de tècniques tradicionals d'aclarida al voltant dels arbres més productius per minimitzar la pertorbació que suposen les estassades generals de l'estrat arbustiu.</t>
  </si>
  <si>
    <t>E11.65</t>
  </si>
  <si>
    <t>Els instruments de planificació i ordenació dels espais naturals protegits prohibeixen les activitats ramaderes en zones afectades per incendis en els seus primers cinc anys de regeneració.</t>
  </si>
  <si>
    <t>Veure articulat del PPAG</t>
  </si>
  <si>
    <t>E26.15</t>
  </si>
  <si>
    <t>Actuacions de prevenció i extinció de grans incendis forestals.</t>
  </si>
  <si>
    <t>ara cal buscar finançament per la seva execució</t>
  </si>
  <si>
    <t>E26.32</t>
  </si>
  <si>
    <t>Incorporació de criteris de conservació de l'hàbitat (p.ex. accions de control biològic) en les accions per la prevenció de les malalties del castanyes (xancre i tinta) o plagues (vespeta del castanyer).</t>
  </si>
  <si>
    <t>es va descartar fa temps, es pot revalorar</t>
  </si>
  <si>
    <t>E11.20</t>
  </si>
  <si>
    <t>Els instruments de planificació forestal han d’establir uns períodes mínims de pelada deixant arbres amb l'escorça (suro) per reduir l'efecte dels incendis.</t>
  </si>
  <si>
    <t>E26.16</t>
  </si>
  <si>
    <t>Actuacions de restauració dels indrets més degradats dels hàbitats o les àrees amb presència d'espècies d'interès comunitari en zones forestals en base a una identificació i valoració de l'estat de conservació.</t>
  </si>
  <si>
    <t>Similar a l'acció 305</t>
  </si>
  <si>
    <t>E26.18</t>
  </si>
  <si>
    <t>Actuacions per augmentar la presència d'espècies arbòries i arbustives productores de fruits susceptibles de ser font d'aliment per a la fauna.</t>
  </si>
  <si>
    <t>E26.36</t>
  </si>
  <si>
    <t>Mesures d'adaptació de boscos de 9340 al canvi climàtic i per a l'increment de la maduresa o l'entrada d'espècies de futur (Phyllirea sp, Pistacia sp....).</t>
  </si>
  <si>
    <t>Estem a l'espera dels resultats de l'estudi del CREAF que vam impulsar i que financia la DG</t>
  </si>
  <si>
    <t>E26.43</t>
  </si>
  <si>
    <t>Realització de tractaments silvícoles en boscos premadurs, tot buscant estructures amb edats irregulars, que garanteixin un equilibri entre les diferents classes d'edat, amb grans diàmetres, amb separació vertical de les copes dels arbres amb els estrats.</t>
  </si>
  <si>
    <t>identificats els rodals a lliure evolució en el sentit que estableix la mesura. el projecte de renaturalització ha d'incloure accions d'aquesta tipologia</t>
  </si>
  <si>
    <t>E24.06</t>
  </si>
  <si>
    <t>Aplicació de mesures físiques per minimitzar el risc d'erosió a les àrees amb presència de l'hàbitat.</t>
  </si>
  <si>
    <t>es preveu una actuació a l'entorn de gorg blau en aquest sentit</t>
  </si>
  <si>
    <t>E11.28</t>
  </si>
  <si>
    <t>Els instruments de planificació i ordenació dels espais natural protegits no admeten l'extracció de pedra tosca en àrees amb presència de d'hàbitats d'interès comunitari.</t>
  </si>
  <si>
    <t>E12.04</t>
  </si>
  <si>
    <t>Compra de drets d'extracció de pedra tosca.</t>
  </si>
  <si>
    <t>No aplica, el ppag no deixa</t>
  </si>
  <si>
    <t>E14.09</t>
  </si>
  <si>
    <t>Cartografia de detall de les torberes i comunitats fontinals dins espai de la xarxa Natura 2000 (7110,7140,7220, 7230, 7240).</t>
  </si>
  <si>
    <t>Contrastar amb l'estudi detallat dels barrancs</t>
  </si>
  <si>
    <t>E23.03</t>
  </si>
  <si>
    <t>Construcció d’abeuradors propers per evitar la pressió sobre la torbera en cas de falta d’aigua a la zona.</t>
  </si>
  <si>
    <t>Similar a l'acció 289</t>
  </si>
  <si>
    <t>E23.06</t>
  </si>
  <si>
    <t>Incorporació de mesures en les pràctiques agrícoles per tal de fer compatibles la producció agrícola i la conservació de les mulleres.</t>
  </si>
  <si>
    <t>La fundació bionexus i el CAG estan col·laborant en aquest àmbit. Primera acció a Palomeres.</t>
  </si>
  <si>
    <t>E11.25</t>
  </si>
  <si>
    <t>Els instruments de planificació forestal han d'evitar treballs d’hidroenginyeria adjacents a cursos d’aigua (en particular construcció d’esculleres i moviments de terres) en zones amb presència de 9180.</t>
  </si>
  <si>
    <t>No es de gaire aplicació a AG per la tipologia de l'espai.</t>
  </si>
  <si>
    <t>E11.59</t>
  </si>
  <si>
    <t>Els instruments de planificació i ordenació dels espais naturals protegits no admeten la gestió forestal amb finalitat de producció fustanera en les zones amb presència de l'hàbitat 9180.</t>
  </si>
  <si>
    <t>Contrastar PPAG</t>
  </si>
  <si>
    <t>E26.25</t>
  </si>
  <si>
    <t>Delimitació de zones de protecció al voltant de les àrees forestals més ben conservades de determinats hàbitats d'interès comunitari per l'esmorteïment de possibles impactes.</t>
  </si>
  <si>
    <t>E14.48</t>
  </si>
  <si>
    <t>Millora de la cartografia a petita escala de les àrees de presència d'hàbitats d'interès comunitari.</t>
  </si>
  <si>
    <t>E28.35</t>
  </si>
  <si>
    <t>Projectes de reforestació per a l'augment d'un 15% de l'àrea de distribució dels hàbitats 92A0, 92D0 i 91E0.</t>
  </si>
  <si>
    <t>no crec que sigui aplicació a l'AG</t>
  </si>
  <si>
    <t>E28.37</t>
  </si>
  <si>
    <t>Realització de les estassades de forma més selectives per tal d'evitar la tala d'espècies d'interès especial.</t>
  </si>
  <si>
    <t>Competència del CPF?</t>
  </si>
  <si>
    <t>E26.06</t>
  </si>
  <si>
    <t>Actuacions de gestió forestal específica per conservació dels rodals de 9580 dins la massa mitjançant tallades selectives.</t>
  </si>
  <si>
    <t>COmpetència del CPF?</t>
  </si>
  <si>
    <t xml:space="preserve">Plecs </t>
  </si>
  <si>
    <t>Garantir la bona acollida als visitants dels centres d’informació de l’espai natural corresponent, divulgar de manera activa els valors naturals i culturals de l’espai i les bones pràctiques a seguir en la visita d’aquests espais i atendre les sol·licituds d’informació que es rebin al centre.</t>
  </si>
  <si>
    <t>Acollir els visitants del centre d’informació i informar-los, tenint en compte tant les alertes oficials de Protecció Civil (NEUCAT, INFOCAT, etc.) i avisos del Pla Alfa com informació periòdica que faciliti la persona responsable de l’espai natural als centres de visitants (estat de les pistes forestals, avisos de batudes, activitats organitzades...).</t>
  </si>
  <si>
    <t>Divulgar activament els valors naturals i culturals de l’espai per tal de donar-los a conèixer la necessitat de protegir, regular l’accés i fer-ne un ús responsable seguint les bones pràctiques recomanades per la persona responsable. Aprofitar els recursos expositius i informatius de què disposi l’espai per sensibilitzar als visitants sobre els valors de l’espai.</t>
  </si>
  <si>
    <t xml:space="preserve">Atendre les consultes d’informació telefòniques i les que arriben per correu electrònic. </t>
  </si>
  <si>
    <t>Recollir les dades dels visitants a través de l’aplicatiu que estableixi el responsable de l’espai natural (a través d’un suport electrònic tipus tauleta tàctil o ordinador amb connexió a internet).</t>
  </si>
  <si>
    <t>Similar a l'acció 369</t>
  </si>
  <si>
    <t>Dissenyar i realitzar enquestes adreçades als visitants de l’espai natural.</t>
  </si>
  <si>
    <t>Similar a l'acció 368</t>
  </si>
  <si>
    <t>Lliurar als visitants, segons necessitats, el material informatiu gratuït.</t>
  </si>
  <si>
    <t>Gestionar sol·licituds i reserves prèvies rebudes a través de la web de l’espai, vinculades a l’ús públic.</t>
  </si>
  <si>
    <t>Realitzar tasques de cobrament del preu públic de material informatiu, publicacions, de merchandising o el cobrament del cost d’un servei vinculat a la gestió de l’ús públic.</t>
  </si>
  <si>
    <t>Recollir els suggeriments i les reclamacions dels usuaris.</t>
  </si>
  <si>
    <t>Mantenir els centres d'informació en les condicions acordades amb el responsable de l’espai natural i informar de qualsevol anomalia o incidència, dins o fora dels equipaments.</t>
  </si>
  <si>
    <t>Dur a terme altres tasques vinculades al servei d’informació</t>
  </si>
  <si>
    <t>Elaborar materials informatius en format digital</t>
  </si>
  <si>
    <t>Elaborar el calendari d’activitats del centre d’informació.</t>
  </si>
  <si>
    <t>Difondre electrònicament, a través de la base de dades de contactes de l’espai natural i altres recursos de què disposi l’espai, com ara butlletí digital, web..., les activitats del centre.</t>
  </si>
  <si>
    <t>Similar a les accions 22 i 67</t>
  </si>
  <si>
    <t>Revisar periòdicament la pàgina web de l’espai natural i redactar i publicar nous continguts per actualitzar-la i millorar-la.</t>
  </si>
  <si>
    <t>Fer, periòdicament, recerques per wikiloc per identificar els itineraris més freqüentats i aquells que poden comportar un impacte en l’espai i comunicar-los al responsable de l’espai.</t>
  </si>
  <si>
    <t>Servei d’informació en punts o àrees d’informació</t>
  </si>
  <si>
    <t>Garantir la bona acollida i una informació activa als visitants de l’espai natural, fent èmfasi en la importància dels valors naturals i culturals de l’espai i les restriccions associades a l’espai per a una bona conservació.</t>
  </si>
  <si>
    <t>Informar sobre les bones pràctiques recomanades per la persona responsable de l’espai natural per tal de garantir una visita responsable amb el mínim impacte possible.</t>
  </si>
  <si>
    <t>Similar a les accions 126 i 159</t>
  </si>
  <si>
    <t>Quan el protocol ho estableixi, contactar amb cossos d’emergències a través del 112</t>
  </si>
  <si>
    <t>Comunicar les incidències que es detectin en els equipaments informatius (cartelleres, senyalitzacions...) i de regulació de l’ús públic</t>
  </si>
  <si>
    <t>Serveis d'educació ambiental</t>
  </si>
  <si>
    <t>Executar les activitats d’educació ambiental d’acord amb l’oferta pedagògica de l’espai natural corresponent</t>
  </si>
  <si>
    <t>Dissenyar i millorar les activitats d’educació ambiental de l’oferta pedagògica de l’espai natural adreçades a la diversitat de col·lectius previstos en el Pla estratègic de l’espai natural (centres educatius, població local, visitants...), avaluar-les i incorporar-hi les millores acordades</t>
  </si>
  <si>
    <t>Suport i dinamització a la Xarxa d’escoles de l’espai natural</t>
  </si>
  <si>
    <t>Millorar el coneixement de l’espai natural per part de l’alumnat i el professorat d’aquests centres.</t>
  </si>
  <si>
    <t>Similar a l'acció 390</t>
  </si>
  <si>
    <t>Afavorir la creació d’un vincle i sentiment de pertinença amb l’espai natural i la implicació dels centres en la seva conservació.</t>
  </si>
  <si>
    <t>Complementàriament estem intentant impulsar un POCTEFA en questa linia, patrimoni cultural i sentiment de pertinença que precisament ens permeti executar part de les accions de patrimoni cultural.</t>
  </si>
  <si>
    <t>Facilitar espais de trobada entre els centres educatius i la persona responsable de l’espai per a la creació de projectes compartits.</t>
  </si>
  <si>
    <t>Similar a l'acció 391</t>
  </si>
  <si>
    <t>Organitzar les reunions del grup de treball</t>
  </si>
  <si>
    <t>Dissenyar i organitzar formacions adreçades al professorat del centres educatius de la Xarxa</t>
  </si>
  <si>
    <t>Similar a l'acció 386</t>
  </si>
  <si>
    <t>Dissenyar i desenvolupar projectes compartits entre els centres educatius de la Xarxa i l’espai natural</t>
  </si>
  <si>
    <t>Similar a l'acció 388</t>
  </si>
  <si>
    <t>Organitzar trobades d’intercanvi d’experiències</t>
  </si>
  <si>
    <t>Avaluar el funcionament de la Xarxa</t>
  </si>
  <si>
    <t>Promoció del voluntariat</t>
  </si>
  <si>
    <t>Participar activament en les 3 reunions plenàries de la Taula.</t>
  </si>
  <si>
    <t>Promoure l’adhesió a la Taula de les entitats del territori, contactant amb les entitats de voluntariat del territori que encara no hi participin, explicar-los els objectius de la taula i motivar-los perquè s’hi incorporin.</t>
  </si>
  <si>
    <t>Difondre la Taula i les seves accions a través de la cartellera i mitjans digitals de l’espai (butlletí, web...), i contactant amb agents del territori que puguin col·laborar en aquesta difusió a través dels seus propis mitjans.</t>
  </si>
  <si>
    <t>Presentar propostes a incorporar al pla d’acció anual de la Taula.</t>
  </si>
  <si>
    <t>Participar en l’organització de les accions transversals que s’acordin en el marc de la Taula com, per exemple, una acció conjunta en el marc del Dia internacional del Voluntariat.</t>
  </si>
  <si>
    <t>Contactar i coordinar-se amb les entitats de la Taula per a l’organització d’accions de voluntariat a l’espai natural: organitzant, si cal, reunions per acordar l’acció voluntària amb els tècnics de l’espai natural, valorant amb el responsable de l’espai, en cas necessari, la cessió de material o altres recursos dels quals disposi l’espai natural, difonent l’acció de voluntariat a través dels mitjans de què disposa l’espai.</t>
  </si>
  <si>
    <t>Participar en la redacció de la memòria anual de les Taules de Voluntariat Ambiental i en la revisió final de la proposta de memòria.</t>
  </si>
  <si>
    <t>Participar en l’avaluació de la Taula i aportar propostes de millora.</t>
  </si>
  <si>
    <t>PIE de Prevenció d’Incendis Forestals de l’ENP de l’Alta Garrotxa</t>
  </si>
  <si>
    <t>Establir infraestructures estratègiques i zones de foment de la gestió mitjançant actuacions de silvicultura preventiva</t>
  </si>
  <si>
    <t>Construcció i manteniment de vials forestals per a la prevenció d'incendis</t>
  </si>
  <si>
    <t>Actuacions en punts crítics associats a la xarxa viària per a la prevenció d'incendis</t>
  </si>
  <si>
    <t>Construcció i manteniment de punts d'aigua de la xarxa bàsica per a la prevenció d'incendis</t>
  </si>
  <si>
    <t>Similar a l'acció 405</t>
  </si>
  <si>
    <t>Protecció, adequació i senyalització de punts d'aigua de la xarxa bàsica per a l'extinció d'incendis</t>
  </si>
  <si>
    <t>Similar a l'acció 404</t>
  </si>
  <si>
    <t>Actuacions sobre la vegetació per a l'obertura de franges auxiliars de trànsit (FAT) i tractament de restes vegetals</t>
  </si>
  <si>
    <t>Similar a l'acció 407</t>
  </si>
  <si>
    <t>Actuacions sobre la vegetació per a la creació d'àrees estratègiques de baixa càrrega de combustible per a la prevenció d'incendis</t>
  </si>
  <si>
    <t>Similar a l'acció 406</t>
  </si>
  <si>
    <t>Implementació d'intraestructures o serveis per als ramats de manteniment de les àrees estratègiques</t>
  </si>
  <si>
    <t>Similar a l'acció 409</t>
  </si>
  <si>
    <t>Manteniment d'àrees estratègiques de baixa càrrega de combustible per a la prevenció d'incendis mitjançant pasturatge amb ramaderia extenisva</t>
  </si>
  <si>
    <t>Similar a l'acció 408</t>
  </si>
  <si>
    <t>Actuacions sobre la vegetació per l'obertura d'àrees de seguretat amb eliminació de restes in situ</t>
  </si>
  <si>
    <t>Similar a les accions 411 i 412</t>
  </si>
  <si>
    <t>Actuacions sobre la vegetació a l'entorn dels punts d'aigua d'extinció d'incendis</t>
  </si>
  <si>
    <t>Similar a les accions 410 i 412</t>
  </si>
  <si>
    <t>Actuacions sobre la vegetació en Zones de Foment de la Gestió (ZFG)</t>
  </si>
  <si>
    <t>Similar a les accions 410 i 411</t>
  </si>
  <si>
    <t>Convenis</t>
  </si>
  <si>
    <t>Conveni adhesió Agrupació Europea de Cooperació Territorial (AECT) "Pais d'Art i Història transfronterer, les valls catalanes dels Pirineus" (PAHT)</t>
  </si>
  <si>
    <t>Conveni Grup Operatiu _ XARXA RELLEU AGRARI</t>
  </si>
  <si>
    <t>Conveni_Taula Treball Transfronterera Els Pirineus de l'Alta Garrotxa-Salines-Vallespir</t>
  </si>
  <si>
    <t>Conveni amb la Universitat de Lleida en el marc del Master de Gestió d'Àrees de Muntanya (curs 2018-2019)</t>
  </si>
  <si>
    <t>Descripció</t>
  </si>
  <si>
    <t>CONVENI ENTRE EL CONSORCI PER A LA PROTECCIÓ I LA GESTIÓ DE L’EIN DE L’ALTA GARROTXA I ELS AMICS DE SANT ANIOL D’AGUJA PER A LA REHABILITACIÓ I CESSIÓ D’ÚS DE LA RECTORIA DE SANT ANIOL D’AGUJA</t>
  </si>
  <si>
    <t>Conveni col.laboració entre el CAG i CCG pel manteniment de camins i senders de l'Alta Garrotxa</t>
  </si>
  <si>
    <t>Conveni de col·laboració entre el Consell Comarcal de la Garrotxa, el Consorci d’Acció Social (CASG) i el Consorci SIGMA per la compra conjunta de subministraments i serveis estructurals i/o comuns (compres agregades)</t>
  </si>
  <si>
    <t>Conveni de col·laboració entre el Consorci de l’Alta garrotxa i el Centre per la Sostenibilitat Territorial de Catalunya per al desenvolupament de l’Estratègia per a la conservació de la geodiversitat de l’ENP de l’Alta Garrotxa</t>
  </si>
  <si>
    <r>
      <t>Conveni de col</t>
    </r>
    <r>
      <rPr>
        <sz val="11"/>
        <rFont val="Arial"/>
        <family val="2"/>
      </rPr>
      <t>ꞏ</t>
    </r>
    <r>
      <rPr>
        <sz val="11"/>
        <rFont val="Calibri"/>
        <family val="2"/>
      </rPr>
      <t>laboració entre el consorci de l’alta garrotxa i la fundació bionexus per al desenvolupament d’accions de conservació de la biodiversitat a l’espai natural protegit de l’alta garrotxa</t>
    </r>
  </si>
  <si>
    <t>Conveni cooperació interadministrativa entre el CAG-SIGMA-CCG</t>
  </si>
  <si>
    <t>Conveni amb la Diputació de Girona per adequació Rectoria Sadernes Espais 4 i 5</t>
  </si>
  <si>
    <t>CONVENI ENTRE EL CONSORCI DE L’ALTA GARROTXA I ELS AMICS DE SANT ANIOL D’AGUJA PER A LA REHABILITACIÓ DE LA RECTORIA DE SANT ANIOL I ELS SEUS ANNEXOS, AIXÍ COM ALTRES OBRES COMPLEMENTÀRIES PER POSAR EN MARXA EL REFUGI I ORDENAR L’ÚS PÚBLIC DEL SECTOR</t>
  </si>
  <si>
    <t>Seguiment amfibis (estudi previ)</t>
  </si>
  <si>
    <t>Seguiment de l'estat ecològic de prats</t>
  </si>
  <si>
    <t>Conveni de col·laboració entre el Consorci de l’Alta garrotxa i el Centre per la Sostenibilitat Territorial de Catalunya per al desenvolupament de l’Estratègia per a laconservació de la geodiversitat de l’ENP de l’Alta Garrotxa</t>
  </si>
  <si>
    <t>Voluntariat pedra seca</t>
  </si>
  <si>
    <t>Tramitació urbanística Albanyà</t>
  </si>
  <si>
    <t>Projecte camins accessibles per la cadira Joelette</t>
  </si>
  <si>
    <t>Projecte adequació entorn Sadernes</t>
  </si>
  <si>
    <t>EXECUTADA</t>
  </si>
  <si>
    <t>COMENTARIS AG</t>
  </si>
  <si>
    <t>si</t>
  </si>
  <si>
    <t>en curs</t>
  </si>
  <si>
    <t>no</t>
  </si>
  <si>
    <t>no, pendent estudi hidrogeològic ICGC (nosaltres fem de precursors)</t>
  </si>
  <si>
    <t>Elaboració de fitxes dels punts i les zones de l’inventari. Planificació de les accions de conservació dels elements d’interès geològic</t>
  </si>
  <si>
    <t>Actuacions de l’inventari</t>
  </si>
  <si>
    <t>en curs, és manteniment</t>
  </si>
  <si>
    <t>en curs, creació de material específic</t>
  </si>
  <si>
    <t>en curs, es descarten itineraris però s'estan creant materials espec´fics per temàtiques</t>
  </si>
  <si>
    <t>Redacció de les fitxes dels espais proposats</t>
  </si>
  <si>
    <t>Participació activa en les reunions.</t>
  </si>
  <si>
    <t>Reunió taller un cop l’any per fer el seguiment i avaluar l’estratègia</t>
  </si>
  <si>
    <r>
      <rPr>
        <sz val="11"/>
        <color rgb="FF000000"/>
        <rFont val="Calibri"/>
        <family val="2"/>
        <scheme val="minor"/>
      </rPr>
      <t>2022, 2023, 2024</t>
    </r>
    <r>
      <rPr>
        <sz val="11"/>
        <color rgb="FFFF0000"/>
        <rFont val="Calibri"/>
        <family val="2"/>
        <scheme val="minor"/>
      </rPr>
      <t>-2028</t>
    </r>
  </si>
  <si>
    <t>2022, en curs</t>
  </si>
  <si>
    <t>2023, 2024, en curs</t>
  </si>
  <si>
    <t>Seguiment de poblacions de preses a Comanegra</t>
  </si>
  <si>
    <r>
      <rPr>
        <sz val="11"/>
        <color rgb="FF000000"/>
        <rFont val="Calibri"/>
        <family val="2"/>
        <scheme val="minor"/>
      </rPr>
      <t>2022, 2023, e</t>
    </r>
    <r>
      <rPr>
        <sz val="11"/>
        <color rgb="FFFF0000"/>
        <rFont val="Calibri"/>
        <family val="2"/>
        <scheme val="minor"/>
      </rPr>
      <t>n curs</t>
    </r>
  </si>
  <si>
    <t>Altres seguiments d'avifauna</t>
  </si>
  <si>
    <t xml:space="preserve">2022, en curs </t>
  </si>
  <si>
    <t>2023, en curs</t>
  </si>
  <si>
    <t>2022, 2023, 2024, en curs</t>
  </si>
  <si>
    <r>
      <rPr>
        <sz val="11"/>
        <color rgb="FF000000"/>
        <rFont val="Calibri"/>
        <family val="2"/>
        <scheme val="minor"/>
      </rPr>
      <t xml:space="preserve">2022, 2023, </t>
    </r>
    <r>
      <rPr>
        <sz val="11"/>
        <color rgb="FFFF0000"/>
        <rFont val="Calibri"/>
        <family val="2"/>
        <scheme val="minor"/>
      </rPr>
      <t>2025</t>
    </r>
  </si>
  <si>
    <r>
      <rPr>
        <sz val="11"/>
        <color rgb="FF000000"/>
        <rFont val="Calibri"/>
        <family val="2"/>
        <scheme val="minor"/>
      </rPr>
      <t xml:space="preserve">2023, </t>
    </r>
    <r>
      <rPr>
        <sz val="11"/>
        <color rgb="FFFF0000"/>
        <rFont val="Calibri"/>
        <family val="2"/>
        <scheme val="minor"/>
      </rPr>
      <t>en curs</t>
    </r>
  </si>
  <si>
    <t xml:space="preserve">Recuperació d'hàbitsts d'espais oberts </t>
  </si>
  <si>
    <t>EN PROCÉS 2024 i 2025</t>
  </si>
  <si>
    <r>
      <rPr>
        <sz val="11"/>
        <color rgb="FF000000"/>
        <rFont val="Calibri"/>
        <family val="2"/>
        <scheme val="minor"/>
      </rPr>
      <t xml:space="preserve">EN PROCÉS 2024 </t>
    </r>
    <r>
      <rPr>
        <sz val="11"/>
        <color rgb="FFFF0000"/>
        <rFont val="Calibri"/>
        <family val="2"/>
        <scheme val="minor"/>
      </rPr>
      <t>2025-2028</t>
    </r>
  </si>
  <si>
    <t>EN PROCÉS 2024 i 2025 i futur</t>
  </si>
  <si>
    <r>
      <rPr>
        <sz val="11"/>
        <color rgb="FF000000"/>
        <rFont val="Calibri"/>
        <family val="2"/>
        <scheme val="minor"/>
      </rPr>
      <t xml:space="preserve">EN PROCÉS 2024 </t>
    </r>
    <r>
      <rPr>
        <sz val="11"/>
        <color rgb="FFFF0000"/>
        <rFont val="Calibri"/>
        <family val="2"/>
        <scheme val="minor"/>
      </rPr>
      <t>en curs indefinidament</t>
    </r>
  </si>
  <si>
    <t>Recuperació de pastures</t>
  </si>
  <si>
    <r>
      <rPr>
        <sz val="11"/>
        <color rgb="FF000000"/>
        <rFont val="Calibri"/>
        <family val="2"/>
        <scheme val="minor"/>
      </rPr>
      <t>EN PROCÉS 2024</t>
    </r>
    <r>
      <rPr>
        <sz val="11"/>
        <color rgb="FFFF0000"/>
        <rFont val="Calibri"/>
        <family val="2"/>
        <scheme val="minor"/>
      </rPr>
      <t>en curs indefinidament</t>
    </r>
  </si>
  <si>
    <r>
      <rPr>
        <sz val="11"/>
        <color rgb="FF000000"/>
        <rFont val="Calibri"/>
        <family val="2"/>
        <scheme val="minor"/>
      </rPr>
      <t>EN PROCÉS 2024-</t>
    </r>
    <r>
      <rPr>
        <sz val="11"/>
        <color rgb="FFFF0000"/>
        <rFont val="Calibri"/>
        <family val="2"/>
        <scheme val="minor"/>
      </rPr>
      <t>en curs indefinidament</t>
    </r>
  </si>
  <si>
    <r>
      <rPr>
        <sz val="11"/>
        <color rgb="FF000000"/>
        <rFont val="Calibri"/>
        <family val="2"/>
        <scheme val="minor"/>
      </rPr>
      <t xml:space="preserve">EN PROCÉS 2024- </t>
    </r>
    <r>
      <rPr>
        <sz val="11"/>
        <color rgb="FFFF0000"/>
        <rFont val="Calibri"/>
        <family val="2"/>
        <scheme val="minor"/>
      </rPr>
      <t>en curs indefinidament</t>
    </r>
  </si>
  <si>
    <t>Taula de foc i elaboració dels projectes executius dels punts estratègics de gestió per incendis</t>
  </si>
  <si>
    <r>
      <rPr>
        <sz val="11"/>
        <color rgb="FF000000"/>
        <rFont val="Calibri"/>
        <family val="2"/>
        <scheme val="minor"/>
      </rPr>
      <t>EN PROCÉS 2024_</t>
    </r>
    <r>
      <rPr>
        <sz val="11"/>
        <color rgb="FFFF0000"/>
        <rFont val="Calibri"/>
        <family val="2"/>
        <scheme val="minor"/>
      </rPr>
      <t>en curs indefinidament</t>
    </r>
  </si>
  <si>
    <t>EN PROCÉS 2024</t>
  </si>
  <si>
    <r>
      <rPr>
        <sz val="11"/>
        <color rgb="FF000000"/>
        <rFont val="Calibri"/>
        <family val="2"/>
        <scheme val="minor"/>
      </rPr>
      <t>EN PROCÉS 2024</t>
    </r>
    <r>
      <rPr>
        <sz val="11"/>
        <color rgb="FFFF0000"/>
        <rFont val="Calibri"/>
        <family val="2"/>
        <scheme val="minor"/>
      </rPr>
      <t>_en curs indefinidament</t>
    </r>
  </si>
  <si>
    <t>La Garrotxa Soft &amp; Smart County. Destinació turístia sostenible i intel·ligent</t>
  </si>
  <si>
    <r>
      <rPr>
        <sz val="11"/>
        <color rgb="FF000000"/>
        <rFont val="Calibri"/>
        <family val="2"/>
        <scheme val="minor"/>
      </rPr>
      <t xml:space="preserve">EN PROCÉS 2024 </t>
    </r>
    <r>
      <rPr>
        <sz val="11"/>
        <color rgb="FFFF0000"/>
        <rFont val="Calibri"/>
        <family val="2"/>
        <scheme val="minor"/>
      </rPr>
      <t>fins finals de 2027</t>
    </r>
  </si>
  <si>
    <r>
      <rPr>
        <sz val="11"/>
        <color rgb="FF000000"/>
        <rFont val="Calibri"/>
        <family val="2"/>
        <scheme val="minor"/>
      </rPr>
      <t>EN PROCÉS 2024_</t>
    </r>
    <r>
      <rPr>
        <sz val="11"/>
        <color rgb="FFFF0000"/>
        <rFont val="Calibri"/>
        <family val="2"/>
        <scheme val="minor"/>
      </rPr>
      <t>en desenvolupament i millora segons els PLecs</t>
    </r>
  </si>
  <si>
    <r>
      <rPr>
        <sz val="11"/>
        <color rgb="FF000000"/>
        <rFont val="Calibri"/>
        <family val="2"/>
        <scheme val="minor"/>
      </rPr>
      <t>EN PROCÉS 2024_</t>
    </r>
    <r>
      <rPr>
        <sz val="11"/>
        <color rgb="FFFF0000"/>
        <rFont val="Calibri"/>
        <family val="2"/>
        <scheme val="minor"/>
      </rPr>
      <t>2025 especialment i indefinidament millores</t>
    </r>
  </si>
  <si>
    <t>fet</t>
  </si>
  <si>
    <t>2025 i indefinidamnet</t>
  </si>
  <si>
    <t>s'estan buscant fórmules amb la FPC, DG i LIfeECO ADAPT</t>
  </si>
  <si>
    <t>FEm de percursors però no tenim capacitat ara mateix</t>
  </si>
  <si>
    <t>nosaltres no ho fem</t>
  </si>
  <si>
    <t>hem donat suport a boscos per posar una cabana a monars</t>
  </si>
  <si>
    <t>suport</t>
  </si>
  <si>
    <t>?</t>
  </si>
  <si>
    <t>en curs indefinidamnet</t>
  </si>
  <si>
    <t>no, 2025 espero que si</t>
  </si>
  <si>
    <t>volem contractar una empresa que ens ajudi amb la comunicació</t>
  </si>
  <si>
    <t>suport (cal veure en general com reflectim el suport perquè sense la cerca d'aqeustes aliances per part del CAG seria impossible)</t>
  </si>
  <si>
    <t>Des de 2024 creaf està treballant amb canvi climatic i ICGC ha d'encarar el hidrogeològic. Ho articulema  través de CProgrames de la DG amb els centres de recerca</t>
  </si>
  <si>
    <t>Esperem que sigui un encàrrec de la DG al CREAF</t>
  </si>
  <si>
    <t>fet i aprovat</t>
  </si>
  <si>
    <t>descartat</t>
  </si>
  <si>
    <t>no tenim capacitat, DG</t>
  </si>
  <si>
    <t>en curs, EEOO, millora hàbitats</t>
  </si>
  <si>
    <t>En curs indefindamnet</t>
  </si>
  <si>
    <t>EN curs indefinidament</t>
  </si>
  <si>
    <t>En curs</t>
  </si>
  <si>
    <t>Descartat</t>
  </si>
  <si>
    <t>segons conversa amb la Nuria Sendrós es descarta per la complexitat legal</t>
  </si>
  <si>
    <t>No tenim un pla pròpiament però ho tenim ben planificat en la licitaicó de serveis</t>
  </si>
  <si>
    <t>En curs, 2025 i indefinidament</t>
  </si>
  <si>
    <t>EN curs però no sistematitzat</t>
  </si>
  <si>
    <t>Tot el que es CARTA està en CURS, marco amb X les que estem implicats</t>
  </si>
  <si>
    <t>*Coexistència temporal dels models de governança A</t>
  </si>
  <si>
    <t>*Coexistència temporal dels models de governança B</t>
  </si>
  <si>
    <t>*Aprofitar les sinergies generades amb altres actors de la CETS</t>
  </si>
  <si>
    <t>Compartir l'estratègia de comunicació CETS</t>
  </si>
  <si>
    <t>Impulsar la creació de materials i continguts comunicatius</t>
  </si>
  <si>
    <t>Desplegar el Pla de mobilitat sostenible i eco mobilitat turística</t>
  </si>
  <si>
    <t>Sensibilitzar a través de prescriptors</t>
  </si>
  <si>
    <t>Establir complicitats amb agents clau del territori nacional i internacional</t>
  </si>
  <si>
    <t>Contribuir a la implementació del Pla a través d'inversions</t>
  </si>
  <si>
    <t>Professionalitzar el sector</t>
  </si>
  <si>
    <t>Suport</t>
  </si>
  <si>
    <t>La generalitat diu que no ho pots fer i nosaltres no tenim prou consistència en el temps</t>
  </si>
  <si>
    <t>Suport/impuls</t>
  </si>
  <si>
    <t>Suport Ajuntaments</t>
  </si>
  <si>
    <t>Idem anterior</t>
  </si>
  <si>
    <t>Encarregar cartografia d'hàbitats fluvials si no ens en sortim per altres bandes</t>
  </si>
  <si>
    <t>Executada</t>
  </si>
  <si>
    <t>2027?</t>
  </si>
  <si>
    <t>Més aviat ens han proposat un instamaps els escaladors, Valorar a la propera comissió escalada</t>
  </si>
  <si>
    <t>Executada, però cal manteniment</t>
  </si>
  <si>
    <t>almenys no específic per AG, algun espai ho té fet</t>
  </si>
  <si>
    <t>Executada, no en la seva totalitat, hi ha municipi i nuclis de l'AG que no tenen depuració</t>
  </si>
  <si>
    <t xml:space="preserve">No sé quins plans estan redactats. </t>
  </si>
  <si>
    <t>NO</t>
  </si>
  <si>
    <t>Impuls</t>
  </si>
  <si>
    <t>Executada_ en curs indefinidamenet</t>
  </si>
  <si>
    <t>Executada en part_ en curs indefinidament</t>
  </si>
  <si>
    <t>Executada en part_vinculada a la implementació de plans de maneig orientats a la conservació esmentats anteriorment</t>
  </si>
  <si>
    <t xml:space="preserve">Els instruments de planificació i ordenació dels espais naturals protegits  regulen les actuacions que requereixen drenatges, captacions  i altres usos de les masses d'aigua o que puguin impedir l’arribada d’aigua tant superficial com freàtica afectant a la conservació d'hàbitats i espècies d'interès comunitari aquàtics o litorals. </t>
  </si>
  <si>
    <t>Executada parcialment</t>
  </si>
  <si>
    <t>Executada_ en curs per avifauna indefinidament</t>
  </si>
  <si>
    <t>Ho podem impulsar amb caça</t>
  </si>
  <si>
    <t>Contactar amb SSTT</t>
  </si>
  <si>
    <t>idem</t>
  </si>
  <si>
    <t>No aplicable avui dia</t>
  </si>
  <si>
    <t>aplicable en cas d'incendi</t>
  </si>
  <si>
    <t>Executada_en curs indefinidament</t>
  </si>
  <si>
    <t>Idem</t>
  </si>
  <si>
    <t>manca oportunitat</t>
  </si>
  <si>
    <t>Executada i en curs</t>
  </si>
  <si>
    <t>Executada. 2025 estudi de la qualitat ecològica dels pratsi seguiment anys posteriors</t>
  </si>
  <si>
    <t>EEoo i els plans de maneig van encarats en aquesta linia. Es vol posar en marxa el seguiment esmentat</t>
  </si>
  <si>
    <t>Executada. En fa referència el PPAG a través dels annexos?</t>
  </si>
  <si>
    <t>reivsar si es un hàbitata cartografiat, si és el cas el tenim present en les planificacions</t>
  </si>
  <si>
    <t xml:space="preserve">Executada </t>
  </si>
  <si>
    <t>Executada_en curs</t>
  </si>
  <si>
    <t>Executada_la planificació</t>
  </si>
  <si>
    <t>Garantir la bona acollida als visitants, divulgar de manera activa els valors naturals i culturals de l’espai i les bones pràctiques, i atendre les sol·licituds d’informació</t>
  </si>
  <si>
    <t>Executada_en curs indefinidamnet</t>
  </si>
  <si>
    <t>Lliurar als visitants, segons necessitats, el material informatiu de què es disposi.</t>
  </si>
  <si>
    <t>Realitzar enquestes adreçades als visitants del parc natural.</t>
  </si>
  <si>
    <t>Pel POA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</si>
</sst>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color theme="1"/>
      <name val="Calibri"/>
      <family val="2"/>
      <scheme val="minor"/>
    </font>
    <font>
      <sz val="11"/>
      <name val="Calibri"/>
      <family val="2"/>
    </font>
    <font>
      <sz val="11"/>
      <color rgb="FF000000"/>
      <name val="Calibri"/>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rgb="FFFF0000"/>
      <name val="Calibri"/>
      <family val="2"/>
    </font>
    <font>
      <sz val="11"/>
      <color rgb="FF00B0F0"/>
      <name val="Calibri"/>
      <family val="2"/>
      <scheme val="minor"/>
    </font>
    <font>
      <sz val="11"/>
      <color theme="9"/>
      <name val="Calibri"/>
      <family val="2"/>
      <scheme val="minor"/>
    </font>
    <font>
      <u/>
      <sz val="11"/>
      <color theme="10"/>
      <name val="Calibri"/>
      <family val="2"/>
    </font>
    <font>
      <b/>
      <sz val="11"/>
      <color theme="0"/>
      <name val="Calibri"/>
      <family val="2"/>
      <scheme val="minor"/>
    </font>
    <font>
      <sz val="11"/>
      <color theme="0"/>
      <name val="Calibri"/>
      <family val="2"/>
      <scheme val="minor"/>
    </font>
    <font>
      <sz val="11"/>
      <color rgb="FF00B0F0"/>
      <name val="Calibri"/>
      <family val="2"/>
    </font>
    <font>
      <b/>
      <sz val="11"/>
      <name val="Calibri"/>
      <family val="2"/>
    </font>
    <font>
      <sz val="12"/>
      <color theme="1"/>
      <name val="Calibri"/>
      <family val="2"/>
      <scheme val="minor"/>
    </font>
    <font>
      <b/>
      <sz val="11"/>
      <color rgb="FF000000"/>
      <name val="Calibri"/>
      <family val="2"/>
    </font>
    <font>
      <sz val="11"/>
      <name val="Arial"/>
      <family val="2"/>
    </font>
    <font>
      <i/>
      <sz val="11"/>
      <color rgb="FF00B0F0"/>
      <name val="Calibri"/>
      <family val="2"/>
    </font>
    <font>
      <i/>
      <sz val="11"/>
      <color rgb="FFFF0000"/>
      <name val="Calibri"/>
      <family val="2"/>
    </font>
    <font>
      <sz val="11"/>
      <color rgb="FF00B050"/>
      <name val="Calibri"/>
      <family val="2"/>
    </font>
    <font>
      <sz val="11"/>
      <color rgb="FFFFC000"/>
      <name val="Calibri"/>
      <family val="2"/>
    </font>
    <font>
      <i/>
      <sz val="11"/>
      <color rgb="FFFF0000"/>
      <name val="Calibri"/>
      <family val="2"/>
      <scheme val="minor"/>
    </font>
    <font>
      <sz val="11"/>
      <color rgb="FFED0000"/>
      <name val="Calibri"/>
      <family val="2"/>
      <scheme val="minor"/>
    </font>
    <font>
      <sz val="11"/>
      <color rgb="FF000000"/>
      <name val="Calibri"/>
      <scheme val="minor"/>
    </font>
    <font>
      <sz val="11"/>
      <color rgb="FF0070C0"/>
      <name val="Calibri"/>
    </font>
  </fonts>
  <fills count="82">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rgb="FFB48604"/>
        <bgColor indexed="64"/>
      </patternFill>
    </fill>
    <fill>
      <patternFill patternType="solid">
        <fgColor rgb="FFE1A705"/>
        <bgColor indexed="64"/>
      </patternFill>
    </fill>
    <fill>
      <patternFill patternType="solid">
        <fgColor rgb="FFFABB0A"/>
        <bgColor indexed="64"/>
      </patternFill>
    </fill>
    <fill>
      <patternFill patternType="solid">
        <fgColor rgb="FFFBCC47"/>
        <bgColor indexed="64"/>
      </patternFill>
    </fill>
    <fill>
      <patternFill patternType="solid">
        <fgColor theme="4" tint="-0.249977111117893"/>
        <bgColor indexed="64"/>
      </patternFill>
    </fill>
    <fill>
      <patternFill patternType="solid">
        <fgColor rgb="FFB3D147"/>
        <bgColor indexed="64"/>
      </patternFill>
    </fill>
    <fill>
      <patternFill patternType="solid">
        <fgColor theme="4" tint="0.39997558519241921"/>
        <bgColor indexed="64"/>
      </patternFill>
    </fill>
    <fill>
      <patternFill patternType="solid">
        <fgColor rgb="FF245D7A"/>
        <bgColor indexed="64"/>
      </patternFill>
    </fill>
    <fill>
      <patternFill patternType="solid">
        <fgColor theme="3"/>
        <bgColor indexed="64"/>
      </patternFill>
    </fill>
    <fill>
      <patternFill patternType="solid">
        <fgColor rgb="FF368AB4"/>
        <bgColor indexed="64"/>
      </patternFill>
    </fill>
    <fill>
      <patternFill patternType="solid">
        <fgColor rgb="FF50A3CC"/>
        <bgColor indexed="64"/>
      </patternFill>
    </fill>
    <fill>
      <patternFill patternType="solid">
        <fgColor rgb="FF7DBAD9"/>
        <bgColor indexed="64"/>
      </patternFill>
    </fill>
    <fill>
      <patternFill patternType="solid">
        <fgColor theme="7" tint="0.39997558519241921"/>
        <bgColor indexed="64"/>
      </patternFill>
    </fill>
    <fill>
      <patternFill patternType="solid">
        <fgColor rgb="FFD6E8F2"/>
        <bgColor indexed="64"/>
      </patternFill>
    </fill>
    <fill>
      <patternFill patternType="solid">
        <fgColor rgb="FFE5F1F7"/>
        <bgColor indexed="64"/>
      </patternFill>
    </fill>
    <fill>
      <patternFill patternType="solid">
        <fgColor rgb="FFE6E6E6"/>
        <bgColor indexed="64"/>
      </patternFill>
    </fill>
    <fill>
      <patternFill patternType="solid">
        <fgColor rgb="FF6F6F6F"/>
        <bgColor indexed="64"/>
      </patternFill>
    </fill>
    <fill>
      <patternFill patternType="solid">
        <fgColor rgb="FF808080"/>
        <bgColor indexed="64"/>
      </patternFill>
    </fill>
    <fill>
      <patternFill patternType="solid">
        <fgColor rgb="FF8E8E8E"/>
        <bgColor indexed="64"/>
      </patternFill>
    </fill>
    <fill>
      <patternFill patternType="solid">
        <fgColor rgb="FF999999"/>
        <bgColor indexed="64"/>
      </patternFill>
    </fill>
    <fill>
      <patternFill patternType="solid">
        <fgColor rgb="FFA5A5A5"/>
        <bgColor indexed="64"/>
      </patternFill>
    </fill>
    <fill>
      <patternFill patternType="solid">
        <fgColor rgb="FFB0B0B0"/>
        <bgColor indexed="64"/>
      </patternFill>
    </fill>
    <fill>
      <patternFill patternType="solid">
        <fgColor rgb="FFC4C4C4"/>
        <bgColor indexed="64"/>
      </patternFill>
    </fill>
    <fill>
      <patternFill patternType="solid">
        <fgColor rgb="FFD7D7D7"/>
        <bgColor indexed="64"/>
      </patternFill>
    </fill>
    <fill>
      <patternFill patternType="solid">
        <fgColor theme="8" tint="-0.499984740745262"/>
        <bgColor indexed="64"/>
      </patternFill>
    </fill>
    <fill>
      <patternFill patternType="solid">
        <fgColor rgb="FFBF3605"/>
        <bgColor indexed="64"/>
      </patternFill>
    </fill>
    <fill>
      <patternFill patternType="solid">
        <fgColor rgb="FFF04306"/>
        <bgColor indexed="64"/>
      </patternFill>
    </fill>
    <fill>
      <patternFill patternType="solid">
        <fgColor rgb="FFF94C0F"/>
        <bgColor indexed="64"/>
      </patternFill>
    </fill>
    <fill>
      <patternFill patternType="solid">
        <fgColor rgb="FFFA6632"/>
        <bgColor indexed="64"/>
      </patternFill>
    </fill>
    <fill>
      <patternFill patternType="solid">
        <fgColor rgb="FFFA855C"/>
        <bgColor indexed="64"/>
      </patternFill>
    </fill>
    <fill>
      <patternFill patternType="solid">
        <fgColor theme="8" tint="0.39997558519241921"/>
        <bgColor indexed="64"/>
      </patternFill>
    </fill>
    <fill>
      <patternFill patternType="solid">
        <fgColor rgb="FFFDBCA5"/>
        <bgColor indexed="64"/>
      </patternFill>
    </fill>
    <fill>
      <patternFill patternType="solid">
        <fgColor rgb="FFFED5C6"/>
        <bgColor indexed="64"/>
      </patternFill>
    </fill>
    <fill>
      <patternFill patternType="solid">
        <fgColor theme="9" tint="-0.499984740745262"/>
        <bgColor indexed="64"/>
      </patternFill>
    </fill>
    <fill>
      <patternFill patternType="solid">
        <fgColor rgb="FFAC7C04"/>
        <bgColor indexed="64"/>
      </patternFill>
    </fill>
    <fill>
      <patternFill patternType="solid">
        <fgColor rgb="FFD19705"/>
        <bgColor indexed="64"/>
      </patternFill>
    </fill>
    <fill>
      <patternFill patternType="solid">
        <fgColor rgb="FFF8B306"/>
        <bgColor indexed="64"/>
      </patternFill>
    </fill>
    <fill>
      <patternFill patternType="solid">
        <fgColor rgb="FFFBCD5B"/>
        <bgColor indexed="64"/>
      </patternFill>
    </fill>
    <fill>
      <patternFill patternType="solid">
        <fgColor theme="7" tint="-0.499984740745262"/>
        <bgColor indexed="64"/>
      </patternFill>
    </fill>
    <fill>
      <patternFill patternType="solid">
        <fgColor theme="2"/>
        <bgColor indexed="64"/>
      </patternFill>
    </fill>
    <fill>
      <patternFill patternType="solid">
        <fgColor rgb="FF00B0F0"/>
        <bgColor indexed="64"/>
      </patternFill>
    </fill>
    <fill>
      <patternFill patternType="solid">
        <fgColor rgb="FF92D050"/>
        <bgColor indexed="64"/>
      </patternFill>
    </fill>
    <fill>
      <patternFill patternType="solid">
        <fgColor rgb="FFFABD26"/>
        <bgColor indexed="64"/>
      </patternFill>
    </fill>
    <fill>
      <patternFill patternType="solid">
        <fgColor rgb="FF7030A0"/>
        <bgColor indexed="64"/>
      </patternFill>
    </fill>
    <fill>
      <patternFill patternType="solid">
        <fgColor rgb="FF954ECA"/>
        <bgColor indexed="64"/>
      </patternFill>
    </fill>
    <fill>
      <patternFill patternType="solid">
        <fgColor rgb="FFDF85FF"/>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112">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right style="thin">
        <color theme="4"/>
      </right>
      <top/>
      <bottom style="thin">
        <color theme="4"/>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
      <left/>
      <right style="thin">
        <color theme="4"/>
      </right>
      <top style="thin">
        <color theme="4"/>
      </top>
      <bottom/>
      <diagonal/>
    </border>
    <border>
      <left/>
      <right/>
      <top style="thin">
        <color theme="4"/>
      </top>
      <bottom/>
      <diagonal/>
    </border>
    <border>
      <left/>
      <right/>
      <top/>
      <bottom style="thin">
        <color theme="6"/>
      </bottom>
      <diagonal/>
    </border>
    <border>
      <left style="thin">
        <color theme="4"/>
      </left>
      <right/>
      <top style="thin">
        <color theme="4"/>
      </top>
      <bottom style="thin">
        <color theme="4"/>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right/>
      <top/>
      <bottom style="thin">
        <color theme="9"/>
      </bottom>
      <diagonal/>
    </border>
    <border>
      <left style="thin">
        <color rgb="FF8497B0"/>
      </left>
      <right/>
      <top/>
      <bottom style="thin">
        <color rgb="FF8497B0"/>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rgb="FF00B0F0"/>
      </top>
      <bottom/>
      <diagonal/>
    </border>
    <border>
      <left/>
      <right/>
      <top/>
      <bottom style="thin">
        <color rgb="FF00B0F0"/>
      </bottom>
      <diagonal/>
    </border>
    <border>
      <left/>
      <right/>
      <top/>
      <bottom style="thin">
        <color theme="8"/>
      </bottom>
      <diagonal/>
    </border>
    <border>
      <left/>
      <right/>
      <top style="thin">
        <color theme="9"/>
      </top>
      <bottom/>
      <diagonal/>
    </border>
    <border>
      <left/>
      <right/>
      <top/>
      <bottom style="thin">
        <color theme="3" tint="0.39994506668294322"/>
      </bottom>
      <diagonal/>
    </border>
    <border>
      <left/>
      <right/>
      <top style="thin">
        <color rgb="FF8497B0"/>
      </top>
      <bottom/>
      <diagonal/>
    </border>
    <border>
      <left/>
      <right/>
      <top style="thin">
        <color rgb="FF8497B0"/>
      </top>
      <bottom style="thin">
        <color rgb="FF8497B0"/>
      </bottom>
      <diagonal/>
    </border>
    <border>
      <left/>
      <right/>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theme="5"/>
      </top>
      <bottom/>
      <diagonal/>
    </border>
    <border>
      <left/>
      <right style="thin">
        <color indexed="64"/>
      </right>
      <top/>
      <bottom/>
      <diagonal/>
    </border>
    <border>
      <left/>
      <right style="thin">
        <color indexed="64"/>
      </right>
      <top style="thin">
        <color rgb="FF00B0F0"/>
      </top>
      <bottom/>
      <diagonal/>
    </border>
    <border>
      <left/>
      <right style="thin">
        <color indexed="64"/>
      </right>
      <top/>
      <bottom style="thin">
        <color rgb="FF00B0F0"/>
      </bottom>
      <diagonal/>
    </border>
    <border>
      <left/>
      <right style="thin">
        <color indexed="64"/>
      </right>
      <top/>
      <bottom style="thin">
        <color theme="8"/>
      </bottom>
      <diagonal/>
    </border>
    <border>
      <left/>
      <right style="thin">
        <color indexed="64"/>
      </right>
      <top style="thin">
        <color theme="8"/>
      </top>
      <bottom/>
      <diagonal/>
    </border>
  </borders>
  <cellStyleXfs count="3">
    <xf numFmtId="0" fontId="0" fillId="0" borderId="0"/>
    <xf numFmtId="0" fontId="18" fillId="0" borderId="0"/>
    <xf numFmtId="0" fontId="26" fillId="0" borderId="0" applyNumberFormat="0" applyFill="0" applyBorder="0" applyAlignment="0" applyProtection="0"/>
  </cellStyleXfs>
  <cellXfs count="555">
    <xf numFmtId="0" fontId="0" fillId="0" borderId="0" xfId="0"/>
    <xf numFmtId="0" fontId="0" fillId="0" borderId="0" xfId="0" applyAlignment="1">
      <alignment vertical="top"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49" fontId="3" fillId="12" borderId="2" xfId="0" applyNumberFormat="1" applyFont="1" applyFill="1" applyBorder="1" applyAlignment="1">
      <alignment horizontal="center" vertical="center" wrapText="1"/>
    </xf>
    <xf numFmtId="49" fontId="4" fillId="8" borderId="0" xfId="0" applyNumberFormat="1" applyFont="1" applyFill="1" applyAlignment="1">
      <alignment horizontal="center" vertical="top" wrapText="1"/>
    </xf>
    <xf numFmtId="49" fontId="4" fillId="2" borderId="1" xfId="0" applyNumberFormat="1" applyFont="1" applyFill="1" applyBorder="1" applyAlignment="1">
      <alignment horizontal="center" vertical="top" wrapText="1"/>
    </xf>
    <xf numFmtId="49" fontId="3" fillId="15" borderId="21" xfId="0" applyNumberFormat="1" applyFont="1" applyFill="1" applyBorder="1" applyAlignment="1">
      <alignment horizontal="center" vertical="center" wrapText="1"/>
    </xf>
    <xf numFmtId="49" fontId="3" fillId="19" borderId="37" xfId="0" applyNumberFormat="1"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wrapText="1"/>
    </xf>
    <xf numFmtId="0" fontId="3" fillId="23" borderId="40" xfId="0" applyFont="1" applyFill="1" applyBorder="1" applyAlignment="1">
      <alignment vertical="center" wrapText="1"/>
    </xf>
    <xf numFmtId="49" fontId="3" fillId="23" borderId="40" xfId="0" applyNumberFormat="1" applyFont="1" applyFill="1" applyBorder="1" applyAlignment="1">
      <alignment horizontal="center" vertical="center" wrapText="1"/>
    </xf>
    <xf numFmtId="0" fontId="3" fillId="25" borderId="46" xfId="0" applyFont="1" applyFill="1" applyBorder="1" applyAlignment="1">
      <alignment horizontal="center" vertical="center" wrapText="1"/>
    </xf>
    <xf numFmtId="0" fontId="3" fillId="25" borderId="44" xfId="0" applyFont="1" applyFill="1" applyBorder="1" applyAlignment="1">
      <alignment horizontal="center" vertical="center" wrapText="1"/>
    </xf>
    <xf numFmtId="0" fontId="7" fillId="10" borderId="0" xfId="0" applyFont="1" applyFill="1" applyAlignment="1">
      <alignment horizontal="center" vertical="top" wrapText="1"/>
    </xf>
    <xf numFmtId="49" fontId="4" fillId="0" borderId="0" xfId="0" applyNumberFormat="1" applyFont="1" applyAlignment="1">
      <alignment horizontal="center" vertical="top" wrapText="1"/>
    </xf>
    <xf numFmtId="49" fontId="4" fillId="7"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4" fillId="4" borderId="0" xfId="0" applyNumberFormat="1" applyFont="1" applyFill="1" applyAlignment="1">
      <alignment horizontal="center" vertical="top" wrapText="1"/>
    </xf>
    <xf numFmtId="49" fontId="4" fillId="5" borderId="0" xfId="0" applyNumberFormat="1" applyFont="1" applyFill="1" applyAlignment="1">
      <alignment horizontal="center" vertical="top" wrapText="1"/>
    </xf>
    <xf numFmtId="49" fontId="4" fillId="6" borderId="0" xfId="0" applyNumberFormat="1" applyFont="1" applyFill="1" applyAlignment="1">
      <alignment horizontal="center" vertical="top" wrapText="1"/>
    </xf>
    <xf numFmtId="49" fontId="4" fillId="9" borderId="0" xfId="0" applyNumberFormat="1" applyFont="1" applyFill="1" applyAlignment="1">
      <alignment horizontal="center" vertical="top" wrapText="1"/>
    </xf>
    <xf numFmtId="0" fontId="3" fillId="17" borderId="27" xfId="0" applyFont="1" applyFill="1" applyBorder="1" applyAlignment="1">
      <alignment horizontal="center" vertical="top" wrapText="1"/>
    </xf>
    <xf numFmtId="0" fontId="3" fillId="17" borderId="29" xfId="0" applyFont="1" applyFill="1" applyBorder="1" applyAlignment="1">
      <alignment horizontal="center" vertical="top"/>
    </xf>
    <xf numFmtId="0" fontId="3" fillId="17" borderId="26" xfId="0" applyFont="1" applyFill="1" applyBorder="1" applyAlignment="1">
      <alignment horizontal="center" vertical="top"/>
    </xf>
    <xf numFmtId="0" fontId="3" fillId="11" borderId="6" xfId="0" applyFont="1" applyFill="1" applyBorder="1" applyAlignment="1">
      <alignment horizontal="center" vertical="top"/>
    </xf>
    <xf numFmtId="0" fontId="3" fillId="11" borderId="7" xfId="0" applyFont="1" applyFill="1" applyBorder="1" applyAlignment="1">
      <alignment horizontal="center" vertical="top"/>
    </xf>
    <xf numFmtId="0" fontId="3" fillId="11" borderId="8" xfId="0" applyFont="1" applyFill="1" applyBorder="1" applyAlignment="1">
      <alignment horizontal="center" vertical="top"/>
    </xf>
    <xf numFmtId="0" fontId="3" fillId="16" borderId="15" xfId="0" applyFont="1" applyFill="1" applyBorder="1" applyAlignment="1">
      <alignment horizontal="center" vertical="top"/>
    </xf>
    <xf numFmtId="0" fontId="3" fillId="16" borderId="16" xfId="0" applyFont="1" applyFill="1" applyBorder="1" applyAlignment="1">
      <alignment horizontal="left" vertical="top" wrapText="1"/>
    </xf>
    <xf numFmtId="0" fontId="3" fillId="13" borderId="11" xfId="0" applyFont="1" applyFill="1" applyBorder="1" applyAlignment="1">
      <alignment horizontal="left" vertical="top" wrapText="1"/>
    </xf>
    <xf numFmtId="0" fontId="3" fillId="13" borderId="12" xfId="0" applyFont="1" applyFill="1" applyBorder="1" applyAlignment="1">
      <alignment horizontal="center" vertical="top"/>
    </xf>
    <xf numFmtId="0" fontId="3" fillId="25" borderId="43" xfId="0" applyFont="1" applyFill="1" applyBorder="1" applyAlignment="1">
      <alignment horizontal="center" vertical="center" wrapText="1"/>
    </xf>
    <xf numFmtId="0" fontId="10" fillId="11" borderId="3" xfId="0" applyFont="1" applyFill="1" applyBorder="1" applyAlignment="1">
      <alignment vertical="top" wrapText="1"/>
    </xf>
    <xf numFmtId="0" fontId="3" fillId="11" borderId="4" xfId="0" applyFont="1" applyFill="1" applyBorder="1" applyAlignment="1">
      <alignment vertical="top" wrapText="1"/>
    </xf>
    <xf numFmtId="0" fontId="3" fillId="11" borderId="5" xfId="0" applyFont="1" applyFill="1" applyBorder="1" applyAlignment="1">
      <alignment vertical="top" wrapText="1"/>
    </xf>
    <xf numFmtId="49" fontId="4" fillId="8" borderId="55" xfId="0" applyNumberFormat="1" applyFont="1" applyFill="1" applyBorder="1" applyAlignment="1">
      <alignment horizontal="center" vertical="top" wrapText="1"/>
    </xf>
    <xf numFmtId="0" fontId="3" fillId="16" borderId="15" xfId="0" applyFont="1" applyFill="1" applyBorder="1" applyAlignment="1">
      <alignment vertical="top"/>
    </xf>
    <xf numFmtId="0" fontId="3" fillId="16" borderId="17" xfId="0" applyFont="1" applyFill="1" applyBorder="1" applyAlignment="1">
      <alignment vertical="top"/>
    </xf>
    <xf numFmtId="49" fontId="4" fillId="4" borderId="0" xfId="0" applyNumberFormat="1" applyFont="1" applyFill="1" applyAlignment="1">
      <alignment vertical="top" wrapText="1"/>
    </xf>
    <xf numFmtId="0" fontId="3" fillId="17" borderId="27" xfId="0" applyFont="1" applyFill="1" applyBorder="1" applyAlignment="1">
      <alignment vertical="top" wrapText="1"/>
    </xf>
    <xf numFmtId="0" fontId="3" fillId="17" borderId="26" xfId="0" applyFont="1" applyFill="1" applyBorder="1" applyAlignment="1">
      <alignment vertical="top"/>
    </xf>
    <xf numFmtId="0" fontId="3" fillId="17" borderId="28" xfId="0" applyFont="1" applyFill="1" applyBorder="1" applyAlignment="1">
      <alignment vertical="top"/>
    </xf>
    <xf numFmtId="0" fontId="3" fillId="16" borderId="16" xfId="0" applyFont="1" applyFill="1" applyBorder="1" applyAlignment="1">
      <alignment vertical="top" wrapText="1"/>
    </xf>
    <xf numFmtId="0" fontId="3" fillId="16" borderId="18" xfId="0" applyFont="1" applyFill="1" applyBorder="1" applyAlignment="1">
      <alignment vertical="top" wrapText="1"/>
    </xf>
    <xf numFmtId="0" fontId="3" fillId="13" borderId="11" xfId="0" applyFont="1" applyFill="1" applyBorder="1" applyAlignment="1">
      <alignment vertical="top" wrapText="1"/>
    </xf>
    <xf numFmtId="0" fontId="3" fillId="13" borderId="10" xfId="0" applyFont="1" applyFill="1" applyBorder="1" applyAlignment="1">
      <alignment vertical="top"/>
    </xf>
    <xf numFmtId="49" fontId="4" fillId="3" borderId="0" xfId="0" applyNumberFormat="1" applyFont="1" applyFill="1" applyAlignment="1">
      <alignment vertical="top" wrapText="1"/>
    </xf>
    <xf numFmtId="0" fontId="3" fillId="17" borderId="25" xfId="0" applyFont="1" applyFill="1" applyBorder="1" applyAlignment="1">
      <alignment vertical="top" wrapText="1"/>
    </xf>
    <xf numFmtId="0" fontId="3" fillId="22" borderId="49" xfId="0" applyFont="1" applyFill="1" applyBorder="1" applyAlignment="1">
      <alignment vertical="top" wrapText="1"/>
    </xf>
    <xf numFmtId="0" fontId="3" fillId="22" borderId="50" xfId="0" applyFont="1" applyFill="1" applyBorder="1" applyAlignment="1">
      <alignment vertical="top" wrapText="1"/>
    </xf>
    <xf numFmtId="0" fontId="3" fillId="22" borderId="52" xfId="0" applyFont="1" applyFill="1" applyBorder="1" applyAlignment="1">
      <alignment vertical="top"/>
    </xf>
    <xf numFmtId="0" fontId="3" fillId="22" borderId="53" xfId="0" applyFont="1" applyFill="1" applyBorder="1" applyAlignment="1">
      <alignment vertical="top"/>
    </xf>
    <xf numFmtId="0" fontId="3" fillId="17" borderId="61" xfId="0" applyFont="1" applyFill="1" applyBorder="1" applyAlignment="1">
      <alignment horizontal="center" vertical="top" wrapText="1"/>
    </xf>
    <xf numFmtId="0" fontId="3" fillId="17" borderId="62" xfId="0" applyFont="1" applyFill="1" applyBorder="1" applyAlignment="1">
      <alignment horizontal="center" vertical="top" wrapText="1"/>
    </xf>
    <xf numFmtId="0" fontId="3" fillId="17" borderId="63" xfId="0" applyFont="1" applyFill="1" applyBorder="1" applyAlignment="1">
      <alignment horizontal="center" vertical="top" wrapText="1"/>
    </xf>
    <xf numFmtId="0" fontId="3" fillId="17" borderId="64" xfId="0" applyFont="1" applyFill="1" applyBorder="1" applyAlignment="1">
      <alignment horizontal="center" vertical="top" wrapText="1"/>
    </xf>
    <xf numFmtId="0" fontId="3" fillId="25" borderId="42" xfId="0" applyFont="1" applyFill="1" applyBorder="1" applyAlignment="1">
      <alignment vertical="center" wrapText="1"/>
    </xf>
    <xf numFmtId="0" fontId="3" fillId="25" borderId="43" xfId="0" applyFont="1" applyFill="1" applyBorder="1" applyAlignment="1">
      <alignment vertical="center" wrapText="1"/>
    </xf>
    <xf numFmtId="0" fontId="3" fillId="24" borderId="45" xfId="0" applyFont="1" applyFill="1" applyBorder="1" applyAlignment="1">
      <alignment vertical="top" wrapText="1"/>
    </xf>
    <xf numFmtId="0" fontId="3" fillId="24" borderId="41" xfId="0" applyFont="1" applyFill="1" applyBorder="1" applyAlignment="1">
      <alignment vertical="top" wrapText="1"/>
    </xf>
    <xf numFmtId="0" fontId="7" fillId="10" borderId="0" xfId="0" applyFont="1" applyFill="1" applyAlignment="1">
      <alignment vertical="top" wrapText="1"/>
    </xf>
    <xf numFmtId="0" fontId="3" fillId="21" borderId="47" xfId="0" applyFont="1" applyFill="1" applyBorder="1" applyAlignment="1">
      <alignment vertical="top"/>
    </xf>
    <xf numFmtId="0" fontId="3" fillId="21" borderId="0" xfId="0" applyFont="1" applyFill="1" applyAlignment="1">
      <alignment vertical="top"/>
    </xf>
    <xf numFmtId="0" fontId="0" fillId="0" borderId="0" xfId="0" applyAlignment="1">
      <alignment wrapText="1"/>
    </xf>
    <xf numFmtId="0" fontId="3" fillId="0" borderId="67" xfId="0" applyFont="1" applyBorder="1" applyAlignment="1">
      <alignment vertical="top" wrapText="1"/>
    </xf>
    <xf numFmtId="49" fontId="13" fillId="0" borderId="0" xfId="0" applyNumberFormat="1" applyFont="1" applyAlignment="1">
      <alignment horizontal="left" vertical="top"/>
    </xf>
    <xf numFmtId="0" fontId="14" fillId="0" borderId="0" xfId="0" applyFont="1" applyAlignment="1">
      <alignment vertical="top"/>
    </xf>
    <xf numFmtId="0" fontId="14" fillId="0" borderId="0" xfId="0" applyFont="1" applyAlignment="1">
      <alignment vertical="top" wrapText="1"/>
    </xf>
    <xf numFmtId="49" fontId="13" fillId="0" borderId="0" xfId="0" applyNumberFormat="1" applyFont="1" applyAlignment="1">
      <alignment horizontal="center" vertical="top" wrapText="1"/>
    </xf>
    <xf numFmtId="49" fontId="13" fillId="0" borderId="0" xfId="0" applyNumberFormat="1" applyFont="1" applyAlignment="1">
      <alignment horizontal="right" vertical="top"/>
    </xf>
    <xf numFmtId="0" fontId="4" fillId="20" borderId="0" xfId="0" applyFont="1" applyFill="1" applyAlignment="1">
      <alignment horizontal="center" vertical="center" wrapText="1"/>
    </xf>
    <xf numFmtId="0" fontId="5" fillId="20" borderId="0" xfId="0" applyFont="1" applyFill="1" applyAlignment="1">
      <alignment horizontal="center" vertical="center" wrapText="1"/>
    </xf>
    <xf numFmtId="0" fontId="5" fillId="20" borderId="0" xfId="0" applyFont="1" applyFill="1" applyAlignment="1">
      <alignment horizontal="center" vertical="center"/>
    </xf>
    <xf numFmtId="49" fontId="5" fillId="20" borderId="0" xfId="0" applyNumberFormat="1" applyFont="1" applyFill="1" applyAlignment="1">
      <alignment horizontal="center" vertical="center" wrapText="1"/>
    </xf>
    <xf numFmtId="0" fontId="15" fillId="0" borderId="0" xfId="0" applyFont="1" applyAlignment="1">
      <alignment vertical="top" wrapText="1"/>
    </xf>
    <xf numFmtId="0" fontId="12" fillId="0" borderId="0" xfId="0" applyFont="1" applyAlignment="1">
      <alignment wrapText="1"/>
    </xf>
    <xf numFmtId="0" fontId="4" fillId="0" borderId="0" xfId="0" applyFont="1" applyAlignment="1">
      <alignment wrapText="1"/>
    </xf>
    <xf numFmtId="0" fontId="3" fillId="12" borderId="9" xfId="0" applyFont="1" applyFill="1" applyBorder="1" applyAlignment="1">
      <alignment vertical="center" wrapText="1"/>
    </xf>
    <xf numFmtId="0" fontId="3" fillId="15" borderId="23" xfId="0" applyFont="1" applyFill="1" applyBorder="1" applyAlignment="1">
      <alignment vertical="center" wrapText="1"/>
    </xf>
    <xf numFmtId="0" fontId="3" fillId="19" borderId="39" xfId="0" applyFont="1" applyFill="1" applyBorder="1" applyAlignment="1">
      <alignment horizontal="left" vertical="center" wrapText="1"/>
    </xf>
    <xf numFmtId="0" fontId="3" fillId="25" borderId="47" xfId="0" applyFont="1" applyFill="1" applyBorder="1" applyAlignment="1">
      <alignment horizontal="left" vertical="center" wrapText="1"/>
    </xf>
    <xf numFmtId="0" fontId="3" fillId="25" borderId="75" xfId="0" applyFont="1" applyFill="1" applyBorder="1" applyAlignment="1">
      <alignment vertical="center" wrapText="1"/>
    </xf>
    <xf numFmtId="0" fontId="3" fillId="25" borderId="0" xfId="0" applyFont="1" applyFill="1" applyAlignment="1">
      <alignment vertical="center" wrapText="1"/>
    </xf>
    <xf numFmtId="0" fontId="3" fillId="25" borderId="0" xfId="0" applyFont="1" applyFill="1" applyAlignment="1">
      <alignment horizontal="left" vertical="center" wrapText="1"/>
    </xf>
    <xf numFmtId="0" fontId="3" fillId="25" borderId="76" xfId="0" applyFont="1" applyFill="1" applyBorder="1" applyAlignment="1">
      <alignment vertical="center" wrapText="1"/>
    </xf>
    <xf numFmtId="0" fontId="5" fillId="20" borderId="67" xfId="0" applyFont="1" applyFill="1" applyBorder="1" applyAlignment="1">
      <alignment horizontal="center" vertical="center" wrapText="1"/>
    </xf>
    <xf numFmtId="0" fontId="5" fillId="20" borderId="67" xfId="0" applyFont="1" applyFill="1" applyBorder="1" applyAlignment="1">
      <alignment horizontal="center" vertical="center"/>
    </xf>
    <xf numFmtId="0" fontId="4" fillId="20" borderId="67" xfId="0" applyFont="1" applyFill="1" applyBorder="1" applyAlignment="1">
      <alignment horizontal="center" vertical="center"/>
    </xf>
    <xf numFmtId="0" fontId="4" fillId="20" borderId="67" xfId="0" applyFont="1" applyFill="1" applyBorder="1" applyAlignment="1">
      <alignment horizontal="center" vertical="center" wrapText="1"/>
    </xf>
    <xf numFmtId="0" fontId="3" fillId="20" borderId="67" xfId="0" applyFont="1" applyFill="1" applyBorder="1" applyAlignment="1">
      <alignment horizontal="center" vertical="center" wrapText="1"/>
    </xf>
    <xf numFmtId="0" fontId="3" fillId="20" borderId="67" xfId="0" applyFont="1" applyFill="1" applyBorder="1" applyAlignment="1">
      <alignment horizontal="left" vertical="center" wrapText="1"/>
    </xf>
    <xf numFmtId="0" fontId="3" fillId="20" borderId="67" xfId="0" applyFont="1" applyFill="1" applyBorder="1" applyAlignment="1">
      <alignment horizontal="center" vertical="center"/>
    </xf>
    <xf numFmtId="0" fontId="3" fillId="0" borderId="67" xfId="0" applyFont="1" applyBorder="1" applyAlignment="1">
      <alignment horizontal="left" vertical="center" wrapText="1"/>
    </xf>
    <xf numFmtId="0" fontId="3" fillId="0" borderId="67" xfId="0" applyFont="1" applyBorder="1" applyAlignment="1">
      <alignment horizontal="center" vertical="center"/>
    </xf>
    <xf numFmtId="0" fontId="0" fillId="20" borderId="67" xfId="0" applyFill="1" applyBorder="1" applyAlignment="1">
      <alignment horizontal="center" vertical="center"/>
    </xf>
    <xf numFmtId="0" fontId="0" fillId="20" borderId="67" xfId="0" applyFill="1" applyBorder="1" applyAlignment="1">
      <alignment horizontal="left" vertical="center" wrapText="1"/>
    </xf>
    <xf numFmtId="0" fontId="0" fillId="0" borderId="67" xfId="0" applyBorder="1" applyAlignment="1">
      <alignment vertical="top"/>
    </xf>
    <xf numFmtId="0" fontId="3" fillId="0" borderId="67" xfId="0" applyFont="1" applyBorder="1" applyAlignment="1">
      <alignment vertical="top"/>
    </xf>
    <xf numFmtId="0" fontId="1" fillId="20" borderId="67" xfId="0" applyFont="1" applyFill="1" applyBorder="1" applyAlignment="1">
      <alignment horizontal="left" vertical="center" wrapText="1"/>
    </xf>
    <xf numFmtId="0" fontId="0" fillId="20" borderId="67" xfId="0" applyFill="1" applyBorder="1" applyAlignment="1">
      <alignment horizontal="center" vertical="center" wrapText="1"/>
    </xf>
    <xf numFmtId="0" fontId="3" fillId="0" borderId="67" xfId="0" applyFont="1" applyBorder="1" applyAlignment="1">
      <alignment horizontal="center" vertical="center" wrapText="1"/>
    </xf>
    <xf numFmtId="0" fontId="10" fillId="20" borderId="67" xfId="0" applyFont="1" applyFill="1" applyBorder="1" applyAlignment="1">
      <alignment horizontal="left" vertical="center" wrapText="1"/>
    </xf>
    <xf numFmtId="0" fontId="3" fillId="0" borderId="67" xfId="0" applyFont="1" applyBorder="1" applyAlignment="1">
      <alignment horizontal="left" vertical="top" wrapText="1"/>
    </xf>
    <xf numFmtId="0" fontId="3" fillId="0" borderId="67" xfId="0" quotePrefix="1" applyFont="1" applyBorder="1" applyAlignment="1">
      <alignment vertical="top" wrapText="1"/>
    </xf>
    <xf numFmtId="0" fontId="6" fillId="0" borderId="67" xfId="0" applyFont="1" applyBorder="1" applyAlignment="1">
      <alignment vertical="top"/>
    </xf>
    <xf numFmtId="0" fontId="8" fillId="0" borderId="67" xfId="0" applyFont="1" applyBorder="1" applyAlignment="1">
      <alignment vertical="top" wrapText="1"/>
    </xf>
    <xf numFmtId="0" fontId="10" fillId="20" borderId="67" xfId="0" applyFont="1" applyFill="1" applyBorder="1" applyAlignment="1">
      <alignment horizontal="center" vertical="center" wrapText="1"/>
    </xf>
    <xf numFmtId="0" fontId="10" fillId="0" borderId="67" xfId="0" applyFont="1" applyBorder="1" applyAlignment="1">
      <alignment vertical="top" wrapText="1"/>
    </xf>
    <xf numFmtId="0" fontId="9" fillId="20" borderId="67" xfId="0" applyFont="1" applyFill="1" applyBorder="1" applyAlignment="1">
      <alignment horizontal="left" vertical="center" wrapText="1"/>
    </xf>
    <xf numFmtId="0" fontId="10" fillId="20" borderId="67" xfId="0" applyFont="1" applyFill="1" applyBorder="1" applyAlignment="1">
      <alignment horizontal="center" vertical="center"/>
    </xf>
    <xf numFmtId="0" fontId="6" fillId="20" borderId="67" xfId="0" applyFont="1" applyFill="1" applyBorder="1" applyAlignment="1">
      <alignment horizontal="left" vertical="center" wrapText="1"/>
    </xf>
    <xf numFmtId="0" fontId="0" fillId="0" borderId="67" xfId="0" applyBorder="1" applyAlignment="1">
      <alignment vertical="top" wrapText="1"/>
    </xf>
    <xf numFmtId="0" fontId="4" fillId="26" borderId="0" xfId="0" applyFont="1" applyFill="1" applyAlignment="1">
      <alignment wrapText="1"/>
    </xf>
    <xf numFmtId="0" fontId="0" fillId="26" borderId="0" xfId="0" applyFill="1" applyAlignment="1">
      <alignment wrapText="1"/>
    </xf>
    <xf numFmtId="0" fontId="4" fillId="26" borderId="0" xfId="0" applyFont="1" applyFill="1"/>
    <xf numFmtId="0" fontId="17" fillId="0" borderId="0" xfId="0" applyFont="1"/>
    <xf numFmtId="0" fontId="4" fillId="0" borderId="0" xfId="0" applyFont="1"/>
    <xf numFmtId="0" fontId="12" fillId="0" borderId="0" xfId="0" applyFont="1"/>
    <xf numFmtId="0" fontId="0" fillId="0" borderId="67" xfId="0" applyBorder="1"/>
    <xf numFmtId="0" fontId="0" fillId="0" borderId="67" xfId="0" applyBorder="1" applyAlignment="1">
      <alignment wrapText="1"/>
    </xf>
    <xf numFmtId="0" fontId="12" fillId="0" borderId="82" xfId="0" applyFont="1" applyBorder="1" applyAlignment="1">
      <alignment horizontal="center"/>
    </xf>
    <xf numFmtId="0" fontId="12" fillId="0" borderId="83" xfId="0" applyFont="1" applyBorder="1" applyAlignment="1">
      <alignment horizontal="center"/>
    </xf>
    <xf numFmtId="0" fontId="12" fillId="0" borderId="84" xfId="0" applyFont="1" applyBorder="1" applyAlignment="1">
      <alignment horizontal="center" wrapText="1"/>
    </xf>
    <xf numFmtId="0" fontId="19" fillId="0" borderId="0" xfId="1" applyFont="1" applyAlignment="1">
      <alignment vertical="center"/>
    </xf>
    <xf numFmtId="0" fontId="20" fillId="0" borderId="0" xfId="1" applyFont="1" applyAlignment="1">
      <alignment horizontal="left" vertical="center"/>
    </xf>
    <xf numFmtId="0" fontId="20" fillId="0" borderId="0" xfId="1" applyFont="1" applyAlignment="1">
      <alignment vertical="center"/>
    </xf>
    <xf numFmtId="0" fontId="20" fillId="0" borderId="0" xfId="1" applyFont="1" applyAlignment="1">
      <alignment vertical="center" wrapText="1"/>
    </xf>
    <xf numFmtId="0" fontId="18" fillId="0" borderId="0" xfId="1"/>
    <xf numFmtId="0" fontId="21" fillId="0" borderId="0" xfId="1" applyFont="1" applyAlignment="1">
      <alignment horizontal="left" vertical="center"/>
    </xf>
    <xf numFmtId="0" fontId="23" fillId="0" borderId="0" xfId="1" applyFont="1" applyAlignment="1">
      <alignment horizontal="left" vertical="center"/>
    </xf>
    <xf numFmtId="0" fontId="7" fillId="27" borderId="0" xfId="1" applyFont="1" applyFill="1" applyAlignment="1">
      <alignment horizontal="center" vertical="top" wrapText="1"/>
    </xf>
    <xf numFmtId="0" fontId="7" fillId="27" borderId="0" xfId="1" applyFont="1" applyFill="1" applyAlignment="1">
      <alignment horizontal="left" vertical="top" wrapText="1"/>
    </xf>
    <xf numFmtId="0" fontId="7" fillId="27" borderId="0" xfId="1" applyFont="1" applyFill="1" applyAlignment="1">
      <alignment vertical="top" wrapText="1"/>
    </xf>
    <xf numFmtId="0" fontId="20" fillId="0" borderId="0" xfId="1" applyFont="1" applyAlignment="1">
      <alignment horizontal="center" vertical="top" wrapText="1"/>
    </xf>
    <xf numFmtId="0" fontId="20" fillId="0" borderId="0" xfId="1" applyFont="1" applyAlignment="1">
      <alignment vertical="top" wrapText="1"/>
    </xf>
    <xf numFmtId="0" fontId="20" fillId="0" borderId="0" xfId="1" applyFont="1" applyAlignment="1">
      <alignment vertical="top"/>
    </xf>
    <xf numFmtId="0" fontId="24" fillId="28" borderId="0" xfId="1" applyFont="1" applyFill="1" applyAlignment="1">
      <alignment horizontal="center" vertical="top" wrapText="1"/>
    </xf>
    <xf numFmtId="0" fontId="20" fillId="0" borderId="0" xfId="1" applyFont="1" applyAlignment="1">
      <alignment horizontal="left" vertical="top" wrapText="1"/>
    </xf>
    <xf numFmtId="0" fontId="20" fillId="0" borderId="0" xfId="1" applyFont="1" applyAlignment="1">
      <alignment horizontal="center" vertical="center"/>
    </xf>
    <xf numFmtId="0" fontId="20" fillId="0" borderId="0" xfId="1" applyFont="1" applyAlignment="1">
      <alignment horizontal="left" vertical="center" wrapText="1"/>
    </xf>
    <xf numFmtId="0" fontId="20" fillId="0" borderId="0" xfId="1" applyFont="1" applyAlignment="1">
      <alignment horizontal="center" vertical="center" wrapText="1"/>
    </xf>
    <xf numFmtId="0" fontId="25" fillId="28" borderId="0" xfId="1" applyFont="1" applyFill="1" applyAlignment="1">
      <alignment horizontal="center" vertical="center" wrapText="1"/>
    </xf>
    <xf numFmtId="0" fontId="0" fillId="0" borderId="81" xfId="0" applyBorder="1" applyAlignment="1">
      <alignment wrapText="1"/>
    </xf>
    <xf numFmtId="0" fontId="12" fillId="0" borderId="83" xfId="0" applyFont="1" applyBorder="1" applyAlignment="1">
      <alignment horizontal="center" wrapText="1"/>
    </xf>
    <xf numFmtId="0" fontId="0" fillId="29" borderId="0" xfId="0" applyFill="1"/>
    <xf numFmtId="0" fontId="5" fillId="0" borderId="0" xfId="0" applyFont="1" applyAlignment="1">
      <alignment wrapText="1"/>
    </xf>
    <xf numFmtId="0" fontId="3" fillId="0" borderId="0" xfId="0" applyFont="1" applyAlignment="1">
      <alignment wrapText="1"/>
    </xf>
    <xf numFmtId="0" fontId="0" fillId="0" borderId="85" xfId="0" applyBorder="1"/>
    <xf numFmtId="0" fontId="0" fillId="0" borderId="90" xfId="0" applyBorder="1"/>
    <xf numFmtId="0" fontId="0" fillId="0" borderId="91" xfId="0" applyBorder="1"/>
    <xf numFmtId="0" fontId="0" fillId="0" borderId="87" xfId="0" applyBorder="1"/>
    <xf numFmtId="0" fontId="0" fillId="0" borderId="88" xfId="0" applyBorder="1"/>
    <xf numFmtId="0" fontId="26" fillId="0" borderId="0" xfId="2"/>
    <xf numFmtId="0" fontId="16" fillId="0" borderId="0" xfId="0" applyFont="1" applyAlignment="1">
      <alignment wrapText="1"/>
    </xf>
    <xf numFmtId="0" fontId="4" fillId="0" borderId="86" xfId="0" applyFont="1" applyBorder="1" applyAlignment="1">
      <alignment wrapText="1"/>
    </xf>
    <xf numFmtId="0" fontId="15" fillId="19" borderId="67" xfId="0" applyFont="1" applyFill="1" applyBorder="1" applyAlignment="1">
      <alignment vertical="top" wrapText="1"/>
    </xf>
    <xf numFmtId="0" fontId="11" fillId="0" borderId="67" xfId="0" applyFont="1" applyBorder="1" applyAlignment="1">
      <alignment wrapText="1"/>
    </xf>
    <xf numFmtId="0" fontId="4" fillId="18" borderId="82" xfId="0" applyFont="1" applyFill="1" applyBorder="1" applyAlignment="1">
      <alignment wrapText="1"/>
    </xf>
    <xf numFmtId="0" fontId="4" fillId="18" borderId="83" xfId="0" applyFont="1" applyFill="1" applyBorder="1"/>
    <xf numFmtId="0" fontId="4" fillId="18" borderId="84" xfId="0" applyFont="1" applyFill="1" applyBorder="1"/>
    <xf numFmtId="0" fontId="0" fillId="0" borderId="0" xfId="0" applyAlignment="1">
      <alignment horizontal="center"/>
    </xf>
    <xf numFmtId="0" fontId="0" fillId="0" borderId="94" xfId="0" applyBorder="1" applyAlignment="1">
      <alignment wrapText="1"/>
    </xf>
    <xf numFmtId="0" fontId="1" fillId="0" borderId="94" xfId="0" applyFont="1" applyBorder="1" applyAlignment="1">
      <alignment wrapText="1"/>
    </xf>
    <xf numFmtId="0" fontId="1" fillId="0" borderId="89" xfId="0" applyFont="1" applyBorder="1" applyAlignment="1">
      <alignment wrapText="1"/>
    </xf>
    <xf numFmtId="0" fontId="1" fillId="0" borderId="0" xfId="0" applyFont="1" applyAlignment="1">
      <alignment wrapText="1"/>
    </xf>
    <xf numFmtId="0" fontId="11" fillId="0" borderId="67" xfId="0" applyFont="1" applyBorder="1"/>
    <xf numFmtId="0" fontId="11" fillId="0" borderId="81" xfId="0" applyFont="1" applyBorder="1" applyAlignment="1">
      <alignment wrapText="1"/>
    </xf>
    <xf numFmtId="0" fontId="0" fillId="0" borderId="81" xfId="0" applyBorder="1"/>
    <xf numFmtId="0" fontId="0" fillId="0" borderId="95" xfId="0" applyBorder="1"/>
    <xf numFmtId="0" fontId="11" fillId="0" borderId="81" xfId="0" applyFont="1" applyBorder="1"/>
    <xf numFmtId="0" fontId="4" fillId="18" borderId="96" xfId="0" applyFont="1" applyFill="1" applyBorder="1"/>
    <xf numFmtId="0" fontId="4" fillId="18" borderId="82" xfId="0" applyFont="1" applyFill="1" applyBorder="1"/>
    <xf numFmtId="0" fontId="28" fillId="0" borderId="67" xfId="0" applyFont="1" applyBorder="1" applyAlignment="1">
      <alignment wrapText="1"/>
    </xf>
    <xf numFmtId="0" fontId="28" fillId="0" borderId="0" xfId="0" applyFont="1" applyAlignment="1">
      <alignment wrapText="1"/>
    </xf>
    <xf numFmtId="0" fontId="4" fillId="0" borderId="97" xfId="0" applyFont="1" applyBorder="1" applyAlignment="1">
      <alignment wrapText="1"/>
    </xf>
    <xf numFmtId="0" fontId="4" fillId="18" borderId="98" xfId="0" applyFont="1" applyFill="1" applyBorder="1" applyAlignment="1">
      <alignment wrapText="1"/>
    </xf>
    <xf numFmtId="0" fontId="27" fillId="0" borderId="67" xfId="0" applyFont="1" applyBorder="1" applyAlignment="1">
      <alignment wrapText="1"/>
    </xf>
    <xf numFmtId="0" fontId="4" fillId="18" borderId="86" xfId="0" applyFont="1" applyFill="1" applyBorder="1" applyAlignment="1">
      <alignment wrapText="1"/>
    </xf>
    <xf numFmtId="0" fontId="4" fillId="18" borderId="87" xfId="0" applyFont="1" applyFill="1" applyBorder="1"/>
    <xf numFmtId="0" fontId="4" fillId="18" borderId="93" xfId="0" applyFont="1" applyFill="1" applyBorder="1"/>
    <xf numFmtId="0" fontId="1" fillId="0" borderId="67" xfId="0" applyFont="1" applyBorder="1"/>
    <xf numFmtId="0" fontId="0" fillId="0" borderId="99" xfId="0" applyBorder="1"/>
    <xf numFmtId="0" fontId="6" fillId="0" borderId="81" xfId="0" applyFont="1" applyBorder="1" applyAlignment="1">
      <alignment wrapText="1"/>
    </xf>
    <xf numFmtId="0" fontId="6" fillId="0" borderId="67" xfId="0" applyFont="1" applyBorder="1" applyAlignment="1">
      <alignment wrapText="1"/>
    </xf>
    <xf numFmtId="0" fontId="1" fillId="0" borderId="0" xfId="0" applyFont="1"/>
    <xf numFmtId="0" fontId="6" fillId="0" borderId="0" xfId="0" applyFont="1"/>
    <xf numFmtId="0" fontId="29" fillId="0" borderId="67" xfId="0" applyFont="1" applyBorder="1" applyAlignment="1">
      <alignment wrapText="1"/>
    </xf>
    <xf numFmtId="0" fontId="1" fillId="0" borderId="100" xfId="0" applyFont="1" applyBorder="1"/>
    <xf numFmtId="0" fontId="11" fillId="0" borderId="80" xfId="0" applyFont="1" applyBorder="1" applyAlignment="1">
      <alignment wrapText="1"/>
    </xf>
    <xf numFmtId="0" fontId="1" fillId="0" borderId="80" xfId="0" applyFont="1" applyBorder="1"/>
    <xf numFmtId="0" fontId="1" fillId="0" borderId="67" xfId="0" applyFont="1" applyBorder="1" applyAlignment="1">
      <alignment wrapText="1"/>
    </xf>
    <xf numFmtId="0" fontId="0" fillId="0" borderId="80" xfId="0" applyBorder="1" applyAlignment="1">
      <alignment wrapText="1"/>
    </xf>
    <xf numFmtId="0" fontId="1" fillId="0" borderId="80" xfId="0" applyFont="1" applyBorder="1" applyAlignment="1">
      <alignment wrapText="1"/>
    </xf>
    <xf numFmtId="0" fontId="1" fillId="0" borderId="101" xfId="0" applyFont="1" applyBorder="1" applyAlignment="1">
      <alignment wrapText="1"/>
    </xf>
    <xf numFmtId="0" fontId="30" fillId="0" borderId="0" xfId="2" applyFont="1" applyAlignment="1"/>
    <xf numFmtId="0" fontId="28" fillId="0" borderId="0" xfId="0" applyFont="1" applyAlignment="1">
      <alignment vertical="top"/>
    </xf>
    <xf numFmtId="0" fontId="1" fillId="0" borderId="0" xfId="0" applyFont="1" applyAlignment="1">
      <alignment horizontal="left" vertical="top"/>
    </xf>
    <xf numFmtId="0" fontId="0" fillId="0" borderId="0" xfId="0" applyAlignment="1">
      <alignment horizontal="left"/>
    </xf>
    <xf numFmtId="0" fontId="11" fillId="0" borderId="102" xfId="0" applyFont="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center" vertical="center" wrapText="1"/>
    </xf>
    <xf numFmtId="0" fontId="10" fillId="0" borderId="0" xfId="0" applyFont="1"/>
    <xf numFmtId="0" fontId="11" fillId="0" borderId="0" xfId="0" applyFont="1"/>
    <xf numFmtId="0" fontId="4" fillId="69" borderId="0" xfId="0" applyFont="1" applyFill="1" applyAlignment="1">
      <alignment vertical="top" wrapText="1"/>
    </xf>
    <xf numFmtId="0" fontId="4" fillId="69" borderId="0" xfId="0" applyFont="1" applyFill="1" applyAlignment="1">
      <alignment horizontal="center" vertical="top" wrapText="1"/>
    </xf>
    <xf numFmtId="0" fontId="31" fillId="68" borderId="0" xfId="0" applyFont="1" applyFill="1" applyAlignment="1">
      <alignment vertical="top" wrapText="1"/>
    </xf>
    <xf numFmtId="0" fontId="0" fillId="15" borderId="0" xfId="0" applyFill="1" applyAlignment="1">
      <alignment horizontal="center" vertical="top" wrapText="1"/>
    </xf>
    <xf numFmtId="0" fontId="0" fillId="15" borderId="0" xfId="0" applyFill="1" applyAlignment="1">
      <alignment vertical="top" wrapText="1"/>
    </xf>
    <xf numFmtId="0" fontId="0" fillId="16" borderId="0" xfId="0" applyFill="1" applyAlignment="1">
      <alignment horizontal="center" vertical="top" wrapText="1"/>
    </xf>
    <xf numFmtId="0" fontId="0" fillId="42" borderId="0" xfId="0" applyFill="1" applyAlignment="1">
      <alignment horizontal="center" vertical="top" wrapText="1"/>
    </xf>
    <xf numFmtId="0" fontId="0" fillId="41" borderId="0" xfId="0" applyFill="1" applyAlignment="1">
      <alignment horizontal="center" vertical="top" wrapText="1"/>
    </xf>
    <xf numFmtId="0" fontId="31" fillId="63" borderId="0" xfId="0" applyFont="1" applyFill="1" applyAlignment="1">
      <alignment vertical="top" wrapText="1"/>
    </xf>
    <xf numFmtId="0" fontId="0" fillId="20" borderId="0" xfId="0" applyFill="1" applyAlignment="1">
      <alignment horizontal="center" vertical="top" wrapText="1"/>
    </xf>
    <xf numFmtId="0" fontId="0" fillId="19" borderId="0" xfId="0" applyFill="1" applyAlignment="1">
      <alignment vertical="top" wrapText="1"/>
    </xf>
    <xf numFmtId="0" fontId="0" fillId="67" borderId="0" xfId="0" applyFill="1" applyAlignment="1">
      <alignment horizontal="center" vertical="top" wrapText="1"/>
    </xf>
    <xf numFmtId="0" fontId="0" fillId="66" borderId="0" xfId="0" applyFill="1" applyAlignment="1">
      <alignment horizontal="center" vertical="top" wrapText="1"/>
    </xf>
    <xf numFmtId="0" fontId="0" fillId="65" borderId="0" xfId="0" applyFill="1" applyAlignment="1">
      <alignment horizontal="center" vertical="top" wrapText="1"/>
    </xf>
    <xf numFmtId="0" fontId="0" fillId="64" borderId="0" xfId="0" applyFill="1" applyAlignment="1">
      <alignment horizontal="center" vertical="top" wrapText="1"/>
    </xf>
    <xf numFmtId="0" fontId="0" fillId="64" borderId="0" xfId="0" applyFill="1" applyAlignment="1">
      <alignment horizontal="center" vertical="top"/>
    </xf>
    <xf numFmtId="0" fontId="0" fillId="63" borderId="0" xfId="0" applyFill="1" applyAlignment="1">
      <alignment horizontal="center" vertical="top" wrapText="1"/>
    </xf>
    <xf numFmtId="0" fontId="31" fillId="54" borderId="0" xfId="0" applyFont="1" applyFill="1" applyAlignment="1">
      <alignment vertical="top" wrapText="1"/>
    </xf>
    <xf numFmtId="0" fontId="0" fillId="18" borderId="0" xfId="0" applyFill="1" applyAlignment="1">
      <alignment horizontal="center" vertical="top" wrapText="1"/>
    </xf>
    <xf numFmtId="0" fontId="0" fillId="18" borderId="0" xfId="0" applyFill="1" applyAlignment="1">
      <alignment vertical="top" wrapText="1"/>
    </xf>
    <xf numFmtId="0" fontId="0" fillId="62" borderId="0" xfId="0" applyFill="1" applyAlignment="1">
      <alignment horizontal="center" vertical="top" wrapText="1"/>
    </xf>
    <xf numFmtId="0" fontId="0" fillId="61" borderId="0" xfId="0" applyFill="1" applyAlignment="1">
      <alignment horizontal="center" vertical="top" wrapText="1"/>
    </xf>
    <xf numFmtId="0" fontId="0" fillId="60" borderId="0" xfId="0" applyFill="1" applyAlignment="1">
      <alignment horizontal="center" vertical="top" wrapText="1"/>
    </xf>
    <xf numFmtId="0" fontId="0" fillId="59" borderId="0" xfId="0" applyFill="1" applyAlignment="1">
      <alignment horizontal="center" vertical="top" wrapText="1"/>
    </xf>
    <xf numFmtId="0" fontId="0" fillId="58" borderId="0" xfId="0" applyFill="1" applyAlignment="1">
      <alignment horizontal="center" vertical="top" wrapText="1"/>
    </xf>
    <xf numFmtId="0" fontId="0" fillId="57" borderId="0" xfId="0" applyFill="1" applyAlignment="1">
      <alignment horizontal="center" vertical="top" wrapText="1"/>
    </xf>
    <xf numFmtId="0" fontId="0" fillId="56" borderId="0" xfId="0" applyFill="1" applyAlignment="1">
      <alignment horizontal="center" vertical="top" wrapText="1"/>
    </xf>
    <xf numFmtId="0" fontId="0" fillId="55" borderId="0" xfId="0" applyFill="1" applyAlignment="1">
      <alignment horizontal="center" vertical="top" wrapText="1"/>
    </xf>
    <xf numFmtId="0" fontId="0" fillId="54" borderId="0" xfId="0" applyFill="1" applyAlignment="1">
      <alignment horizontal="center" vertical="top" wrapText="1"/>
    </xf>
    <xf numFmtId="0" fontId="32" fillId="34" borderId="0" xfId="0" applyFont="1" applyFill="1" applyAlignment="1">
      <alignment vertical="top" wrapText="1"/>
    </xf>
    <xf numFmtId="0" fontId="0" fillId="23" borderId="0" xfId="0" applyFill="1" applyAlignment="1">
      <alignment horizontal="center" vertical="top" wrapText="1"/>
    </xf>
    <xf numFmtId="0" fontId="0" fillId="23" borderId="0" xfId="0" applyFill="1" applyAlignment="1">
      <alignment vertical="top" wrapText="1"/>
    </xf>
    <xf numFmtId="0" fontId="0" fillId="22" borderId="0" xfId="0" applyFill="1" applyAlignment="1">
      <alignment horizontal="center" vertical="top" wrapText="1"/>
    </xf>
    <xf numFmtId="0" fontId="0" fillId="36" borderId="0" xfId="0" applyFill="1" applyAlignment="1">
      <alignment horizontal="center" vertical="top" wrapText="1"/>
    </xf>
    <xf numFmtId="0" fontId="0" fillId="34" borderId="0" xfId="0" applyFill="1" applyAlignment="1">
      <alignment horizontal="center" vertical="top" wrapText="1"/>
    </xf>
    <xf numFmtId="0" fontId="31" fillId="46" borderId="0" xfId="0" applyFont="1" applyFill="1" applyAlignment="1">
      <alignment vertical="top" wrapText="1"/>
    </xf>
    <xf numFmtId="0" fontId="0" fillId="45" borderId="0" xfId="0" applyFill="1" applyAlignment="1">
      <alignment horizontal="center" vertical="top" wrapText="1"/>
    </xf>
    <xf numFmtId="0" fontId="0" fillId="45" borderId="0" xfId="0" applyFill="1" applyAlignment="1">
      <alignment vertical="top" wrapText="1"/>
    </xf>
    <xf numFmtId="0" fontId="0" fillId="53" borderId="0" xfId="0" applyFill="1" applyAlignment="1">
      <alignment horizontal="center" vertical="top" wrapText="1"/>
    </xf>
    <xf numFmtId="0" fontId="0" fillId="52" borderId="0" xfId="0" applyFill="1" applyAlignment="1">
      <alignment horizontal="center" vertical="top" wrapText="1"/>
    </xf>
    <xf numFmtId="0" fontId="0" fillId="51" borderId="0" xfId="0" applyFill="1" applyAlignment="1">
      <alignment horizontal="center" vertical="top" wrapText="1"/>
    </xf>
    <xf numFmtId="0" fontId="0" fillId="50" borderId="0" xfId="0" applyFill="1" applyAlignment="1">
      <alignment horizontal="center" vertical="top" wrapText="1"/>
    </xf>
    <xf numFmtId="0" fontId="0" fillId="49" borderId="0" xfId="0" applyFill="1" applyAlignment="1">
      <alignment horizontal="center" vertical="top" wrapText="1"/>
    </xf>
    <xf numFmtId="0" fontId="0" fillId="48" borderId="0" xfId="0" applyFill="1" applyAlignment="1">
      <alignment horizontal="center" vertical="top" wrapText="1"/>
    </xf>
    <xf numFmtId="0" fontId="0" fillId="47" borderId="0" xfId="0" applyFill="1" applyAlignment="1">
      <alignment horizontal="center" vertical="top" wrapText="1"/>
    </xf>
    <xf numFmtId="0" fontId="0" fillId="46" borderId="0" xfId="0" applyFill="1" applyAlignment="1">
      <alignment horizontal="center" vertical="top" wrapText="1"/>
    </xf>
    <xf numFmtId="0" fontId="31" fillId="38" borderId="0" xfId="0" applyFont="1" applyFill="1" applyAlignment="1">
      <alignment vertical="top"/>
    </xf>
    <xf numFmtId="0" fontId="0" fillId="44" borderId="0" xfId="0" applyFill="1" applyAlignment="1">
      <alignment horizontal="center" vertical="top" wrapText="1"/>
    </xf>
    <xf numFmtId="0" fontId="0" fillId="43" borderId="0" xfId="0" applyFill="1" applyAlignment="1">
      <alignment horizontal="center" vertical="top"/>
    </xf>
    <xf numFmtId="0" fontId="0" fillId="16" borderId="0" xfId="0" applyFill="1" applyAlignment="1">
      <alignment horizontal="center" vertical="top"/>
    </xf>
    <xf numFmtId="0" fontId="0" fillId="41" borderId="0" xfId="0" applyFill="1" applyAlignment="1">
      <alignment horizontal="center" vertical="top"/>
    </xf>
    <xf numFmtId="0" fontId="0" fillId="40" borderId="0" xfId="0" applyFill="1" applyAlignment="1">
      <alignment horizontal="center" vertical="top"/>
    </xf>
    <xf numFmtId="0" fontId="0" fillId="39" borderId="0" xfId="0" applyFill="1" applyAlignment="1">
      <alignment horizontal="center" vertical="top"/>
    </xf>
    <xf numFmtId="0" fontId="0" fillId="37" borderId="0" xfId="0" applyFill="1" applyAlignment="1">
      <alignment horizontal="center" vertical="top"/>
    </xf>
    <xf numFmtId="0" fontId="31" fillId="34" borderId="0" xfId="0" applyFont="1" applyFill="1" applyAlignment="1">
      <alignment horizontal="center" vertical="top" wrapText="1"/>
    </xf>
    <xf numFmtId="0" fontId="0" fillId="0" borderId="0" xfId="0" applyAlignment="1">
      <alignment horizontal="center" vertical="top" wrapText="1"/>
    </xf>
    <xf numFmtId="0" fontId="0" fillId="35" borderId="0" xfId="0" applyFill="1" applyAlignment="1">
      <alignment horizontal="center" vertical="top" wrapText="1"/>
    </xf>
    <xf numFmtId="0" fontId="10" fillId="23" borderId="104" xfId="0" applyFont="1" applyFill="1" applyBorder="1" applyAlignment="1">
      <alignment vertical="top" wrapText="1"/>
    </xf>
    <xf numFmtId="0" fontId="0" fillId="23" borderId="103" xfId="0" applyFill="1" applyBorder="1" applyAlignment="1">
      <alignment vertical="top" wrapText="1"/>
    </xf>
    <xf numFmtId="0" fontId="10" fillId="23" borderId="103" xfId="0" applyFont="1" applyFill="1" applyBorder="1" applyAlignment="1">
      <alignment vertical="top" wrapText="1"/>
    </xf>
    <xf numFmtId="0" fontId="27" fillId="23" borderId="103" xfId="0" applyFont="1" applyFill="1" applyBorder="1" applyAlignment="1">
      <alignment vertical="top" wrapText="1"/>
    </xf>
    <xf numFmtId="0" fontId="11" fillId="23" borderId="103" xfId="0" applyFont="1" applyFill="1" applyBorder="1" applyAlignment="1">
      <alignment vertical="top" wrapText="1"/>
    </xf>
    <xf numFmtId="0" fontId="31" fillId="30" borderId="0" xfId="0" applyFont="1" applyFill="1" applyAlignment="1">
      <alignment horizontal="center" vertical="top" wrapText="1"/>
    </xf>
    <xf numFmtId="0" fontId="0" fillId="19" borderId="0" xfId="0" applyFill="1" applyAlignment="1">
      <alignment horizontal="center" vertical="top" wrapText="1"/>
    </xf>
    <xf numFmtId="0" fontId="0" fillId="19" borderId="0" xfId="0" applyFill="1" applyAlignment="1">
      <alignment horizontal="left" vertical="top" wrapText="1"/>
    </xf>
    <xf numFmtId="0" fontId="0" fillId="26" borderId="0" xfId="0" applyFill="1" applyAlignment="1">
      <alignment horizontal="center" vertical="top" wrapText="1"/>
    </xf>
    <xf numFmtId="0" fontId="0" fillId="33" borderId="0" xfId="0" applyFill="1" applyAlignment="1">
      <alignment horizontal="center" vertical="top"/>
    </xf>
    <xf numFmtId="0" fontId="0" fillId="32" borderId="0" xfId="0" applyFill="1" applyAlignment="1">
      <alignment horizontal="center" vertical="top"/>
    </xf>
    <xf numFmtId="0" fontId="0" fillId="31" borderId="0" xfId="0" applyFill="1" applyAlignment="1">
      <alignment horizontal="center" vertical="top" wrapText="1"/>
    </xf>
    <xf numFmtId="0" fontId="0" fillId="30" borderId="0" xfId="0" applyFill="1" applyAlignment="1">
      <alignment horizontal="center" vertical="top" wrapText="1"/>
    </xf>
    <xf numFmtId="0" fontId="0" fillId="0" borderId="0" xfId="0" applyAlignment="1">
      <alignment horizontal="center" vertical="top"/>
    </xf>
    <xf numFmtId="0" fontId="1" fillId="0" borderId="0" xfId="0" applyFont="1" applyAlignment="1">
      <alignment horizontal="center" vertical="center" wrapText="1"/>
    </xf>
    <xf numFmtId="0" fontId="0" fillId="29" borderId="0" xfId="0" applyFill="1" applyAlignment="1">
      <alignment horizontal="center" vertical="center" wrapText="1"/>
    </xf>
    <xf numFmtId="0" fontId="27" fillId="0" borderId="0" xfId="0" applyFont="1"/>
    <xf numFmtId="0" fontId="4" fillId="69" borderId="0" xfId="0" applyFont="1" applyFill="1" applyAlignment="1">
      <alignment vertical="center" wrapText="1"/>
    </xf>
    <xf numFmtId="0" fontId="4" fillId="69" borderId="0" xfId="0" applyFont="1" applyFill="1" applyAlignment="1">
      <alignment horizontal="left" vertical="center" wrapText="1"/>
    </xf>
    <xf numFmtId="0" fontId="4" fillId="70" borderId="0" xfId="0" applyFont="1" applyFill="1" applyAlignment="1">
      <alignment horizontal="left" vertical="center" wrapText="1"/>
    </xf>
    <xf numFmtId="0" fontId="4" fillId="70" borderId="0" xfId="0" applyFont="1" applyFill="1" applyAlignment="1">
      <alignment horizontal="center" vertical="center" wrapText="1"/>
    </xf>
    <xf numFmtId="0" fontId="4" fillId="71" borderId="0" xfId="0" applyFont="1" applyFill="1" applyAlignment="1">
      <alignment vertical="center" wrapText="1"/>
    </xf>
    <xf numFmtId="0" fontId="4" fillId="9" borderId="0" xfId="0" applyFont="1" applyFill="1" applyAlignment="1">
      <alignment horizontal="left" vertical="center" wrapText="1"/>
    </xf>
    <xf numFmtId="0" fontId="31" fillId="68" borderId="0" xfId="0" applyFont="1" applyFill="1" applyAlignment="1">
      <alignment vertical="center" wrapText="1"/>
    </xf>
    <xf numFmtId="0" fontId="28" fillId="0" borderId="0" xfId="0" applyFont="1" applyAlignment="1">
      <alignment horizontal="center" vertical="top" wrapText="1"/>
    </xf>
    <xf numFmtId="0" fontId="28" fillId="0" borderId="0" xfId="0" applyFont="1" applyAlignment="1">
      <alignment horizontal="center" vertical="center" wrapText="1"/>
    </xf>
    <xf numFmtId="0" fontId="4" fillId="0" borderId="0" xfId="0" applyFont="1" applyAlignment="1">
      <alignment horizontal="center" vertical="center" wrapText="1"/>
    </xf>
    <xf numFmtId="0" fontId="10" fillId="0" borderId="0" xfId="0" applyFont="1" applyAlignment="1">
      <alignment horizontal="left" vertical="center" wrapText="1"/>
    </xf>
    <xf numFmtId="0" fontId="0" fillId="16" borderId="0" xfId="0" applyFill="1" applyAlignment="1">
      <alignment vertical="top" wrapText="1"/>
    </xf>
    <xf numFmtId="0" fontId="0" fillId="42" borderId="0" xfId="0" applyFill="1" applyAlignment="1">
      <alignment vertical="top" wrapText="1"/>
    </xf>
    <xf numFmtId="0" fontId="0" fillId="41" borderId="0" xfId="0" applyFill="1" applyAlignment="1">
      <alignment vertical="top" wrapText="1"/>
    </xf>
    <xf numFmtId="0" fontId="31" fillId="63" borderId="0" xfId="0" applyFont="1" applyFill="1" applyAlignment="1">
      <alignment vertical="center" wrapText="1"/>
    </xf>
    <xf numFmtId="0" fontId="0" fillId="26" borderId="0" xfId="0" applyFill="1" applyAlignment="1">
      <alignment vertical="top" wrapText="1"/>
    </xf>
    <xf numFmtId="0" fontId="0" fillId="72" borderId="0" xfId="0" applyFill="1" applyAlignment="1">
      <alignment vertical="top" wrapText="1"/>
    </xf>
    <xf numFmtId="0" fontId="0" fillId="66" borderId="0" xfId="0" applyFill="1" applyAlignment="1">
      <alignment vertical="top" wrapText="1"/>
    </xf>
    <xf numFmtId="0" fontId="0" fillId="65" borderId="0" xfId="0" applyFill="1" applyAlignment="1">
      <alignment vertical="top" wrapText="1"/>
    </xf>
    <xf numFmtId="0" fontId="0" fillId="64" borderId="0" xfId="0" applyFill="1" applyAlignment="1">
      <alignment vertical="top" wrapText="1"/>
    </xf>
    <xf numFmtId="0" fontId="0" fillId="64" borderId="0" xfId="0" applyFill="1" applyAlignment="1">
      <alignment vertical="top"/>
    </xf>
    <xf numFmtId="0" fontId="0" fillId="63" borderId="0" xfId="0" applyFill="1" applyAlignment="1">
      <alignment vertical="top" wrapText="1"/>
    </xf>
    <xf numFmtId="0" fontId="31" fillId="54" borderId="0" xfId="0" applyFont="1" applyFill="1" applyAlignment="1">
      <alignment vertical="center" wrapText="1"/>
    </xf>
    <xf numFmtId="0" fontId="0" fillId="62" borderId="0" xfId="0" applyFill="1" applyAlignment="1">
      <alignment vertical="top" wrapText="1"/>
    </xf>
    <xf numFmtId="0" fontId="0" fillId="61" borderId="0" xfId="0" applyFill="1" applyAlignment="1">
      <alignment vertical="top" wrapText="1"/>
    </xf>
    <xf numFmtId="0" fontId="0" fillId="60" borderId="0" xfId="0" applyFill="1" applyAlignment="1">
      <alignment vertical="top" wrapText="1"/>
    </xf>
    <xf numFmtId="0" fontId="0" fillId="59" borderId="0" xfId="0" applyFill="1" applyAlignment="1">
      <alignment vertical="top" wrapText="1"/>
    </xf>
    <xf numFmtId="0" fontId="0" fillId="58" borderId="0" xfId="0" applyFill="1" applyAlignment="1">
      <alignment vertical="top" wrapText="1"/>
    </xf>
    <xf numFmtId="0" fontId="0" fillId="57" borderId="0" xfId="0" applyFill="1" applyAlignment="1">
      <alignment vertical="top" wrapText="1"/>
    </xf>
    <xf numFmtId="0" fontId="0" fillId="56" borderId="0" xfId="0" applyFill="1" applyAlignment="1">
      <alignment vertical="top" wrapText="1"/>
    </xf>
    <xf numFmtId="0" fontId="0" fillId="55" borderId="0" xfId="0" applyFill="1" applyAlignment="1">
      <alignment vertical="top" wrapText="1"/>
    </xf>
    <xf numFmtId="0" fontId="0" fillId="54" borderId="0" xfId="0" applyFill="1" applyAlignment="1">
      <alignment vertical="top" wrapText="1"/>
    </xf>
    <xf numFmtId="0" fontId="32" fillId="34" borderId="0" xfId="0" applyFont="1" applyFill="1" applyAlignment="1">
      <alignment vertical="center" wrapText="1"/>
    </xf>
    <xf numFmtId="0" fontId="0" fillId="22" borderId="0" xfId="0" applyFill="1" applyAlignment="1">
      <alignment vertical="top" wrapText="1"/>
    </xf>
    <xf numFmtId="0" fontId="0" fillId="36" borderId="0" xfId="0" applyFill="1" applyAlignment="1">
      <alignment vertical="top" wrapText="1"/>
    </xf>
    <xf numFmtId="0" fontId="0" fillId="34" borderId="0" xfId="0" applyFill="1" applyAlignment="1">
      <alignment vertical="top" wrapText="1"/>
    </xf>
    <xf numFmtId="0" fontId="31" fillId="46" borderId="0" xfId="0" applyFont="1" applyFill="1" applyAlignment="1">
      <alignment vertical="center" wrapText="1"/>
    </xf>
    <xf numFmtId="0" fontId="0" fillId="53" borderId="0" xfId="0" applyFill="1" applyAlignment="1">
      <alignment vertical="top" wrapText="1"/>
    </xf>
    <xf numFmtId="0" fontId="0" fillId="52" borderId="0" xfId="0" applyFill="1" applyAlignment="1">
      <alignment vertical="top" wrapText="1"/>
    </xf>
    <xf numFmtId="0" fontId="0" fillId="51" borderId="0" xfId="0" applyFill="1" applyAlignment="1">
      <alignment vertical="top" wrapText="1"/>
    </xf>
    <xf numFmtId="0" fontId="6" fillId="0" borderId="0" xfId="0" applyFont="1" applyAlignment="1">
      <alignment horizontal="center" vertical="center" wrapText="1"/>
    </xf>
    <xf numFmtId="0" fontId="0" fillId="50" borderId="0" xfId="0" applyFill="1" applyAlignment="1">
      <alignment vertical="top" wrapText="1"/>
    </xf>
    <xf numFmtId="0" fontId="0" fillId="49" borderId="0" xfId="0" applyFill="1" applyAlignment="1">
      <alignment vertical="top" wrapText="1"/>
    </xf>
    <xf numFmtId="0" fontId="0" fillId="48" borderId="0" xfId="0" applyFill="1" applyAlignment="1">
      <alignment vertical="top" wrapText="1"/>
    </xf>
    <xf numFmtId="0" fontId="0" fillId="47" borderId="0" xfId="0" applyFill="1" applyAlignment="1">
      <alignment vertical="top" wrapText="1"/>
    </xf>
    <xf numFmtId="0" fontId="0" fillId="46" borderId="0" xfId="0" applyFill="1" applyAlignment="1">
      <alignment vertical="top" wrapText="1"/>
    </xf>
    <xf numFmtId="0" fontId="31" fillId="38" borderId="0" xfId="0" applyFont="1" applyFill="1" applyAlignment="1">
      <alignment vertical="center"/>
    </xf>
    <xf numFmtId="0" fontId="0" fillId="0" borderId="0" xfId="0" applyAlignment="1">
      <alignment vertical="center"/>
    </xf>
    <xf numFmtId="0" fontId="0" fillId="44" borderId="0" xfId="0" applyFill="1" applyAlignment="1">
      <alignment vertical="top" wrapText="1"/>
    </xf>
    <xf numFmtId="0" fontId="0" fillId="43" borderId="0" xfId="0" applyFill="1" applyAlignment="1">
      <alignment vertical="top"/>
    </xf>
    <xf numFmtId="0" fontId="0" fillId="16" borderId="0" xfId="0" applyFill="1" applyAlignment="1">
      <alignment vertical="top"/>
    </xf>
    <xf numFmtId="0" fontId="0" fillId="41" borderId="0" xfId="0" applyFill="1" applyAlignment="1">
      <alignment vertical="top"/>
    </xf>
    <xf numFmtId="0" fontId="0" fillId="40" borderId="0" xfId="0" applyFill="1" applyAlignment="1">
      <alignment vertical="top"/>
    </xf>
    <xf numFmtId="0" fontId="0" fillId="39" borderId="0" xfId="0" applyFill="1" applyAlignment="1">
      <alignment vertical="top"/>
    </xf>
    <xf numFmtId="0" fontId="0" fillId="37" borderId="0" xfId="0" applyFill="1" applyAlignment="1">
      <alignment vertical="top"/>
    </xf>
    <xf numFmtId="0" fontId="31" fillId="34" borderId="0" xfId="0" applyFont="1" applyFill="1" applyAlignment="1">
      <alignment horizontal="center" vertical="center" wrapText="1"/>
    </xf>
    <xf numFmtId="0" fontId="0" fillId="35" borderId="0" xfId="0" applyFill="1" applyAlignment="1">
      <alignment vertical="top" wrapText="1"/>
    </xf>
    <xf numFmtId="0" fontId="33" fillId="0" borderId="0" xfId="0" applyFont="1" applyAlignment="1">
      <alignment vertical="top"/>
    </xf>
    <xf numFmtId="0" fontId="5"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applyAlignment="1">
      <alignment horizontal="left" vertical="top" wrapText="1"/>
    </xf>
    <xf numFmtId="0" fontId="33" fillId="0" borderId="0" xfId="0" applyFont="1" applyAlignment="1">
      <alignment horizontal="center" vertical="center"/>
    </xf>
    <xf numFmtId="0" fontId="5" fillId="0" borderId="78" xfId="0" applyFont="1" applyBorder="1" applyAlignment="1">
      <alignment horizontal="center" vertical="center" wrapText="1"/>
    </xf>
    <xf numFmtId="0" fontId="34" fillId="0" borderId="0" xfId="0" applyFont="1" applyAlignment="1">
      <alignment vertical="top"/>
    </xf>
    <xf numFmtId="0" fontId="31" fillId="30" borderId="0" xfId="0" applyFont="1" applyFill="1" applyAlignment="1">
      <alignment horizontal="center" vertical="center" wrapText="1"/>
    </xf>
    <xf numFmtId="0" fontId="0" fillId="20" borderId="0" xfId="0" applyFill="1" applyAlignment="1">
      <alignment vertical="top" wrapText="1"/>
    </xf>
    <xf numFmtId="0" fontId="0" fillId="33" borderId="0" xfId="0" applyFill="1" applyAlignment="1">
      <alignment vertical="top"/>
    </xf>
    <xf numFmtId="0" fontId="0" fillId="32" borderId="0" xfId="0" applyFill="1" applyAlignment="1">
      <alignment vertical="top"/>
    </xf>
    <xf numFmtId="0" fontId="0" fillId="31" borderId="0" xfId="0" applyFill="1" applyAlignment="1">
      <alignment vertical="top" wrapText="1"/>
    </xf>
    <xf numFmtId="0" fontId="0" fillId="30" borderId="0" xfId="0" applyFill="1" applyAlignment="1">
      <alignment vertical="top" wrapText="1"/>
    </xf>
    <xf numFmtId="0" fontId="31" fillId="73" borderId="0" xfId="0" applyFont="1" applyFill="1" applyAlignment="1">
      <alignment horizontal="center" vertical="center" wrapText="1"/>
    </xf>
    <xf numFmtId="0" fontId="31" fillId="74" borderId="0" xfId="0" applyFont="1" applyFill="1" applyAlignment="1">
      <alignment horizontal="left" vertical="center" wrapText="1"/>
    </xf>
    <xf numFmtId="0" fontId="0" fillId="75" borderId="0" xfId="0" applyFill="1" applyAlignment="1">
      <alignment vertical="top" wrapText="1"/>
    </xf>
    <xf numFmtId="0" fontId="28" fillId="0" borderId="0" xfId="0" applyFont="1" applyAlignment="1">
      <alignment horizontal="center" vertical="center"/>
    </xf>
    <xf numFmtId="0" fontId="28" fillId="0" borderId="0" xfId="0" applyFont="1"/>
    <xf numFmtId="0" fontId="4" fillId="69" borderId="0" xfId="0" applyFont="1" applyFill="1" applyAlignment="1">
      <alignment horizontal="center" vertical="center" wrapText="1"/>
    </xf>
    <xf numFmtId="0" fontId="35" fillId="0" borderId="0" xfId="0" applyFont="1" applyAlignment="1">
      <alignment horizontal="center" wrapText="1"/>
    </xf>
    <xf numFmtId="0" fontId="0" fillId="0" borderId="0" xfId="0" applyAlignment="1">
      <alignment horizontal="center" wrapText="1"/>
    </xf>
    <xf numFmtId="0" fontId="36" fillId="0" borderId="0" xfId="0" applyFont="1"/>
    <xf numFmtId="14" fontId="11" fillId="0" borderId="0" xfId="0" applyNumberFormat="1" applyFont="1"/>
    <xf numFmtId="0" fontId="36" fillId="0" borderId="79" xfId="0" applyFont="1" applyBorder="1" applyAlignment="1">
      <alignment wrapText="1"/>
    </xf>
    <xf numFmtId="0" fontId="10" fillId="0" borderId="105" xfId="0" applyFont="1" applyBorder="1" applyAlignment="1">
      <alignment wrapText="1"/>
    </xf>
    <xf numFmtId="0" fontId="11" fillId="0" borderId="105" xfId="0" applyFont="1" applyBorder="1" applyAlignment="1">
      <alignment wrapText="1"/>
    </xf>
    <xf numFmtId="0" fontId="11" fillId="0" borderId="79" xfId="0" applyFont="1" applyBorder="1"/>
    <xf numFmtId="0" fontId="10" fillId="0" borderId="105" xfId="0" applyFont="1" applyBorder="1"/>
    <xf numFmtId="0" fontId="31" fillId="76" borderId="0" xfId="0" applyFont="1" applyFill="1" applyAlignment="1">
      <alignment horizontal="center" vertical="center" wrapText="1"/>
    </xf>
    <xf numFmtId="0" fontId="11" fillId="77" borderId="0" xfId="0" applyFont="1" applyFill="1" applyAlignment="1">
      <alignment vertical="top" wrapText="1"/>
    </xf>
    <xf numFmtId="0" fontId="10" fillId="77" borderId="0" xfId="0" applyFont="1" applyFill="1" applyAlignment="1">
      <alignment vertical="top" wrapText="1"/>
    </xf>
    <xf numFmtId="0" fontId="4" fillId="78" borderId="0" xfId="0" applyFont="1" applyFill="1" applyAlignment="1">
      <alignment vertical="center" wrapText="1"/>
    </xf>
    <xf numFmtId="0" fontId="0" fillId="0" borderId="0" xfId="0" applyAlignment="1">
      <alignment vertical="center" wrapText="1"/>
    </xf>
    <xf numFmtId="0" fontId="0" fillId="0" borderId="67" xfId="0" applyBorder="1" applyAlignment="1">
      <alignment horizontal="center" vertical="center" wrapText="1"/>
    </xf>
    <xf numFmtId="0" fontId="4" fillId="23" borderId="67" xfId="0" applyFont="1" applyFill="1" applyBorder="1" applyAlignment="1">
      <alignment horizontal="center" vertical="center" wrapText="1"/>
    </xf>
    <xf numFmtId="0" fontId="1" fillId="0" borderId="67" xfId="0" applyFont="1" applyBorder="1" applyAlignment="1">
      <alignment horizontal="center" vertical="center" wrapText="1"/>
    </xf>
    <xf numFmtId="0" fontId="13" fillId="0" borderId="0" xfId="0" applyFont="1"/>
    <xf numFmtId="1" fontId="0" fillId="0" borderId="0" xfId="0" applyNumberFormat="1"/>
    <xf numFmtId="0" fontId="0" fillId="77" borderId="67" xfId="0" applyFill="1" applyBorder="1" applyAlignment="1">
      <alignment vertical="top"/>
    </xf>
    <xf numFmtId="0" fontId="42" fillId="0" borderId="0" xfId="0" applyFont="1"/>
    <xf numFmtId="0" fontId="0" fillId="80" borderId="67" xfId="0" applyFill="1" applyBorder="1" applyAlignment="1">
      <alignment vertical="top"/>
    </xf>
    <xf numFmtId="0" fontId="0" fillId="81" borderId="67" xfId="0" applyFill="1" applyBorder="1" applyAlignment="1">
      <alignment vertical="top"/>
    </xf>
    <xf numFmtId="0" fontId="4" fillId="29" borderId="0" xfId="0" applyFont="1" applyFill="1"/>
    <xf numFmtId="0" fontId="0" fillId="79" borderId="67" xfId="0" applyFill="1" applyBorder="1" applyAlignment="1">
      <alignment vertical="top"/>
    </xf>
    <xf numFmtId="0" fontId="43" fillId="0" borderId="67" xfId="0" applyFont="1" applyBorder="1" applyAlignment="1">
      <alignment horizontal="center" vertical="center" wrapText="1"/>
    </xf>
    <xf numFmtId="0" fontId="4" fillId="29" borderId="67" xfId="0" applyFont="1" applyFill="1" applyBorder="1" applyAlignment="1">
      <alignment horizontal="center" vertical="center"/>
    </xf>
    <xf numFmtId="0" fontId="5" fillId="29" borderId="67" xfId="0" applyFont="1" applyFill="1" applyBorder="1" applyAlignment="1">
      <alignment horizontal="center" vertical="center" wrapText="1"/>
    </xf>
    <xf numFmtId="49" fontId="3" fillId="12" borderId="2" xfId="0" applyNumberFormat="1" applyFont="1" applyFill="1" applyBorder="1" applyAlignment="1">
      <alignment vertical="center" wrapText="1"/>
    </xf>
    <xf numFmtId="0" fontId="4" fillId="29" borderId="67" xfId="0" applyFont="1" applyFill="1" applyBorder="1" applyAlignment="1">
      <alignment horizontal="center" vertical="center" textRotation="45" wrapText="1"/>
    </xf>
    <xf numFmtId="0" fontId="4" fillId="29" borderId="67" xfId="0" applyFont="1" applyFill="1" applyBorder="1" applyAlignment="1">
      <alignment horizontal="center" vertical="center" wrapText="1"/>
    </xf>
    <xf numFmtId="0" fontId="6" fillId="0" borderId="67" xfId="0" applyFont="1" applyBorder="1" applyAlignment="1">
      <alignment horizontal="center" vertical="center" wrapText="1"/>
    </xf>
    <xf numFmtId="0" fontId="4" fillId="23" borderId="78" xfId="0" applyFont="1" applyFill="1" applyBorder="1" applyAlignment="1">
      <alignment horizontal="center" vertical="center" wrapText="1"/>
    </xf>
    <xf numFmtId="0" fontId="0" fillId="0" borderId="78" xfId="0" applyBorder="1" applyAlignment="1">
      <alignment horizontal="center" vertical="center" wrapText="1"/>
    </xf>
    <xf numFmtId="0" fontId="4" fillId="29" borderId="80" xfId="0" applyFont="1" applyFill="1" applyBorder="1" applyAlignment="1">
      <alignment horizontal="center" vertical="center"/>
    </xf>
    <xf numFmtId="0" fontId="4" fillId="23" borderId="67" xfId="0" applyFont="1" applyFill="1" applyBorder="1" applyAlignment="1">
      <alignment horizontal="left" vertical="top"/>
    </xf>
    <xf numFmtId="0" fontId="9" fillId="0" borderId="67" xfId="0" applyFont="1" applyBorder="1" applyAlignment="1">
      <alignment vertical="top"/>
    </xf>
    <xf numFmtId="0" fontId="4" fillId="0" borderId="86"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49" fontId="3" fillId="18" borderId="29" xfId="0" applyNumberFormat="1" applyFont="1" applyFill="1" applyBorder="1" applyAlignment="1">
      <alignment horizontal="center" vertical="center" wrapText="1"/>
    </xf>
    <xf numFmtId="49" fontId="3" fillId="18" borderId="28" xfId="0" applyNumberFormat="1" applyFont="1" applyFill="1" applyBorder="1" applyAlignment="1">
      <alignment horizontal="center" vertical="center" wrapText="1"/>
    </xf>
    <xf numFmtId="49" fontId="3" fillId="18" borderId="26" xfId="0" applyNumberFormat="1" applyFont="1" applyFill="1" applyBorder="1" applyAlignment="1">
      <alignment horizontal="center" vertical="center" wrapText="1"/>
    </xf>
    <xf numFmtId="0" fontId="3" fillId="18" borderId="30" xfId="0" applyFont="1" applyFill="1" applyBorder="1" applyAlignment="1">
      <alignment horizontal="left" vertical="center" wrapText="1"/>
    </xf>
    <xf numFmtId="0" fontId="3" fillId="18" borderId="0" xfId="0" applyFont="1" applyFill="1" applyAlignment="1">
      <alignment horizontal="left" vertical="center" wrapText="1"/>
    </xf>
    <xf numFmtId="0" fontId="3" fillId="18" borderId="72" xfId="0" applyFont="1" applyFill="1" applyBorder="1" applyAlignment="1">
      <alignment horizontal="left" vertical="center" wrapText="1"/>
    </xf>
    <xf numFmtId="49" fontId="4" fillId="4" borderId="0" xfId="0" applyNumberFormat="1" applyFont="1" applyFill="1" applyAlignment="1">
      <alignment horizontal="center" vertical="top" wrapText="1"/>
    </xf>
    <xf numFmtId="0" fontId="3" fillId="18" borderId="111" xfId="0" applyFont="1" applyFill="1" applyBorder="1" applyAlignment="1">
      <alignment horizontal="center" vertical="center"/>
    </xf>
    <xf numFmtId="0" fontId="3" fillId="18" borderId="107" xfId="0" applyFont="1" applyFill="1" applyBorder="1" applyAlignment="1">
      <alignment horizontal="center" vertical="center"/>
    </xf>
    <xf numFmtId="0" fontId="3" fillId="18" borderId="110" xfId="0" applyFont="1" applyFill="1" applyBorder="1" applyAlignment="1">
      <alignment horizontal="center" vertical="center"/>
    </xf>
    <xf numFmtId="0" fontId="3" fillId="21" borderId="47" xfId="0" applyFont="1" applyFill="1" applyBorder="1" applyAlignment="1">
      <alignment horizontal="center" vertical="top"/>
    </xf>
    <xf numFmtId="0" fontId="3" fillId="21" borderId="0" xfId="0" applyFont="1" applyFill="1" applyAlignment="1">
      <alignment horizontal="center" vertical="top"/>
    </xf>
    <xf numFmtId="0" fontId="3" fillId="20" borderId="37" xfId="0" applyFont="1" applyFill="1" applyBorder="1" applyAlignment="1">
      <alignment horizontal="center" vertical="top"/>
    </xf>
    <xf numFmtId="0" fontId="3" fillId="20" borderId="33" xfId="0" applyFont="1" applyFill="1" applyBorder="1" applyAlignment="1">
      <alignment horizontal="center" vertical="top"/>
    </xf>
    <xf numFmtId="0" fontId="3" fillId="20" borderId="35" xfId="0" applyFont="1" applyFill="1" applyBorder="1" applyAlignment="1">
      <alignment horizontal="center" vertical="top"/>
    </xf>
    <xf numFmtId="49" fontId="3" fillId="19" borderId="37" xfId="0" applyNumberFormat="1" applyFont="1" applyFill="1" applyBorder="1" applyAlignment="1">
      <alignment horizontal="center" vertical="center" wrapText="1"/>
    </xf>
    <xf numFmtId="0" fontId="3" fillId="25" borderId="46" xfId="0" applyFont="1" applyFill="1" applyBorder="1" applyAlignment="1">
      <alignment horizontal="center" vertical="center" wrapText="1"/>
    </xf>
    <xf numFmtId="0" fontId="3" fillId="25" borderId="43" xfId="0" applyFont="1" applyFill="1" applyBorder="1" applyAlignment="1">
      <alignment horizontal="center" vertical="center" wrapText="1"/>
    </xf>
    <xf numFmtId="0" fontId="3" fillId="25" borderId="48" xfId="0" applyFont="1" applyFill="1" applyBorder="1" applyAlignment="1">
      <alignment horizontal="center" vertical="center" wrapText="1"/>
    </xf>
    <xf numFmtId="0" fontId="3" fillId="21" borderId="47" xfId="0" applyFont="1" applyFill="1" applyBorder="1" applyAlignment="1">
      <alignment horizontal="left" vertical="top" wrapText="1"/>
    </xf>
    <xf numFmtId="0" fontId="3" fillId="21" borderId="0" xfId="0" applyFont="1" applyFill="1" applyAlignment="1">
      <alignment horizontal="left" vertical="top" wrapText="1"/>
    </xf>
    <xf numFmtId="0" fontId="3" fillId="17" borderId="31" xfId="0" applyFont="1" applyFill="1" applyBorder="1" applyAlignment="1">
      <alignment horizontal="left" vertical="top" wrapText="1"/>
    </xf>
    <xf numFmtId="0" fontId="3" fillId="17" borderId="27" xfId="0" applyFont="1" applyFill="1" applyBorder="1" applyAlignment="1">
      <alignment horizontal="left" vertical="top" wrapText="1"/>
    </xf>
    <xf numFmtId="0" fontId="3" fillId="25" borderId="47" xfId="0" applyFont="1" applyFill="1" applyBorder="1" applyAlignment="1">
      <alignment horizontal="left" vertical="center" wrapText="1"/>
    </xf>
    <xf numFmtId="0" fontId="3" fillId="25" borderId="0" xfId="0" applyFont="1" applyFill="1" applyAlignment="1">
      <alignment horizontal="left" vertical="center" wrapText="1"/>
    </xf>
    <xf numFmtId="0" fontId="3" fillId="25" borderId="74" xfId="0" applyFont="1" applyFill="1" applyBorder="1" applyAlignment="1">
      <alignment horizontal="left" vertical="center" wrapText="1"/>
    </xf>
    <xf numFmtId="49" fontId="3" fillId="19" borderId="32" xfId="0" applyNumberFormat="1" applyFont="1" applyFill="1" applyBorder="1" applyAlignment="1">
      <alignment horizontal="center" vertical="center" wrapText="1"/>
    </xf>
    <xf numFmtId="49" fontId="3" fillId="19" borderId="33" xfId="0" applyNumberFormat="1" applyFont="1" applyFill="1" applyBorder="1" applyAlignment="1">
      <alignment horizontal="center" vertical="center" wrapText="1"/>
    </xf>
    <xf numFmtId="49" fontId="3" fillId="19" borderId="35" xfId="0" applyNumberFormat="1" applyFont="1" applyFill="1" applyBorder="1" applyAlignment="1">
      <alignment horizontal="center" vertical="center" wrapText="1"/>
    </xf>
    <xf numFmtId="0" fontId="3" fillId="19" borderId="73" xfId="0" applyFont="1" applyFill="1" applyBorder="1" applyAlignment="1">
      <alignment horizontal="left" vertical="center" wrapText="1"/>
    </xf>
    <xf numFmtId="0" fontId="3" fillId="19" borderId="0" xfId="0" applyFont="1" applyFill="1" applyAlignment="1">
      <alignment horizontal="left" vertical="center" wrapText="1"/>
    </xf>
    <xf numFmtId="0" fontId="3" fillId="19" borderId="65" xfId="0" applyFont="1" applyFill="1" applyBorder="1" applyAlignment="1">
      <alignment horizontal="left" vertical="center" wrapText="1"/>
    </xf>
    <xf numFmtId="0" fontId="10" fillId="19" borderId="73" xfId="0" applyFont="1" applyFill="1" applyBorder="1" applyAlignment="1">
      <alignment horizontal="left" vertical="center" wrapText="1"/>
    </xf>
    <xf numFmtId="0" fontId="3" fillId="20" borderId="38" xfId="0" applyFont="1" applyFill="1" applyBorder="1" applyAlignment="1">
      <alignment horizontal="left" vertical="top" wrapText="1"/>
    </xf>
    <xf numFmtId="0" fontId="3" fillId="16" borderId="15" xfId="0" applyFont="1" applyFill="1" applyBorder="1" applyAlignment="1">
      <alignment horizontal="center" vertical="top"/>
    </xf>
    <xf numFmtId="0" fontId="3" fillId="16" borderId="17" xfId="0" applyFont="1" applyFill="1" applyBorder="1" applyAlignment="1">
      <alignment horizontal="center" vertical="top"/>
    </xf>
    <xf numFmtId="0" fontId="3" fillId="16" borderId="19" xfId="0" applyFont="1" applyFill="1" applyBorder="1" applyAlignment="1">
      <alignment horizontal="center" vertical="top"/>
    </xf>
    <xf numFmtId="0" fontId="3" fillId="15" borderId="23" xfId="0" applyFont="1" applyFill="1" applyBorder="1" applyAlignment="1">
      <alignment vertical="center" wrapText="1"/>
    </xf>
    <xf numFmtId="49" fontId="3" fillId="15" borderId="21" xfId="0" applyNumberFormat="1" applyFont="1" applyFill="1" applyBorder="1" applyAlignment="1">
      <alignment horizontal="center" vertical="center" wrapText="1"/>
    </xf>
    <xf numFmtId="0" fontId="3" fillId="15" borderId="23" xfId="0" applyFont="1" applyFill="1" applyBorder="1" applyAlignment="1">
      <alignment horizontal="left" vertical="center" wrapText="1"/>
    </xf>
    <xf numFmtId="0" fontId="3" fillId="14" borderId="14" xfId="0" applyFont="1" applyFill="1" applyBorder="1" applyAlignment="1">
      <alignment vertical="center" wrapText="1"/>
    </xf>
    <xf numFmtId="0" fontId="3" fillId="16" borderId="16" xfId="0" applyFont="1" applyFill="1" applyBorder="1" applyAlignment="1">
      <alignment horizontal="left" vertical="top" wrapText="1"/>
    </xf>
    <xf numFmtId="0" fontId="3" fillId="16" borderId="18" xfId="0" applyFont="1" applyFill="1" applyBorder="1" applyAlignment="1">
      <alignment horizontal="left" vertical="top" wrapText="1"/>
    </xf>
    <xf numFmtId="0" fontId="3" fillId="16" borderId="20" xfId="0" applyFont="1" applyFill="1" applyBorder="1" applyAlignment="1">
      <alignment horizontal="left" vertical="top" wrapText="1"/>
    </xf>
    <xf numFmtId="0" fontId="3" fillId="15" borderId="70" xfId="0" applyFont="1" applyFill="1" applyBorder="1" applyAlignment="1">
      <alignment horizontal="left" vertical="center" wrapText="1"/>
    </xf>
    <xf numFmtId="0" fontId="3" fillId="15" borderId="71" xfId="0" applyFont="1" applyFill="1" applyBorder="1" applyAlignment="1">
      <alignment horizontal="left" vertical="center" wrapText="1"/>
    </xf>
    <xf numFmtId="49" fontId="3" fillId="15" borderId="15" xfId="0" applyNumberFormat="1" applyFont="1" applyFill="1" applyBorder="1" applyAlignment="1">
      <alignment horizontal="center" vertical="center" wrapText="1"/>
    </xf>
    <xf numFmtId="49" fontId="3" fillId="15" borderId="17" xfId="0" applyNumberFormat="1" applyFont="1" applyFill="1" applyBorder="1" applyAlignment="1">
      <alignment horizontal="center" vertical="center" wrapText="1"/>
    </xf>
    <xf numFmtId="49" fontId="3" fillId="15" borderId="19" xfId="0" applyNumberFormat="1" applyFont="1" applyFill="1" applyBorder="1" applyAlignment="1">
      <alignment horizontal="center" vertical="center" wrapText="1"/>
    </xf>
    <xf numFmtId="0" fontId="3" fillId="22" borderId="57" xfId="0" applyFont="1" applyFill="1" applyBorder="1" applyAlignment="1">
      <alignment horizontal="center" vertical="top"/>
    </xf>
    <xf numFmtId="0" fontId="3" fillId="22" borderId="0" xfId="0" applyFont="1" applyFill="1" applyAlignment="1">
      <alignment horizontal="center" vertical="top"/>
    </xf>
    <xf numFmtId="0" fontId="3" fillId="22" borderId="58" xfId="0" applyFont="1" applyFill="1" applyBorder="1" applyAlignment="1">
      <alignment horizontal="center" vertical="top"/>
    </xf>
    <xf numFmtId="0" fontId="3" fillId="22" borderId="56" xfId="0" applyFont="1" applyFill="1" applyBorder="1" applyAlignment="1">
      <alignment horizontal="left" vertical="top" wrapText="1"/>
    </xf>
    <xf numFmtId="0" fontId="3" fillId="22" borderId="50" xfId="0" applyFont="1" applyFill="1" applyBorder="1" applyAlignment="1">
      <alignment horizontal="left" vertical="top" wrapText="1"/>
    </xf>
    <xf numFmtId="0" fontId="3" fillId="22" borderId="51" xfId="0" applyFont="1" applyFill="1" applyBorder="1" applyAlignment="1">
      <alignment horizontal="left" vertical="top" wrapText="1"/>
    </xf>
    <xf numFmtId="49" fontId="3" fillId="23" borderId="22" xfId="0" applyNumberFormat="1" applyFont="1" applyFill="1" applyBorder="1" applyAlignment="1">
      <alignment horizontal="center" vertical="center" wrapText="1"/>
    </xf>
    <xf numFmtId="49" fontId="3" fillId="23" borderId="58" xfId="0" applyNumberFormat="1" applyFont="1" applyFill="1" applyBorder="1" applyAlignment="1">
      <alignment horizontal="center" vertical="center" wrapText="1"/>
    </xf>
    <xf numFmtId="0" fontId="3" fillId="23" borderId="57" xfId="0" applyFont="1" applyFill="1" applyBorder="1" applyAlignment="1">
      <alignment horizontal="left" vertical="center" wrapText="1"/>
    </xf>
    <xf numFmtId="0" fontId="3" fillId="23" borderId="0" xfId="0" applyFont="1" applyFill="1" applyAlignment="1">
      <alignment horizontal="left" vertical="center" wrapText="1"/>
    </xf>
    <xf numFmtId="0" fontId="3" fillId="20" borderId="34" xfId="0" applyFont="1" applyFill="1" applyBorder="1" applyAlignment="1">
      <alignment horizontal="left" vertical="top" wrapText="1"/>
    </xf>
    <xf numFmtId="0" fontId="3" fillId="20" borderId="36" xfId="0" applyFont="1" applyFill="1" applyBorder="1" applyAlignment="1">
      <alignment horizontal="left" vertical="top" wrapText="1"/>
    </xf>
    <xf numFmtId="0" fontId="6" fillId="19" borderId="73" xfId="0" applyFont="1" applyFill="1" applyBorder="1" applyAlignment="1">
      <alignment horizontal="left" vertical="center" wrapText="1"/>
    </xf>
    <xf numFmtId="0" fontId="3" fillId="19" borderId="32" xfId="0" applyFont="1" applyFill="1" applyBorder="1" applyAlignment="1">
      <alignment horizontal="center" vertical="center"/>
    </xf>
    <xf numFmtId="0" fontId="3" fillId="19" borderId="33" xfId="0" applyFont="1" applyFill="1" applyBorder="1" applyAlignment="1">
      <alignment horizontal="center" vertical="center"/>
    </xf>
    <xf numFmtId="0" fontId="3" fillId="19" borderId="35" xfId="0" applyFont="1" applyFill="1" applyBorder="1" applyAlignment="1">
      <alignment horizontal="center" vertical="center"/>
    </xf>
    <xf numFmtId="0" fontId="11" fillId="19" borderId="73" xfId="0" applyFont="1" applyFill="1" applyBorder="1" applyAlignment="1">
      <alignment horizontal="left" vertical="center" wrapText="1"/>
    </xf>
    <xf numFmtId="0" fontId="3" fillId="11" borderId="6" xfId="0" applyFont="1" applyFill="1" applyBorder="1" applyAlignment="1">
      <alignment horizontal="center" vertical="top"/>
    </xf>
    <xf numFmtId="0" fontId="3" fillId="11" borderId="7" xfId="0" applyFont="1" applyFill="1" applyBorder="1" applyAlignment="1">
      <alignment horizontal="center" vertical="top"/>
    </xf>
    <xf numFmtId="0" fontId="3" fillId="11" borderId="8" xfId="0" applyFont="1" applyFill="1" applyBorder="1" applyAlignment="1">
      <alignment horizontal="center" vertical="top"/>
    </xf>
    <xf numFmtId="49" fontId="3" fillId="12" borderId="2" xfId="0" applyNumberFormat="1" applyFont="1" applyFill="1" applyBorder="1" applyAlignment="1">
      <alignment horizontal="center" vertical="center" wrapText="1"/>
    </xf>
    <xf numFmtId="0" fontId="3" fillId="12" borderId="9" xfId="0" applyFont="1" applyFill="1" applyBorder="1" applyAlignment="1">
      <alignment vertical="center" wrapText="1"/>
    </xf>
    <xf numFmtId="0" fontId="3" fillId="11" borderId="3" xfId="0" applyFont="1" applyFill="1" applyBorder="1" applyAlignment="1">
      <alignment horizontal="left" vertical="top" wrapText="1"/>
    </xf>
    <xf numFmtId="0" fontId="3" fillId="11" borderId="4" xfId="0" applyFont="1" applyFill="1" applyBorder="1" applyAlignment="1">
      <alignment horizontal="left" vertical="top" wrapText="1"/>
    </xf>
    <xf numFmtId="0" fontId="3" fillId="12" borderId="68" xfId="0" applyFont="1" applyFill="1" applyBorder="1" applyAlignment="1">
      <alignment horizontal="left" vertical="center" wrapText="1"/>
    </xf>
    <xf numFmtId="0" fontId="3" fillId="12" borderId="0" xfId="0" applyFont="1" applyFill="1" applyAlignment="1">
      <alignment horizontal="left" vertical="center" wrapText="1"/>
    </xf>
    <xf numFmtId="0" fontId="3" fillId="12" borderId="69" xfId="0" applyFont="1" applyFill="1" applyBorder="1" applyAlignment="1">
      <alignment horizontal="left" vertical="center" wrapText="1"/>
    </xf>
    <xf numFmtId="49" fontId="3" fillId="12" borderId="6" xfId="0" applyNumberFormat="1" applyFont="1" applyFill="1" applyBorder="1" applyAlignment="1">
      <alignment horizontal="center" vertical="center" wrapText="1"/>
    </xf>
    <xf numFmtId="49" fontId="3" fillId="12" borderId="7" xfId="0" applyNumberFormat="1" applyFont="1" applyFill="1" applyBorder="1" applyAlignment="1">
      <alignment horizontal="center" vertical="center" wrapText="1"/>
    </xf>
    <xf numFmtId="49" fontId="3" fillId="12" borderId="8" xfId="0" applyNumberFormat="1" applyFont="1" applyFill="1" applyBorder="1" applyAlignment="1">
      <alignment horizontal="center" vertical="center" wrapText="1"/>
    </xf>
    <xf numFmtId="0" fontId="3" fillId="11" borderId="5" xfId="0" applyFont="1" applyFill="1" applyBorder="1" applyAlignment="1">
      <alignment horizontal="left" vertical="top" wrapText="1"/>
    </xf>
    <xf numFmtId="0" fontId="3" fillId="12" borderId="9" xfId="0" applyFont="1" applyFill="1" applyBorder="1" applyAlignment="1">
      <alignment horizontal="left" vertical="center" wrapText="1"/>
    </xf>
    <xf numFmtId="0" fontId="6" fillId="18" borderId="108" xfId="0" applyFont="1" applyFill="1" applyBorder="1" applyAlignment="1">
      <alignment horizontal="left" vertical="center" wrapText="1"/>
    </xf>
    <xf numFmtId="0" fontId="6" fillId="18" borderId="110" xfId="0" applyFont="1" applyFill="1" applyBorder="1" applyAlignment="1">
      <alignment horizontal="left" vertical="center" wrapText="1"/>
    </xf>
    <xf numFmtId="49" fontId="3" fillId="18" borderId="24" xfId="0" applyNumberFormat="1" applyFont="1" applyFill="1" applyBorder="1" applyAlignment="1">
      <alignment horizontal="center" vertical="center" wrapText="1"/>
    </xf>
    <xf numFmtId="0" fontId="3" fillId="15" borderId="108" xfId="0" applyFont="1" applyFill="1" applyBorder="1" applyAlignment="1">
      <alignment horizontal="center" vertical="center" wrapText="1"/>
    </xf>
    <xf numFmtId="0" fontId="3" fillId="15" borderId="107" xfId="0" applyFont="1" applyFill="1" applyBorder="1" applyAlignment="1">
      <alignment horizontal="center" vertical="center" wrapText="1"/>
    </xf>
    <xf numFmtId="0" fontId="3" fillId="15" borderId="109" xfId="0" applyFont="1" applyFill="1" applyBorder="1" applyAlignment="1">
      <alignment horizontal="center" vertical="center" wrapText="1"/>
    </xf>
    <xf numFmtId="49" fontId="3" fillId="23" borderId="53" xfId="0" applyNumberFormat="1" applyFont="1" applyFill="1" applyBorder="1" applyAlignment="1">
      <alignment horizontal="center" vertical="center" wrapText="1"/>
    </xf>
    <xf numFmtId="49" fontId="3" fillId="23" borderId="54" xfId="0" applyNumberFormat="1" applyFont="1" applyFill="1" applyBorder="1" applyAlignment="1">
      <alignment horizontal="center" vertical="center" wrapText="1"/>
    </xf>
    <xf numFmtId="0" fontId="3" fillId="23" borderId="40" xfId="0" applyFont="1" applyFill="1" applyBorder="1" applyAlignment="1">
      <alignment horizontal="center" vertical="center"/>
    </xf>
    <xf numFmtId="0" fontId="3" fillId="23" borderId="58" xfId="0" applyFont="1" applyFill="1" applyBorder="1" applyAlignment="1">
      <alignment horizontal="left" vertical="center" wrapText="1"/>
    </xf>
    <xf numFmtId="49" fontId="3" fillId="23" borderId="57" xfId="0" applyNumberFormat="1" applyFont="1" applyFill="1" applyBorder="1" applyAlignment="1">
      <alignment horizontal="center" vertical="center" wrapText="1"/>
    </xf>
    <xf numFmtId="49" fontId="3" fillId="23" borderId="0" xfId="0" applyNumberFormat="1" applyFont="1" applyFill="1" applyAlignment="1">
      <alignment horizontal="center" vertical="center" wrapText="1"/>
    </xf>
    <xf numFmtId="49" fontId="3" fillId="14" borderId="13" xfId="0" applyNumberFormat="1" applyFont="1" applyFill="1" applyBorder="1" applyAlignment="1">
      <alignment horizontal="center" vertical="center" wrapText="1"/>
    </xf>
    <xf numFmtId="0" fontId="4" fillId="0" borderId="78" xfId="0" applyFont="1" applyBorder="1" applyAlignment="1">
      <alignment horizontal="center" vertical="top"/>
    </xf>
    <xf numFmtId="0" fontId="4" fillId="0" borderId="80" xfId="0" applyFont="1" applyBorder="1" applyAlignment="1">
      <alignment horizontal="center" vertical="top"/>
    </xf>
    <xf numFmtId="0" fontId="4" fillId="0" borderId="79" xfId="0" applyFont="1" applyBorder="1" applyAlignment="1">
      <alignment horizontal="center" vertical="top"/>
    </xf>
    <xf numFmtId="0" fontId="3" fillId="25" borderId="42" xfId="0" applyFont="1" applyFill="1" applyBorder="1" applyAlignment="1">
      <alignment horizontal="center" vertical="center" wrapText="1"/>
    </xf>
    <xf numFmtId="0" fontId="3" fillId="25" borderId="66" xfId="0" applyFont="1" applyFill="1" applyBorder="1" applyAlignment="1">
      <alignment horizontal="center" vertical="center" wrapText="1"/>
    </xf>
    <xf numFmtId="0" fontId="3" fillId="25" borderId="75" xfId="0" applyFont="1" applyFill="1" applyBorder="1" applyAlignment="1">
      <alignment horizontal="left" vertical="center" wrapText="1"/>
    </xf>
    <xf numFmtId="0" fontId="3" fillId="25" borderId="77" xfId="0" applyFont="1" applyFill="1" applyBorder="1" applyAlignment="1">
      <alignment horizontal="left" vertical="center" wrapText="1"/>
    </xf>
    <xf numFmtId="0" fontId="3" fillId="23" borderId="55" xfId="0" applyFont="1" applyFill="1" applyBorder="1" applyAlignment="1">
      <alignment horizontal="left" vertical="center" wrapText="1"/>
    </xf>
    <xf numFmtId="0" fontId="3" fillId="19" borderId="39" xfId="0" applyFont="1" applyFill="1" applyBorder="1" applyAlignment="1">
      <alignment horizontal="left" vertical="center" wrapText="1"/>
    </xf>
    <xf numFmtId="0" fontId="3" fillId="23" borderId="60" xfId="0" applyFont="1" applyFill="1" applyBorder="1" applyAlignment="1">
      <alignment horizontal="center" vertical="center"/>
    </xf>
    <xf numFmtId="0" fontId="3" fillId="23" borderId="59" xfId="0" applyFont="1" applyFill="1" applyBorder="1" applyAlignment="1">
      <alignment horizontal="center" vertical="center"/>
    </xf>
    <xf numFmtId="0" fontId="3" fillId="23" borderId="68" xfId="0" applyFont="1" applyFill="1" applyBorder="1" applyAlignment="1">
      <alignment vertical="center" wrapText="1"/>
    </xf>
    <xf numFmtId="0" fontId="3" fillId="23" borderId="0" xfId="0" applyFont="1" applyFill="1" applyAlignment="1">
      <alignment vertical="center" wrapText="1"/>
    </xf>
    <xf numFmtId="0" fontId="3" fillId="23" borderId="55" xfId="0" applyFont="1" applyFill="1" applyBorder="1" applyAlignment="1">
      <alignment vertical="center" wrapText="1"/>
    </xf>
    <xf numFmtId="0" fontId="3" fillId="23" borderId="40" xfId="0" applyFont="1" applyFill="1" applyBorder="1" applyAlignment="1">
      <alignment vertical="center" wrapText="1"/>
    </xf>
    <xf numFmtId="0" fontId="3" fillId="12" borderId="106" xfId="0" applyFont="1" applyFill="1" applyBorder="1" applyAlignment="1">
      <alignment horizontal="center" vertical="center" wrapText="1"/>
    </xf>
    <xf numFmtId="0" fontId="3" fillId="12" borderId="107" xfId="0" applyFont="1" applyFill="1" applyBorder="1" applyAlignment="1">
      <alignment horizontal="center" vertical="center" wrapText="1"/>
    </xf>
    <xf numFmtId="0" fontId="20" fillId="0" borderId="0" xfId="1" applyFont="1" applyAlignment="1">
      <alignment horizontal="center" vertical="top"/>
    </xf>
    <xf numFmtId="0" fontId="20" fillId="0" borderId="0" xfId="1" applyFont="1" applyAlignment="1">
      <alignment horizontal="left" vertical="top" wrapText="1"/>
    </xf>
    <xf numFmtId="0" fontId="0" fillId="0" borderId="67" xfId="0" applyFill="1" applyBorder="1" applyAlignment="1">
      <alignment horizontal="left" vertical="top" wrapText="1"/>
    </xf>
    <xf numFmtId="0" fontId="33" fillId="0" borderId="80" xfId="0" applyFont="1" applyFill="1" applyBorder="1" applyAlignment="1">
      <alignment wrapText="1"/>
    </xf>
    <xf numFmtId="0" fontId="0" fillId="0" borderId="67" xfId="0" applyFill="1" applyBorder="1" applyAlignment="1">
      <alignment vertical="top" wrapText="1"/>
    </xf>
    <xf numFmtId="0" fontId="3" fillId="0" borderId="67" xfId="0" applyFont="1" applyFill="1" applyBorder="1" applyAlignment="1">
      <alignment vertical="top" wrapText="1"/>
    </xf>
    <xf numFmtId="0" fontId="10" fillId="0" borderId="67" xfId="0" applyFont="1" applyFill="1" applyBorder="1" applyAlignment="1">
      <alignment horizontal="left" vertical="top" wrapText="1"/>
    </xf>
    <xf numFmtId="0" fontId="0" fillId="0" borderId="67" xfId="0" applyFill="1" applyBorder="1" applyAlignment="1">
      <alignment vertical="top"/>
    </xf>
    <xf numFmtId="0" fontId="33" fillId="0" borderId="0" xfId="0" applyFont="1" applyFill="1" applyAlignment="1">
      <alignment wrapText="1"/>
    </xf>
    <xf numFmtId="0" fontId="0" fillId="0" borderId="67" xfId="0" applyFill="1" applyBorder="1" applyAlignment="1">
      <alignment horizontal="center" vertical="center"/>
    </xf>
    <xf numFmtId="0" fontId="0" fillId="0" borderId="67" xfId="0" applyFill="1" applyBorder="1" applyAlignment="1">
      <alignment horizontal="center" vertical="center" wrapText="1"/>
    </xf>
    <xf numFmtId="0" fontId="8" fillId="0" borderId="67" xfId="0" applyFont="1" applyFill="1" applyBorder="1" applyAlignment="1">
      <alignment horizontal="left" vertical="top" wrapText="1"/>
    </xf>
    <xf numFmtId="0" fontId="1" fillId="0" borderId="67" xfId="0" applyFont="1" applyFill="1" applyBorder="1" applyAlignment="1">
      <alignment horizontal="left" vertical="top" wrapText="1"/>
    </xf>
    <xf numFmtId="0" fontId="27" fillId="0" borderId="80" xfId="0" applyFont="1" applyFill="1" applyBorder="1" applyAlignment="1">
      <alignment wrapText="1"/>
    </xf>
    <xf numFmtId="0" fontId="33" fillId="0" borderId="80" xfId="0" applyFont="1" applyFill="1" applyBorder="1" applyAlignment="1">
      <alignment vertical="top" wrapText="1"/>
    </xf>
    <xf numFmtId="0" fontId="0" fillId="0" borderId="0" xfId="0" applyFill="1" applyAlignment="1">
      <alignment horizontal="center" vertical="center"/>
    </xf>
    <xf numFmtId="0" fontId="3" fillId="0" borderId="67" xfId="0" applyFont="1" applyFill="1" applyBorder="1" applyAlignment="1">
      <alignment horizontal="left" vertical="top" wrapText="1"/>
    </xf>
    <xf numFmtId="0" fontId="38" fillId="0" borderId="80" xfId="0" applyFont="1" applyFill="1" applyBorder="1" applyAlignment="1">
      <alignment wrapText="1"/>
    </xf>
    <xf numFmtId="0" fontId="3" fillId="0" borderId="67" xfId="0" applyFont="1" applyFill="1" applyBorder="1" applyAlignment="1">
      <alignment vertical="top"/>
    </xf>
    <xf numFmtId="0" fontId="3" fillId="0" borderId="80" xfId="0" applyFont="1" applyFill="1" applyBorder="1" applyAlignment="1">
      <alignment vertical="top" wrapText="1"/>
    </xf>
    <xf numFmtId="0" fontId="44" fillId="0" borderId="67" xfId="0" applyFont="1" applyFill="1" applyBorder="1" applyAlignment="1">
      <alignment horizontal="left" vertical="top" wrapText="1"/>
    </xf>
    <xf numFmtId="0" fontId="39" fillId="0" borderId="80" xfId="0" applyFont="1" applyFill="1" applyBorder="1" applyAlignment="1">
      <alignment wrapText="1"/>
    </xf>
    <xf numFmtId="0" fontId="0" fillId="0" borderId="80" xfId="0" applyFill="1" applyBorder="1" applyAlignment="1">
      <alignment vertical="top"/>
    </xf>
    <xf numFmtId="0" fontId="0" fillId="0" borderId="80" xfId="0" applyFill="1" applyBorder="1" applyAlignment="1">
      <alignment vertical="top" wrapText="1"/>
    </xf>
    <xf numFmtId="0" fontId="0" fillId="0" borderId="0" xfId="0" applyFill="1" applyAlignment="1">
      <alignment horizontal="left" vertical="center" wrapText="1"/>
    </xf>
    <xf numFmtId="0" fontId="3" fillId="0" borderId="0" xfId="0" applyFont="1" applyFill="1" applyAlignment="1">
      <alignment vertical="top" wrapText="1"/>
    </xf>
    <xf numFmtId="0" fontId="0" fillId="0" borderId="67" xfId="0" quotePrefix="1" applyFill="1" applyBorder="1" applyAlignment="1">
      <alignment vertical="top" wrapText="1"/>
    </xf>
    <xf numFmtId="0" fontId="45" fillId="0" borderId="67" xfId="0" applyFont="1" applyFill="1" applyBorder="1" applyAlignment="1">
      <alignment horizontal="left" vertical="top" wrapText="1"/>
    </xf>
    <xf numFmtId="0" fontId="40" fillId="0" borderId="80" xfId="0" applyFont="1" applyFill="1" applyBorder="1" applyAlignment="1">
      <alignment wrapText="1"/>
    </xf>
    <xf numFmtId="0" fontId="3" fillId="0" borderId="67" xfId="0" applyFont="1" applyFill="1" applyBorder="1" applyAlignment="1">
      <alignment horizontal="left" vertical="center" wrapText="1"/>
    </xf>
    <xf numFmtId="0" fontId="0" fillId="0" borderId="0" xfId="0" applyFill="1" applyAlignment="1">
      <alignment vertical="top" wrapText="1"/>
    </xf>
    <xf numFmtId="0" fontId="9" fillId="0" borderId="67" xfId="0" applyFont="1" applyFill="1" applyBorder="1" applyAlignment="1">
      <alignment vertical="top" wrapText="1"/>
    </xf>
    <xf numFmtId="0" fontId="9" fillId="0" borderId="67" xfId="0" applyFont="1" applyFill="1" applyBorder="1" applyAlignment="1">
      <alignment vertical="top"/>
    </xf>
    <xf numFmtId="0" fontId="0" fillId="0" borderId="0" xfId="0" applyFill="1" applyAlignment="1">
      <alignment horizontal="left" vertical="top"/>
    </xf>
    <xf numFmtId="0" fontId="0" fillId="0" borderId="0" xfId="0" applyFill="1" applyAlignment="1">
      <alignment vertical="top"/>
    </xf>
    <xf numFmtId="0" fontId="4" fillId="0" borderId="78" xfId="0" applyFont="1" applyFill="1" applyBorder="1" applyAlignment="1">
      <alignment horizontal="center" vertical="top"/>
    </xf>
    <xf numFmtId="0" fontId="4" fillId="0" borderId="80" xfId="0" applyFont="1" applyFill="1" applyBorder="1" applyAlignment="1">
      <alignment horizontal="center" vertical="top"/>
    </xf>
    <xf numFmtId="0" fontId="3" fillId="0" borderId="67" xfId="0" applyFont="1" applyFill="1" applyBorder="1" applyAlignment="1">
      <alignment horizontal="center" vertical="center" wrapText="1"/>
    </xf>
    <xf numFmtId="0" fontId="0" fillId="0" borderId="78" xfId="0" applyFill="1" applyBorder="1" applyAlignment="1">
      <alignment horizontal="center" vertical="center" wrapText="1"/>
    </xf>
    <xf numFmtId="0" fontId="18" fillId="0" borderId="0" xfId="1" applyAlignment="1"/>
  </cellXfs>
  <cellStyles count="3">
    <cellStyle name="Enllaç" xfId="2" builtinId="8"/>
    <cellStyle name="Normal" xfId="0" builtinId="0"/>
    <cellStyle name="Normal 2" xfId="1" xr:uid="{00000000-0005-0000-0000-000002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99CC0D"/>
      <color rgb="FFF8FAB8"/>
      <color rgb="FFDCC8B6"/>
      <color rgb="FFAE8055"/>
      <color rgb="FFC5A385"/>
      <color rgb="FF3D9B35"/>
      <color rgb="FFFABC20"/>
      <color rgb="FFF85C26"/>
      <color rgb="FF00ABD4"/>
      <color rgb="FFBC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609600" y="1104900"/>
          <a:ext cx="7944959" cy="5201376"/>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13" workbookViewId="0">
      <selection activeCell="A4" sqref="A4"/>
    </sheetView>
  </sheetViews>
  <sheetFormatPr defaultColWidth="8.7109375" defaultRowHeight="14.45"/>
  <sheetData>
    <row r="3" spans="3:3" ht="26.1">
      <c r="C3" s="126" t="s">
        <v>0</v>
      </c>
    </row>
    <row r="4" spans="3:3" ht="26.1">
      <c r="C4" s="126"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election activeCell="B24" sqref="B24"/>
    </sheetView>
  </sheetViews>
  <sheetFormatPr defaultColWidth="8.7109375" defaultRowHeight="14.45"/>
  <cols>
    <col min="1" max="1" width="23.42578125" style="74" customWidth="1"/>
    <col min="2" max="2" width="95.28515625" style="74" customWidth="1"/>
  </cols>
  <sheetData>
    <row r="1" spans="1:2">
      <c r="A1" s="125" t="s">
        <v>2</v>
      </c>
      <c r="B1" s="124"/>
    </row>
    <row r="2" spans="1:2" ht="29.1">
      <c r="A2" s="156" t="s">
        <v>3</v>
      </c>
      <c r="B2" s="157" t="s">
        <v>4</v>
      </c>
    </row>
    <row r="3" spans="1:2">
      <c r="A3" s="157"/>
      <c r="B3" s="157"/>
    </row>
    <row r="4" spans="1:2" ht="43.5">
      <c r="A4" s="156" t="s">
        <v>5</v>
      </c>
      <c r="B4" s="157" t="s">
        <v>6</v>
      </c>
    </row>
    <row r="5" spans="1:2">
      <c r="A5" s="157"/>
      <c r="B5" s="157"/>
    </row>
    <row r="6" spans="1:2">
      <c r="A6" s="123" t="s">
        <v>7</v>
      </c>
      <c r="B6" s="124"/>
    </row>
    <row r="7" spans="1:2" ht="15.6">
      <c r="A7" s="86" t="s">
        <v>8</v>
      </c>
    </row>
    <row r="8" spans="1:2">
      <c r="B8" s="74" t="s">
        <v>9</v>
      </c>
    </row>
    <row r="9" spans="1:2" ht="29.1">
      <c r="B9" s="74" t="s">
        <v>10</v>
      </c>
    </row>
    <row r="10" spans="1:2" ht="29.1">
      <c r="B10" s="74" t="s">
        <v>11</v>
      </c>
    </row>
    <row r="11" spans="1:2">
      <c r="B11" s="74" t="s">
        <v>12</v>
      </c>
    </row>
    <row r="14" spans="1:2" ht="15.6">
      <c r="A14" s="86" t="s">
        <v>13</v>
      </c>
    </row>
    <row r="15" spans="1:2" ht="29.1">
      <c r="A15" s="87" t="s">
        <v>14</v>
      </c>
      <c r="B15" s="74" t="s">
        <v>15</v>
      </c>
    </row>
    <row r="16" spans="1:2">
      <c r="B16" s="74" t="s">
        <v>16</v>
      </c>
    </row>
    <row r="17" spans="1:2" ht="29.1">
      <c r="B17" s="74" t="s">
        <v>17</v>
      </c>
    </row>
    <row r="18" spans="1:2" ht="43.5">
      <c r="B18" s="74" t="s">
        <v>18</v>
      </c>
    </row>
    <row r="19" spans="1:2" ht="43.5">
      <c r="B19" s="74" t="s">
        <v>19</v>
      </c>
    </row>
    <row r="20" spans="1:2" ht="43.5">
      <c r="B20" s="74" t="s">
        <v>20</v>
      </c>
    </row>
    <row r="21" spans="1:2" ht="29.1">
      <c r="B21" s="74" t="s">
        <v>21</v>
      </c>
    </row>
    <row r="22" spans="1:2" ht="57.95">
      <c r="A22" s="87" t="s">
        <v>22</v>
      </c>
      <c r="B22" s="74" t="s">
        <v>23</v>
      </c>
    </row>
    <row r="23" spans="1:2" ht="43.5">
      <c r="B23" s="74" t="s">
        <v>24</v>
      </c>
    </row>
    <row r="24" spans="1:2" ht="47.65" customHeight="1">
      <c r="A24" s="87" t="s">
        <v>25</v>
      </c>
      <c r="B24" s="74" t="s">
        <v>26</v>
      </c>
    </row>
    <row r="25" spans="1:2">
      <c r="A25" s="87" t="s">
        <v>27</v>
      </c>
      <c r="B25" s="74" t="s">
        <v>28</v>
      </c>
    </row>
    <row r="26" spans="1:2" ht="29.1">
      <c r="A26" s="87" t="s">
        <v>29</v>
      </c>
      <c r="B26" s="74" t="s">
        <v>30</v>
      </c>
    </row>
    <row r="27" spans="1:2">
      <c r="A27" s="87" t="s">
        <v>31</v>
      </c>
      <c r="B27" s="74" t="s">
        <v>32</v>
      </c>
    </row>
    <row r="28" spans="1:2">
      <c r="A28" s="87" t="s">
        <v>33</v>
      </c>
      <c r="B28" s="74" t="s">
        <v>34</v>
      </c>
    </row>
    <row r="30" spans="1:2">
      <c r="A30" s="123" t="s">
        <v>35</v>
      </c>
      <c r="B30" s="124"/>
    </row>
    <row r="31" spans="1:2" ht="43.5">
      <c r="A31" s="74" t="s">
        <v>36</v>
      </c>
      <c r="B31" s="74" t="s">
        <v>37</v>
      </c>
    </row>
    <row r="32" spans="1:2" ht="29.1">
      <c r="B32" s="74" t="s">
        <v>38</v>
      </c>
    </row>
    <row r="33" spans="2:2" ht="29.1">
      <c r="B33" s="74"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159"/>
  <sheetViews>
    <sheetView zoomScale="85" zoomScaleNormal="85" workbookViewId="0">
      <selection activeCell="C5" sqref="C5"/>
    </sheetView>
  </sheetViews>
  <sheetFormatPr defaultColWidth="8.7109375" defaultRowHeight="15" customHeight="1"/>
  <cols>
    <col min="1" max="1" width="51.42578125" style="74" customWidth="1"/>
    <col min="2" max="2" width="22.5703125" customWidth="1"/>
    <col min="3" max="3" width="10" customWidth="1"/>
    <col min="4" max="4" width="8.7109375" customWidth="1"/>
    <col min="5" max="5" width="12.7109375" customWidth="1"/>
    <col min="6" max="6" width="13" customWidth="1"/>
    <col min="7" max="7" width="23.28515625" customWidth="1"/>
    <col min="8" max="8" width="22.28515625" customWidth="1"/>
    <col min="9" max="9" width="22" customWidth="1"/>
    <col min="10" max="10" width="23" customWidth="1"/>
    <col min="11" max="11" width="26.42578125" customWidth="1"/>
  </cols>
  <sheetData>
    <row r="1" spans="1:14" ht="14.65" customHeight="1">
      <c r="A1" s="164"/>
      <c r="B1" s="164"/>
      <c r="C1" s="164"/>
      <c r="D1" s="164"/>
    </row>
    <row r="2" spans="1:14" ht="14.45">
      <c r="A2" s="208" t="s">
        <v>40</v>
      </c>
      <c r="B2" s="171"/>
      <c r="C2" s="171"/>
      <c r="D2" s="171"/>
    </row>
    <row r="3" spans="1:14" ht="14.45" hidden="1">
      <c r="A3" s="165" t="s">
        <v>41</v>
      </c>
      <c r="B3" s="185"/>
      <c r="C3" s="185"/>
      <c r="D3" s="185"/>
      <c r="E3" s="161"/>
      <c r="F3" s="161"/>
      <c r="G3" s="162"/>
      <c r="H3" s="162"/>
      <c r="I3" s="401" t="s">
        <v>42</v>
      </c>
      <c r="J3" s="402"/>
      <c r="K3" s="402"/>
      <c r="L3" s="403"/>
    </row>
    <row r="4" spans="1:14" ht="14.45" hidden="1">
      <c r="A4" s="168" t="s">
        <v>43</v>
      </c>
      <c r="B4" s="186" t="s">
        <v>44</v>
      </c>
      <c r="C4" s="186" t="s">
        <v>45</v>
      </c>
      <c r="D4" s="186" t="s">
        <v>46</v>
      </c>
      <c r="E4" s="169" t="s">
        <v>47</v>
      </c>
      <c r="F4" s="169" t="s">
        <v>48</v>
      </c>
      <c r="G4" s="181" t="s">
        <v>49</v>
      </c>
      <c r="H4" s="181" t="s">
        <v>50</v>
      </c>
      <c r="I4" s="182" t="s">
        <v>51</v>
      </c>
      <c r="J4" s="182" t="s">
        <v>52</v>
      </c>
      <c r="K4" s="182" t="s">
        <v>53</v>
      </c>
      <c r="L4" s="170" t="s">
        <v>54</v>
      </c>
      <c r="N4" t="s">
        <v>55</v>
      </c>
    </row>
    <row r="5" spans="1:14" ht="43.5" customHeight="1">
      <c r="A5" s="177" t="s">
        <v>56</v>
      </c>
      <c r="B5" s="177"/>
      <c r="C5" s="177" t="s">
        <v>57</v>
      </c>
      <c r="D5" s="177" t="s">
        <v>57</v>
      </c>
      <c r="E5" s="180"/>
      <c r="F5" s="167"/>
      <c r="G5" s="209" t="s">
        <v>58</v>
      </c>
      <c r="H5" s="178"/>
      <c r="I5" s="178" t="s">
        <v>59</v>
      </c>
      <c r="J5" s="178" t="s">
        <v>60</v>
      </c>
      <c r="K5" s="178" t="s">
        <v>61</v>
      </c>
      <c r="L5" s="178"/>
      <c r="N5" t="s">
        <v>62</v>
      </c>
    </row>
    <row r="6" spans="1:14" ht="29.1" customHeight="1">
      <c r="A6" s="167" t="s">
        <v>63</v>
      </c>
      <c r="B6" s="167"/>
      <c r="C6" s="167" t="s">
        <v>57</v>
      </c>
      <c r="D6" s="177" t="s">
        <v>57</v>
      </c>
      <c r="E6" s="176"/>
      <c r="F6" s="167"/>
      <c r="G6" s="209" t="s">
        <v>58</v>
      </c>
      <c r="H6" s="129"/>
      <c r="I6" s="178" t="s">
        <v>59</v>
      </c>
      <c r="J6" s="178" t="s">
        <v>60</v>
      </c>
      <c r="K6" s="178" t="s">
        <v>61</v>
      </c>
      <c r="L6" s="158"/>
      <c r="N6" t="s">
        <v>64</v>
      </c>
    </row>
    <row r="7" spans="1:14" ht="14.65" customHeight="1">
      <c r="A7" s="167" t="s">
        <v>65</v>
      </c>
      <c r="B7" s="167" t="s">
        <v>57</v>
      </c>
      <c r="C7" s="167" t="s">
        <v>57</v>
      </c>
      <c r="D7" s="177" t="s">
        <v>57</v>
      </c>
      <c r="E7" s="129"/>
      <c r="F7" s="167"/>
      <c r="G7" s="209" t="s">
        <v>58</v>
      </c>
      <c r="H7" s="129"/>
      <c r="I7" s="178" t="s">
        <v>66</v>
      </c>
      <c r="J7" s="178" t="s">
        <v>67</v>
      </c>
      <c r="K7" s="178" t="s">
        <v>60</v>
      </c>
      <c r="L7" s="158"/>
      <c r="N7" t="s">
        <v>68</v>
      </c>
    </row>
    <row r="8" spans="1:14" ht="14.65" customHeight="1">
      <c r="A8" s="167" t="s">
        <v>69</v>
      </c>
      <c r="B8" s="167"/>
      <c r="C8" s="167" t="s">
        <v>57</v>
      </c>
      <c r="D8" s="177" t="s">
        <v>57</v>
      </c>
      <c r="E8" s="176"/>
      <c r="F8" s="167"/>
      <c r="G8" s="209" t="s">
        <v>58</v>
      </c>
      <c r="H8" s="129"/>
      <c r="I8" s="178" t="s">
        <v>66</v>
      </c>
      <c r="J8" s="178" t="s">
        <v>67</v>
      </c>
      <c r="K8" s="178" t="s">
        <v>60</v>
      </c>
      <c r="L8" s="158"/>
    </row>
    <row r="9" spans="1:14" ht="43.5" customHeight="1">
      <c r="A9" s="167" t="s">
        <v>70</v>
      </c>
      <c r="B9" s="167"/>
      <c r="C9" s="167" t="s">
        <v>57</v>
      </c>
      <c r="D9" s="177" t="s">
        <v>57</v>
      </c>
      <c r="E9" s="129"/>
      <c r="F9" s="167"/>
      <c r="G9" s="209" t="s">
        <v>58</v>
      </c>
      <c r="H9" s="129"/>
      <c r="I9" s="178" t="s">
        <v>66</v>
      </c>
      <c r="J9" s="178" t="s">
        <v>67</v>
      </c>
      <c r="K9" s="178" t="s">
        <v>60</v>
      </c>
      <c r="L9" s="158"/>
      <c r="N9" s="163" t="s">
        <v>71</v>
      </c>
    </row>
    <row r="10" spans="1:14" ht="29.1" customHeight="1">
      <c r="A10" s="167" t="s">
        <v>72</v>
      </c>
      <c r="B10" s="167"/>
      <c r="C10" s="167" t="s">
        <v>57</v>
      </c>
      <c r="D10" s="177" t="s">
        <v>57</v>
      </c>
      <c r="E10" s="176"/>
      <c r="F10" s="167"/>
      <c r="G10" s="209" t="s">
        <v>58</v>
      </c>
      <c r="H10" s="129"/>
      <c r="I10" s="178" t="s">
        <v>66</v>
      </c>
      <c r="J10" s="178" t="s">
        <v>67</v>
      </c>
      <c r="K10" s="178" t="s">
        <v>60</v>
      </c>
      <c r="L10" s="158"/>
    </row>
    <row r="11" spans="1:14" ht="14.65" customHeight="1">
      <c r="A11" s="167" t="s">
        <v>73</v>
      </c>
      <c r="B11" s="167" t="s">
        <v>57</v>
      </c>
      <c r="C11" s="167" t="s">
        <v>57</v>
      </c>
      <c r="D11" s="177" t="s">
        <v>57</v>
      </c>
      <c r="E11" s="129" t="s">
        <v>57</v>
      </c>
      <c r="F11" s="167"/>
      <c r="G11" s="209" t="s">
        <v>58</v>
      </c>
      <c r="H11" s="129"/>
      <c r="I11" s="178" t="s">
        <v>59</v>
      </c>
      <c r="J11" s="178" t="s">
        <v>74</v>
      </c>
      <c r="K11" s="178" t="s">
        <v>66</v>
      </c>
      <c r="L11" s="158"/>
    </row>
    <row r="12" spans="1:14" ht="14.65" hidden="1" customHeight="1">
      <c r="A12" s="167" t="s">
        <v>75</v>
      </c>
      <c r="B12" s="187"/>
      <c r="C12" s="167" t="s">
        <v>57</v>
      </c>
      <c r="D12" s="177" t="s">
        <v>57</v>
      </c>
      <c r="E12" s="129" t="s">
        <v>57</v>
      </c>
      <c r="F12" s="167"/>
      <c r="G12" s="209" t="s">
        <v>76</v>
      </c>
      <c r="H12" s="129" t="s">
        <v>77</v>
      </c>
      <c r="I12" s="178"/>
      <c r="J12" s="178"/>
      <c r="K12" s="178"/>
      <c r="L12" s="158"/>
    </row>
    <row r="13" spans="1:14" ht="29.1" customHeight="1">
      <c r="A13" s="167" t="s">
        <v>78</v>
      </c>
      <c r="B13" s="167"/>
      <c r="C13" s="167" t="s">
        <v>57</v>
      </c>
      <c r="D13" s="177" t="s">
        <v>57</v>
      </c>
      <c r="E13" s="176"/>
      <c r="F13" s="167"/>
      <c r="G13" s="209" t="s">
        <v>58</v>
      </c>
      <c r="H13" s="129"/>
      <c r="I13" s="178" t="s">
        <v>59</v>
      </c>
      <c r="J13" s="178" t="s">
        <v>74</v>
      </c>
      <c r="K13" s="178" t="s">
        <v>79</v>
      </c>
      <c r="L13" s="158"/>
    </row>
    <row r="14" spans="1:14" ht="29.1" hidden="1" customHeight="1">
      <c r="A14" s="167" t="s">
        <v>80</v>
      </c>
      <c r="B14" s="187"/>
      <c r="C14" s="167" t="s">
        <v>57</v>
      </c>
      <c r="D14" s="177" t="s">
        <v>57</v>
      </c>
      <c r="E14" s="129" t="s">
        <v>57</v>
      </c>
      <c r="F14" s="167"/>
      <c r="G14" s="209" t="s">
        <v>81</v>
      </c>
      <c r="H14" s="129" t="s">
        <v>82</v>
      </c>
      <c r="I14" s="178"/>
      <c r="J14" s="178"/>
      <c r="K14" s="178"/>
      <c r="L14" s="158"/>
    </row>
    <row r="15" spans="1:14" ht="29.1" hidden="1" customHeight="1">
      <c r="A15" s="167" t="s">
        <v>83</v>
      </c>
      <c r="B15" s="167"/>
      <c r="C15" s="167" t="s">
        <v>57</v>
      </c>
      <c r="D15" s="177" t="s">
        <v>57</v>
      </c>
      <c r="E15" s="176"/>
      <c r="F15" s="167"/>
      <c r="G15" s="209" t="s">
        <v>81</v>
      </c>
      <c r="H15" s="129" t="s">
        <v>82</v>
      </c>
      <c r="I15" s="178"/>
      <c r="J15" s="178"/>
      <c r="K15" s="178"/>
      <c r="L15" s="158"/>
    </row>
    <row r="16" spans="1:14" ht="14.65" customHeight="1">
      <c r="A16" s="167" t="s">
        <v>84</v>
      </c>
      <c r="B16" s="167"/>
      <c r="C16" s="167" t="s">
        <v>57</v>
      </c>
      <c r="D16" s="177" t="s">
        <v>57</v>
      </c>
      <c r="E16" s="176"/>
      <c r="F16" s="167"/>
      <c r="G16" s="209" t="s">
        <v>58</v>
      </c>
      <c r="H16" s="129"/>
      <c r="I16" s="178" t="s">
        <v>59</v>
      </c>
      <c r="J16" s="178" t="s">
        <v>74</v>
      </c>
      <c r="K16" s="178" t="s">
        <v>66</v>
      </c>
      <c r="L16" s="158"/>
    </row>
    <row r="17" spans="1:12" ht="29.1" customHeight="1">
      <c r="A17" s="167" t="s">
        <v>85</v>
      </c>
      <c r="B17" s="167" t="s">
        <v>57</v>
      </c>
      <c r="C17" s="167" t="s">
        <v>57</v>
      </c>
      <c r="D17" s="177" t="s">
        <v>57</v>
      </c>
      <c r="E17" s="176" t="s">
        <v>57</v>
      </c>
      <c r="F17" s="167"/>
      <c r="G17" s="209" t="s">
        <v>58</v>
      </c>
      <c r="H17" s="129"/>
      <c r="I17" s="178" t="s">
        <v>59</v>
      </c>
      <c r="J17" s="178" t="s">
        <v>74</v>
      </c>
      <c r="K17" s="178" t="s">
        <v>66</v>
      </c>
      <c r="L17" s="158"/>
    </row>
    <row r="18" spans="1:12" ht="29.1" customHeight="1">
      <c r="A18" s="167" t="s">
        <v>86</v>
      </c>
      <c r="B18" s="167"/>
      <c r="C18" s="167" t="s">
        <v>57</v>
      </c>
      <c r="D18" s="177" t="s">
        <v>57</v>
      </c>
      <c r="E18" s="176"/>
      <c r="F18" s="167"/>
      <c r="G18" s="209" t="s">
        <v>58</v>
      </c>
      <c r="H18" s="129"/>
      <c r="I18" s="178" t="s">
        <v>59</v>
      </c>
      <c r="J18" s="178" t="s">
        <v>74</v>
      </c>
      <c r="K18" s="178" t="s">
        <v>66</v>
      </c>
      <c r="L18" s="158"/>
    </row>
    <row r="19" spans="1:12" ht="29.1" customHeight="1">
      <c r="A19" s="167" t="s">
        <v>87</v>
      </c>
      <c r="B19" s="167"/>
      <c r="C19" s="167" t="s">
        <v>57</v>
      </c>
      <c r="D19" s="177" t="s">
        <v>57</v>
      </c>
      <c r="E19" s="129"/>
      <c r="F19" s="167"/>
      <c r="G19" s="209" t="s">
        <v>58</v>
      </c>
      <c r="H19" s="129"/>
      <c r="I19" s="178" t="s">
        <v>60</v>
      </c>
      <c r="J19" s="178" t="s">
        <v>59</v>
      </c>
      <c r="K19" s="178"/>
      <c r="L19" s="158"/>
    </row>
    <row r="20" spans="1:12" ht="29.1" hidden="1" customHeight="1">
      <c r="A20" s="167" t="s">
        <v>88</v>
      </c>
      <c r="B20" s="167"/>
      <c r="C20" s="167" t="s">
        <v>57</v>
      </c>
      <c r="D20" s="177" t="s">
        <v>57</v>
      </c>
      <c r="E20" s="129"/>
      <c r="F20" s="167"/>
      <c r="G20" s="209" t="s">
        <v>81</v>
      </c>
      <c r="H20" s="129" t="s">
        <v>89</v>
      </c>
      <c r="I20" s="178" t="s">
        <v>59</v>
      </c>
      <c r="J20" s="178" t="s">
        <v>60</v>
      </c>
      <c r="K20" s="178" t="s">
        <v>66</v>
      </c>
      <c r="L20" s="158"/>
    </row>
    <row r="21" spans="1:12" ht="29.1" hidden="1" customHeight="1">
      <c r="A21" s="167" t="s">
        <v>90</v>
      </c>
      <c r="B21" s="167"/>
      <c r="C21" s="167" t="s">
        <v>57</v>
      </c>
      <c r="D21" s="177" t="s">
        <v>57</v>
      </c>
      <c r="E21" s="129" t="s">
        <v>57</v>
      </c>
      <c r="F21" s="167"/>
      <c r="G21" s="209" t="s">
        <v>81</v>
      </c>
      <c r="H21" s="129" t="s">
        <v>91</v>
      </c>
      <c r="I21" s="178" t="s">
        <v>59</v>
      </c>
      <c r="J21" s="178" t="s">
        <v>61</v>
      </c>
      <c r="K21" s="178"/>
      <c r="L21" s="158"/>
    </row>
    <row r="22" spans="1:12" ht="29.1" customHeight="1">
      <c r="A22" s="167" t="s">
        <v>92</v>
      </c>
      <c r="B22" s="167"/>
      <c r="C22" s="167" t="s">
        <v>57</v>
      </c>
      <c r="D22" s="177" t="s">
        <v>57</v>
      </c>
      <c r="E22" s="129"/>
      <c r="F22" s="167"/>
      <c r="G22" s="209" t="s">
        <v>58</v>
      </c>
      <c r="H22" s="129"/>
      <c r="I22" s="178" t="s">
        <v>60</v>
      </c>
      <c r="J22" s="178" t="s">
        <v>93</v>
      </c>
      <c r="K22" s="178" t="s">
        <v>66</v>
      </c>
      <c r="L22" s="158"/>
    </row>
    <row r="23" spans="1:12" ht="29.1" hidden="1" customHeight="1">
      <c r="A23" s="167" t="s">
        <v>94</v>
      </c>
      <c r="B23" s="167" t="s">
        <v>57</v>
      </c>
      <c r="C23" s="167" t="s">
        <v>57</v>
      </c>
      <c r="D23" s="177" t="s">
        <v>57</v>
      </c>
      <c r="E23" s="129" t="s">
        <v>57</v>
      </c>
      <c r="F23" s="167"/>
      <c r="G23" s="209" t="s">
        <v>76</v>
      </c>
      <c r="H23" s="129" t="s">
        <v>95</v>
      </c>
      <c r="I23" s="178" t="s">
        <v>93</v>
      </c>
      <c r="J23" s="178" t="s">
        <v>96</v>
      </c>
      <c r="K23" s="178"/>
      <c r="L23" s="158"/>
    </row>
    <row r="24" spans="1:12" ht="14.65" customHeight="1">
      <c r="A24" s="167" t="s">
        <v>97</v>
      </c>
      <c r="B24" s="167"/>
      <c r="C24" s="167" t="s">
        <v>57</v>
      </c>
      <c r="D24" s="177" t="s">
        <v>57</v>
      </c>
      <c r="E24" s="176"/>
      <c r="F24" s="167"/>
      <c r="G24" s="209" t="s">
        <v>58</v>
      </c>
      <c r="H24" s="129"/>
      <c r="I24" s="178" t="s">
        <v>67</v>
      </c>
      <c r="J24" s="178"/>
      <c r="K24" s="178"/>
      <c r="L24" s="158"/>
    </row>
    <row r="25" spans="1:12" ht="14.65" hidden="1" customHeight="1">
      <c r="A25" s="167" t="s">
        <v>98</v>
      </c>
      <c r="B25" s="167"/>
      <c r="C25" s="167" t="s">
        <v>57</v>
      </c>
      <c r="D25" s="177" t="s">
        <v>57</v>
      </c>
      <c r="E25" s="129"/>
      <c r="F25" s="167"/>
      <c r="G25" s="209" t="s">
        <v>81</v>
      </c>
      <c r="H25" s="129" t="s">
        <v>99</v>
      </c>
      <c r="I25" s="178"/>
      <c r="J25" s="178"/>
      <c r="K25" s="178"/>
      <c r="L25" s="158"/>
    </row>
    <row r="26" spans="1:12" ht="14.65" customHeight="1">
      <c r="A26" s="167" t="s">
        <v>100</v>
      </c>
      <c r="B26" s="187"/>
      <c r="C26" s="167" t="s">
        <v>57</v>
      </c>
      <c r="D26" s="177" t="s">
        <v>57</v>
      </c>
      <c r="E26" s="129" t="s">
        <v>57</v>
      </c>
      <c r="F26" s="167"/>
      <c r="G26" s="209" t="s">
        <v>58</v>
      </c>
      <c r="H26" s="129"/>
      <c r="I26" s="178" t="s">
        <v>67</v>
      </c>
      <c r="J26" s="178"/>
      <c r="K26" s="178"/>
      <c r="L26" s="158"/>
    </row>
    <row r="27" spans="1:12" ht="14.65" customHeight="1">
      <c r="A27" s="167" t="s">
        <v>101</v>
      </c>
      <c r="B27" s="167" t="s">
        <v>57</v>
      </c>
      <c r="C27" s="167" t="s">
        <v>57</v>
      </c>
      <c r="D27" s="177" t="s">
        <v>57</v>
      </c>
      <c r="E27" s="129"/>
      <c r="F27" s="167"/>
      <c r="G27" s="209" t="s">
        <v>58</v>
      </c>
      <c r="H27" s="129"/>
      <c r="I27" s="178" t="s">
        <v>102</v>
      </c>
      <c r="J27" s="178" t="s">
        <v>66</v>
      </c>
      <c r="K27" s="178" t="s">
        <v>103</v>
      </c>
      <c r="L27" s="158"/>
    </row>
    <row r="28" spans="1:12" ht="14.65" customHeight="1">
      <c r="A28" s="167" t="s">
        <v>104</v>
      </c>
      <c r="B28" s="167" t="s">
        <v>57</v>
      </c>
      <c r="C28" s="167" t="s">
        <v>57</v>
      </c>
      <c r="D28" s="177" t="s">
        <v>57</v>
      </c>
      <c r="E28" s="129"/>
      <c r="F28" s="167"/>
      <c r="G28" s="209" t="s">
        <v>58</v>
      </c>
      <c r="H28" s="129"/>
      <c r="I28" s="178" t="s">
        <v>102</v>
      </c>
      <c r="J28" s="178" t="s">
        <v>66</v>
      </c>
      <c r="K28" s="178" t="s">
        <v>103</v>
      </c>
      <c r="L28" s="158"/>
    </row>
    <row r="29" spans="1:12" ht="14.65" customHeight="1">
      <c r="A29" s="167" t="s">
        <v>105</v>
      </c>
      <c r="B29" s="167" t="s">
        <v>57</v>
      </c>
      <c r="C29" s="167" t="s">
        <v>57</v>
      </c>
      <c r="D29" s="177" t="s">
        <v>57</v>
      </c>
      <c r="E29" s="129" t="s">
        <v>57</v>
      </c>
      <c r="F29" s="167"/>
      <c r="G29" s="209" t="s">
        <v>58</v>
      </c>
      <c r="H29" s="129"/>
      <c r="I29" s="178" t="s">
        <v>102</v>
      </c>
      <c r="J29" s="178" t="s">
        <v>66</v>
      </c>
      <c r="K29" s="178" t="s">
        <v>103</v>
      </c>
      <c r="L29" s="158"/>
    </row>
    <row r="30" spans="1:12" ht="29.1" customHeight="1">
      <c r="A30" s="167" t="s">
        <v>106</v>
      </c>
      <c r="B30" s="167" t="s">
        <v>57</v>
      </c>
      <c r="C30" s="167" t="s">
        <v>57</v>
      </c>
      <c r="D30" s="177" t="s">
        <v>57</v>
      </c>
      <c r="E30" s="129" t="s">
        <v>57</v>
      </c>
      <c r="F30" s="167"/>
      <c r="G30" s="209" t="s">
        <v>58</v>
      </c>
      <c r="H30" s="129"/>
      <c r="I30" s="178" t="s">
        <v>102</v>
      </c>
      <c r="J30" s="178" t="s">
        <v>66</v>
      </c>
      <c r="K30" s="178" t="s">
        <v>103</v>
      </c>
      <c r="L30" s="158"/>
    </row>
    <row r="31" spans="1:12" ht="29.1" hidden="1" customHeight="1">
      <c r="A31" s="167" t="s">
        <v>107</v>
      </c>
      <c r="B31" s="187"/>
      <c r="C31" s="187"/>
      <c r="D31" s="177" t="s">
        <v>57</v>
      </c>
      <c r="E31" s="129" t="s">
        <v>57</v>
      </c>
      <c r="F31" s="167"/>
      <c r="G31" s="209" t="s">
        <v>81</v>
      </c>
      <c r="H31" s="129" t="s">
        <v>108</v>
      </c>
      <c r="I31" s="178" t="s">
        <v>102</v>
      </c>
      <c r="J31" s="178" t="s">
        <v>66</v>
      </c>
      <c r="K31" s="178" t="s">
        <v>103</v>
      </c>
      <c r="L31" s="158"/>
    </row>
    <row r="32" spans="1:12" ht="29.1" customHeight="1">
      <c r="A32" s="167" t="s">
        <v>109</v>
      </c>
      <c r="B32" s="167" t="s">
        <v>57</v>
      </c>
      <c r="C32" s="167" t="s">
        <v>57</v>
      </c>
      <c r="D32" s="177" t="s">
        <v>57</v>
      </c>
      <c r="E32" s="129" t="s">
        <v>57</v>
      </c>
      <c r="F32" s="167"/>
      <c r="G32" s="209" t="s">
        <v>58</v>
      </c>
      <c r="H32" s="129"/>
      <c r="I32" s="178" t="s">
        <v>60</v>
      </c>
      <c r="J32" s="178" t="s">
        <v>74</v>
      </c>
      <c r="K32" s="178" t="s">
        <v>93</v>
      </c>
      <c r="L32" s="158"/>
    </row>
    <row r="33" spans="1:12" ht="29.1" customHeight="1">
      <c r="A33" s="167" t="s">
        <v>110</v>
      </c>
      <c r="B33" s="129" t="s">
        <v>57</v>
      </c>
      <c r="C33" s="129" t="s">
        <v>57</v>
      </c>
      <c r="D33" s="177" t="s">
        <v>57</v>
      </c>
      <c r="E33" s="129" t="s">
        <v>57</v>
      </c>
      <c r="F33" s="167"/>
      <c r="G33" s="209" t="s">
        <v>58</v>
      </c>
      <c r="H33" s="129"/>
      <c r="I33" s="178" t="s">
        <v>102</v>
      </c>
      <c r="J33" s="178" t="s">
        <v>66</v>
      </c>
      <c r="K33" s="178" t="s">
        <v>103</v>
      </c>
      <c r="L33" s="158"/>
    </row>
    <row r="34" spans="1:12" ht="14.65" hidden="1" customHeight="1">
      <c r="A34" s="167" t="s">
        <v>111</v>
      </c>
      <c r="B34" s="129" t="s">
        <v>57</v>
      </c>
      <c r="C34" s="167" t="s">
        <v>57</v>
      </c>
      <c r="D34" s="177" t="s">
        <v>57</v>
      </c>
      <c r="E34" s="129" t="s">
        <v>57</v>
      </c>
      <c r="F34" s="167"/>
      <c r="G34" s="209" t="s">
        <v>81</v>
      </c>
      <c r="H34" s="129" t="s">
        <v>112</v>
      </c>
      <c r="I34" s="178" t="s">
        <v>102</v>
      </c>
      <c r="J34" s="178" t="s">
        <v>66</v>
      </c>
      <c r="K34" s="178" t="s">
        <v>103</v>
      </c>
      <c r="L34" s="158"/>
    </row>
    <row r="35" spans="1:12" ht="14.65" hidden="1" customHeight="1">
      <c r="A35" s="167" t="s">
        <v>113</v>
      </c>
      <c r="B35" s="167"/>
      <c r="C35" s="167" t="s">
        <v>57</v>
      </c>
      <c r="D35" s="177" t="s">
        <v>57</v>
      </c>
      <c r="E35" s="129" t="s">
        <v>57</v>
      </c>
      <c r="F35" s="167"/>
      <c r="G35" s="209" t="s">
        <v>81</v>
      </c>
      <c r="H35" s="129" t="s">
        <v>108</v>
      </c>
      <c r="I35" s="178"/>
      <c r="J35" s="178"/>
      <c r="K35" s="178"/>
      <c r="L35" s="158"/>
    </row>
    <row r="36" spans="1:12" ht="14.65" customHeight="1">
      <c r="A36" s="167" t="s">
        <v>114</v>
      </c>
      <c r="B36" s="167" t="s">
        <v>57</v>
      </c>
      <c r="C36" s="167" t="s">
        <v>57</v>
      </c>
      <c r="D36" s="177" t="s">
        <v>57</v>
      </c>
      <c r="E36" s="129" t="s">
        <v>57</v>
      </c>
      <c r="F36" s="167"/>
      <c r="G36" s="209" t="s">
        <v>58</v>
      </c>
      <c r="H36" s="129"/>
      <c r="I36" s="178" t="s">
        <v>59</v>
      </c>
      <c r="J36" s="178" t="s">
        <v>66</v>
      </c>
      <c r="K36" s="178" t="s">
        <v>103</v>
      </c>
      <c r="L36" s="158"/>
    </row>
    <row r="37" spans="1:12" ht="29.1" hidden="1" customHeight="1">
      <c r="A37" s="167" t="s">
        <v>115</v>
      </c>
      <c r="B37" s="167" t="s">
        <v>57</v>
      </c>
      <c r="C37" s="167" t="s">
        <v>57</v>
      </c>
      <c r="D37" s="177" t="s">
        <v>57</v>
      </c>
      <c r="E37" s="129" t="s">
        <v>57</v>
      </c>
      <c r="F37" s="167"/>
      <c r="G37" s="209" t="s">
        <v>81</v>
      </c>
      <c r="H37" s="129" t="s">
        <v>116</v>
      </c>
      <c r="I37" s="178" t="s">
        <v>102</v>
      </c>
      <c r="J37" s="178" t="s">
        <v>66</v>
      </c>
      <c r="K37" s="178" t="s">
        <v>103</v>
      </c>
      <c r="L37" s="158"/>
    </row>
    <row r="38" spans="1:12" ht="14.65" hidden="1" customHeight="1">
      <c r="A38" s="167" t="s">
        <v>117</v>
      </c>
      <c r="B38" s="187"/>
      <c r="C38" s="167" t="s">
        <v>57</v>
      </c>
      <c r="D38" s="177" t="s">
        <v>57</v>
      </c>
      <c r="E38" s="129" t="s">
        <v>57</v>
      </c>
      <c r="F38" s="167"/>
      <c r="G38" s="209" t="s">
        <v>76</v>
      </c>
      <c r="H38" s="129" t="s">
        <v>118</v>
      </c>
      <c r="I38" s="178" t="s">
        <v>102</v>
      </c>
      <c r="J38" s="178" t="s">
        <v>66</v>
      </c>
      <c r="K38" s="178" t="s">
        <v>103</v>
      </c>
      <c r="L38" s="158"/>
    </row>
    <row r="39" spans="1:12" ht="14.65" customHeight="1">
      <c r="A39" s="167" t="s">
        <v>119</v>
      </c>
      <c r="B39" s="167" t="s">
        <v>57</v>
      </c>
      <c r="C39" s="167" t="s">
        <v>57</v>
      </c>
      <c r="D39" s="177" t="s">
        <v>57</v>
      </c>
      <c r="E39" s="176" t="s">
        <v>57</v>
      </c>
      <c r="F39" s="167"/>
      <c r="G39" s="209" t="s">
        <v>58</v>
      </c>
      <c r="H39" s="129"/>
      <c r="I39" s="178" t="s">
        <v>102</v>
      </c>
      <c r="J39" s="178" t="s">
        <v>66</v>
      </c>
      <c r="K39" s="178" t="s">
        <v>103</v>
      </c>
      <c r="L39" s="158"/>
    </row>
    <row r="40" spans="1:12" ht="14.45" hidden="1">
      <c r="A40" s="188" t="s">
        <v>120</v>
      </c>
      <c r="B40" s="186" t="s">
        <v>44</v>
      </c>
      <c r="C40" s="186" t="s">
        <v>45</v>
      </c>
      <c r="D40" s="186" t="s">
        <v>46</v>
      </c>
      <c r="E40" s="169" t="s">
        <v>47</v>
      </c>
      <c r="F40" s="169" t="s">
        <v>48</v>
      </c>
      <c r="G40" s="181" t="s">
        <v>49</v>
      </c>
      <c r="H40" s="189" t="s">
        <v>50</v>
      </c>
      <c r="I40" s="189" t="s">
        <v>60</v>
      </c>
      <c r="J40" s="189" t="s">
        <v>74</v>
      </c>
      <c r="K40" s="189" t="s">
        <v>93</v>
      </c>
      <c r="L40" s="190" t="s">
        <v>54</v>
      </c>
    </row>
    <row r="41" spans="1:12" ht="14.45">
      <c r="A41" s="191" t="s">
        <v>121</v>
      </c>
      <c r="B41" s="130" t="s">
        <v>57</v>
      </c>
      <c r="C41" s="130"/>
      <c r="D41" s="130"/>
      <c r="E41" s="129"/>
      <c r="F41" s="129"/>
      <c r="G41" s="209" t="s">
        <v>58</v>
      </c>
      <c r="H41" s="129"/>
      <c r="I41" s="178" t="s">
        <v>102</v>
      </c>
      <c r="J41" s="178" t="s">
        <v>66</v>
      </c>
      <c r="K41" s="178"/>
      <c r="L41" s="129"/>
    </row>
    <row r="42" spans="1:12" ht="14.65" customHeight="1">
      <c r="A42" s="191" t="s">
        <v>122</v>
      </c>
      <c r="B42" s="153" t="s">
        <v>57</v>
      </c>
      <c r="C42" s="153"/>
      <c r="D42" s="153"/>
      <c r="E42" s="178"/>
      <c r="F42" s="178"/>
      <c r="G42" s="209" t="s">
        <v>58</v>
      </c>
      <c r="H42" s="178"/>
      <c r="I42" s="178" t="s">
        <v>102</v>
      </c>
      <c r="J42" s="178" t="s">
        <v>66</v>
      </c>
      <c r="K42" s="178"/>
      <c r="L42" s="192"/>
    </row>
    <row r="43" spans="1:12" ht="14.65" customHeight="1">
      <c r="A43" s="191" t="s">
        <v>123</v>
      </c>
      <c r="B43" s="153" t="s">
        <v>57</v>
      </c>
      <c r="C43" s="153"/>
      <c r="D43" s="153"/>
      <c r="E43" s="178"/>
      <c r="F43" s="178"/>
      <c r="G43" s="209" t="s">
        <v>58</v>
      </c>
      <c r="H43" s="178"/>
      <c r="I43" s="178" t="s">
        <v>67</v>
      </c>
      <c r="J43" s="178"/>
      <c r="K43" s="178"/>
      <c r="L43" s="192"/>
    </row>
    <row r="44" spans="1:12" ht="14.65" hidden="1" customHeight="1">
      <c r="A44" s="177" t="s">
        <v>124</v>
      </c>
      <c r="B44" s="177"/>
      <c r="C44" s="193"/>
      <c r="D44" s="177" t="s">
        <v>57</v>
      </c>
      <c r="E44" s="178"/>
      <c r="F44" s="178"/>
      <c r="G44" s="209" t="s">
        <v>76</v>
      </c>
      <c r="H44" s="178" t="s">
        <v>125</v>
      </c>
      <c r="I44" s="178"/>
      <c r="J44" s="178"/>
      <c r="K44" s="178"/>
      <c r="L44" s="179"/>
    </row>
    <row r="45" spans="1:12" ht="14.65" hidden="1" customHeight="1">
      <c r="A45" s="167" t="s">
        <v>126</v>
      </c>
      <c r="B45" s="167"/>
      <c r="C45" s="194"/>
      <c r="D45" s="167" t="s">
        <v>57</v>
      </c>
      <c r="E45" s="129"/>
      <c r="F45" s="129"/>
      <c r="G45" s="209" t="s">
        <v>81</v>
      </c>
      <c r="H45" s="129" t="s">
        <v>127</v>
      </c>
      <c r="I45" s="178"/>
      <c r="J45" s="178"/>
      <c r="K45" s="178"/>
      <c r="L45" s="158"/>
    </row>
    <row r="46" spans="1:12" ht="14.65" hidden="1" customHeight="1">
      <c r="A46" s="194" t="s">
        <v>128</v>
      </c>
      <c r="B46" s="183"/>
      <c r="C46" s="183"/>
      <c r="D46" s="194" t="s">
        <v>57</v>
      </c>
      <c r="E46" s="129" t="s">
        <v>57</v>
      </c>
      <c r="F46" s="129">
        <v>1.667</v>
      </c>
      <c r="G46" s="209" t="s">
        <v>76</v>
      </c>
      <c r="H46" s="129" t="s">
        <v>129</v>
      </c>
      <c r="I46" s="178" t="s">
        <v>67</v>
      </c>
      <c r="J46" s="178" t="s">
        <v>66</v>
      </c>
      <c r="K46" s="178" t="s">
        <v>130</v>
      </c>
      <c r="L46" s="158"/>
    </row>
    <row r="47" spans="1:12" ht="14.65" customHeight="1">
      <c r="A47" s="195" t="s">
        <v>131</v>
      </c>
      <c r="B47" s="194" t="s">
        <v>57</v>
      </c>
      <c r="C47" s="129"/>
      <c r="D47" s="183"/>
      <c r="E47" s="129"/>
      <c r="F47" s="129"/>
      <c r="G47" s="209" t="s">
        <v>58</v>
      </c>
      <c r="H47" s="129"/>
      <c r="I47" s="178" t="s">
        <v>61</v>
      </c>
      <c r="J47" s="178"/>
      <c r="K47" s="178"/>
      <c r="L47" s="158"/>
    </row>
    <row r="48" spans="1:12" ht="14.65" customHeight="1">
      <c r="A48" s="167" t="s">
        <v>132</v>
      </c>
      <c r="B48" s="167"/>
      <c r="C48" s="194"/>
      <c r="D48" s="167" t="s">
        <v>57</v>
      </c>
      <c r="E48" s="129"/>
      <c r="F48" s="129"/>
      <c r="G48" s="209" t="s">
        <v>58</v>
      </c>
      <c r="H48" s="129"/>
      <c r="I48" s="178" t="s">
        <v>66</v>
      </c>
      <c r="J48" s="178" t="s">
        <v>79</v>
      </c>
      <c r="K48" s="178"/>
      <c r="L48" s="158"/>
    </row>
    <row r="49" spans="1:12" ht="14.65" hidden="1" customHeight="1">
      <c r="A49" s="167" t="s">
        <v>133</v>
      </c>
      <c r="B49" s="167"/>
      <c r="C49" s="194"/>
      <c r="D49" s="167" t="s">
        <v>57</v>
      </c>
      <c r="E49" s="129"/>
      <c r="F49" s="129"/>
      <c r="G49" s="209" t="s">
        <v>81</v>
      </c>
      <c r="H49" s="129" t="s">
        <v>134</v>
      </c>
      <c r="I49" s="178"/>
      <c r="J49" s="178"/>
      <c r="K49" s="178"/>
      <c r="L49" s="158"/>
    </row>
    <row r="50" spans="1:12" ht="14.65" hidden="1" customHeight="1">
      <c r="A50" s="167" t="s">
        <v>135</v>
      </c>
      <c r="B50" s="167"/>
      <c r="C50" s="194"/>
      <c r="D50" s="167" t="s">
        <v>57</v>
      </c>
      <c r="E50" s="129"/>
      <c r="F50" s="129"/>
      <c r="G50" s="209" t="s">
        <v>81</v>
      </c>
      <c r="H50" s="129" t="s">
        <v>136</v>
      </c>
      <c r="I50" s="178"/>
      <c r="J50" s="178"/>
      <c r="K50" s="178"/>
      <c r="L50" s="158"/>
    </row>
    <row r="51" spans="1:12" ht="14.65" customHeight="1">
      <c r="A51" s="167" t="s">
        <v>137</v>
      </c>
      <c r="B51" s="167"/>
      <c r="C51" s="194"/>
      <c r="D51" s="167" t="s">
        <v>57</v>
      </c>
      <c r="E51" s="129"/>
      <c r="F51" s="129"/>
      <c r="G51" s="209" t="s">
        <v>58</v>
      </c>
      <c r="H51" s="129"/>
      <c r="I51" s="178" t="s">
        <v>67</v>
      </c>
      <c r="J51" s="178" t="s">
        <v>59</v>
      </c>
      <c r="K51" s="178" t="s">
        <v>138</v>
      </c>
      <c r="L51" s="158"/>
    </row>
    <row r="52" spans="1:12" ht="14.65" customHeight="1">
      <c r="A52" s="195" t="s">
        <v>139</v>
      </c>
      <c r="B52" s="167" t="s">
        <v>57</v>
      </c>
      <c r="C52" s="194"/>
      <c r="D52" s="167"/>
      <c r="E52" s="129"/>
      <c r="F52" s="129"/>
      <c r="G52" s="209" t="s">
        <v>58</v>
      </c>
      <c r="H52" s="129"/>
      <c r="I52" s="178" t="s">
        <v>67</v>
      </c>
      <c r="J52" s="178" t="s">
        <v>74</v>
      </c>
      <c r="K52" s="178" t="s">
        <v>60</v>
      </c>
      <c r="L52" s="158"/>
    </row>
    <row r="53" spans="1:12" ht="14.65" customHeight="1">
      <c r="A53" s="167" t="s">
        <v>140</v>
      </c>
      <c r="B53" s="167" t="s">
        <v>57</v>
      </c>
      <c r="C53" s="194" t="s">
        <v>57</v>
      </c>
      <c r="D53" s="167" t="s">
        <v>57</v>
      </c>
      <c r="E53" s="176" t="s">
        <v>57</v>
      </c>
      <c r="F53" s="129"/>
      <c r="G53" s="209" t="s">
        <v>58</v>
      </c>
      <c r="H53" s="129"/>
      <c r="I53" s="178" t="s">
        <v>74</v>
      </c>
      <c r="J53" s="178" t="s">
        <v>138</v>
      </c>
      <c r="K53" s="178" t="s">
        <v>66</v>
      </c>
      <c r="L53" s="158"/>
    </row>
    <row r="54" spans="1:12" ht="14.65" customHeight="1">
      <c r="A54" s="167" t="s">
        <v>141</v>
      </c>
      <c r="B54" s="167" t="s">
        <v>57</v>
      </c>
      <c r="C54" s="194" t="s">
        <v>57</v>
      </c>
      <c r="D54" s="167" t="s">
        <v>57</v>
      </c>
      <c r="E54" s="129" t="s">
        <v>57</v>
      </c>
      <c r="F54" s="129"/>
      <c r="G54" s="209" t="s">
        <v>58</v>
      </c>
      <c r="H54" s="129"/>
      <c r="I54" s="178" t="s">
        <v>102</v>
      </c>
      <c r="J54" s="178" t="s">
        <v>142</v>
      </c>
      <c r="K54" s="178"/>
      <c r="L54" s="158"/>
    </row>
    <row r="55" spans="1:12" ht="14.65" customHeight="1">
      <c r="A55" s="167" t="s">
        <v>143</v>
      </c>
      <c r="B55" s="167" t="s">
        <v>57</v>
      </c>
      <c r="C55" s="194" t="s">
        <v>57</v>
      </c>
      <c r="D55" s="167" t="s">
        <v>57</v>
      </c>
      <c r="E55" s="129" t="s">
        <v>57</v>
      </c>
      <c r="F55" s="129"/>
      <c r="G55" s="209" t="s">
        <v>58</v>
      </c>
      <c r="H55" s="129"/>
      <c r="I55" s="178" t="s">
        <v>66</v>
      </c>
      <c r="J55" s="178" t="s">
        <v>144</v>
      </c>
      <c r="K55" s="178" t="s">
        <v>74</v>
      </c>
      <c r="L55" s="158"/>
    </row>
    <row r="56" spans="1:12" ht="14.65" customHeight="1">
      <c r="A56" s="195" t="s">
        <v>145</v>
      </c>
      <c r="B56" s="167" t="s">
        <v>57</v>
      </c>
      <c r="C56" s="194"/>
      <c r="D56" s="167"/>
      <c r="E56" s="129"/>
      <c r="F56" s="129"/>
      <c r="G56" s="209" t="s">
        <v>58</v>
      </c>
      <c r="H56" s="129"/>
      <c r="I56" s="178" t="s">
        <v>67</v>
      </c>
      <c r="J56" s="178"/>
      <c r="K56" s="178"/>
      <c r="L56" s="158"/>
    </row>
    <row r="57" spans="1:12" ht="14.65" customHeight="1">
      <c r="A57" s="191" t="s">
        <v>146</v>
      </c>
      <c r="B57" s="167" t="s">
        <v>57</v>
      </c>
      <c r="C57" s="194"/>
      <c r="D57" s="167"/>
      <c r="E57" s="129"/>
      <c r="F57" s="129"/>
      <c r="G57" s="209" t="s">
        <v>58</v>
      </c>
      <c r="H57" s="129"/>
      <c r="I57" s="178" t="s">
        <v>142</v>
      </c>
      <c r="J57" s="178" t="s">
        <v>66</v>
      </c>
      <c r="K57" s="178" t="s">
        <v>147</v>
      </c>
      <c r="L57" s="158"/>
    </row>
    <row r="58" spans="1:12" ht="14.65" customHeight="1">
      <c r="A58" s="167" t="s">
        <v>148</v>
      </c>
      <c r="B58" s="167"/>
      <c r="C58" s="194"/>
      <c r="D58" s="167" t="s">
        <v>57</v>
      </c>
      <c r="E58" s="129"/>
      <c r="F58" s="129"/>
      <c r="G58" s="209" t="s">
        <v>58</v>
      </c>
      <c r="H58" s="129"/>
      <c r="I58" s="178" t="s">
        <v>67</v>
      </c>
      <c r="J58" s="178" t="s">
        <v>59</v>
      </c>
      <c r="K58" s="178" t="s">
        <v>79</v>
      </c>
      <c r="L58" s="158"/>
    </row>
    <row r="59" spans="1:12" ht="14.65" hidden="1" customHeight="1">
      <c r="A59" s="167" t="s">
        <v>149</v>
      </c>
      <c r="B59" s="167"/>
      <c r="C59" s="194"/>
      <c r="D59" s="167" t="s">
        <v>57</v>
      </c>
      <c r="E59" s="129"/>
      <c r="F59" s="129"/>
      <c r="G59" s="209" t="s">
        <v>81</v>
      </c>
      <c r="H59" s="129" t="s">
        <v>150</v>
      </c>
      <c r="I59" s="178"/>
      <c r="J59" s="178"/>
      <c r="K59" s="178"/>
      <c r="L59" s="158"/>
    </row>
    <row r="60" spans="1:12" ht="14.65" customHeight="1">
      <c r="A60" s="196" t="s">
        <v>151</v>
      </c>
      <c r="B60" s="167" t="s">
        <v>57</v>
      </c>
      <c r="C60" s="194" t="s">
        <v>57</v>
      </c>
      <c r="D60" s="167"/>
      <c r="E60" s="129"/>
      <c r="F60" s="129"/>
      <c r="G60" s="209" t="s">
        <v>58</v>
      </c>
      <c r="H60" s="129"/>
      <c r="I60" s="178" t="s">
        <v>142</v>
      </c>
      <c r="J60" s="178"/>
      <c r="K60" s="178"/>
      <c r="L60" s="158"/>
    </row>
    <row r="61" spans="1:12" ht="14.65" customHeight="1">
      <c r="A61" s="191" t="s">
        <v>152</v>
      </c>
      <c r="B61" s="167" t="s">
        <v>57</v>
      </c>
      <c r="C61" s="194"/>
      <c r="D61" s="167"/>
      <c r="E61" s="129"/>
      <c r="F61" s="129"/>
      <c r="G61" s="209" t="s">
        <v>58</v>
      </c>
      <c r="H61" s="129"/>
      <c r="I61" s="178" t="s">
        <v>66</v>
      </c>
      <c r="J61" s="178" t="s">
        <v>79</v>
      </c>
      <c r="K61" s="178" t="s">
        <v>74</v>
      </c>
      <c r="L61" s="158"/>
    </row>
    <row r="62" spans="1:12" ht="14.65" hidden="1" customHeight="1">
      <c r="A62" s="167" t="s">
        <v>153</v>
      </c>
      <c r="B62" s="167"/>
      <c r="C62" s="194"/>
      <c r="D62" s="167" t="s">
        <v>57</v>
      </c>
      <c r="E62" s="129"/>
      <c r="F62" s="129"/>
      <c r="G62" s="209" t="s">
        <v>76</v>
      </c>
      <c r="H62" s="129" t="s">
        <v>154</v>
      </c>
      <c r="I62" s="178"/>
      <c r="J62" s="178"/>
      <c r="K62" s="178"/>
      <c r="L62" s="158"/>
    </row>
    <row r="63" spans="1:12" ht="14.65" hidden="1" customHeight="1">
      <c r="A63" s="167" t="s">
        <v>155</v>
      </c>
      <c r="B63" s="167"/>
      <c r="C63" s="194"/>
      <c r="D63" s="167" t="s">
        <v>57</v>
      </c>
      <c r="E63" s="129"/>
      <c r="F63" s="129"/>
      <c r="G63" s="209" t="s">
        <v>76</v>
      </c>
      <c r="H63" s="129" t="s">
        <v>156</v>
      </c>
      <c r="I63" s="178"/>
      <c r="J63" s="178"/>
      <c r="K63" s="178"/>
      <c r="L63" s="158"/>
    </row>
    <row r="64" spans="1:12" ht="14.65" customHeight="1">
      <c r="A64" s="167" t="s">
        <v>157</v>
      </c>
      <c r="B64" s="167" t="s">
        <v>57</v>
      </c>
      <c r="C64" s="194" t="s">
        <v>57</v>
      </c>
      <c r="D64" s="167" t="s">
        <v>57</v>
      </c>
      <c r="E64" s="129"/>
      <c r="F64" s="129"/>
      <c r="G64" s="209" t="s">
        <v>58</v>
      </c>
      <c r="H64" s="129"/>
      <c r="I64" s="178" t="s">
        <v>142</v>
      </c>
      <c r="J64" s="178" t="s">
        <v>102</v>
      </c>
      <c r="K64" s="178"/>
      <c r="L64" s="158"/>
    </row>
    <row r="65" spans="1:12" ht="14.65" hidden="1" customHeight="1">
      <c r="A65" s="167" t="s">
        <v>158</v>
      </c>
      <c r="B65" s="167"/>
      <c r="C65" s="194"/>
      <c r="D65" s="167" t="s">
        <v>57</v>
      </c>
      <c r="E65" s="129"/>
      <c r="F65" s="129"/>
      <c r="G65" s="209" t="s">
        <v>81</v>
      </c>
      <c r="H65" s="129" t="s">
        <v>159</v>
      </c>
      <c r="I65" s="178"/>
      <c r="J65" s="178"/>
      <c r="K65" s="178"/>
      <c r="L65" s="158"/>
    </row>
    <row r="66" spans="1:12" ht="14.65" customHeight="1">
      <c r="A66" s="194" t="s">
        <v>160</v>
      </c>
      <c r="B66" s="167" t="s">
        <v>57</v>
      </c>
      <c r="C66" s="129"/>
      <c r="D66" s="167" t="s">
        <v>57</v>
      </c>
      <c r="E66" s="129" t="s">
        <v>57</v>
      </c>
      <c r="F66" s="129">
        <v>1.944</v>
      </c>
      <c r="G66" s="209" t="s">
        <v>58</v>
      </c>
      <c r="H66" s="129"/>
      <c r="I66" s="178" t="s">
        <v>67</v>
      </c>
      <c r="J66" s="178" t="s">
        <v>66</v>
      </c>
      <c r="K66" s="178" t="s">
        <v>130</v>
      </c>
      <c r="L66" s="158"/>
    </row>
    <row r="67" spans="1:12" ht="14.65" customHeight="1">
      <c r="A67" s="167" t="s">
        <v>161</v>
      </c>
      <c r="B67" s="167"/>
      <c r="C67" s="194"/>
      <c r="D67" s="167" t="s">
        <v>57</v>
      </c>
      <c r="E67" s="129"/>
      <c r="F67" s="129"/>
      <c r="G67" s="209" t="s">
        <v>58</v>
      </c>
      <c r="H67" s="129"/>
      <c r="I67" s="178" t="s">
        <v>67</v>
      </c>
      <c r="J67" s="178"/>
      <c r="K67" s="178"/>
      <c r="L67" s="158"/>
    </row>
    <row r="68" spans="1:12" ht="14.65" hidden="1" customHeight="1">
      <c r="A68" s="167" t="s">
        <v>162</v>
      </c>
      <c r="B68" s="167" t="s">
        <v>57</v>
      </c>
      <c r="C68" s="197"/>
      <c r="D68" s="167" t="s">
        <v>57</v>
      </c>
      <c r="E68" s="129"/>
      <c r="F68" s="129"/>
      <c r="G68" s="209" t="s">
        <v>81</v>
      </c>
      <c r="H68" s="129" t="s">
        <v>163</v>
      </c>
      <c r="I68" s="178"/>
      <c r="J68" s="178"/>
      <c r="K68" s="178"/>
      <c r="L68" s="158"/>
    </row>
    <row r="69" spans="1:12" ht="14.65" customHeight="1">
      <c r="A69" s="167" t="s">
        <v>164</v>
      </c>
      <c r="B69" s="167" t="s">
        <v>57</v>
      </c>
      <c r="C69" s="194" t="s">
        <v>57</v>
      </c>
      <c r="D69" s="167" t="s">
        <v>57</v>
      </c>
      <c r="E69" s="129"/>
      <c r="F69" s="129"/>
      <c r="G69" s="209" t="s">
        <v>58</v>
      </c>
      <c r="H69" s="129"/>
      <c r="I69" s="178" t="s">
        <v>130</v>
      </c>
      <c r="J69" s="178" t="s">
        <v>59</v>
      </c>
      <c r="K69" s="178"/>
      <c r="L69" s="158"/>
    </row>
    <row r="70" spans="1:12" ht="14.65" hidden="1" customHeight="1">
      <c r="A70" s="167" t="s">
        <v>165</v>
      </c>
      <c r="B70" s="167"/>
      <c r="C70" s="194"/>
      <c r="D70" s="167" t="s">
        <v>57</v>
      </c>
      <c r="E70" s="129"/>
      <c r="F70" s="129"/>
      <c r="G70" s="209" t="s">
        <v>81</v>
      </c>
      <c r="H70" s="129" t="s">
        <v>166</v>
      </c>
      <c r="I70" s="178"/>
      <c r="J70" s="178"/>
      <c r="K70" s="178"/>
      <c r="L70" s="158"/>
    </row>
    <row r="71" spans="1:12" ht="14.65" customHeight="1">
      <c r="A71" s="195" t="s">
        <v>167</v>
      </c>
      <c r="B71" s="194" t="s">
        <v>57</v>
      </c>
      <c r="C71" s="194"/>
      <c r="D71" s="167"/>
      <c r="E71" s="129"/>
      <c r="F71" s="129"/>
      <c r="G71" s="209" t="s">
        <v>58</v>
      </c>
      <c r="H71" s="129"/>
      <c r="I71" s="178" t="s">
        <v>142</v>
      </c>
      <c r="J71" s="178" t="s">
        <v>147</v>
      </c>
      <c r="K71" s="178"/>
      <c r="L71" s="158"/>
    </row>
    <row r="72" spans="1:12" ht="14.65" customHeight="1">
      <c r="A72" s="167" t="s">
        <v>168</v>
      </c>
      <c r="B72" s="167"/>
      <c r="C72" s="194"/>
      <c r="D72" s="167" t="s">
        <v>57</v>
      </c>
      <c r="E72" s="129"/>
      <c r="F72" s="129"/>
      <c r="G72" s="209" t="s">
        <v>58</v>
      </c>
      <c r="H72" s="129"/>
      <c r="I72" s="178" t="s">
        <v>138</v>
      </c>
      <c r="J72" s="178"/>
      <c r="K72" s="178"/>
      <c r="L72" s="158"/>
    </row>
    <row r="73" spans="1:12" ht="14.65" customHeight="1">
      <c r="A73" s="195" t="s">
        <v>169</v>
      </c>
      <c r="B73" s="167" t="s">
        <v>57</v>
      </c>
      <c r="C73" s="194"/>
      <c r="D73" s="167"/>
      <c r="E73" s="129"/>
      <c r="F73" s="129"/>
      <c r="G73" s="209" t="s">
        <v>58</v>
      </c>
      <c r="H73" s="129"/>
      <c r="I73" s="178" t="s">
        <v>61</v>
      </c>
      <c r="J73" s="178" t="s">
        <v>66</v>
      </c>
      <c r="K73" s="178"/>
      <c r="L73" s="158"/>
    </row>
    <row r="74" spans="1:12" ht="14.65" customHeight="1">
      <c r="A74" s="167" t="s">
        <v>170</v>
      </c>
      <c r="B74" s="167" t="s">
        <v>57</v>
      </c>
      <c r="C74" s="194"/>
      <c r="D74" s="167" t="s">
        <v>57</v>
      </c>
      <c r="E74" s="129"/>
      <c r="F74" s="129"/>
      <c r="G74" s="209" t="s">
        <v>58</v>
      </c>
      <c r="H74" s="129"/>
      <c r="I74" s="178" t="s">
        <v>67</v>
      </c>
      <c r="J74" s="178" t="s">
        <v>142</v>
      </c>
      <c r="K74" s="178" t="s">
        <v>102</v>
      </c>
      <c r="L74" s="158"/>
    </row>
    <row r="75" spans="1:12" ht="14.65" customHeight="1">
      <c r="A75" s="195" t="s">
        <v>171</v>
      </c>
      <c r="B75" s="167" t="s">
        <v>57</v>
      </c>
      <c r="C75" s="194"/>
      <c r="D75" s="167"/>
      <c r="E75" s="129"/>
      <c r="F75" s="129"/>
      <c r="G75" s="209" t="s">
        <v>58</v>
      </c>
      <c r="H75" s="129"/>
      <c r="I75" s="178" t="s">
        <v>61</v>
      </c>
      <c r="J75" s="178"/>
      <c r="K75" s="178"/>
      <c r="L75" s="158"/>
    </row>
    <row r="76" spans="1:12" ht="14.65" hidden="1" customHeight="1">
      <c r="A76" s="198" t="s">
        <v>172</v>
      </c>
      <c r="B76" s="167" t="s">
        <v>57</v>
      </c>
      <c r="C76" s="194"/>
      <c r="D76" s="199"/>
      <c r="E76" s="129"/>
      <c r="F76" s="129"/>
      <c r="G76" s="209" t="s">
        <v>81</v>
      </c>
      <c r="H76" s="129" t="s">
        <v>173</v>
      </c>
      <c r="I76" s="178"/>
      <c r="J76" s="178"/>
      <c r="K76" s="178"/>
      <c r="L76" s="158"/>
    </row>
    <row r="77" spans="1:12" ht="14.65" customHeight="1">
      <c r="A77" s="177" t="s">
        <v>174</v>
      </c>
      <c r="B77" s="167" t="s">
        <v>57</v>
      </c>
      <c r="C77" s="194" t="s">
        <v>57</v>
      </c>
      <c r="D77" s="167" t="s">
        <v>57</v>
      </c>
      <c r="E77" s="176" t="s">
        <v>57</v>
      </c>
      <c r="F77" s="129"/>
      <c r="G77" s="209" t="s">
        <v>58</v>
      </c>
      <c r="H77" s="129"/>
      <c r="I77" s="178" t="s">
        <v>175</v>
      </c>
      <c r="J77" s="178"/>
      <c r="K77" s="178"/>
      <c r="L77" s="158"/>
    </row>
    <row r="78" spans="1:12" ht="14.65" customHeight="1">
      <c r="A78" s="195" t="s">
        <v>176</v>
      </c>
      <c r="B78" s="167" t="s">
        <v>57</v>
      </c>
      <c r="C78" s="194"/>
      <c r="D78" s="167"/>
      <c r="E78" s="176"/>
      <c r="F78" s="129"/>
      <c r="G78" s="209" t="s">
        <v>58</v>
      </c>
      <c r="H78" s="129"/>
      <c r="I78" s="178"/>
      <c r="J78" s="178"/>
      <c r="K78" s="178"/>
      <c r="L78" s="158"/>
    </row>
    <row r="79" spans="1:12" ht="14.65" customHeight="1">
      <c r="A79" s="167" t="s">
        <v>177</v>
      </c>
      <c r="B79" s="167" t="s">
        <v>57</v>
      </c>
      <c r="C79" s="194" t="s">
        <v>57</v>
      </c>
      <c r="D79" s="167" t="s">
        <v>57</v>
      </c>
      <c r="E79" s="129"/>
      <c r="F79" s="129"/>
      <c r="G79" s="209" t="s">
        <v>58</v>
      </c>
      <c r="H79" s="129"/>
      <c r="I79" s="178" t="s">
        <v>142</v>
      </c>
      <c r="J79" s="178" t="s">
        <v>59</v>
      </c>
      <c r="K79" s="178"/>
      <c r="L79" s="158"/>
    </row>
    <row r="80" spans="1:12" ht="14.65" hidden="1" customHeight="1">
      <c r="A80" s="167" t="s">
        <v>178</v>
      </c>
      <c r="B80" s="167"/>
      <c r="C80" s="194"/>
      <c r="D80" s="167" t="s">
        <v>57</v>
      </c>
      <c r="E80" s="129"/>
      <c r="F80" s="129"/>
      <c r="G80" s="209" t="s">
        <v>76</v>
      </c>
      <c r="H80" s="129" t="s">
        <v>179</v>
      </c>
      <c r="I80" s="178"/>
      <c r="J80" s="178"/>
      <c r="K80" s="178"/>
      <c r="L80" s="158"/>
    </row>
    <row r="81" spans="1:12" ht="14.65" customHeight="1">
      <c r="A81" s="167" t="s">
        <v>180</v>
      </c>
      <c r="B81" s="167"/>
      <c r="C81" s="194"/>
      <c r="D81" s="167" t="s">
        <v>57</v>
      </c>
      <c r="E81" s="129"/>
      <c r="F81" s="129"/>
      <c r="G81" s="209" t="s">
        <v>58</v>
      </c>
      <c r="H81" s="129"/>
      <c r="I81" s="178" t="s">
        <v>67</v>
      </c>
      <c r="J81" s="178"/>
      <c r="K81" s="178"/>
      <c r="L81" s="158"/>
    </row>
    <row r="82" spans="1:12" ht="14.65" customHeight="1">
      <c r="A82" s="167" t="s">
        <v>181</v>
      </c>
      <c r="B82" s="167"/>
      <c r="C82" s="194"/>
      <c r="D82" s="167" t="s">
        <v>57</v>
      </c>
      <c r="E82" s="129"/>
      <c r="F82" s="129"/>
      <c r="G82" s="209" t="s">
        <v>58</v>
      </c>
      <c r="H82" s="129"/>
      <c r="I82" s="178" t="s">
        <v>67</v>
      </c>
      <c r="J82" s="178"/>
      <c r="K82" s="178"/>
      <c r="L82" s="158"/>
    </row>
    <row r="83" spans="1:12" ht="14.65" customHeight="1">
      <c r="A83" s="167" t="s">
        <v>182</v>
      </c>
      <c r="B83" s="167"/>
      <c r="C83" s="194"/>
      <c r="D83" s="167" t="s">
        <v>57</v>
      </c>
      <c r="E83" s="129"/>
      <c r="F83" s="129"/>
      <c r="G83" s="209" t="s">
        <v>58</v>
      </c>
      <c r="H83" s="129"/>
      <c r="I83" s="178" t="s">
        <v>67</v>
      </c>
      <c r="J83" s="178"/>
      <c r="K83" s="178"/>
      <c r="L83" s="158"/>
    </row>
    <row r="84" spans="1:12" ht="14.65" hidden="1" customHeight="1">
      <c r="A84" s="167" t="s">
        <v>183</v>
      </c>
      <c r="B84" s="167"/>
      <c r="C84" s="194"/>
      <c r="D84" s="167" t="s">
        <v>57</v>
      </c>
      <c r="E84" s="176"/>
      <c r="F84" s="129"/>
      <c r="G84" s="209" t="s">
        <v>81</v>
      </c>
      <c r="H84" s="129" t="s">
        <v>166</v>
      </c>
      <c r="I84" s="178"/>
      <c r="J84" s="178"/>
      <c r="K84" s="178"/>
      <c r="L84" s="158"/>
    </row>
    <row r="85" spans="1:12" ht="14.65" hidden="1" customHeight="1">
      <c r="A85" s="167" t="s">
        <v>184</v>
      </c>
      <c r="B85" s="167"/>
      <c r="C85" s="194"/>
      <c r="D85" s="167" t="s">
        <v>57</v>
      </c>
      <c r="E85" s="129"/>
      <c r="F85" s="129"/>
      <c r="G85" s="209" t="s">
        <v>81</v>
      </c>
      <c r="H85" s="129" t="s">
        <v>166</v>
      </c>
      <c r="I85" s="178"/>
      <c r="J85" s="178"/>
      <c r="K85" s="178"/>
      <c r="L85" s="158"/>
    </row>
    <row r="86" spans="1:12" ht="14.65" customHeight="1">
      <c r="A86" s="195" t="s">
        <v>185</v>
      </c>
      <c r="B86" s="74" t="s">
        <v>57</v>
      </c>
      <c r="C86" s="167"/>
      <c r="D86" s="167"/>
      <c r="E86" s="129"/>
      <c r="F86" s="129"/>
      <c r="G86" s="209" t="s">
        <v>58</v>
      </c>
      <c r="H86" s="129"/>
      <c r="I86" s="178" t="s">
        <v>93</v>
      </c>
      <c r="J86" s="178" t="s">
        <v>74</v>
      </c>
      <c r="K86" s="178"/>
      <c r="L86" s="158"/>
    </row>
    <row r="87" spans="1:12" ht="14.65" customHeight="1">
      <c r="A87" s="167" t="s">
        <v>186</v>
      </c>
      <c r="B87" s="167" t="s">
        <v>57</v>
      </c>
      <c r="C87" s="194" t="s">
        <v>57</v>
      </c>
      <c r="D87" s="167" t="s">
        <v>57</v>
      </c>
      <c r="E87" s="129"/>
      <c r="F87" s="129"/>
      <c r="G87" s="209" t="s">
        <v>58</v>
      </c>
      <c r="H87" s="129"/>
      <c r="I87" s="178" t="s">
        <v>138</v>
      </c>
      <c r="J87" s="178" t="s">
        <v>142</v>
      </c>
      <c r="K87" s="178"/>
      <c r="L87" s="158"/>
    </row>
    <row r="88" spans="1:12" ht="14.65" customHeight="1">
      <c r="A88" s="196" t="s">
        <v>187</v>
      </c>
      <c r="B88" s="167" t="s">
        <v>57</v>
      </c>
      <c r="C88" s="194"/>
      <c r="D88" s="167" t="s">
        <v>57</v>
      </c>
      <c r="E88" s="129"/>
      <c r="F88" s="129"/>
      <c r="G88" s="209" t="s">
        <v>58</v>
      </c>
      <c r="H88" s="129"/>
      <c r="I88" s="178" t="s">
        <v>67</v>
      </c>
      <c r="J88" s="178" t="s">
        <v>59</v>
      </c>
      <c r="K88" s="178"/>
      <c r="L88" s="158"/>
    </row>
    <row r="89" spans="1:12" ht="14.65" hidden="1" customHeight="1">
      <c r="A89" s="167" t="s">
        <v>188</v>
      </c>
      <c r="B89" s="167"/>
      <c r="C89" s="194"/>
      <c r="D89" s="167" t="s">
        <v>57</v>
      </c>
      <c r="E89" s="129"/>
      <c r="F89" s="129"/>
      <c r="G89" s="209" t="s">
        <v>81</v>
      </c>
      <c r="H89" s="129" t="s">
        <v>166</v>
      </c>
      <c r="I89" s="178"/>
      <c r="J89" s="178"/>
      <c r="K89" s="178"/>
      <c r="L89" s="158"/>
    </row>
    <row r="90" spans="1:12" ht="14.65" hidden="1" customHeight="1">
      <c r="A90" s="195" t="s">
        <v>189</v>
      </c>
      <c r="B90" s="167" t="s">
        <v>57</v>
      </c>
      <c r="C90" s="194"/>
      <c r="D90" s="167"/>
      <c r="E90" s="129"/>
      <c r="F90" s="129"/>
      <c r="G90" s="209" t="s">
        <v>76</v>
      </c>
      <c r="H90" s="129" t="s">
        <v>190</v>
      </c>
      <c r="I90" s="178"/>
      <c r="J90" s="178"/>
      <c r="K90" s="178"/>
      <c r="L90" s="158"/>
    </row>
    <row r="91" spans="1:12" ht="14.65" customHeight="1">
      <c r="A91" s="167" t="s">
        <v>191</v>
      </c>
      <c r="B91" s="167"/>
      <c r="C91" s="194"/>
      <c r="D91" s="167" t="s">
        <v>57</v>
      </c>
      <c r="E91" s="129"/>
      <c r="F91" s="129"/>
      <c r="G91" s="209" t="s">
        <v>58</v>
      </c>
      <c r="H91" s="129"/>
      <c r="I91" s="178" t="s">
        <v>59</v>
      </c>
      <c r="J91" s="178" t="s">
        <v>102</v>
      </c>
      <c r="K91" s="178"/>
      <c r="L91" s="158"/>
    </row>
    <row r="92" spans="1:12" ht="14.65" customHeight="1">
      <c r="A92" s="195" t="s">
        <v>192</v>
      </c>
      <c r="B92" s="167" t="s">
        <v>57</v>
      </c>
      <c r="C92" s="194"/>
      <c r="D92" s="167"/>
      <c r="E92" s="129"/>
      <c r="F92" s="129"/>
      <c r="G92" s="209" t="s">
        <v>58</v>
      </c>
      <c r="H92" s="129"/>
      <c r="I92" s="178" t="s">
        <v>175</v>
      </c>
      <c r="J92" s="178"/>
      <c r="K92" s="178"/>
      <c r="L92" s="158"/>
    </row>
    <row r="93" spans="1:12" ht="14.65" customHeight="1">
      <c r="A93" s="201" t="s">
        <v>193</v>
      </c>
      <c r="B93" s="167" t="s">
        <v>57</v>
      </c>
      <c r="C93" s="194"/>
      <c r="D93" s="167"/>
      <c r="E93" s="129"/>
      <c r="F93" s="129"/>
      <c r="G93" s="209" t="s">
        <v>58</v>
      </c>
      <c r="H93" s="129"/>
      <c r="I93" s="178" t="s">
        <v>60</v>
      </c>
      <c r="J93" s="178"/>
      <c r="K93" s="178"/>
      <c r="L93" s="158"/>
    </row>
    <row r="94" spans="1:12" ht="14.65" hidden="1" customHeight="1">
      <c r="A94" s="167" t="s">
        <v>194</v>
      </c>
      <c r="B94" s="167"/>
      <c r="C94" s="194"/>
      <c r="D94" s="167" t="s">
        <v>57</v>
      </c>
      <c r="E94" s="129"/>
      <c r="F94" s="129"/>
      <c r="G94" s="209" t="s">
        <v>81</v>
      </c>
      <c r="H94" s="129" t="s">
        <v>159</v>
      </c>
      <c r="I94" s="178"/>
      <c r="J94" s="178"/>
      <c r="K94" s="178"/>
      <c r="L94" s="158"/>
    </row>
    <row r="95" spans="1:12" ht="14.65" customHeight="1">
      <c r="A95" s="194" t="s">
        <v>195</v>
      </c>
      <c r="B95" s="167" t="s">
        <v>57</v>
      </c>
      <c r="C95" s="129"/>
      <c r="D95" s="167" t="s">
        <v>57</v>
      </c>
      <c r="E95" s="129" t="s">
        <v>57</v>
      </c>
      <c r="F95" s="129">
        <v>1.944</v>
      </c>
      <c r="G95" s="209" t="s">
        <v>58</v>
      </c>
      <c r="H95" s="129"/>
      <c r="I95" s="178" t="s">
        <v>142</v>
      </c>
      <c r="J95" s="178" t="s">
        <v>59</v>
      </c>
      <c r="K95" s="178"/>
      <c r="L95" s="158"/>
    </row>
    <row r="96" spans="1:12" ht="14.65" hidden="1" customHeight="1">
      <c r="A96" s="167" t="s">
        <v>196</v>
      </c>
      <c r="B96" s="167"/>
      <c r="C96" s="194"/>
      <c r="D96" s="167" t="s">
        <v>57</v>
      </c>
      <c r="E96" s="129"/>
      <c r="F96" s="129"/>
      <c r="G96" s="209" t="s">
        <v>81</v>
      </c>
      <c r="H96" s="129" t="s">
        <v>197</v>
      </c>
      <c r="I96" s="178"/>
      <c r="J96" s="178"/>
      <c r="K96" s="178"/>
      <c r="L96" s="158"/>
    </row>
    <row r="97" spans="1:12" ht="14.65" customHeight="1">
      <c r="A97" s="191" t="s">
        <v>198</v>
      </c>
      <c r="B97" s="167" t="s">
        <v>57</v>
      </c>
      <c r="C97" s="194"/>
      <c r="D97" s="167"/>
      <c r="E97" s="129"/>
      <c r="F97" s="129"/>
      <c r="G97" s="209" t="s">
        <v>58</v>
      </c>
      <c r="H97" s="129"/>
      <c r="I97" s="178" t="s">
        <v>142</v>
      </c>
      <c r="J97" s="178"/>
      <c r="K97" s="178"/>
      <c r="L97" s="158"/>
    </row>
    <row r="98" spans="1:12" ht="14.65" customHeight="1">
      <c r="A98" s="195" t="s">
        <v>199</v>
      </c>
      <c r="B98" s="167" t="s">
        <v>57</v>
      </c>
      <c r="C98" s="194"/>
      <c r="D98" s="167"/>
      <c r="E98" s="129"/>
      <c r="F98" s="129"/>
      <c r="G98" s="209" t="s">
        <v>58</v>
      </c>
      <c r="H98" s="129"/>
      <c r="I98" s="178" t="s">
        <v>67</v>
      </c>
      <c r="J98" s="178"/>
      <c r="K98" s="178"/>
      <c r="L98" s="158"/>
    </row>
    <row r="99" spans="1:12" ht="14.65" hidden="1" customHeight="1">
      <c r="A99" s="167" t="s">
        <v>200</v>
      </c>
      <c r="B99" s="167"/>
      <c r="C99" s="194"/>
      <c r="D99" s="167" t="s">
        <v>57</v>
      </c>
      <c r="E99" s="176"/>
      <c r="F99" s="129"/>
      <c r="G99" s="209" t="s">
        <v>81</v>
      </c>
      <c r="H99" s="129" t="s">
        <v>201</v>
      </c>
      <c r="I99" s="178"/>
      <c r="J99" s="178"/>
      <c r="K99" s="178"/>
      <c r="L99" s="158"/>
    </row>
    <row r="100" spans="1:12" ht="14.65" customHeight="1">
      <c r="A100" s="167" t="s">
        <v>202</v>
      </c>
      <c r="B100" s="167" t="s">
        <v>57</v>
      </c>
      <c r="C100" s="194" t="s">
        <v>57</v>
      </c>
      <c r="D100" s="167" t="s">
        <v>57</v>
      </c>
      <c r="E100" s="129"/>
      <c r="F100" s="129"/>
      <c r="G100" s="209" t="s">
        <v>58</v>
      </c>
      <c r="H100" s="129"/>
      <c r="I100" s="178" t="s">
        <v>138</v>
      </c>
      <c r="J100" s="178"/>
      <c r="K100" s="178"/>
      <c r="L100" s="158"/>
    </row>
    <row r="101" spans="1:12" ht="14.65" customHeight="1">
      <c r="A101" s="167" t="s">
        <v>203</v>
      </c>
      <c r="B101" s="167"/>
      <c r="C101" s="194"/>
      <c r="D101" s="167" t="s">
        <v>57</v>
      </c>
      <c r="E101" s="129"/>
      <c r="F101" s="129"/>
      <c r="G101" s="209" t="s">
        <v>58</v>
      </c>
      <c r="H101" s="129"/>
      <c r="I101" s="178" t="s">
        <v>59</v>
      </c>
      <c r="J101" s="178"/>
      <c r="K101" s="178"/>
      <c r="L101" s="158"/>
    </row>
    <row r="102" spans="1:12" ht="14.65" customHeight="1">
      <c r="A102" s="167" t="s">
        <v>204</v>
      </c>
      <c r="B102" s="167" t="s">
        <v>57</v>
      </c>
      <c r="C102" s="194" t="s">
        <v>57</v>
      </c>
      <c r="D102" s="167" t="s">
        <v>57</v>
      </c>
      <c r="E102" s="129"/>
      <c r="F102" s="129"/>
      <c r="G102" s="209" t="s">
        <v>58</v>
      </c>
      <c r="H102" s="129"/>
      <c r="I102" s="178" t="s">
        <v>67</v>
      </c>
      <c r="J102" s="178" t="s">
        <v>66</v>
      </c>
      <c r="K102" s="178"/>
      <c r="L102" s="158"/>
    </row>
    <row r="103" spans="1:12" ht="14.65" hidden="1" customHeight="1">
      <c r="A103" s="167" t="s">
        <v>205</v>
      </c>
      <c r="B103" s="167"/>
      <c r="C103" s="194" t="s">
        <v>57</v>
      </c>
      <c r="D103" s="167" t="s">
        <v>57</v>
      </c>
      <c r="E103" s="129"/>
      <c r="F103" s="129"/>
      <c r="G103" s="209" t="s">
        <v>81</v>
      </c>
      <c r="H103" s="129" t="s">
        <v>206</v>
      </c>
      <c r="I103" s="178"/>
      <c r="J103" s="178"/>
      <c r="K103" s="178"/>
      <c r="L103" s="158"/>
    </row>
    <row r="104" spans="1:12" ht="14.65" hidden="1" customHeight="1">
      <c r="A104" s="167" t="s">
        <v>207</v>
      </c>
      <c r="B104" s="167"/>
      <c r="C104" s="194"/>
      <c r="D104" s="167" t="s">
        <v>57</v>
      </c>
      <c r="E104" s="129"/>
      <c r="F104" s="129"/>
      <c r="G104" s="209" t="s">
        <v>81</v>
      </c>
      <c r="H104" s="129" t="s">
        <v>208</v>
      </c>
      <c r="I104" s="178"/>
      <c r="J104" s="178"/>
      <c r="K104" s="178"/>
      <c r="L104" s="158"/>
    </row>
    <row r="105" spans="1:12" ht="14.65" customHeight="1">
      <c r="A105" s="167" t="s">
        <v>209</v>
      </c>
      <c r="B105" s="167" t="s">
        <v>57</v>
      </c>
      <c r="C105" s="197"/>
      <c r="D105" s="167" t="s">
        <v>57</v>
      </c>
      <c r="E105" s="129"/>
      <c r="F105" s="129"/>
      <c r="G105" s="209" t="s">
        <v>58</v>
      </c>
      <c r="H105" s="129"/>
      <c r="I105" s="178" t="s">
        <v>59</v>
      </c>
      <c r="J105" s="178"/>
      <c r="K105" s="178"/>
      <c r="L105" s="158"/>
    </row>
    <row r="106" spans="1:12" ht="14.65" customHeight="1">
      <c r="A106" s="130" t="s">
        <v>210</v>
      </c>
      <c r="B106" s="130"/>
      <c r="C106" s="194" t="s">
        <v>57</v>
      </c>
      <c r="D106" s="167" t="s">
        <v>57</v>
      </c>
      <c r="E106" s="176" t="s">
        <v>57</v>
      </c>
      <c r="F106" s="129"/>
      <c r="G106" s="209" t="s">
        <v>58</v>
      </c>
      <c r="H106" s="129"/>
      <c r="I106" s="178" t="s">
        <v>67</v>
      </c>
      <c r="J106" s="178"/>
      <c r="K106" s="178"/>
      <c r="L106" s="158"/>
    </row>
    <row r="107" spans="1:12" ht="14.65" customHeight="1">
      <c r="A107" s="195" t="s">
        <v>211</v>
      </c>
      <c r="B107" s="167" t="s">
        <v>57</v>
      </c>
      <c r="C107" s="194"/>
      <c r="D107" s="130"/>
      <c r="E107" s="176"/>
      <c r="F107" s="129"/>
      <c r="G107" s="209" t="s">
        <v>58</v>
      </c>
      <c r="H107" s="129"/>
      <c r="I107" s="178" t="s">
        <v>66</v>
      </c>
      <c r="J107" s="178"/>
      <c r="K107" s="178"/>
      <c r="L107" s="158"/>
    </row>
    <row r="108" spans="1:12" ht="14.65" customHeight="1">
      <c r="A108" s="200" t="s">
        <v>212</v>
      </c>
      <c r="B108" s="130" t="s">
        <v>57</v>
      </c>
      <c r="C108" s="194"/>
      <c r="D108" s="130"/>
      <c r="E108" s="176"/>
      <c r="F108" s="129"/>
      <c r="G108" s="209" t="s">
        <v>58</v>
      </c>
      <c r="H108" s="129"/>
      <c r="I108" s="178" t="s">
        <v>66</v>
      </c>
      <c r="J108" s="178"/>
      <c r="K108" s="178"/>
      <c r="L108" s="158"/>
    </row>
    <row r="109" spans="1:12" ht="14.65" hidden="1" customHeight="1">
      <c r="A109" s="194" t="s">
        <v>213</v>
      </c>
      <c r="B109" s="130" t="s">
        <v>57</v>
      </c>
      <c r="C109" s="183"/>
      <c r="D109" s="130" t="s">
        <v>57</v>
      </c>
      <c r="E109" s="129" t="s">
        <v>57</v>
      </c>
      <c r="F109" s="129">
        <v>1.667</v>
      </c>
      <c r="G109" s="209" t="s">
        <v>81</v>
      </c>
      <c r="H109" s="129" t="s">
        <v>208</v>
      </c>
      <c r="I109" s="178" t="s">
        <v>175</v>
      </c>
      <c r="J109" s="178"/>
      <c r="K109" s="178"/>
      <c r="L109" s="158"/>
    </row>
    <row r="110" spans="1:12" ht="14.65" customHeight="1">
      <c r="A110" s="200" t="s">
        <v>214</v>
      </c>
      <c r="B110" s="167" t="s">
        <v>57</v>
      </c>
      <c r="C110" s="194"/>
      <c r="D110" s="183"/>
      <c r="E110" s="129"/>
      <c r="F110" s="129"/>
      <c r="G110" s="209" t="s">
        <v>58</v>
      </c>
      <c r="H110" s="129"/>
      <c r="I110" s="178"/>
      <c r="J110" s="178" t="s">
        <v>66</v>
      </c>
      <c r="K110" s="178" t="s">
        <v>60</v>
      </c>
      <c r="L110" s="158"/>
    </row>
    <row r="111" spans="1:12" ht="14.65" customHeight="1">
      <c r="A111" s="200" t="s">
        <v>215</v>
      </c>
      <c r="B111" s="167" t="s">
        <v>57</v>
      </c>
      <c r="C111" s="194"/>
      <c r="D111" s="183"/>
      <c r="E111" s="129"/>
      <c r="F111" s="129"/>
      <c r="G111" s="209" t="s">
        <v>58</v>
      </c>
      <c r="H111" s="129"/>
      <c r="I111" s="178" t="s">
        <v>74</v>
      </c>
      <c r="J111" s="178" t="s">
        <v>66</v>
      </c>
      <c r="K111" s="178" t="s">
        <v>60</v>
      </c>
      <c r="L111" s="158"/>
    </row>
    <row r="112" spans="1:12" ht="14.65" customHeight="1">
      <c r="A112" s="195" t="s">
        <v>216</v>
      </c>
      <c r="B112" s="167" t="s">
        <v>57</v>
      </c>
      <c r="C112" s="194"/>
      <c r="D112" s="183"/>
      <c r="E112" s="129"/>
      <c r="F112" s="129"/>
      <c r="G112" s="209" t="s">
        <v>58</v>
      </c>
      <c r="H112" s="129"/>
      <c r="I112" s="178" t="s">
        <v>102</v>
      </c>
      <c r="J112" s="178"/>
      <c r="K112" s="178"/>
      <c r="L112" s="158"/>
    </row>
    <row r="113" spans="1:12" ht="14.65" customHeight="1">
      <c r="A113" s="194" t="s">
        <v>217</v>
      </c>
      <c r="B113" s="167" t="s">
        <v>57</v>
      </c>
      <c r="C113" s="194" t="s">
        <v>57</v>
      </c>
      <c r="D113" s="167" t="s">
        <v>57</v>
      </c>
      <c r="E113" s="176" t="s">
        <v>57</v>
      </c>
      <c r="F113" s="129"/>
      <c r="G113" s="209" t="s">
        <v>58</v>
      </c>
      <c r="H113" s="129"/>
      <c r="I113" s="178" t="s">
        <v>102</v>
      </c>
      <c r="J113" s="178"/>
      <c r="K113" s="178"/>
      <c r="L113" s="158"/>
    </row>
    <row r="114" spans="1:12" ht="14.65" customHeight="1">
      <c r="A114" s="194" t="s">
        <v>218</v>
      </c>
      <c r="B114" s="167" t="s">
        <v>57</v>
      </c>
      <c r="C114" s="194" t="s">
        <v>57</v>
      </c>
      <c r="D114" s="167" t="s">
        <v>57</v>
      </c>
      <c r="E114" s="129" t="s">
        <v>57</v>
      </c>
      <c r="F114" s="129"/>
      <c r="G114" s="209" t="s">
        <v>58</v>
      </c>
      <c r="H114" s="129"/>
      <c r="I114" s="178" t="s">
        <v>59</v>
      </c>
      <c r="J114" s="178" t="s">
        <v>67</v>
      </c>
      <c r="K114" s="178"/>
      <c r="L114" s="158"/>
    </row>
    <row r="115" spans="1:12" ht="14.65" customHeight="1">
      <c r="A115" s="194" t="s">
        <v>219</v>
      </c>
      <c r="B115" s="167" t="s">
        <v>57</v>
      </c>
      <c r="C115" s="194" t="s">
        <v>57</v>
      </c>
      <c r="D115" s="167" t="s">
        <v>57</v>
      </c>
      <c r="E115" s="176" t="s">
        <v>57</v>
      </c>
      <c r="F115" s="129"/>
      <c r="G115" s="209" t="s">
        <v>58</v>
      </c>
      <c r="H115" s="129"/>
      <c r="I115" s="178" t="s">
        <v>60</v>
      </c>
      <c r="J115" s="178" t="s">
        <v>66</v>
      </c>
      <c r="K115" s="178"/>
      <c r="L115" s="158"/>
    </row>
    <row r="116" spans="1:12" ht="14.65" customHeight="1">
      <c r="A116" s="201" t="s">
        <v>220</v>
      </c>
      <c r="B116" s="167" t="s">
        <v>57</v>
      </c>
      <c r="C116" s="194"/>
      <c r="D116" s="130"/>
      <c r="E116" s="176"/>
      <c r="F116" s="129"/>
      <c r="G116" s="209" t="s">
        <v>58</v>
      </c>
      <c r="H116" s="129"/>
      <c r="I116" s="178" t="s">
        <v>60</v>
      </c>
      <c r="J116" s="178" t="s">
        <v>66</v>
      </c>
      <c r="K116" s="178"/>
      <c r="L116" s="158"/>
    </row>
    <row r="117" spans="1:12" ht="14.65" customHeight="1">
      <c r="A117" s="194" t="s">
        <v>221</v>
      </c>
      <c r="B117" s="167" t="s">
        <v>57</v>
      </c>
      <c r="C117" s="194" t="s">
        <v>57</v>
      </c>
      <c r="D117" s="167" t="s">
        <v>57</v>
      </c>
      <c r="E117" s="129" t="s">
        <v>57</v>
      </c>
      <c r="F117" s="129"/>
      <c r="G117" s="209" t="s">
        <v>58</v>
      </c>
      <c r="H117" s="129"/>
      <c r="I117" s="178" t="s">
        <v>67</v>
      </c>
      <c r="J117" s="178"/>
      <c r="K117" s="178"/>
      <c r="L117" s="158"/>
    </row>
    <row r="118" spans="1:12" ht="14.65" customHeight="1">
      <c r="A118" s="130" t="s">
        <v>222</v>
      </c>
      <c r="B118" s="130"/>
      <c r="C118" s="194" t="s">
        <v>57</v>
      </c>
      <c r="D118" s="167" t="s">
        <v>57</v>
      </c>
      <c r="E118" s="129" t="s">
        <v>57</v>
      </c>
      <c r="F118" s="129"/>
      <c r="G118" s="209" t="s">
        <v>58</v>
      </c>
      <c r="H118" s="129"/>
      <c r="I118" s="178" t="s">
        <v>67</v>
      </c>
      <c r="J118" s="178"/>
      <c r="K118" s="178"/>
      <c r="L118" s="158"/>
    </row>
    <row r="119" spans="1:12" ht="14.45">
      <c r="A119" s="194" t="s">
        <v>223</v>
      </c>
      <c r="B119" s="194"/>
      <c r="C119" s="194"/>
      <c r="D119" s="194" t="s">
        <v>57</v>
      </c>
      <c r="E119" s="129"/>
      <c r="F119" s="129"/>
      <c r="G119" s="209" t="s">
        <v>58</v>
      </c>
      <c r="H119" s="129"/>
      <c r="I119" s="178" t="s">
        <v>67</v>
      </c>
      <c r="J119" s="178"/>
      <c r="K119" s="178"/>
      <c r="L119" s="158"/>
    </row>
    <row r="120" spans="1:12" ht="14.45" hidden="1">
      <c r="A120" s="194" t="s">
        <v>224</v>
      </c>
      <c r="B120" s="194"/>
      <c r="C120" s="194"/>
      <c r="D120" s="194" t="s">
        <v>57</v>
      </c>
      <c r="E120" s="129"/>
      <c r="F120" s="129"/>
      <c r="G120" s="209" t="s">
        <v>81</v>
      </c>
      <c r="H120" s="129" t="s">
        <v>208</v>
      </c>
      <c r="I120" s="178" t="s">
        <v>59</v>
      </c>
      <c r="J120" s="178"/>
      <c r="K120" s="178"/>
      <c r="L120" s="158"/>
    </row>
    <row r="121" spans="1:12" ht="14.45">
      <c r="A121" s="130" t="s">
        <v>225</v>
      </c>
      <c r="B121" s="130"/>
      <c r="C121" s="194" t="s">
        <v>57</v>
      </c>
      <c r="D121" s="130" t="s">
        <v>57</v>
      </c>
      <c r="E121" s="129" t="s">
        <v>57</v>
      </c>
      <c r="F121" s="129">
        <v>1.667</v>
      </c>
      <c r="G121" s="209" t="s">
        <v>58</v>
      </c>
      <c r="H121" s="129"/>
      <c r="I121" s="178" t="s">
        <v>60</v>
      </c>
      <c r="J121" s="178"/>
      <c r="K121" s="178"/>
      <c r="L121" s="158"/>
    </row>
    <row r="122" spans="1:12" ht="14.45" hidden="1">
      <c r="A122" s="183" t="s">
        <v>226</v>
      </c>
      <c r="B122" s="183"/>
      <c r="C122" s="183"/>
      <c r="D122" s="183"/>
      <c r="E122" s="129" t="s">
        <v>57</v>
      </c>
      <c r="F122" s="129">
        <v>1.667</v>
      </c>
      <c r="G122" s="209" t="s">
        <v>81</v>
      </c>
      <c r="H122" s="129" t="s">
        <v>208</v>
      </c>
      <c r="I122" s="178" t="s">
        <v>59</v>
      </c>
      <c r="J122" s="178"/>
      <c r="K122" s="178"/>
      <c r="L122" s="158"/>
    </row>
    <row r="123" spans="1:12" ht="14.45">
      <c r="A123" s="195" t="s">
        <v>227</v>
      </c>
      <c r="B123" s="194" t="s">
        <v>57</v>
      </c>
      <c r="C123" s="129"/>
      <c r="D123" s="183"/>
      <c r="E123" s="129"/>
      <c r="F123" s="129"/>
      <c r="G123" s="209" t="s">
        <v>58</v>
      </c>
      <c r="H123" s="129"/>
      <c r="I123" s="178" t="s">
        <v>66</v>
      </c>
      <c r="J123" s="178" t="s">
        <v>79</v>
      </c>
      <c r="K123" s="178"/>
      <c r="L123" s="158"/>
    </row>
    <row r="124" spans="1:12" ht="14.65" hidden="1" customHeight="1">
      <c r="A124" s="194" t="s">
        <v>228</v>
      </c>
      <c r="B124" s="194"/>
      <c r="C124" s="194"/>
      <c r="D124" s="194" t="s">
        <v>57</v>
      </c>
      <c r="E124" s="129"/>
      <c r="F124" s="129"/>
      <c r="G124" s="209" t="s">
        <v>81</v>
      </c>
      <c r="H124" s="129" t="s">
        <v>159</v>
      </c>
      <c r="I124" s="178"/>
      <c r="J124" s="178"/>
      <c r="K124" s="178"/>
      <c r="L124" s="158"/>
    </row>
    <row r="125" spans="1:12" ht="14.65" customHeight="1">
      <c r="A125" s="130" t="s">
        <v>229</v>
      </c>
      <c r="B125" s="167" t="s">
        <v>57</v>
      </c>
      <c r="C125" s="194"/>
      <c r="D125" s="194" t="s">
        <v>57</v>
      </c>
      <c r="E125" s="129"/>
      <c r="F125" s="129"/>
      <c r="G125" s="209" t="s">
        <v>58</v>
      </c>
      <c r="H125" s="129"/>
      <c r="I125" s="178" t="s">
        <v>175</v>
      </c>
      <c r="J125" s="178"/>
      <c r="K125" s="178"/>
      <c r="L125" s="158"/>
    </row>
    <row r="126" spans="1:12" ht="14.65" customHeight="1">
      <c r="A126" s="195" t="s">
        <v>230</v>
      </c>
      <c r="B126" s="194" t="s">
        <v>57</v>
      </c>
      <c r="C126" s="194"/>
      <c r="D126" s="194"/>
      <c r="E126" s="129"/>
      <c r="F126" s="129"/>
      <c r="G126" s="209" t="s">
        <v>58</v>
      </c>
      <c r="H126" s="129"/>
      <c r="I126" s="178" t="s">
        <v>59</v>
      </c>
      <c r="J126" s="178" t="s">
        <v>142</v>
      </c>
      <c r="K126" s="178"/>
      <c r="L126" s="158"/>
    </row>
    <row r="127" spans="1:12" ht="14.65" hidden="1" customHeight="1">
      <c r="A127" s="183" t="s">
        <v>231</v>
      </c>
      <c r="B127" s="183"/>
      <c r="C127" s="183"/>
      <c r="D127" s="183"/>
      <c r="E127" s="129" t="s">
        <v>57</v>
      </c>
      <c r="F127" s="129">
        <v>1.667</v>
      </c>
      <c r="G127" s="209" t="s">
        <v>81</v>
      </c>
      <c r="H127" s="129" t="s">
        <v>208</v>
      </c>
      <c r="I127" s="178" t="s">
        <v>175</v>
      </c>
      <c r="J127" s="178"/>
      <c r="K127" s="178"/>
      <c r="L127" s="158"/>
    </row>
    <row r="128" spans="1:12" ht="14.65" customHeight="1">
      <c r="A128" s="195" t="s">
        <v>232</v>
      </c>
      <c r="B128" s="129" t="s">
        <v>57</v>
      </c>
      <c r="C128" s="194"/>
      <c r="D128" s="183"/>
      <c r="E128" s="129"/>
      <c r="F128" s="129"/>
      <c r="G128" s="209" t="s">
        <v>58</v>
      </c>
      <c r="H128" s="129"/>
      <c r="I128" s="178" t="s">
        <v>233</v>
      </c>
      <c r="J128" s="178" t="s">
        <v>61</v>
      </c>
      <c r="K128" s="178"/>
      <c r="L128" s="158"/>
    </row>
    <row r="129" spans="1:12" ht="14.65" customHeight="1">
      <c r="A129" s="130" t="s">
        <v>234</v>
      </c>
      <c r="B129" s="130"/>
      <c r="C129" s="194"/>
      <c r="D129" s="130" t="s">
        <v>57</v>
      </c>
      <c r="E129" s="129"/>
      <c r="F129" s="129"/>
      <c r="G129" s="209" t="s">
        <v>58</v>
      </c>
      <c r="H129" s="129"/>
      <c r="I129" s="178"/>
      <c r="J129" s="178"/>
      <c r="K129" s="178"/>
      <c r="L129" s="158"/>
    </row>
    <row r="130" spans="1:12" ht="14.65" hidden="1" customHeight="1">
      <c r="A130" s="183" t="s">
        <v>235</v>
      </c>
      <c r="B130" s="183"/>
      <c r="C130" s="183"/>
      <c r="D130" s="183"/>
      <c r="E130" s="129" t="s">
        <v>57</v>
      </c>
      <c r="F130" s="129">
        <v>2</v>
      </c>
      <c r="G130" s="209" t="s">
        <v>81</v>
      </c>
      <c r="H130" s="129" t="s">
        <v>236</v>
      </c>
      <c r="I130" s="178" t="s">
        <v>175</v>
      </c>
      <c r="J130" s="178"/>
      <c r="K130" s="178"/>
      <c r="L130" s="158"/>
    </row>
    <row r="131" spans="1:12" ht="14.65" customHeight="1">
      <c r="A131" s="195" t="s">
        <v>237</v>
      </c>
      <c r="B131" s="194" t="s">
        <v>57</v>
      </c>
      <c r="C131" s="183"/>
      <c r="D131" s="183"/>
      <c r="E131" s="129"/>
      <c r="F131" s="129"/>
      <c r="G131" s="209" t="s">
        <v>58</v>
      </c>
      <c r="H131" s="129"/>
      <c r="I131" s="178" t="s">
        <v>142</v>
      </c>
      <c r="J131" s="178" t="s">
        <v>79</v>
      </c>
      <c r="K131" s="178"/>
      <c r="L131" s="158"/>
    </row>
    <row r="132" spans="1:12" ht="14.65" customHeight="1">
      <c r="A132" s="194" t="s">
        <v>238</v>
      </c>
      <c r="B132" s="167" t="s">
        <v>57</v>
      </c>
      <c r="C132" s="194" t="s">
        <v>57</v>
      </c>
      <c r="D132" s="167" t="s">
        <v>57</v>
      </c>
      <c r="E132" s="129" t="s">
        <v>57</v>
      </c>
      <c r="F132" s="129"/>
      <c r="G132" s="209" t="s">
        <v>58</v>
      </c>
      <c r="H132" s="129"/>
      <c r="I132" s="178" t="s">
        <v>67</v>
      </c>
      <c r="J132" s="178"/>
      <c r="K132" s="178"/>
      <c r="L132" s="158"/>
    </row>
    <row r="133" spans="1:12" ht="14.65" customHeight="1">
      <c r="A133" s="194" t="s">
        <v>239</v>
      </c>
      <c r="B133" s="130"/>
      <c r="C133" s="194" t="s">
        <v>57</v>
      </c>
      <c r="D133" s="167" t="s">
        <v>57</v>
      </c>
      <c r="E133" s="129" t="s">
        <v>57</v>
      </c>
      <c r="F133" s="129"/>
      <c r="G133" s="209" t="s">
        <v>58</v>
      </c>
      <c r="H133" s="129"/>
      <c r="I133" s="178" t="s">
        <v>67</v>
      </c>
      <c r="J133" s="178"/>
      <c r="K133" s="178"/>
      <c r="L133" s="158"/>
    </row>
    <row r="134" spans="1:12" ht="14.65" customHeight="1">
      <c r="A134" s="194" t="s">
        <v>240</v>
      </c>
      <c r="B134" s="167" t="s">
        <v>57</v>
      </c>
      <c r="C134" s="194" t="s">
        <v>57</v>
      </c>
      <c r="D134" s="167" t="s">
        <v>57</v>
      </c>
      <c r="E134" s="129" t="s">
        <v>57</v>
      </c>
      <c r="F134" s="129"/>
      <c r="G134" s="209" t="s">
        <v>58</v>
      </c>
      <c r="H134" s="129"/>
      <c r="I134" s="178" t="s">
        <v>67</v>
      </c>
      <c r="J134" s="178"/>
      <c r="K134" s="178"/>
      <c r="L134" s="158"/>
    </row>
    <row r="135" spans="1:12" ht="14.65" customHeight="1">
      <c r="A135" s="195" t="s">
        <v>241</v>
      </c>
      <c r="B135" s="130" t="s">
        <v>57</v>
      </c>
      <c r="C135" s="194"/>
      <c r="D135" s="130"/>
      <c r="E135" s="129"/>
      <c r="F135" s="129"/>
      <c r="G135" s="209" t="s">
        <v>58</v>
      </c>
      <c r="H135" s="129"/>
      <c r="I135" s="178" t="s">
        <v>67</v>
      </c>
      <c r="J135" s="178"/>
      <c r="K135" s="178"/>
      <c r="L135" s="158"/>
    </row>
    <row r="136" spans="1:12" ht="14.65" customHeight="1">
      <c r="A136" s="191" t="s">
        <v>242</v>
      </c>
      <c r="B136" s="130" t="s">
        <v>57</v>
      </c>
      <c r="C136" s="194"/>
      <c r="D136" s="130"/>
      <c r="E136" s="129"/>
      <c r="F136" s="129"/>
      <c r="G136" s="209" t="s">
        <v>58</v>
      </c>
      <c r="H136" s="129"/>
      <c r="I136" s="178" t="s">
        <v>67</v>
      </c>
      <c r="J136" s="178"/>
      <c r="K136" s="178"/>
      <c r="L136" s="158"/>
    </row>
    <row r="137" spans="1:12" ht="14.65" customHeight="1">
      <c r="A137" s="130" t="s">
        <v>243</v>
      </c>
      <c r="B137" s="130"/>
      <c r="C137" s="194"/>
      <c r="D137" s="130" t="s">
        <v>57</v>
      </c>
      <c r="E137" s="129"/>
      <c r="F137" s="129"/>
      <c r="G137" s="209" t="s">
        <v>58</v>
      </c>
      <c r="H137" s="129"/>
      <c r="I137" s="178" t="s">
        <v>138</v>
      </c>
      <c r="J137" s="178"/>
      <c r="K137" s="178"/>
      <c r="L137" s="158"/>
    </row>
    <row r="138" spans="1:12" ht="14.65" hidden="1" customHeight="1">
      <c r="A138" s="194" t="s">
        <v>244</v>
      </c>
      <c r="B138" s="183"/>
      <c r="C138" s="194"/>
      <c r="D138" s="130" t="s">
        <v>57</v>
      </c>
      <c r="E138" s="129" t="s">
        <v>57</v>
      </c>
      <c r="F138" s="129">
        <v>1.667</v>
      </c>
      <c r="G138" s="209" t="s">
        <v>76</v>
      </c>
      <c r="H138" s="129"/>
      <c r="I138" s="178"/>
      <c r="J138" s="178"/>
      <c r="K138" s="178"/>
      <c r="L138" s="158"/>
    </row>
    <row r="139" spans="1:12" ht="14.65" customHeight="1">
      <c r="A139" s="130" t="s">
        <v>245</v>
      </c>
      <c r="B139" s="130"/>
      <c r="C139" s="194"/>
      <c r="D139" s="130" t="s">
        <v>57</v>
      </c>
      <c r="E139" s="129"/>
      <c r="F139" s="129"/>
      <c r="G139" s="209" t="s">
        <v>58</v>
      </c>
      <c r="H139" s="129"/>
      <c r="I139" s="178" t="s">
        <v>138</v>
      </c>
      <c r="J139" s="178"/>
      <c r="K139" s="178"/>
      <c r="L139" s="158"/>
    </row>
    <row r="140" spans="1:12" ht="14.65" customHeight="1">
      <c r="A140" s="195" t="s">
        <v>246</v>
      </c>
      <c r="B140" s="130" t="s">
        <v>57</v>
      </c>
      <c r="C140" s="194"/>
      <c r="D140" s="130"/>
      <c r="E140" s="129"/>
      <c r="F140" s="129"/>
      <c r="G140" s="209" t="s">
        <v>58</v>
      </c>
      <c r="H140" s="129"/>
      <c r="I140" s="178" t="s">
        <v>67</v>
      </c>
      <c r="J140" s="178" t="s">
        <v>60</v>
      </c>
      <c r="K140" s="178"/>
      <c r="L140" s="158"/>
    </row>
    <row r="141" spans="1:12" ht="14.65" customHeight="1">
      <c r="A141" s="194" t="s">
        <v>247</v>
      </c>
      <c r="B141" s="194"/>
      <c r="C141" s="194"/>
      <c r="D141" s="194" t="s">
        <v>57</v>
      </c>
      <c r="E141" s="129"/>
      <c r="F141" s="129"/>
      <c r="G141" s="209" t="s">
        <v>58</v>
      </c>
      <c r="H141" s="129"/>
      <c r="I141" s="178" t="s">
        <v>138</v>
      </c>
      <c r="J141" s="178"/>
      <c r="K141" s="178"/>
      <c r="L141" s="158"/>
    </row>
    <row r="142" spans="1:12" ht="14.65" hidden="1" customHeight="1">
      <c r="A142" s="194" t="s">
        <v>248</v>
      </c>
      <c r="B142" s="194"/>
      <c r="C142" s="194"/>
      <c r="D142" s="194" t="s">
        <v>57</v>
      </c>
      <c r="E142" s="129"/>
      <c r="F142" s="129"/>
      <c r="G142" s="209" t="s">
        <v>81</v>
      </c>
      <c r="H142" s="129" t="s">
        <v>236</v>
      </c>
      <c r="I142" s="178"/>
      <c r="J142" s="178"/>
      <c r="K142" s="178"/>
      <c r="L142" s="158"/>
    </row>
    <row r="143" spans="1:12" ht="14.65" hidden="1" customHeight="1">
      <c r="A143" s="194" t="s">
        <v>249</v>
      </c>
      <c r="B143" s="194"/>
      <c r="C143" s="194"/>
      <c r="D143" s="194" t="s">
        <v>57</v>
      </c>
      <c r="E143" s="129"/>
      <c r="F143" s="129"/>
      <c r="G143" s="209" t="s">
        <v>81</v>
      </c>
      <c r="H143" s="129" t="s">
        <v>236</v>
      </c>
      <c r="I143" s="178"/>
      <c r="J143" s="178"/>
      <c r="K143" s="178"/>
      <c r="L143" s="158"/>
    </row>
    <row r="144" spans="1:12" ht="14.65" hidden="1" customHeight="1">
      <c r="A144" s="194" t="s">
        <v>250</v>
      </c>
      <c r="B144" s="194"/>
      <c r="C144" s="194" t="s">
        <v>57</v>
      </c>
      <c r="D144" s="167" t="s">
        <v>57</v>
      </c>
      <c r="E144" s="176" t="s">
        <v>57</v>
      </c>
      <c r="F144" s="129"/>
      <c r="G144" s="209" t="s">
        <v>81</v>
      </c>
      <c r="H144" s="129" t="s">
        <v>206</v>
      </c>
      <c r="I144" s="178"/>
      <c r="J144" s="178"/>
      <c r="K144" s="178"/>
      <c r="L144" s="158"/>
    </row>
    <row r="145" spans="1:12" ht="14.65" customHeight="1">
      <c r="A145" s="200" t="s">
        <v>251</v>
      </c>
      <c r="B145" s="167" t="s">
        <v>57</v>
      </c>
      <c r="C145" s="194"/>
      <c r="D145" s="194"/>
      <c r="E145" s="176"/>
      <c r="F145" s="129"/>
      <c r="G145" s="209" t="s">
        <v>58</v>
      </c>
      <c r="H145" s="129"/>
      <c r="I145" s="178" t="s">
        <v>67</v>
      </c>
      <c r="J145" s="178"/>
      <c r="K145" s="178"/>
      <c r="L145" s="158"/>
    </row>
    <row r="146" spans="1:12" ht="14.65" customHeight="1">
      <c r="A146" s="191" t="s">
        <v>252</v>
      </c>
      <c r="B146" s="167" t="s">
        <v>57</v>
      </c>
      <c r="C146" s="194"/>
      <c r="D146" s="194"/>
      <c r="E146" s="176"/>
      <c r="F146" s="129"/>
      <c r="G146" s="209" t="s">
        <v>58</v>
      </c>
      <c r="H146" s="129"/>
      <c r="I146" s="178"/>
      <c r="J146" s="178"/>
      <c r="K146" s="178"/>
      <c r="L146" s="158"/>
    </row>
    <row r="147" spans="1:12" ht="14.65" customHeight="1">
      <c r="A147" s="195" t="s">
        <v>253</v>
      </c>
      <c r="B147" s="194" t="s">
        <v>57</v>
      </c>
      <c r="C147" s="194"/>
      <c r="D147" s="194"/>
      <c r="E147" s="176"/>
      <c r="F147" s="129"/>
      <c r="G147" s="209" t="s">
        <v>58</v>
      </c>
      <c r="H147" s="129"/>
      <c r="I147" s="178" t="s">
        <v>66</v>
      </c>
      <c r="J147" s="178" t="s">
        <v>79</v>
      </c>
      <c r="K147" s="178" t="s">
        <v>130</v>
      </c>
      <c r="L147" s="158"/>
    </row>
    <row r="148" spans="1:12" ht="14.65" hidden="1" customHeight="1">
      <c r="A148" s="194" t="s">
        <v>254</v>
      </c>
      <c r="B148" s="194"/>
      <c r="C148" s="194"/>
      <c r="D148" s="194" t="s">
        <v>57</v>
      </c>
      <c r="E148" s="129"/>
      <c r="F148" s="129"/>
      <c r="G148" s="209" t="s">
        <v>81</v>
      </c>
      <c r="H148" s="129" t="s">
        <v>159</v>
      </c>
      <c r="I148" s="178"/>
      <c r="J148" s="178"/>
      <c r="K148" s="178"/>
      <c r="L148" s="158"/>
    </row>
    <row r="149" spans="1:12" ht="14.65" hidden="1" customHeight="1">
      <c r="A149" s="194" t="s">
        <v>255</v>
      </c>
      <c r="B149" s="194"/>
      <c r="C149" s="194"/>
      <c r="D149" s="194" t="s">
        <v>57</v>
      </c>
      <c r="E149" s="129"/>
      <c r="F149" s="129"/>
      <c r="G149" s="209" t="s">
        <v>81</v>
      </c>
      <c r="H149" s="129" t="s">
        <v>159</v>
      </c>
      <c r="I149" s="178"/>
      <c r="J149" s="178"/>
      <c r="K149" s="178"/>
      <c r="L149" s="158"/>
    </row>
    <row r="150" spans="1:12" ht="14.65" customHeight="1">
      <c r="A150" s="191" t="s">
        <v>256</v>
      </c>
      <c r="B150" s="167" t="s">
        <v>57</v>
      </c>
      <c r="C150" s="202"/>
      <c r="D150" s="202"/>
      <c r="E150" s="129"/>
      <c r="F150" s="129"/>
      <c r="G150" s="209" t="s">
        <v>58</v>
      </c>
      <c r="H150" s="129"/>
      <c r="I150" s="178" t="s">
        <v>102</v>
      </c>
      <c r="J150" s="178"/>
      <c r="K150" s="178"/>
      <c r="L150" s="158"/>
    </row>
    <row r="151" spans="1:12" ht="14.65" customHeight="1">
      <c r="A151" s="173"/>
      <c r="B151" s="203"/>
      <c r="C151" s="203"/>
      <c r="D151" s="203"/>
      <c r="E151" s="129"/>
      <c r="F151" s="129"/>
      <c r="G151" s="209"/>
      <c r="H151" s="129"/>
      <c r="I151" s="178"/>
      <c r="J151" s="178"/>
      <c r="K151" s="178"/>
      <c r="L151" s="158"/>
    </row>
    <row r="152" spans="1:12" ht="14.65" customHeight="1">
      <c r="A152" s="172"/>
      <c r="B152" s="202"/>
      <c r="C152" s="202"/>
      <c r="D152" s="202"/>
      <c r="E152" s="129"/>
      <c r="F152" s="129"/>
      <c r="G152" s="209"/>
      <c r="H152" s="129"/>
      <c r="I152" s="178"/>
      <c r="J152" s="178"/>
      <c r="K152" s="178"/>
      <c r="L152" s="158"/>
    </row>
    <row r="153" spans="1:12" ht="14.65" customHeight="1">
      <c r="A153" s="172"/>
      <c r="B153" s="202"/>
      <c r="C153" s="202"/>
      <c r="D153" s="202"/>
      <c r="E153" s="129"/>
      <c r="F153" s="129"/>
      <c r="G153" s="209"/>
      <c r="H153" s="129"/>
      <c r="I153" s="178"/>
      <c r="J153" s="178"/>
      <c r="K153" s="178"/>
      <c r="L153" s="158"/>
    </row>
    <row r="154" spans="1:12" ht="14.65" customHeight="1">
      <c r="A154" s="174"/>
      <c r="B154" s="204"/>
      <c r="C154" s="204"/>
      <c r="D154" s="204"/>
      <c r="E154" s="159"/>
      <c r="F154" s="159"/>
      <c r="G154" s="209"/>
      <c r="H154" s="159"/>
      <c r="I154" s="178"/>
      <c r="J154" s="178"/>
      <c r="K154" s="178"/>
      <c r="L154" s="160"/>
    </row>
    <row r="155" spans="1:12" ht="14.65" customHeight="1">
      <c r="A155" s="5" t="s">
        <v>257</v>
      </c>
      <c r="B155" s="157"/>
      <c r="C155" s="157"/>
      <c r="D155" s="157"/>
      <c r="E155" s="205"/>
    </row>
    <row r="156" spans="1:12" ht="14.65" customHeight="1">
      <c r="A156" s="206" t="s">
        <v>258</v>
      </c>
      <c r="B156" s="184"/>
      <c r="C156" s="184"/>
      <c r="D156" s="184"/>
      <c r="F156" s="74"/>
      <c r="G156" s="74"/>
    </row>
    <row r="157" spans="1:12" ht="14.65" customHeight="1">
      <c r="A157" s="207" t="s">
        <v>259</v>
      </c>
      <c r="B157" s="175"/>
      <c r="C157" s="175"/>
      <c r="D157" s="175"/>
      <c r="H157" s="163"/>
    </row>
    <row r="158" spans="1:12" ht="14.65" customHeight="1">
      <c r="B158" s="74"/>
      <c r="C158" s="74"/>
      <c r="D158" s="74"/>
    </row>
    <row r="159" spans="1:12" ht="14.45"/>
  </sheetData>
  <autoFilter ref="A2:L150" xr:uid="{00000000-0009-0000-0000-000002000000}">
    <filterColumn colId="6">
      <filters>
        <filter val="Sí"/>
      </filters>
    </filterColumn>
  </autoFilter>
  <mergeCells count="1">
    <mergeCell ref="I3:L3"/>
  </mergeCells>
  <conditionalFormatting sqref="G5:G39">
    <cfRule type="cellIs" dxfId="8" priority="4" operator="equal">
      <formula>"Dubtós"</formula>
    </cfRule>
    <cfRule type="cellIs" dxfId="7" priority="5" operator="equal">
      <formula>"No"</formula>
    </cfRule>
    <cfRule type="cellIs" dxfId="6" priority="6" operator="equal">
      <formula>"Sí"</formula>
    </cfRule>
  </conditionalFormatting>
  <conditionalFormatting sqref="G41:G154">
    <cfRule type="cellIs" dxfId="5" priority="1" operator="equal">
      <formula>"Dubtós"</formula>
    </cfRule>
    <cfRule type="cellIs" dxfId="4" priority="2" operator="equal">
      <formula>"No"</formula>
    </cfRule>
    <cfRule type="cellIs" dxfId="3" priority="3" operator="equal">
      <formula>"Sí"</formula>
    </cfRule>
  </conditionalFormatting>
  <dataValidations count="2">
    <dataValidation allowBlank="1" showInputMessage="1" showErrorMessage="1" sqref="B5:F39 B41:F154 H1:H1048576" xr:uid="{00000000-0002-0000-0200-000000000000}"/>
    <dataValidation type="list" allowBlank="1" showInputMessage="1" showErrorMessage="1" sqref="G5:G39 G41:G154" xr:uid="{00000000-0002-0000-0200-000001000000}">
      <formula1>"Sí, No, Dubtós"</formula1>
    </dataValidation>
  </dataValidations>
  <hyperlinks>
    <hyperlink ref="N9" r:id="rId1" xr:uid="{00000000-0004-0000-0200-000000000000}"/>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2000000}">
          <x14:formula1>
            <xm:f>Llistes!$G$2:$G$43</xm:f>
          </x14:formula1>
          <xm:sqref>L5 I41:K154 I5:K39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outlinePr summaryBelow="0"/>
  </sheetPr>
  <dimension ref="A1:AF189"/>
  <sheetViews>
    <sheetView showGridLines="0" tabSelected="1" zoomScale="75" zoomScaleNormal="75" workbookViewId="0">
      <pane ySplit="4" topLeftCell="A183" activePane="bottomLeft" state="frozen"/>
      <selection pane="bottomLeft" activeCell="AC173" sqref="AC173:AD173"/>
    </sheetView>
  </sheetViews>
  <sheetFormatPr defaultColWidth="8.5703125" defaultRowHeight="15" customHeight="1"/>
  <cols>
    <col min="1" max="1" width="22.7109375" style="25" customWidth="1"/>
    <col min="2" max="2" width="4" style="5" customWidth="1"/>
    <col min="3" max="3" width="29.7109375" style="6" customWidth="1"/>
    <col min="4" max="4" width="7.42578125" style="11" customWidth="1"/>
    <col min="5" max="5" width="50" style="7" customWidth="1"/>
    <col min="6" max="6" width="7.7109375" style="9" customWidth="1"/>
    <col min="7" max="7" width="37.42578125" style="8" hidden="1" customWidth="1"/>
    <col min="8" max="8" width="15.42578125" style="10" hidden="1" customWidth="1"/>
    <col min="9" max="9" width="18.28515625" style="10" hidden="1" customWidth="1"/>
    <col min="10" max="10" width="17.7109375" style="17" hidden="1" customWidth="1"/>
    <col min="11" max="11" width="39.28515625" style="19" hidden="1" customWidth="1"/>
    <col min="12" max="12" width="36" style="8" customWidth="1"/>
    <col min="13" max="13" width="20.7109375" style="9" hidden="1" customWidth="1"/>
    <col min="14" max="14" width="20.42578125" style="5" hidden="1" customWidth="1"/>
    <col min="15" max="15" width="19.140625" style="5" hidden="1" customWidth="1"/>
    <col min="16" max="16" width="10.5703125" style="211" customWidth="1"/>
    <col min="17" max="17" width="52.28515625" style="548" customWidth="1"/>
    <col min="18" max="18" width="74.28515625" style="530" hidden="1" customWidth="1"/>
    <col min="19" max="19" width="60.5703125" style="530" hidden="1" customWidth="1"/>
    <col min="20" max="20" width="25.5703125" style="530" hidden="1" customWidth="1"/>
    <col min="21" max="21" width="60.85546875" style="540" hidden="1" customWidth="1"/>
    <col min="22" max="22" width="17.7109375" style="549" customWidth="1"/>
    <col min="23" max="23" width="14.5703125" style="549" customWidth="1"/>
    <col min="24" max="24" width="13.7109375" style="549" customWidth="1"/>
    <col min="25" max="25" width="11.85546875" style="3" customWidth="1"/>
    <col min="26" max="29" width="6.28515625" style="3" customWidth="1"/>
    <col min="30" max="30" width="13.7109375" style="3" customWidth="1"/>
    <col min="31" max="31" width="14.7109375" style="3" customWidth="1"/>
    <col min="32" max="32" width="16.5703125" style="3" customWidth="1"/>
    <col min="33" max="16384" width="8.5703125" style="3"/>
  </cols>
  <sheetData>
    <row r="1" spans="1:32" ht="18.75">
      <c r="A1" s="76" t="s">
        <v>260</v>
      </c>
      <c r="B1" s="77"/>
      <c r="C1" s="78"/>
    </row>
    <row r="2" spans="1:32" ht="18.75">
      <c r="A2" s="79"/>
      <c r="B2" s="80" t="s">
        <v>261</v>
      </c>
      <c r="C2" s="166" t="s">
        <v>262</v>
      </c>
    </row>
    <row r="3" spans="1:32" ht="18.75">
      <c r="A3" s="79"/>
      <c r="B3" s="80"/>
      <c r="C3" s="85"/>
      <c r="W3" s="550" t="s">
        <v>263</v>
      </c>
      <c r="X3" s="551"/>
      <c r="Y3" s="498" t="s">
        <v>264</v>
      </c>
      <c r="Z3" s="500"/>
      <c r="AA3" s="500"/>
      <c r="AB3" s="500"/>
      <c r="AC3" s="499"/>
      <c r="AD3" s="498" t="s">
        <v>265</v>
      </c>
      <c r="AE3" s="500"/>
      <c r="AF3" s="499"/>
    </row>
    <row r="4" spans="1:32" s="18" customFormat="1" ht="70.5">
      <c r="A4" s="81" t="s">
        <v>266</v>
      </c>
      <c r="B4" s="83"/>
      <c r="C4" s="82" t="s">
        <v>267</v>
      </c>
      <c r="D4" s="84"/>
      <c r="E4" s="82" t="s">
        <v>268</v>
      </c>
      <c r="F4" s="96"/>
      <c r="G4" s="391" t="s">
        <v>269</v>
      </c>
      <c r="H4" s="96" t="s">
        <v>270</v>
      </c>
      <c r="I4" s="97" t="s">
        <v>271</v>
      </c>
      <c r="J4" s="98" t="s">
        <v>272</v>
      </c>
      <c r="K4" s="99" t="s">
        <v>273</v>
      </c>
      <c r="L4" s="82" t="s">
        <v>274</v>
      </c>
      <c r="M4" s="391" t="s">
        <v>275</v>
      </c>
      <c r="N4" s="391" t="s">
        <v>276</v>
      </c>
      <c r="O4" s="391" t="s">
        <v>277</v>
      </c>
      <c r="P4" s="396" t="s">
        <v>278</v>
      </c>
      <c r="Q4" s="399" t="s">
        <v>279</v>
      </c>
      <c r="R4" s="398" t="s">
        <v>280</v>
      </c>
      <c r="S4" s="390" t="s">
        <v>281</v>
      </c>
      <c r="T4" s="390" t="s">
        <v>282</v>
      </c>
      <c r="U4" s="391" t="s">
        <v>283</v>
      </c>
      <c r="V4" s="379" t="s">
        <v>284</v>
      </c>
      <c r="W4" s="379" t="s">
        <v>285</v>
      </c>
      <c r="X4" s="379" t="s">
        <v>286</v>
      </c>
      <c r="Y4" s="393" t="s">
        <v>287</v>
      </c>
      <c r="Z4" s="393" t="s">
        <v>288</v>
      </c>
      <c r="AA4" s="393" t="s">
        <v>289</v>
      </c>
      <c r="AB4" s="393" t="s">
        <v>290</v>
      </c>
      <c r="AC4" s="393" t="s">
        <v>291</v>
      </c>
      <c r="AD4" s="394" t="s">
        <v>292</v>
      </c>
      <c r="AE4" s="394" t="s">
        <v>293</v>
      </c>
      <c r="AF4" s="394" t="s">
        <v>294</v>
      </c>
    </row>
    <row r="5" spans="1:32" ht="229.5">
      <c r="A5" s="14" t="s">
        <v>295</v>
      </c>
      <c r="B5" s="35">
        <v>1</v>
      </c>
      <c r="C5" s="43" t="s">
        <v>296</v>
      </c>
      <c r="D5" s="392" t="s">
        <v>297</v>
      </c>
      <c r="E5" s="88" t="s">
        <v>298</v>
      </c>
      <c r="F5" s="100" t="s">
        <v>299</v>
      </c>
      <c r="G5" s="101" t="s">
        <v>300</v>
      </c>
      <c r="H5" s="102" t="s">
        <v>301</v>
      </c>
      <c r="I5" s="102" t="s">
        <v>302</v>
      </c>
      <c r="J5" s="105" t="s">
        <v>46</v>
      </c>
      <c r="K5" s="106" t="s">
        <v>303</v>
      </c>
      <c r="L5" s="8" t="s">
        <v>304</v>
      </c>
      <c r="M5" s="111" t="s">
        <v>305</v>
      </c>
      <c r="N5" s="75" t="s">
        <v>58</v>
      </c>
      <c r="O5" s="75" t="s">
        <v>57</v>
      </c>
      <c r="P5" s="397" t="s">
        <v>306</v>
      </c>
      <c r="Q5" s="517" t="s">
        <v>307</v>
      </c>
      <c r="R5" s="518" t="s">
        <v>308</v>
      </c>
      <c r="S5" s="519" t="s">
        <v>309</v>
      </c>
      <c r="T5" s="519" t="s">
        <v>310</v>
      </c>
      <c r="U5" s="520" t="s">
        <v>311</v>
      </c>
      <c r="V5" s="519" t="s">
        <v>312</v>
      </c>
      <c r="W5" s="519" t="s">
        <v>313</v>
      </c>
      <c r="X5" s="519" t="s">
        <v>314</v>
      </c>
      <c r="Y5" s="107" t="s">
        <v>315</v>
      </c>
      <c r="Z5" s="107" t="s">
        <v>315</v>
      </c>
      <c r="AA5" s="107" t="s">
        <v>315</v>
      </c>
      <c r="AB5" s="107" t="s">
        <v>315</v>
      </c>
      <c r="AC5" s="107" t="s">
        <v>315</v>
      </c>
      <c r="AD5" s="107">
        <v>1550</v>
      </c>
      <c r="AE5" s="107" t="s">
        <v>316</v>
      </c>
      <c r="AF5" s="122" t="s">
        <v>317</v>
      </c>
    </row>
    <row r="6" spans="1:32" ht="76.5">
      <c r="A6" s="26"/>
      <c r="B6" s="36"/>
      <c r="C6" s="44"/>
      <c r="D6" s="392" t="s">
        <v>297</v>
      </c>
      <c r="E6" s="88" t="s">
        <v>298</v>
      </c>
      <c r="F6" s="100" t="s">
        <v>318</v>
      </c>
      <c r="G6" s="101" t="s">
        <v>319</v>
      </c>
      <c r="H6" s="102" t="s">
        <v>301</v>
      </c>
      <c r="I6" s="102" t="s">
        <v>302</v>
      </c>
      <c r="J6" s="105"/>
      <c r="K6" s="109"/>
      <c r="L6" s="103" t="str">
        <f t="shared" ref="L6:L13" si="0">G6</f>
        <v>Adaptar i executar plans de gestió específics per a elements geològics de conservació prioritària dins l'ENP</v>
      </c>
      <c r="M6" s="111"/>
      <c r="N6" s="108" t="s">
        <v>58</v>
      </c>
      <c r="O6" s="108" t="s">
        <v>57</v>
      </c>
      <c r="P6" s="397" t="s">
        <v>320</v>
      </c>
      <c r="Q6" s="517" t="s">
        <v>321</v>
      </c>
      <c r="R6" s="518" t="s">
        <v>322</v>
      </c>
      <c r="S6" s="519" t="s">
        <v>323</v>
      </c>
      <c r="T6" s="519"/>
      <c r="U6" s="520" t="s">
        <v>324</v>
      </c>
      <c r="V6" s="519" t="s">
        <v>325</v>
      </c>
      <c r="W6" s="519" t="s">
        <v>326</v>
      </c>
      <c r="X6" s="519" t="s">
        <v>327</v>
      </c>
      <c r="Y6" s="107" t="s">
        <v>315</v>
      </c>
      <c r="Z6" s="107" t="s">
        <v>315</v>
      </c>
      <c r="AA6" s="107" t="s">
        <v>315</v>
      </c>
      <c r="AB6" s="107" t="s">
        <v>315</v>
      </c>
      <c r="AC6" s="107" t="s">
        <v>315</v>
      </c>
      <c r="AD6" s="107">
        <v>35</v>
      </c>
      <c r="AE6" s="107"/>
      <c r="AF6" s="107"/>
    </row>
    <row r="7" spans="1:32" ht="91.5">
      <c r="A7" s="26"/>
      <c r="B7" s="36"/>
      <c r="C7" s="44"/>
      <c r="D7" s="480" t="s">
        <v>328</v>
      </c>
      <c r="E7" s="477" t="s">
        <v>329</v>
      </c>
      <c r="F7" s="102" t="s">
        <v>330</v>
      </c>
      <c r="G7" s="101" t="s">
        <v>331</v>
      </c>
      <c r="H7" s="102" t="s">
        <v>301</v>
      </c>
      <c r="I7" s="102" t="s">
        <v>332</v>
      </c>
      <c r="J7" s="105" t="s">
        <v>333</v>
      </c>
      <c r="K7" s="106" t="s">
        <v>334</v>
      </c>
      <c r="L7" s="103" t="str">
        <f t="shared" si="0"/>
        <v>Implementar la metodologia de gestió adaptativa (Estàndards Oberts de Gestió Adaptativa a Catalunya) en tots els processos de l'ENP</v>
      </c>
      <c r="M7" s="111"/>
      <c r="N7" s="108" t="s">
        <v>58</v>
      </c>
      <c r="O7" s="108" t="s">
        <v>57</v>
      </c>
      <c r="P7" s="397" t="s">
        <v>320</v>
      </c>
      <c r="Q7" s="521" t="s">
        <v>335</v>
      </c>
      <c r="R7" s="518" t="s">
        <v>336</v>
      </c>
      <c r="S7" s="522"/>
      <c r="T7" s="519" t="s">
        <v>337</v>
      </c>
      <c r="U7" s="519" t="s">
        <v>338</v>
      </c>
      <c r="V7" s="519" t="s">
        <v>339</v>
      </c>
      <c r="W7" s="519" t="s">
        <v>340</v>
      </c>
      <c r="X7" s="519" t="s">
        <v>341</v>
      </c>
      <c r="Y7" s="107"/>
      <c r="Z7" s="107"/>
      <c r="AA7" s="107" t="s">
        <v>315</v>
      </c>
      <c r="AB7" s="107"/>
      <c r="AC7" s="107"/>
      <c r="AD7" s="107">
        <v>30</v>
      </c>
      <c r="AE7" s="107"/>
      <c r="AF7" s="107"/>
    </row>
    <row r="8" spans="1:32" ht="183">
      <c r="A8" s="26"/>
      <c r="B8" s="36"/>
      <c r="C8" s="44"/>
      <c r="D8" s="481"/>
      <c r="E8" s="478"/>
      <c r="F8" s="102" t="s">
        <v>342</v>
      </c>
      <c r="G8" s="101" t="s">
        <v>343</v>
      </c>
      <c r="H8" s="102" t="s">
        <v>301</v>
      </c>
      <c r="I8" s="102" t="s">
        <v>302</v>
      </c>
      <c r="J8" s="110" t="s">
        <v>344</v>
      </c>
      <c r="K8" s="106" t="s">
        <v>345</v>
      </c>
      <c r="L8" s="103" t="str">
        <f t="shared" si="0"/>
        <v>Executar les mesures previstes en els plans de conservació o recuperació d'espècies amenaçades de forma coordinada amb el Servei de Flora i Fauna en l'àmbit de l'ENP</v>
      </c>
      <c r="M8" s="111"/>
      <c r="N8" s="75" t="s">
        <v>58</v>
      </c>
      <c r="O8" s="75" t="s">
        <v>57</v>
      </c>
      <c r="P8" s="397" t="s">
        <v>306</v>
      </c>
      <c r="Q8" s="517" t="s">
        <v>346</v>
      </c>
      <c r="R8" s="523" t="s">
        <v>347</v>
      </c>
      <c r="S8" s="519" t="s">
        <v>348</v>
      </c>
      <c r="T8" s="519"/>
      <c r="U8" s="519"/>
      <c r="V8" s="519" t="s">
        <v>349</v>
      </c>
      <c r="W8" s="519" t="s">
        <v>350</v>
      </c>
      <c r="X8" s="519" t="s">
        <v>351</v>
      </c>
      <c r="Y8" s="107" t="s">
        <v>315</v>
      </c>
      <c r="Z8" s="107" t="s">
        <v>315</v>
      </c>
      <c r="AA8" s="107" t="s">
        <v>315</v>
      </c>
      <c r="AB8" s="107" t="s">
        <v>315</v>
      </c>
      <c r="AC8" s="107" t="s">
        <v>315</v>
      </c>
      <c r="AD8" s="107">
        <v>60</v>
      </c>
      <c r="AE8" s="107"/>
      <c r="AF8" s="107"/>
    </row>
    <row r="9" spans="1:32" ht="213">
      <c r="A9" s="26"/>
      <c r="B9" s="36"/>
      <c r="C9" s="44"/>
      <c r="D9" s="481"/>
      <c r="E9" s="478"/>
      <c r="F9" s="102" t="s">
        <v>352</v>
      </c>
      <c r="G9" s="101" t="s">
        <v>353</v>
      </c>
      <c r="H9" s="102" t="s">
        <v>301</v>
      </c>
      <c r="I9" s="102" t="s">
        <v>302</v>
      </c>
      <c r="J9" s="110" t="s">
        <v>354</v>
      </c>
      <c r="K9" s="106" t="s">
        <v>355</v>
      </c>
      <c r="L9" s="103" t="str">
        <f t="shared" si="0"/>
        <v>Executar les mesures de gestió previstes en els plans de control i erradicació d'espècies exòtiques de forma coordinada amb el Servei de Flora i Fauna en l'àmbit de l'ENP</v>
      </c>
      <c r="M9" s="111"/>
      <c r="N9" s="75" t="s">
        <v>58</v>
      </c>
      <c r="O9" s="75" t="s">
        <v>57</v>
      </c>
      <c r="P9" s="397" t="s">
        <v>306</v>
      </c>
      <c r="Q9" s="517" t="s">
        <v>356</v>
      </c>
      <c r="R9" s="518" t="s">
        <v>357</v>
      </c>
      <c r="S9" s="519" t="s">
        <v>358</v>
      </c>
      <c r="T9" s="519"/>
      <c r="U9" s="519"/>
      <c r="V9" s="519" t="s">
        <v>359</v>
      </c>
      <c r="W9" s="519" t="s">
        <v>360</v>
      </c>
      <c r="X9" s="519" t="s">
        <v>361</v>
      </c>
      <c r="Y9" s="107" t="s">
        <v>315</v>
      </c>
      <c r="Z9" s="107" t="s">
        <v>315</v>
      </c>
      <c r="AA9" s="107" t="s">
        <v>315</v>
      </c>
      <c r="AB9" s="107" t="s">
        <v>315</v>
      </c>
      <c r="AC9" s="107" t="s">
        <v>315</v>
      </c>
      <c r="AD9" s="107">
        <v>160</v>
      </c>
      <c r="AE9" s="107"/>
      <c r="AF9" s="107"/>
    </row>
    <row r="10" spans="1:32" ht="45.75">
      <c r="A10" s="26"/>
      <c r="B10" s="36"/>
      <c r="C10" s="44"/>
      <c r="D10" s="482"/>
      <c r="E10" s="479"/>
      <c r="F10" s="102" t="s">
        <v>362</v>
      </c>
      <c r="G10" s="101" t="s">
        <v>363</v>
      </c>
      <c r="H10" s="102" t="s">
        <v>364</v>
      </c>
      <c r="I10" s="102" t="s">
        <v>365</v>
      </c>
      <c r="J10" s="110"/>
      <c r="K10" s="106"/>
      <c r="L10" s="103" t="str">
        <f t="shared" si="0"/>
        <v xml:space="preserve">Desplegar els objectius i tasques recollits en els instruments de referència i compromisos internacionals  </v>
      </c>
      <c r="M10" s="111"/>
      <c r="N10" s="75" t="s">
        <v>366</v>
      </c>
      <c r="O10" s="75" t="s">
        <v>57</v>
      </c>
      <c r="P10" s="397" t="s">
        <v>320</v>
      </c>
      <c r="Q10" s="517" t="s">
        <v>367</v>
      </c>
      <c r="R10" s="518" t="s">
        <v>368</v>
      </c>
      <c r="S10" s="524"/>
      <c r="T10" s="525"/>
      <c r="U10" s="519"/>
      <c r="V10" s="522" t="s">
        <v>369</v>
      </c>
      <c r="W10" s="522" t="s">
        <v>370</v>
      </c>
      <c r="X10" s="522" t="s">
        <v>371</v>
      </c>
      <c r="Y10" s="107" t="s">
        <v>315</v>
      </c>
      <c r="Z10" s="107" t="s">
        <v>315</v>
      </c>
      <c r="AA10" s="107" t="s">
        <v>315</v>
      </c>
      <c r="AB10" s="107" t="s">
        <v>315</v>
      </c>
      <c r="AC10" s="107" t="s">
        <v>315</v>
      </c>
      <c r="AD10" s="107">
        <v>30</v>
      </c>
      <c r="AE10" s="107"/>
      <c r="AF10" s="107"/>
    </row>
    <row r="11" spans="1:32" ht="71.25" customHeight="1">
      <c r="A11" s="26"/>
      <c r="B11" s="36"/>
      <c r="C11" s="44"/>
      <c r="D11" s="480" t="s">
        <v>372</v>
      </c>
      <c r="E11" s="513" t="s">
        <v>373</v>
      </c>
      <c r="F11" s="100" t="s">
        <v>374</v>
      </c>
      <c r="G11" s="101" t="s">
        <v>375</v>
      </c>
      <c r="H11" s="102" t="s">
        <v>301</v>
      </c>
      <c r="I11" s="102" t="s">
        <v>302</v>
      </c>
      <c r="J11" s="105" t="s">
        <v>333</v>
      </c>
      <c r="K11" s="106" t="s">
        <v>376</v>
      </c>
      <c r="L11" s="103" t="str">
        <f t="shared" si="0"/>
        <v>Identificar espais pel foment de la dinàmica natural i l'aprofitament no extractiu</v>
      </c>
      <c r="M11" s="380"/>
      <c r="N11" s="75" t="s">
        <v>377</v>
      </c>
      <c r="O11" s="75" t="s">
        <v>57</v>
      </c>
      <c r="P11" s="397" t="s">
        <v>320</v>
      </c>
      <c r="Q11" s="526" t="s">
        <v>378</v>
      </c>
      <c r="R11" s="518" t="s">
        <v>379</v>
      </c>
      <c r="S11" s="519" t="s">
        <v>380</v>
      </c>
      <c r="T11" s="519" t="s">
        <v>381</v>
      </c>
      <c r="U11" s="519"/>
      <c r="V11" s="519"/>
      <c r="W11" s="522"/>
      <c r="X11" s="522"/>
      <c r="Y11" s="107"/>
      <c r="Z11" s="107"/>
      <c r="AA11" s="107"/>
      <c r="AB11" s="107"/>
      <c r="AC11" s="107"/>
      <c r="AD11" s="107">
        <v>0</v>
      </c>
      <c r="AE11" s="107"/>
      <c r="AF11" s="107"/>
    </row>
    <row r="12" spans="1:32" ht="152.25">
      <c r="A12" s="26"/>
      <c r="B12" s="36"/>
      <c r="C12" s="44"/>
      <c r="D12" s="481"/>
      <c r="E12" s="514"/>
      <c r="F12" s="100" t="s">
        <v>382</v>
      </c>
      <c r="G12" s="101" t="s">
        <v>383</v>
      </c>
      <c r="H12" s="102" t="s">
        <v>364</v>
      </c>
      <c r="I12" s="102" t="s">
        <v>365</v>
      </c>
      <c r="J12" s="105" t="s">
        <v>46</v>
      </c>
      <c r="K12" s="106" t="s">
        <v>376</v>
      </c>
      <c r="L12" s="103" t="str">
        <f t="shared" si="0"/>
        <v>Afavorir la maduresa dels sistemes forestals</v>
      </c>
      <c r="M12" s="111"/>
      <c r="N12" s="75" t="s">
        <v>366</v>
      </c>
      <c r="O12" s="75" t="s">
        <v>57</v>
      </c>
      <c r="P12" s="397" t="s">
        <v>320</v>
      </c>
      <c r="Q12" s="517" t="s">
        <v>384</v>
      </c>
      <c r="R12" s="518" t="s">
        <v>385</v>
      </c>
      <c r="S12" s="519" t="s">
        <v>386</v>
      </c>
      <c r="T12" s="519" t="s">
        <v>387</v>
      </c>
      <c r="U12" s="519"/>
      <c r="V12" s="519" t="s">
        <v>388</v>
      </c>
      <c r="W12" s="519" t="s">
        <v>389</v>
      </c>
      <c r="X12" s="519" t="s">
        <v>390</v>
      </c>
      <c r="Y12" s="107"/>
      <c r="Z12" s="107" t="s">
        <v>315</v>
      </c>
      <c r="AA12" s="107" t="s">
        <v>315</v>
      </c>
      <c r="AB12" s="107" t="s">
        <v>315</v>
      </c>
      <c r="AC12" s="107" t="s">
        <v>315</v>
      </c>
      <c r="AD12" s="107">
        <v>300</v>
      </c>
      <c r="AE12" s="107"/>
      <c r="AF12" s="107"/>
    </row>
    <row r="13" spans="1:32" ht="45.75">
      <c r="A13" s="26"/>
      <c r="B13" s="36"/>
      <c r="C13" s="44"/>
      <c r="D13" s="481"/>
      <c r="E13" s="514"/>
      <c r="F13" s="100" t="s">
        <v>391</v>
      </c>
      <c r="G13" s="101" t="s">
        <v>392</v>
      </c>
      <c r="H13" s="102" t="s">
        <v>364</v>
      </c>
      <c r="I13" s="102" t="s">
        <v>365</v>
      </c>
      <c r="J13" s="105" t="s">
        <v>46</v>
      </c>
      <c r="K13" s="106" t="s">
        <v>376</v>
      </c>
      <c r="L13" s="103" t="str">
        <f t="shared" si="0"/>
        <v>Generar pertorbacions controlades</v>
      </c>
      <c r="M13" s="111"/>
      <c r="N13" s="75" t="s">
        <v>366</v>
      </c>
      <c r="O13" s="75" t="s">
        <v>57</v>
      </c>
      <c r="P13" s="397" t="s">
        <v>320</v>
      </c>
      <c r="Q13" s="517" t="s">
        <v>393</v>
      </c>
      <c r="R13" s="523" t="s">
        <v>394</v>
      </c>
      <c r="S13" s="519" t="s">
        <v>395</v>
      </c>
      <c r="T13" s="519"/>
      <c r="U13" s="519" t="s">
        <v>396</v>
      </c>
      <c r="V13" s="519" t="s">
        <v>397</v>
      </c>
      <c r="W13" s="522" t="s">
        <v>398</v>
      </c>
      <c r="X13" s="522" t="s">
        <v>399</v>
      </c>
      <c r="Y13" s="107" t="s">
        <v>315</v>
      </c>
      <c r="Z13" s="107" t="s">
        <v>315</v>
      </c>
      <c r="AA13" s="107" t="s">
        <v>315</v>
      </c>
      <c r="AB13" s="107" t="s">
        <v>315</v>
      </c>
      <c r="AC13" s="107" t="s">
        <v>315</v>
      </c>
      <c r="AD13" s="107">
        <v>150</v>
      </c>
      <c r="AE13" s="107"/>
      <c r="AF13" s="107"/>
    </row>
    <row r="14" spans="1:32" ht="76.5">
      <c r="A14" s="26"/>
      <c r="B14" s="36"/>
      <c r="C14" s="44"/>
      <c r="D14" s="481"/>
      <c r="E14" s="514"/>
      <c r="F14" s="100" t="s">
        <v>400</v>
      </c>
      <c r="G14" s="101" t="s">
        <v>401</v>
      </c>
      <c r="H14" s="102" t="s">
        <v>364</v>
      </c>
      <c r="I14" s="102" t="s">
        <v>365</v>
      </c>
      <c r="J14" s="105" t="s">
        <v>46</v>
      </c>
      <c r="K14" s="106" t="s">
        <v>376</v>
      </c>
      <c r="L14" s="103" t="s">
        <v>402</v>
      </c>
      <c r="M14" s="111" t="s">
        <v>403</v>
      </c>
      <c r="N14" s="75" t="s">
        <v>366</v>
      </c>
      <c r="O14" s="75" t="s">
        <v>57</v>
      </c>
      <c r="P14" s="397" t="s">
        <v>320</v>
      </c>
      <c r="Q14" s="517" t="s">
        <v>404</v>
      </c>
      <c r="R14" s="518" t="s">
        <v>405</v>
      </c>
      <c r="S14" s="519" t="s">
        <v>406</v>
      </c>
      <c r="T14" s="519"/>
      <c r="U14" s="519"/>
      <c r="V14" s="519" t="s">
        <v>407</v>
      </c>
      <c r="W14" s="519" t="s">
        <v>408</v>
      </c>
      <c r="X14" s="519" t="s">
        <v>350</v>
      </c>
      <c r="Y14" s="107" t="s">
        <v>315</v>
      </c>
      <c r="Z14" s="107" t="s">
        <v>315</v>
      </c>
      <c r="AA14" s="107" t="s">
        <v>315</v>
      </c>
      <c r="AB14" s="107" t="s">
        <v>315</v>
      </c>
      <c r="AC14" s="107" t="s">
        <v>315</v>
      </c>
      <c r="AD14" s="107">
        <v>200</v>
      </c>
      <c r="AE14" s="107"/>
      <c r="AF14" s="107"/>
    </row>
    <row r="15" spans="1:32" ht="106.5">
      <c r="A15" s="26"/>
      <c r="B15" s="36"/>
      <c r="C15" s="44"/>
      <c r="D15" s="481"/>
      <c r="E15" s="514"/>
      <c r="F15" s="100" t="s">
        <v>409</v>
      </c>
      <c r="G15" s="101" t="s">
        <v>410</v>
      </c>
      <c r="H15" s="102" t="s">
        <v>364</v>
      </c>
      <c r="I15" s="102" t="s">
        <v>365</v>
      </c>
      <c r="J15" s="105" t="s">
        <v>333</v>
      </c>
      <c r="K15" s="106" t="s">
        <v>376</v>
      </c>
      <c r="L15" s="103" t="str">
        <f>G15</f>
        <v>Fomentar el paisatge en mosaïc</v>
      </c>
      <c r="M15" s="111"/>
      <c r="N15" s="75" t="s">
        <v>58</v>
      </c>
      <c r="O15" s="75" t="s">
        <v>57</v>
      </c>
      <c r="P15" s="397" t="s">
        <v>306</v>
      </c>
      <c r="Q15" s="517" t="s">
        <v>411</v>
      </c>
      <c r="R15" s="518" t="s">
        <v>412</v>
      </c>
      <c r="S15" s="519" t="s">
        <v>413</v>
      </c>
      <c r="T15" s="519" t="s">
        <v>414</v>
      </c>
      <c r="U15" s="519" t="s">
        <v>415</v>
      </c>
      <c r="V15" s="519" t="s">
        <v>416</v>
      </c>
      <c r="W15" s="519" t="s">
        <v>417</v>
      </c>
      <c r="X15" s="519" t="s">
        <v>418</v>
      </c>
      <c r="Y15" s="107" t="s">
        <v>315</v>
      </c>
      <c r="Z15" s="107" t="s">
        <v>315</v>
      </c>
      <c r="AA15" s="107" t="s">
        <v>315</v>
      </c>
      <c r="AB15" s="107" t="s">
        <v>315</v>
      </c>
      <c r="AC15" s="107" t="s">
        <v>315</v>
      </c>
      <c r="AD15" s="107">
        <v>500</v>
      </c>
      <c r="AE15" s="107"/>
      <c r="AF15" s="107"/>
    </row>
    <row r="16" spans="1:32" ht="45.75">
      <c r="A16" s="26"/>
      <c r="B16" s="36"/>
      <c r="C16" s="44"/>
      <c r="D16" s="481"/>
      <c r="E16" s="514"/>
      <c r="F16" s="100" t="s">
        <v>419</v>
      </c>
      <c r="G16" s="101" t="s">
        <v>420</v>
      </c>
      <c r="H16" s="102" t="s">
        <v>364</v>
      </c>
      <c r="I16" s="102" t="s">
        <v>365</v>
      </c>
      <c r="J16" s="105"/>
      <c r="K16" s="106" t="s">
        <v>376</v>
      </c>
      <c r="L16" s="103" t="str">
        <f>G16</f>
        <v>Gestionar i intervenir en la dinàmica de poblacions de fauna que no tenen depredador natural</v>
      </c>
      <c r="M16" s="111"/>
      <c r="N16" s="75" t="s">
        <v>81</v>
      </c>
      <c r="O16" s="75" t="s">
        <v>57</v>
      </c>
      <c r="P16" s="397" t="s">
        <v>421</v>
      </c>
      <c r="Q16" s="517" t="s">
        <v>422</v>
      </c>
      <c r="R16" s="518"/>
      <c r="S16" s="522"/>
      <c r="T16" s="525"/>
      <c r="U16" s="520"/>
      <c r="V16" s="519" t="s">
        <v>423</v>
      </c>
      <c r="W16" s="522" t="s">
        <v>424</v>
      </c>
      <c r="X16" s="522" t="s">
        <v>425</v>
      </c>
      <c r="Y16" s="107"/>
      <c r="Z16" s="107"/>
      <c r="AA16" s="107"/>
      <c r="AB16" s="107" t="s">
        <v>315</v>
      </c>
      <c r="AC16" s="107" t="s">
        <v>315</v>
      </c>
      <c r="AD16" s="107">
        <v>25</v>
      </c>
      <c r="AE16" s="107"/>
      <c r="AF16" s="107"/>
    </row>
    <row r="17" spans="1:32" ht="121.5">
      <c r="A17" s="26"/>
      <c r="B17" s="36"/>
      <c r="C17" s="44"/>
      <c r="D17" s="473" t="s">
        <v>426</v>
      </c>
      <c r="E17" s="474" t="s">
        <v>427</v>
      </c>
      <c r="F17" s="100" t="s">
        <v>428</v>
      </c>
      <c r="G17" s="101" t="s">
        <v>429</v>
      </c>
      <c r="H17" s="102" t="s">
        <v>301</v>
      </c>
      <c r="I17" s="102" t="s">
        <v>365</v>
      </c>
      <c r="J17" s="105" t="s">
        <v>46</v>
      </c>
      <c r="K17" s="106" t="s">
        <v>430</v>
      </c>
      <c r="L17" s="103" t="str">
        <f>G17</f>
        <v>Fomentar acords de custòdia en espais d'alt valor dins l'ENP per a la gestió dels elements prioritaris</v>
      </c>
      <c r="M17" s="111"/>
      <c r="N17" s="75" t="s">
        <v>58</v>
      </c>
      <c r="O17" s="75" t="s">
        <v>57</v>
      </c>
      <c r="P17" s="397" t="s">
        <v>306</v>
      </c>
      <c r="Q17" s="517" t="s">
        <v>431</v>
      </c>
      <c r="R17" s="518" t="s">
        <v>432</v>
      </c>
      <c r="S17" s="522"/>
      <c r="T17" s="519" t="s">
        <v>433</v>
      </c>
      <c r="U17" s="519" t="s">
        <v>434</v>
      </c>
      <c r="V17" s="519" t="s">
        <v>435</v>
      </c>
      <c r="W17" s="519" t="s">
        <v>436</v>
      </c>
      <c r="X17" s="519" t="s">
        <v>437</v>
      </c>
      <c r="Y17" s="107" t="s">
        <v>315</v>
      </c>
      <c r="Z17" s="107" t="s">
        <v>315</v>
      </c>
      <c r="AA17" s="107" t="s">
        <v>315</v>
      </c>
      <c r="AB17" s="107" t="s">
        <v>315</v>
      </c>
      <c r="AC17" s="107" t="s">
        <v>315</v>
      </c>
      <c r="AD17" s="107">
        <v>150</v>
      </c>
      <c r="AE17" s="107"/>
      <c r="AF17" s="107"/>
    </row>
    <row r="18" spans="1:32" ht="91.5">
      <c r="A18" s="26"/>
      <c r="B18" s="36"/>
      <c r="C18" s="44"/>
      <c r="D18" s="473"/>
      <c r="E18" s="474"/>
      <c r="F18" s="100" t="s">
        <v>438</v>
      </c>
      <c r="G18" s="101" t="s">
        <v>439</v>
      </c>
      <c r="H18" s="102" t="s">
        <v>301</v>
      </c>
      <c r="I18" s="102" t="s">
        <v>365</v>
      </c>
      <c r="J18" s="105"/>
      <c r="K18" s="106"/>
      <c r="L18" s="103" t="str">
        <f>G18</f>
        <v>Fomentar bones pràctiques entre els col·lectius de propietaris i gestors del territori</v>
      </c>
      <c r="M18" s="111"/>
      <c r="N18" s="75" t="s">
        <v>366</v>
      </c>
      <c r="O18" s="75" t="s">
        <v>57</v>
      </c>
      <c r="P18" s="397" t="s">
        <v>320</v>
      </c>
      <c r="Q18" s="517" t="s">
        <v>440</v>
      </c>
      <c r="R18" s="518" t="s">
        <v>441</v>
      </c>
      <c r="S18" s="519" t="s">
        <v>442</v>
      </c>
      <c r="T18" s="519"/>
      <c r="U18" s="519" t="s">
        <v>443</v>
      </c>
      <c r="V18" s="519" t="s">
        <v>444</v>
      </c>
      <c r="W18" s="519" t="s">
        <v>445</v>
      </c>
      <c r="X18" s="519" t="s">
        <v>446</v>
      </c>
      <c r="Y18" s="107"/>
      <c r="Z18" s="107"/>
      <c r="AA18" s="107"/>
      <c r="AB18" s="107" t="s">
        <v>315</v>
      </c>
      <c r="AC18" s="107" t="s">
        <v>315</v>
      </c>
      <c r="AD18" s="107">
        <v>64</v>
      </c>
      <c r="AE18" s="107"/>
      <c r="AF18" s="107"/>
    </row>
    <row r="19" spans="1:32" ht="45.75">
      <c r="A19" s="26"/>
      <c r="B19" s="37"/>
      <c r="C19" s="45"/>
      <c r="D19" s="473"/>
      <c r="E19" s="474"/>
      <c r="F19" s="100" t="s">
        <v>447</v>
      </c>
      <c r="G19" s="101" t="s">
        <v>448</v>
      </c>
      <c r="H19" s="102" t="s">
        <v>364</v>
      </c>
      <c r="I19" s="102" t="s">
        <v>365</v>
      </c>
      <c r="J19" s="105" t="s">
        <v>333</v>
      </c>
      <c r="K19" s="106"/>
      <c r="L19" s="103" t="str">
        <f t="shared" ref="L19" si="1">G19</f>
        <v>Impulsar la coordinació amb els ens locals en la gestió finques públiques situades dins d’ENP</v>
      </c>
      <c r="M19" s="380" t="s">
        <v>449</v>
      </c>
      <c r="N19" s="75"/>
      <c r="O19" s="75" t="s">
        <v>81</v>
      </c>
      <c r="P19" s="397"/>
      <c r="Q19" s="527" t="s">
        <v>450</v>
      </c>
      <c r="R19" s="518" t="s">
        <v>451</v>
      </c>
      <c r="S19" s="522"/>
      <c r="T19" s="519"/>
      <c r="U19" s="519"/>
      <c r="V19" s="522"/>
      <c r="W19" s="522"/>
      <c r="X19" s="522"/>
      <c r="Y19" s="107"/>
      <c r="Z19" s="107"/>
      <c r="AA19" s="107"/>
      <c r="AB19" s="107"/>
      <c r="AC19" s="107"/>
      <c r="AD19" s="107">
        <v>0</v>
      </c>
      <c r="AE19" s="107"/>
      <c r="AF19" s="107"/>
    </row>
    <row r="20" spans="1:32" ht="108" customHeight="1">
      <c r="A20" s="26"/>
      <c r="B20" s="470">
        <v>2</v>
      </c>
      <c r="C20" s="475" t="s">
        <v>452</v>
      </c>
      <c r="D20" s="480" t="s">
        <v>453</v>
      </c>
      <c r="E20" s="477" t="s">
        <v>454</v>
      </c>
      <c r="F20" s="100" t="s">
        <v>455</v>
      </c>
      <c r="G20" s="101" t="s">
        <v>456</v>
      </c>
      <c r="H20" s="102" t="s">
        <v>301</v>
      </c>
      <c r="I20" s="102" t="s">
        <v>302</v>
      </c>
      <c r="J20" s="105"/>
      <c r="K20" s="106" t="s">
        <v>457</v>
      </c>
      <c r="L20" s="103" t="s">
        <v>458</v>
      </c>
      <c r="M20" s="111" t="s">
        <v>459</v>
      </c>
      <c r="N20" s="75" t="s">
        <v>366</v>
      </c>
      <c r="O20" s="75" t="s">
        <v>57</v>
      </c>
      <c r="P20" s="397" t="s">
        <v>306</v>
      </c>
      <c r="Q20" s="517" t="s">
        <v>460</v>
      </c>
      <c r="R20" s="518" t="s">
        <v>461</v>
      </c>
      <c r="S20" s="522"/>
      <c r="T20" s="519"/>
      <c r="U20" s="519"/>
      <c r="V20" s="519" t="s">
        <v>462</v>
      </c>
      <c r="W20" s="519" t="s">
        <v>463</v>
      </c>
      <c r="X20" s="519" t="s">
        <v>464</v>
      </c>
      <c r="Y20" s="107" t="s">
        <v>315</v>
      </c>
      <c r="Z20" s="107" t="s">
        <v>315</v>
      </c>
      <c r="AA20" s="107" t="s">
        <v>315</v>
      </c>
      <c r="AB20" s="107" t="s">
        <v>315</v>
      </c>
      <c r="AC20" s="107" t="s">
        <v>315</v>
      </c>
      <c r="AD20" s="107">
        <v>120</v>
      </c>
      <c r="AE20" s="107"/>
      <c r="AF20" s="107"/>
    </row>
    <row r="21" spans="1:32" ht="76.5">
      <c r="A21" s="26"/>
      <c r="B21" s="471"/>
      <c r="C21" s="476"/>
      <c r="D21" s="481"/>
      <c r="E21" s="478"/>
      <c r="F21" s="100" t="s">
        <v>465</v>
      </c>
      <c r="G21" s="101" t="s">
        <v>466</v>
      </c>
      <c r="H21" s="102" t="s">
        <v>301</v>
      </c>
      <c r="I21" s="102" t="s">
        <v>332</v>
      </c>
      <c r="J21" s="105"/>
      <c r="K21" s="106"/>
      <c r="L21" s="103" t="str">
        <f>G21</f>
        <v>Gestionar i planificar els recursos hídrics de l'ENP</v>
      </c>
      <c r="M21" s="111"/>
      <c r="N21" s="75" t="s">
        <v>366</v>
      </c>
      <c r="O21" s="75" t="s">
        <v>57</v>
      </c>
      <c r="P21" s="397" t="s">
        <v>306</v>
      </c>
      <c r="Q21" s="517" t="s">
        <v>467</v>
      </c>
      <c r="R21" s="528" t="s">
        <v>468</v>
      </c>
      <c r="S21" s="522"/>
      <c r="T21" s="519"/>
      <c r="U21" s="519"/>
      <c r="V21" s="522" t="s">
        <v>469</v>
      </c>
      <c r="W21" s="522" t="s">
        <v>370</v>
      </c>
      <c r="X21" s="522" t="s">
        <v>370</v>
      </c>
      <c r="Y21" s="107"/>
      <c r="Z21" s="107"/>
      <c r="AA21" s="107"/>
      <c r="AB21" s="107" t="s">
        <v>315</v>
      </c>
      <c r="AC21" s="107" t="s">
        <v>315</v>
      </c>
      <c r="AD21" s="107">
        <v>50</v>
      </c>
      <c r="AE21" s="107"/>
      <c r="AF21" s="107"/>
    </row>
    <row r="22" spans="1:32" ht="106.5">
      <c r="A22" s="26"/>
      <c r="B22" s="471"/>
      <c r="C22" s="476"/>
      <c r="D22" s="481"/>
      <c r="E22" s="478"/>
      <c r="F22" s="100" t="s">
        <v>470</v>
      </c>
      <c r="G22" s="101" t="s">
        <v>471</v>
      </c>
      <c r="H22" s="102" t="s">
        <v>364</v>
      </c>
      <c r="I22" s="102" t="s">
        <v>365</v>
      </c>
      <c r="J22" s="105"/>
      <c r="K22" s="106" t="s">
        <v>472</v>
      </c>
      <c r="L22" s="103" t="s">
        <v>473</v>
      </c>
      <c r="M22" s="111" t="s">
        <v>474</v>
      </c>
      <c r="N22" s="75" t="s">
        <v>366</v>
      </c>
      <c r="O22" s="75" t="s">
        <v>57</v>
      </c>
      <c r="P22" s="397" t="s">
        <v>320</v>
      </c>
      <c r="Q22" s="517" t="s">
        <v>475</v>
      </c>
      <c r="R22" s="529" t="s">
        <v>476</v>
      </c>
      <c r="S22" s="519" t="s">
        <v>477</v>
      </c>
      <c r="T22" s="519"/>
      <c r="U22" s="519"/>
      <c r="V22" s="519" t="s">
        <v>478</v>
      </c>
      <c r="W22" s="522" t="s">
        <v>479</v>
      </c>
      <c r="X22" s="522" t="s">
        <v>480</v>
      </c>
      <c r="Y22" s="107"/>
      <c r="Z22" s="107"/>
      <c r="AA22" s="107"/>
      <c r="AB22" s="107"/>
      <c r="AC22" s="107"/>
      <c r="AD22" s="107">
        <v>20</v>
      </c>
      <c r="AE22" s="107"/>
      <c r="AF22" s="107"/>
    </row>
    <row r="23" spans="1:32" ht="152.25">
      <c r="A23" s="26"/>
      <c r="B23" s="471"/>
      <c r="C23" s="476"/>
      <c r="D23" s="482"/>
      <c r="E23" s="479"/>
      <c r="F23" s="100" t="s">
        <v>481</v>
      </c>
      <c r="G23" s="101" t="s">
        <v>482</v>
      </c>
      <c r="H23" s="102" t="s">
        <v>364</v>
      </c>
      <c r="I23" s="102" t="s">
        <v>483</v>
      </c>
      <c r="J23" s="105"/>
      <c r="K23" s="106"/>
      <c r="L23" s="103" t="str">
        <f>G23</f>
        <v>Promoure la redacció d'instruments d'ordenació forestal per reduir la sensibilitat i vulnerabilitat dels boscos al canvi climàtic en finques privades</v>
      </c>
      <c r="M23" s="111"/>
      <c r="N23" s="75" t="s">
        <v>366</v>
      </c>
      <c r="O23" s="75" t="s">
        <v>57</v>
      </c>
      <c r="P23" s="397" t="s">
        <v>320</v>
      </c>
      <c r="Q23" s="517" t="s">
        <v>484</v>
      </c>
      <c r="R23" s="518" t="s">
        <v>485</v>
      </c>
      <c r="T23" s="519"/>
      <c r="U23" s="519"/>
      <c r="V23" s="522" t="s">
        <v>486</v>
      </c>
      <c r="W23" s="522" t="s">
        <v>370</v>
      </c>
      <c r="X23" s="522" t="s">
        <v>398</v>
      </c>
      <c r="Y23" s="107"/>
      <c r="Z23" s="107" t="s">
        <v>315</v>
      </c>
      <c r="AA23" s="107" t="s">
        <v>315</v>
      </c>
      <c r="AB23" s="107" t="s">
        <v>315</v>
      </c>
      <c r="AC23" s="107" t="s">
        <v>315</v>
      </c>
      <c r="AD23" s="107">
        <v>80</v>
      </c>
      <c r="AE23" s="107"/>
      <c r="AF23" s="107"/>
    </row>
    <row r="24" spans="1:32" ht="106.5">
      <c r="A24" s="26"/>
      <c r="B24" s="471"/>
      <c r="C24" s="476"/>
      <c r="D24" s="473" t="s">
        <v>487</v>
      </c>
      <c r="E24" s="474" t="s">
        <v>488</v>
      </c>
      <c r="F24" s="100" t="s">
        <v>489</v>
      </c>
      <c r="G24" s="101" t="s">
        <v>490</v>
      </c>
      <c r="H24" s="102" t="s">
        <v>301</v>
      </c>
      <c r="I24" s="102" t="s">
        <v>302</v>
      </c>
      <c r="J24" s="105" t="s">
        <v>333</v>
      </c>
      <c r="K24" s="106" t="s">
        <v>491</v>
      </c>
      <c r="L24" s="103" t="str">
        <f>G24</f>
        <v xml:space="preserve">Redactar i implementar el Pla de Prevenció d'Incendis </v>
      </c>
      <c r="M24" s="111"/>
      <c r="N24" s="75" t="s">
        <v>366</v>
      </c>
      <c r="O24" s="75" t="s">
        <v>57</v>
      </c>
      <c r="P24" s="397" t="s">
        <v>492</v>
      </c>
      <c r="Q24" s="517" t="s">
        <v>493</v>
      </c>
      <c r="R24" s="518" t="s">
        <v>494</v>
      </c>
      <c r="S24" s="519" t="s">
        <v>495</v>
      </c>
      <c r="T24" s="519"/>
      <c r="U24" s="519" t="s">
        <v>496</v>
      </c>
      <c r="V24" s="519" t="s">
        <v>497</v>
      </c>
      <c r="W24" s="519" t="s">
        <v>498</v>
      </c>
      <c r="X24" s="519" t="s">
        <v>499</v>
      </c>
      <c r="Y24" s="107" t="s">
        <v>315</v>
      </c>
      <c r="Z24" s="107" t="s">
        <v>315</v>
      </c>
      <c r="AA24" s="107" t="s">
        <v>315</v>
      </c>
      <c r="AB24" s="107" t="s">
        <v>315</v>
      </c>
      <c r="AC24" s="107" t="s">
        <v>315</v>
      </c>
      <c r="AD24" s="107">
        <v>450</v>
      </c>
      <c r="AE24" s="107"/>
      <c r="AF24" s="107"/>
    </row>
    <row r="25" spans="1:32" ht="137.25">
      <c r="A25" s="26"/>
      <c r="B25" s="471"/>
      <c r="C25" s="476"/>
      <c r="D25" s="473"/>
      <c r="E25" s="474"/>
      <c r="F25" s="100" t="s">
        <v>500</v>
      </c>
      <c r="G25" s="101" t="s">
        <v>501</v>
      </c>
      <c r="H25" s="102" t="s">
        <v>364</v>
      </c>
      <c r="I25" s="102" t="s">
        <v>365</v>
      </c>
      <c r="J25" s="105"/>
      <c r="K25" s="106" t="s">
        <v>502</v>
      </c>
      <c r="L25" s="103" t="str">
        <f>G25</f>
        <v>Definir i planificar la gestió del foc per a la millora de l'ENP</v>
      </c>
      <c r="M25" s="111"/>
      <c r="N25" s="75" t="s">
        <v>58</v>
      </c>
      <c r="O25" s="75"/>
      <c r="P25" s="397" t="s">
        <v>306</v>
      </c>
      <c r="Q25" s="517" t="s">
        <v>503</v>
      </c>
      <c r="R25" s="518" t="s">
        <v>504</v>
      </c>
      <c r="S25" s="519" t="s">
        <v>505</v>
      </c>
      <c r="T25" s="519" t="s">
        <v>506</v>
      </c>
      <c r="U25" s="519" t="s">
        <v>507</v>
      </c>
      <c r="V25" s="519" t="s">
        <v>508</v>
      </c>
      <c r="W25" s="519" t="s">
        <v>509</v>
      </c>
      <c r="X25" s="519" t="s">
        <v>510</v>
      </c>
      <c r="Y25" s="107"/>
      <c r="Z25" s="107"/>
      <c r="AA25" s="107"/>
      <c r="AB25" s="107"/>
      <c r="AC25" s="107"/>
      <c r="AD25" s="107">
        <v>180</v>
      </c>
      <c r="AE25" s="107"/>
      <c r="AF25" s="107"/>
    </row>
    <row r="26" spans="1:32" ht="91.5">
      <c r="A26" s="26"/>
      <c r="B26" s="471"/>
      <c r="C26" s="476"/>
      <c r="D26" s="473"/>
      <c r="E26" s="474"/>
      <c r="F26" s="100" t="s">
        <v>511</v>
      </c>
      <c r="G26" s="101" t="s">
        <v>512</v>
      </c>
      <c r="H26" s="102" t="s">
        <v>301</v>
      </c>
      <c r="I26" s="102" t="s">
        <v>302</v>
      </c>
      <c r="J26" s="105"/>
      <c r="K26" s="106"/>
      <c r="L26" s="103" t="str">
        <f>G26</f>
        <v>Treballar per a la prevenció d'incendis juntament amb els propietaris, ajuntaments, protecció civil, ADF i bombers.</v>
      </c>
      <c r="M26" s="111"/>
      <c r="N26" s="75" t="s">
        <v>58</v>
      </c>
      <c r="O26" s="75" t="s">
        <v>57</v>
      </c>
      <c r="P26" s="397" t="s">
        <v>306</v>
      </c>
      <c r="Q26" s="517" t="s">
        <v>513</v>
      </c>
      <c r="R26" s="518" t="s">
        <v>514</v>
      </c>
      <c r="S26" s="522"/>
      <c r="T26" s="519"/>
      <c r="U26" s="519"/>
      <c r="V26" s="519" t="s">
        <v>515</v>
      </c>
      <c r="W26" s="519" t="s">
        <v>516</v>
      </c>
      <c r="X26" s="519" t="s">
        <v>517</v>
      </c>
      <c r="Y26" s="107"/>
      <c r="Z26" s="107"/>
      <c r="AA26" s="107"/>
      <c r="AB26" s="107"/>
      <c r="AC26" s="107"/>
      <c r="AD26" s="383"/>
      <c r="AE26" s="107"/>
      <c r="AF26" s="107"/>
    </row>
    <row r="27" spans="1:32" ht="76.5">
      <c r="A27" s="26"/>
      <c r="B27" s="470">
        <v>3</v>
      </c>
      <c r="C27" s="475" t="s">
        <v>518</v>
      </c>
      <c r="D27" s="473" t="s">
        <v>519</v>
      </c>
      <c r="E27" s="484" t="s">
        <v>520</v>
      </c>
      <c r="F27" s="100" t="s">
        <v>521</v>
      </c>
      <c r="G27" s="101" t="s">
        <v>522</v>
      </c>
      <c r="H27" s="102" t="s">
        <v>301</v>
      </c>
      <c r="I27" s="102" t="s">
        <v>332</v>
      </c>
      <c r="J27" s="105"/>
      <c r="K27" s="106"/>
      <c r="L27" s="103" t="str">
        <f>G27</f>
        <v>Participar en les consultes dels procesos d'Avaluació Ambiental que afectin directament o indirectament l’espai del ENP</v>
      </c>
      <c r="M27" s="111"/>
      <c r="N27" s="108" t="s">
        <v>366</v>
      </c>
      <c r="O27" s="108" t="s">
        <v>57</v>
      </c>
      <c r="P27" s="397" t="s">
        <v>306</v>
      </c>
      <c r="Q27" s="531" t="s">
        <v>523</v>
      </c>
      <c r="R27" s="523" t="s">
        <v>524</v>
      </c>
      <c r="S27" s="519" t="s">
        <v>525</v>
      </c>
      <c r="T27" s="519"/>
      <c r="U27" s="519"/>
      <c r="V27" s="519" t="s">
        <v>526</v>
      </c>
      <c r="W27" s="519" t="s">
        <v>527</v>
      </c>
      <c r="X27" s="519" t="s">
        <v>528</v>
      </c>
      <c r="Y27" s="107" t="s">
        <v>315</v>
      </c>
      <c r="Z27" s="107" t="s">
        <v>315</v>
      </c>
      <c r="AA27" s="107" t="s">
        <v>315</v>
      </c>
      <c r="AB27" s="107" t="s">
        <v>315</v>
      </c>
      <c r="AC27" s="107" t="s">
        <v>315</v>
      </c>
      <c r="AD27" s="107">
        <v>25</v>
      </c>
      <c r="AE27" s="107"/>
      <c r="AF27" s="107"/>
    </row>
    <row r="28" spans="1:32" ht="91.5">
      <c r="A28" s="26"/>
      <c r="B28" s="471"/>
      <c r="C28" s="476"/>
      <c r="D28" s="473"/>
      <c r="E28" s="484"/>
      <c r="F28" s="100" t="s">
        <v>529</v>
      </c>
      <c r="G28" s="101" t="s">
        <v>530</v>
      </c>
      <c r="H28" s="102" t="s">
        <v>301</v>
      </c>
      <c r="I28" s="102" t="s">
        <v>332</v>
      </c>
      <c r="J28" s="105"/>
      <c r="K28" s="106"/>
      <c r="L28" s="103" t="str">
        <f t="shared" ref="L28" si="2">G28</f>
        <v>Exercir un seguiment efectiu de les obres al Parc juntament amb les Oficines Territorials d'Acció i Avaluació Ambiental als efectes d'assegurar la correcta translació de la tutela administrativa.</v>
      </c>
      <c r="M28" s="380" t="s">
        <v>531</v>
      </c>
      <c r="N28" s="75"/>
      <c r="O28" s="75" t="s">
        <v>57</v>
      </c>
      <c r="P28" s="397"/>
      <c r="Q28" s="527" t="s">
        <v>532</v>
      </c>
      <c r="R28" s="518"/>
      <c r="S28" s="522"/>
      <c r="T28" s="519"/>
      <c r="U28" s="519"/>
      <c r="V28" s="522"/>
      <c r="W28" s="522"/>
      <c r="X28" s="522"/>
      <c r="Y28" s="107"/>
      <c r="Z28" s="107"/>
      <c r="AA28" s="107"/>
      <c r="AB28" s="107"/>
      <c r="AC28" s="107"/>
      <c r="AD28" s="107">
        <v>0</v>
      </c>
      <c r="AE28" s="107"/>
      <c r="AF28" s="107"/>
    </row>
    <row r="29" spans="1:32" ht="76.5">
      <c r="A29" s="26"/>
      <c r="B29" s="471"/>
      <c r="C29" s="476"/>
      <c r="D29" s="473"/>
      <c r="E29" s="484"/>
      <c r="F29" s="100" t="s">
        <v>533</v>
      </c>
      <c r="G29" s="101" t="s">
        <v>534</v>
      </c>
      <c r="H29" s="102" t="s">
        <v>301</v>
      </c>
      <c r="I29" s="102" t="s">
        <v>365</v>
      </c>
      <c r="J29" s="105"/>
      <c r="K29" s="106"/>
      <c r="L29" s="103" t="str">
        <f t="shared" ref="L29" si="3">G29</f>
        <v>Participar en la compensació d'impactes residuals durant els processos d'avaluació ambiental mitjançant la identificació de necessitats d'actuació prioritària dins i fora dels límits de l’ENP</v>
      </c>
      <c r="M29" s="380" t="s">
        <v>535</v>
      </c>
      <c r="N29" s="75"/>
      <c r="O29" s="75"/>
      <c r="P29" s="397"/>
      <c r="Q29" s="527" t="s">
        <v>532</v>
      </c>
      <c r="R29" s="518" t="s">
        <v>536</v>
      </c>
      <c r="S29" s="519" t="s">
        <v>537</v>
      </c>
      <c r="T29" s="519"/>
      <c r="U29" s="519"/>
      <c r="V29" s="519"/>
      <c r="W29" s="522"/>
      <c r="X29" s="522"/>
      <c r="Y29" s="107"/>
      <c r="Z29" s="107"/>
      <c r="AA29" s="107"/>
      <c r="AB29" s="107"/>
      <c r="AC29" s="107"/>
      <c r="AD29" s="107">
        <v>0</v>
      </c>
      <c r="AE29" s="107"/>
      <c r="AF29" s="107"/>
    </row>
    <row r="30" spans="1:32" ht="60.75">
      <c r="A30" s="26"/>
      <c r="B30" s="471"/>
      <c r="C30" s="476"/>
      <c r="D30" s="12" t="s">
        <v>538</v>
      </c>
      <c r="E30" s="88" t="s">
        <v>539</v>
      </c>
      <c r="F30" s="100" t="s">
        <v>540</v>
      </c>
      <c r="G30" s="101" t="s">
        <v>541</v>
      </c>
      <c r="H30" s="102" t="s">
        <v>301</v>
      </c>
      <c r="I30" s="100" t="s">
        <v>332</v>
      </c>
      <c r="J30" s="105"/>
      <c r="K30" s="106" t="s">
        <v>542</v>
      </c>
      <c r="L30" s="103" t="s">
        <v>543</v>
      </c>
      <c r="M30" s="111"/>
      <c r="N30" s="75" t="s">
        <v>366</v>
      </c>
      <c r="O30" s="75" t="s">
        <v>57</v>
      </c>
      <c r="P30" s="397" t="s">
        <v>320</v>
      </c>
      <c r="Q30" s="517" t="s">
        <v>544</v>
      </c>
      <c r="R30" s="518" t="s">
        <v>545</v>
      </c>
      <c r="S30" s="522"/>
      <c r="T30" s="519"/>
      <c r="U30" s="519"/>
      <c r="V30" s="522" t="s">
        <v>546</v>
      </c>
      <c r="W30" s="522" t="s">
        <v>370</v>
      </c>
      <c r="X30" s="522" t="s">
        <v>370</v>
      </c>
      <c r="Y30" s="107"/>
      <c r="Z30" s="107"/>
      <c r="AA30" s="107"/>
      <c r="AB30" s="107" t="s">
        <v>315</v>
      </c>
      <c r="AC30" s="107" t="s">
        <v>315</v>
      </c>
      <c r="AD30" s="107">
        <v>180</v>
      </c>
      <c r="AE30" s="107"/>
      <c r="AF30" s="107"/>
    </row>
    <row r="31" spans="1:32" ht="167.25">
      <c r="A31" s="26"/>
      <c r="B31" s="471"/>
      <c r="C31" s="476"/>
      <c r="D31" s="473" t="s">
        <v>547</v>
      </c>
      <c r="E31" s="474" t="s">
        <v>548</v>
      </c>
      <c r="F31" s="100" t="s">
        <v>549</v>
      </c>
      <c r="G31" s="101" t="s">
        <v>550</v>
      </c>
      <c r="H31" s="102" t="s">
        <v>364</v>
      </c>
      <c r="I31" s="102" t="s">
        <v>483</v>
      </c>
      <c r="J31" s="105" t="s">
        <v>333</v>
      </c>
      <c r="K31" s="106" t="s">
        <v>551</v>
      </c>
      <c r="L31" s="103" t="str">
        <f t="shared" ref="L31:L38" si="4">G31</f>
        <v>Vetllar pel manteniment del cabal ecològic dels rius definit al Pla sectorial corresponent</v>
      </c>
      <c r="M31" s="111"/>
      <c r="N31" s="75" t="s">
        <v>366</v>
      </c>
      <c r="O31" s="75" t="s">
        <v>57</v>
      </c>
      <c r="P31" s="397" t="s">
        <v>306</v>
      </c>
      <c r="Q31" s="517" t="s">
        <v>552</v>
      </c>
      <c r="R31" s="528" t="s">
        <v>553</v>
      </c>
      <c r="S31" s="519" t="s">
        <v>554</v>
      </c>
      <c r="T31" s="519"/>
      <c r="U31" s="519"/>
      <c r="V31" s="519" t="s">
        <v>555</v>
      </c>
      <c r="W31" s="519" t="s">
        <v>556</v>
      </c>
      <c r="X31" s="519" t="s">
        <v>557</v>
      </c>
      <c r="Y31" s="107" t="s">
        <v>315</v>
      </c>
      <c r="Z31" s="107" t="s">
        <v>315</v>
      </c>
      <c r="AA31" s="107" t="s">
        <v>315</v>
      </c>
      <c r="AB31" s="107" t="s">
        <v>315</v>
      </c>
      <c r="AC31" s="107" t="s">
        <v>315</v>
      </c>
      <c r="AD31" s="107">
        <v>40</v>
      </c>
      <c r="AE31" s="107"/>
      <c r="AF31" s="107"/>
    </row>
    <row r="32" spans="1:32" ht="60.75">
      <c r="A32" s="26"/>
      <c r="B32" s="471"/>
      <c r="C32" s="476"/>
      <c r="D32" s="473"/>
      <c r="E32" s="474"/>
      <c r="F32" s="100" t="s">
        <v>558</v>
      </c>
      <c r="G32" s="101" t="s">
        <v>559</v>
      </c>
      <c r="H32" s="102" t="s">
        <v>364</v>
      </c>
      <c r="I32" s="102" t="s">
        <v>365</v>
      </c>
      <c r="J32" s="105"/>
      <c r="K32" s="106"/>
      <c r="L32" s="103" t="str">
        <f t="shared" ref="L32:L33" si="5">G32</f>
        <v>Vetllar per la regulació dels dragatges, canalitzacions o implantació d'activitats extractives que puguin modificar la llera i el cabal dels rius</v>
      </c>
      <c r="M32" s="380" t="s">
        <v>531</v>
      </c>
      <c r="N32" s="75"/>
      <c r="O32" s="75"/>
      <c r="P32" s="397"/>
      <c r="Q32" s="527" t="s">
        <v>532</v>
      </c>
      <c r="R32" s="518"/>
      <c r="S32" s="519" t="s">
        <v>560</v>
      </c>
      <c r="T32" s="519"/>
      <c r="U32" s="519"/>
      <c r="V32" s="519"/>
      <c r="W32" s="522"/>
      <c r="X32" s="522"/>
      <c r="Y32" s="107"/>
      <c r="Z32" s="107"/>
      <c r="AA32" s="107"/>
      <c r="AB32" s="107"/>
      <c r="AC32" s="107"/>
      <c r="AD32" s="107">
        <v>0</v>
      </c>
      <c r="AE32" s="107"/>
      <c r="AF32" s="107"/>
    </row>
    <row r="33" spans="1:32" ht="60.75">
      <c r="A33" s="26"/>
      <c r="B33" s="471"/>
      <c r="C33" s="476"/>
      <c r="D33" s="473"/>
      <c r="E33" s="474"/>
      <c r="F33" s="100" t="s">
        <v>561</v>
      </c>
      <c r="G33" s="101" t="s">
        <v>562</v>
      </c>
      <c r="H33" s="102" t="s">
        <v>364</v>
      </c>
      <c r="I33" s="102" t="s">
        <v>365</v>
      </c>
      <c r="J33" s="105"/>
      <c r="K33" s="106"/>
      <c r="L33" s="103" t="str">
        <f t="shared" si="5"/>
        <v>Avaluar i controlar les actuacions que produeixin drenatges, captacions o que puguin impedir l’arribada d’aigua tant superficial com freàtica</v>
      </c>
      <c r="M33" s="380" t="s">
        <v>531</v>
      </c>
      <c r="N33" s="75"/>
      <c r="O33" s="75"/>
      <c r="P33" s="397"/>
      <c r="Q33" s="527" t="s">
        <v>532</v>
      </c>
      <c r="R33" s="518"/>
      <c r="S33" s="519" t="s">
        <v>563</v>
      </c>
      <c r="T33" s="519"/>
      <c r="U33" s="519"/>
      <c r="V33" s="519"/>
      <c r="W33" s="522"/>
      <c r="X33" s="522"/>
      <c r="Y33" s="107"/>
      <c r="Z33" s="107"/>
      <c r="AA33" s="107"/>
      <c r="AB33" s="107"/>
      <c r="AC33" s="107"/>
      <c r="AD33" s="107">
        <v>0</v>
      </c>
      <c r="AE33" s="107"/>
      <c r="AF33" s="107"/>
    </row>
    <row r="34" spans="1:32" ht="76.5">
      <c r="A34" s="26"/>
      <c r="B34" s="471"/>
      <c r="C34" s="476"/>
      <c r="D34" s="473"/>
      <c r="E34" s="474"/>
      <c r="F34" s="100" t="s">
        <v>564</v>
      </c>
      <c r="G34" s="101" t="s">
        <v>565</v>
      </c>
      <c r="H34" s="102" t="s">
        <v>364</v>
      </c>
      <c r="I34" s="102" t="s">
        <v>365</v>
      </c>
      <c r="J34" s="105"/>
      <c r="K34" s="106"/>
      <c r="L34" s="103" t="str">
        <f t="shared" si="4"/>
        <v>Vetllar pel compliment de la normativa de depuració dels efluents agroramaders, urbans i industrials que s'aboquen als cursos fluvials</v>
      </c>
      <c r="N34" s="75" t="s">
        <v>366</v>
      </c>
      <c r="O34" s="75" t="s">
        <v>57</v>
      </c>
      <c r="P34" s="397" t="s">
        <v>306</v>
      </c>
      <c r="Q34" s="531" t="s">
        <v>566</v>
      </c>
      <c r="R34" s="518" t="s">
        <v>567</v>
      </c>
      <c r="S34" s="519" t="s">
        <v>568</v>
      </c>
      <c r="T34" s="519"/>
      <c r="U34" s="519"/>
      <c r="V34" s="519" t="s">
        <v>569</v>
      </c>
      <c r="W34" s="522" t="s">
        <v>370</v>
      </c>
      <c r="X34" s="522" t="s">
        <v>370</v>
      </c>
      <c r="Y34" s="107" t="s">
        <v>315</v>
      </c>
      <c r="Z34" s="107" t="s">
        <v>315</v>
      </c>
      <c r="AA34" s="107" t="s">
        <v>315</v>
      </c>
      <c r="AB34" s="107"/>
      <c r="AC34" s="107"/>
      <c r="AD34" s="107">
        <v>32</v>
      </c>
      <c r="AE34" s="107"/>
      <c r="AF34" s="107"/>
    </row>
    <row r="35" spans="1:32" ht="45.75">
      <c r="A35" s="26"/>
      <c r="B35" s="471"/>
      <c r="C35" s="476"/>
      <c r="D35" s="473" t="s">
        <v>570</v>
      </c>
      <c r="E35" s="474" t="s">
        <v>571</v>
      </c>
      <c r="F35" s="100" t="s">
        <v>572</v>
      </c>
      <c r="G35" s="101" t="s">
        <v>573</v>
      </c>
      <c r="H35" s="102" t="s">
        <v>301</v>
      </c>
      <c r="I35" s="102" t="s">
        <v>365</v>
      </c>
      <c r="J35" s="105"/>
      <c r="K35" s="106" t="s">
        <v>574</v>
      </c>
      <c r="L35" s="103" t="str">
        <f t="shared" si="4"/>
        <v xml:space="preserve">Identificar espais prioritaris per a la compra de terrenys de més valor dins l'ENP </v>
      </c>
      <c r="M35" s="380"/>
      <c r="N35" s="75" t="s">
        <v>377</v>
      </c>
      <c r="O35" s="75" t="s">
        <v>57</v>
      </c>
      <c r="P35" s="397" t="s">
        <v>306</v>
      </c>
      <c r="Q35" s="526" t="s">
        <v>378</v>
      </c>
      <c r="R35" s="532" t="s">
        <v>575</v>
      </c>
      <c r="S35" s="519" t="s">
        <v>576</v>
      </c>
      <c r="T35" s="519"/>
      <c r="U35" s="519"/>
      <c r="V35" s="519"/>
      <c r="W35" s="522"/>
      <c r="X35" s="522"/>
      <c r="Y35" s="107" t="s">
        <v>315</v>
      </c>
      <c r="Z35" s="107"/>
      <c r="AA35" s="107"/>
      <c r="AB35" s="107"/>
      <c r="AC35" s="107"/>
      <c r="AD35" s="107">
        <v>0</v>
      </c>
      <c r="AE35" s="107"/>
      <c r="AF35" s="107"/>
    </row>
    <row r="36" spans="1:32" ht="151.5" customHeight="1">
      <c r="A36" s="26"/>
      <c r="B36" s="472"/>
      <c r="C36" s="483"/>
      <c r="D36" s="473"/>
      <c r="E36" s="474"/>
      <c r="F36" s="100" t="s">
        <v>577</v>
      </c>
      <c r="G36" s="101" t="s">
        <v>578</v>
      </c>
      <c r="H36" s="102" t="s">
        <v>301</v>
      </c>
      <c r="I36" s="102" t="s">
        <v>483</v>
      </c>
      <c r="J36" s="105"/>
      <c r="K36" s="106" t="s">
        <v>574</v>
      </c>
      <c r="L36" s="103" t="str">
        <f t="shared" si="4"/>
        <v>Identificar espais prioritaris per a la gestió directa</v>
      </c>
      <c r="M36" s="389"/>
      <c r="N36" s="75" t="s">
        <v>377</v>
      </c>
      <c r="O36" s="75" t="s">
        <v>57</v>
      </c>
      <c r="P36" s="397" t="s">
        <v>421</v>
      </c>
      <c r="Q36" s="526" t="s">
        <v>378</v>
      </c>
      <c r="R36" s="532" t="s">
        <v>579</v>
      </c>
      <c r="S36" s="519" t="s">
        <v>580</v>
      </c>
      <c r="T36" s="519"/>
      <c r="U36" s="519"/>
      <c r="V36" s="519"/>
      <c r="W36" s="522"/>
      <c r="X36" s="522"/>
      <c r="Y36" s="107" t="s">
        <v>315</v>
      </c>
      <c r="Z36" s="107"/>
      <c r="AA36" s="107"/>
      <c r="AB36" s="107"/>
      <c r="AC36" s="107"/>
      <c r="AD36" s="107">
        <v>0</v>
      </c>
      <c r="AE36" s="107"/>
      <c r="AF36" s="107"/>
    </row>
    <row r="37" spans="1:32" ht="60.75">
      <c r="A37" s="13" t="s">
        <v>581</v>
      </c>
      <c r="B37" s="61">
        <v>4</v>
      </c>
      <c r="C37" s="59" t="s">
        <v>582</v>
      </c>
      <c r="D37" s="507" t="s">
        <v>583</v>
      </c>
      <c r="E37" s="509" t="s">
        <v>584</v>
      </c>
      <c r="F37" s="100" t="s">
        <v>585</v>
      </c>
      <c r="G37" s="101" t="s">
        <v>586</v>
      </c>
      <c r="H37" s="102" t="s">
        <v>301</v>
      </c>
      <c r="I37" s="102" t="s">
        <v>483</v>
      </c>
      <c r="J37" s="105"/>
      <c r="K37" s="106"/>
      <c r="L37" s="103" t="str">
        <f t="shared" si="4"/>
        <v>Elaborar l'inventari i cartografia de patrimoni cultural de l'ENP, que també inclogui el patrimoni etnològic i immaterial</v>
      </c>
      <c r="N37" s="75" t="s">
        <v>58</v>
      </c>
      <c r="O37" s="75" t="s">
        <v>57</v>
      </c>
      <c r="P37" s="397" t="s">
        <v>320</v>
      </c>
      <c r="Q37" s="531" t="s">
        <v>587</v>
      </c>
      <c r="R37" s="518" t="s">
        <v>588</v>
      </c>
      <c r="S37" s="522"/>
      <c r="T37" s="519"/>
      <c r="U37" s="519" t="s">
        <v>589</v>
      </c>
      <c r="V37" s="520" t="s">
        <v>590</v>
      </c>
      <c r="W37" s="533" t="s">
        <v>591</v>
      </c>
      <c r="X37" s="533" t="s">
        <v>591</v>
      </c>
      <c r="Y37" s="107"/>
      <c r="Z37" s="107"/>
      <c r="AA37" s="107" t="s">
        <v>315</v>
      </c>
      <c r="AB37" s="107"/>
      <c r="AC37" s="107"/>
      <c r="AD37" s="107">
        <v>200</v>
      </c>
      <c r="AE37" s="107"/>
      <c r="AF37" s="107"/>
    </row>
    <row r="38" spans="1:32" ht="45.75">
      <c r="A38" s="13"/>
      <c r="B38" s="62"/>
      <c r="C38" s="60"/>
      <c r="D38" s="508"/>
      <c r="E38" s="510"/>
      <c r="F38" s="100" t="s">
        <v>592</v>
      </c>
      <c r="G38" s="101" t="s">
        <v>593</v>
      </c>
      <c r="H38" s="102" t="s">
        <v>301</v>
      </c>
      <c r="I38" s="102" t="s">
        <v>483</v>
      </c>
      <c r="J38" s="105"/>
      <c r="K38" s="106"/>
      <c r="L38" s="103" t="str">
        <f t="shared" si="4"/>
        <v>Elaborar el catàleg lingüístic (localismes) de patrimoni natural, geografia popular, festes i activitats tradicionals de l'ENP</v>
      </c>
      <c r="M38" s="380" t="s">
        <v>594</v>
      </c>
      <c r="N38" s="75"/>
      <c r="O38" s="75"/>
      <c r="P38" s="397" t="s">
        <v>320</v>
      </c>
      <c r="Q38" s="526" t="s">
        <v>595</v>
      </c>
      <c r="R38" s="528" t="s">
        <v>596</v>
      </c>
      <c r="S38" s="522"/>
      <c r="T38" s="519"/>
      <c r="U38" s="519"/>
      <c r="V38" s="522"/>
      <c r="W38" s="522"/>
      <c r="X38" s="522"/>
      <c r="Y38" s="107"/>
      <c r="Z38" s="107"/>
      <c r="AA38" s="107"/>
      <c r="AB38" s="107"/>
      <c r="AC38" s="107"/>
      <c r="AD38" s="107">
        <v>0</v>
      </c>
      <c r="AE38" s="107"/>
      <c r="AF38" s="107"/>
    </row>
    <row r="39" spans="1:32" ht="76.5">
      <c r="A39" s="13"/>
      <c r="B39" s="62"/>
      <c r="C39" s="60"/>
      <c r="D39" s="508"/>
      <c r="E39" s="511"/>
      <c r="F39" s="100" t="s">
        <v>597</v>
      </c>
      <c r="G39" s="101" t="s">
        <v>598</v>
      </c>
      <c r="H39" s="102" t="s">
        <v>301</v>
      </c>
      <c r="I39" s="102" t="s">
        <v>483</v>
      </c>
      <c r="J39" s="105"/>
      <c r="K39" s="106"/>
      <c r="L39" s="103" t="str">
        <f>G39</f>
        <v>Elaborar la cartografia de la xarxa de camins ramaders i senders tradicionals de l'ENP</v>
      </c>
      <c r="M39" s="111"/>
      <c r="N39" s="75" t="s">
        <v>377</v>
      </c>
      <c r="O39" s="75" t="s">
        <v>57</v>
      </c>
      <c r="P39" s="397" t="s">
        <v>421</v>
      </c>
      <c r="Q39" s="531" t="s">
        <v>599</v>
      </c>
      <c r="R39" s="518" t="s">
        <v>600</v>
      </c>
      <c r="S39" s="522"/>
      <c r="T39" s="519"/>
      <c r="U39" s="519" t="s">
        <v>601</v>
      </c>
      <c r="V39" s="519" t="s">
        <v>602</v>
      </c>
      <c r="W39" s="519" t="s">
        <v>603</v>
      </c>
      <c r="X39" s="519" t="s">
        <v>604</v>
      </c>
      <c r="Y39" s="107" t="s">
        <v>315</v>
      </c>
      <c r="Z39" s="107"/>
      <c r="AA39" s="107"/>
      <c r="AB39" s="107"/>
      <c r="AC39" s="107"/>
      <c r="AD39" s="107">
        <v>60</v>
      </c>
      <c r="AE39" s="107"/>
      <c r="AF39" s="107"/>
    </row>
    <row r="40" spans="1:32" ht="60.75">
      <c r="A40" s="13"/>
      <c r="B40" s="62"/>
      <c r="C40" s="60"/>
      <c r="D40" s="491" t="s">
        <v>605</v>
      </c>
      <c r="E40" s="462" t="s">
        <v>606</v>
      </c>
      <c r="F40" s="100" t="s">
        <v>607</v>
      </c>
      <c r="G40" s="101" t="s">
        <v>608</v>
      </c>
      <c r="H40" s="102" t="s">
        <v>301</v>
      </c>
      <c r="I40" s="102" t="s">
        <v>332</v>
      </c>
      <c r="J40" s="105"/>
      <c r="K40" s="106"/>
      <c r="L40" s="103" t="str">
        <f t="shared" ref="L40:L41" si="6">G40</f>
        <v>Identificar els ens de referència en patrimoni cultural (entitats, associacions, museus i ecomuseus, etc.) en l'àmbit de l'ENP</v>
      </c>
      <c r="M40" s="111"/>
      <c r="N40" s="75" t="s">
        <v>58</v>
      </c>
      <c r="O40" s="75"/>
      <c r="P40" s="397" t="s">
        <v>421</v>
      </c>
      <c r="Q40" s="531" t="s">
        <v>609</v>
      </c>
      <c r="R40" s="518"/>
      <c r="S40" s="522"/>
      <c r="T40" s="519"/>
      <c r="U40" s="519"/>
      <c r="V40" s="522" t="s">
        <v>610</v>
      </c>
      <c r="W40" s="522" t="s">
        <v>370</v>
      </c>
      <c r="X40" s="522" t="s">
        <v>371</v>
      </c>
      <c r="Y40" s="107" t="s">
        <v>315</v>
      </c>
      <c r="Z40" s="107"/>
      <c r="AA40" s="107"/>
      <c r="AB40" s="107" t="s">
        <v>315</v>
      </c>
      <c r="AC40" s="107"/>
      <c r="AD40" s="107">
        <v>20</v>
      </c>
      <c r="AE40" s="107"/>
      <c r="AF40" s="107"/>
    </row>
    <row r="41" spans="1:32" ht="76.5">
      <c r="A41" s="46"/>
      <c r="B41" s="62"/>
      <c r="C41" s="60"/>
      <c r="D41" s="491"/>
      <c r="E41" s="462"/>
      <c r="F41" s="100" t="s">
        <v>611</v>
      </c>
      <c r="G41" s="101" t="s">
        <v>612</v>
      </c>
      <c r="H41" s="102" t="s">
        <v>301</v>
      </c>
      <c r="I41" s="102" t="s">
        <v>483</v>
      </c>
      <c r="J41" s="105"/>
      <c r="K41" s="106"/>
      <c r="L41" s="103" t="str">
        <f t="shared" si="6"/>
        <v>Articular treballs conjunts entre l'ENP i representants, gestors o custodis del patrimoni cultural per a la seva protecció i millora</v>
      </c>
      <c r="M41" s="111"/>
      <c r="N41" s="75" t="s">
        <v>58</v>
      </c>
      <c r="O41" s="75" t="s">
        <v>57</v>
      </c>
      <c r="P41" s="397" t="s">
        <v>306</v>
      </c>
      <c r="Q41" s="531" t="s">
        <v>613</v>
      </c>
      <c r="R41" s="518" t="s">
        <v>614</v>
      </c>
      <c r="S41" s="522"/>
      <c r="T41" s="519"/>
      <c r="U41" s="519"/>
      <c r="V41" s="519" t="s">
        <v>615</v>
      </c>
      <c r="W41" s="519" t="s">
        <v>408</v>
      </c>
      <c r="X41" s="519" t="s">
        <v>350</v>
      </c>
      <c r="Y41" s="107" t="s">
        <v>315</v>
      </c>
      <c r="Z41" s="107" t="s">
        <v>315</v>
      </c>
      <c r="AA41" s="107" t="s">
        <v>315</v>
      </c>
      <c r="AB41" s="107"/>
      <c r="AC41" s="107"/>
      <c r="AD41" s="107">
        <v>160</v>
      </c>
      <c r="AE41" s="107"/>
      <c r="AF41" s="107"/>
    </row>
    <row r="42" spans="1:32" ht="152.25">
      <c r="A42" s="46"/>
      <c r="B42" s="62"/>
      <c r="C42" s="60"/>
      <c r="D42" s="491"/>
      <c r="E42" s="462"/>
      <c r="F42" s="100" t="s">
        <v>616</v>
      </c>
      <c r="G42" s="101" t="s">
        <v>617</v>
      </c>
      <c r="H42" s="102" t="s">
        <v>301</v>
      </c>
      <c r="I42" s="102" t="s">
        <v>483</v>
      </c>
      <c r="J42" s="105"/>
      <c r="K42" s="106"/>
      <c r="L42" s="103" t="str">
        <f>G42</f>
        <v>Coordinar i participar dels treballs de restauració arquitectònica i del patrimoni cultural</v>
      </c>
      <c r="M42" s="111"/>
      <c r="N42" s="75" t="s">
        <v>58</v>
      </c>
      <c r="O42" s="75" t="s">
        <v>81</v>
      </c>
      <c r="P42" s="397" t="s">
        <v>306</v>
      </c>
      <c r="Q42" s="531" t="s">
        <v>618</v>
      </c>
      <c r="R42" s="518" t="s">
        <v>619</v>
      </c>
      <c r="S42" s="522"/>
      <c r="T42" s="519"/>
      <c r="U42" s="519" t="s">
        <v>620</v>
      </c>
      <c r="V42" s="519" t="s">
        <v>621</v>
      </c>
      <c r="W42" s="519" t="s">
        <v>622</v>
      </c>
      <c r="X42" s="519" t="s">
        <v>623</v>
      </c>
      <c r="Y42" s="107" t="s">
        <v>315</v>
      </c>
      <c r="Z42" s="107" t="s">
        <v>315</v>
      </c>
      <c r="AA42" s="107" t="s">
        <v>315</v>
      </c>
      <c r="AB42" s="107" t="s">
        <v>315</v>
      </c>
      <c r="AC42" s="107" t="s">
        <v>315</v>
      </c>
      <c r="AD42" s="107">
        <v>120</v>
      </c>
      <c r="AE42" s="107"/>
      <c r="AF42" s="107"/>
    </row>
    <row r="43" spans="1:32" ht="30.75">
      <c r="A43" s="13"/>
      <c r="B43" s="62"/>
      <c r="C43" s="60"/>
      <c r="D43" s="492"/>
      <c r="E43" s="505"/>
      <c r="F43" s="100" t="s">
        <v>624</v>
      </c>
      <c r="G43" s="101" t="s">
        <v>625</v>
      </c>
      <c r="H43" s="102" t="s">
        <v>301</v>
      </c>
      <c r="I43" s="102" t="s">
        <v>302</v>
      </c>
      <c r="J43" s="105"/>
      <c r="K43" s="106"/>
      <c r="L43" s="103" t="str">
        <f t="shared" ref="L43:L44" si="7">G43</f>
        <v>Disposar de personal especialitzat en patrimoni cultural</v>
      </c>
      <c r="M43" s="111"/>
      <c r="N43" s="75" t="s">
        <v>81</v>
      </c>
      <c r="O43" s="75" t="s">
        <v>57</v>
      </c>
      <c r="P43" s="397" t="s">
        <v>492</v>
      </c>
      <c r="Q43" s="531" t="s">
        <v>626</v>
      </c>
      <c r="R43" s="518" t="s">
        <v>627</v>
      </c>
      <c r="S43" s="522"/>
      <c r="T43" s="519"/>
      <c r="U43" s="519"/>
      <c r="V43" s="522" t="s">
        <v>628</v>
      </c>
      <c r="W43" s="522" t="s">
        <v>370</v>
      </c>
      <c r="X43" s="522" t="s">
        <v>371</v>
      </c>
      <c r="Y43" s="107"/>
      <c r="Z43" s="107" t="s">
        <v>315</v>
      </c>
      <c r="AA43" s="107" t="s">
        <v>315</v>
      </c>
      <c r="AB43" s="107" t="s">
        <v>315</v>
      </c>
      <c r="AC43" s="107" t="s">
        <v>315</v>
      </c>
      <c r="AD43" s="107">
        <v>0</v>
      </c>
      <c r="AE43" s="107"/>
      <c r="AF43" s="107"/>
    </row>
    <row r="44" spans="1:32" ht="45.75">
      <c r="A44" s="13"/>
      <c r="B44" s="62"/>
      <c r="C44" s="60"/>
      <c r="D44" s="493" t="s">
        <v>629</v>
      </c>
      <c r="E44" s="512" t="s">
        <v>630</v>
      </c>
      <c r="F44" s="100" t="s">
        <v>631</v>
      </c>
      <c r="G44" s="101" t="s">
        <v>632</v>
      </c>
      <c r="H44" s="102" t="s">
        <v>301</v>
      </c>
      <c r="I44" s="102" t="s">
        <v>302</v>
      </c>
      <c r="J44" s="105" t="s">
        <v>46</v>
      </c>
      <c r="K44" s="106"/>
      <c r="L44" s="103" t="str">
        <f t="shared" si="7"/>
        <v xml:space="preserve">Recuperar i conservar el patrimoni cultural rural immaterial associat a les activitats i aprofitaments tradicionals </v>
      </c>
      <c r="M44" s="111"/>
      <c r="N44" s="75" t="s">
        <v>58</v>
      </c>
      <c r="O44" s="75"/>
      <c r="P44" s="397" t="s">
        <v>320</v>
      </c>
      <c r="Q44" s="531" t="s">
        <v>633</v>
      </c>
      <c r="R44" s="518" t="s">
        <v>634</v>
      </c>
      <c r="S44" s="522"/>
      <c r="T44" s="519"/>
      <c r="U44" s="519"/>
      <c r="V44" s="522" t="s">
        <v>635</v>
      </c>
      <c r="W44" s="522" t="s">
        <v>370</v>
      </c>
      <c r="X44" s="522" t="s">
        <v>371</v>
      </c>
      <c r="Y44" s="107"/>
      <c r="Z44" s="107"/>
      <c r="AA44" s="107"/>
      <c r="AB44" s="107" t="s">
        <v>315</v>
      </c>
      <c r="AC44" s="107"/>
      <c r="AD44" s="107">
        <v>50</v>
      </c>
      <c r="AE44" s="107"/>
      <c r="AF44" s="107"/>
    </row>
    <row r="45" spans="1:32" ht="45.75">
      <c r="A45" s="13"/>
      <c r="B45" s="62"/>
      <c r="C45" s="60"/>
      <c r="D45" s="493"/>
      <c r="E45" s="512"/>
      <c r="F45" s="100" t="s">
        <v>636</v>
      </c>
      <c r="G45" s="101" t="s">
        <v>637</v>
      </c>
      <c r="H45" s="102" t="s">
        <v>364</v>
      </c>
      <c r="I45" s="102" t="s">
        <v>302</v>
      </c>
      <c r="J45" s="105" t="s">
        <v>46</v>
      </c>
      <c r="K45" s="106"/>
      <c r="L45" s="103" t="str">
        <f>G45</f>
        <v>Recuperar i conservar el patrimoni cultural rural vinculat específicament a construccions de pedra en sec</v>
      </c>
      <c r="M45" s="111"/>
      <c r="N45" s="75" t="s">
        <v>58</v>
      </c>
      <c r="O45" s="75"/>
      <c r="P45" s="397" t="s">
        <v>320</v>
      </c>
      <c r="Q45" s="531" t="s">
        <v>638</v>
      </c>
      <c r="R45" s="518" t="s">
        <v>639</v>
      </c>
      <c r="S45" s="519" t="s">
        <v>640</v>
      </c>
      <c r="T45" s="519"/>
      <c r="U45" s="519"/>
      <c r="V45" s="519" t="s">
        <v>641</v>
      </c>
      <c r="W45" s="522" t="s">
        <v>370</v>
      </c>
      <c r="X45" s="522" t="s">
        <v>371</v>
      </c>
      <c r="Y45" s="107" t="s">
        <v>315</v>
      </c>
      <c r="Z45" s="107" t="s">
        <v>315</v>
      </c>
      <c r="AA45" s="107" t="s">
        <v>315</v>
      </c>
      <c r="AB45" s="107" t="s">
        <v>315</v>
      </c>
      <c r="AC45" s="107" t="s">
        <v>315</v>
      </c>
      <c r="AD45" s="383"/>
      <c r="AE45" s="107"/>
      <c r="AF45" s="107"/>
    </row>
    <row r="46" spans="1:32" ht="45.75">
      <c r="A46" s="13"/>
      <c r="B46" s="62"/>
      <c r="C46" s="60"/>
      <c r="D46" s="493"/>
      <c r="E46" s="512"/>
      <c r="F46" s="100" t="s">
        <v>642</v>
      </c>
      <c r="G46" s="101" t="s">
        <v>643</v>
      </c>
      <c r="H46" s="102" t="s">
        <v>301</v>
      </c>
      <c r="I46" s="102" t="s">
        <v>365</v>
      </c>
      <c r="J46" s="105"/>
      <c r="K46" s="106"/>
      <c r="L46" s="103" t="str">
        <f t="shared" ref="L46" si="8">G46</f>
        <v xml:space="preserve">Fomentar la recuperació i conservació de l'arquitectura tradicional d'intrès de les edificacions i construccions </v>
      </c>
      <c r="M46" s="380" t="s">
        <v>531</v>
      </c>
      <c r="N46" s="75"/>
      <c r="O46" s="75"/>
      <c r="P46" s="397"/>
      <c r="Q46" s="527" t="s">
        <v>532</v>
      </c>
      <c r="R46" s="518"/>
      <c r="S46" s="522"/>
      <c r="T46" s="519"/>
      <c r="U46" s="519"/>
      <c r="V46" s="522"/>
      <c r="W46" s="522"/>
      <c r="X46" s="522"/>
      <c r="Y46" s="107"/>
      <c r="Z46" s="107"/>
      <c r="AA46" s="107"/>
      <c r="AB46" s="107"/>
      <c r="AC46" s="107"/>
      <c r="AD46" s="107">
        <v>0</v>
      </c>
      <c r="AE46" s="107"/>
      <c r="AF46" s="107"/>
    </row>
    <row r="47" spans="1:32" ht="45.75">
      <c r="A47" s="13"/>
      <c r="B47" s="62"/>
      <c r="C47" s="60"/>
      <c r="D47" s="493"/>
      <c r="E47" s="512"/>
      <c r="F47" s="100" t="s">
        <v>644</v>
      </c>
      <c r="G47" s="101" t="s">
        <v>645</v>
      </c>
      <c r="H47" s="102" t="s">
        <v>301</v>
      </c>
      <c r="I47" s="102" t="s">
        <v>332</v>
      </c>
      <c r="J47" s="105" t="s">
        <v>333</v>
      </c>
      <c r="K47" s="106"/>
      <c r="L47" s="103" t="str">
        <f t="shared" ref="L47:L48" si="9">G47</f>
        <v>Identificar i conservar la diversitat domesticada de varietats agrícoles i ramaderes locals</v>
      </c>
      <c r="M47" s="111"/>
      <c r="N47" s="75" t="s">
        <v>366</v>
      </c>
      <c r="O47" s="75" t="s">
        <v>57</v>
      </c>
      <c r="P47" s="397" t="s">
        <v>492</v>
      </c>
      <c r="Q47" s="531" t="s">
        <v>646</v>
      </c>
      <c r="R47" s="518" t="s">
        <v>647</v>
      </c>
      <c r="S47" s="522"/>
      <c r="T47" s="519"/>
      <c r="U47" s="519"/>
      <c r="V47" s="522" t="s">
        <v>628</v>
      </c>
      <c r="W47" s="522" t="s">
        <v>370</v>
      </c>
      <c r="X47" s="522" t="s">
        <v>371</v>
      </c>
      <c r="Y47" s="107"/>
      <c r="Z47" s="107" t="s">
        <v>315</v>
      </c>
      <c r="AA47" s="107" t="s">
        <v>315</v>
      </c>
      <c r="AB47" s="107" t="s">
        <v>315</v>
      </c>
      <c r="AC47" s="107" t="s">
        <v>315</v>
      </c>
      <c r="AD47" s="107">
        <v>0</v>
      </c>
      <c r="AE47" s="107"/>
      <c r="AF47" s="107"/>
    </row>
    <row r="48" spans="1:32" ht="106.5">
      <c r="A48" s="13"/>
      <c r="B48" s="62"/>
      <c r="C48" s="60"/>
      <c r="D48" s="493" t="s">
        <v>648</v>
      </c>
      <c r="E48" s="512" t="s">
        <v>649</v>
      </c>
      <c r="F48" s="102" t="s">
        <v>650</v>
      </c>
      <c r="G48" s="101" t="s">
        <v>651</v>
      </c>
      <c r="H48" s="102" t="s">
        <v>301</v>
      </c>
      <c r="I48" s="102" t="s">
        <v>302</v>
      </c>
      <c r="J48" s="105"/>
      <c r="K48" s="106"/>
      <c r="L48" s="103" t="str">
        <f t="shared" si="9"/>
        <v>Integrar el patrimoni cultural als itineraris i cartelleria de l'ENP.</v>
      </c>
      <c r="M48" s="111"/>
      <c r="N48" s="75" t="s">
        <v>58</v>
      </c>
      <c r="O48" s="75" t="s">
        <v>57</v>
      </c>
      <c r="P48" s="397" t="s">
        <v>320</v>
      </c>
      <c r="Q48" s="531" t="s">
        <v>652</v>
      </c>
      <c r="R48" s="518" t="s">
        <v>653</v>
      </c>
      <c r="S48" s="522"/>
      <c r="T48" s="519"/>
      <c r="U48" s="519"/>
      <c r="V48" s="522" t="s">
        <v>654</v>
      </c>
      <c r="W48" s="522" t="s">
        <v>371</v>
      </c>
      <c r="X48" s="522" t="s">
        <v>655</v>
      </c>
      <c r="Y48" s="107" t="s">
        <v>315</v>
      </c>
      <c r="Z48" s="107" t="s">
        <v>315</v>
      </c>
      <c r="AA48" s="107"/>
      <c r="AB48" s="107"/>
      <c r="AC48" s="107"/>
      <c r="AD48" s="107">
        <v>60</v>
      </c>
      <c r="AE48" s="107"/>
      <c r="AF48" s="107"/>
    </row>
    <row r="49" spans="1:32" ht="60.75">
      <c r="A49" s="13"/>
      <c r="B49" s="62"/>
      <c r="C49" s="60"/>
      <c r="D49" s="493"/>
      <c r="E49" s="512"/>
      <c r="F49" s="102" t="s">
        <v>656</v>
      </c>
      <c r="G49" s="101" t="s">
        <v>657</v>
      </c>
      <c r="H49" s="102" t="s">
        <v>301</v>
      </c>
      <c r="I49" s="102" t="s">
        <v>302</v>
      </c>
      <c r="J49" s="105"/>
      <c r="K49" s="106"/>
      <c r="L49" s="103" t="str">
        <f>G49</f>
        <v>Incorporar el patrimoni cultural en els plans d’ús públic i educació ambiental per fomentar-ne la seva conservació i divulgació.</v>
      </c>
      <c r="M49" s="111"/>
      <c r="N49" s="75" t="s">
        <v>58</v>
      </c>
      <c r="O49" s="75" t="s">
        <v>57</v>
      </c>
      <c r="P49" s="397" t="s">
        <v>492</v>
      </c>
      <c r="Q49" s="531" t="s">
        <v>658</v>
      </c>
      <c r="R49" s="518" t="s">
        <v>659</v>
      </c>
      <c r="S49" s="522"/>
      <c r="T49" s="519"/>
      <c r="U49" s="519" t="s">
        <v>660</v>
      </c>
      <c r="V49" s="519" t="s">
        <v>661</v>
      </c>
      <c r="W49" s="522" t="s">
        <v>370</v>
      </c>
      <c r="X49" s="522" t="s">
        <v>398</v>
      </c>
      <c r="Y49" s="107" t="s">
        <v>315</v>
      </c>
      <c r="Z49" s="107" t="s">
        <v>315</v>
      </c>
      <c r="AA49" s="107" t="s">
        <v>315</v>
      </c>
      <c r="AB49" s="107" t="s">
        <v>315</v>
      </c>
      <c r="AC49" s="107" t="s">
        <v>315</v>
      </c>
      <c r="AD49" s="107">
        <v>100</v>
      </c>
      <c r="AE49" s="107"/>
      <c r="AF49" s="107"/>
    </row>
    <row r="50" spans="1:32" ht="60.75">
      <c r="A50" s="13"/>
      <c r="B50" s="62"/>
      <c r="C50" s="60"/>
      <c r="D50" s="493"/>
      <c r="E50" s="512"/>
      <c r="F50" s="102" t="s">
        <v>662</v>
      </c>
      <c r="G50" s="101" t="s">
        <v>663</v>
      </c>
      <c r="H50" s="102" t="s">
        <v>301</v>
      </c>
      <c r="I50" s="102" t="s">
        <v>302</v>
      </c>
      <c r="J50" s="105"/>
      <c r="K50" s="106"/>
      <c r="L50" s="103" t="str">
        <f>G50</f>
        <v>Formar el personal dels punts d’informació en els valors culturals de l'ENP</v>
      </c>
      <c r="M50" s="111"/>
      <c r="N50" s="75" t="s">
        <v>58</v>
      </c>
      <c r="O50" s="75" t="s">
        <v>57</v>
      </c>
      <c r="P50" s="397" t="s">
        <v>306</v>
      </c>
      <c r="Q50" s="531" t="s">
        <v>664</v>
      </c>
      <c r="R50" s="518" t="s">
        <v>665</v>
      </c>
      <c r="S50" s="522"/>
      <c r="T50" s="519"/>
      <c r="U50" s="519"/>
      <c r="V50" s="522" t="s">
        <v>666</v>
      </c>
      <c r="W50" s="522" t="s">
        <v>370</v>
      </c>
      <c r="X50" s="522" t="s">
        <v>655</v>
      </c>
      <c r="Y50" s="107" t="s">
        <v>315</v>
      </c>
      <c r="Z50" s="107" t="s">
        <v>315</v>
      </c>
      <c r="AA50" s="107" t="s">
        <v>315</v>
      </c>
      <c r="AB50" s="107" t="s">
        <v>315</v>
      </c>
      <c r="AC50" s="107" t="s">
        <v>315</v>
      </c>
      <c r="AD50" s="107">
        <v>50</v>
      </c>
      <c r="AE50" s="107"/>
      <c r="AF50" s="107"/>
    </row>
    <row r="51" spans="1:32" ht="45.75">
      <c r="A51" s="13"/>
      <c r="B51" s="453">
        <v>5</v>
      </c>
      <c r="C51" s="456" t="s">
        <v>667</v>
      </c>
      <c r="D51" s="21" t="s">
        <v>668</v>
      </c>
      <c r="E51" s="20" t="s">
        <v>669</v>
      </c>
      <c r="F51" s="102" t="s">
        <v>670</v>
      </c>
      <c r="G51" s="101" t="s">
        <v>671</v>
      </c>
      <c r="H51" s="102" t="s">
        <v>301</v>
      </c>
      <c r="I51" s="102" t="s">
        <v>483</v>
      </c>
      <c r="J51" s="105"/>
      <c r="K51" s="106"/>
      <c r="L51" s="103" t="str">
        <f>G51</f>
        <v xml:space="preserve">Elaborar un inventari d'elements d'interès paisatgístic de l'ENP d'acord amb el Catàleg de paisatge de la zona </v>
      </c>
      <c r="M51" s="389" t="s">
        <v>672</v>
      </c>
      <c r="N51" s="75" t="s">
        <v>377</v>
      </c>
      <c r="O51" s="75" t="s">
        <v>57</v>
      </c>
      <c r="P51" s="397" t="s">
        <v>320</v>
      </c>
      <c r="Q51" s="526" t="s">
        <v>378</v>
      </c>
      <c r="R51" s="518" t="s">
        <v>673</v>
      </c>
      <c r="S51" s="522"/>
      <c r="T51" s="519"/>
      <c r="U51" s="519"/>
      <c r="V51" s="522"/>
      <c r="W51" s="522"/>
      <c r="X51" s="522"/>
      <c r="Y51" s="107" t="s">
        <v>315</v>
      </c>
      <c r="Z51" s="107"/>
      <c r="AA51" s="107"/>
      <c r="AB51" s="107"/>
      <c r="AC51" s="107"/>
      <c r="AD51" s="107">
        <v>0</v>
      </c>
      <c r="AE51" s="107"/>
      <c r="AF51" s="107"/>
    </row>
    <row r="52" spans="1:32" ht="45.75">
      <c r="A52" s="13"/>
      <c r="B52" s="454"/>
      <c r="C52" s="457"/>
      <c r="D52" s="495" t="s">
        <v>674</v>
      </c>
      <c r="E52" s="461" t="s">
        <v>675</v>
      </c>
      <c r="F52" s="100" t="s">
        <v>676</v>
      </c>
      <c r="G52" s="101" t="s">
        <v>677</v>
      </c>
      <c r="H52" s="102" t="s">
        <v>301</v>
      </c>
      <c r="I52" s="102" t="s">
        <v>483</v>
      </c>
      <c r="J52" s="105"/>
      <c r="K52" s="106"/>
      <c r="L52" s="103" t="str">
        <f>G52</f>
        <v>Desplegar actuacions de restauració dels elements d'interès paisatgístic degradats</v>
      </c>
      <c r="N52" s="75" t="s">
        <v>58</v>
      </c>
      <c r="O52" s="75"/>
      <c r="P52" s="397" t="s">
        <v>320</v>
      </c>
      <c r="Q52" s="531" t="s">
        <v>678</v>
      </c>
      <c r="R52" s="518"/>
      <c r="S52" s="522"/>
      <c r="T52" s="519"/>
      <c r="U52" s="519"/>
      <c r="V52" s="522" t="s">
        <v>679</v>
      </c>
      <c r="W52" s="522" t="s">
        <v>370</v>
      </c>
      <c r="X52" s="522" t="s">
        <v>370</v>
      </c>
      <c r="Y52" s="107"/>
      <c r="Z52" s="107"/>
      <c r="AA52" s="107" t="s">
        <v>315</v>
      </c>
      <c r="AB52" s="107"/>
      <c r="AC52" s="107"/>
      <c r="AD52" s="107">
        <v>20</v>
      </c>
      <c r="AE52" s="107"/>
      <c r="AF52" s="107"/>
    </row>
    <row r="53" spans="1:32" ht="45.75">
      <c r="A53" s="13"/>
      <c r="B53" s="454"/>
      <c r="C53" s="457"/>
      <c r="D53" s="496"/>
      <c r="E53" s="462"/>
      <c r="F53" s="100" t="s">
        <v>680</v>
      </c>
      <c r="G53" s="101" t="s">
        <v>681</v>
      </c>
      <c r="H53" s="102"/>
      <c r="I53" s="102"/>
      <c r="J53" s="105"/>
      <c r="K53" s="106"/>
      <c r="L53" s="103" t="str">
        <f t="shared" ref="L53" si="10">G53</f>
        <v>Gestionar l'abandonament d'infraestructures i instal·lacions amb impactes sobre els valors de l'espai</v>
      </c>
      <c r="M53" s="380" t="s">
        <v>531</v>
      </c>
      <c r="N53" s="75"/>
      <c r="O53" s="75"/>
      <c r="P53" s="397"/>
      <c r="Q53" s="527" t="s">
        <v>532</v>
      </c>
      <c r="R53" s="518"/>
      <c r="S53" s="522"/>
      <c r="T53" s="519"/>
      <c r="U53" s="519"/>
      <c r="V53" s="522"/>
      <c r="W53" s="522"/>
      <c r="X53" s="522"/>
      <c r="Y53" s="107"/>
      <c r="Z53" s="107"/>
      <c r="AA53" s="107"/>
      <c r="AB53" s="107"/>
      <c r="AC53" s="107"/>
      <c r="AD53" s="107">
        <v>0</v>
      </c>
      <c r="AE53" s="107"/>
      <c r="AF53" s="107"/>
    </row>
    <row r="54" spans="1:32" ht="121.5">
      <c r="A54" s="13"/>
      <c r="B54" s="454"/>
      <c r="C54" s="457"/>
      <c r="D54" s="460"/>
      <c r="E54" s="494"/>
      <c r="F54" s="100" t="s">
        <v>682</v>
      </c>
      <c r="G54" s="101" t="s">
        <v>683</v>
      </c>
      <c r="H54" s="102" t="s">
        <v>301</v>
      </c>
      <c r="I54" s="102" t="s">
        <v>332</v>
      </c>
      <c r="J54" s="105"/>
      <c r="K54" s="106"/>
      <c r="L54" s="103" t="str">
        <f t="shared" ref="L54:L59" si="11">G54</f>
        <v>Minimitzar la brutícia, deixalles, vandalisme i males praxis dins l'ENP</v>
      </c>
      <c r="M54" s="111"/>
      <c r="N54" s="75" t="s">
        <v>58</v>
      </c>
      <c r="O54" s="75" t="s">
        <v>57</v>
      </c>
      <c r="P54" s="397" t="s">
        <v>492</v>
      </c>
      <c r="Q54" s="531" t="s">
        <v>684</v>
      </c>
      <c r="R54" s="518" t="s">
        <v>685</v>
      </c>
      <c r="S54" s="522"/>
      <c r="T54" s="519"/>
      <c r="U54" s="519"/>
      <c r="V54" s="519" t="s">
        <v>686</v>
      </c>
      <c r="W54" s="519" t="s">
        <v>687</v>
      </c>
      <c r="X54" s="519" t="s">
        <v>688</v>
      </c>
      <c r="Y54" s="107" t="s">
        <v>315</v>
      </c>
      <c r="Z54" s="107" t="s">
        <v>315</v>
      </c>
      <c r="AA54" s="107" t="s">
        <v>315</v>
      </c>
      <c r="AB54" s="107" t="s">
        <v>315</v>
      </c>
      <c r="AC54" s="107" t="s">
        <v>315</v>
      </c>
      <c r="AD54" s="107">
        <v>110</v>
      </c>
      <c r="AE54" s="107"/>
      <c r="AF54" s="107"/>
    </row>
    <row r="55" spans="1:32" ht="91.5">
      <c r="A55" s="13"/>
      <c r="B55" s="454"/>
      <c r="C55" s="457"/>
      <c r="D55" s="459" t="s">
        <v>689</v>
      </c>
      <c r="E55" s="461" t="s">
        <v>690</v>
      </c>
      <c r="F55" s="100" t="s">
        <v>691</v>
      </c>
      <c r="G55" s="101" t="s">
        <v>692</v>
      </c>
      <c r="H55" s="102" t="s">
        <v>364</v>
      </c>
      <c r="I55" s="102" t="s">
        <v>483</v>
      </c>
      <c r="J55" s="105" t="s">
        <v>333</v>
      </c>
      <c r="K55" s="106"/>
      <c r="L55" s="103" t="str">
        <f t="shared" si="11"/>
        <v>Promoure la certificació de qualitat del cel nocturn</v>
      </c>
      <c r="M55" s="111"/>
      <c r="N55" s="75" t="s">
        <v>58</v>
      </c>
      <c r="O55" s="75" t="s">
        <v>57</v>
      </c>
      <c r="P55" s="397" t="s">
        <v>320</v>
      </c>
      <c r="Q55" s="531" t="s">
        <v>693</v>
      </c>
      <c r="R55" s="518" t="s">
        <v>694</v>
      </c>
      <c r="S55" s="522"/>
      <c r="T55" s="519" t="s">
        <v>695</v>
      </c>
      <c r="U55" s="519"/>
      <c r="V55" s="519" t="s">
        <v>696</v>
      </c>
      <c r="W55" s="522" t="s">
        <v>370</v>
      </c>
      <c r="X55" s="522" t="s">
        <v>398</v>
      </c>
      <c r="Y55" s="107"/>
      <c r="Z55" s="107"/>
      <c r="AA55" s="107"/>
      <c r="AB55" s="107" t="s">
        <v>315</v>
      </c>
      <c r="AC55" s="107" t="s">
        <v>315</v>
      </c>
      <c r="AD55" s="107">
        <v>80</v>
      </c>
      <c r="AE55" s="107"/>
      <c r="AF55" s="107"/>
    </row>
    <row r="56" spans="1:32" ht="76.5">
      <c r="A56" s="13"/>
      <c r="B56" s="455"/>
      <c r="C56" s="458"/>
      <c r="D56" s="460"/>
      <c r="E56" s="462"/>
      <c r="F56" s="100" t="s">
        <v>697</v>
      </c>
      <c r="G56" s="101" t="s">
        <v>698</v>
      </c>
      <c r="H56" s="102" t="s">
        <v>364</v>
      </c>
      <c r="I56" s="102" t="s">
        <v>483</v>
      </c>
      <c r="J56" s="105" t="s">
        <v>333</v>
      </c>
      <c r="K56" s="106"/>
      <c r="L56" s="103" t="str">
        <f t="shared" si="11"/>
        <v>Promoure la certificació de zones d'especial protecció de la qualitat acústica</v>
      </c>
      <c r="M56" s="111"/>
      <c r="N56" s="75" t="s">
        <v>58</v>
      </c>
      <c r="O56" s="75"/>
      <c r="P56" s="397" t="s">
        <v>320</v>
      </c>
      <c r="Q56" s="531" t="s">
        <v>699</v>
      </c>
      <c r="R56" s="518" t="s">
        <v>700</v>
      </c>
      <c r="S56" s="522"/>
      <c r="T56" s="519" t="s">
        <v>701</v>
      </c>
      <c r="U56" s="519"/>
      <c r="V56" s="519" t="s">
        <v>702</v>
      </c>
      <c r="W56" s="522" t="s">
        <v>370</v>
      </c>
      <c r="X56" s="522" t="s">
        <v>398</v>
      </c>
      <c r="Y56" s="107"/>
      <c r="Z56" s="107"/>
      <c r="AA56" s="107"/>
      <c r="AB56" s="107" t="s">
        <v>315</v>
      </c>
      <c r="AC56" s="107" t="s">
        <v>315</v>
      </c>
      <c r="AD56" s="107">
        <v>70</v>
      </c>
      <c r="AE56" s="107"/>
      <c r="AF56" s="107"/>
    </row>
    <row r="57" spans="1:32" ht="76.5">
      <c r="A57" s="27" t="s">
        <v>703</v>
      </c>
      <c r="B57" s="41">
        <v>6</v>
      </c>
      <c r="C57" s="40" t="s">
        <v>704</v>
      </c>
      <c r="D57" s="497" t="s">
        <v>705</v>
      </c>
      <c r="E57" s="444" t="s">
        <v>706</v>
      </c>
      <c r="F57" s="100" t="s">
        <v>707</v>
      </c>
      <c r="G57" s="112" t="s">
        <v>708</v>
      </c>
      <c r="H57" s="102" t="s">
        <v>301</v>
      </c>
      <c r="I57" s="102" t="s">
        <v>332</v>
      </c>
      <c r="J57" s="110" t="s">
        <v>709</v>
      </c>
      <c r="K57" s="106" t="s">
        <v>710</v>
      </c>
      <c r="L57" s="103" t="str">
        <f t="shared" si="11"/>
        <v>Identificar i prioritzar els elements clau i d'interès per la gestió de la biodiversitat i geodiversitat de Catalunya es troben dins l'ENP (especies amenaçades, espècies exòtiques invasores,.. )</v>
      </c>
      <c r="M57" s="389" t="s">
        <v>711</v>
      </c>
      <c r="N57" s="113" t="s">
        <v>377</v>
      </c>
      <c r="O57" s="113" t="s">
        <v>57</v>
      </c>
      <c r="P57" s="397" t="s">
        <v>492</v>
      </c>
      <c r="Q57" s="526" t="s">
        <v>378</v>
      </c>
      <c r="R57" s="532" t="s">
        <v>712</v>
      </c>
      <c r="S57" s="519" t="s">
        <v>713</v>
      </c>
      <c r="T57" s="519"/>
      <c r="U57" s="519" t="s">
        <v>714</v>
      </c>
      <c r="V57" s="522"/>
      <c r="W57" s="522"/>
      <c r="X57" s="522"/>
      <c r="Y57" s="107" t="s">
        <v>315</v>
      </c>
      <c r="Z57" s="107"/>
      <c r="AA57" s="107"/>
      <c r="AB57" s="107"/>
      <c r="AC57" s="107"/>
      <c r="AD57" s="107">
        <v>0</v>
      </c>
      <c r="AE57" s="107"/>
      <c r="AF57" s="107"/>
    </row>
    <row r="58" spans="1:32" ht="30.75">
      <c r="A58" s="27"/>
      <c r="B58" s="56"/>
      <c r="C58" s="40"/>
      <c r="D58" s="497"/>
      <c r="E58" s="444"/>
      <c r="F58" s="100" t="s">
        <v>715</v>
      </c>
      <c r="G58" s="101" t="s">
        <v>716</v>
      </c>
      <c r="H58" s="102" t="s">
        <v>301</v>
      </c>
      <c r="I58" s="102" t="s">
        <v>332</v>
      </c>
      <c r="J58" s="105"/>
      <c r="K58" s="106" t="s">
        <v>717</v>
      </c>
      <c r="L58" s="103" t="str">
        <f t="shared" si="11"/>
        <v>Definir espais fràgils i zones d'especial atenció</v>
      </c>
      <c r="M58" s="389" t="s">
        <v>718</v>
      </c>
      <c r="N58" s="75" t="s">
        <v>377</v>
      </c>
      <c r="O58" s="75" t="s">
        <v>57</v>
      </c>
      <c r="P58" s="397" t="s">
        <v>492</v>
      </c>
      <c r="Q58" s="526" t="s">
        <v>378</v>
      </c>
      <c r="R58" s="532" t="s">
        <v>719</v>
      </c>
      <c r="S58" s="519" t="s">
        <v>720</v>
      </c>
      <c r="T58" s="519"/>
      <c r="U58" s="519"/>
      <c r="V58" s="522"/>
      <c r="W58" s="522"/>
      <c r="X58" s="522"/>
      <c r="Y58" s="107" t="s">
        <v>315</v>
      </c>
      <c r="Z58" s="107"/>
      <c r="AA58" s="107"/>
      <c r="AB58" s="107"/>
      <c r="AC58" s="107"/>
      <c r="AD58" s="107">
        <v>0</v>
      </c>
      <c r="AE58" s="107"/>
      <c r="AF58" s="107"/>
    </row>
    <row r="59" spans="1:32" ht="76.5">
      <c r="A59" s="27"/>
      <c r="B59" s="56"/>
      <c r="C59" s="55"/>
      <c r="D59" s="497" t="s">
        <v>721</v>
      </c>
      <c r="E59" s="444" t="s">
        <v>722</v>
      </c>
      <c r="F59" s="100" t="s">
        <v>723</v>
      </c>
      <c r="G59" s="101" t="s">
        <v>724</v>
      </c>
      <c r="H59" s="102" t="s">
        <v>301</v>
      </c>
      <c r="I59" s="102" t="s">
        <v>332</v>
      </c>
      <c r="J59" s="105" t="s">
        <v>333</v>
      </c>
      <c r="K59" s="106" t="s">
        <v>725</v>
      </c>
      <c r="L59" s="103" t="str">
        <f t="shared" si="11"/>
        <v>Participar en l'elaboració de la cartografia que elabora la UIC</v>
      </c>
      <c r="M59" s="111"/>
      <c r="N59" s="75" t="s">
        <v>366</v>
      </c>
      <c r="O59" s="75" t="s">
        <v>57</v>
      </c>
      <c r="P59" s="397" t="s">
        <v>306</v>
      </c>
      <c r="Q59" s="531" t="s">
        <v>726</v>
      </c>
      <c r="R59" s="518" t="s">
        <v>727</v>
      </c>
      <c r="S59" s="519" t="s">
        <v>728</v>
      </c>
      <c r="T59" s="519"/>
      <c r="U59" s="519" t="s">
        <v>729</v>
      </c>
      <c r="V59" s="519" t="s">
        <v>730</v>
      </c>
      <c r="W59" s="522" t="s">
        <v>655</v>
      </c>
      <c r="X59" s="522" t="s">
        <v>731</v>
      </c>
      <c r="Y59" s="107"/>
      <c r="Z59" s="107" t="s">
        <v>315</v>
      </c>
      <c r="AA59" s="107" t="s">
        <v>315</v>
      </c>
      <c r="AB59" s="107" t="s">
        <v>315</v>
      </c>
      <c r="AC59" s="107" t="s">
        <v>315</v>
      </c>
      <c r="AD59" s="107">
        <v>150</v>
      </c>
      <c r="AE59" s="107"/>
      <c r="AF59" s="107"/>
    </row>
    <row r="60" spans="1:32" ht="76.5">
      <c r="A60" s="57"/>
      <c r="B60" s="56"/>
      <c r="C60" s="55"/>
      <c r="D60" s="497"/>
      <c r="E60" s="444"/>
      <c r="F60" s="100" t="s">
        <v>732</v>
      </c>
      <c r="G60" s="101" t="s">
        <v>733</v>
      </c>
      <c r="H60" s="102" t="s">
        <v>301</v>
      </c>
      <c r="I60" s="102" t="s">
        <v>332</v>
      </c>
      <c r="J60" s="105"/>
      <c r="K60" s="106"/>
      <c r="L60" s="103" t="s">
        <v>734</v>
      </c>
      <c r="M60" s="111"/>
      <c r="N60" s="75" t="s">
        <v>58</v>
      </c>
      <c r="O60" s="75" t="s">
        <v>57</v>
      </c>
      <c r="P60" s="397" t="s">
        <v>320</v>
      </c>
      <c r="Q60" s="531" t="s">
        <v>735</v>
      </c>
      <c r="R60" s="518" t="s">
        <v>736</v>
      </c>
      <c r="S60" s="519" t="s">
        <v>737</v>
      </c>
      <c r="T60" s="519" t="s">
        <v>738</v>
      </c>
      <c r="U60" s="519" t="s">
        <v>739</v>
      </c>
      <c r="V60" s="519" t="s">
        <v>740</v>
      </c>
      <c r="W60" s="522" t="s">
        <v>370</v>
      </c>
      <c r="X60" s="522" t="s">
        <v>371</v>
      </c>
      <c r="Y60" s="107"/>
      <c r="Z60" s="107"/>
      <c r="AA60" s="107"/>
      <c r="AB60" s="107"/>
      <c r="AC60" s="107"/>
      <c r="AD60" s="107">
        <v>100</v>
      </c>
      <c r="AE60" s="107"/>
      <c r="AF60" s="107"/>
    </row>
    <row r="61" spans="1:32" ht="106.5">
      <c r="A61" s="57"/>
      <c r="B61" s="56"/>
      <c r="C61" s="55"/>
      <c r="D61" s="497"/>
      <c r="E61" s="444"/>
      <c r="F61" s="100" t="s">
        <v>741</v>
      </c>
      <c r="G61" s="101" t="s">
        <v>742</v>
      </c>
      <c r="H61" s="102" t="s">
        <v>301</v>
      </c>
      <c r="I61" s="102" t="s">
        <v>332</v>
      </c>
      <c r="J61" s="105" t="s">
        <v>333</v>
      </c>
      <c r="K61" s="106" t="s">
        <v>743</v>
      </c>
      <c r="L61" s="103" t="str">
        <f>G61</f>
        <v>Conèixer els usos i factors de canvi rellevants en l'evolució dels elements de conservació, i avaluar els efectes que generen en l’espai (pressions i amenaces)</v>
      </c>
      <c r="M61" s="111"/>
      <c r="N61" s="75" t="s">
        <v>366</v>
      </c>
      <c r="O61" s="75" t="s">
        <v>57</v>
      </c>
      <c r="P61" s="397" t="s">
        <v>320</v>
      </c>
      <c r="Q61" s="531" t="s">
        <v>744</v>
      </c>
      <c r="R61" s="518" t="s">
        <v>745</v>
      </c>
      <c r="S61" s="519" t="s">
        <v>746</v>
      </c>
      <c r="T61" s="519" t="s">
        <v>747</v>
      </c>
      <c r="U61" s="519" t="s">
        <v>748</v>
      </c>
      <c r="V61" s="519" t="s">
        <v>749</v>
      </c>
      <c r="W61" s="519" t="s">
        <v>750</v>
      </c>
      <c r="X61" s="519" t="s">
        <v>751</v>
      </c>
      <c r="Y61" s="107" t="s">
        <v>315</v>
      </c>
      <c r="Z61" s="107" t="s">
        <v>315</v>
      </c>
      <c r="AA61" s="107" t="s">
        <v>315</v>
      </c>
      <c r="AB61" s="107" t="s">
        <v>315</v>
      </c>
      <c r="AC61" s="107" t="s">
        <v>315</v>
      </c>
      <c r="AD61" s="107">
        <v>100</v>
      </c>
      <c r="AE61" s="107"/>
      <c r="AF61" s="107"/>
    </row>
    <row r="62" spans="1:32" ht="60.75">
      <c r="A62" s="57"/>
      <c r="B62" s="56"/>
      <c r="C62" s="55"/>
      <c r="D62" s="497"/>
      <c r="E62" s="444"/>
      <c r="F62" s="100" t="s">
        <v>752</v>
      </c>
      <c r="G62" s="101" t="s">
        <v>753</v>
      </c>
      <c r="H62" s="102" t="s">
        <v>301</v>
      </c>
      <c r="I62" s="102" t="s">
        <v>483</v>
      </c>
      <c r="J62" s="105"/>
      <c r="K62" s="106"/>
      <c r="L62" s="103" t="str">
        <f>G62</f>
        <v>Conèixer l'impacte de les gestió de l'aigua, sobre la biodiversitat.</v>
      </c>
      <c r="M62" s="111"/>
      <c r="N62" s="75" t="s">
        <v>366</v>
      </c>
      <c r="O62" s="75" t="s">
        <v>57</v>
      </c>
      <c r="P62" s="397" t="s">
        <v>306</v>
      </c>
      <c r="Q62" s="531" t="s">
        <v>754</v>
      </c>
      <c r="R62" s="518" t="s">
        <v>755</v>
      </c>
      <c r="S62" s="522"/>
      <c r="T62" s="519"/>
      <c r="U62" s="519" t="s">
        <v>756</v>
      </c>
      <c r="V62" s="519" t="s">
        <v>757</v>
      </c>
      <c r="W62" s="522" t="s">
        <v>758</v>
      </c>
      <c r="X62" s="522" t="s">
        <v>370</v>
      </c>
      <c r="Y62" s="107"/>
      <c r="Z62" s="107" t="s">
        <v>315</v>
      </c>
      <c r="AA62" s="107" t="s">
        <v>315</v>
      </c>
      <c r="AB62" s="107"/>
      <c r="AC62" s="107"/>
      <c r="AD62" s="385"/>
      <c r="AE62" s="107"/>
      <c r="AF62" s="107"/>
    </row>
    <row r="63" spans="1:32" ht="60.75">
      <c r="A63" s="57"/>
      <c r="B63" s="56"/>
      <c r="C63" s="55"/>
      <c r="D63" s="497"/>
      <c r="E63" s="444"/>
      <c r="F63" s="100" t="s">
        <v>759</v>
      </c>
      <c r="G63" s="101" t="s">
        <v>760</v>
      </c>
      <c r="H63" s="102" t="s">
        <v>301</v>
      </c>
      <c r="I63" s="102" t="s">
        <v>483</v>
      </c>
      <c r="J63" s="105"/>
      <c r="K63" s="106"/>
      <c r="L63" s="103" t="str">
        <f>G63</f>
        <v>Participar en el coneixement de la tendència d'espècies plaga amb afectacions sobre ecosistemes o activitats econòmiques dins l'ENP</v>
      </c>
      <c r="M63" s="111"/>
      <c r="N63" s="75" t="s">
        <v>366</v>
      </c>
      <c r="O63" s="75" t="s">
        <v>57</v>
      </c>
      <c r="P63" s="397" t="s">
        <v>421</v>
      </c>
      <c r="Q63" s="531" t="s">
        <v>761</v>
      </c>
      <c r="R63" s="534" t="s">
        <v>762</v>
      </c>
      <c r="S63" s="520" t="s">
        <v>763</v>
      </c>
      <c r="T63" s="519"/>
      <c r="U63" s="519"/>
      <c r="V63" s="519" t="s">
        <v>764</v>
      </c>
      <c r="W63" s="522" t="s">
        <v>370</v>
      </c>
      <c r="X63" s="522" t="s">
        <v>370</v>
      </c>
      <c r="Y63" s="107"/>
      <c r="Z63" s="107"/>
      <c r="AA63" s="107"/>
      <c r="AB63" s="107" t="s">
        <v>315</v>
      </c>
      <c r="AC63" s="107" t="s">
        <v>315</v>
      </c>
      <c r="AD63" s="107">
        <v>10</v>
      </c>
      <c r="AE63" s="107"/>
      <c r="AF63" s="107"/>
    </row>
    <row r="64" spans="1:32" ht="76.5">
      <c r="A64" s="57"/>
      <c r="B64" s="56"/>
      <c r="C64" s="55"/>
      <c r="D64" s="497"/>
      <c r="E64" s="444"/>
      <c r="F64" s="100" t="s">
        <v>765</v>
      </c>
      <c r="G64" s="101" t="s">
        <v>766</v>
      </c>
      <c r="H64" s="102" t="s">
        <v>301</v>
      </c>
      <c r="I64" s="102" t="s">
        <v>332</v>
      </c>
      <c r="J64" s="105" t="s">
        <v>333</v>
      </c>
      <c r="K64" s="106"/>
      <c r="L64" s="103" t="str">
        <f>G64</f>
        <v>Conèixer la tendència d'espècies exòtiques invasores amb afectacions sobre ecosistemes o activitats econòmiques dins l'ENP</v>
      </c>
      <c r="M64" s="111"/>
      <c r="N64" s="75" t="s">
        <v>58</v>
      </c>
      <c r="O64" s="75" t="s">
        <v>57</v>
      </c>
      <c r="P64" s="397" t="s">
        <v>306</v>
      </c>
      <c r="Q64" s="531" t="s">
        <v>767</v>
      </c>
      <c r="R64" s="518" t="s">
        <v>768</v>
      </c>
      <c r="S64" s="522"/>
      <c r="T64" s="519"/>
      <c r="U64" s="519"/>
      <c r="V64" s="519" t="s">
        <v>769</v>
      </c>
      <c r="W64" s="522" t="s">
        <v>371</v>
      </c>
      <c r="X64" s="522" t="s">
        <v>655</v>
      </c>
      <c r="Y64" s="107" t="s">
        <v>315</v>
      </c>
      <c r="Z64" s="107" t="s">
        <v>315</v>
      </c>
      <c r="AA64" s="107" t="s">
        <v>315</v>
      </c>
      <c r="AB64" s="107" t="s">
        <v>315</v>
      </c>
      <c r="AC64" s="107" t="s">
        <v>315</v>
      </c>
      <c r="AD64" s="107">
        <v>50</v>
      </c>
      <c r="AE64" s="107"/>
      <c r="AF64" s="107"/>
    </row>
    <row r="65" spans="1:32" ht="45.75">
      <c r="A65" s="57"/>
      <c r="B65" s="56"/>
      <c r="C65" s="55"/>
      <c r="D65" s="497"/>
      <c r="E65" s="444"/>
      <c r="F65" s="100" t="s">
        <v>770</v>
      </c>
      <c r="G65" s="101" t="s">
        <v>771</v>
      </c>
      <c r="H65" s="102" t="s">
        <v>301</v>
      </c>
      <c r="I65" s="102" t="s">
        <v>483</v>
      </c>
      <c r="J65" s="105" t="s">
        <v>333</v>
      </c>
      <c r="K65" s="106"/>
      <c r="L65" s="103" t="str">
        <f>G65</f>
        <v>Coneixer com millorar la connectivitat de forma coordinada amb altres ENP</v>
      </c>
      <c r="M65" s="380" t="s">
        <v>772</v>
      </c>
      <c r="N65" s="75"/>
      <c r="O65" s="75" t="s">
        <v>81</v>
      </c>
      <c r="P65" s="397" t="s">
        <v>773</v>
      </c>
      <c r="Q65" s="527" t="s">
        <v>774</v>
      </c>
      <c r="R65" s="528" t="s">
        <v>775</v>
      </c>
      <c r="S65" s="522"/>
      <c r="T65" s="519"/>
      <c r="U65" s="519"/>
      <c r="V65" s="519"/>
      <c r="W65" s="522"/>
      <c r="X65" s="522"/>
      <c r="Y65" s="107"/>
      <c r="Z65" s="107"/>
      <c r="AA65" s="107"/>
      <c r="AB65" s="107"/>
      <c r="AC65" s="107"/>
      <c r="AD65" s="107">
        <v>0</v>
      </c>
      <c r="AE65" s="107"/>
      <c r="AF65" s="107"/>
    </row>
    <row r="66" spans="1:32" ht="45.75">
      <c r="A66" s="57"/>
      <c r="B66" s="56"/>
      <c r="C66" s="55"/>
      <c r="D66" s="497" t="s">
        <v>776</v>
      </c>
      <c r="E66" s="444" t="s">
        <v>777</v>
      </c>
      <c r="F66" s="100" t="s">
        <v>778</v>
      </c>
      <c r="G66" s="101" t="s">
        <v>779</v>
      </c>
      <c r="H66" s="102" t="s">
        <v>301</v>
      </c>
      <c r="I66" s="102" t="s">
        <v>332</v>
      </c>
      <c r="J66" s="105" t="s">
        <v>333</v>
      </c>
      <c r="K66" s="106" t="s">
        <v>780</v>
      </c>
      <c r="L66" s="103" t="str">
        <f>G66</f>
        <v>Participar en la definició del sistema estàndard de seguiment de flora, fauna i hàbitats de la DG</v>
      </c>
      <c r="M66" s="111"/>
      <c r="N66" s="75" t="s">
        <v>58</v>
      </c>
      <c r="O66" s="75" t="s">
        <v>57</v>
      </c>
      <c r="P66" s="397" t="s">
        <v>306</v>
      </c>
      <c r="Q66" s="531" t="s">
        <v>781</v>
      </c>
      <c r="R66" s="518" t="s">
        <v>782</v>
      </c>
      <c r="S66" s="522"/>
      <c r="T66" s="519"/>
      <c r="U66" s="519"/>
      <c r="V66" s="519" t="s">
        <v>764</v>
      </c>
      <c r="W66" s="522" t="s">
        <v>370</v>
      </c>
      <c r="X66" s="522" t="s">
        <v>370</v>
      </c>
      <c r="Y66" s="107"/>
      <c r="Z66" s="107"/>
      <c r="AA66" s="107" t="s">
        <v>315</v>
      </c>
      <c r="AB66" s="107" t="s">
        <v>315</v>
      </c>
      <c r="AC66" s="107" t="s">
        <v>315</v>
      </c>
      <c r="AD66" s="107">
        <v>100</v>
      </c>
      <c r="AE66" s="107"/>
      <c r="AF66" s="107"/>
    </row>
    <row r="67" spans="1:32" ht="229.5">
      <c r="A67" s="57"/>
      <c r="B67" s="56"/>
      <c r="C67" s="55"/>
      <c r="D67" s="497"/>
      <c r="E67" s="444"/>
      <c r="F67" s="100" t="s">
        <v>783</v>
      </c>
      <c r="G67" s="101" t="s">
        <v>784</v>
      </c>
      <c r="H67" s="102" t="s">
        <v>301</v>
      </c>
      <c r="I67" s="102" t="s">
        <v>332</v>
      </c>
      <c r="J67" s="105" t="s">
        <v>333</v>
      </c>
      <c r="K67" s="106" t="s">
        <v>785</v>
      </c>
      <c r="L67" s="103" t="str">
        <f>G67</f>
        <v>Adequar i executar el sistema de seguiment periòdic dels grups clau de l'ENP al sistema estàndard de seguiment</v>
      </c>
      <c r="M67" s="111"/>
      <c r="N67" s="75" t="s">
        <v>58</v>
      </c>
      <c r="O67" s="75" t="s">
        <v>57</v>
      </c>
      <c r="P67" s="397" t="s">
        <v>492</v>
      </c>
      <c r="Q67" s="535" t="s">
        <v>786</v>
      </c>
      <c r="R67" s="518" t="s">
        <v>787</v>
      </c>
      <c r="S67" s="519" t="s">
        <v>788</v>
      </c>
      <c r="T67" s="519"/>
      <c r="U67" s="519" t="s">
        <v>789</v>
      </c>
      <c r="V67" s="519" t="s">
        <v>790</v>
      </c>
      <c r="W67" s="522" t="s">
        <v>398</v>
      </c>
      <c r="X67" s="522" t="s">
        <v>791</v>
      </c>
      <c r="Y67" s="107" t="s">
        <v>315</v>
      </c>
      <c r="Z67" s="107" t="s">
        <v>315</v>
      </c>
      <c r="AA67" s="107" t="s">
        <v>315</v>
      </c>
      <c r="AB67" s="107" t="s">
        <v>315</v>
      </c>
      <c r="AC67" s="107" t="s">
        <v>315</v>
      </c>
      <c r="AD67" s="107">
        <v>1100</v>
      </c>
      <c r="AE67" s="107"/>
      <c r="AF67" s="107"/>
    </row>
    <row r="68" spans="1:32" ht="121.5">
      <c r="A68" s="57"/>
      <c r="B68" s="56"/>
      <c r="C68" s="55"/>
      <c r="D68" s="497"/>
      <c r="E68" s="444"/>
      <c r="F68" s="100" t="s">
        <v>792</v>
      </c>
      <c r="G68" s="101" t="s">
        <v>793</v>
      </c>
      <c r="H68" s="102" t="s">
        <v>301</v>
      </c>
      <c r="I68" s="102" t="s">
        <v>332</v>
      </c>
      <c r="J68" s="105"/>
      <c r="K68" s="106"/>
      <c r="L68" s="103" t="str">
        <f>G68</f>
        <v xml:space="preserve">Mantenir una base de dades de seguiment de patrimoni natural de l'ENP actualitzada i ordenada </v>
      </c>
      <c r="M68" s="111"/>
      <c r="N68" s="75" t="s">
        <v>366</v>
      </c>
      <c r="O68" s="75" t="s">
        <v>57</v>
      </c>
      <c r="P68" s="397" t="s">
        <v>320</v>
      </c>
      <c r="Q68" s="531" t="s">
        <v>794</v>
      </c>
      <c r="R68" s="528" t="s">
        <v>795</v>
      </c>
      <c r="S68" s="522"/>
      <c r="T68" s="519"/>
      <c r="U68" s="519"/>
      <c r="V68" s="519" t="s">
        <v>796</v>
      </c>
      <c r="W68" s="522" t="s">
        <v>398</v>
      </c>
      <c r="X68" s="522" t="s">
        <v>797</v>
      </c>
      <c r="Y68" s="107"/>
      <c r="Z68" s="107"/>
      <c r="AA68" s="107"/>
      <c r="AB68" s="107"/>
      <c r="AC68" s="107"/>
      <c r="AD68" s="107">
        <v>200</v>
      </c>
      <c r="AE68" s="107"/>
      <c r="AF68" s="107"/>
    </row>
    <row r="69" spans="1:32" ht="60.75">
      <c r="A69" s="57"/>
      <c r="B69" s="56"/>
      <c r="C69" s="55"/>
      <c r="D69" s="497"/>
      <c r="E69" s="444"/>
      <c r="F69" s="100" t="s">
        <v>798</v>
      </c>
      <c r="G69" s="101" t="s">
        <v>799</v>
      </c>
      <c r="H69" s="102" t="s">
        <v>301</v>
      </c>
      <c r="I69" s="102" t="s">
        <v>332</v>
      </c>
      <c r="J69" s="105"/>
      <c r="K69" s="106" t="s">
        <v>800</v>
      </c>
      <c r="L69" s="103" t="s">
        <v>799</v>
      </c>
      <c r="M69" s="111"/>
      <c r="N69" s="108" t="s">
        <v>58</v>
      </c>
      <c r="O69" s="108" t="s">
        <v>57</v>
      </c>
      <c r="P69" s="397" t="s">
        <v>306</v>
      </c>
      <c r="Q69" s="517" t="s">
        <v>801</v>
      </c>
      <c r="R69" s="518" t="s">
        <v>802</v>
      </c>
      <c r="S69" s="522"/>
      <c r="T69" s="519"/>
      <c r="U69" s="519"/>
      <c r="V69" s="519" t="s">
        <v>803</v>
      </c>
      <c r="W69" s="522" t="s">
        <v>804</v>
      </c>
      <c r="X69" s="522" t="s">
        <v>805</v>
      </c>
      <c r="Y69" s="107"/>
      <c r="Z69" s="107" t="s">
        <v>315</v>
      </c>
      <c r="AA69" s="107" t="s">
        <v>315</v>
      </c>
      <c r="AB69" s="107" t="s">
        <v>315</v>
      </c>
      <c r="AC69" s="107" t="s">
        <v>315</v>
      </c>
      <c r="AD69" s="107">
        <v>200</v>
      </c>
      <c r="AE69" s="107"/>
      <c r="AF69" s="107"/>
    </row>
    <row r="70" spans="1:32" ht="60.75">
      <c r="A70" s="57"/>
      <c r="B70" s="56"/>
      <c r="C70" s="55"/>
      <c r="D70" s="497" t="s">
        <v>806</v>
      </c>
      <c r="E70" s="444" t="s">
        <v>807</v>
      </c>
      <c r="F70" s="100" t="s">
        <v>808</v>
      </c>
      <c r="G70" s="101" t="s">
        <v>809</v>
      </c>
      <c r="H70" s="102" t="s">
        <v>301</v>
      </c>
      <c r="I70" s="102" t="s">
        <v>483</v>
      </c>
      <c r="J70" s="105"/>
      <c r="K70" s="106" t="s">
        <v>810</v>
      </c>
      <c r="L70" s="103" t="str">
        <f>G70</f>
        <v>Crear sinèrgies i col·laborar amb museus i equipaments de referència per definir línies d'actuació conjunta entre patrimoni cultural i natural</v>
      </c>
      <c r="M70" s="111"/>
      <c r="N70" s="75" t="s">
        <v>58</v>
      </c>
      <c r="O70" s="75" t="s">
        <v>57</v>
      </c>
      <c r="P70" s="397" t="s">
        <v>320</v>
      </c>
      <c r="Q70" s="517" t="s">
        <v>811</v>
      </c>
      <c r="R70" s="518" t="s">
        <v>812</v>
      </c>
      <c r="S70" s="522"/>
      <c r="T70" s="519"/>
      <c r="U70" s="519" t="s">
        <v>813</v>
      </c>
      <c r="V70" s="519" t="s">
        <v>814</v>
      </c>
      <c r="W70" s="522" t="s">
        <v>370</v>
      </c>
      <c r="X70" s="522" t="s">
        <v>398</v>
      </c>
      <c r="Y70" s="107"/>
      <c r="Z70" s="107"/>
      <c r="AA70" s="107"/>
      <c r="AB70" s="107" t="s">
        <v>315</v>
      </c>
      <c r="AC70" s="107" t="s">
        <v>315</v>
      </c>
      <c r="AD70" s="107">
        <v>50</v>
      </c>
      <c r="AE70" s="107"/>
      <c r="AF70" s="107"/>
    </row>
    <row r="71" spans="1:32" ht="137.25">
      <c r="A71" s="57"/>
      <c r="B71" s="56"/>
      <c r="C71" s="55"/>
      <c r="D71" s="497"/>
      <c r="E71" s="444"/>
      <c r="F71" s="100" t="s">
        <v>815</v>
      </c>
      <c r="G71" s="101" t="s">
        <v>816</v>
      </c>
      <c r="H71" s="102" t="s">
        <v>301</v>
      </c>
      <c r="I71" s="102" t="s">
        <v>483</v>
      </c>
      <c r="J71" s="105"/>
      <c r="K71" s="106" t="s">
        <v>817</v>
      </c>
      <c r="L71" s="103" t="str">
        <f>G71</f>
        <v>Establir acords amb les institucions de recerca i naturalistes per al desenvolupament d'estudis i inventaris dins l'ENP en el marc de les seves línies de recerca</v>
      </c>
      <c r="M71" s="111"/>
      <c r="N71" s="75" t="s">
        <v>58</v>
      </c>
      <c r="O71" s="75" t="s">
        <v>57</v>
      </c>
      <c r="P71" s="397" t="s">
        <v>320</v>
      </c>
      <c r="Q71" s="517" t="s">
        <v>818</v>
      </c>
      <c r="R71" s="518" t="s">
        <v>819</v>
      </c>
      <c r="S71" s="522"/>
      <c r="T71" s="519" t="s">
        <v>820</v>
      </c>
      <c r="U71" s="519"/>
      <c r="V71" s="519" t="s">
        <v>821</v>
      </c>
      <c r="W71" s="522" t="s">
        <v>370</v>
      </c>
      <c r="X71" s="522" t="s">
        <v>398</v>
      </c>
      <c r="Y71" s="107" t="s">
        <v>315</v>
      </c>
      <c r="Z71" s="107" t="s">
        <v>315</v>
      </c>
      <c r="AA71" s="107" t="s">
        <v>315</v>
      </c>
      <c r="AB71" s="107" t="s">
        <v>315</v>
      </c>
      <c r="AC71" s="107" t="s">
        <v>315</v>
      </c>
      <c r="AD71" s="107">
        <v>300</v>
      </c>
      <c r="AE71" s="107"/>
      <c r="AF71" s="107"/>
    </row>
    <row r="72" spans="1:32" ht="91.5">
      <c r="A72" s="57"/>
      <c r="B72" s="56"/>
      <c r="C72" s="55"/>
      <c r="D72" s="497"/>
      <c r="E72" s="444"/>
      <c r="F72" s="100" t="s">
        <v>822</v>
      </c>
      <c r="G72" s="101" t="s">
        <v>823</v>
      </c>
      <c r="H72" s="102" t="s">
        <v>301</v>
      </c>
      <c r="I72" s="102" t="s">
        <v>483</v>
      </c>
      <c r="J72" s="105"/>
      <c r="K72" s="106"/>
      <c r="L72" s="103" t="str">
        <f>G72</f>
        <v xml:space="preserve">Potenciar la ciència ciutadana en l’ENP com a eina per generar coneixement </v>
      </c>
      <c r="M72" s="111"/>
      <c r="N72" s="75" t="s">
        <v>58</v>
      </c>
      <c r="O72" s="75" t="s">
        <v>57</v>
      </c>
      <c r="P72" s="397" t="s">
        <v>421</v>
      </c>
      <c r="Q72" s="517" t="s">
        <v>824</v>
      </c>
      <c r="R72" s="518" t="s">
        <v>825</v>
      </c>
      <c r="S72" s="522"/>
      <c r="T72" s="519"/>
      <c r="U72" s="519"/>
      <c r="V72" s="519" t="s">
        <v>826</v>
      </c>
      <c r="W72" s="522" t="s">
        <v>370</v>
      </c>
      <c r="X72" s="522" t="s">
        <v>398</v>
      </c>
      <c r="Y72" s="107"/>
      <c r="Z72" s="107"/>
      <c r="AA72" s="107"/>
      <c r="AB72" s="107" t="s">
        <v>315</v>
      </c>
      <c r="AC72" s="107" t="s">
        <v>315</v>
      </c>
      <c r="AD72" s="107">
        <v>50</v>
      </c>
      <c r="AE72" s="107"/>
      <c r="AF72" s="107"/>
    </row>
    <row r="73" spans="1:32" ht="60.75">
      <c r="A73" s="57"/>
      <c r="B73" s="56"/>
      <c r="C73" s="55"/>
      <c r="D73" s="497"/>
      <c r="E73" s="444"/>
      <c r="F73" s="100" t="s">
        <v>827</v>
      </c>
      <c r="G73" s="101" t="s">
        <v>828</v>
      </c>
      <c r="H73" s="102" t="s">
        <v>301</v>
      </c>
      <c r="I73" s="102" t="s">
        <v>483</v>
      </c>
      <c r="J73" s="105"/>
      <c r="K73" s="106" t="s">
        <v>829</v>
      </c>
      <c r="L73" s="103" t="str">
        <f>G73</f>
        <v xml:space="preserve">Crear i desenvolupar jornades de recerca de l'ENP de forma anual on els diferents centres mostrin els estudis realizats en l'ENP </v>
      </c>
      <c r="M73" s="380" t="s">
        <v>535</v>
      </c>
      <c r="N73" s="75"/>
      <c r="O73" s="75" t="s">
        <v>57</v>
      </c>
      <c r="P73" s="397" t="s">
        <v>773</v>
      </c>
      <c r="Q73" s="527" t="s">
        <v>774</v>
      </c>
      <c r="R73" s="536" t="s">
        <v>830</v>
      </c>
      <c r="S73" s="522"/>
      <c r="T73" s="519"/>
      <c r="U73" s="519"/>
      <c r="V73" s="519"/>
      <c r="W73" s="522"/>
      <c r="X73" s="522"/>
      <c r="Y73" s="107"/>
      <c r="Z73" s="107"/>
      <c r="AA73" s="107"/>
      <c r="AB73" s="107"/>
      <c r="AC73" s="107"/>
      <c r="AD73" s="107">
        <v>0</v>
      </c>
      <c r="AE73" s="107"/>
      <c r="AF73" s="107"/>
    </row>
    <row r="74" spans="1:32" ht="60.75">
      <c r="A74" s="57"/>
      <c r="B74" s="56"/>
      <c r="C74" s="55"/>
      <c r="D74" s="497"/>
      <c r="E74" s="444"/>
      <c r="F74" s="100" t="s">
        <v>831</v>
      </c>
      <c r="G74" s="101" t="s">
        <v>832</v>
      </c>
      <c r="H74" s="102" t="s">
        <v>301</v>
      </c>
      <c r="I74" s="102" t="s">
        <v>483</v>
      </c>
      <c r="J74" s="105" t="s">
        <v>333</v>
      </c>
      <c r="K74" s="106"/>
      <c r="L74" s="103" t="str">
        <f t="shared" ref="L74:L76" si="12">G74</f>
        <v>Posar a disposició de la recerca, equipaments i serveis de l'ENP</v>
      </c>
      <c r="M74" s="111"/>
      <c r="N74" s="75" t="s">
        <v>58</v>
      </c>
      <c r="O74" s="75" t="s">
        <v>81</v>
      </c>
      <c r="P74" s="397" t="s">
        <v>320</v>
      </c>
      <c r="Q74" s="531" t="s">
        <v>833</v>
      </c>
      <c r="R74" s="518" t="s">
        <v>834</v>
      </c>
      <c r="S74" s="537"/>
      <c r="T74" s="519"/>
      <c r="U74" s="519"/>
      <c r="V74" s="519" t="s">
        <v>835</v>
      </c>
      <c r="W74" s="522" t="s">
        <v>370</v>
      </c>
      <c r="X74" s="522" t="s">
        <v>398</v>
      </c>
      <c r="Y74" s="107" t="s">
        <v>315</v>
      </c>
      <c r="Z74" s="107" t="s">
        <v>315</v>
      </c>
      <c r="AA74" s="107" t="s">
        <v>315</v>
      </c>
      <c r="AB74" s="107" t="s">
        <v>315</v>
      </c>
      <c r="AC74" s="107" t="s">
        <v>315</v>
      </c>
      <c r="AD74" s="383">
        <v>0</v>
      </c>
      <c r="AE74" s="107"/>
      <c r="AF74" s="107"/>
    </row>
    <row r="75" spans="1:32" ht="65.099999999999994" customHeight="1">
      <c r="A75" s="57"/>
      <c r="B75" s="56"/>
      <c r="C75" s="55"/>
      <c r="D75" s="497"/>
      <c r="E75" s="444"/>
      <c r="F75" s="100" t="s">
        <v>836</v>
      </c>
      <c r="G75" s="101" t="s">
        <v>837</v>
      </c>
      <c r="H75" s="102" t="s">
        <v>301</v>
      </c>
      <c r="I75" s="102" t="s">
        <v>483</v>
      </c>
      <c r="J75" s="105"/>
      <c r="K75" s="106" t="s">
        <v>838</v>
      </c>
      <c r="L75" s="103" t="str">
        <f t="shared" si="12"/>
        <v xml:space="preserve">Crear l'Observatori de recerca de l'ENP vinculat a l'Observatori del Patrimoni natural i la biodiversitat </v>
      </c>
      <c r="M75" s="111"/>
      <c r="N75" s="75" t="s">
        <v>366</v>
      </c>
      <c r="O75" s="75" t="s">
        <v>57</v>
      </c>
      <c r="P75" s="397" t="s">
        <v>421</v>
      </c>
      <c r="Q75" s="517" t="s">
        <v>839</v>
      </c>
      <c r="R75" s="536" t="s">
        <v>830</v>
      </c>
      <c r="S75" s="537"/>
      <c r="T75" s="519"/>
      <c r="U75" s="519"/>
      <c r="V75" s="519" t="s">
        <v>840</v>
      </c>
      <c r="W75" s="522" t="s">
        <v>841</v>
      </c>
      <c r="X75" s="522" t="s">
        <v>842</v>
      </c>
      <c r="Y75" s="107"/>
      <c r="Z75" s="107" t="s">
        <v>315</v>
      </c>
      <c r="AA75" s="107" t="s">
        <v>315</v>
      </c>
      <c r="AB75" s="107" t="s">
        <v>315</v>
      </c>
      <c r="AC75" s="107" t="s">
        <v>315</v>
      </c>
      <c r="AD75" s="388">
        <v>200</v>
      </c>
      <c r="AE75" s="107"/>
      <c r="AF75" s="107"/>
    </row>
    <row r="76" spans="1:32" ht="60.75">
      <c r="A76" s="57"/>
      <c r="B76" s="56"/>
      <c r="C76" s="55"/>
      <c r="D76" s="497" t="s">
        <v>843</v>
      </c>
      <c r="E76" s="444" t="s">
        <v>844</v>
      </c>
      <c r="F76" s="100" t="s">
        <v>845</v>
      </c>
      <c r="G76" s="101" t="s">
        <v>846</v>
      </c>
      <c r="H76" s="102" t="s">
        <v>301</v>
      </c>
      <c r="I76" s="102" t="s">
        <v>332</v>
      </c>
      <c r="J76" s="105"/>
      <c r="K76" s="106" t="s">
        <v>847</v>
      </c>
      <c r="L76" s="103" t="str">
        <f t="shared" si="12"/>
        <v>Participar en la definició del sistema estándard de seguiment de l'ús públic amb el SENP</v>
      </c>
      <c r="M76" s="111"/>
      <c r="N76" s="75" t="s">
        <v>58</v>
      </c>
      <c r="O76" s="75" t="s">
        <v>57</v>
      </c>
      <c r="P76" s="397" t="s">
        <v>320</v>
      </c>
      <c r="Q76" s="517" t="s">
        <v>848</v>
      </c>
      <c r="R76" s="518" t="s">
        <v>849</v>
      </c>
      <c r="S76" s="537"/>
      <c r="T76" s="519"/>
      <c r="U76" s="519"/>
      <c r="V76" s="519" t="s">
        <v>850</v>
      </c>
      <c r="W76" s="522" t="s">
        <v>841</v>
      </c>
      <c r="X76" s="522" t="s">
        <v>842</v>
      </c>
      <c r="Y76" s="107"/>
      <c r="Z76" s="107" t="s">
        <v>315</v>
      </c>
      <c r="AA76" s="107"/>
      <c r="AB76" s="107"/>
      <c r="AC76" s="107" t="s">
        <v>315</v>
      </c>
      <c r="AD76" s="107">
        <v>20</v>
      </c>
      <c r="AE76" s="107"/>
      <c r="AF76" s="107"/>
    </row>
    <row r="77" spans="1:32" ht="60.75">
      <c r="A77" s="57"/>
      <c r="B77" s="56"/>
      <c r="C77" s="55"/>
      <c r="D77" s="497"/>
      <c r="E77" s="444"/>
      <c r="F77" s="100" t="s">
        <v>851</v>
      </c>
      <c r="G77" s="101" t="s">
        <v>852</v>
      </c>
      <c r="H77" s="102" t="s">
        <v>301</v>
      </c>
      <c r="I77" s="102" t="s">
        <v>332</v>
      </c>
      <c r="J77" s="105"/>
      <c r="K77" s="106" t="s">
        <v>853</v>
      </c>
      <c r="L77" s="103" t="str">
        <f>G77</f>
        <v xml:space="preserve">Disposar de dades de freqüentació i perfil d'usuari en l'ENP i en especial en equipaments i en zones d'alta freqüentació segons el model de DG </v>
      </c>
      <c r="M77" s="111"/>
      <c r="N77" s="75" t="s">
        <v>58</v>
      </c>
      <c r="O77" s="75" t="s">
        <v>57</v>
      </c>
      <c r="P77" s="397" t="s">
        <v>492</v>
      </c>
      <c r="Q77" s="517" t="s">
        <v>854</v>
      </c>
      <c r="R77" s="518" t="s">
        <v>855</v>
      </c>
      <c r="S77" s="537"/>
      <c r="T77" s="519" t="s">
        <v>856</v>
      </c>
      <c r="U77" s="519" t="s">
        <v>857</v>
      </c>
      <c r="V77" s="519" t="s">
        <v>858</v>
      </c>
      <c r="W77" s="522" t="s">
        <v>370</v>
      </c>
      <c r="X77" s="522" t="s">
        <v>398</v>
      </c>
      <c r="Y77" s="107" t="s">
        <v>315</v>
      </c>
      <c r="Z77" s="107" t="s">
        <v>315</v>
      </c>
      <c r="AA77" s="107" t="s">
        <v>315</v>
      </c>
      <c r="AB77" s="107" t="s">
        <v>315</v>
      </c>
      <c r="AC77" s="107" t="s">
        <v>315</v>
      </c>
      <c r="AD77" s="107">
        <v>200</v>
      </c>
      <c r="AE77" s="107"/>
      <c r="AF77" s="107"/>
    </row>
    <row r="78" spans="1:32" ht="60.75">
      <c r="A78" s="57"/>
      <c r="B78" s="56"/>
      <c r="C78" s="55"/>
      <c r="D78" s="497"/>
      <c r="E78" s="444"/>
      <c r="F78" s="100" t="s">
        <v>859</v>
      </c>
      <c r="G78" s="101" t="s">
        <v>860</v>
      </c>
      <c r="H78" s="102" t="s">
        <v>301</v>
      </c>
      <c r="I78" s="102" t="s">
        <v>332</v>
      </c>
      <c r="J78" s="105"/>
      <c r="K78" s="106"/>
      <c r="L78" s="103" t="str">
        <f t="shared" ref="L78:L80" si="13">G78</f>
        <v>Identificar les activitats i actors de l’espai.</v>
      </c>
      <c r="M78" s="111"/>
      <c r="N78" s="75" t="s">
        <v>58</v>
      </c>
      <c r="O78" s="75" t="s">
        <v>81</v>
      </c>
      <c r="P78" s="397" t="s">
        <v>320</v>
      </c>
      <c r="Q78" s="517" t="s">
        <v>861</v>
      </c>
      <c r="R78" s="518" t="s">
        <v>862</v>
      </c>
      <c r="S78" s="537"/>
      <c r="T78" s="519"/>
      <c r="U78" s="519"/>
      <c r="V78" s="519" t="s">
        <v>863</v>
      </c>
      <c r="W78" s="522" t="s">
        <v>370</v>
      </c>
      <c r="X78" s="522" t="s">
        <v>370</v>
      </c>
      <c r="Y78" s="107" t="s">
        <v>315</v>
      </c>
      <c r="Z78" s="107"/>
      <c r="AA78" s="107"/>
      <c r="AB78" s="107"/>
      <c r="AC78" s="107" t="s">
        <v>315</v>
      </c>
      <c r="AD78" s="107">
        <v>50</v>
      </c>
      <c r="AE78" s="107"/>
      <c r="AF78" s="107"/>
    </row>
    <row r="79" spans="1:32" ht="60.75">
      <c r="A79" s="57"/>
      <c r="B79" s="56"/>
      <c r="C79" s="55"/>
      <c r="D79" s="497"/>
      <c r="E79" s="444"/>
      <c r="F79" s="100" t="s">
        <v>864</v>
      </c>
      <c r="G79" s="101" t="s">
        <v>865</v>
      </c>
      <c r="H79" s="102"/>
      <c r="I79" s="102"/>
      <c r="J79" s="105"/>
      <c r="K79" s="106"/>
      <c r="L79" s="103" t="str">
        <f t="shared" si="13"/>
        <v>Identificar en cartografia les males praxis i punts de massificació</v>
      </c>
      <c r="M79" s="111"/>
      <c r="N79" s="75" t="s">
        <v>58</v>
      </c>
      <c r="O79" s="75" t="s">
        <v>81</v>
      </c>
      <c r="P79" s="397" t="s">
        <v>320</v>
      </c>
      <c r="Q79" s="517" t="s">
        <v>866</v>
      </c>
      <c r="R79" s="518" t="s">
        <v>867</v>
      </c>
      <c r="S79" s="537"/>
      <c r="T79" s="519"/>
      <c r="U79" s="519"/>
      <c r="V79" s="519" t="s">
        <v>868</v>
      </c>
      <c r="W79" s="522" t="s">
        <v>370</v>
      </c>
      <c r="X79" s="522" t="s">
        <v>370</v>
      </c>
      <c r="Y79" s="107" t="s">
        <v>315</v>
      </c>
      <c r="Z79" s="107"/>
      <c r="AA79" s="107"/>
      <c r="AB79" s="107"/>
      <c r="AC79" s="107" t="s">
        <v>315</v>
      </c>
      <c r="AD79" s="107">
        <v>50</v>
      </c>
      <c r="AE79" s="107"/>
      <c r="AF79" s="107"/>
    </row>
    <row r="80" spans="1:32" ht="60.75">
      <c r="A80" s="57"/>
      <c r="B80" s="56"/>
      <c r="C80" s="55"/>
      <c r="D80" s="497"/>
      <c r="E80" s="444"/>
      <c r="F80" s="100" t="s">
        <v>869</v>
      </c>
      <c r="G80" s="101" t="s">
        <v>870</v>
      </c>
      <c r="H80" s="102" t="s">
        <v>301</v>
      </c>
      <c r="I80" s="102" t="s">
        <v>332</v>
      </c>
      <c r="J80" s="105"/>
      <c r="K80" s="106" t="s">
        <v>871</v>
      </c>
      <c r="L80" s="103" t="str">
        <f t="shared" si="13"/>
        <v>Adaptar i mantenir un registre d'activitats, actors i inciències en ús públic (curses, conflictes, queixes, etc)</v>
      </c>
      <c r="M80" s="111"/>
      <c r="N80" s="75" t="s">
        <v>58</v>
      </c>
      <c r="O80" s="75" t="s">
        <v>81</v>
      </c>
      <c r="P80" s="397" t="s">
        <v>320</v>
      </c>
      <c r="Q80" s="517" t="s">
        <v>872</v>
      </c>
      <c r="R80" s="518" t="s">
        <v>873</v>
      </c>
      <c r="S80" s="537"/>
      <c r="T80" s="519"/>
      <c r="U80" s="519"/>
      <c r="V80" s="519" t="s">
        <v>874</v>
      </c>
      <c r="W80" s="522" t="s">
        <v>370</v>
      </c>
      <c r="X80" s="522" t="s">
        <v>370</v>
      </c>
      <c r="Y80" s="107" t="s">
        <v>315</v>
      </c>
      <c r="Z80" s="107" t="s">
        <v>315</v>
      </c>
      <c r="AA80" s="107" t="s">
        <v>315</v>
      </c>
      <c r="AB80" s="107" t="s">
        <v>315</v>
      </c>
      <c r="AC80" s="107" t="s">
        <v>315</v>
      </c>
      <c r="AD80" s="107">
        <v>20</v>
      </c>
      <c r="AE80" s="107"/>
      <c r="AF80" s="107"/>
    </row>
    <row r="81" spans="1:32" ht="76.5">
      <c r="A81" s="57"/>
      <c r="B81" s="56"/>
      <c r="C81" s="55"/>
      <c r="D81" s="497"/>
      <c r="E81" s="444"/>
      <c r="F81" s="100" t="s">
        <v>875</v>
      </c>
      <c r="G81" s="101" t="s">
        <v>876</v>
      </c>
      <c r="H81" s="102" t="s">
        <v>301</v>
      </c>
      <c r="I81" s="102" t="s">
        <v>332</v>
      </c>
      <c r="J81" s="105" t="s">
        <v>333</v>
      </c>
      <c r="K81" s="106"/>
      <c r="L81" s="103" t="str">
        <f>G81</f>
        <v>Identificar els impactes (positius i negatius) que generen les activitats d'ús públic dins l'ENP</v>
      </c>
      <c r="M81" s="111"/>
      <c r="N81" s="75" t="s">
        <v>58</v>
      </c>
      <c r="O81" s="75" t="s">
        <v>81</v>
      </c>
      <c r="P81" s="397" t="s">
        <v>320</v>
      </c>
      <c r="Q81" s="517" t="s">
        <v>877</v>
      </c>
      <c r="R81" s="518" t="s">
        <v>878</v>
      </c>
      <c r="S81" s="537"/>
      <c r="T81" s="519"/>
      <c r="U81" s="519" t="s">
        <v>879</v>
      </c>
      <c r="V81" s="519" t="s">
        <v>880</v>
      </c>
      <c r="W81" s="522" t="s">
        <v>370</v>
      </c>
      <c r="X81" s="522" t="s">
        <v>370</v>
      </c>
      <c r="Y81" s="107" t="s">
        <v>315</v>
      </c>
      <c r="Z81" s="107"/>
      <c r="AA81" s="107" t="s">
        <v>315</v>
      </c>
      <c r="AB81" s="107"/>
      <c r="AC81" s="107" t="s">
        <v>315</v>
      </c>
      <c r="AD81" s="107">
        <v>50</v>
      </c>
      <c r="AE81" s="107"/>
      <c r="AF81" s="107"/>
    </row>
    <row r="82" spans="1:32" ht="91.5">
      <c r="A82" s="28" t="s">
        <v>881</v>
      </c>
      <c r="B82" s="38">
        <v>7</v>
      </c>
      <c r="C82" s="39" t="s">
        <v>882</v>
      </c>
      <c r="D82" s="15" t="s">
        <v>883</v>
      </c>
      <c r="E82" s="89" t="s">
        <v>884</v>
      </c>
      <c r="F82" s="100" t="s">
        <v>885</v>
      </c>
      <c r="G82" s="101" t="s">
        <v>886</v>
      </c>
      <c r="H82" s="102" t="s">
        <v>301</v>
      </c>
      <c r="I82" s="102" t="s">
        <v>302</v>
      </c>
      <c r="J82" s="105"/>
      <c r="K82" s="106"/>
      <c r="L82" s="103" t="str">
        <f>G82</f>
        <v xml:space="preserve">Promoure i col·laborar en l'aplicació de Plans de Desenvolupament Local Sostenible </v>
      </c>
      <c r="M82" s="111"/>
      <c r="N82" s="75" t="s">
        <v>366</v>
      </c>
      <c r="O82" s="75" t="s">
        <v>81</v>
      </c>
      <c r="P82" s="397" t="s">
        <v>320</v>
      </c>
      <c r="Q82" s="517" t="s">
        <v>887</v>
      </c>
      <c r="R82" s="518" t="s">
        <v>888</v>
      </c>
      <c r="S82" s="537"/>
      <c r="T82" s="519"/>
      <c r="U82" s="519" t="s">
        <v>889</v>
      </c>
      <c r="V82" s="519" t="s">
        <v>890</v>
      </c>
      <c r="W82" s="522" t="s">
        <v>841</v>
      </c>
      <c r="X82" s="522" t="s">
        <v>842</v>
      </c>
      <c r="Y82" s="107"/>
      <c r="Z82" s="107" t="s">
        <v>315</v>
      </c>
      <c r="AA82" s="107"/>
      <c r="AB82" s="107" t="s">
        <v>315</v>
      </c>
      <c r="AC82" s="107"/>
      <c r="AD82" s="107">
        <v>20</v>
      </c>
      <c r="AE82" s="107"/>
      <c r="AF82" s="107"/>
    </row>
    <row r="83" spans="1:32" ht="89.1" customHeight="1">
      <c r="A83" s="28"/>
      <c r="B83" s="438">
        <v>8</v>
      </c>
      <c r="C83" s="445" t="s">
        <v>891</v>
      </c>
      <c r="D83" s="450" t="s">
        <v>892</v>
      </c>
      <c r="E83" s="488" t="s">
        <v>893</v>
      </c>
      <c r="F83" s="100" t="s">
        <v>894</v>
      </c>
      <c r="G83" s="101" t="s">
        <v>895</v>
      </c>
      <c r="H83" s="102" t="s">
        <v>301</v>
      </c>
      <c r="I83" s="102" t="s">
        <v>302</v>
      </c>
      <c r="J83" s="105"/>
      <c r="K83" s="106"/>
      <c r="L83" s="103" t="s">
        <v>896</v>
      </c>
      <c r="M83" s="111" t="s">
        <v>897</v>
      </c>
      <c r="N83" s="75" t="s">
        <v>366</v>
      </c>
      <c r="O83" s="75" t="s">
        <v>57</v>
      </c>
      <c r="P83" s="397" t="s">
        <v>306</v>
      </c>
      <c r="Q83" s="517" t="s">
        <v>898</v>
      </c>
      <c r="R83" s="518" t="s">
        <v>899</v>
      </c>
      <c r="S83" s="538" t="s">
        <v>900</v>
      </c>
      <c r="T83" s="519"/>
      <c r="U83" s="519" t="s">
        <v>901</v>
      </c>
      <c r="V83" s="519" t="s">
        <v>902</v>
      </c>
      <c r="W83" s="522" t="s">
        <v>370</v>
      </c>
      <c r="X83" s="522" t="s">
        <v>371</v>
      </c>
      <c r="Y83" s="107" t="s">
        <v>315</v>
      </c>
      <c r="Z83" s="107" t="s">
        <v>315</v>
      </c>
      <c r="AA83" s="107" t="s">
        <v>315</v>
      </c>
      <c r="AB83" s="107" t="s">
        <v>315</v>
      </c>
      <c r="AC83" s="107" t="s">
        <v>315</v>
      </c>
      <c r="AD83" s="107">
        <v>650</v>
      </c>
      <c r="AE83" s="107"/>
      <c r="AF83" s="107"/>
    </row>
    <row r="84" spans="1:32" ht="76.5">
      <c r="A84" s="28"/>
      <c r="B84" s="439"/>
      <c r="C84" s="446"/>
      <c r="D84" s="451"/>
      <c r="E84" s="489"/>
      <c r="F84" s="100" t="s">
        <v>903</v>
      </c>
      <c r="G84" s="101" t="s">
        <v>904</v>
      </c>
      <c r="H84" s="102" t="s">
        <v>301</v>
      </c>
      <c r="I84" s="102" t="s">
        <v>302</v>
      </c>
      <c r="J84" s="105"/>
      <c r="K84" s="106"/>
      <c r="L84" s="103" t="str">
        <f>G84</f>
        <v xml:space="preserve">Oferir formació als productors agraris per millorar el seu coneixement sobre tècniques eficients i respectuoses amb la conservació del patrimoni natural i cultural </v>
      </c>
      <c r="M84" s="111"/>
      <c r="N84" s="75" t="s">
        <v>366</v>
      </c>
      <c r="O84" s="75" t="s">
        <v>57</v>
      </c>
      <c r="P84" s="397" t="s">
        <v>320</v>
      </c>
      <c r="Q84" s="517" t="s">
        <v>905</v>
      </c>
      <c r="R84" s="518" t="s">
        <v>906</v>
      </c>
      <c r="S84" s="537"/>
      <c r="T84" s="519"/>
      <c r="U84" s="519" t="s">
        <v>907</v>
      </c>
      <c r="V84" s="519" t="s">
        <v>908</v>
      </c>
      <c r="W84" s="522" t="s">
        <v>370</v>
      </c>
      <c r="X84" s="522" t="s">
        <v>398</v>
      </c>
      <c r="Y84" s="107"/>
      <c r="Z84" s="107"/>
      <c r="AA84" s="107" t="s">
        <v>315</v>
      </c>
      <c r="AB84" s="107"/>
      <c r="AC84" s="107" t="s">
        <v>315</v>
      </c>
      <c r="AD84" s="107">
        <v>20</v>
      </c>
      <c r="AE84" s="107"/>
      <c r="AF84" s="107"/>
    </row>
    <row r="85" spans="1:32" ht="76.5">
      <c r="A85" s="28"/>
      <c r="B85" s="439"/>
      <c r="C85" s="446"/>
      <c r="D85" s="451"/>
      <c r="E85" s="489"/>
      <c r="F85" s="100" t="s">
        <v>909</v>
      </c>
      <c r="G85" s="101" t="s">
        <v>910</v>
      </c>
      <c r="H85" s="102" t="s">
        <v>364</v>
      </c>
      <c r="I85" s="102" t="s">
        <v>483</v>
      </c>
      <c r="J85" s="105"/>
      <c r="K85" s="106"/>
      <c r="L85" s="103" t="s">
        <v>911</v>
      </c>
      <c r="M85" s="111" t="s">
        <v>912</v>
      </c>
      <c r="N85" s="75" t="s">
        <v>58</v>
      </c>
      <c r="O85" s="75" t="s">
        <v>57</v>
      </c>
      <c r="P85" s="397" t="s">
        <v>320</v>
      </c>
      <c r="Q85" s="517" t="s">
        <v>913</v>
      </c>
      <c r="R85" s="518" t="s">
        <v>914</v>
      </c>
      <c r="S85" s="538" t="s">
        <v>915</v>
      </c>
      <c r="T85" s="519"/>
      <c r="U85" s="519" t="s">
        <v>916</v>
      </c>
      <c r="V85" s="519" t="s">
        <v>917</v>
      </c>
      <c r="W85" s="522" t="s">
        <v>370</v>
      </c>
      <c r="X85" s="522" t="s">
        <v>398</v>
      </c>
      <c r="Y85" s="107" t="s">
        <v>315</v>
      </c>
      <c r="Z85" s="107" t="s">
        <v>315</v>
      </c>
      <c r="AA85" s="107" t="s">
        <v>315</v>
      </c>
      <c r="AB85" s="107" t="s">
        <v>315</v>
      </c>
      <c r="AC85" s="107" t="s">
        <v>315</v>
      </c>
      <c r="AD85" s="107">
        <v>400</v>
      </c>
      <c r="AE85" s="107"/>
      <c r="AF85" s="107"/>
    </row>
    <row r="86" spans="1:32" ht="75.95" customHeight="1">
      <c r="A86" s="28"/>
      <c r="B86" s="439"/>
      <c r="C86" s="446"/>
      <c r="D86" s="452"/>
      <c r="E86" s="490"/>
      <c r="F86" s="100" t="s">
        <v>918</v>
      </c>
      <c r="G86" s="101"/>
      <c r="H86" s="102"/>
      <c r="I86" s="102"/>
      <c r="J86" s="105"/>
      <c r="K86" s="106"/>
      <c r="L86" s="103"/>
      <c r="M86" s="111"/>
      <c r="N86" s="75"/>
      <c r="O86" s="75"/>
      <c r="P86" s="397"/>
      <c r="Q86" s="517"/>
      <c r="R86" s="528" t="s">
        <v>919</v>
      </c>
      <c r="S86" s="539" t="s">
        <v>920</v>
      </c>
      <c r="T86" s="519" t="s">
        <v>921</v>
      </c>
      <c r="U86" s="519" t="s">
        <v>922</v>
      </c>
      <c r="V86" s="519"/>
      <c r="W86" s="522"/>
      <c r="X86" s="522"/>
      <c r="Y86" s="107"/>
      <c r="Z86" s="107"/>
      <c r="AA86" s="107"/>
      <c r="AB86" s="107"/>
      <c r="AC86" s="107"/>
      <c r="AD86" s="107"/>
      <c r="AE86" s="107"/>
      <c r="AF86" s="107"/>
    </row>
    <row r="87" spans="1:32" ht="76.5">
      <c r="A87" s="410"/>
      <c r="B87" s="439"/>
      <c r="C87" s="446"/>
      <c r="D87" s="15" t="s">
        <v>923</v>
      </c>
      <c r="E87" s="89" t="s">
        <v>924</v>
      </c>
      <c r="F87" s="102" t="s">
        <v>925</v>
      </c>
      <c r="G87" s="101" t="s">
        <v>926</v>
      </c>
      <c r="H87" s="105"/>
      <c r="I87" s="105"/>
      <c r="J87" s="105" t="s">
        <v>333</v>
      </c>
      <c r="K87" s="106"/>
      <c r="L87" s="103" t="str">
        <f>G87</f>
        <v>Establir una relació contínua amb agents socioeconòmics del territori, i si s'escau, crear una Taula de desenvolupament local</v>
      </c>
      <c r="M87" s="378"/>
      <c r="N87" s="75" t="s">
        <v>58</v>
      </c>
      <c r="O87" s="75" t="s">
        <v>57</v>
      </c>
      <c r="P87" s="397" t="s">
        <v>492</v>
      </c>
      <c r="Q87" s="517" t="s">
        <v>927</v>
      </c>
      <c r="R87" s="518" t="s">
        <v>928</v>
      </c>
      <c r="S87" s="537"/>
      <c r="T87" s="519"/>
      <c r="U87" s="519" t="s">
        <v>929</v>
      </c>
      <c r="V87" s="519" t="s">
        <v>930</v>
      </c>
      <c r="W87" s="522" t="s">
        <v>370</v>
      </c>
      <c r="X87" s="522" t="s">
        <v>398</v>
      </c>
      <c r="Y87" s="107" t="s">
        <v>315</v>
      </c>
      <c r="Z87" s="107" t="s">
        <v>315</v>
      </c>
      <c r="AA87" s="107" t="s">
        <v>315</v>
      </c>
      <c r="AB87" s="107" t="s">
        <v>315</v>
      </c>
      <c r="AC87" s="107" t="s">
        <v>315</v>
      </c>
      <c r="AD87" s="383"/>
      <c r="AE87" s="107"/>
      <c r="AF87" s="107"/>
    </row>
    <row r="88" spans="1:32" ht="60.75">
      <c r="A88" s="410"/>
      <c r="B88" s="439"/>
      <c r="C88" s="446"/>
      <c r="D88" s="442" t="s">
        <v>931</v>
      </c>
      <c r="E88" s="441" t="s">
        <v>932</v>
      </c>
      <c r="F88" s="100" t="s">
        <v>933</v>
      </c>
      <c r="G88" s="101" t="s">
        <v>934</v>
      </c>
      <c r="H88" s="102" t="s">
        <v>301</v>
      </c>
      <c r="I88" s="102" t="s">
        <v>483</v>
      </c>
      <c r="J88" s="105" t="s">
        <v>333</v>
      </c>
      <c r="K88" s="106" t="s">
        <v>935</v>
      </c>
      <c r="L88" s="103" t="str">
        <f>G88</f>
        <v>Implantar un distintiu de qualitat i compatibilitat amb la conservació dels productes de la Xarxa d'ENP o criteris de qualitat propis de l'ENP</v>
      </c>
      <c r="M88" s="111"/>
      <c r="N88" s="75" t="s">
        <v>366</v>
      </c>
      <c r="O88" s="75" t="s">
        <v>57</v>
      </c>
      <c r="P88" s="397" t="s">
        <v>421</v>
      </c>
      <c r="Q88" s="517" t="s">
        <v>936</v>
      </c>
      <c r="R88" s="518" t="s">
        <v>937</v>
      </c>
      <c r="S88" s="537"/>
      <c r="T88" s="519"/>
      <c r="U88" s="519"/>
      <c r="V88" s="519" t="s">
        <v>938</v>
      </c>
      <c r="W88" s="522" t="s">
        <v>370</v>
      </c>
      <c r="X88" s="522" t="s">
        <v>370</v>
      </c>
      <c r="Y88" s="107"/>
      <c r="Z88" s="107"/>
      <c r="AA88" s="107"/>
      <c r="AB88" s="107" t="s">
        <v>315</v>
      </c>
      <c r="AC88" s="107" t="s">
        <v>315</v>
      </c>
      <c r="AD88" s="107">
        <v>60</v>
      </c>
      <c r="AE88" s="107"/>
      <c r="AF88" s="107"/>
    </row>
    <row r="89" spans="1:32" ht="137.25">
      <c r="A89" s="410"/>
      <c r="B89" s="439"/>
      <c r="C89" s="446"/>
      <c r="D89" s="442"/>
      <c r="E89" s="441"/>
      <c r="F89" s="100" t="s">
        <v>939</v>
      </c>
      <c r="G89" s="101" t="s">
        <v>940</v>
      </c>
      <c r="H89" s="102" t="s">
        <v>301</v>
      </c>
      <c r="I89" s="102" t="s">
        <v>332</v>
      </c>
      <c r="J89" s="110" t="s">
        <v>941</v>
      </c>
      <c r="K89" s="106"/>
      <c r="L89" s="103" t="str">
        <f>G89</f>
        <v>Integrar els productes i activitats locals de qualitat en l'oferta d'activitats d'informació i turístiques de l'ENP</v>
      </c>
      <c r="M89" s="111"/>
      <c r="N89" s="75" t="s">
        <v>58</v>
      </c>
      <c r="O89" s="75" t="s">
        <v>57</v>
      </c>
      <c r="P89" s="397" t="s">
        <v>320</v>
      </c>
      <c r="Q89" s="517" t="s">
        <v>942</v>
      </c>
      <c r="R89" s="518" t="s">
        <v>943</v>
      </c>
      <c r="S89" s="537"/>
      <c r="T89" s="519"/>
      <c r="U89" s="519" t="s">
        <v>944</v>
      </c>
      <c r="V89" s="519" t="s">
        <v>945</v>
      </c>
      <c r="W89" s="519" t="s">
        <v>408</v>
      </c>
      <c r="X89" s="519" t="s">
        <v>946</v>
      </c>
      <c r="Y89" s="107" t="s">
        <v>315</v>
      </c>
      <c r="Z89" s="107" t="s">
        <v>315</v>
      </c>
      <c r="AA89" s="107" t="s">
        <v>315</v>
      </c>
      <c r="AB89" s="107" t="s">
        <v>315</v>
      </c>
      <c r="AC89" s="107" t="s">
        <v>315</v>
      </c>
      <c r="AD89" s="107">
        <v>100</v>
      </c>
      <c r="AE89" s="107"/>
      <c r="AF89" s="107"/>
    </row>
    <row r="90" spans="1:32" ht="45.75">
      <c r="A90" s="410"/>
      <c r="B90" s="439"/>
      <c r="C90" s="446"/>
      <c r="D90" s="442"/>
      <c r="E90" s="441"/>
      <c r="F90" s="100" t="s">
        <v>947</v>
      </c>
      <c r="G90" s="101" t="s">
        <v>948</v>
      </c>
      <c r="H90" s="102" t="s">
        <v>301</v>
      </c>
      <c r="I90" s="102" t="s">
        <v>483</v>
      </c>
      <c r="J90" s="105"/>
      <c r="K90" s="106"/>
      <c r="L90" s="103" t="str">
        <f>G90</f>
        <v>Promoure fires d'artesania i productes locals de l'ENP</v>
      </c>
      <c r="M90" s="111"/>
      <c r="N90" s="108" t="s">
        <v>81</v>
      </c>
      <c r="O90" s="75" t="s">
        <v>81</v>
      </c>
      <c r="P90" s="397" t="s">
        <v>773</v>
      </c>
      <c r="Q90" s="527" t="s">
        <v>774</v>
      </c>
      <c r="R90" s="518"/>
      <c r="S90" s="538" t="s">
        <v>949</v>
      </c>
      <c r="T90" s="519"/>
      <c r="U90" s="519" t="s">
        <v>950</v>
      </c>
      <c r="V90" s="519"/>
      <c r="W90" s="522"/>
      <c r="X90" s="522"/>
      <c r="Y90" s="107"/>
      <c r="Z90" s="107"/>
      <c r="AA90" s="107"/>
      <c r="AB90" s="107"/>
      <c r="AC90" s="107"/>
      <c r="AD90" s="107">
        <v>0</v>
      </c>
      <c r="AE90" s="107"/>
      <c r="AF90" s="107"/>
    </row>
    <row r="91" spans="1:32" ht="60.75">
      <c r="A91" s="410"/>
      <c r="B91" s="439"/>
      <c r="C91" s="446"/>
      <c r="D91" s="442"/>
      <c r="E91" s="441"/>
      <c r="F91" s="100" t="s">
        <v>951</v>
      </c>
      <c r="G91" s="101" t="s">
        <v>952</v>
      </c>
      <c r="H91" s="102" t="s">
        <v>301</v>
      </c>
      <c r="I91" s="102" t="s">
        <v>483</v>
      </c>
      <c r="J91" s="110" t="s">
        <v>941</v>
      </c>
      <c r="K91" s="106"/>
      <c r="L91" s="103" t="str">
        <f>G91</f>
        <v xml:space="preserve">Generar aliances entre el sector primari, el turisme, la restauració i altres per fomentar la gastronomia local </v>
      </c>
      <c r="M91" s="111"/>
      <c r="N91" s="75" t="s">
        <v>366</v>
      </c>
      <c r="O91" s="75" t="s">
        <v>81</v>
      </c>
      <c r="P91" s="397" t="s">
        <v>320</v>
      </c>
      <c r="Q91" s="517" t="s">
        <v>953</v>
      </c>
      <c r="R91" s="518"/>
      <c r="S91" s="537"/>
      <c r="T91" s="519"/>
      <c r="U91" s="519" t="s">
        <v>954</v>
      </c>
      <c r="V91" s="519" t="s">
        <v>955</v>
      </c>
      <c r="W91" s="522" t="s">
        <v>956</v>
      </c>
      <c r="X91" s="522" t="s">
        <v>398</v>
      </c>
      <c r="Y91" s="107" t="s">
        <v>315</v>
      </c>
      <c r="Z91" s="107" t="s">
        <v>315</v>
      </c>
      <c r="AA91" s="107" t="s">
        <v>315</v>
      </c>
      <c r="AB91" s="107" t="s">
        <v>315</v>
      </c>
      <c r="AC91" s="107" t="s">
        <v>315</v>
      </c>
      <c r="AD91" s="383"/>
      <c r="AE91" s="107"/>
      <c r="AF91" s="107"/>
    </row>
    <row r="92" spans="1:32" ht="60.75">
      <c r="A92" s="410"/>
      <c r="B92" s="439"/>
      <c r="C92" s="446"/>
      <c r="D92" s="442"/>
      <c r="E92" s="441"/>
      <c r="F92" s="100" t="s">
        <v>957</v>
      </c>
      <c r="G92" s="101" t="s">
        <v>958</v>
      </c>
      <c r="H92" s="102" t="s">
        <v>301</v>
      </c>
      <c r="I92" s="102" t="s">
        <v>483</v>
      </c>
      <c r="J92" s="110" t="s">
        <v>333</v>
      </c>
      <c r="K92" s="106"/>
      <c r="L92" s="103" t="str">
        <f t="shared" ref="L92:L93" si="14">G92</f>
        <v>Elaborar una diagnòsi del teixit productiu local i un pla d’acció amb línies de treball i actuacions concretes per donar-li suport</v>
      </c>
      <c r="M92" s="380" t="s">
        <v>959</v>
      </c>
      <c r="N92" s="75" t="s">
        <v>377</v>
      </c>
      <c r="O92" s="75" t="s">
        <v>57</v>
      </c>
      <c r="P92" s="397" t="s">
        <v>306</v>
      </c>
      <c r="Q92" s="526" t="s">
        <v>378</v>
      </c>
      <c r="R92" s="518" t="s">
        <v>960</v>
      </c>
      <c r="S92" s="537"/>
      <c r="T92" s="519"/>
      <c r="U92" s="519"/>
      <c r="V92" s="522"/>
      <c r="W92" s="522"/>
      <c r="X92" s="522"/>
      <c r="Y92" s="107" t="s">
        <v>315</v>
      </c>
      <c r="Z92" s="107"/>
      <c r="AA92" s="107"/>
      <c r="AB92" s="107"/>
      <c r="AC92" s="107"/>
      <c r="AD92" s="107">
        <v>1000</v>
      </c>
      <c r="AE92" s="107"/>
      <c r="AF92" s="107"/>
    </row>
    <row r="93" spans="1:32" ht="76.5">
      <c r="A93" s="410"/>
      <c r="B93" s="439"/>
      <c r="C93" s="446"/>
      <c r="D93" s="442"/>
      <c r="E93" s="441"/>
      <c r="F93" s="100" t="s">
        <v>961</v>
      </c>
      <c r="G93" s="101" t="s">
        <v>962</v>
      </c>
      <c r="H93" s="102" t="s">
        <v>301</v>
      </c>
      <c r="I93" s="102" t="s">
        <v>483</v>
      </c>
      <c r="J93" s="105"/>
      <c r="K93" s="106"/>
      <c r="L93" s="103" t="str">
        <f t="shared" si="14"/>
        <v>Promoure els agents del territori que potencien i difonen els productes alimentaris locals i de qualitat (allotjaments, restaurants, cellers, establiments, elaboradors i productors)</v>
      </c>
      <c r="M93" s="111"/>
      <c r="N93" s="108" t="s">
        <v>58</v>
      </c>
      <c r="O93" s="75" t="s">
        <v>81</v>
      </c>
      <c r="P93" s="397" t="s">
        <v>306</v>
      </c>
      <c r="Q93" s="517" t="s">
        <v>963</v>
      </c>
      <c r="R93" s="518" t="s">
        <v>964</v>
      </c>
      <c r="S93" s="537"/>
      <c r="T93" s="519"/>
      <c r="U93" s="519"/>
      <c r="V93" s="519" t="s">
        <v>965</v>
      </c>
      <c r="W93" s="522" t="s">
        <v>370</v>
      </c>
      <c r="X93" s="522" t="s">
        <v>370</v>
      </c>
      <c r="Y93" s="107" t="s">
        <v>315</v>
      </c>
      <c r="Z93" s="107" t="s">
        <v>315</v>
      </c>
      <c r="AA93" s="107" t="s">
        <v>315</v>
      </c>
      <c r="AB93" s="107" t="s">
        <v>315</v>
      </c>
      <c r="AC93" s="107" t="s">
        <v>315</v>
      </c>
      <c r="AD93" s="383"/>
      <c r="AE93" s="107"/>
      <c r="AF93" s="107"/>
    </row>
    <row r="94" spans="1:32" ht="106.5">
      <c r="A94" s="410"/>
      <c r="B94" s="439"/>
      <c r="C94" s="446"/>
      <c r="D94" s="442" t="s">
        <v>966</v>
      </c>
      <c r="E94" s="443" t="s">
        <v>967</v>
      </c>
      <c r="F94" s="100" t="s">
        <v>968</v>
      </c>
      <c r="G94" s="101" t="s">
        <v>969</v>
      </c>
      <c r="H94" s="102" t="s">
        <v>301</v>
      </c>
      <c r="I94" s="102" t="s">
        <v>332</v>
      </c>
      <c r="J94" s="105" t="s">
        <v>46</v>
      </c>
      <c r="K94" s="106"/>
      <c r="L94" s="103" t="str">
        <f>G94</f>
        <v>Treballar amb l'autoritat competent per garantir objectius de conservació d’espècies i hàbitats en la revisió dels Plans de Gestió Cinegètica</v>
      </c>
      <c r="M94" s="111"/>
      <c r="N94" s="75" t="s">
        <v>366</v>
      </c>
      <c r="O94" s="75" t="s">
        <v>57</v>
      </c>
      <c r="P94" s="397" t="s">
        <v>320</v>
      </c>
      <c r="Q94" s="517" t="s">
        <v>970</v>
      </c>
      <c r="R94" s="518" t="s">
        <v>971</v>
      </c>
      <c r="S94" s="538" t="s">
        <v>972</v>
      </c>
      <c r="T94" s="519"/>
      <c r="V94" s="519" t="s">
        <v>973</v>
      </c>
      <c r="W94" s="522" t="s">
        <v>370</v>
      </c>
      <c r="X94" s="522" t="s">
        <v>371</v>
      </c>
      <c r="Y94" s="107"/>
      <c r="Z94" s="107"/>
      <c r="AA94" s="107" t="s">
        <v>315</v>
      </c>
      <c r="AB94" s="107"/>
      <c r="AC94" s="107" t="s">
        <v>315</v>
      </c>
      <c r="AD94" s="107">
        <v>20</v>
      </c>
      <c r="AE94" s="107"/>
      <c r="AF94" s="107"/>
    </row>
    <row r="95" spans="1:32" ht="84.75" customHeight="1">
      <c r="A95" s="410"/>
      <c r="B95" s="439"/>
      <c r="C95" s="446"/>
      <c r="D95" s="442"/>
      <c r="E95" s="443"/>
      <c r="F95" s="100" t="s">
        <v>974</v>
      </c>
      <c r="G95" s="101" t="s">
        <v>975</v>
      </c>
      <c r="H95" s="102" t="s">
        <v>301</v>
      </c>
      <c r="I95" s="102" t="s">
        <v>332</v>
      </c>
      <c r="J95" s="105" t="s">
        <v>46</v>
      </c>
      <c r="K95" s="106"/>
      <c r="L95" s="103" t="str">
        <f t="shared" ref="L95" si="15">G95</f>
        <v>Col·laborar en la regulació i ordenació de la caça i la pesca en zones sensibles o amb risc d'afectació d'elements clau objecte de conservació</v>
      </c>
      <c r="M95" s="380" t="s">
        <v>531</v>
      </c>
      <c r="N95" s="75"/>
      <c r="O95" s="75" t="s">
        <v>57</v>
      </c>
      <c r="P95" s="397"/>
      <c r="Q95" s="527" t="s">
        <v>532</v>
      </c>
      <c r="R95" s="518" t="s">
        <v>976</v>
      </c>
      <c r="S95" s="538" t="s">
        <v>977</v>
      </c>
      <c r="T95" s="519"/>
      <c r="U95" s="519"/>
      <c r="V95" s="519"/>
      <c r="W95" s="522"/>
      <c r="X95" s="522"/>
      <c r="Y95" s="107"/>
      <c r="Z95" s="107"/>
      <c r="AA95" s="107"/>
      <c r="AB95" s="107"/>
      <c r="AC95" s="107"/>
      <c r="AD95" s="107">
        <v>0</v>
      </c>
      <c r="AE95" s="107"/>
      <c r="AF95" s="107"/>
    </row>
    <row r="96" spans="1:32" ht="76.5">
      <c r="A96" s="410"/>
      <c r="B96" s="440"/>
      <c r="C96" s="447"/>
      <c r="D96" s="442"/>
      <c r="E96" s="443"/>
      <c r="F96" s="100" t="s">
        <v>978</v>
      </c>
      <c r="G96" s="101" t="s">
        <v>979</v>
      </c>
      <c r="H96" s="102" t="s">
        <v>301</v>
      </c>
      <c r="I96" s="102" t="s">
        <v>332</v>
      </c>
      <c r="J96" s="105"/>
      <c r="K96" s="106"/>
      <c r="L96" s="103" t="str">
        <f>G96</f>
        <v>Donar suport en la gestió de poblacions que generen danys a les activitats econòmiques de l'ENP</v>
      </c>
      <c r="M96" s="111"/>
      <c r="N96" s="75" t="s">
        <v>366</v>
      </c>
      <c r="O96" s="75" t="s">
        <v>57</v>
      </c>
      <c r="P96" s="397" t="s">
        <v>320</v>
      </c>
      <c r="Q96" s="517" t="s">
        <v>980</v>
      </c>
      <c r="R96" s="518" t="s">
        <v>976</v>
      </c>
      <c r="S96" s="537"/>
      <c r="T96" s="519"/>
      <c r="U96" s="519"/>
      <c r="V96" s="519" t="s">
        <v>981</v>
      </c>
      <c r="W96" s="522" t="s">
        <v>370</v>
      </c>
      <c r="X96" s="522" t="s">
        <v>371</v>
      </c>
      <c r="Y96" s="107"/>
      <c r="Z96" s="107"/>
      <c r="AA96" s="107" t="s">
        <v>315</v>
      </c>
      <c r="AB96" s="107"/>
      <c r="AC96" s="107" t="s">
        <v>315</v>
      </c>
      <c r="AD96" s="107">
        <v>20</v>
      </c>
      <c r="AE96" s="107"/>
      <c r="AF96" s="107"/>
    </row>
    <row r="97" spans="1:32" ht="73.349999999999994" customHeight="1">
      <c r="A97" s="28"/>
      <c r="B97" s="47">
        <v>9</v>
      </c>
      <c r="C97" s="53" t="s">
        <v>982</v>
      </c>
      <c r="D97" s="450" t="s">
        <v>983</v>
      </c>
      <c r="E97" s="448" t="s">
        <v>984</v>
      </c>
      <c r="F97" s="100" t="s">
        <v>985</v>
      </c>
      <c r="G97" s="101" t="s">
        <v>986</v>
      </c>
      <c r="H97" s="102" t="s">
        <v>301</v>
      </c>
      <c r="I97" s="102" t="s">
        <v>483</v>
      </c>
      <c r="J97" s="105" t="s">
        <v>333</v>
      </c>
      <c r="K97" s="106"/>
      <c r="L97" s="103" t="str">
        <f>G97</f>
        <v>Desplegar la Carta Europea de Turisme Sostenible (CETS)</v>
      </c>
      <c r="M97" s="111"/>
      <c r="N97" s="108" t="s">
        <v>58</v>
      </c>
      <c r="O97" s="75" t="s">
        <v>57</v>
      </c>
      <c r="P97" s="397" t="s">
        <v>492</v>
      </c>
      <c r="Q97" s="517" t="s">
        <v>987</v>
      </c>
      <c r="R97" s="518" t="s">
        <v>988</v>
      </c>
      <c r="S97" s="537"/>
      <c r="T97" s="519" t="s">
        <v>989</v>
      </c>
      <c r="U97" s="519" t="s">
        <v>990</v>
      </c>
      <c r="V97" s="519" t="s">
        <v>991</v>
      </c>
      <c r="W97" s="519" t="s">
        <v>992</v>
      </c>
      <c r="X97" s="519" t="s">
        <v>993</v>
      </c>
      <c r="Y97" s="107" t="s">
        <v>315</v>
      </c>
      <c r="Z97" s="107" t="s">
        <v>315</v>
      </c>
      <c r="AA97" s="107" t="s">
        <v>315</v>
      </c>
      <c r="AB97" s="107" t="s">
        <v>315</v>
      </c>
      <c r="AC97" s="107" t="s">
        <v>315</v>
      </c>
      <c r="AD97" s="107">
        <v>1200</v>
      </c>
      <c r="AE97" s="107"/>
      <c r="AF97" s="107"/>
    </row>
    <row r="98" spans="1:32" ht="45.75">
      <c r="A98" s="28"/>
      <c r="B98" s="48"/>
      <c r="C98" s="54"/>
      <c r="D98" s="452"/>
      <c r="E98" s="449"/>
      <c r="F98" s="100" t="s">
        <v>994</v>
      </c>
      <c r="G98" s="101" t="s">
        <v>995</v>
      </c>
      <c r="H98" s="102" t="s">
        <v>301</v>
      </c>
      <c r="I98" s="102" t="s">
        <v>483</v>
      </c>
      <c r="J98" s="105"/>
      <c r="K98" s="106"/>
      <c r="L98" s="103" t="str">
        <f>G98</f>
        <v>Tramitar la certificació Biosphere</v>
      </c>
      <c r="M98" s="111"/>
      <c r="N98" s="108" t="s">
        <v>81</v>
      </c>
      <c r="O98" s="75" t="s">
        <v>57</v>
      </c>
      <c r="P98" s="397" t="s">
        <v>773</v>
      </c>
      <c r="Q98" s="527" t="s">
        <v>774</v>
      </c>
      <c r="R98" s="518"/>
      <c r="S98" s="537"/>
      <c r="T98" s="519"/>
      <c r="U98" s="519"/>
      <c r="V98" s="522"/>
      <c r="W98" s="522"/>
      <c r="X98" s="522"/>
      <c r="Y98" s="107"/>
      <c r="Z98" s="107"/>
      <c r="AA98" s="107"/>
      <c r="AB98" s="107"/>
      <c r="AC98" s="107"/>
      <c r="AD98" s="107">
        <v>0</v>
      </c>
      <c r="AE98" s="107"/>
      <c r="AF98" s="107"/>
    </row>
    <row r="99" spans="1:32" ht="47.65" customHeight="1">
      <c r="A99" s="49"/>
      <c r="B99" s="48"/>
      <c r="C99" s="54"/>
      <c r="D99" s="450" t="s">
        <v>996</v>
      </c>
      <c r="E99" s="448" t="s">
        <v>997</v>
      </c>
      <c r="F99" s="100" t="s">
        <v>998</v>
      </c>
      <c r="G99" s="101" t="s">
        <v>999</v>
      </c>
      <c r="H99" s="102" t="s">
        <v>301</v>
      </c>
      <c r="I99" s="102" t="s">
        <v>483</v>
      </c>
      <c r="J99" s="105" t="s">
        <v>333</v>
      </c>
      <c r="K99" s="106"/>
      <c r="L99" s="103" t="str">
        <f>G99</f>
        <v xml:space="preserve">Treballar amb les empreses turístiques per trobar eines de canvi cap a un model de turisme sostenible i de qualitat </v>
      </c>
      <c r="M99" s="111"/>
      <c r="N99" s="108" t="s">
        <v>58</v>
      </c>
      <c r="O99" s="75" t="s">
        <v>57</v>
      </c>
      <c r="P99" s="397" t="s">
        <v>306</v>
      </c>
      <c r="Q99" s="517" t="s">
        <v>1000</v>
      </c>
      <c r="R99" s="518" t="s">
        <v>1001</v>
      </c>
      <c r="S99" s="537"/>
      <c r="T99" s="519"/>
      <c r="U99" s="519" t="s">
        <v>1002</v>
      </c>
      <c r="V99" s="519" t="s">
        <v>1003</v>
      </c>
      <c r="W99" s="522" t="s">
        <v>370</v>
      </c>
      <c r="X99" s="522" t="s">
        <v>370</v>
      </c>
      <c r="Y99" s="107" t="s">
        <v>315</v>
      </c>
      <c r="Z99" s="107" t="s">
        <v>315</v>
      </c>
      <c r="AA99" s="107" t="s">
        <v>315</v>
      </c>
      <c r="AB99" s="107" t="s">
        <v>315</v>
      </c>
      <c r="AC99" s="107" t="s">
        <v>315</v>
      </c>
      <c r="AD99" s="383"/>
      <c r="AE99" s="107"/>
      <c r="AF99" s="107"/>
    </row>
    <row r="100" spans="1:32" ht="76.5">
      <c r="A100" s="49"/>
      <c r="B100" s="48"/>
      <c r="C100" s="54"/>
      <c r="D100" s="452"/>
      <c r="E100" s="449"/>
      <c r="F100" s="100" t="s">
        <v>1004</v>
      </c>
      <c r="G100" s="101" t="s">
        <v>1005</v>
      </c>
      <c r="H100" s="102" t="s">
        <v>301</v>
      </c>
      <c r="I100" s="102" t="s">
        <v>483</v>
      </c>
      <c r="J100" s="105" t="s">
        <v>333</v>
      </c>
      <c r="K100" s="106"/>
      <c r="L100" s="103" t="str">
        <f>G100</f>
        <v>Crear productes i paquets turístics amb associacions d’empreses turístiques i operadors turístics</v>
      </c>
      <c r="M100" s="111"/>
      <c r="N100" s="75" t="s">
        <v>58</v>
      </c>
      <c r="O100" s="75" t="s">
        <v>57</v>
      </c>
      <c r="P100" s="397" t="s">
        <v>306</v>
      </c>
      <c r="Q100" s="517" t="s">
        <v>1006</v>
      </c>
      <c r="R100" s="518" t="s">
        <v>1007</v>
      </c>
      <c r="S100" s="537"/>
      <c r="T100" s="519"/>
      <c r="U100" s="519" t="s">
        <v>1008</v>
      </c>
      <c r="V100" s="519" t="s">
        <v>1009</v>
      </c>
      <c r="W100" s="522" t="s">
        <v>591</v>
      </c>
      <c r="X100" s="522" t="s">
        <v>398</v>
      </c>
      <c r="Y100" s="107" t="s">
        <v>315</v>
      </c>
      <c r="Z100" s="107" t="s">
        <v>315</v>
      </c>
      <c r="AA100" s="107" t="s">
        <v>315</v>
      </c>
      <c r="AB100" s="107" t="s">
        <v>315</v>
      </c>
      <c r="AC100" s="107" t="s">
        <v>315</v>
      </c>
      <c r="AD100" s="386"/>
      <c r="AE100" s="107"/>
      <c r="AF100" s="107"/>
    </row>
    <row r="101" spans="1:32" ht="76.5">
      <c r="A101" s="29" t="s">
        <v>1010</v>
      </c>
      <c r="B101" s="52">
        <v>10</v>
      </c>
      <c r="C101" s="58" t="s">
        <v>1011</v>
      </c>
      <c r="D101" s="487" t="s">
        <v>1012</v>
      </c>
      <c r="E101" s="485" t="s">
        <v>1013</v>
      </c>
      <c r="F101" s="100" t="s">
        <v>1014</v>
      </c>
      <c r="G101" s="101" t="s">
        <v>1015</v>
      </c>
      <c r="H101" s="102" t="s">
        <v>301</v>
      </c>
      <c r="I101" s="102" t="s">
        <v>332</v>
      </c>
      <c r="J101" s="105"/>
      <c r="K101" s="106" t="s">
        <v>1016</v>
      </c>
      <c r="L101" s="103" t="str">
        <f>G101</f>
        <v>Establir un model de construcció a l'ENP en base al model de Pla de protecció</v>
      </c>
      <c r="M101" s="380" t="s">
        <v>1017</v>
      </c>
      <c r="N101" s="103" t="s">
        <v>377</v>
      </c>
      <c r="O101" s="75" t="s">
        <v>57</v>
      </c>
      <c r="P101" s="397" t="s">
        <v>492</v>
      </c>
      <c r="Q101" s="526" t="s">
        <v>378</v>
      </c>
      <c r="R101" s="528" t="s">
        <v>1018</v>
      </c>
      <c r="T101" s="519"/>
      <c r="U101" s="541"/>
      <c r="V101" s="522"/>
      <c r="W101" s="522"/>
      <c r="X101" s="522"/>
      <c r="Y101" s="107" t="s">
        <v>315</v>
      </c>
      <c r="Z101" s="107"/>
      <c r="AA101" s="107"/>
      <c r="AB101" s="107"/>
      <c r="AC101" s="107"/>
      <c r="AD101" s="107">
        <v>0</v>
      </c>
      <c r="AE101" s="107"/>
      <c r="AF101" s="107"/>
    </row>
    <row r="102" spans="1:32" ht="25.9" customHeight="1">
      <c r="A102" s="29"/>
      <c r="B102" s="51"/>
      <c r="C102" s="50"/>
      <c r="D102" s="405"/>
      <c r="E102" s="486"/>
      <c r="F102" s="100" t="s">
        <v>1019</v>
      </c>
      <c r="G102" s="101" t="s">
        <v>1020</v>
      </c>
      <c r="H102" s="102"/>
      <c r="I102" s="102"/>
      <c r="J102" s="105"/>
      <c r="K102" s="106"/>
      <c r="L102" s="103" t="s">
        <v>1021</v>
      </c>
      <c r="M102" s="395" t="s">
        <v>1022</v>
      </c>
      <c r="N102" s="114" t="s">
        <v>377</v>
      </c>
      <c r="O102" s="75" t="s">
        <v>57</v>
      </c>
      <c r="P102" s="397" t="s">
        <v>492</v>
      </c>
      <c r="Q102" s="526" t="s">
        <v>378</v>
      </c>
      <c r="R102" s="528" t="s">
        <v>1023</v>
      </c>
      <c r="S102" s="538" t="s">
        <v>1024</v>
      </c>
      <c r="T102" s="519"/>
      <c r="U102" s="541" t="s">
        <v>1025</v>
      </c>
      <c r="V102" s="519"/>
      <c r="W102" s="522"/>
      <c r="X102" s="522"/>
      <c r="Y102" s="107" t="s">
        <v>315</v>
      </c>
      <c r="Z102" s="107"/>
      <c r="AA102" s="107"/>
      <c r="AB102" s="107"/>
      <c r="AC102" s="107"/>
      <c r="AD102" s="107">
        <v>0</v>
      </c>
      <c r="AE102" s="107"/>
      <c r="AF102" s="107"/>
    </row>
    <row r="103" spans="1:32" ht="78" customHeight="1">
      <c r="A103" s="29"/>
      <c r="B103" s="33">
        <v>11</v>
      </c>
      <c r="C103" s="425" t="s">
        <v>1026</v>
      </c>
      <c r="D103" s="404" t="s">
        <v>1027</v>
      </c>
      <c r="E103" s="407" t="s">
        <v>1028</v>
      </c>
      <c r="F103" s="100" t="s">
        <v>1029</v>
      </c>
      <c r="G103" s="101" t="s">
        <v>1030</v>
      </c>
      <c r="H103" s="102" t="s">
        <v>301</v>
      </c>
      <c r="I103" s="102" t="s">
        <v>332</v>
      </c>
      <c r="J103" s="105"/>
      <c r="K103" s="106" t="s">
        <v>1016</v>
      </c>
      <c r="L103" s="103" t="str">
        <f t="shared" ref="L103:L104" si="16">G103</f>
        <v>Regular l'acampada i pernoctació  en base al model de Pla de protecció</v>
      </c>
      <c r="M103" s="380" t="s">
        <v>1017</v>
      </c>
      <c r="N103" s="103" t="s">
        <v>377</v>
      </c>
      <c r="O103" s="75" t="s">
        <v>57</v>
      </c>
      <c r="P103" s="397" t="s">
        <v>492</v>
      </c>
      <c r="Q103" s="542" t="s">
        <v>1031</v>
      </c>
      <c r="R103" s="518" t="s">
        <v>1032</v>
      </c>
      <c r="S103" s="537"/>
      <c r="T103" s="519"/>
      <c r="U103" s="519"/>
      <c r="V103" s="522" t="s">
        <v>1033</v>
      </c>
      <c r="W103" s="522" t="s">
        <v>370</v>
      </c>
      <c r="X103" s="522" t="s">
        <v>1034</v>
      </c>
      <c r="Y103" s="107" t="s">
        <v>315</v>
      </c>
      <c r="Z103" s="107"/>
      <c r="AA103" s="107"/>
      <c r="AB103" s="107"/>
      <c r="AC103" s="107"/>
      <c r="AD103" s="107">
        <v>0</v>
      </c>
      <c r="AE103" s="107"/>
      <c r="AF103" s="107"/>
    </row>
    <row r="104" spans="1:32" ht="45.75">
      <c r="A104" s="29"/>
      <c r="B104" s="34"/>
      <c r="C104" s="426"/>
      <c r="D104" s="406"/>
      <c r="E104" s="408"/>
      <c r="F104" s="100" t="s">
        <v>1035</v>
      </c>
      <c r="G104" s="101" t="s">
        <v>1036</v>
      </c>
      <c r="H104" s="102" t="s">
        <v>301</v>
      </c>
      <c r="I104" s="102" t="s">
        <v>332</v>
      </c>
      <c r="J104" s="105"/>
      <c r="K104" s="106" t="s">
        <v>1016</v>
      </c>
      <c r="L104" s="103" t="str">
        <f t="shared" si="16"/>
        <v>Regular la circulació rodada no motoritzada en base al model de Pla de protecció</v>
      </c>
      <c r="M104" s="380" t="s">
        <v>1017</v>
      </c>
      <c r="N104" s="103" t="s">
        <v>377</v>
      </c>
      <c r="O104" s="75" t="s">
        <v>57</v>
      </c>
      <c r="P104" s="397" t="s">
        <v>492</v>
      </c>
      <c r="Q104" s="526" t="s">
        <v>378</v>
      </c>
      <c r="R104" s="518" t="s">
        <v>1037</v>
      </c>
      <c r="S104" s="537"/>
      <c r="T104" s="519"/>
      <c r="U104" s="519"/>
      <c r="V104" s="522"/>
      <c r="W104" s="522"/>
      <c r="X104" s="522"/>
      <c r="Y104" s="107" t="s">
        <v>315</v>
      </c>
      <c r="Z104" s="107"/>
      <c r="AA104" s="107"/>
      <c r="AB104" s="107"/>
      <c r="AC104" s="107"/>
      <c r="AD104" s="107">
        <v>0</v>
      </c>
      <c r="AE104" s="107"/>
      <c r="AF104" s="107"/>
    </row>
    <row r="105" spans="1:32" ht="106.5">
      <c r="A105" s="29"/>
      <c r="B105" s="34"/>
      <c r="C105" s="426"/>
      <c r="D105" s="406"/>
      <c r="E105" s="408"/>
      <c r="F105" s="100" t="s">
        <v>1038</v>
      </c>
      <c r="G105" s="101" t="s">
        <v>1039</v>
      </c>
      <c r="H105" s="102" t="s">
        <v>364</v>
      </c>
      <c r="I105" s="102" t="s">
        <v>332</v>
      </c>
      <c r="J105" s="105"/>
      <c r="K105" s="106" t="s">
        <v>1016</v>
      </c>
      <c r="L105" s="103" t="str">
        <f>G105</f>
        <v>Regular l'escalada i alpinisme, barranquisme, i espeleologia  en base al model de Pla de protecció</v>
      </c>
      <c r="M105" s="111"/>
      <c r="N105" s="103" t="s">
        <v>58</v>
      </c>
      <c r="O105" s="75" t="s">
        <v>57</v>
      </c>
      <c r="P105" s="397" t="s">
        <v>492</v>
      </c>
      <c r="Q105" s="517" t="s">
        <v>1040</v>
      </c>
      <c r="R105" s="518" t="s">
        <v>1041</v>
      </c>
      <c r="S105" s="538" t="s">
        <v>1042</v>
      </c>
      <c r="T105" s="519"/>
      <c r="U105" s="519" t="s">
        <v>1043</v>
      </c>
      <c r="V105" s="519" t="s">
        <v>1044</v>
      </c>
      <c r="W105" s="519" t="s">
        <v>1045</v>
      </c>
      <c r="X105" s="519" t="s">
        <v>1046</v>
      </c>
      <c r="Y105" s="107" t="s">
        <v>315</v>
      </c>
      <c r="Z105" s="107" t="s">
        <v>315</v>
      </c>
      <c r="AA105" s="107" t="s">
        <v>315</v>
      </c>
      <c r="AB105" s="107" t="s">
        <v>315</v>
      </c>
      <c r="AC105" s="107" t="s">
        <v>315</v>
      </c>
      <c r="AD105" s="107">
        <v>1000</v>
      </c>
      <c r="AE105" s="107"/>
      <c r="AF105" s="107"/>
    </row>
    <row r="106" spans="1:32" ht="60.75">
      <c r="A106" s="29"/>
      <c r="B106" s="34"/>
      <c r="C106" s="32"/>
      <c r="D106" s="406"/>
      <c r="E106" s="408"/>
      <c r="F106" s="100" t="s">
        <v>1047</v>
      </c>
      <c r="G106" s="101" t="s">
        <v>1048</v>
      </c>
      <c r="H106" s="102" t="s">
        <v>301</v>
      </c>
      <c r="I106" s="102" t="s">
        <v>332</v>
      </c>
      <c r="J106" s="105"/>
      <c r="K106" s="106" t="s">
        <v>1016</v>
      </c>
      <c r="L106" s="103" t="str">
        <f>G106</f>
        <v>Regular les curses i altres activitats esportives organitzades en base al model de Pla de protecció</v>
      </c>
      <c r="M106" s="111"/>
      <c r="N106" s="103" t="s">
        <v>366</v>
      </c>
      <c r="O106" s="75" t="s">
        <v>57</v>
      </c>
      <c r="P106" s="397" t="s">
        <v>492</v>
      </c>
      <c r="Q106" s="517" t="s">
        <v>1049</v>
      </c>
      <c r="R106" s="518" t="s">
        <v>1050</v>
      </c>
      <c r="S106" s="537"/>
      <c r="T106" s="519" t="s">
        <v>1051</v>
      </c>
      <c r="U106" s="519"/>
      <c r="V106" s="519" t="s">
        <v>1052</v>
      </c>
      <c r="W106" s="522" t="s">
        <v>370</v>
      </c>
      <c r="X106" s="522" t="s">
        <v>370</v>
      </c>
      <c r="Y106" s="107"/>
      <c r="Z106" s="107" t="s">
        <v>315</v>
      </c>
      <c r="AA106" s="107"/>
      <c r="AB106" s="107"/>
      <c r="AC106" s="107"/>
      <c r="AD106" s="107">
        <v>50</v>
      </c>
      <c r="AE106" s="107"/>
      <c r="AF106" s="107"/>
    </row>
    <row r="107" spans="1:32" ht="60.75">
      <c r="A107" s="29"/>
      <c r="B107" s="51"/>
      <c r="C107" s="50"/>
      <c r="D107" s="406"/>
      <c r="E107" s="408"/>
      <c r="F107" s="100" t="s">
        <v>1053</v>
      </c>
      <c r="G107" s="101" t="s">
        <v>1054</v>
      </c>
      <c r="H107" s="102" t="s">
        <v>301</v>
      </c>
      <c r="I107" s="102" t="s">
        <v>332</v>
      </c>
      <c r="J107" s="105"/>
      <c r="K107" s="106" t="s">
        <v>1016</v>
      </c>
      <c r="L107" s="103" t="str">
        <f>G107</f>
        <v>Regular els enregistraments i l'observació de fauna i natura en base al model de Pla de protecció</v>
      </c>
      <c r="M107" s="111"/>
      <c r="N107" s="103" t="s">
        <v>366</v>
      </c>
      <c r="O107" s="75" t="s">
        <v>57</v>
      </c>
      <c r="P107" s="397" t="s">
        <v>320</v>
      </c>
      <c r="Q107" s="517" t="s">
        <v>1055</v>
      </c>
      <c r="R107" s="518" t="s">
        <v>1056</v>
      </c>
      <c r="T107" s="519"/>
      <c r="U107" s="519"/>
      <c r="V107" s="519" t="s">
        <v>1057</v>
      </c>
      <c r="W107" s="522" t="s">
        <v>591</v>
      </c>
      <c r="X107" s="522" t="s">
        <v>398</v>
      </c>
      <c r="Y107" s="107"/>
      <c r="Z107" s="107" t="s">
        <v>315</v>
      </c>
      <c r="AA107" s="107" t="s">
        <v>315</v>
      </c>
      <c r="AB107" s="107" t="s">
        <v>315</v>
      </c>
      <c r="AC107" s="107" t="s">
        <v>315</v>
      </c>
      <c r="AD107" s="107">
        <v>80</v>
      </c>
      <c r="AE107" s="107"/>
      <c r="AF107" s="107"/>
    </row>
    <row r="108" spans="1:32" ht="45.75">
      <c r="A108" s="29"/>
      <c r="B108" s="51"/>
      <c r="C108" s="50"/>
      <c r="D108" s="406"/>
      <c r="E108" s="408"/>
      <c r="F108" s="100" t="s">
        <v>1058</v>
      </c>
      <c r="G108" s="101" t="s">
        <v>1059</v>
      </c>
      <c r="H108" s="102" t="s">
        <v>301</v>
      </c>
      <c r="I108" s="102" t="s">
        <v>332</v>
      </c>
      <c r="J108" s="105"/>
      <c r="K108" s="106" t="s">
        <v>1016</v>
      </c>
      <c r="L108" s="103" t="s">
        <v>1060</v>
      </c>
      <c r="M108" s="111" t="s">
        <v>1061</v>
      </c>
      <c r="N108" s="103" t="s">
        <v>377</v>
      </c>
      <c r="O108" s="75" t="s">
        <v>57</v>
      </c>
      <c r="P108" s="397" t="s">
        <v>492</v>
      </c>
      <c r="Q108" s="526" t="s">
        <v>378</v>
      </c>
      <c r="R108" s="518" t="s">
        <v>1062</v>
      </c>
      <c r="S108" s="538" t="s">
        <v>1063</v>
      </c>
      <c r="T108" s="519"/>
      <c r="U108" s="519"/>
      <c r="V108" s="519"/>
      <c r="W108" s="522"/>
      <c r="X108" s="522"/>
      <c r="Y108" s="107" t="s">
        <v>315</v>
      </c>
      <c r="Z108" s="107" t="s">
        <v>315</v>
      </c>
      <c r="AA108" s="107" t="s">
        <v>315</v>
      </c>
      <c r="AB108" s="107" t="s">
        <v>315</v>
      </c>
      <c r="AC108" s="107" t="s">
        <v>315</v>
      </c>
      <c r="AD108" s="107">
        <v>15</v>
      </c>
      <c r="AE108" s="107"/>
      <c r="AF108" s="107"/>
    </row>
    <row r="109" spans="1:32" ht="30.75">
      <c r="A109" s="29"/>
      <c r="B109" s="34"/>
      <c r="C109" s="32"/>
      <c r="D109" s="406"/>
      <c r="E109" s="408"/>
      <c r="F109" s="100" t="s">
        <v>1064</v>
      </c>
      <c r="G109" s="101" t="s">
        <v>1065</v>
      </c>
      <c r="H109" s="102" t="s">
        <v>364</v>
      </c>
      <c r="I109" s="102" t="s">
        <v>332</v>
      </c>
      <c r="J109" s="105"/>
      <c r="K109" s="106" t="s">
        <v>1016</v>
      </c>
      <c r="L109" s="103" t="str">
        <f t="shared" ref="L109:L111" si="17">G109</f>
        <v>Regular les zones de bany</v>
      </c>
      <c r="M109" s="380" t="s">
        <v>1017</v>
      </c>
      <c r="N109" s="103" t="s">
        <v>377</v>
      </c>
      <c r="O109" s="75" t="s">
        <v>57</v>
      </c>
      <c r="P109" s="397" t="s">
        <v>492</v>
      </c>
      <c r="Q109" s="526" t="s">
        <v>378</v>
      </c>
      <c r="R109" s="543" t="s">
        <v>1066</v>
      </c>
      <c r="S109" s="537"/>
      <c r="T109" s="519"/>
      <c r="U109" s="519"/>
      <c r="V109" s="522"/>
      <c r="W109" s="522"/>
      <c r="X109" s="522"/>
      <c r="Y109" s="107" t="s">
        <v>315</v>
      </c>
      <c r="Z109" s="107" t="s">
        <v>315</v>
      </c>
      <c r="AA109" s="107" t="s">
        <v>315</v>
      </c>
      <c r="AB109" s="107" t="s">
        <v>315</v>
      </c>
      <c r="AC109" s="107" t="s">
        <v>315</v>
      </c>
      <c r="AD109" s="107">
        <v>15</v>
      </c>
      <c r="AE109" s="107"/>
      <c r="AF109" s="107"/>
    </row>
    <row r="110" spans="1:32" ht="30.75">
      <c r="A110" s="29"/>
      <c r="B110" s="34"/>
      <c r="C110" s="32"/>
      <c r="D110" s="406"/>
      <c r="E110" s="408"/>
      <c r="F110" s="100" t="s">
        <v>1067</v>
      </c>
      <c r="G110" s="101" t="s">
        <v>1068</v>
      </c>
      <c r="H110" s="102" t="s">
        <v>364</v>
      </c>
      <c r="I110" s="102" t="s">
        <v>332</v>
      </c>
      <c r="J110" s="105"/>
      <c r="K110" s="106" t="s">
        <v>1016</v>
      </c>
      <c r="L110" s="103" t="str">
        <f t="shared" si="17"/>
        <v>Regular l'enlairament i aterratge sense motor</v>
      </c>
      <c r="M110" s="380" t="s">
        <v>1017</v>
      </c>
      <c r="N110" s="103" t="s">
        <v>377</v>
      </c>
      <c r="O110" s="75" t="s">
        <v>57</v>
      </c>
      <c r="P110" s="397" t="s">
        <v>492</v>
      </c>
      <c r="Q110" s="526" t="s">
        <v>378</v>
      </c>
      <c r="R110" s="543" t="s">
        <v>1066</v>
      </c>
      <c r="S110" s="537"/>
      <c r="T110" s="519"/>
      <c r="U110" s="519"/>
      <c r="V110" s="522"/>
      <c r="W110" s="522"/>
      <c r="X110" s="522"/>
      <c r="Y110" s="107" t="s">
        <v>315</v>
      </c>
      <c r="Z110" s="107" t="s">
        <v>315</v>
      </c>
      <c r="AA110" s="107" t="s">
        <v>315</v>
      </c>
      <c r="AB110" s="107" t="s">
        <v>315</v>
      </c>
      <c r="AC110" s="107" t="s">
        <v>315</v>
      </c>
      <c r="AD110" s="107">
        <v>15</v>
      </c>
      <c r="AE110" s="107"/>
      <c r="AF110" s="107"/>
    </row>
    <row r="111" spans="1:32">
      <c r="A111" s="29"/>
      <c r="B111" s="34"/>
      <c r="C111" s="32"/>
      <c r="D111" s="406"/>
      <c r="E111" s="408"/>
      <c r="F111" s="100" t="s">
        <v>1069</v>
      </c>
      <c r="G111" s="101" t="s">
        <v>1070</v>
      </c>
      <c r="H111" s="102" t="s">
        <v>364</v>
      </c>
      <c r="I111" s="102" t="s">
        <v>332</v>
      </c>
      <c r="J111" s="105"/>
      <c r="K111" s="106" t="s">
        <v>1016</v>
      </c>
      <c r="L111" s="103" t="str">
        <f t="shared" si="17"/>
        <v>Regular el submarinisme i l'snorkel</v>
      </c>
      <c r="M111" s="380" t="s">
        <v>1071</v>
      </c>
      <c r="N111" s="103"/>
      <c r="O111" s="75"/>
      <c r="P111" s="397"/>
      <c r="Q111" s="527" t="s">
        <v>450</v>
      </c>
      <c r="R111" s="528" t="s">
        <v>1071</v>
      </c>
      <c r="S111" s="537"/>
      <c r="T111" s="519"/>
      <c r="U111" s="519"/>
      <c r="V111" s="522"/>
      <c r="W111" s="522"/>
      <c r="X111" s="522"/>
      <c r="Y111" s="107"/>
      <c r="Z111" s="107"/>
      <c r="AA111" s="107"/>
      <c r="AB111" s="107"/>
      <c r="AC111" s="107"/>
      <c r="AD111" s="107">
        <v>0</v>
      </c>
      <c r="AE111" s="107"/>
      <c r="AF111" s="107"/>
    </row>
    <row r="112" spans="1:32" ht="30.75">
      <c r="A112" s="29"/>
      <c r="B112" s="34"/>
      <c r="C112" s="32"/>
      <c r="D112" s="406"/>
      <c r="E112" s="408"/>
      <c r="F112" s="100" t="s">
        <v>1072</v>
      </c>
      <c r="G112" s="101" t="s">
        <v>1073</v>
      </c>
      <c r="H112" s="102" t="s">
        <v>364</v>
      </c>
      <c r="I112" s="102" t="s">
        <v>332</v>
      </c>
      <c r="J112" s="105"/>
      <c r="K112" s="106" t="s">
        <v>1016</v>
      </c>
      <c r="L112" s="103" t="str">
        <f t="shared" ref="L112" si="18">G112</f>
        <v>Regular les activitats aquàtiques i nàutiques i zones de fondeig</v>
      </c>
      <c r="M112" s="380" t="s">
        <v>1071</v>
      </c>
      <c r="N112" s="103"/>
      <c r="O112" s="75"/>
      <c r="P112" s="397"/>
      <c r="Q112" s="527" t="s">
        <v>450</v>
      </c>
      <c r="R112" s="528" t="s">
        <v>1071</v>
      </c>
      <c r="S112" s="537"/>
      <c r="T112" s="519"/>
      <c r="U112" s="519"/>
      <c r="V112" s="522"/>
      <c r="W112" s="522"/>
      <c r="X112" s="522"/>
      <c r="Y112" s="107"/>
      <c r="Z112" s="107"/>
      <c r="AA112" s="107"/>
      <c r="AB112" s="107"/>
      <c r="AC112" s="107"/>
      <c r="AD112" s="107">
        <v>0</v>
      </c>
      <c r="AE112" s="107"/>
      <c r="AF112" s="107"/>
    </row>
    <row r="113" spans="1:32" ht="30.75">
      <c r="A113" s="29"/>
      <c r="B113" s="34"/>
      <c r="C113" s="32"/>
      <c r="D113" s="406"/>
      <c r="E113" s="408"/>
      <c r="F113" s="100" t="s">
        <v>1074</v>
      </c>
      <c r="G113" s="101" t="s">
        <v>1075</v>
      </c>
      <c r="H113" s="102" t="s">
        <v>301</v>
      </c>
      <c r="I113" s="102" t="s">
        <v>332</v>
      </c>
      <c r="J113" s="105"/>
      <c r="K113" s="106" t="s">
        <v>1016</v>
      </c>
      <c r="L113" s="103" t="str">
        <f t="shared" ref="L113:L114" si="19">G113</f>
        <v>Regular la presència d'animals de companyia</v>
      </c>
      <c r="M113" s="380" t="s">
        <v>1076</v>
      </c>
      <c r="N113" s="103" t="s">
        <v>377</v>
      </c>
      <c r="O113" s="75" t="s">
        <v>57</v>
      </c>
      <c r="P113" s="397" t="s">
        <v>492</v>
      </c>
      <c r="Q113" s="526" t="s">
        <v>378</v>
      </c>
      <c r="R113" s="518" t="s">
        <v>1077</v>
      </c>
      <c r="S113" s="537"/>
      <c r="T113" s="519"/>
      <c r="U113" s="519"/>
      <c r="V113" s="522"/>
      <c r="W113" s="522"/>
      <c r="X113" s="522"/>
      <c r="Y113" s="107" t="s">
        <v>315</v>
      </c>
      <c r="Z113" s="107" t="s">
        <v>315</v>
      </c>
      <c r="AA113" s="107" t="s">
        <v>315</v>
      </c>
      <c r="AB113" s="107" t="s">
        <v>315</v>
      </c>
      <c r="AC113" s="107" t="s">
        <v>315</v>
      </c>
      <c r="AD113" s="107">
        <v>0</v>
      </c>
      <c r="AE113" s="107"/>
      <c r="AF113" s="107"/>
    </row>
    <row r="114" spans="1:32" ht="30.75">
      <c r="A114" s="29"/>
      <c r="B114" s="34"/>
      <c r="C114" s="32"/>
      <c r="D114" s="405"/>
      <c r="E114" s="409"/>
      <c r="F114" s="100" t="s">
        <v>1078</v>
      </c>
      <c r="G114" s="101" t="s">
        <v>1079</v>
      </c>
      <c r="H114" s="102" t="s">
        <v>301</v>
      </c>
      <c r="I114" s="102" t="s">
        <v>332</v>
      </c>
      <c r="J114" s="105"/>
      <c r="K114" s="106" t="s">
        <v>1016</v>
      </c>
      <c r="L114" s="103" t="str">
        <f t="shared" si="19"/>
        <v>Regular lels activitats d'educació ambiental i el lleure educatiu</v>
      </c>
      <c r="M114" s="380" t="s">
        <v>1017</v>
      </c>
      <c r="N114" s="103" t="s">
        <v>377</v>
      </c>
      <c r="O114" s="75" t="s">
        <v>57</v>
      </c>
      <c r="P114" s="397" t="s">
        <v>492</v>
      </c>
      <c r="Q114" s="526" t="s">
        <v>378</v>
      </c>
      <c r="R114" s="518" t="s">
        <v>1080</v>
      </c>
      <c r="S114" s="537"/>
      <c r="T114" s="519"/>
      <c r="U114" s="519"/>
      <c r="V114" s="522"/>
      <c r="W114" s="522"/>
      <c r="X114" s="522"/>
      <c r="Y114" s="107" t="s">
        <v>315</v>
      </c>
      <c r="Z114" s="107" t="s">
        <v>315</v>
      </c>
      <c r="AA114" s="107" t="s">
        <v>315</v>
      </c>
      <c r="AB114" s="107" t="s">
        <v>315</v>
      </c>
      <c r="AC114" s="107" t="s">
        <v>315</v>
      </c>
      <c r="AD114" s="107">
        <v>15</v>
      </c>
      <c r="AE114" s="107"/>
      <c r="AF114" s="107"/>
    </row>
    <row r="115" spans="1:32" ht="60.75">
      <c r="A115" s="29"/>
      <c r="B115" s="34"/>
      <c r="C115" s="32"/>
      <c r="D115" s="404" t="s">
        <v>1081</v>
      </c>
      <c r="E115" s="411" t="s">
        <v>1082</v>
      </c>
      <c r="F115" s="102" t="s">
        <v>1083</v>
      </c>
      <c r="G115" s="101" t="s">
        <v>1084</v>
      </c>
      <c r="H115" s="102" t="s">
        <v>301</v>
      </c>
      <c r="I115" s="102" t="s">
        <v>332</v>
      </c>
      <c r="J115" s="105"/>
      <c r="K115" s="101" t="s">
        <v>1085</v>
      </c>
      <c r="L115" s="103" t="str">
        <f>G115</f>
        <v xml:space="preserve">Identificar i classificar la xarxa viària bàsica, secundària, senders i itineraris senyalitzats d'acord amb els ajuntaments </v>
      </c>
      <c r="M115" s="380" t="s">
        <v>1086</v>
      </c>
      <c r="N115" s="75" t="s">
        <v>377</v>
      </c>
      <c r="O115" s="75" t="s">
        <v>57</v>
      </c>
      <c r="P115" s="397" t="s">
        <v>306</v>
      </c>
      <c r="Q115" s="526" t="s">
        <v>378</v>
      </c>
      <c r="R115" s="518" t="s">
        <v>1087</v>
      </c>
      <c r="S115" s="537"/>
      <c r="T115" s="519"/>
      <c r="U115" s="519" t="s">
        <v>1088</v>
      </c>
      <c r="V115" s="519"/>
      <c r="W115" s="522"/>
      <c r="X115" s="522"/>
      <c r="Y115" s="107" t="s">
        <v>315</v>
      </c>
      <c r="Z115" s="107"/>
      <c r="AA115" s="107"/>
      <c r="AB115" s="107"/>
      <c r="AC115" s="107"/>
      <c r="AD115" s="107">
        <v>0</v>
      </c>
      <c r="AE115" s="107"/>
      <c r="AF115" s="107"/>
    </row>
    <row r="116" spans="1:32" ht="106.5">
      <c r="A116" s="29"/>
      <c r="B116" s="34"/>
      <c r="C116" s="32"/>
      <c r="D116" s="406"/>
      <c r="E116" s="412"/>
      <c r="F116" s="102" t="s">
        <v>1089</v>
      </c>
      <c r="G116" s="101" t="s">
        <v>1090</v>
      </c>
      <c r="H116" s="102" t="s">
        <v>301</v>
      </c>
      <c r="I116" s="102" t="s">
        <v>332</v>
      </c>
      <c r="J116" s="105"/>
      <c r="K116" s="101" t="s">
        <v>1091</v>
      </c>
      <c r="L116" s="103" t="str">
        <f>G116</f>
        <v>Treballar conjuntament amb els principals canals d’informació de rutes  per prioritzar itineraris oficials dins l’ENP</v>
      </c>
      <c r="M116" s="111"/>
      <c r="N116" s="75" t="s">
        <v>58</v>
      </c>
      <c r="O116" s="75" t="s">
        <v>57</v>
      </c>
      <c r="P116" s="397" t="s">
        <v>306</v>
      </c>
      <c r="Q116" s="517" t="s">
        <v>1092</v>
      </c>
      <c r="R116" s="518" t="s">
        <v>1093</v>
      </c>
      <c r="S116" s="537"/>
      <c r="T116" s="519"/>
      <c r="U116" s="519" t="s">
        <v>1094</v>
      </c>
      <c r="V116" s="519" t="s">
        <v>1095</v>
      </c>
      <c r="W116" s="522" t="s">
        <v>1096</v>
      </c>
      <c r="X116" s="522" t="s">
        <v>797</v>
      </c>
      <c r="Y116" s="107" t="s">
        <v>315</v>
      </c>
      <c r="Z116" s="107" t="s">
        <v>315</v>
      </c>
      <c r="AA116" s="107" t="s">
        <v>315</v>
      </c>
      <c r="AB116" s="107" t="s">
        <v>315</v>
      </c>
      <c r="AC116" s="107" t="s">
        <v>315</v>
      </c>
      <c r="AD116" s="107">
        <v>300</v>
      </c>
      <c r="AE116" s="107"/>
      <c r="AF116" s="107"/>
    </row>
    <row r="117" spans="1:32" ht="45.75">
      <c r="A117" s="29"/>
      <c r="B117" s="34"/>
      <c r="C117" s="32"/>
      <c r="D117" s="405"/>
      <c r="E117" s="413"/>
      <c r="F117" s="102" t="s">
        <v>1097</v>
      </c>
      <c r="G117" s="101"/>
      <c r="H117" s="102"/>
      <c r="I117" s="102"/>
      <c r="J117" s="105"/>
      <c r="K117" s="101"/>
      <c r="L117" s="544" t="s">
        <v>1098</v>
      </c>
      <c r="M117" s="552"/>
      <c r="N117" s="520"/>
      <c r="O117" s="520"/>
      <c r="P117" s="553" t="s">
        <v>320</v>
      </c>
      <c r="Q117" s="544" t="s">
        <v>1099</v>
      </c>
      <c r="R117" s="518"/>
      <c r="S117" s="537"/>
      <c r="T117" s="519"/>
      <c r="U117" s="519"/>
      <c r="V117" s="519" t="s">
        <v>1100</v>
      </c>
      <c r="W117" s="522" t="s">
        <v>1101</v>
      </c>
      <c r="X117" s="522" t="s">
        <v>528</v>
      </c>
      <c r="Y117" s="107"/>
      <c r="Z117" s="107"/>
      <c r="AA117" s="107"/>
      <c r="AB117" s="107"/>
      <c r="AC117" s="107"/>
      <c r="AD117" s="107"/>
      <c r="AE117" s="107"/>
      <c r="AF117" s="107"/>
    </row>
    <row r="118" spans="1:32" ht="91.5">
      <c r="A118" s="29"/>
      <c r="B118" s="34"/>
      <c r="C118" s="32"/>
      <c r="D118" s="404" t="s">
        <v>1102</v>
      </c>
      <c r="E118" s="407" t="s">
        <v>1103</v>
      </c>
      <c r="F118" s="100" t="s">
        <v>1104</v>
      </c>
      <c r="G118" s="101" t="s">
        <v>1105</v>
      </c>
      <c r="H118" s="102" t="s">
        <v>301</v>
      </c>
      <c r="I118" s="102" t="s">
        <v>332</v>
      </c>
      <c r="J118" s="105"/>
      <c r="K118" s="106" t="s">
        <v>1016</v>
      </c>
      <c r="L118" s="103" t="str">
        <f>G118</f>
        <v>Regular l'accés i la circulació</v>
      </c>
      <c r="M118" s="111"/>
      <c r="N118" s="103" t="s">
        <v>58</v>
      </c>
      <c r="O118" s="75" t="s">
        <v>57</v>
      </c>
      <c r="P118" s="397" t="s">
        <v>492</v>
      </c>
      <c r="Q118" s="517" t="s">
        <v>1106</v>
      </c>
      <c r="R118" s="518" t="s">
        <v>1107</v>
      </c>
      <c r="S118" s="538" t="s">
        <v>1108</v>
      </c>
      <c r="T118" s="519"/>
      <c r="U118" s="519" t="s">
        <v>1109</v>
      </c>
      <c r="V118" s="519" t="s">
        <v>1110</v>
      </c>
      <c r="W118" s="522" t="s">
        <v>370</v>
      </c>
      <c r="X118" s="522" t="s">
        <v>398</v>
      </c>
      <c r="Y118" s="107" t="s">
        <v>315</v>
      </c>
      <c r="Z118" s="107" t="s">
        <v>315</v>
      </c>
      <c r="AA118" s="107" t="s">
        <v>315</v>
      </c>
      <c r="AB118" s="107" t="s">
        <v>315</v>
      </c>
      <c r="AC118" s="107" t="s">
        <v>315</v>
      </c>
      <c r="AD118" s="107">
        <v>500</v>
      </c>
      <c r="AE118" s="107"/>
      <c r="AF118" s="107"/>
    </row>
    <row r="119" spans="1:32" ht="30.75">
      <c r="A119" s="29"/>
      <c r="B119" s="34"/>
      <c r="C119" s="32"/>
      <c r="D119" s="406"/>
      <c r="E119" s="408"/>
      <c r="F119" s="100" t="s">
        <v>1111</v>
      </c>
      <c r="G119" s="101" t="s">
        <v>1112</v>
      </c>
      <c r="H119" s="102" t="s">
        <v>301</v>
      </c>
      <c r="I119" s="102" t="s">
        <v>332</v>
      </c>
      <c r="J119" s="105"/>
      <c r="K119" s="106" t="s">
        <v>1016</v>
      </c>
      <c r="L119" s="103" t="str">
        <f t="shared" ref="L119:L125" si="20">G119</f>
        <v>Regular la xarxa viària principal, secundària i restringida</v>
      </c>
      <c r="M119" s="380" t="s">
        <v>1113</v>
      </c>
      <c r="N119" s="103" t="s">
        <v>377</v>
      </c>
      <c r="O119" s="75" t="s">
        <v>57</v>
      </c>
      <c r="P119" s="397" t="s">
        <v>492</v>
      </c>
      <c r="Q119" s="526" t="s">
        <v>378</v>
      </c>
      <c r="R119" s="543" t="s">
        <v>1114</v>
      </c>
      <c r="S119" s="537"/>
      <c r="T119" s="519"/>
      <c r="U119" s="519"/>
      <c r="V119" s="519"/>
      <c r="W119" s="522"/>
      <c r="X119" s="522"/>
      <c r="Y119" s="107" t="s">
        <v>315</v>
      </c>
      <c r="Z119" s="107"/>
      <c r="AA119" s="107"/>
      <c r="AB119" s="107"/>
      <c r="AC119" s="107"/>
      <c r="AD119" s="107">
        <v>0</v>
      </c>
      <c r="AE119" s="107"/>
      <c r="AF119" s="107"/>
    </row>
    <row r="120" spans="1:32" ht="30.75">
      <c r="A120" s="29"/>
      <c r="B120" s="34"/>
      <c r="C120" s="32"/>
      <c r="D120" s="406"/>
      <c r="E120" s="408"/>
      <c r="F120" s="100" t="s">
        <v>1115</v>
      </c>
      <c r="G120" s="101" t="s">
        <v>1116</v>
      </c>
      <c r="H120" s="102" t="s">
        <v>364</v>
      </c>
      <c r="I120" s="102" t="s">
        <v>332</v>
      </c>
      <c r="J120" s="105"/>
      <c r="K120" s="106" t="s">
        <v>1016</v>
      </c>
      <c r="L120" s="103" t="str">
        <f t="shared" si="20"/>
        <v>Regular l'ús de drons, l'enlairament i l'aterratge</v>
      </c>
      <c r="M120" s="380" t="s">
        <v>1017</v>
      </c>
      <c r="N120" s="103" t="s">
        <v>377</v>
      </c>
      <c r="O120" s="75" t="s">
        <v>57</v>
      </c>
      <c r="P120" s="397" t="s">
        <v>492</v>
      </c>
      <c r="Q120" s="526" t="s">
        <v>378</v>
      </c>
      <c r="R120" s="518" t="s">
        <v>1117</v>
      </c>
      <c r="S120" s="537"/>
      <c r="T120" s="519"/>
      <c r="U120" s="519"/>
      <c r="V120" s="522"/>
      <c r="W120" s="522"/>
      <c r="X120" s="522"/>
      <c r="Y120" s="107" t="s">
        <v>315</v>
      </c>
      <c r="Z120" s="107" t="s">
        <v>315</v>
      </c>
      <c r="AA120" s="107" t="s">
        <v>315</v>
      </c>
      <c r="AB120" s="107" t="s">
        <v>315</v>
      </c>
      <c r="AC120" s="107" t="s">
        <v>315</v>
      </c>
      <c r="AD120" s="107">
        <v>15</v>
      </c>
      <c r="AE120" s="107"/>
      <c r="AF120" s="107"/>
    </row>
    <row r="121" spans="1:32" ht="76.5">
      <c r="A121" s="29"/>
      <c r="B121" s="34"/>
      <c r="C121" s="32"/>
      <c r="D121" s="406"/>
      <c r="E121" s="408"/>
      <c r="F121" s="100" t="s">
        <v>1118</v>
      </c>
      <c r="G121" s="101" t="s">
        <v>1119</v>
      </c>
      <c r="H121" s="102" t="s">
        <v>301</v>
      </c>
      <c r="I121" s="102" t="s">
        <v>332</v>
      </c>
      <c r="J121" s="105"/>
      <c r="K121" s="106" t="s">
        <v>1016</v>
      </c>
      <c r="L121" s="103" t="str">
        <f t="shared" si="20"/>
        <v>Aplicar limitacions temporals d'accés o circulació</v>
      </c>
      <c r="M121" s="111"/>
      <c r="N121" s="103" t="s">
        <v>58</v>
      </c>
      <c r="O121" s="75" t="s">
        <v>57</v>
      </c>
      <c r="P121" s="397" t="s">
        <v>306</v>
      </c>
      <c r="Q121" s="517" t="s">
        <v>1120</v>
      </c>
      <c r="R121" s="518" t="s">
        <v>1107</v>
      </c>
      <c r="S121" s="537"/>
      <c r="T121" s="519"/>
      <c r="U121" s="519"/>
      <c r="V121" s="519" t="s">
        <v>1110</v>
      </c>
      <c r="W121" s="522" t="s">
        <v>370</v>
      </c>
      <c r="X121" s="522" t="s">
        <v>398</v>
      </c>
      <c r="Y121" s="107" t="s">
        <v>315</v>
      </c>
      <c r="Z121" s="107" t="s">
        <v>315</v>
      </c>
      <c r="AA121" s="107" t="s">
        <v>315</v>
      </c>
      <c r="AB121" s="107" t="s">
        <v>315</v>
      </c>
      <c r="AC121" s="107" t="s">
        <v>315</v>
      </c>
      <c r="AD121" s="383"/>
      <c r="AE121" s="107"/>
      <c r="AF121" s="107"/>
    </row>
    <row r="122" spans="1:32" ht="30.75">
      <c r="A122" s="29"/>
      <c r="B122" s="34"/>
      <c r="C122" s="32"/>
      <c r="D122" s="405"/>
      <c r="E122" s="409"/>
      <c r="F122" s="100" t="s">
        <v>1121</v>
      </c>
      <c r="G122" s="101" t="s">
        <v>1122</v>
      </c>
      <c r="H122" s="102" t="s">
        <v>301</v>
      </c>
      <c r="I122" s="102" t="s">
        <v>332</v>
      </c>
      <c r="J122" s="105"/>
      <c r="K122" s="106" t="s">
        <v>1016</v>
      </c>
      <c r="L122" s="103" t="str">
        <f t="shared" si="20"/>
        <v>Regular l'aparcament de vehícles</v>
      </c>
      <c r="M122" s="111"/>
      <c r="N122" s="103" t="s">
        <v>58</v>
      </c>
      <c r="O122" s="75" t="s">
        <v>57</v>
      </c>
      <c r="P122" s="397" t="s">
        <v>306</v>
      </c>
      <c r="Q122" s="517" t="s">
        <v>1123</v>
      </c>
      <c r="R122" s="518" t="s">
        <v>1124</v>
      </c>
      <c r="S122" s="537"/>
      <c r="T122" s="519"/>
      <c r="U122" s="519"/>
      <c r="V122" s="519" t="s">
        <v>1125</v>
      </c>
      <c r="W122" s="522" t="s">
        <v>370</v>
      </c>
      <c r="X122" s="522" t="s">
        <v>371</v>
      </c>
      <c r="Y122" s="107" t="s">
        <v>315</v>
      </c>
      <c r="Z122" s="107" t="s">
        <v>315</v>
      </c>
      <c r="AA122" s="107" t="s">
        <v>315</v>
      </c>
      <c r="AB122" s="107" t="s">
        <v>315</v>
      </c>
      <c r="AC122" s="107" t="s">
        <v>315</v>
      </c>
      <c r="AD122" s="107">
        <v>300</v>
      </c>
      <c r="AE122" s="107"/>
      <c r="AF122" s="107"/>
    </row>
    <row r="123" spans="1:32" ht="60.75">
      <c r="A123" s="29"/>
      <c r="B123" s="34"/>
      <c r="C123" s="32"/>
      <c r="D123" s="404" t="s">
        <v>1126</v>
      </c>
      <c r="E123" s="407" t="s">
        <v>1127</v>
      </c>
      <c r="F123" s="100" t="s">
        <v>1128</v>
      </c>
      <c r="G123" s="101" t="s">
        <v>1129</v>
      </c>
      <c r="H123" s="102" t="s">
        <v>301</v>
      </c>
      <c r="I123" s="102" t="s">
        <v>332</v>
      </c>
      <c r="J123" s="105"/>
      <c r="K123" s="106"/>
      <c r="L123" s="103" t="str">
        <f t="shared" si="20"/>
        <v>Implementar l'ordenació de l'ús públic en col·laboració amb els agents del territori</v>
      </c>
      <c r="M123" s="111"/>
      <c r="N123" s="75" t="s">
        <v>58</v>
      </c>
      <c r="O123" s="75" t="s">
        <v>57</v>
      </c>
      <c r="P123" s="397" t="s">
        <v>306</v>
      </c>
      <c r="Q123" s="517" t="s">
        <v>1130</v>
      </c>
      <c r="R123" s="518" t="s">
        <v>1131</v>
      </c>
      <c r="S123" s="537"/>
      <c r="T123" s="519"/>
      <c r="U123" s="519"/>
      <c r="V123" s="519" t="s">
        <v>1132</v>
      </c>
      <c r="W123" s="522" t="s">
        <v>371</v>
      </c>
      <c r="X123" s="522" t="s">
        <v>398</v>
      </c>
      <c r="Y123" s="107" t="s">
        <v>315</v>
      </c>
      <c r="Z123" s="107" t="s">
        <v>315</v>
      </c>
      <c r="AA123" s="107" t="s">
        <v>315</v>
      </c>
      <c r="AB123" s="107" t="s">
        <v>315</v>
      </c>
      <c r="AC123" s="107" t="s">
        <v>315</v>
      </c>
      <c r="AD123" s="107">
        <v>400</v>
      </c>
      <c r="AE123" s="107"/>
      <c r="AF123" s="107"/>
    </row>
    <row r="124" spans="1:32" ht="60.75">
      <c r="A124" s="29"/>
      <c r="B124" s="34"/>
      <c r="C124" s="32"/>
      <c r="D124" s="405"/>
      <c r="E124" s="409"/>
      <c r="F124" s="100" t="s">
        <v>1133</v>
      </c>
      <c r="G124" s="101" t="s">
        <v>1134</v>
      </c>
      <c r="H124" s="102" t="s">
        <v>301</v>
      </c>
      <c r="I124" s="102" t="s">
        <v>332</v>
      </c>
      <c r="J124" s="105"/>
      <c r="K124" s="106"/>
      <c r="L124" s="103" t="str">
        <f t="shared" si="20"/>
        <v>Promoció i acompanyament en l'ordenació de l'ús públic de l'ENP des de l'àmbit municipal</v>
      </c>
      <c r="M124" s="111"/>
      <c r="N124" s="115" t="s">
        <v>58</v>
      </c>
      <c r="O124" s="75" t="s">
        <v>57</v>
      </c>
      <c r="P124" s="397" t="s">
        <v>306</v>
      </c>
      <c r="Q124" s="517" t="s">
        <v>1135</v>
      </c>
      <c r="R124" s="518" t="s">
        <v>1136</v>
      </c>
      <c r="S124" s="537"/>
      <c r="T124" s="519"/>
      <c r="U124" s="519"/>
      <c r="V124" s="519" t="s">
        <v>1132</v>
      </c>
      <c r="W124" s="522" t="s">
        <v>371</v>
      </c>
      <c r="X124" s="522" t="s">
        <v>398</v>
      </c>
      <c r="Y124" s="107" t="s">
        <v>315</v>
      </c>
      <c r="Z124" s="107" t="s">
        <v>315</v>
      </c>
      <c r="AA124" s="107" t="s">
        <v>315</v>
      </c>
      <c r="AB124" s="107" t="s">
        <v>315</v>
      </c>
      <c r="AC124" s="107" t="s">
        <v>315</v>
      </c>
      <c r="AD124" s="383"/>
      <c r="AE124" s="107"/>
      <c r="AF124" s="107"/>
    </row>
    <row r="125" spans="1:32" ht="45.75">
      <c r="A125" s="29"/>
      <c r="B125" s="34"/>
      <c r="C125" s="32"/>
      <c r="D125" s="404" t="s">
        <v>1137</v>
      </c>
      <c r="E125" s="407" t="s">
        <v>1138</v>
      </c>
      <c r="F125" s="100" t="s">
        <v>1139</v>
      </c>
      <c r="G125" s="101" t="s">
        <v>1140</v>
      </c>
      <c r="H125" s="102" t="s">
        <v>301</v>
      </c>
      <c r="I125" s="102" t="s">
        <v>332</v>
      </c>
      <c r="J125" s="105"/>
      <c r="K125" s="106"/>
      <c r="L125" s="103" t="str">
        <f t="shared" si="20"/>
        <v>Realitzar l'inventari de senyalètica de l'ENP</v>
      </c>
      <c r="M125" s="111"/>
      <c r="N125" s="108" t="s">
        <v>58</v>
      </c>
      <c r="O125" s="75" t="s">
        <v>57</v>
      </c>
      <c r="P125" s="397" t="s">
        <v>421</v>
      </c>
      <c r="Q125" s="517" t="s">
        <v>1141</v>
      </c>
      <c r="R125" s="518" t="s">
        <v>1142</v>
      </c>
      <c r="S125" s="537"/>
      <c r="T125" s="519"/>
      <c r="U125" s="519"/>
      <c r="V125" s="519" t="s">
        <v>1143</v>
      </c>
      <c r="W125" s="522" t="s">
        <v>370</v>
      </c>
      <c r="X125" s="522" t="s">
        <v>370</v>
      </c>
      <c r="Y125" s="107"/>
      <c r="Z125" s="107"/>
      <c r="AA125" s="107" t="s">
        <v>315</v>
      </c>
      <c r="AB125" s="107" t="s">
        <v>315</v>
      </c>
      <c r="AC125" s="107" t="s">
        <v>315</v>
      </c>
      <c r="AD125" s="107">
        <v>100</v>
      </c>
      <c r="AE125" s="107"/>
      <c r="AF125" s="107"/>
    </row>
    <row r="126" spans="1:32" ht="76.5">
      <c r="A126" s="29"/>
      <c r="B126" s="34"/>
      <c r="C126" s="32"/>
      <c r="D126" s="405"/>
      <c r="E126" s="409"/>
      <c r="F126" s="100" t="s">
        <v>1144</v>
      </c>
      <c r="G126" s="101" t="s">
        <v>1145</v>
      </c>
      <c r="H126" s="102" t="s">
        <v>301</v>
      </c>
      <c r="I126" s="102" t="s">
        <v>332</v>
      </c>
      <c r="J126" s="110" t="s">
        <v>354</v>
      </c>
      <c r="K126" s="101" t="s">
        <v>1146</v>
      </c>
      <c r="L126" s="103" t="str">
        <f>G126</f>
        <v xml:space="preserve">Implantar el programa de senyalització i manteniment </v>
      </c>
      <c r="M126" s="111"/>
      <c r="N126" s="75" t="s">
        <v>58</v>
      </c>
      <c r="O126" s="75" t="s">
        <v>57</v>
      </c>
      <c r="P126" s="397" t="s">
        <v>306</v>
      </c>
      <c r="Q126" s="517" t="s">
        <v>1147</v>
      </c>
      <c r="R126" s="518" t="s">
        <v>1148</v>
      </c>
      <c r="S126" s="537"/>
      <c r="T126" s="519" t="s">
        <v>1149</v>
      </c>
      <c r="U126" s="519" t="s">
        <v>1150</v>
      </c>
      <c r="V126" s="519" t="s">
        <v>1151</v>
      </c>
      <c r="W126" s="522" t="s">
        <v>371</v>
      </c>
      <c r="X126" s="522" t="s">
        <v>655</v>
      </c>
      <c r="Y126" s="107" t="s">
        <v>315</v>
      </c>
      <c r="Z126" s="107" t="s">
        <v>315</v>
      </c>
      <c r="AA126" s="107" t="s">
        <v>315</v>
      </c>
      <c r="AB126" s="107" t="s">
        <v>315</v>
      </c>
      <c r="AC126" s="107" t="s">
        <v>315</v>
      </c>
      <c r="AD126" s="107">
        <v>300</v>
      </c>
      <c r="AE126" s="107"/>
      <c r="AF126" s="107"/>
    </row>
    <row r="127" spans="1:32" ht="60.75">
      <c r="A127" s="29"/>
      <c r="B127" s="34"/>
      <c r="C127" s="32"/>
      <c r="D127" s="404" t="s">
        <v>1152</v>
      </c>
      <c r="E127" s="407" t="s">
        <v>1153</v>
      </c>
      <c r="F127" s="100" t="s">
        <v>1154</v>
      </c>
      <c r="G127" s="101" t="s">
        <v>1155</v>
      </c>
      <c r="H127" s="102" t="s">
        <v>301</v>
      </c>
      <c r="I127" s="102" t="s">
        <v>483</v>
      </c>
      <c r="J127" s="105"/>
      <c r="K127" s="106"/>
      <c r="L127" s="103" t="str">
        <f t="shared" ref="L127" si="21">G127</f>
        <v xml:space="preserve">Potenciar la visita a espais alternatius dins de l'àmbit d'influència de l'espai natural per reduir la pressió en zones sensibles </v>
      </c>
      <c r="M127" s="380" t="s">
        <v>1156</v>
      </c>
      <c r="N127" s="75" t="s">
        <v>81</v>
      </c>
      <c r="O127" s="75" t="s">
        <v>81</v>
      </c>
      <c r="P127" s="397"/>
      <c r="Q127" s="527" t="s">
        <v>450</v>
      </c>
      <c r="R127" s="528" t="s">
        <v>1156</v>
      </c>
      <c r="S127" s="537"/>
      <c r="T127" s="519"/>
      <c r="U127" s="519"/>
      <c r="V127" s="519"/>
      <c r="W127" s="522"/>
      <c r="X127" s="522"/>
      <c r="Y127" s="107"/>
      <c r="Z127" s="107"/>
      <c r="AA127" s="107"/>
      <c r="AB127" s="107"/>
      <c r="AC127" s="107"/>
      <c r="AD127" s="107">
        <v>0</v>
      </c>
      <c r="AE127" s="107"/>
      <c r="AF127" s="107"/>
    </row>
    <row r="128" spans="1:32" ht="91.5">
      <c r="A128" s="29"/>
      <c r="B128" s="34"/>
      <c r="C128" s="32"/>
      <c r="D128" s="405"/>
      <c r="E128" s="409"/>
      <c r="F128" s="100" t="s">
        <v>1157</v>
      </c>
      <c r="G128" s="112" t="s">
        <v>1158</v>
      </c>
      <c r="H128" s="102" t="s">
        <v>301</v>
      </c>
      <c r="I128" s="102" t="s">
        <v>483</v>
      </c>
      <c r="J128" s="105"/>
      <c r="K128" s="106"/>
      <c r="L128" s="103" t="str">
        <f t="shared" ref="L128:L135" si="22">G128</f>
        <v xml:space="preserve">Implementar les mesures extraordinàries de regulació de l'ús públic </v>
      </c>
      <c r="M128" s="111"/>
      <c r="N128" s="75" t="s">
        <v>366</v>
      </c>
      <c r="O128" s="75" t="s">
        <v>57</v>
      </c>
      <c r="P128" s="397" t="s">
        <v>492</v>
      </c>
      <c r="Q128" s="531" t="s">
        <v>1159</v>
      </c>
      <c r="R128" s="528" t="s">
        <v>1160</v>
      </c>
      <c r="S128" s="537"/>
      <c r="T128" s="519"/>
      <c r="U128" s="519"/>
      <c r="V128" s="519" t="s">
        <v>1161</v>
      </c>
      <c r="W128" s="519" t="s">
        <v>841</v>
      </c>
      <c r="X128" s="519" t="s">
        <v>842</v>
      </c>
      <c r="Y128" s="107" t="s">
        <v>315</v>
      </c>
      <c r="Z128" s="107" t="s">
        <v>315</v>
      </c>
      <c r="AA128" s="107" t="s">
        <v>315</v>
      </c>
      <c r="AB128" s="107" t="s">
        <v>315</v>
      </c>
      <c r="AC128" s="107" t="s">
        <v>315</v>
      </c>
      <c r="AD128" s="383"/>
      <c r="AE128" s="107"/>
      <c r="AF128" s="107"/>
    </row>
    <row r="129" spans="1:32" ht="134.65" customHeight="1">
      <c r="A129" s="29"/>
      <c r="B129" s="34"/>
      <c r="C129" s="32"/>
      <c r="D129" s="404" t="s">
        <v>1162</v>
      </c>
      <c r="E129" s="407" t="s">
        <v>1163</v>
      </c>
      <c r="F129" s="100" t="s">
        <v>1164</v>
      </c>
      <c r="G129" s="101" t="s">
        <v>1165</v>
      </c>
      <c r="H129" s="102" t="s">
        <v>301</v>
      </c>
      <c r="I129" s="102" t="s">
        <v>332</v>
      </c>
      <c r="J129" s="105"/>
      <c r="K129" s="106"/>
      <c r="L129" s="103" t="str">
        <f t="shared" si="22"/>
        <v>Adequar els principals accessos, aparcaments i centres d'interès amb un ús elevat</v>
      </c>
      <c r="M129" s="111"/>
      <c r="N129" s="75" t="s">
        <v>58</v>
      </c>
      <c r="O129" s="75" t="s">
        <v>57</v>
      </c>
      <c r="P129" s="397" t="s">
        <v>492</v>
      </c>
      <c r="Q129" s="517" t="s">
        <v>1166</v>
      </c>
      <c r="R129" s="518" t="s">
        <v>1167</v>
      </c>
      <c r="S129" s="538" t="s">
        <v>1168</v>
      </c>
      <c r="T129" s="519"/>
      <c r="U129" s="519"/>
      <c r="V129" s="519" t="s">
        <v>1169</v>
      </c>
      <c r="W129" s="519" t="s">
        <v>350</v>
      </c>
      <c r="X129" s="519" t="s">
        <v>1170</v>
      </c>
      <c r="Y129" s="107" t="s">
        <v>315</v>
      </c>
      <c r="Z129" s="107" t="s">
        <v>315</v>
      </c>
      <c r="AA129" s="107" t="s">
        <v>315</v>
      </c>
      <c r="AB129" s="107" t="s">
        <v>315</v>
      </c>
      <c r="AC129" s="107" t="s">
        <v>315</v>
      </c>
      <c r="AD129" s="107">
        <v>1000</v>
      </c>
      <c r="AE129" s="107"/>
      <c r="AF129" s="107"/>
    </row>
    <row r="130" spans="1:32" ht="159.75" customHeight="1">
      <c r="A130" s="29"/>
      <c r="B130" s="34"/>
      <c r="C130" s="32"/>
      <c r="D130" s="406"/>
      <c r="E130" s="408"/>
      <c r="F130" s="100" t="s">
        <v>1171</v>
      </c>
      <c r="G130" s="112" t="s">
        <v>1172</v>
      </c>
      <c r="H130" s="102" t="s">
        <v>301</v>
      </c>
      <c r="I130" s="102" t="s">
        <v>332</v>
      </c>
      <c r="J130" s="105"/>
      <c r="K130" s="106"/>
      <c r="L130" s="103" t="str">
        <f t="shared" si="22"/>
        <v>Disposar i manternir els serveis,  equipaments i infraestructures necessàries i accessibles per acollir, informar, facilitar la visita i garantir la seguretat dels visitants i la protecció de l'entorn</v>
      </c>
      <c r="M130" s="111"/>
      <c r="N130" s="75" t="s">
        <v>58</v>
      </c>
      <c r="O130" s="75" t="s">
        <v>57</v>
      </c>
      <c r="P130" s="397" t="s">
        <v>306</v>
      </c>
      <c r="Q130" s="517" t="s">
        <v>1173</v>
      </c>
      <c r="R130" s="518" t="s">
        <v>1174</v>
      </c>
      <c r="S130" s="538"/>
      <c r="T130" s="519" t="s">
        <v>1175</v>
      </c>
      <c r="U130" s="519" t="s">
        <v>1176</v>
      </c>
      <c r="V130" s="519" t="s">
        <v>1177</v>
      </c>
      <c r="W130" s="519" t="s">
        <v>370</v>
      </c>
      <c r="X130" s="519" t="s">
        <v>398</v>
      </c>
      <c r="Y130" s="107" t="s">
        <v>315</v>
      </c>
      <c r="Z130" s="107" t="s">
        <v>315</v>
      </c>
      <c r="AA130" s="107" t="s">
        <v>315</v>
      </c>
      <c r="AB130" s="107" t="s">
        <v>315</v>
      </c>
      <c r="AC130" s="107" t="s">
        <v>315</v>
      </c>
      <c r="AD130" s="107">
        <v>1500</v>
      </c>
      <c r="AE130" s="107"/>
      <c r="AF130" s="107"/>
    </row>
    <row r="131" spans="1:32" ht="45.75">
      <c r="A131" s="29"/>
      <c r="B131" s="34"/>
      <c r="C131" s="32"/>
      <c r="D131" s="406"/>
      <c r="E131" s="408"/>
      <c r="F131" s="100" t="s">
        <v>1178</v>
      </c>
      <c r="G131" s="112" t="s">
        <v>1179</v>
      </c>
      <c r="H131" s="102" t="s">
        <v>301</v>
      </c>
      <c r="I131" s="102" t="s">
        <v>332</v>
      </c>
      <c r="J131" s="105"/>
      <c r="K131" s="101" t="s">
        <v>1180</v>
      </c>
      <c r="L131" s="103" t="str">
        <f t="shared" si="22"/>
        <v>Desenvolupar el Pla d'acollida als visitants en base al model de la DG</v>
      </c>
      <c r="M131" s="111"/>
      <c r="N131" s="116" t="s">
        <v>58</v>
      </c>
      <c r="O131" s="75" t="s">
        <v>57</v>
      </c>
      <c r="P131" s="397" t="s">
        <v>306</v>
      </c>
      <c r="Q131" s="517" t="s">
        <v>1181</v>
      </c>
      <c r="R131" s="518" t="s">
        <v>1182</v>
      </c>
      <c r="T131" s="519"/>
      <c r="U131" s="519" t="s">
        <v>1183</v>
      </c>
      <c r="V131" s="519" t="s">
        <v>1184</v>
      </c>
      <c r="W131" s="522" t="s">
        <v>370</v>
      </c>
      <c r="X131" s="522" t="s">
        <v>370</v>
      </c>
      <c r="Y131" s="107" t="s">
        <v>315</v>
      </c>
      <c r="Z131" s="107"/>
      <c r="AA131" s="107"/>
      <c r="AB131" s="107" t="s">
        <v>315</v>
      </c>
      <c r="AC131" s="107"/>
      <c r="AD131" s="107">
        <v>30</v>
      </c>
      <c r="AE131" s="107"/>
      <c r="AF131" s="107"/>
    </row>
    <row r="132" spans="1:32" ht="60.75">
      <c r="A132" s="29"/>
      <c r="B132" s="34"/>
      <c r="C132" s="32"/>
      <c r="D132" s="405"/>
      <c r="E132" s="409"/>
      <c r="F132" s="100" t="s">
        <v>1185</v>
      </c>
      <c r="G132" s="112" t="s">
        <v>1186</v>
      </c>
      <c r="H132" s="102" t="s">
        <v>301</v>
      </c>
      <c r="I132" s="102" t="s">
        <v>332</v>
      </c>
      <c r="J132" s="105" t="s">
        <v>46</v>
      </c>
      <c r="K132" s="101" t="s">
        <v>1187</v>
      </c>
      <c r="L132" s="103" t="str">
        <f t="shared" si="22"/>
        <v>Adaptar els missatges a donar des d'oficines d’informació, pròpies i alienes, d'acord amb el model de la DG</v>
      </c>
      <c r="M132" s="111"/>
      <c r="N132" s="75" t="s">
        <v>366</v>
      </c>
      <c r="O132" s="75" t="s">
        <v>57</v>
      </c>
      <c r="P132" s="397" t="s">
        <v>306</v>
      </c>
      <c r="Q132" s="517" t="s">
        <v>1188</v>
      </c>
      <c r="R132" s="518" t="s">
        <v>1189</v>
      </c>
      <c r="S132" s="537"/>
      <c r="T132" s="519"/>
      <c r="U132" s="519"/>
      <c r="V132" s="519" t="s">
        <v>1190</v>
      </c>
      <c r="W132" s="522" t="s">
        <v>370</v>
      </c>
      <c r="X132" s="522" t="s">
        <v>370</v>
      </c>
      <c r="Y132" s="107"/>
      <c r="Z132" s="107" t="s">
        <v>315</v>
      </c>
      <c r="AA132" s="107"/>
      <c r="AB132" s="107"/>
      <c r="AC132" s="107"/>
      <c r="AD132" s="107">
        <v>30</v>
      </c>
      <c r="AE132" s="107"/>
      <c r="AF132" s="107"/>
    </row>
    <row r="133" spans="1:32" ht="121.5">
      <c r="A133" s="29"/>
      <c r="B133" s="34"/>
      <c r="C133" s="32"/>
      <c r="D133" s="404" t="s">
        <v>1191</v>
      </c>
      <c r="E133" s="407" t="s">
        <v>1192</v>
      </c>
      <c r="F133" s="100" t="s">
        <v>1193</v>
      </c>
      <c r="G133" s="101" t="s">
        <v>1194</v>
      </c>
      <c r="H133" s="102" t="s">
        <v>301</v>
      </c>
      <c r="I133" s="102" t="s">
        <v>483</v>
      </c>
      <c r="J133" s="105"/>
      <c r="K133" s="106"/>
      <c r="L133" s="103" t="str">
        <f t="shared" si="22"/>
        <v>Elaborar i executar el Pla de vigilància de l’espai d'acord amb els cossos d’inspecció i seguretat</v>
      </c>
      <c r="M133" s="111"/>
      <c r="N133" s="75" t="s">
        <v>58</v>
      </c>
      <c r="O133" s="75" t="s">
        <v>57</v>
      </c>
      <c r="P133" s="397" t="s">
        <v>492</v>
      </c>
      <c r="Q133" s="517" t="s">
        <v>1195</v>
      </c>
      <c r="R133" s="518" t="s">
        <v>1196</v>
      </c>
      <c r="S133" s="537"/>
      <c r="T133" s="519" t="s">
        <v>1197</v>
      </c>
      <c r="U133" s="519"/>
      <c r="V133" s="519" t="s">
        <v>1198</v>
      </c>
      <c r="W133" s="522" t="s">
        <v>371</v>
      </c>
      <c r="X133" s="522" t="s">
        <v>655</v>
      </c>
      <c r="Y133" s="107" t="s">
        <v>315</v>
      </c>
      <c r="Z133" s="107" t="s">
        <v>315</v>
      </c>
      <c r="AA133" s="107" t="s">
        <v>315</v>
      </c>
      <c r="AB133" s="107" t="s">
        <v>315</v>
      </c>
      <c r="AC133" s="107" t="s">
        <v>315</v>
      </c>
      <c r="AD133" s="107">
        <v>500</v>
      </c>
      <c r="AE133" s="107"/>
      <c r="AF133" s="107"/>
    </row>
    <row r="134" spans="1:32" ht="76.5">
      <c r="A134" s="29"/>
      <c r="B134" s="34"/>
      <c r="C134" s="32"/>
      <c r="D134" s="406"/>
      <c r="E134" s="408"/>
      <c r="F134" s="100" t="s">
        <v>1199</v>
      </c>
      <c r="G134" s="101" t="s">
        <v>1200</v>
      </c>
      <c r="H134" s="102" t="s">
        <v>301</v>
      </c>
      <c r="I134" s="102" t="s">
        <v>332</v>
      </c>
      <c r="J134" s="105"/>
      <c r="K134" s="106"/>
      <c r="L134" s="103" t="str">
        <f t="shared" si="22"/>
        <v>Millorar la coordinació amb els cossos de seguretat per efectuar accions de control i vigilància</v>
      </c>
      <c r="M134" s="111"/>
      <c r="N134" s="75" t="s">
        <v>58</v>
      </c>
      <c r="O134" s="75" t="s">
        <v>57</v>
      </c>
      <c r="P134" s="397" t="s">
        <v>306</v>
      </c>
      <c r="Q134" s="517" t="s">
        <v>1201</v>
      </c>
      <c r="R134" s="518" t="s">
        <v>1202</v>
      </c>
      <c r="S134" s="538" t="s">
        <v>1203</v>
      </c>
      <c r="T134" s="519"/>
      <c r="U134" s="519" t="s">
        <v>1204</v>
      </c>
      <c r="V134" s="519" t="s">
        <v>1205</v>
      </c>
      <c r="W134" s="522" t="s">
        <v>370</v>
      </c>
      <c r="X134" s="522" t="s">
        <v>371</v>
      </c>
      <c r="Y134" s="107" t="s">
        <v>315</v>
      </c>
      <c r="Z134" s="107" t="s">
        <v>315</v>
      </c>
      <c r="AA134" s="107" t="s">
        <v>315</v>
      </c>
      <c r="AB134" s="107" t="s">
        <v>315</v>
      </c>
      <c r="AC134" s="107" t="s">
        <v>315</v>
      </c>
      <c r="AD134" s="107">
        <v>50</v>
      </c>
      <c r="AE134" s="107"/>
      <c r="AF134" s="107"/>
    </row>
    <row r="135" spans="1:32" ht="30.75">
      <c r="A135" s="29"/>
      <c r="B135" s="34"/>
      <c r="C135" s="32"/>
      <c r="D135" s="406"/>
      <c r="E135" s="408"/>
      <c r="F135" s="100" t="s">
        <v>1206</v>
      </c>
      <c r="G135" s="101" t="s">
        <v>1207</v>
      </c>
      <c r="H135" s="102" t="s">
        <v>301</v>
      </c>
      <c r="I135" s="102" t="s">
        <v>332</v>
      </c>
      <c r="J135" s="105"/>
      <c r="K135" s="106"/>
      <c r="L135" s="103" t="str">
        <f t="shared" si="22"/>
        <v>Vetllar pel compliment d'informes i la vigilància tècnica de l'espai</v>
      </c>
      <c r="M135" s="380" t="s">
        <v>531</v>
      </c>
      <c r="N135" s="75" t="s">
        <v>81</v>
      </c>
      <c r="O135" s="75" t="s">
        <v>57</v>
      </c>
      <c r="P135" s="397"/>
      <c r="Q135" s="527" t="s">
        <v>532</v>
      </c>
      <c r="R135" s="528" t="s">
        <v>1208</v>
      </c>
      <c r="S135" s="537"/>
      <c r="T135" s="519"/>
      <c r="U135" s="519"/>
      <c r="V135" s="519"/>
      <c r="W135" s="522"/>
      <c r="X135" s="522"/>
      <c r="Y135" s="107"/>
      <c r="Z135" s="107"/>
      <c r="AA135" s="107"/>
      <c r="AB135" s="107"/>
      <c r="AC135" s="107"/>
      <c r="AD135" s="107">
        <v>0</v>
      </c>
      <c r="AE135" s="107"/>
      <c r="AF135" s="107"/>
    </row>
    <row r="136" spans="1:32" ht="76.5">
      <c r="A136" s="29"/>
      <c r="B136" s="63">
        <v>12</v>
      </c>
      <c r="C136" s="64" t="s">
        <v>1209</v>
      </c>
      <c r="D136" s="404" t="s">
        <v>1210</v>
      </c>
      <c r="E136" s="407" t="s">
        <v>1211</v>
      </c>
      <c r="F136" s="100" t="s">
        <v>1212</v>
      </c>
      <c r="G136" s="101" t="s">
        <v>1213</v>
      </c>
      <c r="H136" s="102" t="s">
        <v>301</v>
      </c>
      <c r="I136" s="102" t="s">
        <v>332</v>
      </c>
      <c r="J136" s="105"/>
      <c r="K136" s="106"/>
      <c r="L136" s="103" t="str">
        <f>G136</f>
        <v>Ordenar el pla d’emergències</v>
      </c>
      <c r="M136" s="111"/>
      <c r="N136" s="75" t="s">
        <v>81</v>
      </c>
      <c r="O136" s="75" t="s">
        <v>57</v>
      </c>
      <c r="P136" s="397" t="s">
        <v>492</v>
      </c>
      <c r="Q136" s="542" t="s">
        <v>1214</v>
      </c>
      <c r="R136" s="528" t="s">
        <v>1215</v>
      </c>
      <c r="S136" s="537"/>
      <c r="T136" s="519"/>
      <c r="U136" s="519" t="s">
        <v>1216</v>
      </c>
      <c r="V136" s="519" t="s">
        <v>1217</v>
      </c>
      <c r="W136" s="519" t="s">
        <v>370</v>
      </c>
      <c r="X136" s="519" t="s">
        <v>370</v>
      </c>
      <c r="Y136" s="107" t="s">
        <v>315</v>
      </c>
      <c r="Z136" s="107"/>
      <c r="AA136" s="107"/>
      <c r="AB136" s="107"/>
      <c r="AC136" s="107"/>
      <c r="AD136" s="107">
        <v>0</v>
      </c>
      <c r="AE136" s="107"/>
      <c r="AF136" s="107"/>
    </row>
    <row r="137" spans="1:32" ht="45.75">
      <c r="A137" s="29"/>
      <c r="B137" s="65"/>
      <c r="C137" s="66"/>
      <c r="D137" s="405"/>
      <c r="E137" s="409"/>
      <c r="F137" s="100" t="s">
        <v>1218</v>
      </c>
      <c r="G137" s="101" t="s">
        <v>1219</v>
      </c>
      <c r="H137" s="102" t="s">
        <v>301</v>
      </c>
      <c r="I137" s="102" t="s">
        <v>332</v>
      </c>
      <c r="J137" s="105"/>
      <c r="K137" s="106"/>
      <c r="L137" s="103" t="str">
        <f t="shared" ref="L137" si="23">G137</f>
        <v>Contribuir a la protecció dels assentaments humans respecte dels riscos naturals</v>
      </c>
      <c r="M137" s="380" t="s">
        <v>531</v>
      </c>
      <c r="N137" s="75"/>
      <c r="O137" s="75" t="s">
        <v>57</v>
      </c>
      <c r="P137" s="397"/>
      <c r="Q137" s="527" t="s">
        <v>532</v>
      </c>
      <c r="R137" s="518" t="s">
        <v>1220</v>
      </c>
      <c r="S137" s="537"/>
      <c r="T137" s="519"/>
      <c r="U137" s="519"/>
      <c r="V137" s="519"/>
      <c r="W137" s="522"/>
      <c r="X137" s="522"/>
      <c r="Y137" s="107"/>
      <c r="Z137" s="107"/>
      <c r="AA137" s="107"/>
      <c r="AB137" s="107"/>
      <c r="AC137" s="107"/>
      <c r="AD137" s="107">
        <v>0</v>
      </c>
      <c r="AE137" s="107"/>
      <c r="AF137" s="107"/>
    </row>
    <row r="138" spans="1:32" ht="45.75">
      <c r="A138" s="30" t="s">
        <v>1221</v>
      </c>
      <c r="B138" s="417">
        <v>13</v>
      </c>
      <c r="C138" s="463" t="s">
        <v>1222</v>
      </c>
      <c r="D138" s="431" t="s">
        <v>1223</v>
      </c>
      <c r="E138" s="434" t="s">
        <v>1224</v>
      </c>
      <c r="F138" s="117" t="s">
        <v>1225</v>
      </c>
      <c r="G138" s="101" t="s">
        <v>1226</v>
      </c>
      <c r="H138" s="102" t="s">
        <v>301</v>
      </c>
      <c r="I138" s="102" t="s">
        <v>332</v>
      </c>
      <c r="J138" s="117" t="s">
        <v>1227</v>
      </c>
      <c r="K138" s="106"/>
      <c r="L138" s="103" t="str">
        <f>G138</f>
        <v>Definir el model de Xarxa d'Escoles de l'Espai Natural (XEEN) a l'ENP amb els agents educatius del territori</v>
      </c>
      <c r="M138" s="111"/>
      <c r="N138" s="75" t="s">
        <v>366</v>
      </c>
      <c r="O138" s="75" t="s">
        <v>57</v>
      </c>
      <c r="P138" s="397" t="s">
        <v>306</v>
      </c>
      <c r="Q138" s="517" t="s">
        <v>1228</v>
      </c>
      <c r="R138" s="518" t="s">
        <v>1229</v>
      </c>
      <c r="S138" s="537"/>
      <c r="T138" s="519"/>
      <c r="U138" s="519" t="s">
        <v>1230</v>
      </c>
      <c r="V138" s="519" t="s">
        <v>1231</v>
      </c>
      <c r="W138" s="522" t="s">
        <v>370</v>
      </c>
      <c r="X138" s="522" t="s">
        <v>370</v>
      </c>
      <c r="Y138" s="107" t="s">
        <v>315</v>
      </c>
      <c r="Z138" s="107" t="s">
        <v>315</v>
      </c>
      <c r="AA138" s="107"/>
      <c r="AB138" s="107"/>
      <c r="AC138" s="107"/>
      <c r="AD138" s="107">
        <v>10</v>
      </c>
      <c r="AE138" s="107"/>
      <c r="AF138" s="107"/>
    </row>
    <row r="139" spans="1:32" ht="60.75">
      <c r="A139" s="30"/>
      <c r="B139" s="417"/>
      <c r="C139" s="463"/>
      <c r="D139" s="431"/>
      <c r="E139" s="434"/>
      <c r="F139" s="117" t="s">
        <v>1232</v>
      </c>
      <c r="G139" s="112" t="s">
        <v>1233</v>
      </c>
      <c r="H139" s="102" t="s">
        <v>301</v>
      </c>
      <c r="I139" s="102" t="s">
        <v>332</v>
      </c>
      <c r="J139" s="117" t="s">
        <v>1227</v>
      </c>
      <c r="K139" s="101" t="s">
        <v>1234</v>
      </c>
      <c r="L139" s="103" t="str">
        <f>G139</f>
        <v>Desplegar el model de Xarxa d'Escoles de l'Espai Natural (XEEN) a l'ENP d'acord amb el model general</v>
      </c>
      <c r="M139" s="111"/>
      <c r="N139" s="118" t="s">
        <v>366</v>
      </c>
      <c r="O139" s="75" t="s">
        <v>57</v>
      </c>
      <c r="P139" s="397" t="s">
        <v>306</v>
      </c>
      <c r="Q139" s="517" t="s">
        <v>1235</v>
      </c>
      <c r="R139" s="528" t="s">
        <v>1236</v>
      </c>
      <c r="S139" s="537"/>
      <c r="T139" s="519"/>
      <c r="U139" s="519" t="s">
        <v>1237</v>
      </c>
      <c r="V139" s="519" t="s">
        <v>1238</v>
      </c>
      <c r="W139" s="522" t="s">
        <v>370</v>
      </c>
      <c r="X139" s="522" t="s">
        <v>371</v>
      </c>
      <c r="Y139" s="107"/>
      <c r="Z139" s="107" t="s">
        <v>315</v>
      </c>
      <c r="AA139" s="107" t="s">
        <v>315</v>
      </c>
      <c r="AB139" s="107" t="s">
        <v>315</v>
      </c>
      <c r="AC139" s="107" t="s">
        <v>315</v>
      </c>
      <c r="AD139" s="107">
        <v>20</v>
      </c>
      <c r="AE139" s="107"/>
      <c r="AF139" s="107"/>
    </row>
    <row r="140" spans="1:32" ht="91.5">
      <c r="A140" s="30"/>
      <c r="B140" s="417"/>
      <c r="C140" s="463"/>
      <c r="D140" s="432"/>
      <c r="E140" s="435"/>
      <c r="F140" s="117" t="s">
        <v>1239</v>
      </c>
      <c r="G140" s="101" t="s">
        <v>1240</v>
      </c>
      <c r="H140" s="102" t="s">
        <v>301</v>
      </c>
      <c r="I140" s="102" t="s">
        <v>332</v>
      </c>
      <c r="J140" s="117" t="s">
        <v>1227</v>
      </c>
      <c r="K140" s="101"/>
      <c r="L140" s="103" t="str">
        <f>G140</f>
        <v xml:space="preserve">Formar i capacitar al professorat de la XEEN </v>
      </c>
      <c r="M140" s="111"/>
      <c r="N140" s="118" t="s">
        <v>366</v>
      </c>
      <c r="O140" s="75" t="s">
        <v>57</v>
      </c>
      <c r="P140" s="397" t="s">
        <v>320</v>
      </c>
      <c r="Q140" s="517" t="s">
        <v>1241</v>
      </c>
      <c r="R140" s="528" t="s">
        <v>1236</v>
      </c>
      <c r="S140" s="537"/>
      <c r="T140" s="519"/>
      <c r="U140" s="519" t="s">
        <v>1242</v>
      </c>
      <c r="V140" s="519" t="s">
        <v>1243</v>
      </c>
      <c r="W140" s="519" t="s">
        <v>946</v>
      </c>
      <c r="X140" s="519" t="s">
        <v>1244</v>
      </c>
      <c r="Y140" s="107"/>
      <c r="Z140" s="107" t="s">
        <v>315</v>
      </c>
      <c r="AA140" s="107" t="s">
        <v>315</v>
      </c>
      <c r="AB140" s="107"/>
      <c r="AC140" s="107"/>
      <c r="AD140" s="107">
        <v>100</v>
      </c>
      <c r="AE140" s="107"/>
      <c r="AF140" s="107"/>
    </row>
    <row r="141" spans="1:32" ht="60.75">
      <c r="A141" s="30"/>
      <c r="B141" s="417"/>
      <c r="C141" s="463"/>
      <c r="D141" s="430" t="s">
        <v>1245</v>
      </c>
      <c r="E141" s="433" t="s">
        <v>1246</v>
      </c>
      <c r="F141" s="100" t="s">
        <v>1247</v>
      </c>
      <c r="G141" s="101" t="s">
        <v>1248</v>
      </c>
      <c r="H141" s="102" t="s">
        <v>301</v>
      </c>
      <c r="I141" s="102" t="s">
        <v>332</v>
      </c>
      <c r="J141" s="117" t="s">
        <v>1227</v>
      </c>
      <c r="K141" s="101" t="s">
        <v>1249</v>
      </c>
      <c r="L141" s="103" t="str">
        <f>G141</f>
        <v>Adaptar i millorar l'oferta pedagògica de l'ENP generant situacions d'aprenentatge i treballs per projecte</v>
      </c>
      <c r="M141" s="111"/>
      <c r="N141" s="75" t="s">
        <v>366</v>
      </c>
      <c r="O141" s="75" t="s">
        <v>57</v>
      </c>
      <c r="P141" s="397" t="s">
        <v>306</v>
      </c>
      <c r="Q141" s="517" t="s">
        <v>1250</v>
      </c>
      <c r="R141" s="518" t="s">
        <v>1251</v>
      </c>
      <c r="S141" s="537"/>
      <c r="T141" s="519"/>
      <c r="U141" s="519"/>
      <c r="V141" s="519" t="s">
        <v>1252</v>
      </c>
      <c r="W141" s="522" t="s">
        <v>371</v>
      </c>
      <c r="X141" s="522" t="s">
        <v>655</v>
      </c>
      <c r="Y141" s="107"/>
      <c r="Z141" s="107" t="s">
        <v>315</v>
      </c>
      <c r="AA141" s="107" t="s">
        <v>315</v>
      </c>
      <c r="AB141" s="107" t="s">
        <v>315</v>
      </c>
      <c r="AC141" s="107" t="s">
        <v>315</v>
      </c>
      <c r="AD141" s="107">
        <v>100</v>
      </c>
      <c r="AE141" s="107"/>
      <c r="AF141" s="107"/>
    </row>
    <row r="142" spans="1:32" ht="60.75">
      <c r="A142" s="30"/>
      <c r="B142" s="417"/>
      <c r="C142" s="463"/>
      <c r="D142" s="431"/>
      <c r="E142" s="434"/>
      <c r="F142" s="100" t="s">
        <v>1253</v>
      </c>
      <c r="G142" s="101" t="s">
        <v>1254</v>
      </c>
      <c r="H142" s="102" t="s">
        <v>301</v>
      </c>
      <c r="I142" s="102" t="s">
        <v>483</v>
      </c>
      <c r="J142" s="117" t="s">
        <v>1227</v>
      </c>
      <c r="K142" s="106"/>
      <c r="L142" s="103" t="str">
        <f>G142</f>
        <v>Dissenyar projectes d'ApS ambiental i Ciència ciutadana i projectes compartits amb entitats del territori que s'incloguin dins de l'oferta pedagògica.</v>
      </c>
      <c r="M142" s="111"/>
      <c r="N142" s="75" t="s">
        <v>81</v>
      </c>
      <c r="O142" s="75" t="s">
        <v>57</v>
      </c>
      <c r="P142" s="397" t="s">
        <v>773</v>
      </c>
      <c r="Q142" s="527" t="s">
        <v>774</v>
      </c>
      <c r="R142" s="518"/>
      <c r="S142" s="537"/>
      <c r="T142" s="519"/>
      <c r="U142" s="519"/>
      <c r="V142" s="519"/>
      <c r="W142" s="522"/>
      <c r="X142" s="522"/>
      <c r="Y142" s="107"/>
      <c r="Z142" s="107"/>
      <c r="AA142" s="107"/>
      <c r="AB142" s="107"/>
      <c r="AC142" s="107"/>
      <c r="AD142" s="107">
        <v>0</v>
      </c>
      <c r="AE142" s="107"/>
      <c r="AF142" s="107"/>
    </row>
    <row r="143" spans="1:32" ht="69" customHeight="1">
      <c r="A143" s="30"/>
      <c r="B143" s="417"/>
      <c r="C143" s="463"/>
      <c r="D143" s="431"/>
      <c r="E143" s="434"/>
      <c r="F143" s="100" t="s">
        <v>1255</v>
      </c>
      <c r="G143" s="101" t="s">
        <v>1256</v>
      </c>
      <c r="H143" s="102" t="s">
        <v>301</v>
      </c>
      <c r="I143" s="102" t="s">
        <v>483</v>
      </c>
      <c r="J143" s="117" t="s">
        <v>1227</v>
      </c>
      <c r="K143" s="106"/>
      <c r="L143" s="103" t="str">
        <f t="shared" ref="L143:L149" si="24">G143</f>
        <v>Elaborar recursos educatius sobre l’espai (que tinguin en compte les problemàtiques singulars del seu espai) i posar-los a disposició dels centres educatius</v>
      </c>
      <c r="M143" s="111"/>
      <c r="N143" s="75" t="s">
        <v>81</v>
      </c>
      <c r="O143" s="75" t="s">
        <v>57</v>
      </c>
      <c r="P143" s="397" t="s">
        <v>320</v>
      </c>
      <c r="Q143" s="517" t="s">
        <v>1257</v>
      </c>
      <c r="R143" s="518" t="s">
        <v>1258</v>
      </c>
      <c r="S143" s="537"/>
      <c r="T143" s="519"/>
      <c r="U143" s="519" t="s">
        <v>1259</v>
      </c>
      <c r="V143" s="519" t="s">
        <v>1252</v>
      </c>
      <c r="W143" s="522" t="s">
        <v>370</v>
      </c>
      <c r="X143" s="522" t="s">
        <v>371</v>
      </c>
      <c r="Y143" s="107"/>
      <c r="Z143" s="107" t="s">
        <v>315</v>
      </c>
      <c r="AA143" s="107" t="s">
        <v>315</v>
      </c>
      <c r="AB143" s="107" t="s">
        <v>315</v>
      </c>
      <c r="AC143" s="107" t="s">
        <v>315</v>
      </c>
      <c r="AD143" s="107">
        <v>100</v>
      </c>
      <c r="AE143" s="107"/>
      <c r="AF143" s="107"/>
    </row>
    <row r="144" spans="1:32" ht="45.75">
      <c r="A144" s="30"/>
      <c r="B144" s="417"/>
      <c r="C144" s="463"/>
      <c r="D144" s="432"/>
      <c r="E144" s="435"/>
      <c r="F144" s="100" t="s">
        <v>1260</v>
      </c>
      <c r="G144" s="101" t="s">
        <v>1261</v>
      </c>
      <c r="H144" s="102" t="s">
        <v>301</v>
      </c>
      <c r="I144" s="102" t="s">
        <v>483</v>
      </c>
      <c r="J144" s="117" t="s">
        <v>1227</v>
      </c>
      <c r="K144" s="106"/>
      <c r="L144" s="103" t="str">
        <f t="shared" si="24"/>
        <v>Oferir projectes de recerca vinculats a l'espai natural per a l'alumnat universitari i de la XEEN</v>
      </c>
      <c r="M144" s="111"/>
      <c r="N144" s="75" t="s">
        <v>58</v>
      </c>
      <c r="O144" s="75" t="s">
        <v>57</v>
      </c>
      <c r="P144" s="397" t="s">
        <v>320</v>
      </c>
      <c r="Q144" s="517" t="s">
        <v>1262</v>
      </c>
      <c r="R144" s="518" t="s">
        <v>1263</v>
      </c>
      <c r="S144" s="537"/>
      <c r="T144" s="519"/>
      <c r="U144" s="519" t="s">
        <v>1264</v>
      </c>
      <c r="V144" s="519" t="s">
        <v>1265</v>
      </c>
      <c r="W144" s="522" t="s">
        <v>370</v>
      </c>
      <c r="X144" s="522" t="s">
        <v>371</v>
      </c>
      <c r="Y144" s="107" t="s">
        <v>315</v>
      </c>
      <c r="Z144" s="107" t="s">
        <v>315</v>
      </c>
      <c r="AA144" s="107" t="s">
        <v>315</v>
      </c>
      <c r="AB144" s="107" t="s">
        <v>315</v>
      </c>
      <c r="AC144" s="107" t="s">
        <v>315</v>
      </c>
      <c r="AD144" s="107">
        <v>100</v>
      </c>
      <c r="AE144" s="107"/>
      <c r="AF144" s="107"/>
    </row>
    <row r="145" spans="1:32" ht="67.5" customHeight="1">
      <c r="A145" s="30"/>
      <c r="B145" s="417"/>
      <c r="C145" s="463"/>
      <c r="D145" s="430" t="s">
        <v>1266</v>
      </c>
      <c r="E145" s="433" t="s">
        <v>1267</v>
      </c>
      <c r="F145" s="100" t="s">
        <v>1268</v>
      </c>
      <c r="G145" s="101" t="s">
        <v>1269</v>
      </c>
      <c r="H145" s="102" t="s">
        <v>301</v>
      </c>
      <c r="I145" s="102" t="s">
        <v>332</v>
      </c>
      <c r="J145" s="117" t="s">
        <v>1227</v>
      </c>
      <c r="K145" s="106"/>
      <c r="L145" s="103" t="str">
        <f t="shared" si="24"/>
        <v>Establir un model de coordinació territorial amb agents clau de l'educació ambiental</v>
      </c>
      <c r="M145" s="380" t="s">
        <v>1270</v>
      </c>
      <c r="N145" s="75"/>
      <c r="O145" s="75" t="s">
        <v>57</v>
      </c>
      <c r="P145" s="397"/>
      <c r="Q145" s="527" t="s">
        <v>450</v>
      </c>
      <c r="R145" s="528" t="s">
        <v>1271</v>
      </c>
      <c r="S145" s="537"/>
      <c r="T145" s="519"/>
      <c r="U145" s="519" t="s">
        <v>1272</v>
      </c>
      <c r="V145" s="519"/>
      <c r="W145" s="522"/>
      <c r="X145" s="522"/>
      <c r="Y145" s="107"/>
      <c r="Z145" s="107"/>
      <c r="AA145" s="107"/>
      <c r="AB145" s="107"/>
      <c r="AC145" s="107"/>
      <c r="AD145" s="107">
        <v>0</v>
      </c>
      <c r="AE145" s="107"/>
      <c r="AF145" s="107"/>
    </row>
    <row r="146" spans="1:32" ht="106.5">
      <c r="A146" s="30"/>
      <c r="B146" s="417"/>
      <c r="C146" s="463"/>
      <c r="D146" s="431"/>
      <c r="E146" s="434"/>
      <c r="F146" s="100" t="s">
        <v>1273</v>
      </c>
      <c r="G146" s="101" t="s">
        <v>1274</v>
      </c>
      <c r="H146" s="102" t="s">
        <v>301</v>
      </c>
      <c r="I146" s="102" t="s">
        <v>332</v>
      </c>
      <c r="J146" s="117" t="s">
        <v>1227</v>
      </c>
      <c r="K146" s="106"/>
      <c r="L146" s="103" t="str">
        <f t="shared" si="24"/>
        <v>Cercar i establir col·laboracions i projectes conjunts amb agents clau del territori</v>
      </c>
      <c r="M146" s="111"/>
      <c r="N146" s="75" t="s">
        <v>58</v>
      </c>
      <c r="O146" s="75" t="s">
        <v>57</v>
      </c>
      <c r="P146" s="397" t="s">
        <v>306</v>
      </c>
      <c r="Q146" s="517" t="s">
        <v>1275</v>
      </c>
      <c r="R146" s="518" t="s">
        <v>1276</v>
      </c>
      <c r="S146" s="537"/>
      <c r="T146" s="519"/>
      <c r="U146" s="519" t="s">
        <v>1277</v>
      </c>
      <c r="V146" s="519" t="s">
        <v>1278</v>
      </c>
      <c r="W146" s="519" t="s">
        <v>946</v>
      </c>
      <c r="X146" s="519" t="s">
        <v>1279</v>
      </c>
      <c r="Y146" s="107" t="s">
        <v>315</v>
      </c>
      <c r="Z146" s="107" t="s">
        <v>315</v>
      </c>
      <c r="AA146" s="107" t="s">
        <v>315</v>
      </c>
      <c r="AB146" s="107" t="s">
        <v>315</v>
      </c>
      <c r="AC146" s="107" t="s">
        <v>315</v>
      </c>
      <c r="AD146" s="107">
        <v>200</v>
      </c>
      <c r="AE146" s="107"/>
      <c r="AF146" s="107"/>
    </row>
    <row r="147" spans="1:32" ht="152.25">
      <c r="A147" s="30"/>
      <c r="B147" s="417"/>
      <c r="C147" s="463"/>
      <c r="D147" s="432"/>
      <c r="E147" s="435"/>
      <c r="F147" s="100" t="s">
        <v>1280</v>
      </c>
      <c r="G147" s="101" t="s">
        <v>1281</v>
      </c>
      <c r="H147" s="102" t="s">
        <v>301</v>
      </c>
      <c r="I147" s="102" t="s">
        <v>332</v>
      </c>
      <c r="J147" s="117" t="s">
        <v>1227</v>
      </c>
      <c r="K147" s="101" t="s">
        <v>1282</v>
      </c>
      <c r="L147" s="103" t="str">
        <f t="shared" si="24"/>
        <v>Elaborar formacions dirigides als informadors, educadors i altres prescriptors del territori</v>
      </c>
      <c r="M147" s="111"/>
      <c r="N147" s="75" t="s">
        <v>58</v>
      </c>
      <c r="O147" s="75" t="s">
        <v>57</v>
      </c>
      <c r="P147" s="397" t="s">
        <v>492</v>
      </c>
      <c r="Q147" s="517" t="s">
        <v>1283</v>
      </c>
      <c r="R147" s="518" t="s">
        <v>1284</v>
      </c>
      <c r="S147" s="537"/>
      <c r="T147" s="519"/>
      <c r="U147" s="519" t="s">
        <v>1285</v>
      </c>
      <c r="V147" s="519" t="s">
        <v>1286</v>
      </c>
      <c r="W147" s="519" t="s">
        <v>408</v>
      </c>
      <c r="X147" s="519" t="s">
        <v>408</v>
      </c>
      <c r="Y147" s="107" t="s">
        <v>315</v>
      </c>
      <c r="Z147" s="107" t="s">
        <v>315</v>
      </c>
      <c r="AA147" s="107" t="s">
        <v>315</v>
      </c>
      <c r="AB147" s="107" t="s">
        <v>315</v>
      </c>
      <c r="AC147" s="107" t="s">
        <v>315</v>
      </c>
      <c r="AD147" s="107">
        <v>400</v>
      </c>
      <c r="AE147" s="107"/>
      <c r="AF147" s="107"/>
    </row>
    <row r="148" spans="1:32" ht="121.5">
      <c r="A148" s="30"/>
      <c r="B148" s="417"/>
      <c r="C148" s="463"/>
      <c r="D148" s="430" t="s">
        <v>1287</v>
      </c>
      <c r="E148" s="465" t="s">
        <v>1288</v>
      </c>
      <c r="F148" s="100" t="s">
        <v>1289</v>
      </c>
      <c r="G148" s="101" t="s">
        <v>1290</v>
      </c>
      <c r="H148" s="102" t="s">
        <v>301</v>
      </c>
      <c r="I148" s="102" t="s">
        <v>332</v>
      </c>
      <c r="J148" s="117" t="s">
        <v>1227</v>
      </c>
      <c r="K148" s="101" t="s">
        <v>1291</v>
      </c>
      <c r="L148" s="103" t="str">
        <f t="shared" si="24"/>
        <v>Desplegar en el territori les campanyes de sensibilització i bones pràctiques que s'impulsin des de la DG</v>
      </c>
      <c r="M148" s="111"/>
      <c r="N148" s="75" t="s">
        <v>366</v>
      </c>
      <c r="O148" s="75" t="s">
        <v>57</v>
      </c>
      <c r="P148" s="397" t="s">
        <v>306</v>
      </c>
      <c r="Q148" s="531" t="s">
        <v>1292</v>
      </c>
      <c r="R148" s="518" t="s">
        <v>1293</v>
      </c>
      <c r="S148" s="537"/>
      <c r="T148" s="519" t="s">
        <v>1294</v>
      </c>
      <c r="U148" s="519" t="s">
        <v>1295</v>
      </c>
      <c r="V148" s="519" t="s">
        <v>1296</v>
      </c>
      <c r="W148" s="519" t="s">
        <v>1297</v>
      </c>
      <c r="X148" s="519" t="s">
        <v>1298</v>
      </c>
      <c r="Y148" s="107" t="s">
        <v>315</v>
      </c>
      <c r="Z148" s="107" t="s">
        <v>315</v>
      </c>
      <c r="AA148" s="107" t="s">
        <v>315</v>
      </c>
      <c r="AB148" s="107" t="s">
        <v>315</v>
      </c>
      <c r="AC148" s="107" t="s">
        <v>315</v>
      </c>
      <c r="AD148" s="107">
        <v>100</v>
      </c>
      <c r="AE148" s="107"/>
      <c r="AF148" s="107"/>
    </row>
    <row r="149" spans="1:32" ht="91.5">
      <c r="A149" s="30"/>
      <c r="B149" s="417"/>
      <c r="C149" s="463"/>
      <c r="D149" s="431"/>
      <c r="E149" s="434"/>
      <c r="F149" s="100" t="s">
        <v>1299</v>
      </c>
      <c r="G149" s="101" t="s">
        <v>1300</v>
      </c>
      <c r="H149" s="102" t="s">
        <v>301</v>
      </c>
      <c r="I149" s="102" t="s">
        <v>483</v>
      </c>
      <c r="J149" s="117" t="s">
        <v>1227</v>
      </c>
      <c r="K149" s="119"/>
      <c r="L149" s="103" t="str">
        <f t="shared" si="24"/>
        <v xml:space="preserve">Adaptar el programa de divulgació i sensibilització de l'ENP perquè incorpori una oferta d’activitats adequada per a famílies </v>
      </c>
      <c r="M149" s="111"/>
      <c r="N149" s="75" t="s">
        <v>366</v>
      </c>
      <c r="O149" s="75" t="s">
        <v>57</v>
      </c>
      <c r="P149" s="397" t="s">
        <v>320</v>
      </c>
      <c r="Q149" s="517" t="s">
        <v>1301</v>
      </c>
      <c r="R149" s="518" t="s">
        <v>1302</v>
      </c>
      <c r="S149" s="537"/>
      <c r="T149" s="519"/>
      <c r="U149" s="519" t="s">
        <v>1303</v>
      </c>
      <c r="V149" s="519" t="s">
        <v>1304</v>
      </c>
      <c r="W149" s="519" t="s">
        <v>1305</v>
      </c>
      <c r="X149" s="519" t="s">
        <v>1306</v>
      </c>
      <c r="Y149" s="107"/>
      <c r="Z149" s="107" t="s">
        <v>315</v>
      </c>
      <c r="AA149" s="107" t="s">
        <v>315</v>
      </c>
      <c r="AB149" s="107" t="s">
        <v>315</v>
      </c>
      <c r="AC149" s="107" t="s">
        <v>315</v>
      </c>
      <c r="AD149" s="107">
        <v>200</v>
      </c>
      <c r="AE149" s="107"/>
      <c r="AF149" s="107"/>
    </row>
    <row r="150" spans="1:32" ht="31.5" customHeight="1">
      <c r="A150" s="30"/>
      <c r="B150" s="417"/>
      <c r="C150" s="463"/>
      <c r="D150" s="431"/>
      <c r="E150" s="434"/>
      <c r="F150" s="100" t="s">
        <v>1307</v>
      </c>
      <c r="G150" s="112" t="s">
        <v>1308</v>
      </c>
      <c r="H150" s="102" t="s">
        <v>301</v>
      </c>
      <c r="I150" s="102" t="s">
        <v>483</v>
      </c>
      <c r="J150" s="117" t="s">
        <v>1227</v>
      </c>
      <c r="K150" s="119"/>
      <c r="L150" s="103" t="str">
        <f>G150</f>
        <v xml:space="preserve">Adaptar el programa de divulgació i sensibilització de l'ENP perquè incorpori una oferta d’activitats adequada per a altres perfils </v>
      </c>
      <c r="M150" s="380"/>
      <c r="N150" s="75" t="s">
        <v>81</v>
      </c>
      <c r="O150" s="75" t="s">
        <v>57</v>
      </c>
      <c r="P150" s="397" t="s">
        <v>306</v>
      </c>
      <c r="Q150" s="526" t="s">
        <v>595</v>
      </c>
      <c r="R150" s="528" t="s">
        <v>1309</v>
      </c>
      <c r="S150" s="537"/>
      <c r="T150" s="519"/>
      <c r="U150" s="519"/>
      <c r="V150" s="522"/>
      <c r="W150" s="522"/>
      <c r="X150" s="522"/>
      <c r="Y150" s="107"/>
      <c r="Z150" s="107" t="s">
        <v>315</v>
      </c>
      <c r="AA150" s="107" t="s">
        <v>315</v>
      </c>
      <c r="AB150" s="107" t="s">
        <v>315</v>
      </c>
      <c r="AC150" s="107" t="s">
        <v>315</v>
      </c>
      <c r="AD150" s="383"/>
      <c r="AE150" s="107"/>
      <c r="AF150" s="107"/>
    </row>
    <row r="151" spans="1:32" ht="60.95" customHeight="1">
      <c r="A151" s="30"/>
      <c r="B151" s="417"/>
      <c r="C151" s="463"/>
      <c r="D151" s="432"/>
      <c r="E151" s="435"/>
      <c r="F151" s="100" t="s">
        <v>1310</v>
      </c>
      <c r="G151" s="101" t="s">
        <v>1311</v>
      </c>
      <c r="H151" s="102" t="s">
        <v>301</v>
      </c>
      <c r="I151" s="102" t="s">
        <v>483</v>
      </c>
      <c r="J151" s="117" t="s">
        <v>1227</v>
      </c>
      <c r="K151" s="119"/>
      <c r="L151" s="103" t="str">
        <f>G151</f>
        <v xml:space="preserve">Adaptar el programa de divulgació i sensibilització de l'ENP perquè incorpori una oferta d’activitats dirigida al lleure educatiu </v>
      </c>
      <c r="M151" s="111"/>
      <c r="N151" s="75" t="s">
        <v>81</v>
      </c>
      <c r="O151" s="75" t="s">
        <v>57</v>
      </c>
      <c r="P151" s="397" t="s">
        <v>320</v>
      </c>
      <c r="Q151" s="517" t="s">
        <v>1312</v>
      </c>
      <c r="R151" s="528" t="s">
        <v>1313</v>
      </c>
      <c r="S151" s="537"/>
      <c r="T151" s="519"/>
      <c r="U151" s="519" t="s">
        <v>1314</v>
      </c>
      <c r="V151" s="519" t="s">
        <v>1315</v>
      </c>
      <c r="W151" s="519" t="s">
        <v>1316</v>
      </c>
      <c r="X151" s="519" t="s">
        <v>1317</v>
      </c>
      <c r="Y151" s="107"/>
      <c r="Z151" s="107" t="s">
        <v>315</v>
      </c>
      <c r="AA151" s="107" t="s">
        <v>315</v>
      </c>
      <c r="AB151" s="107"/>
      <c r="AC151" s="107"/>
      <c r="AD151" s="383"/>
      <c r="AE151" s="107"/>
      <c r="AF151" s="107"/>
    </row>
    <row r="152" spans="1:32" ht="30.75">
      <c r="A152" s="30"/>
      <c r="B152" s="417"/>
      <c r="C152" s="463"/>
      <c r="D152" s="430" t="s">
        <v>1318</v>
      </c>
      <c r="E152" s="433" t="s">
        <v>1319</v>
      </c>
      <c r="F152" s="100" t="s">
        <v>1320</v>
      </c>
      <c r="G152" s="112" t="s">
        <v>1321</v>
      </c>
      <c r="H152" s="102" t="s">
        <v>301</v>
      </c>
      <c r="I152" s="102" t="s">
        <v>332</v>
      </c>
      <c r="J152" s="117" t="s">
        <v>1227</v>
      </c>
      <c r="K152" s="106"/>
      <c r="L152" s="103" t="str">
        <f>G152</f>
        <v>Identificar col·lectius estratègics implicats en la gestió i l'ús del territori</v>
      </c>
      <c r="M152" s="111"/>
      <c r="N152" s="75" t="s">
        <v>58</v>
      </c>
      <c r="O152" s="75" t="s">
        <v>57</v>
      </c>
      <c r="P152" s="397" t="s">
        <v>306</v>
      </c>
      <c r="Q152" s="517" t="s">
        <v>1322</v>
      </c>
      <c r="R152" s="518" t="s">
        <v>1323</v>
      </c>
      <c r="S152" s="537"/>
      <c r="T152" s="519"/>
      <c r="U152" s="519" t="s">
        <v>1324</v>
      </c>
      <c r="V152" s="519" t="s">
        <v>1325</v>
      </c>
      <c r="W152" s="522" t="s">
        <v>370</v>
      </c>
      <c r="X152" s="522" t="s">
        <v>370</v>
      </c>
      <c r="Y152" s="107" t="s">
        <v>315</v>
      </c>
      <c r="Z152" s="107" t="s">
        <v>315</v>
      </c>
      <c r="AA152" s="107" t="s">
        <v>315</v>
      </c>
      <c r="AB152" s="107" t="s">
        <v>315</v>
      </c>
      <c r="AC152" s="107" t="s">
        <v>315</v>
      </c>
      <c r="AD152" s="107">
        <v>20</v>
      </c>
      <c r="AE152" s="107"/>
      <c r="AF152" s="107"/>
    </row>
    <row r="153" spans="1:32" ht="76.5">
      <c r="A153" s="30"/>
      <c r="B153" s="417"/>
      <c r="C153" s="463"/>
      <c r="D153" s="431"/>
      <c r="E153" s="434"/>
      <c r="F153" s="100" t="s">
        <v>1326</v>
      </c>
      <c r="G153" s="101" t="s">
        <v>1327</v>
      </c>
      <c r="H153" s="102" t="s">
        <v>301</v>
      </c>
      <c r="I153" s="102" t="s">
        <v>483</v>
      </c>
      <c r="J153" s="117" t="s">
        <v>1227</v>
      </c>
      <c r="K153" s="119"/>
      <c r="L153" s="103" t="str">
        <f>G153</f>
        <v>Executar els projectes de sensibilització i formació dirigits al sector turístic, esportiu i de lleure</v>
      </c>
      <c r="M153" s="111"/>
      <c r="N153" s="75" t="s">
        <v>58</v>
      </c>
      <c r="O153" s="75" t="s">
        <v>57</v>
      </c>
      <c r="P153" s="397" t="s">
        <v>306</v>
      </c>
      <c r="Q153" s="517" t="s">
        <v>1328</v>
      </c>
      <c r="R153" s="518" t="s">
        <v>1329</v>
      </c>
      <c r="S153" s="537"/>
      <c r="T153" s="519"/>
      <c r="U153" s="519" t="s">
        <v>1330</v>
      </c>
      <c r="V153" s="519" t="s">
        <v>1331</v>
      </c>
      <c r="W153" s="522" t="s">
        <v>1332</v>
      </c>
      <c r="X153" s="522" t="s">
        <v>1333</v>
      </c>
      <c r="Y153" s="107" t="s">
        <v>315</v>
      </c>
      <c r="Z153" s="107" t="s">
        <v>315</v>
      </c>
      <c r="AA153" s="107" t="s">
        <v>315</v>
      </c>
      <c r="AB153" s="107" t="s">
        <v>315</v>
      </c>
      <c r="AC153" s="107" t="s">
        <v>315</v>
      </c>
      <c r="AD153" s="107">
        <v>150</v>
      </c>
      <c r="AE153" s="107"/>
      <c r="AF153" s="107"/>
    </row>
    <row r="154" spans="1:32" ht="137.25">
      <c r="A154" s="30"/>
      <c r="B154" s="417"/>
      <c r="C154" s="463"/>
      <c r="D154" s="431"/>
      <c r="E154" s="434"/>
      <c r="F154" s="100" t="s">
        <v>1334</v>
      </c>
      <c r="G154" s="101" t="s">
        <v>1335</v>
      </c>
      <c r="H154" s="102" t="s">
        <v>301</v>
      </c>
      <c r="I154" s="102" t="s">
        <v>483</v>
      </c>
      <c r="J154" s="117" t="s">
        <v>1227</v>
      </c>
      <c r="K154" s="119"/>
      <c r="L154" s="103" t="str">
        <f t="shared" ref="L154:L155" si="25">G154</f>
        <v xml:space="preserve">Executar els projectes de sensibilització i formació dirigits als agents de lleure educatiu </v>
      </c>
      <c r="M154" s="111"/>
      <c r="N154" s="75" t="s">
        <v>58</v>
      </c>
      <c r="O154" s="75" t="s">
        <v>57</v>
      </c>
      <c r="P154" s="397" t="s">
        <v>320</v>
      </c>
      <c r="Q154" s="517" t="s">
        <v>1336</v>
      </c>
      <c r="R154" s="518" t="s">
        <v>1329</v>
      </c>
      <c r="S154" s="537"/>
      <c r="T154" s="519"/>
      <c r="U154" s="519"/>
      <c r="V154" s="519" t="s">
        <v>1337</v>
      </c>
      <c r="W154" s="519" t="s">
        <v>350</v>
      </c>
      <c r="X154" s="519" t="s">
        <v>351</v>
      </c>
      <c r="Y154" s="107"/>
      <c r="Z154" s="107" t="s">
        <v>315</v>
      </c>
      <c r="AA154" s="107" t="s">
        <v>315</v>
      </c>
      <c r="AB154" s="107" t="s">
        <v>315</v>
      </c>
      <c r="AC154" s="107" t="s">
        <v>315</v>
      </c>
      <c r="AD154" s="107">
        <v>150</v>
      </c>
      <c r="AE154" s="107"/>
      <c r="AF154" s="107"/>
    </row>
    <row r="155" spans="1:32" ht="45.75">
      <c r="A155" s="30"/>
      <c r="B155" s="417"/>
      <c r="C155" s="463"/>
      <c r="D155" s="431"/>
      <c r="E155" s="434"/>
      <c r="F155" s="100" t="s">
        <v>1338</v>
      </c>
      <c r="G155" s="101" t="s">
        <v>1339</v>
      </c>
      <c r="H155" s="102" t="s">
        <v>301</v>
      </c>
      <c r="I155" s="102" t="s">
        <v>483</v>
      </c>
      <c r="J155" s="117" t="s">
        <v>1227</v>
      </c>
      <c r="K155" s="119"/>
      <c r="L155" s="103" t="str">
        <f t="shared" si="25"/>
        <v xml:space="preserve">Executar els projectes de sensibilització i formació dirigits als agents del sector primari </v>
      </c>
      <c r="M155" s="111"/>
      <c r="N155" s="108" t="s">
        <v>366</v>
      </c>
      <c r="O155" s="75" t="s">
        <v>57</v>
      </c>
      <c r="P155" s="397" t="s">
        <v>306</v>
      </c>
      <c r="Q155" s="517" t="s">
        <v>1340</v>
      </c>
      <c r="R155" s="518" t="s">
        <v>1341</v>
      </c>
      <c r="S155" s="537"/>
      <c r="T155" s="519"/>
      <c r="U155" s="519"/>
      <c r="V155" s="519" t="s">
        <v>1342</v>
      </c>
      <c r="W155" s="522" t="s">
        <v>370</v>
      </c>
      <c r="X155" s="522" t="s">
        <v>371</v>
      </c>
      <c r="Y155" s="107"/>
      <c r="Z155" s="107"/>
      <c r="AA155" s="107" t="s">
        <v>315</v>
      </c>
      <c r="AB155" s="107" t="s">
        <v>315</v>
      </c>
      <c r="AC155" s="107" t="s">
        <v>315</v>
      </c>
      <c r="AD155" s="107">
        <v>100</v>
      </c>
      <c r="AE155" s="107"/>
      <c r="AF155" s="107"/>
    </row>
    <row r="156" spans="1:32" ht="91.5">
      <c r="A156" s="30"/>
      <c r="B156" s="417"/>
      <c r="C156" s="463"/>
      <c r="D156" s="432"/>
      <c r="E156" s="435"/>
      <c r="F156" s="100" t="s">
        <v>1343</v>
      </c>
      <c r="G156" s="112" t="s">
        <v>1344</v>
      </c>
      <c r="H156" s="102" t="s">
        <v>301</v>
      </c>
      <c r="I156" s="102" t="s">
        <v>332</v>
      </c>
      <c r="J156" s="117" t="s">
        <v>1227</v>
      </c>
      <c r="K156" s="106"/>
      <c r="L156" s="103" t="str">
        <f>G156</f>
        <v>Elaborar i renovar periòdicament un programa d’educació ambiental adreçat a la població local que contribueixi a fomentar el sentiment de pertinença i la implicació en la conservació de l'ENP.</v>
      </c>
      <c r="M156" s="111"/>
      <c r="N156" s="75" t="s">
        <v>81</v>
      </c>
      <c r="O156" s="75" t="s">
        <v>57</v>
      </c>
      <c r="P156" s="397" t="s">
        <v>320</v>
      </c>
      <c r="Q156" s="531" t="s">
        <v>1345</v>
      </c>
      <c r="R156" s="518" t="s">
        <v>1346</v>
      </c>
      <c r="S156" s="537"/>
      <c r="T156" s="519"/>
      <c r="U156" s="519" t="s">
        <v>1347</v>
      </c>
      <c r="V156" s="519" t="s">
        <v>1348</v>
      </c>
      <c r="W156" s="519" t="s">
        <v>370</v>
      </c>
      <c r="X156" s="519" t="s">
        <v>398</v>
      </c>
      <c r="Y156" s="107"/>
      <c r="Z156" s="107" t="s">
        <v>315</v>
      </c>
      <c r="AA156" s="107" t="s">
        <v>315</v>
      </c>
      <c r="AB156" s="107" t="s">
        <v>315</v>
      </c>
      <c r="AC156" s="107" t="s">
        <v>315</v>
      </c>
      <c r="AD156" s="108">
        <v>50</v>
      </c>
      <c r="AE156" s="107"/>
      <c r="AF156" s="107"/>
    </row>
    <row r="157" spans="1:32" ht="91.5">
      <c r="A157" s="30"/>
      <c r="B157" s="417"/>
      <c r="C157" s="463"/>
      <c r="D157" s="430" t="s">
        <v>1349</v>
      </c>
      <c r="E157" s="436" t="s">
        <v>1350</v>
      </c>
      <c r="F157" s="100" t="s">
        <v>1351</v>
      </c>
      <c r="G157" s="101" t="s">
        <v>1352</v>
      </c>
      <c r="H157" s="102" t="s">
        <v>301</v>
      </c>
      <c r="I157" s="102" t="s">
        <v>332</v>
      </c>
      <c r="J157" s="117" t="s">
        <v>1227</v>
      </c>
      <c r="K157" s="106"/>
      <c r="L157" s="103" t="str">
        <f>G157</f>
        <v>Identificar els programes, projectes i accions en marxa o previstos a l’ENP que poden rebre el suport del voluntariat</v>
      </c>
      <c r="M157" s="111"/>
      <c r="N157" s="75" t="s">
        <v>58</v>
      </c>
      <c r="O157" s="75" t="s">
        <v>57</v>
      </c>
      <c r="P157" s="397" t="s">
        <v>306</v>
      </c>
      <c r="Q157" s="517" t="s">
        <v>1353</v>
      </c>
      <c r="R157" s="518" t="s">
        <v>1354</v>
      </c>
      <c r="S157" s="537"/>
      <c r="T157" s="519" t="s">
        <v>1355</v>
      </c>
      <c r="U157" s="519" t="s">
        <v>1356</v>
      </c>
      <c r="V157" s="519" t="s">
        <v>1357</v>
      </c>
      <c r="W157" s="522" t="s">
        <v>371</v>
      </c>
      <c r="X157" s="522" t="s">
        <v>1096</v>
      </c>
      <c r="Y157" s="107" t="s">
        <v>315</v>
      </c>
      <c r="Z157" s="107" t="s">
        <v>315</v>
      </c>
      <c r="AA157" s="107" t="s">
        <v>315</v>
      </c>
      <c r="AB157" s="107" t="s">
        <v>315</v>
      </c>
      <c r="AC157" s="107" t="s">
        <v>315</v>
      </c>
      <c r="AD157" s="383"/>
      <c r="AE157" s="107"/>
      <c r="AF157" s="107"/>
    </row>
    <row r="158" spans="1:32" ht="167.25">
      <c r="A158" s="30"/>
      <c r="B158" s="417"/>
      <c r="C158" s="463"/>
      <c r="D158" s="432"/>
      <c r="E158" s="435"/>
      <c r="F158" s="100" t="s">
        <v>1358</v>
      </c>
      <c r="G158" s="101" t="s">
        <v>1359</v>
      </c>
      <c r="H158" s="102" t="s">
        <v>301</v>
      </c>
      <c r="I158" s="102" t="s">
        <v>332</v>
      </c>
      <c r="J158" s="110" t="s">
        <v>1360</v>
      </c>
      <c r="K158" s="106" t="s">
        <v>1361</v>
      </c>
      <c r="L158" s="103" t="str">
        <f>G158</f>
        <v>Establir un model de coordinació territorial amb agents clau del voluntariat ambiental</v>
      </c>
      <c r="M158" s="111"/>
      <c r="N158" s="75" t="s">
        <v>58</v>
      </c>
      <c r="O158" s="75" t="s">
        <v>57</v>
      </c>
      <c r="P158" s="397" t="s">
        <v>306</v>
      </c>
      <c r="Q158" s="517" t="s">
        <v>1362</v>
      </c>
      <c r="R158" s="518" t="s">
        <v>1363</v>
      </c>
      <c r="S158" s="537"/>
      <c r="T158" s="519"/>
      <c r="U158" s="519" t="s">
        <v>1364</v>
      </c>
      <c r="V158" s="519" t="s">
        <v>1365</v>
      </c>
      <c r="W158" s="519" t="s">
        <v>1366</v>
      </c>
      <c r="X158" s="519" t="s">
        <v>1367</v>
      </c>
      <c r="Y158" s="107" t="s">
        <v>315</v>
      </c>
      <c r="Z158" s="107" t="s">
        <v>315</v>
      </c>
      <c r="AA158" s="107" t="s">
        <v>315</v>
      </c>
      <c r="AB158" s="107" t="s">
        <v>315</v>
      </c>
      <c r="AC158" s="107" t="s">
        <v>315</v>
      </c>
      <c r="AD158" s="108">
        <v>450</v>
      </c>
      <c r="AE158" s="107"/>
      <c r="AF158" s="107"/>
    </row>
    <row r="159" spans="1:32" ht="121.5">
      <c r="A159" s="30"/>
      <c r="B159" s="417"/>
      <c r="C159" s="463"/>
      <c r="D159" s="466" t="s">
        <v>1368</v>
      </c>
      <c r="E159" s="436" t="s">
        <v>1369</v>
      </c>
      <c r="F159" s="120" t="s">
        <v>1370</v>
      </c>
      <c r="G159" s="101" t="s">
        <v>1371</v>
      </c>
      <c r="H159" s="102" t="s">
        <v>301</v>
      </c>
      <c r="I159" s="102" t="s">
        <v>332</v>
      </c>
      <c r="J159" s="117" t="s">
        <v>1227</v>
      </c>
      <c r="K159" s="119"/>
      <c r="L159" s="103" t="str">
        <f>G159</f>
        <v>Dissenyar i adaptar activitats inclusives per a persones amb necessitats específiques</v>
      </c>
      <c r="M159" s="111"/>
      <c r="N159" s="75" t="s">
        <v>58</v>
      </c>
      <c r="O159" s="75" t="s">
        <v>57</v>
      </c>
      <c r="P159" s="397" t="s">
        <v>320</v>
      </c>
      <c r="Q159" s="517" t="s">
        <v>1372</v>
      </c>
      <c r="R159" s="518" t="s">
        <v>1373</v>
      </c>
      <c r="S159" s="537"/>
      <c r="T159" s="519"/>
      <c r="U159" s="519" t="s">
        <v>1374</v>
      </c>
      <c r="V159" s="519" t="s">
        <v>1375</v>
      </c>
      <c r="W159" s="519" t="s">
        <v>1376</v>
      </c>
      <c r="X159" s="519" t="s">
        <v>1376</v>
      </c>
      <c r="Y159" s="107"/>
      <c r="Z159" s="107"/>
      <c r="AA159" s="107"/>
      <c r="AB159" s="107"/>
      <c r="AC159" s="107"/>
      <c r="AD159" s="107">
        <v>400</v>
      </c>
      <c r="AE159" s="107"/>
      <c r="AF159" s="107"/>
    </row>
    <row r="160" spans="1:32" ht="76.5">
      <c r="A160" s="30"/>
      <c r="B160" s="417"/>
      <c r="C160" s="463"/>
      <c r="D160" s="467"/>
      <c r="E160" s="434"/>
      <c r="F160" s="120" t="s">
        <v>1377</v>
      </c>
      <c r="G160" s="101" t="s">
        <v>1378</v>
      </c>
      <c r="H160" s="102" t="s">
        <v>301</v>
      </c>
      <c r="I160" s="102" t="s">
        <v>483</v>
      </c>
      <c r="J160" s="117" t="s">
        <v>1227</v>
      </c>
      <c r="K160" s="106"/>
      <c r="L160" s="103" t="str">
        <f t="shared" ref="L160:L161" si="26">G160</f>
        <v>Formar el personal de l'ENP (informadors i personal que treballa de cara al públic) en accessibilitat, diversitat funcional i diversitat de gènere</v>
      </c>
      <c r="M160" s="111"/>
      <c r="N160" s="75" t="s">
        <v>366</v>
      </c>
      <c r="O160" s="75" t="s">
        <v>57</v>
      </c>
      <c r="P160" s="397" t="s">
        <v>306</v>
      </c>
      <c r="Q160" s="517" t="s">
        <v>1379</v>
      </c>
      <c r="R160" s="518" t="s">
        <v>1380</v>
      </c>
      <c r="S160" s="537"/>
      <c r="T160" s="519"/>
      <c r="U160" s="519"/>
      <c r="V160" s="519" t="s">
        <v>1381</v>
      </c>
      <c r="W160" s="522" t="s">
        <v>370</v>
      </c>
      <c r="X160" s="522" t="s">
        <v>371</v>
      </c>
      <c r="Y160" s="107"/>
      <c r="Z160" s="107" t="s">
        <v>315</v>
      </c>
      <c r="AA160" s="107" t="s">
        <v>315</v>
      </c>
      <c r="AB160" s="107" t="s">
        <v>315</v>
      </c>
      <c r="AC160" s="107" t="s">
        <v>315</v>
      </c>
      <c r="AD160" s="107">
        <v>50</v>
      </c>
      <c r="AE160" s="107"/>
      <c r="AF160" s="107"/>
    </row>
    <row r="161" spans="1:32" ht="76.5">
      <c r="A161" s="30"/>
      <c r="B161" s="417"/>
      <c r="C161" s="463"/>
      <c r="D161" s="468"/>
      <c r="E161" s="435"/>
      <c r="F161" s="120" t="s">
        <v>1382</v>
      </c>
      <c r="G161" s="101" t="s">
        <v>1383</v>
      </c>
      <c r="H161" s="102" t="s">
        <v>301</v>
      </c>
      <c r="I161" s="102" t="s">
        <v>332</v>
      </c>
      <c r="J161" s="117" t="s">
        <v>1227</v>
      </c>
      <c r="K161" s="106"/>
      <c r="L161" s="103" t="str">
        <f t="shared" si="26"/>
        <v>Incorporar la perspectiva de gènere als continguts i activitats de l'ENP</v>
      </c>
      <c r="M161" s="111"/>
      <c r="N161" s="75" t="s">
        <v>366</v>
      </c>
      <c r="O161" s="75" t="s">
        <v>57</v>
      </c>
      <c r="P161" s="397" t="s">
        <v>320</v>
      </c>
      <c r="Q161" s="517" t="s">
        <v>1384</v>
      </c>
      <c r="R161" s="518" t="s">
        <v>1385</v>
      </c>
      <c r="S161" s="537"/>
      <c r="T161" s="519"/>
      <c r="U161" s="519"/>
      <c r="V161" s="519" t="s">
        <v>1386</v>
      </c>
      <c r="W161" s="522" t="s">
        <v>370</v>
      </c>
      <c r="X161" s="522" t="s">
        <v>371</v>
      </c>
      <c r="Y161" s="107"/>
      <c r="Z161" s="107" t="s">
        <v>315</v>
      </c>
      <c r="AA161" s="107" t="s">
        <v>315</v>
      </c>
      <c r="AB161" s="107" t="s">
        <v>315</v>
      </c>
      <c r="AC161" s="107" t="s">
        <v>315</v>
      </c>
      <c r="AD161" s="107">
        <v>50</v>
      </c>
      <c r="AE161" s="107"/>
      <c r="AF161" s="107"/>
    </row>
    <row r="162" spans="1:32" ht="45.75">
      <c r="A162" s="30"/>
      <c r="B162" s="417"/>
      <c r="C162" s="463"/>
      <c r="D162" s="466" t="s">
        <v>1387</v>
      </c>
      <c r="E162" s="469" t="s">
        <v>1388</v>
      </c>
      <c r="F162" s="120" t="s">
        <v>1389</v>
      </c>
      <c r="G162" s="101" t="s">
        <v>1390</v>
      </c>
      <c r="H162" s="102" t="s">
        <v>301</v>
      </c>
      <c r="I162" s="102" t="s">
        <v>483</v>
      </c>
      <c r="J162" s="117" t="s">
        <v>1227</v>
      </c>
      <c r="K162" s="106"/>
      <c r="L162" s="103" t="str">
        <f>G162</f>
        <v>Dissenyar, implementar i fomentar itineraris saludables dins dels itineraris oficials dels ENP i en la zona d'influència</v>
      </c>
      <c r="M162" s="111"/>
      <c r="N162" s="75" t="s">
        <v>366</v>
      </c>
      <c r="O162" s="75" t="s">
        <v>57</v>
      </c>
      <c r="P162" s="397" t="s">
        <v>320</v>
      </c>
      <c r="Q162" s="531" t="s">
        <v>1391</v>
      </c>
      <c r="R162" s="528" t="s">
        <v>1392</v>
      </c>
      <c r="S162" s="537"/>
      <c r="T162" s="519"/>
      <c r="U162" s="519" t="s">
        <v>1393</v>
      </c>
      <c r="V162" s="519" t="s">
        <v>1394</v>
      </c>
      <c r="W162" s="522" t="s">
        <v>370</v>
      </c>
      <c r="X162" s="522" t="s">
        <v>370</v>
      </c>
      <c r="Y162" s="107"/>
      <c r="Z162" s="107"/>
      <c r="AA162" s="107" t="s">
        <v>315</v>
      </c>
      <c r="AB162" s="107"/>
      <c r="AC162" s="107"/>
      <c r="AD162" s="107">
        <v>10</v>
      </c>
      <c r="AE162" s="107"/>
      <c r="AF162" s="107"/>
    </row>
    <row r="163" spans="1:32" ht="91.5">
      <c r="A163" s="30"/>
      <c r="B163" s="417"/>
      <c r="C163" s="463"/>
      <c r="D163" s="467"/>
      <c r="E163" s="434"/>
      <c r="F163" s="120" t="s">
        <v>1395</v>
      </c>
      <c r="G163" s="112" t="s">
        <v>1396</v>
      </c>
      <c r="H163" s="102" t="s">
        <v>301</v>
      </c>
      <c r="I163" s="102" t="s">
        <v>483</v>
      </c>
      <c r="J163" s="117" t="s">
        <v>1227</v>
      </c>
      <c r="K163" s="106"/>
      <c r="L163" s="103" t="str">
        <f>G163</f>
        <v>Identificar els agents clau i els àmbits de col·laboració per implementar el binomi salut i natura</v>
      </c>
      <c r="M163" s="111"/>
      <c r="N163" s="118" t="s">
        <v>366</v>
      </c>
      <c r="O163" s="75" t="s">
        <v>57</v>
      </c>
      <c r="P163" s="397" t="s">
        <v>320</v>
      </c>
      <c r="Q163" s="517" t="s">
        <v>1397</v>
      </c>
      <c r="R163" s="528" t="s">
        <v>1392</v>
      </c>
      <c r="S163" s="537"/>
      <c r="T163" s="519"/>
      <c r="U163" s="519" t="s">
        <v>1398</v>
      </c>
      <c r="V163" s="519" t="s">
        <v>1399</v>
      </c>
      <c r="W163" s="522" t="s">
        <v>841</v>
      </c>
      <c r="X163" s="522" t="s">
        <v>842</v>
      </c>
      <c r="Y163" s="107" t="s">
        <v>315</v>
      </c>
      <c r="Z163" s="107" t="s">
        <v>315</v>
      </c>
      <c r="AA163" s="107" t="s">
        <v>315</v>
      </c>
      <c r="AB163" s="107" t="s">
        <v>315</v>
      </c>
      <c r="AC163" s="107" t="s">
        <v>315</v>
      </c>
      <c r="AD163" s="107">
        <v>20</v>
      </c>
      <c r="AE163" s="107"/>
      <c r="AF163" s="107"/>
    </row>
    <row r="164" spans="1:32" ht="91.5">
      <c r="A164" s="30"/>
      <c r="B164" s="417"/>
      <c r="C164" s="463"/>
      <c r="D164" s="467"/>
      <c r="E164" s="434"/>
      <c r="F164" s="120" t="s">
        <v>1400</v>
      </c>
      <c r="G164" s="101" t="s">
        <v>1401</v>
      </c>
      <c r="H164" s="102" t="s">
        <v>301</v>
      </c>
      <c r="I164" s="102" t="s">
        <v>483</v>
      </c>
      <c r="J164" s="117" t="s">
        <v>1227</v>
      </c>
      <c r="K164" s="106"/>
      <c r="L164" s="103" t="str">
        <f>G164</f>
        <v xml:space="preserve">Incloure el concepte de salut i natura en els missatges educatius i comunicatius de l'ENP </v>
      </c>
      <c r="M164" s="111"/>
      <c r="N164" s="75" t="s">
        <v>366</v>
      </c>
      <c r="O164" s="75" t="s">
        <v>57</v>
      </c>
      <c r="P164" s="397" t="s">
        <v>320</v>
      </c>
      <c r="Q164" s="517" t="s">
        <v>1402</v>
      </c>
      <c r="R164" s="528" t="s">
        <v>1392</v>
      </c>
      <c r="S164" s="537"/>
      <c r="T164" s="519"/>
      <c r="U164" s="519" t="s">
        <v>1403</v>
      </c>
      <c r="V164" s="519" t="s">
        <v>1404</v>
      </c>
      <c r="W164" s="522" t="s">
        <v>655</v>
      </c>
      <c r="X164" s="522" t="s">
        <v>1405</v>
      </c>
      <c r="Y164" s="107" t="s">
        <v>315</v>
      </c>
      <c r="Z164" s="107" t="s">
        <v>315</v>
      </c>
      <c r="AA164" s="107" t="s">
        <v>315</v>
      </c>
      <c r="AB164" s="107" t="s">
        <v>315</v>
      </c>
      <c r="AC164" s="107" t="s">
        <v>315</v>
      </c>
      <c r="AD164" s="107">
        <v>20</v>
      </c>
      <c r="AE164" s="107"/>
      <c r="AF164" s="107"/>
    </row>
    <row r="165" spans="1:32" ht="30.75">
      <c r="A165" s="30"/>
      <c r="B165" s="418"/>
      <c r="C165" s="464"/>
      <c r="D165" s="468"/>
      <c r="E165" s="435"/>
      <c r="F165" s="120" t="s">
        <v>1406</v>
      </c>
      <c r="G165" s="112" t="s">
        <v>1407</v>
      </c>
      <c r="H165" s="102" t="s">
        <v>301</v>
      </c>
      <c r="I165" s="102" t="s">
        <v>483</v>
      </c>
      <c r="J165" s="117" t="s">
        <v>1227</v>
      </c>
      <c r="K165" s="106"/>
      <c r="L165" s="103" t="str">
        <f>G165</f>
        <v>Participar a les Taules territorials de Salut i Natura</v>
      </c>
      <c r="M165" s="111"/>
      <c r="N165" s="75" t="s">
        <v>366</v>
      </c>
      <c r="O165" s="75" t="s">
        <v>57</v>
      </c>
      <c r="P165" s="397" t="s">
        <v>320</v>
      </c>
      <c r="Q165" s="517" t="s">
        <v>1408</v>
      </c>
      <c r="R165" s="528" t="s">
        <v>1392</v>
      </c>
      <c r="S165" s="537"/>
      <c r="T165" s="519"/>
      <c r="U165" s="519"/>
      <c r="V165" s="522" t="s">
        <v>1409</v>
      </c>
      <c r="W165" s="522" t="s">
        <v>370</v>
      </c>
      <c r="X165" s="522" t="s">
        <v>371</v>
      </c>
      <c r="Y165" s="107" t="s">
        <v>315</v>
      </c>
      <c r="Z165" s="107" t="s">
        <v>315</v>
      </c>
      <c r="AA165" s="107" t="s">
        <v>315</v>
      </c>
      <c r="AB165" s="107" t="s">
        <v>315</v>
      </c>
      <c r="AC165" s="107" t="s">
        <v>315</v>
      </c>
      <c r="AD165" s="107">
        <v>100</v>
      </c>
      <c r="AE165" s="107"/>
      <c r="AF165" s="107"/>
    </row>
    <row r="166" spans="1:32" ht="121.5">
      <c r="A166" s="31"/>
      <c r="B166" s="416">
        <v>14</v>
      </c>
      <c r="C166" s="437" t="s">
        <v>1410</v>
      </c>
      <c r="D166" s="419" t="s">
        <v>1411</v>
      </c>
      <c r="E166" s="433" t="s">
        <v>1412</v>
      </c>
      <c r="F166" s="100" t="s">
        <v>1413</v>
      </c>
      <c r="G166" s="101" t="s">
        <v>1414</v>
      </c>
      <c r="H166" s="102" t="s">
        <v>301</v>
      </c>
      <c r="I166" s="102" t="s">
        <v>332</v>
      </c>
      <c r="J166" s="105" t="s">
        <v>1415</v>
      </c>
      <c r="K166" s="106" t="s">
        <v>1416</v>
      </c>
      <c r="L166" s="103" t="str">
        <f t="shared" ref="L166:L171" si="27">G166</f>
        <v>Informar periòdicament sobre les tasques, projectes i actuacions que duu a terme l'ENP a la població</v>
      </c>
      <c r="M166" s="111"/>
      <c r="N166" s="113" t="s">
        <v>366</v>
      </c>
      <c r="O166" s="75" t="s">
        <v>57</v>
      </c>
      <c r="P166" s="397" t="s">
        <v>306</v>
      </c>
      <c r="Q166" s="517" t="s">
        <v>1417</v>
      </c>
      <c r="R166" s="518" t="s">
        <v>1418</v>
      </c>
      <c r="S166" s="537"/>
      <c r="T166" s="519"/>
      <c r="U166" s="519" t="s">
        <v>1419</v>
      </c>
      <c r="V166" s="519" t="s">
        <v>1420</v>
      </c>
      <c r="W166" s="519" t="s">
        <v>1421</v>
      </c>
      <c r="X166" s="519" t="s">
        <v>1422</v>
      </c>
      <c r="Y166" s="107" t="s">
        <v>315</v>
      </c>
      <c r="Z166" s="107" t="s">
        <v>315</v>
      </c>
      <c r="AA166" s="107" t="s">
        <v>315</v>
      </c>
      <c r="AB166" s="107" t="s">
        <v>315</v>
      </c>
      <c r="AC166" s="107" t="s">
        <v>315</v>
      </c>
      <c r="AD166" s="107">
        <v>200</v>
      </c>
      <c r="AE166" s="107"/>
      <c r="AF166" s="107"/>
    </row>
    <row r="167" spans="1:32" ht="45.75">
      <c r="A167" s="31"/>
      <c r="B167" s="416"/>
      <c r="C167" s="437"/>
      <c r="D167" s="419"/>
      <c r="E167" s="435"/>
      <c r="F167" s="100" t="s">
        <v>1423</v>
      </c>
      <c r="G167" s="101" t="s">
        <v>1424</v>
      </c>
      <c r="H167" s="102" t="s">
        <v>301</v>
      </c>
      <c r="I167" s="102" t="s">
        <v>332</v>
      </c>
      <c r="J167" s="105"/>
      <c r="K167" s="106"/>
      <c r="L167" s="103" t="str">
        <f t="shared" si="27"/>
        <v>Garantir l'accessibilitat i gestió del coneixement disponible sobre l'ENP</v>
      </c>
      <c r="M167" s="111"/>
      <c r="N167" s="113" t="s">
        <v>58</v>
      </c>
      <c r="O167" s="75" t="s">
        <v>57</v>
      </c>
      <c r="P167" s="397" t="s">
        <v>306</v>
      </c>
      <c r="Q167" s="517" t="s">
        <v>1425</v>
      </c>
      <c r="R167" s="518" t="s">
        <v>1426</v>
      </c>
      <c r="S167" s="537"/>
      <c r="T167" s="519" t="s">
        <v>1427</v>
      </c>
      <c r="U167" s="519" t="s">
        <v>1428</v>
      </c>
      <c r="V167" s="519" t="s">
        <v>1429</v>
      </c>
      <c r="W167" s="522" t="s">
        <v>370</v>
      </c>
      <c r="X167" s="522" t="s">
        <v>370</v>
      </c>
      <c r="Y167" s="107"/>
      <c r="Z167" s="107" t="s">
        <v>315</v>
      </c>
      <c r="AA167" s="107" t="s">
        <v>315</v>
      </c>
      <c r="AB167" s="107"/>
      <c r="AC167" s="107"/>
      <c r="AD167" s="107">
        <v>200</v>
      </c>
      <c r="AE167" s="107"/>
      <c r="AF167" s="107"/>
    </row>
    <row r="168" spans="1:32" ht="76.5">
      <c r="A168" s="31"/>
      <c r="B168" s="416"/>
      <c r="C168" s="437"/>
      <c r="D168" s="16" t="s">
        <v>1430</v>
      </c>
      <c r="E168" s="90" t="s">
        <v>1431</v>
      </c>
      <c r="F168" s="100" t="s">
        <v>1432</v>
      </c>
      <c r="G168" s="101" t="s">
        <v>1433</v>
      </c>
      <c r="H168" s="102" t="s">
        <v>301</v>
      </c>
      <c r="I168" s="102" t="s">
        <v>332</v>
      </c>
      <c r="J168" s="105"/>
      <c r="K168" s="106" t="s">
        <v>1434</v>
      </c>
      <c r="L168" s="103" t="str">
        <f t="shared" si="27"/>
        <v>Sensibilitzar als diferents agents sobre els valors de l'ENP</v>
      </c>
      <c r="M168" s="111"/>
      <c r="N168" s="113" t="s">
        <v>366</v>
      </c>
      <c r="O168" s="75" t="s">
        <v>57</v>
      </c>
      <c r="P168" s="397" t="s">
        <v>306</v>
      </c>
      <c r="Q168" s="517" t="s">
        <v>1435</v>
      </c>
      <c r="R168" s="518" t="s">
        <v>1436</v>
      </c>
      <c r="S168" s="538"/>
      <c r="T168" s="519"/>
      <c r="U168" s="519" t="s">
        <v>1437</v>
      </c>
      <c r="V168" s="519" t="s">
        <v>1438</v>
      </c>
      <c r="W168" s="522" t="s">
        <v>1405</v>
      </c>
      <c r="X168" s="522" t="s">
        <v>1439</v>
      </c>
      <c r="Y168" s="107" t="s">
        <v>315</v>
      </c>
      <c r="Z168" s="107" t="s">
        <v>315</v>
      </c>
      <c r="AA168" s="107" t="s">
        <v>315</v>
      </c>
      <c r="AB168" s="107" t="s">
        <v>315</v>
      </c>
      <c r="AC168" s="107" t="s">
        <v>315</v>
      </c>
      <c r="AD168" s="107">
        <v>200</v>
      </c>
      <c r="AE168" s="107"/>
      <c r="AF168" s="107"/>
    </row>
    <row r="169" spans="1:32" ht="60.75">
      <c r="A169" s="31"/>
      <c r="B169" s="416"/>
      <c r="C169" s="437"/>
      <c r="D169" s="419" t="s">
        <v>1440</v>
      </c>
      <c r="E169" s="506" t="s">
        <v>1441</v>
      </c>
      <c r="F169" s="100" t="s">
        <v>1442</v>
      </c>
      <c r="G169" s="101" t="s">
        <v>1443</v>
      </c>
      <c r="H169" s="102" t="s">
        <v>301</v>
      </c>
      <c r="I169" s="102" t="s">
        <v>332</v>
      </c>
      <c r="J169" s="105" t="s">
        <v>1415</v>
      </c>
      <c r="K169" s="106"/>
      <c r="L169" s="103" t="str">
        <f t="shared" si="27"/>
        <v>Optimitzar els canals de comunicació</v>
      </c>
      <c r="M169" s="111"/>
      <c r="N169" s="113" t="s">
        <v>58</v>
      </c>
      <c r="O169" s="75" t="s">
        <v>57</v>
      </c>
      <c r="P169" s="397" t="s">
        <v>320</v>
      </c>
      <c r="Q169" s="517" t="s">
        <v>1444</v>
      </c>
      <c r="R169" s="518" t="s">
        <v>1445</v>
      </c>
      <c r="S169" s="537"/>
      <c r="T169" s="519"/>
      <c r="U169" s="519" t="s">
        <v>1446</v>
      </c>
      <c r="V169" s="545" t="s">
        <v>1447</v>
      </c>
      <c r="W169" s="522" t="s">
        <v>370</v>
      </c>
      <c r="X169" s="522" t="s">
        <v>370</v>
      </c>
      <c r="Y169" s="107"/>
      <c r="Z169" s="107"/>
      <c r="AA169" s="107"/>
      <c r="AB169" s="107"/>
      <c r="AC169" s="107"/>
      <c r="AD169" s="107">
        <v>200</v>
      </c>
      <c r="AE169" s="107"/>
      <c r="AF169" s="107"/>
    </row>
    <row r="170" spans="1:32" ht="45.75">
      <c r="A170" s="31"/>
      <c r="B170" s="416"/>
      <c r="C170" s="437"/>
      <c r="D170" s="419"/>
      <c r="E170" s="506"/>
      <c r="F170" s="100" t="s">
        <v>1448</v>
      </c>
      <c r="G170" s="101" t="s">
        <v>1449</v>
      </c>
      <c r="H170" s="102" t="s">
        <v>301</v>
      </c>
      <c r="I170" s="102" t="s">
        <v>332</v>
      </c>
      <c r="J170" s="105" t="s">
        <v>1415</v>
      </c>
      <c r="K170" s="106"/>
      <c r="L170" s="103" t="str">
        <f t="shared" si="27"/>
        <v>Garantir l'harmonització de la comunicació com a Parc, Xarxa i Generalitat.</v>
      </c>
      <c r="M170" s="111"/>
      <c r="N170" s="113" t="s">
        <v>58</v>
      </c>
      <c r="O170" s="75" t="s">
        <v>57</v>
      </c>
      <c r="P170" s="397" t="s">
        <v>320</v>
      </c>
      <c r="Q170" s="517" t="s">
        <v>1450</v>
      </c>
      <c r="R170" s="518" t="s">
        <v>1445</v>
      </c>
      <c r="S170" s="537"/>
      <c r="T170" s="519"/>
      <c r="U170" s="519" t="s">
        <v>1451</v>
      </c>
      <c r="V170" s="519" t="s">
        <v>1452</v>
      </c>
      <c r="W170" s="522" t="s">
        <v>841</v>
      </c>
      <c r="X170" s="522" t="s">
        <v>1453</v>
      </c>
      <c r="Y170" s="107"/>
      <c r="Z170" s="107"/>
      <c r="AA170" s="107"/>
      <c r="AB170" s="107"/>
      <c r="AC170" s="107"/>
      <c r="AD170" s="107">
        <v>100</v>
      </c>
      <c r="AE170" s="107"/>
      <c r="AF170" s="107"/>
    </row>
    <row r="171" spans="1:32" ht="76.5">
      <c r="A171" s="24" t="s">
        <v>1454</v>
      </c>
      <c r="B171" s="414">
        <v>15</v>
      </c>
      <c r="C171" s="423" t="s">
        <v>1455</v>
      </c>
      <c r="D171" s="420" t="s">
        <v>1456</v>
      </c>
      <c r="E171" s="427" t="s">
        <v>1457</v>
      </c>
      <c r="F171" s="100" t="s">
        <v>1458</v>
      </c>
      <c r="G171" s="101" t="s">
        <v>1459</v>
      </c>
      <c r="H171" s="102" t="s">
        <v>301</v>
      </c>
      <c r="I171" s="102" t="s">
        <v>483</v>
      </c>
      <c r="J171" s="105"/>
      <c r="K171" s="109"/>
      <c r="L171" s="103" t="str">
        <f t="shared" si="27"/>
        <v>Crear una taula de treball amb els agents prioritaris per a la gestió de l'ENP i els grups de treball temàtics necessaris</v>
      </c>
      <c r="M171" s="111"/>
      <c r="N171" s="113" t="s">
        <v>58</v>
      </c>
      <c r="O171" s="75" t="s">
        <v>57</v>
      </c>
      <c r="P171" s="397" t="s">
        <v>320</v>
      </c>
      <c r="Q171" s="517" t="s">
        <v>1460</v>
      </c>
      <c r="R171" s="518" t="s">
        <v>1461</v>
      </c>
      <c r="S171" s="537"/>
      <c r="T171" s="519"/>
      <c r="U171" s="519" t="s">
        <v>1462</v>
      </c>
      <c r="V171" s="519" t="s">
        <v>1463</v>
      </c>
      <c r="W171" s="522" t="s">
        <v>398</v>
      </c>
      <c r="X171" s="522" t="s">
        <v>731</v>
      </c>
      <c r="Y171" s="107"/>
      <c r="Z171" s="107" t="s">
        <v>315</v>
      </c>
      <c r="AA171" s="107" t="s">
        <v>315</v>
      </c>
      <c r="AB171" s="107" t="s">
        <v>315</v>
      </c>
      <c r="AC171" s="107" t="s">
        <v>315</v>
      </c>
      <c r="AD171" s="388">
        <v>700</v>
      </c>
      <c r="AE171" s="107"/>
      <c r="AF171" s="107"/>
    </row>
    <row r="172" spans="1:32" ht="30.75">
      <c r="A172" s="24"/>
      <c r="B172" s="415"/>
      <c r="C172" s="424"/>
      <c r="D172" s="421"/>
      <c r="E172" s="428"/>
      <c r="F172" s="100" t="s">
        <v>1464</v>
      </c>
      <c r="G172" s="101" t="s">
        <v>1465</v>
      </c>
      <c r="H172" s="102" t="s">
        <v>301</v>
      </c>
      <c r="I172" s="102" t="s">
        <v>483</v>
      </c>
      <c r="J172" s="105"/>
      <c r="K172" s="109"/>
      <c r="L172" s="103" t="str">
        <f>G172</f>
        <v>Disposar d'assessorament científic en l'ENP</v>
      </c>
      <c r="M172" s="111"/>
      <c r="N172" s="113" t="s">
        <v>58</v>
      </c>
      <c r="O172" s="75" t="s">
        <v>57</v>
      </c>
      <c r="P172" s="397" t="s">
        <v>306</v>
      </c>
      <c r="Q172" s="517" t="s">
        <v>1466</v>
      </c>
      <c r="R172" s="528" t="s">
        <v>1467</v>
      </c>
      <c r="S172" s="537"/>
      <c r="T172" s="519"/>
      <c r="U172" s="519"/>
      <c r="V172" s="522" t="s">
        <v>1468</v>
      </c>
      <c r="W172" s="522" t="s">
        <v>398</v>
      </c>
      <c r="X172" s="522" t="s">
        <v>731</v>
      </c>
      <c r="Y172" s="107" t="s">
        <v>315</v>
      </c>
      <c r="Z172" s="107" t="s">
        <v>315</v>
      </c>
      <c r="AA172" s="107" t="s">
        <v>315</v>
      </c>
      <c r="AB172" s="107" t="s">
        <v>315</v>
      </c>
      <c r="AC172" s="107" t="s">
        <v>315</v>
      </c>
      <c r="AD172" s="385">
        <v>0</v>
      </c>
      <c r="AE172" s="107"/>
      <c r="AF172" s="107"/>
    </row>
    <row r="173" spans="1:32" ht="60.75">
      <c r="A173" s="24"/>
      <c r="B173" s="415"/>
      <c r="C173" s="424"/>
      <c r="D173" s="421"/>
      <c r="E173" s="428"/>
      <c r="F173" s="100" t="s">
        <v>1469</v>
      </c>
      <c r="G173" s="101" t="s">
        <v>1470</v>
      </c>
      <c r="H173" s="102" t="s">
        <v>301</v>
      </c>
      <c r="I173" s="102" t="s">
        <v>483</v>
      </c>
      <c r="J173" s="105"/>
      <c r="K173" s="109"/>
      <c r="L173" s="103" t="str">
        <f t="shared" ref="L173" si="28">G173</f>
        <v>Incloure entitats i organismes científics i culturals de referència en els mecanismes de presa de decisions de l'ENP</v>
      </c>
      <c r="M173" s="111"/>
      <c r="N173" s="113" t="s">
        <v>81</v>
      </c>
      <c r="O173" s="75" t="s">
        <v>57</v>
      </c>
      <c r="P173" s="397"/>
      <c r="Q173" s="527" t="s">
        <v>532</v>
      </c>
      <c r="R173" s="518" t="s">
        <v>1471</v>
      </c>
      <c r="S173" s="537"/>
      <c r="T173" s="519"/>
      <c r="U173" s="519"/>
      <c r="V173" s="546"/>
      <c r="W173" s="547"/>
      <c r="X173" s="547"/>
      <c r="Y173" s="400"/>
      <c r="Z173" s="400"/>
      <c r="AA173" s="400"/>
      <c r="AB173" s="400"/>
      <c r="AC173" s="547"/>
      <c r="AD173" s="547"/>
      <c r="AE173" s="107"/>
      <c r="AF173" s="107"/>
    </row>
    <row r="174" spans="1:32" ht="76.5">
      <c r="A174" s="24"/>
      <c r="B174" s="415"/>
      <c r="C174" s="424"/>
      <c r="D174" s="422"/>
      <c r="E174" s="429"/>
      <c r="F174" s="100" t="s">
        <v>1472</v>
      </c>
      <c r="G174" s="101" t="s">
        <v>1473</v>
      </c>
      <c r="H174" s="102" t="s">
        <v>301</v>
      </c>
      <c r="I174" s="102" t="s">
        <v>332</v>
      </c>
      <c r="J174" s="105"/>
      <c r="K174" s="101" t="s">
        <v>1474</v>
      </c>
      <c r="L174" s="103" t="str">
        <f>G174</f>
        <v>Adaptar i desplegar el model de governança dels espais naturals protegits</v>
      </c>
      <c r="M174" s="111"/>
      <c r="N174" s="113" t="s">
        <v>366</v>
      </c>
      <c r="O174" s="75" t="s">
        <v>57</v>
      </c>
      <c r="P174" s="397" t="s">
        <v>306</v>
      </c>
      <c r="Q174" s="517" t="s">
        <v>1475</v>
      </c>
      <c r="R174" s="518" t="s">
        <v>1476</v>
      </c>
      <c r="S174" s="537"/>
      <c r="T174" s="519"/>
      <c r="U174" s="519" t="s">
        <v>1477</v>
      </c>
      <c r="V174" s="519" t="s">
        <v>1478</v>
      </c>
      <c r="W174" s="522" t="s">
        <v>841</v>
      </c>
      <c r="X174" s="522" t="s">
        <v>842</v>
      </c>
      <c r="Y174" s="107"/>
      <c r="Z174" s="107"/>
      <c r="AA174" s="107" t="s">
        <v>315</v>
      </c>
      <c r="AB174" s="107" t="s">
        <v>315</v>
      </c>
      <c r="AC174" s="107" t="s">
        <v>315</v>
      </c>
      <c r="AD174" s="107">
        <v>500</v>
      </c>
      <c r="AE174" s="107"/>
      <c r="AF174" s="107"/>
    </row>
    <row r="175" spans="1:32" ht="45.75">
      <c r="A175" s="24"/>
      <c r="B175" s="72">
        <v>16</v>
      </c>
      <c r="C175" s="69" t="s">
        <v>1479</v>
      </c>
      <c r="D175" s="22" t="s">
        <v>1480</v>
      </c>
      <c r="E175" s="91" t="s">
        <v>1481</v>
      </c>
      <c r="F175" s="100" t="s">
        <v>1482</v>
      </c>
      <c r="G175" s="101" t="s">
        <v>1483</v>
      </c>
      <c r="H175" s="102" t="s">
        <v>301</v>
      </c>
      <c r="I175" s="102" t="s">
        <v>332</v>
      </c>
      <c r="J175" s="105"/>
      <c r="K175" s="109" t="s">
        <v>1484</v>
      </c>
      <c r="L175" s="103" t="str">
        <f>G175</f>
        <v>Millorar el sistema de control de l'execució del pressupost, d'acord amb les indicacions de Serveis Centrals</v>
      </c>
      <c r="M175" s="111"/>
      <c r="N175" s="113" t="s">
        <v>58</v>
      </c>
      <c r="O175" s="75" t="s">
        <v>57</v>
      </c>
      <c r="P175" s="397" t="s">
        <v>492</v>
      </c>
      <c r="Q175" s="517" t="s">
        <v>1485</v>
      </c>
      <c r="R175" s="518" t="s">
        <v>1486</v>
      </c>
      <c r="S175" s="537"/>
      <c r="T175" s="519" t="s">
        <v>1487</v>
      </c>
      <c r="U175" s="519"/>
      <c r="V175" s="519" t="s">
        <v>1488</v>
      </c>
      <c r="W175" s="522" t="s">
        <v>655</v>
      </c>
      <c r="X175" s="522" t="s">
        <v>655</v>
      </c>
      <c r="Y175" s="107" t="s">
        <v>315</v>
      </c>
      <c r="Z175" s="107" t="s">
        <v>315</v>
      </c>
      <c r="AA175" s="107" t="s">
        <v>315</v>
      </c>
      <c r="AB175" s="107" t="s">
        <v>315</v>
      </c>
      <c r="AC175" s="107" t="s">
        <v>315</v>
      </c>
      <c r="AD175" s="107">
        <v>500</v>
      </c>
      <c r="AE175" s="107"/>
      <c r="AF175" s="107"/>
    </row>
    <row r="176" spans="1:32" ht="60.75">
      <c r="A176" s="71"/>
      <c r="B176" s="73"/>
      <c r="C176" s="70"/>
      <c r="D176" s="501" t="s">
        <v>1489</v>
      </c>
      <c r="E176" s="503" t="s">
        <v>1490</v>
      </c>
      <c r="F176" s="100" t="s">
        <v>1491</v>
      </c>
      <c r="G176" s="101" t="s">
        <v>1492</v>
      </c>
      <c r="H176" s="102" t="s">
        <v>301</v>
      </c>
      <c r="I176" s="102" t="s">
        <v>332</v>
      </c>
      <c r="J176" s="105"/>
      <c r="K176" s="106" t="s">
        <v>1493</v>
      </c>
      <c r="L176" s="103" t="str">
        <f>G176</f>
        <v>Planificar i detectar les necessitats de contractació del l'ENP per a l'optimització dels contractes a nivell de Xarxa</v>
      </c>
      <c r="M176" s="111"/>
      <c r="N176" s="113" t="s">
        <v>366</v>
      </c>
      <c r="O176" s="75" t="s">
        <v>57</v>
      </c>
      <c r="P176" s="397" t="s">
        <v>492</v>
      </c>
      <c r="Q176" s="517" t="s">
        <v>1494</v>
      </c>
      <c r="R176" s="518" t="s">
        <v>1495</v>
      </c>
      <c r="S176" s="537"/>
      <c r="T176" s="519"/>
      <c r="U176" s="519"/>
      <c r="V176" s="519" t="s">
        <v>1496</v>
      </c>
      <c r="W176" s="522" t="s">
        <v>371</v>
      </c>
      <c r="X176" s="522" t="s">
        <v>1405</v>
      </c>
      <c r="Y176" s="107" t="s">
        <v>315</v>
      </c>
      <c r="Z176" s="107" t="s">
        <v>315</v>
      </c>
      <c r="AA176" s="107" t="s">
        <v>315</v>
      </c>
      <c r="AB176" s="107" t="s">
        <v>315</v>
      </c>
      <c r="AC176" s="107" t="s">
        <v>315</v>
      </c>
      <c r="AD176" s="107">
        <v>200</v>
      </c>
      <c r="AE176" s="107"/>
      <c r="AF176" s="107"/>
    </row>
    <row r="177" spans="1:32" ht="30.75">
      <c r="A177" s="71"/>
      <c r="B177" s="73"/>
      <c r="C177" s="70"/>
      <c r="D177" s="421"/>
      <c r="E177" s="428"/>
      <c r="F177" s="100" t="s">
        <v>1497</v>
      </c>
      <c r="G177" s="121" t="s">
        <v>1498</v>
      </c>
      <c r="H177" s="102" t="s">
        <v>301</v>
      </c>
      <c r="I177" s="102" t="s">
        <v>332</v>
      </c>
      <c r="J177" s="105"/>
      <c r="K177" s="106"/>
      <c r="L177" s="103" t="str">
        <f t="shared" ref="L177" si="29">G177</f>
        <v>Planificar i detectar les tasques de convocatòries d'ajuts de l'ENP</v>
      </c>
      <c r="M177" s="380" t="s">
        <v>1499</v>
      </c>
      <c r="N177" s="103"/>
      <c r="O177" s="75" t="s">
        <v>57</v>
      </c>
      <c r="P177" s="397"/>
      <c r="Q177" s="527" t="s">
        <v>450</v>
      </c>
      <c r="R177" s="528" t="s">
        <v>1499</v>
      </c>
      <c r="S177" s="537"/>
      <c r="T177" s="519"/>
      <c r="U177" s="519"/>
      <c r="V177" s="519"/>
      <c r="W177" s="522"/>
      <c r="X177" s="522"/>
      <c r="Y177" s="107"/>
      <c r="Z177" s="107"/>
      <c r="AA177" s="107"/>
      <c r="AB177" s="107"/>
      <c r="AC177" s="107"/>
      <c r="AD177" s="107">
        <v>0</v>
      </c>
      <c r="AE177" s="107"/>
      <c r="AF177" s="107"/>
    </row>
    <row r="178" spans="1:32" ht="60.75">
      <c r="A178" s="71"/>
      <c r="B178" s="73"/>
      <c r="C178" s="70"/>
      <c r="D178" s="421"/>
      <c r="E178" s="428"/>
      <c r="F178" s="100" t="s">
        <v>1500</v>
      </c>
      <c r="G178" s="121" t="s">
        <v>1501</v>
      </c>
      <c r="H178" s="102" t="s">
        <v>301</v>
      </c>
      <c r="I178" s="102" t="s">
        <v>332</v>
      </c>
      <c r="J178" s="105"/>
      <c r="K178" s="109" t="s">
        <v>1502</v>
      </c>
      <c r="L178" s="103" t="str">
        <f>G178</f>
        <v>Establir i renovar en temps i forma convenis de col·laboració, convenis marc, acords, protocols i altres instruments de col·laboració.</v>
      </c>
      <c r="M178" s="1"/>
      <c r="N178" s="103" t="s">
        <v>58</v>
      </c>
      <c r="O178" s="75" t="s">
        <v>57</v>
      </c>
      <c r="P178" s="397" t="s">
        <v>320</v>
      </c>
      <c r="Q178" s="517" t="s">
        <v>1503</v>
      </c>
      <c r="R178" s="518" t="s">
        <v>1504</v>
      </c>
      <c r="S178" s="537"/>
      <c r="T178" s="519"/>
      <c r="U178" s="519"/>
      <c r="V178" s="519" t="s">
        <v>1505</v>
      </c>
      <c r="W178" s="522" t="s">
        <v>370</v>
      </c>
      <c r="X178" s="522" t="s">
        <v>370</v>
      </c>
      <c r="Y178" s="107" t="s">
        <v>315</v>
      </c>
      <c r="Z178" s="107" t="s">
        <v>315</v>
      </c>
      <c r="AA178" s="107" t="s">
        <v>315</v>
      </c>
      <c r="AB178" s="107" t="s">
        <v>315</v>
      </c>
      <c r="AC178" s="107" t="s">
        <v>315</v>
      </c>
      <c r="AD178" s="107">
        <v>800</v>
      </c>
      <c r="AE178" s="107"/>
      <c r="AF178" s="107"/>
    </row>
    <row r="179" spans="1:32" ht="30.75">
      <c r="A179" s="71"/>
      <c r="B179" s="73"/>
      <c r="C179" s="70"/>
      <c r="D179" s="67" t="s">
        <v>1506</v>
      </c>
      <c r="E179" s="92" t="s">
        <v>1507</v>
      </c>
      <c r="F179" s="100" t="s">
        <v>1508</v>
      </c>
      <c r="G179" s="121" t="s">
        <v>1509</v>
      </c>
      <c r="H179" s="102" t="s">
        <v>301</v>
      </c>
      <c r="I179" s="102" t="s">
        <v>332</v>
      </c>
      <c r="J179" s="105"/>
      <c r="K179" s="106"/>
      <c r="L179" s="103" t="str">
        <f t="shared" ref="L179" si="30">G179</f>
        <v>Optimitzar l'elaboració d'informes</v>
      </c>
      <c r="M179" s="380" t="s">
        <v>1510</v>
      </c>
      <c r="N179" s="103"/>
      <c r="O179" s="75" t="s">
        <v>57</v>
      </c>
      <c r="P179" s="397"/>
      <c r="Q179" s="527" t="s">
        <v>532</v>
      </c>
      <c r="R179" s="528" t="s">
        <v>1510</v>
      </c>
      <c r="S179" s="537"/>
      <c r="T179" s="519"/>
      <c r="U179" s="519"/>
      <c r="V179" s="519"/>
      <c r="W179" s="522"/>
      <c r="X179" s="522"/>
      <c r="Y179" s="107"/>
      <c r="Z179" s="107"/>
      <c r="AA179" s="107"/>
      <c r="AB179" s="107"/>
      <c r="AC179" s="107"/>
      <c r="AD179" s="107"/>
      <c r="AE179" s="107"/>
      <c r="AF179" s="107"/>
    </row>
    <row r="180" spans="1:32" ht="23.45" customHeight="1">
      <c r="A180" s="71"/>
      <c r="B180" s="73"/>
      <c r="C180" s="70"/>
      <c r="D180" s="68"/>
      <c r="E180" s="93"/>
      <c r="F180" s="100" t="s">
        <v>1511</v>
      </c>
      <c r="G180" s="101" t="s">
        <v>1512</v>
      </c>
      <c r="H180" s="102" t="s">
        <v>301</v>
      </c>
      <c r="I180" s="102" t="s">
        <v>332</v>
      </c>
      <c r="J180" s="105"/>
      <c r="K180" s="109" t="s">
        <v>1513</v>
      </c>
      <c r="L180" s="103" t="str">
        <f t="shared" ref="L180" si="31">G180</f>
        <v>Adequar i actualitzar els procediments i tramitacions realitzats des de l'ENP als nous processos i eines conjuntes proposades des de Serveis Centrals</v>
      </c>
      <c r="M180" s="380" t="s">
        <v>1514</v>
      </c>
      <c r="N180" s="113"/>
      <c r="O180" s="75" t="s">
        <v>57</v>
      </c>
      <c r="P180" s="397"/>
      <c r="Q180" s="527" t="s">
        <v>450</v>
      </c>
      <c r="R180" s="518" t="s">
        <v>1515</v>
      </c>
      <c r="S180" s="537"/>
      <c r="T180" s="519"/>
      <c r="U180" s="519"/>
      <c r="V180" s="519"/>
      <c r="W180" s="522"/>
      <c r="X180" s="522"/>
      <c r="Y180" s="107"/>
      <c r="Z180" s="107"/>
      <c r="AA180" s="107"/>
      <c r="AB180" s="107"/>
      <c r="AC180" s="107"/>
      <c r="AD180" s="107"/>
      <c r="AE180" s="107"/>
      <c r="AF180" s="107"/>
    </row>
    <row r="181" spans="1:32" ht="91.5">
      <c r="A181" s="71"/>
      <c r="B181" s="73"/>
      <c r="C181" s="70"/>
      <c r="D181" s="68"/>
      <c r="E181" s="93"/>
      <c r="F181" s="100" t="s">
        <v>1516</v>
      </c>
      <c r="G181" s="121" t="s">
        <v>1517</v>
      </c>
      <c r="H181" s="102" t="s">
        <v>301</v>
      </c>
      <c r="I181" s="102" t="s">
        <v>332</v>
      </c>
      <c r="J181" s="105"/>
      <c r="K181" s="106"/>
      <c r="L181" s="103" t="str">
        <f t="shared" ref="L181:L185" si="32">G181</f>
        <v>Augmentar el coneixement de l'equip de treball en matèria de procediment administratiu</v>
      </c>
      <c r="M181" s="111"/>
      <c r="N181" s="113" t="s">
        <v>58</v>
      </c>
      <c r="O181" s="75" t="s">
        <v>57</v>
      </c>
      <c r="P181" s="397" t="s">
        <v>306</v>
      </c>
      <c r="Q181" s="517" t="s">
        <v>1518</v>
      </c>
      <c r="R181" s="518" t="s">
        <v>1519</v>
      </c>
      <c r="S181" s="537"/>
      <c r="T181" s="519"/>
      <c r="U181" s="519"/>
      <c r="V181" s="519" t="s">
        <v>1520</v>
      </c>
      <c r="W181" s="522" t="s">
        <v>371</v>
      </c>
      <c r="X181" s="522" t="s">
        <v>1096</v>
      </c>
      <c r="Y181" s="107" t="s">
        <v>315</v>
      </c>
      <c r="Z181" s="107" t="s">
        <v>315</v>
      </c>
      <c r="AA181" s="107" t="s">
        <v>315</v>
      </c>
      <c r="AB181" s="107" t="s">
        <v>315</v>
      </c>
      <c r="AC181" s="107" t="s">
        <v>315</v>
      </c>
      <c r="AD181" s="107">
        <v>500</v>
      </c>
      <c r="AE181" s="107"/>
      <c r="AF181" s="107"/>
    </row>
    <row r="182" spans="1:32">
      <c r="A182" s="71"/>
      <c r="B182" s="73"/>
      <c r="C182" s="70"/>
      <c r="D182" s="68"/>
      <c r="E182" s="93"/>
      <c r="F182" s="100" t="s">
        <v>1521</v>
      </c>
      <c r="G182" s="101" t="s">
        <v>1522</v>
      </c>
      <c r="H182" s="102" t="s">
        <v>364</v>
      </c>
      <c r="I182" s="102" t="s">
        <v>332</v>
      </c>
      <c r="J182" s="105"/>
      <c r="K182" s="106"/>
      <c r="L182" s="103" t="str">
        <f t="shared" si="32"/>
        <v>Garantir la transparència administrativa</v>
      </c>
      <c r="M182" s="111"/>
      <c r="N182" s="113" t="s">
        <v>58</v>
      </c>
      <c r="O182" s="75" t="s">
        <v>57</v>
      </c>
      <c r="P182" s="397" t="s">
        <v>492</v>
      </c>
      <c r="Q182" s="517" t="s">
        <v>1523</v>
      </c>
      <c r="R182" s="518" t="s">
        <v>1524</v>
      </c>
      <c r="S182" s="537"/>
      <c r="T182" s="519"/>
      <c r="U182" s="519"/>
      <c r="V182" s="519" t="s">
        <v>1525</v>
      </c>
      <c r="W182" s="522" t="s">
        <v>370</v>
      </c>
      <c r="X182" s="522" t="s">
        <v>370</v>
      </c>
      <c r="Y182" s="107"/>
      <c r="Z182" s="107" t="s">
        <v>315</v>
      </c>
      <c r="AA182" s="107"/>
      <c r="AB182" s="107"/>
      <c r="AC182" s="107" t="s">
        <v>315</v>
      </c>
      <c r="AD182" s="107">
        <v>200</v>
      </c>
      <c r="AE182" s="107"/>
      <c r="AF182" s="107"/>
    </row>
    <row r="183" spans="1:32" ht="76.5">
      <c r="A183" s="71"/>
      <c r="B183" s="73"/>
      <c r="C183" s="70"/>
      <c r="D183" s="42"/>
      <c r="E183" s="94"/>
      <c r="F183" s="100" t="s">
        <v>1526</v>
      </c>
      <c r="G183" s="101" t="s">
        <v>1527</v>
      </c>
      <c r="H183" s="102" t="s">
        <v>301</v>
      </c>
      <c r="I183" s="102" t="s">
        <v>483</v>
      </c>
      <c r="J183" s="105"/>
      <c r="K183" s="101"/>
      <c r="L183" s="103" t="str">
        <f t="shared" si="32"/>
        <v>Millorar i mantenir el material i infraestructures de gestió</v>
      </c>
      <c r="M183" s="111"/>
      <c r="N183" s="113" t="s">
        <v>58</v>
      </c>
      <c r="O183" s="75" t="s">
        <v>57</v>
      </c>
      <c r="P183" s="397" t="s">
        <v>492</v>
      </c>
      <c r="Q183" s="517" t="s">
        <v>1528</v>
      </c>
      <c r="R183" s="518" t="s">
        <v>1529</v>
      </c>
      <c r="S183" s="537"/>
      <c r="T183" s="519"/>
      <c r="U183" s="519"/>
      <c r="V183" s="519" t="s">
        <v>1530</v>
      </c>
      <c r="W183" s="522" t="s">
        <v>1439</v>
      </c>
      <c r="X183" s="522" t="s">
        <v>804</v>
      </c>
      <c r="Y183" s="107" t="s">
        <v>315</v>
      </c>
      <c r="Z183" s="107" t="s">
        <v>315</v>
      </c>
      <c r="AA183" s="107" t="s">
        <v>315</v>
      </c>
      <c r="AB183" s="107" t="s">
        <v>315</v>
      </c>
      <c r="AC183" s="107" t="s">
        <v>315</v>
      </c>
      <c r="AD183" s="385"/>
      <c r="AE183" s="107"/>
      <c r="AF183" s="107"/>
    </row>
    <row r="184" spans="1:32" s="1" customFormat="1" ht="51.75" customHeight="1">
      <c r="A184" s="71"/>
      <c r="B184" s="73"/>
      <c r="C184" s="70"/>
      <c r="D184" s="420" t="s">
        <v>1531</v>
      </c>
      <c r="E184" s="427" t="s">
        <v>1532</v>
      </c>
      <c r="F184" s="100" t="s">
        <v>1533</v>
      </c>
      <c r="G184" s="101" t="s">
        <v>1534</v>
      </c>
      <c r="H184" s="102" t="s">
        <v>301</v>
      </c>
      <c r="I184" s="102" t="s">
        <v>332</v>
      </c>
      <c r="J184" s="105"/>
      <c r="K184" s="109" t="s">
        <v>1535</v>
      </c>
      <c r="L184" s="103" t="str">
        <f t="shared" si="32"/>
        <v>Revisar l’estat dels béns patrimonials i la situació administrativa-legal dels equipaments del parc</v>
      </c>
      <c r="M184" s="111"/>
      <c r="N184" s="113" t="s">
        <v>81</v>
      </c>
      <c r="O184" s="75" t="s">
        <v>57</v>
      </c>
      <c r="P184" s="397" t="s">
        <v>306</v>
      </c>
      <c r="Q184" s="517" t="s">
        <v>1536</v>
      </c>
      <c r="R184" s="528" t="s">
        <v>1071</v>
      </c>
      <c r="S184" s="537"/>
      <c r="T184" s="519"/>
      <c r="U184" s="519"/>
      <c r="V184" s="519" t="s">
        <v>1537</v>
      </c>
      <c r="W184" s="519" t="s">
        <v>797</v>
      </c>
      <c r="X184" s="519" t="s">
        <v>1439</v>
      </c>
      <c r="Y184" s="122" t="s">
        <v>315</v>
      </c>
      <c r="Z184" s="122" t="s">
        <v>315</v>
      </c>
      <c r="AA184" s="122" t="s">
        <v>315</v>
      </c>
      <c r="AB184" s="122" t="s">
        <v>315</v>
      </c>
      <c r="AC184" s="122" t="s">
        <v>315</v>
      </c>
      <c r="AD184" s="122">
        <v>800</v>
      </c>
      <c r="AE184" s="122"/>
      <c r="AF184" s="122"/>
    </row>
    <row r="185" spans="1:32" ht="106.5">
      <c r="A185" s="71"/>
      <c r="B185" s="73"/>
      <c r="C185" s="70"/>
      <c r="D185" s="421"/>
      <c r="E185" s="428"/>
      <c r="F185" s="100" t="s">
        <v>1538</v>
      </c>
      <c r="G185" s="101" t="s">
        <v>1539</v>
      </c>
      <c r="H185" s="102" t="s">
        <v>301</v>
      </c>
      <c r="I185" s="102" t="s">
        <v>332</v>
      </c>
      <c r="J185" s="105"/>
      <c r="K185" s="109" t="s">
        <v>1540</v>
      </c>
      <c r="L185" s="103" t="str">
        <f t="shared" si="32"/>
        <v>Tenir cobertes les pèrdues o danys materials del patrimoni de la Direcció General que hi ha a l'àmbit territorial del Parc, com a conseqüència de la materialització de qualsevol dels riscs emparats en el plec de prescripcions tècniques de la pòlissa.</v>
      </c>
      <c r="M185" s="111"/>
      <c r="N185" s="113" t="s">
        <v>58</v>
      </c>
      <c r="O185" s="75" t="s">
        <v>57</v>
      </c>
      <c r="P185" s="397" t="s">
        <v>492</v>
      </c>
      <c r="Q185" s="517" t="s">
        <v>1541</v>
      </c>
      <c r="R185" s="528" t="s">
        <v>1071</v>
      </c>
      <c r="S185" s="537"/>
      <c r="T185" s="519"/>
      <c r="U185" s="519"/>
      <c r="V185" s="519" t="s">
        <v>1542</v>
      </c>
      <c r="W185" s="522" t="s">
        <v>370</v>
      </c>
      <c r="X185" s="522" t="s">
        <v>370</v>
      </c>
      <c r="Y185" s="107" t="s">
        <v>315</v>
      </c>
      <c r="Z185" s="107" t="s">
        <v>315</v>
      </c>
      <c r="AA185" s="107" t="s">
        <v>315</v>
      </c>
      <c r="AB185" s="107" t="s">
        <v>315</v>
      </c>
      <c r="AC185" s="107" t="s">
        <v>315</v>
      </c>
      <c r="AD185" s="107">
        <v>500</v>
      </c>
      <c r="AE185" s="107"/>
      <c r="AF185" s="107"/>
    </row>
    <row r="186" spans="1:32" ht="45.75">
      <c r="A186" s="71"/>
      <c r="B186" s="73"/>
      <c r="C186" s="70"/>
      <c r="D186" s="23" t="s">
        <v>1543</v>
      </c>
      <c r="E186" s="95" t="s">
        <v>1544</v>
      </c>
      <c r="F186" s="100" t="s">
        <v>1545</v>
      </c>
      <c r="G186" s="101" t="s">
        <v>1546</v>
      </c>
      <c r="H186" s="102" t="s">
        <v>301</v>
      </c>
      <c r="I186" s="102" t="s">
        <v>332</v>
      </c>
      <c r="J186" s="105"/>
      <c r="K186" s="106" t="s">
        <v>1547</v>
      </c>
      <c r="L186" s="103" t="str">
        <f>G186</f>
        <v>Millorar l'accessibilitat i la gestió documental del centre o punt de documentació de l'ENP</v>
      </c>
      <c r="M186" s="111"/>
      <c r="N186" s="75" t="s">
        <v>366</v>
      </c>
      <c r="O186" s="75" t="s">
        <v>57</v>
      </c>
      <c r="P186" s="397" t="s">
        <v>306</v>
      </c>
      <c r="Q186" s="517" t="s">
        <v>1548</v>
      </c>
      <c r="R186" s="528" t="s">
        <v>1549</v>
      </c>
      <c r="S186" s="522"/>
      <c r="T186" s="519"/>
      <c r="U186" s="519" t="s">
        <v>1550</v>
      </c>
      <c r="V186" s="519" t="s">
        <v>1551</v>
      </c>
      <c r="W186" s="522" t="s">
        <v>370</v>
      </c>
      <c r="X186" s="522" t="s">
        <v>370</v>
      </c>
      <c r="Y186" s="107"/>
      <c r="Z186" s="107"/>
      <c r="AA186" s="107" t="s">
        <v>315</v>
      </c>
      <c r="AB186" s="107" t="s">
        <v>315</v>
      </c>
      <c r="AC186" s="107" t="s">
        <v>315</v>
      </c>
      <c r="AD186" s="107">
        <v>1000</v>
      </c>
      <c r="AE186" s="107"/>
      <c r="AF186" s="107"/>
    </row>
    <row r="187" spans="1:32" ht="152.25">
      <c r="A187" s="71"/>
      <c r="B187" s="73"/>
      <c r="C187" s="70"/>
      <c r="D187" s="501" t="s">
        <v>1552</v>
      </c>
      <c r="E187" s="503" t="s">
        <v>1553</v>
      </c>
      <c r="F187" s="100" t="s">
        <v>1554</v>
      </c>
      <c r="G187" s="101" t="s">
        <v>1555</v>
      </c>
      <c r="H187" s="102" t="s">
        <v>364</v>
      </c>
      <c r="I187" s="102" t="s">
        <v>332</v>
      </c>
      <c r="J187" s="105"/>
      <c r="K187" s="106"/>
      <c r="L187" s="103" t="str">
        <f>G187</f>
        <v>Gestió de la brigada de manteniment</v>
      </c>
      <c r="M187" s="111"/>
      <c r="N187" s="75" t="s">
        <v>58</v>
      </c>
      <c r="O187" s="75" t="s">
        <v>57</v>
      </c>
      <c r="P187" s="397" t="s">
        <v>492</v>
      </c>
      <c r="Q187" s="517" t="s">
        <v>1556</v>
      </c>
      <c r="R187" s="518" t="s">
        <v>1557</v>
      </c>
      <c r="S187" s="522"/>
      <c r="T187" s="519"/>
      <c r="U187" s="519"/>
      <c r="V187" s="519" t="s">
        <v>1558</v>
      </c>
      <c r="W187" s="519" t="s">
        <v>1559</v>
      </c>
      <c r="X187" s="519" t="s">
        <v>1560</v>
      </c>
      <c r="Y187" s="107" t="s">
        <v>315</v>
      </c>
      <c r="Z187" s="107" t="s">
        <v>315</v>
      </c>
      <c r="AA187" s="107" t="s">
        <v>315</v>
      </c>
      <c r="AB187" s="107" t="s">
        <v>315</v>
      </c>
      <c r="AC187" s="107" t="s">
        <v>315</v>
      </c>
      <c r="AD187" s="107">
        <v>1000</v>
      </c>
      <c r="AE187" s="107"/>
      <c r="AF187" s="107"/>
    </row>
    <row r="188" spans="1:32" ht="106.5">
      <c r="A188" s="71"/>
      <c r="B188" s="73"/>
      <c r="C188" s="70"/>
      <c r="D188" s="502"/>
      <c r="E188" s="504"/>
      <c r="F188" s="100" t="s">
        <v>1561</v>
      </c>
      <c r="G188" s="101" t="s">
        <v>1562</v>
      </c>
      <c r="H188" s="102" t="s">
        <v>364</v>
      </c>
      <c r="I188" s="102" t="s">
        <v>332</v>
      </c>
      <c r="J188" s="105"/>
      <c r="K188" s="106"/>
      <c r="L188" s="103" t="str">
        <f>G188</f>
        <v>Gestió de personal</v>
      </c>
      <c r="M188" s="111"/>
      <c r="N188" s="75" t="s">
        <v>58</v>
      </c>
      <c r="O188" s="75" t="s">
        <v>57</v>
      </c>
      <c r="P188" s="397" t="s">
        <v>492</v>
      </c>
      <c r="Q188" s="517" t="s">
        <v>1563</v>
      </c>
      <c r="R188" s="518" t="s">
        <v>1564</v>
      </c>
      <c r="S188" s="522" t="s">
        <v>1565</v>
      </c>
      <c r="T188" s="519"/>
      <c r="U188" s="519" t="s">
        <v>1566</v>
      </c>
      <c r="V188" s="519" t="s">
        <v>1567</v>
      </c>
      <c r="W188" s="522" t="s">
        <v>1034</v>
      </c>
      <c r="X188" s="522" t="s">
        <v>1568</v>
      </c>
      <c r="Y188" s="107"/>
      <c r="Z188" s="107" t="s">
        <v>315</v>
      </c>
      <c r="AA188" s="107" t="s">
        <v>315</v>
      </c>
      <c r="AB188" s="107" t="s">
        <v>315</v>
      </c>
      <c r="AC188" s="107" t="s">
        <v>315</v>
      </c>
      <c r="AD188" s="107">
        <v>700</v>
      </c>
      <c r="AE188" s="107"/>
      <c r="AF188" s="107"/>
    </row>
    <row r="189" spans="1:32">
      <c r="F189" s="7"/>
    </row>
  </sheetData>
  <autoFilter ref="A4:AF188" xr:uid="{00000000-0009-0000-0000-000003000000}"/>
  <dataConsolidate/>
  <mergeCells count="115">
    <mergeCell ref="W3:X3"/>
    <mergeCell ref="AD3:AF3"/>
    <mergeCell ref="D187:D188"/>
    <mergeCell ref="E187:E188"/>
    <mergeCell ref="E40:E43"/>
    <mergeCell ref="E169:E170"/>
    <mergeCell ref="E166:E167"/>
    <mergeCell ref="D136:D137"/>
    <mergeCell ref="E136:E137"/>
    <mergeCell ref="D37:D39"/>
    <mergeCell ref="E37:E39"/>
    <mergeCell ref="D141:D144"/>
    <mergeCell ref="D138:D140"/>
    <mergeCell ref="E48:E50"/>
    <mergeCell ref="E44:E47"/>
    <mergeCell ref="D176:D178"/>
    <mergeCell ref="E176:E178"/>
    <mergeCell ref="Y3:AC3"/>
    <mergeCell ref="E7:E10"/>
    <mergeCell ref="D7:D10"/>
    <mergeCell ref="D35:D36"/>
    <mergeCell ref="E11:E16"/>
    <mergeCell ref="D184:D185"/>
    <mergeCell ref="E184:E185"/>
    <mergeCell ref="D11:D16"/>
    <mergeCell ref="E101:E102"/>
    <mergeCell ref="D101:D102"/>
    <mergeCell ref="D97:D98"/>
    <mergeCell ref="E66:E69"/>
    <mergeCell ref="E70:E75"/>
    <mergeCell ref="E76:E81"/>
    <mergeCell ref="E83:E86"/>
    <mergeCell ref="E57:E58"/>
    <mergeCell ref="D40:D43"/>
    <mergeCell ref="D44:D47"/>
    <mergeCell ref="D48:D50"/>
    <mergeCell ref="E52:E54"/>
    <mergeCell ref="D52:D54"/>
    <mergeCell ref="D57:D58"/>
    <mergeCell ref="D59:D65"/>
    <mergeCell ref="D66:D69"/>
    <mergeCell ref="D70:D75"/>
    <mergeCell ref="D76:D81"/>
    <mergeCell ref="B27:B36"/>
    <mergeCell ref="B20:B26"/>
    <mergeCell ref="D17:D19"/>
    <mergeCell ref="D24:D26"/>
    <mergeCell ref="E17:E19"/>
    <mergeCell ref="C20:C26"/>
    <mergeCell ref="E24:E26"/>
    <mergeCell ref="D31:D34"/>
    <mergeCell ref="E31:E34"/>
    <mergeCell ref="E35:E36"/>
    <mergeCell ref="E20:E23"/>
    <mergeCell ref="D20:D23"/>
    <mergeCell ref="C27:C36"/>
    <mergeCell ref="E27:E29"/>
    <mergeCell ref="D27:D29"/>
    <mergeCell ref="B51:B56"/>
    <mergeCell ref="C51:C56"/>
    <mergeCell ref="D55:D56"/>
    <mergeCell ref="E55:E56"/>
    <mergeCell ref="C138:C165"/>
    <mergeCell ref="E138:E140"/>
    <mergeCell ref="E148:E151"/>
    <mergeCell ref="E145:E147"/>
    <mergeCell ref="D159:D161"/>
    <mergeCell ref="E159:E161"/>
    <mergeCell ref="E162:E165"/>
    <mergeCell ref="D162:D165"/>
    <mergeCell ref="D99:D100"/>
    <mergeCell ref="E123:E124"/>
    <mergeCell ref="D123:D124"/>
    <mergeCell ref="D127:D128"/>
    <mergeCell ref="D129:D132"/>
    <mergeCell ref="D133:D135"/>
    <mergeCell ref="E99:E100"/>
    <mergeCell ref="E133:E135"/>
    <mergeCell ref="E129:E132"/>
    <mergeCell ref="E127:E128"/>
    <mergeCell ref="E125:E126"/>
    <mergeCell ref="E103:E114"/>
    <mergeCell ref="B83:B96"/>
    <mergeCell ref="E88:E93"/>
    <mergeCell ref="D88:D93"/>
    <mergeCell ref="D94:D96"/>
    <mergeCell ref="E94:E96"/>
    <mergeCell ref="E59:E65"/>
    <mergeCell ref="C83:C96"/>
    <mergeCell ref="E97:E98"/>
    <mergeCell ref="D83:D86"/>
    <mergeCell ref="D125:D126"/>
    <mergeCell ref="D103:D114"/>
    <mergeCell ref="E118:E122"/>
    <mergeCell ref="D118:D122"/>
    <mergeCell ref="A87:A96"/>
    <mergeCell ref="E115:E117"/>
    <mergeCell ref="D115:D117"/>
    <mergeCell ref="B171:B174"/>
    <mergeCell ref="B166:B170"/>
    <mergeCell ref="B138:B165"/>
    <mergeCell ref="D169:D170"/>
    <mergeCell ref="D166:D167"/>
    <mergeCell ref="D171:D174"/>
    <mergeCell ref="C171:C174"/>
    <mergeCell ref="C103:C105"/>
    <mergeCell ref="E171:E174"/>
    <mergeCell ref="D148:D151"/>
    <mergeCell ref="D152:D156"/>
    <mergeCell ref="E152:E156"/>
    <mergeCell ref="E157:E158"/>
    <mergeCell ref="D157:D158"/>
    <mergeCell ref="C166:C170"/>
    <mergeCell ref="E141:E144"/>
    <mergeCell ref="D145:D147"/>
  </mergeCells>
  <phoneticPr fontId="2" type="noConversion"/>
  <conditionalFormatting sqref="H158:I158">
    <cfRule type="duplicateValues" dxfId="2" priority="2"/>
  </conditionalFormatting>
  <conditionalFormatting sqref="M158">
    <cfRule type="duplicateValues" dxfId="1" priority="1"/>
  </conditionalFormatting>
  <dataValidations count="4">
    <dataValidation type="list" allowBlank="1" showInputMessage="1" showErrorMessage="1" sqref="N5" xr:uid="{00000000-0002-0000-0300-000001000000}">
      <formula1>"Sí, No, Impuls/Suport, Realitzat"</formula1>
    </dataValidation>
    <dataValidation type="list" allowBlank="1" showInputMessage="1" showErrorMessage="1" sqref="O87:O188" xr:uid="{00000000-0002-0000-0300-000002000000}">
      <formula1>"Si, No"</formula1>
    </dataValidation>
    <dataValidation type="list" allowBlank="1" showInputMessage="1" showErrorMessage="1" sqref="P80:P89 P91:P97 P99:P141 P143:P172 P174:P185" xr:uid="{00000000-0002-0000-0300-000003000000}">
      <formula1>"BAIXA, MITJANA, ALTA, MÀXIMA, FORA DEL TERMINI DEL PLA ESTRATÈGIC"</formula1>
    </dataValidation>
    <dataValidation type="list" allowBlank="1" showInputMessage="1" showErrorMessage="1" sqref="N6:N188" xr:uid="{00000000-0002-0000-0300-000000000000}">
      <formula1>"Sí, No, Impuls-Suport, Realitzat"</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4000000}">
          <x14:formula1>
            <xm:f>Full1!$A$2:$A$3</xm:f>
          </x14:formula1>
          <xm:sqref>H5:H188</xm:sqref>
        </x14:dataValidation>
        <x14:dataValidation type="list" allowBlank="1" showInputMessage="1" showErrorMessage="1" xr:uid="{00000000-0002-0000-0300-000005000000}">
          <x14:formula1>
            <xm:f>Full1!$B$2:$B$3</xm:f>
          </x14:formula1>
          <xm:sqref>I5:K188</xm:sqref>
        </x14:dataValidation>
        <x14:dataValidation type="list" allowBlank="1" showInputMessage="1" showErrorMessage="1" xr:uid="{00000000-0002-0000-0300-000006000000}">
          <x14:formula1>
            <xm:f>Full1!$C$2:$C$6</xm:f>
          </x14:formula1>
          <xm:sqref>P5:P188</xm:sqref>
        </x14:dataValidation>
        <x14:dataValidation type="list" allowBlank="1" showInputMessage="1" showErrorMessage="1" xr:uid="{00000000-0002-0000-0300-000007000000}">
          <x14:formula1>
            <xm:f>Full1!$E$2:$E$3</xm:f>
          </x14:formula1>
          <xm:sqref>O5:O188 J5:K188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0A40-ACD8-4FC7-8E66-40A0D45F69D8}">
  <dimension ref="A1:H25"/>
  <sheetViews>
    <sheetView workbookViewId="0">
      <selection activeCell="H4" sqref="H3:H4"/>
    </sheetView>
  </sheetViews>
  <sheetFormatPr defaultColWidth="11.5703125" defaultRowHeight="14.45"/>
  <cols>
    <col min="5" max="5" width="26.28515625" customWidth="1"/>
  </cols>
  <sheetData>
    <row r="1" spans="1:8">
      <c r="A1" t="s">
        <v>1569</v>
      </c>
    </row>
    <row r="3" spans="1:8">
      <c r="A3" t="s">
        <v>1570</v>
      </c>
      <c r="B3" t="s">
        <v>1571</v>
      </c>
      <c r="C3" t="s">
        <v>1572</v>
      </c>
      <c r="D3">
        <v>2222</v>
      </c>
    </row>
    <row r="4" spans="1:8">
      <c r="C4" t="s">
        <v>1573</v>
      </c>
      <c r="D4">
        <v>5397</v>
      </c>
    </row>
    <row r="6" spans="1:8">
      <c r="A6" t="s">
        <v>1574</v>
      </c>
      <c r="B6" t="s">
        <v>1575</v>
      </c>
    </row>
    <row r="8" spans="1:8">
      <c r="A8" s="127" t="s">
        <v>1576</v>
      </c>
      <c r="E8" t="s">
        <v>1577</v>
      </c>
      <c r="F8" t="s">
        <v>1578</v>
      </c>
      <c r="H8" s="384" t="s">
        <v>1579</v>
      </c>
    </row>
    <row r="9" spans="1:8">
      <c r="A9" t="s">
        <v>1580</v>
      </c>
      <c r="C9">
        <v>20</v>
      </c>
      <c r="D9" s="382">
        <f>C9*22010/100</f>
        <v>4402</v>
      </c>
      <c r="E9">
        <f>SUM(PLA!AD5:AD36)</f>
        <v>4431</v>
      </c>
      <c r="F9" s="382">
        <f t="shared" ref="F9:F14" si="0">D9-E9</f>
        <v>-29</v>
      </c>
      <c r="H9" s="384" t="s">
        <v>1581</v>
      </c>
    </row>
    <row r="10" spans="1:8">
      <c r="A10" t="s">
        <v>1582</v>
      </c>
      <c r="C10">
        <v>5</v>
      </c>
      <c r="D10" s="382">
        <f t="shared" ref="D10:D14" si="1">C10*22010/100</f>
        <v>1100.5</v>
      </c>
      <c r="E10">
        <f>SUM(PLA!AD37:AD56)</f>
        <v>1100</v>
      </c>
      <c r="F10" s="382">
        <f t="shared" si="0"/>
        <v>0.5</v>
      </c>
    </row>
    <row r="11" spans="1:8">
      <c r="A11" t="s">
        <v>1583</v>
      </c>
      <c r="C11">
        <v>14</v>
      </c>
      <c r="D11" s="382">
        <f t="shared" si="1"/>
        <v>3081.4</v>
      </c>
      <c r="E11">
        <f>SUM(PLA!AD57:AD81)</f>
        <v>3000</v>
      </c>
      <c r="F11" s="382">
        <f t="shared" si="0"/>
        <v>81.400000000000091</v>
      </c>
      <c r="H11">
        <f>D12/18</f>
        <v>195.64444444444445</v>
      </c>
    </row>
    <row r="12" spans="1:8">
      <c r="A12" t="s">
        <v>1584</v>
      </c>
      <c r="C12">
        <v>16</v>
      </c>
      <c r="D12" s="382">
        <f t="shared" si="1"/>
        <v>3521.6</v>
      </c>
      <c r="E12">
        <f>SUM(PLA!AD82:AD100)</f>
        <v>3490</v>
      </c>
      <c r="F12" s="382">
        <f t="shared" si="0"/>
        <v>31.599999999999909</v>
      </c>
      <c r="H12">
        <f>D13/35</f>
        <v>176.08</v>
      </c>
    </row>
    <row r="13" spans="1:8">
      <c r="A13" t="s">
        <v>1585</v>
      </c>
      <c r="C13">
        <v>28</v>
      </c>
      <c r="D13" s="382">
        <f t="shared" si="1"/>
        <v>6162.8</v>
      </c>
      <c r="E13">
        <f>SUM(PLA!AD101:AD137)</f>
        <v>6215</v>
      </c>
      <c r="F13" s="382">
        <f t="shared" si="0"/>
        <v>-52.199999999999818</v>
      </c>
    </row>
    <row r="14" spans="1:8">
      <c r="A14" t="s">
        <v>1586</v>
      </c>
      <c r="C14">
        <v>17</v>
      </c>
      <c r="D14" s="382">
        <f t="shared" si="1"/>
        <v>3741.7</v>
      </c>
      <c r="E14">
        <f>SUM(PLA!AD138:AD170)</f>
        <v>3800</v>
      </c>
      <c r="F14" s="382">
        <f t="shared" si="0"/>
        <v>-58.300000000000182</v>
      </c>
    </row>
    <row r="15" spans="1:8" ht="18.600000000000001">
      <c r="A15" s="381" t="s">
        <v>1587</v>
      </c>
      <c r="B15" s="381"/>
      <c r="C15" s="381">
        <f>SUM(C9:C14)</f>
        <v>100</v>
      </c>
      <c r="D15" s="381">
        <f>SUM(D9:D14)</f>
        <v>22010</v>
      </c>
    </row>
    <row r="17" spans="1:6">
      <c r="A17" s="195" t="s">
        <v>1588</v>
      </c>
    </row>
    <row r="18" spans="1:6">
      <c r="A18" s="195" t="s">
        <v>1589</v>
      </c>
    </row>
    <row r="19" spans="1:6">
      <c r="D19" s="387" t="s">
        <v>1590</v>
      </c>
    </row>
    <row r="20" spans="1:6">
      <c r="D20" s="387">
        <v>7620</v>
      </c>
      <c r="E20">
        <f>SUM(PLA!AD171:AD188)</f>
        <v>7400</v>
      </c>
      <c r="F20">
        <f>D20-E20</f>
        <v>220</v>
      </c>
    </row>
    <row r="22" spans="1:6">
      <c r="F22" s="382">
        <f>SUM(F9:F21)</f>
        <v>194</v>
      </c>
    </row>
    <row r="24" spans="1:6">
      <c r="A24" t="s">
        <v>1591</v>
      </c>
      <c r="D24">
        <f>D15+D20</f>
        <v>29630</v>
      </c>
      <c r="E24">
        <v>100</v>
      </c>
    </row>
    <row r="25" spans="1:6">
      <c r="D25">
        <v>7620</v>
      </c>
      <c r="E25">
        <f>D25*E24/D24</f>
        <v>25.71717853526831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6"/>
  <sheetViews>
    <sheetView workbookViewId="0">
      <selection activeCell="D11" sqref="D11"/>
    </sheetView>
  </sheetViews>
  <sheetFormatPr defaultColWidth="8.7109375" defaultRowHeight="14.45"/>
  <cols>
    <col min="1" max="1" width="6.42578125" customWidth="1"/>
    <col min="2" max="2" width="57.28515625" customWidth="1"/>
    <col min="3" max="3" width="34.42578125" customWidth="1"/>
    <col min="4" max="4" width="61" style="74" customWidth="1"/>
    <col min="8" max="8" width="26.42578125" customWidth="1"/>
  </cols>
  <sheetData>
    <row r="1" spans="1:4" ht="15.6">
      <c r="A1" s="128" t="s">
        <v>1592</v>
      </c>
    </row>
    <row r="2" spans="1:4" ht="15.6">
      <c r="A2" s="128"/>
    </row>
    <row r="3" spans="1:4" ht="15.95" thickBot="1">
      <c r="A3" s="128" t="s">
        <v>1593</v>
      </c>
    </row>
    <row r="4" spans="1:4" ht="15.95" thickBot="1">
      <c r="A4" s="131" t="s">
        <v>1594</v>
      </c>
      <c r="B4" s="154" t="s">
        <v>1595</v>
      </c>
      <c r="C4" s="133" t="s">
        <v>1596</v>
      </c>
      <c r="D4" s="132" t="s">
        <v>1597</v>
      </c>
    </row>
    <row r="5" spans="1:4" ht="29.1">
      <c r="A5" s="111" t="s">
        <v>299</v>
      </c>
      <c r="B5" s="153" t="str">
        <f>PLA!L5</f>
        <v>Implementar i executar plans i mesures de gestió específiques per a hàbitats i espècies de conservació prioritària dins l'ENP</v>
      </c>
      <c r="C5" s="153" t="s">
        <v>175</v>
      </c>
      <c r="D5" s="153"/>
    </row>
    <row r="6" spans="1:4" ht="29.1">
      <c r="A6" s="111" t="s">
        <v>318</v>
      </c>
      <c r="B6" s="130" t="str">
        <f>PLA!L6</f>
        <v>Adaptar i executar plans de gestió específics per a elements geològics de conservació prioritària dins l'ENP</v>
      </c>
      <c r="C6" s="153" t="s">
        <v>175</v>
      </c>
      <c r="D6" s="153"/>
    </row>
    <row r="7" spans="1:4" ht="43.5">
      <c r="A7" s="104" t="s">
        <v>330</v>
      </c>
      <c r="B7" s="130" t="str">
        <f>PLA!L7</f>
        <v>Implementar la metodologia de gestió adaptativa (Estàndards Oberts de Gestió Adaptativa a Catalunya) en tots els processos de l'ENP</v>
      </c>
      <c r="C7" s="153" t="s">
        <v>1598</v>
      </c>
      <c r="D7" s="153"/>
    </row>
    <row r="8" spans="1:4" ht="43.5">
      <c r="A8" s="104" t="s">
        <v>342</v>
      </c>
      <c r="B8" s="130" t="str">
        <f>PLA!L8</f>
        <v>Executar les mesures previstes en els plans de conservació o recuperació d'espècies amenaçades de forma coordinada amb el Servei de Flora i Fauna en l'àmbit de l'ENP</v>
      </c>
      <c r="C8" s="153" t="s">
        <v>175</v>
      </c>
      <c r="D8" s="153"/>
    </row>
    <row r="9" spans="1:4" ht="43.5">
      <c r="A9" s="104" t="s">
        <v>352</v>
      </c>
      <c r="B9" s="130" t="str">
        <f>PLA!L9</f>
        <v>Executar les mesures de gestió previstes en els plans de control i erradicació d'espècies exòtiques de forma coordinada amb el Servei de Flora i Fauna en l'àmbit de l'ENP</v>
      </c>
      <c r="C9" s="153" t="s">
        <v>1599</v>
      </c>
      <c r="D9" s="153"/>
    </row>
    <row r="10" spans="1:4" ht="29.1">
      <c r="A10" s="104" t="s">
        <v>362</v>
      </c>
      <c r="B10" s="130" t="str">
        <f>PLA!L10</f>
        <v xml:space="preserve">Desplegar els objectius i tasques recollits en els instruments de referència i compromisos internacionals  </v>
      </c>
      <c r="C10" s="153" t="s">
        <v>175</v>
      </c>
      <c r="D10" s="153"/>
    </row>
    <row r="11" spans="1:4" ht="29.1">
      <c r="A11" s="111" t="s">
        <v>374</v>
      </c>
      <c r="B11" s="130" t="str">
        <f>PLA!L11</f>
        <v>Identificar espais pel foment de la dinàmica natural i l'aprofitament no extractiu</v>
      </c>
      <c r="C11" s="153" t="s">
        <v>1600</v>
      </c>
      <c r="D11" s="153"/>
    </row>
    <row r="12" spans="1:4" ht="29.1">
      <c r="A12" s="111" t="s">
        <v>382</v>
      </c>
      <c r="B12" s="130" t="str">
        <f>PLA!L12</f>
        <v>Afavorir la maduresa dels sistemes forestals</v>
      </c>
      <c r="C12" s="153" t="s">
        <v>1600</v>
      </c>
      <c r="D12" s="153"/>
    </row>
    <row r="13" spans="1:4" ht="29.1">
      <c r="A13" s="111" t="s">
        <v>391</v>
      </c>
      <c r="B13" s="130" t="str">
        <f>PLA!L13</f>
        <v>Generar pertorbacions controlades</v>
      </c>
      <c r="C13" s="153" t="s">
        <v>1600</v>
      </c>
      <c r="D13" s="153"/>
    </row>
    <row r="14" spans="1:4" ht="29.1">
      <c r="A14" s="111" t="s">
        <v>400</v>
      </c>
      <c r="B14" s="130" t="str">
        <f>PLA!L14</f>
        <v>Restaurar i conservar la dinàmica i estructura natural dels rius, les zones humides, i altres hàbitats d'aigua dolça</v>
      </c>
      <c r="C14" s="153" t="s">
        <v>1600</v>
      </c>
      <c r="D14" s="153"/>
    </row>
    <row r="15" spans="1:4" ht="29.1">
      <c r="A15" s="111" t="s">
        <v>409</v>
      </c>
      <c r="B15" s="130" t="str">
        <f>PLA!L15</f>
        <v>Fomentar el paisatge en mosaïc</v>
      </c>
      <c r="C15" s="153" t="s">
        <v>1600</v>
      </c>
      <c r="D15" s="153"/>
    </row>
    <row r="16" spans="1:4" ht="29.1">
      <c r="A16" s="111" t="s">
        <v>419</v>
      </c>
      <c r="B16" s="130" t="str">
        <f>PLA!L16</f>
        <v>Gestionar i intervenir en la dinàmica de poblacions de fauna que no tenen depredador natural</v>
      </c>
      <c r="C16" s="153" t="s">
        <v>1600</v>
      </c>
      <c r="D16" s="153"/>
    </row>
    <row r="17" spans="1:4" ht="29.1">
      <c r="A17" s="111" t="s">
        <v>428</v>
      </c>
      <c r="B17" s="130" t="str">
        <f>PLA!L17</f>
        <v>Fomentar acords de custòdia en espais d'alt valor dins l'ENP per a la gestió dels elements prioritaris</v>
      </c>
      <c r="C17" s="153" t="s">
        <v>175</v>
      </c>
      <c r="D17" s="153"/>
    </row>
    <row r="18" spans="1:4" ht="29.1">
      <c r="A18" s="111" t="s">
        <v>438</v>
      </c>
      <c r="B18" s="130" t="str">
        <f>PLA!L18</f>
        <v>Fomentar bones pràctiques entre els col·lectius de propietaris i gestors del territori</v>
      </c>
      <c r="C18" s="153" t="s">
        <v>175</v>
      </c>
      <c r="D18" s="153"/>
    </row>
    <row r="19" spans="1:4">
      <c r="A19" s="111" t="s">
        <v>447</v>
      </c>
      <c r="B19" s="130" t="str">
        <f>PLA!L19</f>
        <v>Impulsar la coordinació amb els ens locals en la gestió finques públiques situades dins d’ENP</v>
      </c>
      <c r="C19" s="153" t="s">
        <v>175</v>
      </c>
      <c r="D19" s="153"/>
    </row>
    <row r="20" spans="1:4" ht="29.1">
      <c r="A20" s="111" t="s">
        <v>455</v>
      </c>
      <c r="B20" s="130" t="str">
        <f>PLA!L20</f>
        <v>Implementar els resultats de l'estudi d'adaptació dels boscos de l'Alta Garrotxa</v>
      </c>
      <c r="C20" s="153" t="s">
        <v>1601</v>
      </c>
      <c r="D20" s="153"/>
    </row>
    <row r="21" spans="1:4">
      <c r="A21" s="111" t="s">
        <v>465</v>
      </c>
      <c r="B21" s="130" t="str">
        <f>PLA!L21</f>
        <v>Gestionar i planificar els recursos hídrics de l'ENP</v>
      </c>
      <c r="C21" s="153" t="s">
        <v>1602</v>
      </c>
      <c r="D21" s="153"/>
    </row>
    <row r="22" spans="1:4" ht="43.5">
      <c r="A22" s="111" t="s">
        <v>470</v>
      </c>
      <c r="B22" s="130" t="str">
        <f>PLA!L22</f>
        <v>Promoure la redacció d'instruments d'ordenació forestal sostenible i l'execució d'accions per la conservació i millora dels boscos i els elements d'interès</v>
      </c>
      <c r="C22" s="153" t="s">
        <v>1603</v>
      </c>
      <c r="D22" s="153"/>
    </row>
    <row r="23" spans="1:4" ht="43.5">
      <c r="A23" s="111" t="s">
        <v>481</v>
      </c>
      <c r="B23" s="130" t="str">
        <f>PLA!L23</f>
        <v>Promoure la redacció d'instruments d'ordenació forestal per reduir la sensibilitat i vulnerabilitat dels boscos al canvi climàtic en finques privades</v>
      </c>
      <c r="C23" s="153" t="s">
        <v>1603</v>
      </c>
      <c r="D23" s="153"/>
    </row>
    <row r="24" spans="1:4">
      <c r="A24" s="111" t="s">
        <v>489</v>
      </c>
      <c r="B24" s="130" t="str">
        <f>PLA!L24</f>
        <v xml:space="preserve">Redactar i implementar el Pla de Prevenció d'Incendis </v>
      </c>
      <c r="C24" s="153" t="s">
        <v>1604</v>
      </c>
      <c r="D24" s="153"/>
    </row>
    <row r="25" spans="1:4">
      <c r="A25" s="111" t="s">
        <v>500</v>
      </c>
      <c r="B25" s="130" t="str">
        <f>PLA!L25</f>
        <v>Definir i planificar la gestió del foc per a la millora de l'ENP</v>
      </c>
      <c r="C25" s="153" t="s">
        <v>1604</v>
      </c>
      <c r="D25" s="153"/>
    </row>
    <row r="26" spans="1:4" ht="29.1">
      <c r="A26" s="111" t="s">
        <v>511</v>
      </c>
      <c r="B26" s="130" t="str">
        <f>PLA!L26</f>
        <v>Treballar per a la prevenció d'incendis juntament amb els propietaris, ajuntaments, protecció civil, ADF i bombers.</v>
      </c>
      <c r="C26" s="153" t="s">
        <v>1604</v>
      </c>
      <c r="D26" s="153"/>
    </row>
    <row r="27" spans="1:4" ht="29.1">
      <c r="A27" s="111" t="s">
        <v>521</v>
      </c>
      <c r="B27" s="130" t="str">
        <f>PLA!L27</f>
        <v>Participar en les consultes dels procesos d'Avaluació Ambiental que afectin directament o indirectament l’espai del ENP</v>
      </c>
      <c r="C27" s="153" t="s">
        <v>1605</v>
      </c>
      <c r="D27" s="153"/>
    </row>
    <row r="28" spans="1:4">
      <c r="A28" s="111" t="s">
        <v>529</v>
      </c>
      <c r="B28" s="130" t="str">
        <f>PLA!L28</f>
        <v>Exercir un seguiment efectiu de les obres al Parc juntament amb les Oficines Territorials d'Acció i Avaluació Ambiental als efectes d'assegurar la correcta translació de la tutela administrativa.</v>
      </c>
      <c r="C28" s="153" t="s">
        <v>175</v>
      </c>
      <c r="D28" s="153"/>
    </row>
    <row r="29" spans="1:4">
      <c r="A29" s="111" t="s">
        <v>533</v>
      </c>
      <c r="B29" s="130" t="str">
        <f>PLA!L29</f>
        <v>Participar en la compensació d'impactes residuals durant els processos d'avaluació ambiental mitjançant la identificació de necessitats d'actuació prioritària dins i fora dels límits de l’ENP</v>
      </c>
      <c r="C29" s="153" t="s">
        <v>1605</v>
      </c>
      <c r="D29" s="153"/>
    </row>
    <row r="30" spans="1:4">
      <c r="A30" s="111" t="s">
        <v>540</v>
      </c>
      <c r="B30" s="130" t="str">
        <f>PLA!L30</f>
        <v>Revisar el PPAG</v>
      </c>
      <c r="C30" s="153" t="s">
        <v>175</v>
      </c>
      <c r="D30" s="153"/>
    </row>
    <row r="31" spans="1:4" ht="29.1">
      <c r="A31" s="111" t="s">
        <v>549</v>
      </c>
      <c r="B31" s="130" t="str">
        <f>PLA!L31</f>
        <v>Vetllar pel manteniment del cabal ecològic dels rius definit al Pla sectorial corresponent</v>
      </c>
      <c r="C31" s="153" t="s">
        <v>1602</v>
      </c>
      <c r="D31" s="153"/>
    </row>
    <row r="32" spans="1:4">
      <c r="A32" s="111" t="s">
        <v>558</v>
      </c>
      <c r="B32" s="130" t="str">
        <f>PLA!L32</f>
        <v>Vetllar per la regulació dels dragatges, canalitzacions o implantació d'activitats extractives que puguin modificar la llera i el cabal dels rius</v>
      </c>
      <c r="C32" s="153" t="s">
        <v>1602</v>
      </c>
      <c r="D32" s="153"/>
    </row>
    <row r="33" spans="1:4">
      <c r="A33" s="111" t="s">
        <v>561</v>
      </c>
      <c r="B33" s="130" t="str">
        <f>PLA!L33</f>
        <v>Avaluar i controlar les actuacions que produeixin drenatges, captacions o que puguin impedir l’arribada d’aigua tant superficial com freàtica</v>
      </c>
      <c r="C33" s="153" t="s">
        <v>1602</v>
      </c>
      <c r="D33" s="153"/>
    </row>
    <row r="34" spans="1:4" ht="43.5">
      <c r="A34" s="111" t="s">
        <v>564</v>
      </c>
      <c r="B34" s="130" t="str">
        <f>PLA!L34</f>
        <v>Vetllar pel compliment de la normativa de depuració dels efluents agroramaders, urbans i industrials que s'aboquen als cursos fluvials</v>
      </c>
      <c r="C34" s="153" t="s">
        <v>1606</v>
      </c>
      <c r="D34" s="153"/>
    </row>
    <row r="35" spans="1:4" ht="29.1">
      <c r="A35" s="111" t="s">
        <v>572</v>
      </c>
      <c r="B35" s="130" t="str">
        <f>PLA!L35</f>
        <v xml:space="preserve">Identificar espais prioritaris per a la compra de terrenys de més valor dins l'ENP </v>
      </c>
      <c r="C35" s="153" t="s">
        <v>175</v>
      </c>
      <c r="D35" s="153"/>
    </row>
    <row r="36" spans="1:4">
      <c r="A36" s="111" t="s">
        <v>577</v>
      </c>
      <c r="B36" s="130" t="str">
        <f>PLA!L36</f>
        <v>Identificar espais prioritaris per a la gestió directa</v>
      </c>
      <c r="C36" s="153" t="s">
        <v>175</v>
      </c>
      <c r="D36" s="153"/>
    </row>
    <row r="37" spans="1:4">
      <c r="B37" s="155" t="s">
        <v>1607</v>
      </c>
      <c r="C37" s="153"/>
      <c r="D37" s="153"/>
    </row>
    <row r="38" spans="1:4">
      <c r="C38" s="153"/>
      <c r="D38" s="153"/>
    </row>
    <row r="39" spans="1:4">
      <c r="C39" s="153"/>
      <c r="D39" s="153"/>
    </row>
    <row r="40" spans="1:4">
      <c r="C40" s="153"/>
      <c r="D40" s="153"/>
    </row>
    <row r="41" spans="1:4">
      <c r="C41" s="153"/>
      <c r="D41" s="153"/>
    </row>
    <row r="42" spans="1:4">
      <c r="C42" s="153"/>
      <c r="D42" s="153"/>
    </row>
    <row r="43" spans="1:4">
      <c r="C43" s="153"/>
      <c r="D43" s="153"/>
    </row>
    <row r="44" spans="1:4">
      <c r="C44" s="153"/>
      <c r="D44" s="153"/>
    </row>
    <row r="45" spans="1:4">
      <c r="C45" s="153"/>
      <c r="D45" s="153"/>
    </row>
    <row r="46" spans="1:4">
      <c r="C46" s="153"/>
      <c r="D46" s="153"/>
    </row>
    <row r="47" spans="1:4">
      <c r="C47" s="153"/>
      <c r="D47" s="153"/>
    </row>
    <row r="48" spans="1:4">
      <c r="C48" s="153"/>
      <c r="D48" s="153"/>
    </row>
    <row r="49" spans="3:4">
      <c r="C49" s="153"/>
      <c r="D49" s="153"/>
    </row>
    <row r="50" spans="3:4">
      <c r="C50" s="153"/>
      <c r="D50" s="153"/>
    </row>
    <row r="51" spans="3:4">
      <c r="C51" s="153"/>
      <c r="D51" s="153"/>
    </row>
    <row r="52" spans="3:4">
      <c r="C52" s="153"/>
      <c r="D52" s="153"/>
    </row>
    <row r="53" spans="3:4">
      <c r="C53" s="153"/>
      <c r="D53" s="153"/>
    </row>
    <row r="54" spans="3:4">
      <c r="C54" s="153"/>
      <c r="D54" s="153"/>
    </row>
    <row r="55" spans="3:4">
      <c r="C55" s="153"/>
      <c r="D55" s="153"/>
    </row>
    <row r="56" spans="3:4">
      <c r="C56" s="153"/>
      <c r="D56" s="153"/>
    </row>
    <row r="57" spans="3:4">
      <c r="C57" s="153"/>
      <c r="D57" s="153"/>
    </row>
    <row r="58" spans="3:4">
      <c r="C58" s="153"/>
      <c r="D58" s="153"/>
    </row>
    <row r="59" spans="3:4">
      <c r="C59" s="153"/>
      <c r="D59" s="153"/>
    </row>
    <row r="60" spans="3:4">
      <c r="C60" s="153"/>
      <c r="D60" s="153"/>
    </row>
    <row r="61" spans="3:4">
      <c r="C61" s="153"/>
      <c r="D61" s="153"/>
    </row>
    <row r="62" spans="3:4">
      <c r="C62" s="153"/>
      <c r="D62" s="153"/>
    </row>
    <row r="63" spans="3:4">
      <c r="C63" s="153"/>
      <c r="D63" s="153"/>
    </row>
    <row r="64" spans="3:4">
      <c r="C64" s="153"/>
      <c r="D64" s="153"/>
    </row>
    <row r="65" spans="3:4">
      <c r="C65" s="153"/>
      <c r="D65" s="153"/>
    </row>
    <row r="66" spans="3:4">
      <c r="C66" s="153"/>
      <c r="D66" s="153"/>
    </row>
    <row r="67" spans="3:4">
      <c r="C67" s="153"/>
      <c r="D67" s="153"/>
    </row>
    <row r="68" spans="3:4">
      <c r="C68" s="153"/>
      <c r="D68" s="153"/>
    </row>
    <row r="69" spans="3:4">
      <c r="C69" s="153"/>
      <c r="D69" s="153"/>
    </row>
    <row r="70" spans="3:4">
      <c r="C70" s="153"/>
      <c r="D70" s="153"/>
    </row>
    <row r="71" spans="3:4">
      <c r="C71" s="153"/>
      <c r="D71" s="153"/>
    </row>
    <row r="72" spans="3:4">
      <c r="C72" s="153"/>
      <c r="D72" s="153"/>
    </row>
    <row r="73" spans="3:4">
      <c r="C73" s="153"/>
      <c r="D73" s="153"/>
    </row>
    <row r="74" spans="3:4">
      <c r="C74" s="153"/>
      <c r="D74" s="153"/>
    </row>
    <row r="75" spans="3:4">
      <c r="C75" s="153"/>
      <c r="D75" s="153"/>
    </row>
    <row r="76" spans="3:4">
      <c r="C76" s="153"/>
      <c r="D76" s="153"/>
    </row>
    <row r="77" spans="3:4">
      <c r="C77" s="153"/>
      <c r="D77" s="153"/>
    </row>
    <row r="78" spans="3:4">
      <c r="C78" s="153"/>
      <c r="D78" s="153"/>
    </row>
    <row r="79" spans="3:4">
      <c r="C79" s="153"/>
      <c r="D79" s="153"/>
    </row>
    <row r="80" spans="3:4">
      <c r="C80" s="153"/>
      <c r="D80" s="153"/>
    </row>
    <row r="81" spans="3:4">
      <c r="C81" s="153"/>
      <c r="D81" s="153"/>
    </row>
    <row r="82" spans="3:4">
      <c r="C82" s="153"/>
      <c r="D82" s="153"/>
    </row>
    <row r="83" spans="3:4">
      <c r="C83" s="153"/>
      <c r="D83" s="153"/>
    </row>
    <row r="84" spans="3:4">
      <c r="C84" s="153"/>
      <c r="D84" s="153"/>
    </row>
    <row r="85" spans="3:4">
      <c r="C85" s="153"/>
      <c r="D85" s="153"/>
    </row>
    <row r="86" spans="3:4">
      <c r="C86" s="153"/>
      <c r="D86" s="153"/>
    </row>
    <row r="87" spans="3:4">
      <c r="C87" s="153"/>
      <c r="D87" s="153"/>
    </row>
    <row r="88" spans="3:4">
      <c r="C88" s="153"/>
      <c r="D88" s="153"/>
    </row>
    <row r="89" spans="3:4">
      <c r="C89" s="153"/>
      <c r="D89" s="153"/>
    </row>
    <row r="90" spans="3:4">
      <c r="C90" s="153"/>
      <c r="D90" s="153"/>
    </row>
    <row r="91" spans="3:4">
      <c r="C91" s="153"/>
      <c r="D91" s="153"/>
    </row>
    <row r="92" spans="3:4">
      <c r="C92" s="153"/>
      <c r="D92" s="153"/>
    </row>
    <row r="93" spans="3:4">
      <c r="C93" s="153"/>
      <c r="D93" s="153"/>
    </row>
    <row r="94" spans="3:4">
      <c r="C94" s="153"/>
      <c r="D94" s="153"/>
    </row>
    <row r="95" spans="3:4">
      <c r="C95" s="153"/>
      <c r="D95" s="153"/>
    </row>
    <row r="96" spans="3:4">
      <c r="C96" s="153"/>
      <c r="D96" s="153"/>
    </row>
    <row r="97" spans="3:4">
      <c r="C97" s="153"/>
      <c r="D97" s="153"/>
    </row>
    <row r="98" spans="3:4">
      <c r="C98" s="153"/>
      <c r="D98" s="153"/>
    </row>
    <row r="99" spans="3:4">
      <c r="C99" s="153"/>
      <c r="D99" s="153"/>
    </row>
    <row r="100" spans="3:4">
      <c r="C100" s="153"/>
      <c r="D100" s="153"/>
    </row>
    <row r="101" spans="3:4">
      <c r="C101" s="153"/>
      <c r="D101" s="153"/>
    </row>
    <row r="102" spans="3:4">
      <c r="C102" s="153"/>
      <c r="D102" s="153"/>
    </row>
    <row r="103" spans="3:4">
      <c r="C103" s="153"/>
      <c r="D103" s="153"/>
    </row>
    <row r="104" spans="3:4">
      <c r="C104" s="153"/>
      <c r="D104" s="153"/>
    </row>
    <row r="105" spans="3:4">
      <c r="C105" s="153"/>
      <c r="D105" s="153"/>
    </row>
    <row r="106" spans="3:4">
      <c r="C106" s="153"/>
      <c r="D106" s="153"/>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Llistes!$B$2:$B$13</xm:f>
          </x14:formula1>
          <xm:sqref>C5:C106</xm:sqref>
        </x14:dataValidation>
        <x14:dataValidation type="list" allowBlank="1" showInputMessage="1" showErrorMessage="1" xr:uid="{00000000-0002-0000-0400-000001000000}">
          <x14:formula1>
            <xm:f>Llistes!$G$2:$G$43</xm:f>
          </x14:formula1>
          <xm:sqref>D5:D106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842"/>
  <sheetViews>
    <sheetView workbookViewId="0">
      <selection activeCell="D4" sqref="D4"/>
    </sheetView>
  </sheetViews>
  <sheetFormatPr defaultColWidth="12.5703125" defaultRowHeight="15.75" customHeight="1"/>
  <cols>
    <col min="1" max="1" width="11.5703125" style="138" customWidth="1"/>
    <col min="2" max="2" width="24.7109375" style="138" customWidth="1"/>
    <col min="3" max="3" width="9.7109375" style="138" customWidth="1"/>
    <col min="4" max="4" width="33.42578125" style="138" customWidth="1"/>
    <col min="5" max="5" width="60.42578125" style="138" customWidth="1"/>
    <col min="6" max="16384" width="12.5703125" style="138"/>
  </cols>
  <sheetData>
    <row r="1" spans="1:25" ht="21.95">
      <c r="A1" s="134" t="s">
        <v>1608</v>
      </c>
      <c r="B1" s="135"/>
      <c r="C1" s="136"/>
      <c r="D1" s="137"/>
      <c r="E1" s="136"/>
      <c r="F1" s="136"/>
      <c r="G1" s="136"/>
      <c r="H1" s="136"/>
      <c r="I1" s="136"/>
      <c r="J1" s="136"/>
      <c r="K1" s="136"/>
      <c r="L1" s="136"/>
      <c r="M1" s="136"/>
      <c r="N1" s="136"/>
      <c r="O1" s="136"/>
      <c r="P1" s="136"/>
      <c r="Q1" s="136"/>
      <c r="R1" s="136"/>
      <c r="S1" s="136"/>
      <c r="T1" s="136"/>
      <c r="U1" s="136"/>
      <c r="V1" s="136"/>
      <c r="W1" s="136"/>
      <c r="X1" s="136"/>
      <c r="Y1" s="136"/>
    </row>
    <row r="2" spans="1:25" ht="12.95">
      <c r="A2" s="136" t="s">
        <v>1609</v>
      </c>
      <c r="B2" s="135"/>
      <c r="C2" s="136"/>
      <c r="D2" s="137"/>
      <c r="E2" s="136"/>
      <c r="F2" s="136"/>
      <c r="G2" s="136"/>
      <c r="H2" s="136"/>
      <c r="I2" s="136"/>
      <c r="J2" s="136"/>
      <c r="K2" s="136"/>
      <c r="L2" s="136"/>
      <c r="M2" s="136"/>
      <c r="N2" s="136"/>
      <c r="O2" s="136"/>
      <c r="P2" s="136"/>
      <c r="Q2" s="136"/>
      <c r="R2" s="136"/>
      <c r="S2" s="136"/>
      <c r="T2" s="136"/>
      <c r="U2" s="136"/>
      <c r="V2" s="136"/>
      <c r="W2" s="136"/>
      <c r="X2" s="136"/>
      <c r="Y2" s="136"/>
    </row>
    <row r="3" spans="1:25" ht="12.95">
      <c r="A3" s="139" t="s">
        <v>1610</v>
      </c>
      <c r="B3" s="135"/>
      <c r="C3" s="136"/>
      <c r="D3" s="137"/>
      <c r="E3" s="136"/>
      <c r="F3" s="136"/>
      <c r="G3" s="136"/>
      <c r="H3" s="136"/>
      <c r="I3" s="136"/>
      <c r="J3" s="136"/>
      <c r="K3" s="136"/>
      <c r="L3" s="136"/>
      <c r="M3" s="136"/>
      <c r="N3" s="136"/>
      <c r="O3" s="136"/>
      <c r="P3" s="136"/>
      <c r="Q3" s="136"/>
      <c r="R3" s="136"/>
      <c r="S3" s="136"/>
      <c r="T3" s="136"/>
      <c r="U3" s="136"/>
      <c r="V3" s="136"/>
      <c r="W3" s="136"/>
      <c r="X3" s="136"/>
      <c r="Y3" s="136"/>
    </row>
    <row r="4" spans="1:25" ht="12.95">
      <c r="A4" s="135" t="s">
        <v>1611</v>
      </c>
      <c r="B4" s="135"/>
      <c r="C4" s="136"/>
      <c r="D4" s="137"/>
      <c r="E4" s="136"/>
      <c r="F4" s="136"/>
      <c r="G4" s="136"/>
      <c r="H4" s="136"/>
      <c r="I4" s="136"/>
      <c r="J4" s="136"/>
      <c r="K4" s="136"/>
      <c r="L4" s="136"/>
      <c r="M4" s="136"/>
      <c r="N4" s="136"/>
      <c r="O4" s="136"/>
      <c r="P4" s="136"/>
      <c r="Q4" s="136"/>
      <c r="R4" s="136"/>
      <c r="S4" s="136"/>
      <c r="T4" s="136"/>
      <c r="U4" s="136"/>
      <c r="V4" s="136"/>
      <c r="W4" s="136"/>
      <c r="X4" s="136"/>
      <c r="Y4" s="136"/>
    </row>
    <row r="5" spans="1:25" ht="17.25" customHeight="1">
      <c r="A5" s="140" t="s">
        <v>1612</v>
      </c>
      <c r="B5" s="135"/>
      <c r="C5" s="136"/>
      <c r="D5" s="137"/>
      <c r="E5" s="136"/>
      <c r="F5" s="136"/>
      <c r="G5" s="136"/>
      <c r="H5" s="136"/>
      <c r="I5" s="136"/>
      <c r="J5" s="136"/>
      <c r="K5" s="136"/>
      <c r="L5" s="136"/>
      <c r="M5" s="136"/>
      <c r="N5" s="136"/>
      <c r="O5" s="136"/>
      <c r="P5" s="136"/>
      <c r="Q5" s="136"/>
      <c r="R5" s="136"/>
      <c r="S5" s="136"/>
      <c r="T5" s="136"/>
      <c r="U5" s="136"/>
      <c r="V5" s="136"/>
      <c r="W5" s="136"/>
      <c r="X5" s="136"/>
      <c r="Y5" s="136"/>
    </row>
    <row r="6" spans="1:25" ht="17.25" customHeight="1">
      <c r="A6" s="136"/>
      <c r="B6" s="135"/>
      <c r="C6" s="136"/>
      <c r="D6" s="137"/>
      <c r="E6" s="136"/>
      <c r="F6" s="136"/>
      <c r="G6" s="136"/>
      <c r="H6" s="136"/>
      <c r="I6" s="136"/>
      <c r="J6" s="136"/>
      <c r="K6" s="136"/>
      <c r="L6" s="136"/>
      <c r="M6" s="136"/>
      <c r="N6" s="136"/>
      <c r="O6" s="136"/>
      <c r="P6" s="136"/>
      <c r="Q6" s="136"/>
      <c r="R6" s="136"/>
      <c r="S6" s="136"/>
      <c r="T6" s="136"/>
      <c r="U6" s="136"/>
      <c r="V6" s="136"/>
      <c r="W6" s="136"/>
      <c r="X6" s="136"/>
      <c r="Y6" s="136"/>
    </row>
    <row r="7" spans="1:25" ht="17.25" customHeight="1">
      <c r="A7" s="136"/>
      <c r="B7" s="135"/>
      <c r="C7" s="136"/>
      <c r="D7" s="137"/>
      <c r="E7" s="136"/>
      <c r="F7" s="136"/>
      <c r="G7" s="136"/>
      <c r="H7" s="136"/>
      <c r="I7" s="136"/>
      <c r="J7" s="136"/>
      <c r="K7" s="136"/>
      <c r="L7" s="136"/>
      <c r="M7" s="136"/>
      <c r="N7" s="136"/>
      <c r="O7" s="136"/>
      <c r="P7" s="136"/>
      <c r="Q7" s="136"/>
      <c r="R7" s="136"/>
      <c r="S7" s="136"/>
      <c r="T7" s="136"/>
      <c r="U7" s="136"/>
      <c r="V7" s="136"/>
      <c r="W7" s="136"/>
      <c r="X7" s="136"/>
      <c r="Y7" s="136"/>
    </row>
    <row r="8" spans="1:25" ht="29.1">
      <c r="A8" s="141" t="s">
        <v>1613</v>
      </c>
      <c r="B8" s="142" t="s">
        <v>1614</v>
      </c>
      <c r="C8" s="141" t="s">
        <v>1613</v>
      </c>
      <c r="D8" s="143" t="s">
        <v>1615</v>
      </c>
      <c r="E8" s="143" t="s">
        <v>1616</v>
      </c>
      <c r="F8" s="136"/>
      <c r="G8" s="136"/>
      <c r="H8" s="136"/>
      <c r="I8" s="136"/>
      <c r="J8" s="136"/>
      <c r="K8" s="136"/>
      <c r="L8" s="136"/>
      <c r="M8" s="136"/>
      <c r="N8" s="136"/>
      <c r="O8" s="136"/>
      <c r="P8" s="136"/>
      <c r="Q8" s="136"/>
      <c r="R8" s="136"/>
      <c r="S8" s="136"/>
      <c r="T8" s="136"/>
      <c r="U8" s="136"/>
      <c r="V8" s="136"/>
      <c r="W8" s="136"/>
      <c r="X8" s="136"/>
      <c r="Y8" s="136"/>
    </row>
    <row r="9" spans="1:25" ht="78">
      <c r="A9" s="515">
        <v>1</v>
      </c>
      <c r="B9" s="516" t="s">
        <v>1617</v>
      </c>
      <c r="C9" s="144">
        <v>1.1000000000000001</v>
      </c>
      <c r="D9" s="145" t="s">
        <v>1618</v>
      </c>
      <c r="E9" s="145" t="s">
        <v>1619</v>
      </c>
      <c r="F9" s="136"/>
      <c r="G9" s="136"/>
      <c r="H9" s="136"/>
      <c r="I9" s="136"/>
      <c r="J9" s="136"/>
      <c r="K9" s="136"/>
      <c r="L9" s="136"/>
      <c r="M9" s="136"/>
      <c r="N9" s="136"/>
      <c r="O9" s="136"/>
      <c r="P9" s="136"/>
      <c r="Q9" s="136"/>
      <c r="R9" s="136"/>
      <c r="S9" s="136"/>
      <c r="T9" s="136"/>
      <c r="U9" s="136"/>
      <c r="V9" s="136"/>
      <c r="W9" s="136"/>
      <c r="X9" s="136"/>
      <c r="Y9" s="136"/>
    </row>
    <row r="10" spans="1:25" ht="12.95">
      <c r="A10" s="554"/>
      <c r="B10" s="554"/>
      <c r="C10" s="144">
        <v>1.2</v>
      </c>
      <c r="D10" s="145" t="s">
        <v>1620</v>
      </c>
      <c r="E10" s="146"/>
      <c r="F10" s="136"/>
      <c r="G10" s="136"/>
      <c r="H10" s="136"/>
      <c r="I10" s="136"/>
      <c r="J10" s="136"/>
      <c r="K10" s="136"/>
      <c r="L10" s="136"/>
      <c r="M10" s="136"/>
      <c r="N10" s="136"/>
      <c r="O10" s="136"/>
      <c r="P10" s="136"/>
      <c r="Q10" s="136"/>
      <c r="R10" s="136"/>
      <c r="S10" s="136"/>
      <c r="T10" s="136"/>
      <c r="U10" s="136"/>
      <c r="V10" s="136"/>
      <c r="W10" s="136"/>
      <c r="X10" s="136"/>
      <c r="Y10" s="136"/>
    </row>
    <row r="11" spans="1:25" ht="12.95">
      <c r="A11" s="554"/>
      <c r="B11" s="554"/>
      <c r="C11" s="144">
        <v>1.3</v>
      </c>
      <c r="D11" s="145" t="s">
        <v>93</v>
      </c>
      <c r="E11" s="145" t="s">
        <v>1621</v>
      </c>
      <c r="F11" s="136"/>
      <c r="G11" s="136"/>
      <c r="H11" s="136"/>
      <c r="I11" s="136"/>
      <c r="J11" s="136"/>
      <c r="K11" s="136"/>
      <c r="L11" s="136"/>
      <c r="M11" s="136"/>
      <c r="N11" s="136"/>
      <c r="O11" s="136"/>
      <c r="P11" s="136"/>
      <c r="Q11" s="136"/>
      <c r="R11" s="136"/>
      <c r="S11" s="136"/>
      <c r="T11" s="136"/>
      <c r="U11" s="136"/>
      <c r="V11" s="136"/>
      <c r="W11" s="136"/>
      <c r="X11" s="136"/>
      <c r="Y11" s="136"/>
    </row>
    <row r="12" spans="1:25" ht="39">
      <c r="A12" s="515">
        <v>2</v>
      </c>
      <c r="B12" s="516" t="s">
        <v>1603</v>
      </c>
      <c r="C12" s="144">
        <v>2.1</v>
      </c>
      <c r="D12" s="145" t="s">
        <v>1598</v>
      </c>
      <c r="E12" s="145" t="s">
        <v>1622</v>
      </c>
      <c r="F12" s="136"/>
      <c r="G12" s="136"/>
      <c r="H12" s="136"/>
      <c r="I12" s="136"/>
      <c r="J12" s="136"/>
      <c r="K12" s="136"/>
      <c r="L12" s="136"/>
      <c r="M12" s="136"/>
      <c r="N12" s="136"/>
      <c r="O12" s="136"/>
      <c r="P12" s="136"/>
      <c r="Q12" s="136"/>
      <c r="R12" s="136"/>
      <c r="S12" s="136"/>
      <c r="T12" s="136"/>
      <c r="U12" s="136"/>
      <c r="V12" s="136"/>
      <c r="W12" s="136"/>
      <c r="X12" s="136"/>
      <c r="Y12" s="136"/>
    </row>
    <row r="13" spans="1:25" ht="12.95">
      <c r="A13" s="554"/>
      <c r="B13" s="554"/>
      <c r="C13" s="144">
        <v>2.2000000000000002</v>
      </c>
      <c r="D13" s="145" t="s">
        <v>233</v>
      </c>
      <c r="E13" s="146"/>
      <c r="F13" s="136"/>
      <c r="G13" s="136"/>
      <c r="H13" s="136"/>
      <c r="I13" s="136"/>
      <c r="J13" s="136"/>
      <c r="K13" s="136"/>
      <c r="L13" s="136"/>
      <c r="M13" s="136"/>
      <c r="N13" s="136"/>
      <c r="O13" s="136"/>
      <c r="P13" s="136"/>
      <c r="Q13" s="136"/>
      <c r="R13" s="136"/>
      <c r="S13" s="136"/>
      <c r="T13" s="136"/>
      <c r="U13" s="136"/>
      <c r="V13" s="136"/>
      <c r="W13" s="136"/>
      <c r="X13" s="136"/>
      <c r="Y13" s="136"/>
    </row>
    <row r="14" spans="1:25" ht="26.1">
      <c r="A14" s="554"/>
      <c r="B14" s="554"/>
      <c r="C14" s="144">
        <v>2.2999999999999998</v>
      </c>
      <c r="D14" s="145" t="s">
        <v>61</v>
      </c>
      <c r="E14" s="145" t="s">
        <v>1623</v>
      </c>
      <c r="F14" s="136"/>
      <c r="G14" s="136"/>
      <c r="H14" s="136"/>
      <c r="I14" s="136"/>
      <c r="J14" s="136"/>
      <c r="K14" s="136"/>
      <c r="L14" s="136"/>
      <c r="M14" s="136"/>
      <c r="N14" s="136"/>
      <c r="O14" s="136"/>
      <c r="P14" s="136"/>
      <c r="Q14" s="136"/>
      <c r="R14" s="136"/>
      <c r="S14" s="136"/>
      <c r="T14" s="136"/>
      <c r="U14" s="136"/>
      <c r="V14" s="136"/>
      <c r="W14" s="136"/>
      <c r="X14" s="136"/>
      <c r="Y14" s="136"/>
    </row>
    <row r="15" spans="1:25" ht="12.95">
      <c r="A15" s="554"/>
      <c r="B15" s="554"/>
      <c r="C15" s="144">
        <v>2.4</v>
      </c>
      <c r="D15" s="145" t="s">
        <v>1624</v>
      </c>
      <c r="E15" s="145" t="s">
        <v>1625</v>
      </c>
      <c r="F15" s="136"/>
      <c r="G15" s="136"/>
      <c r="H15" s="136"/>
      <c r="I15" s="136"/>
      <c r="J15" s="136"/>
      <c r="K15" s="136"/>
      <c r="L15" s="136"/>
      <c r="M15" s="136"/>
      <c r="N15" s="136"/>
      <c r="O15" s="136"/>
      <c r="P15" s="136"/>
      <c r="Q15" s="136"/>
      <c r="R15" s="136"/>
      <c r="S15" s="136"/>
      <c r="T15" s="136"/>
      <c r="U15" s="136"/>
      <c r="V15" s="136"/>
      <c r="W15" s="136"/>
      <c r="X15" s="136"/>
      <c r="Y15" s="136"/>
    </row>
    <row r="16" spans="1:25" ht="39">
      <c r="A16" s="515">
        <v>3</v>
      </c>
      <c r="B16" s="516" t="s">
        <v>1626</v>
      </c>
      <c r="C16" s="144">
        <v>3.1</v>
      </c>
      <c r="D16" s="145" t="s">
        <v>1627</v>
      </c>
      <c r="E16" s="145" t="s">
        <v>1628</v>
      </c>
      <c r="F16" s="136"/>
      <c r="G16" s="136"/>
      <c r="H16" s="136"/>
      <c r="I16" s="136"/>
      <c r="J16" s="136"/>
      <c r="K16" s="136"/>
      <c r="L16" s="136"/>
      <c r="M16" s="136"/>
      <c r="N16" s="136"/>
      <c r="O16" s="136"/>
      <c r="P16" s="136"/>
      <c r="Q16" s="136"/>
      <c r="R16" s="136"/>
      <c r="S16" s="136"/>
      <c r="T16" s="136"/>
      <c r="U16" s="136"/>
      <c r="V16" s="136"/>
      <c r="W16" s="136"/>
      <c r="X16" s="136"/>
      <c r="Y16" s="136"/>
    </row>
    <row r="17" spans="1:25" ht="51.95">
      <c r="A17" s="554"/>
      <c r="B17" s="554"/>
      <c r="C17" s="144">
        <v>3.2</v>
      </c>
      <c r="D17" s="145" t="s">
        <v>1629</v>
      </c>
      <c r="E17" s="145" t="s">
        <v>1630</v>
      </c>
      <c r="F17" s="136"/>
      <c r="G17" s="136"/>
      <c r="H17" s="136"/>
      <c r="I17" s="136"/>
      <c r="J17" s="136"/>
      <c r="K17" s="136"/>
      <c r="L17" s="136"/>
      <c r="M17" s="136"/>
      <c r="N17" s="136"/>
      <c r="O17" s="136"/>
      <c r="P17" s="136"/>
      <c r="Q17" s="136"/>
      <c r="R17" s="136"/>
      <c r="S17" s="136"/>
      <c r="T17" s="136"/>
      <c r="U17" s="136"/>
      <c r="V17" s="136"/>
      <c r="W17" s="136"/>
      <c r="X17" s="136"/>
      <c r="Y17" s="136"/>
    </row>
    <row r="18" spans="1:25" ht="12.95">
      <c r="A18" s="515">
        <v>4</v>
      </c>
      <c r="B18" s="516" t="s">
        <v>1605</v>
      </c>
      <c r="C18" s="144">
        <v>4.0999999999999996</v>
      </c>
      <c r="D18" s="145" t="s">
        <v>1631</v>
      </c>
      <c r="E18" s="145" t="s">
        <v>1632</v>
      </c>
      <c r="F18" s="136"/>
      <c r="G18" s="136"/>
      <c r="H18" s="136"/>
      <c r="I18" s="136"/>
      <c r="J18" s="136"/>
      <c r="K18" s="136"/>
      <c r="L18" s="136"/>
      <c r="M18" s="136"/>
      <c r="N18" s="136"/>
      <c r="O18" s="136"/>
      <c r="P18" s="136"/>
      <c r="Q18" s="136"/>
      <c r="R18" s="136"/>
      <c r="S18" s="136"/>
      <c r="T18" s="136"/>
      <c r="U18" s="136"/>
      <c r="V18" s="136"/>
      <c r="W18" s="136"/>
      <c r="X18" s="136"/>
      <c r="Y18" s="136"/>
    </row>
    <row r="19" spans="1:25" ht="26.1">
      <c r="A19" s="554"/>
      <c r="B19" s="554"/>
      <c r="C19" s="144">
        <v>4.2</v>
      </c>
      <c r="D19" s="145" t="s">
        <v>1633</v>
      </c>
      <c r="E19" s="145" t="s">
        <v>1634</v>
      </c>
      <c r="F19" s="136"/>
      <c r="G19" s="136"/>
      <c r="H19" s="136"/>
      <c r="I19" s="136"/>
      <c r="J19" s="136"/>
      <c r="K19" s="136"/>
      <c r="L19" s="136"/>
      <c r="M19" s="136"/>
      <c r="N19" s="136"/>
      <c r="O19" s="136"/>
      <c r="P19" s="136"/>
      <c r="Q19" s="136"/>
      <c r="R19" s="136"/>
      <c r="S19" s="136"/>
      <c r="T19" s="136"/>
      <c r="U19" s="136"/>
      <c r="V19" s="136"/>
      <c r="W19" s="136"/>
      <c r="X19" s="136"/>
      <c r="Y19" s="136"/>
    </row>
    <row r="20" spans="1:25" ht="26.1">
      <c r="A20" s="554"/>
      <c r="B20" s="554"/>
      <c r="C20" s="144">
        <v>4.3</v>
      </c>
      <c r="D20" s="145" t="s">
        <v>1635</v>
      </c>
      <c r="E20" s="145" t="s">
        <v>1636</v>
      </c>
      <c r="F20" s="136"/>
      <c r="G20" s="136"/>
      <c r="H20" s="136"/>
      <c r="I20" s="136"/>
      <c r="J20" s="136"/>
      <c r="K20" s="136"/>
      <c r="L20" s="136"/>
      <c r="M20" s="136"/>
      <c r="N20" s="136"/>
      <c r="O20" s="136"/>
      <c r="P20" s="136"/>
      <c r="Q20" s="136"/>
      <c r="R20" s="136"/>
      <c r="S20" s="136"/>
      <c r="T20" s="136"/>
      <c r="U20" s="136"/>
      <c r="V20" s="136"/>
      <c r="W20" s="136"/>
      <c r="X20" s="136"/>
      <c r="Y20" s="136"/>
    </row>
    <row r="21" spans="1:25" ht="26.1">
      <c r="A21" s="554"/>
      <c r="B21" s="554"/>
      <c r="C21" s="144">
        <v>4.4000000000000004</v>
      </c>
      <c r="D21" s="145" t="s">
        <v>1637</v>
      </c>
      <c r="E21" s="145" t="s">
        <v>1638</v>
      </c>
      <c r="F21" s="136"/>
      <c r="G21" s="136"/>
      <c r="H21" s="136"/>
      <c r="I21" s="136"/>
      <c r="J21" s="136"/>
      <c r="K21" s="136"/>
      <c r="L21" s="136"/>
      <c r="M21" s="136"/>
      <c r="N21" s="136"/>
      <c r="O21" s="136"/>
      <c r="P21" s="136"/>
      <c r="Q21" s="136"/>
      <c r="R21" s="136"/>
      <c r="S21" s="136"/>
      <c r="T21" s="136"/>
      <c r="U21" s="136"/>
      <c r="V21" s="136"/>
      <c r="W21" s="136"/>
      <c r="X21" s="136"/>
      <c r="Y21" s="136"/>
    </row>
    <row r="22" spans="1:25" ht="26.1">
      <c r="A22" s="515">
        <v>5</v>
      </c>
      <c r="B22" s="516" t="s">
        <v>1602</v>
      </c>
      <c r="C22" s="144">
        <v>5.0999999999999996</v>
      </c>
      <c r="D22" s="145" t="s">
        <v>138</v>
      </c>
      <c r="E22" s="145" t="s">
        <v>1639</v>
      </c>
      <c r="F22" s="136"/>
      <c r="G22" s="136"/>
      <c r="H22" s="136"/>
      <c r="I22" s="136"/>
      <c r="J22" s="136"/>
      <c r="K22" s="136"/>
      <c r="L22" s="136"/>
      <c r="M22" s="136"/>
      <c r="N22" s="136"/>
      <c r="O22" s="136"/>
      <c r="P22" s="136"/>
      <c r="Q22" s="136"/>
      <c r="R22" s="136"/>
      <c r="S22" s="136"/>
      <c r="T22" s="136"/>
      <c r="U22" s="136"/>
      <c r="V22" s="136"/>
      <c r="W22" s="136"/>
      <c r="X22" s="136"/>
      <c r="Y22" s="136"/>
    </row>
    <row r="23" spans="1:25" ht="12.95">
      <c r="A23" s="554"/>
      <c r="B23" s="554"/>
      <c r="C23" s="147">
        <v>5.2</v>
      </c>
      <c r="D23" s="145" t="s">
        <v>1640</v>
      </c>
      <c r="E23" s="145" t="s">
        <v>1641</v>
      </c>
      <c r="F23" s="136"/>
      <c r="G23" s="136"/>
      <c r="H23" s="136"/>
      <c r="I23" s="136"/>
      <c r="J23" s="136"/>
      <c r="K23" s="136"/>
      <c r="L23" s="136"/>
      <c r="M23" s="136"/>
      <c r="N23" s="136"/>
      <c r="O23" s="136"/>
      <c r="P23" s="136"/>
      <c r="Q23" s="136"/>
      <c r="R23" s="136"/>
      <c r="S23" s="136"/>
      <c r="T23" s="136"/>
      <c r="U23" s="136"/>
      <c r="V23" s="136"/>
      <c r="W23" s="136"/>
      <c r="X23" s="136"/>
      <c r="Y23" s="136"/>
    </row>
    <row r="24" spans="1:25" ht="12.95">
      <c r="A24" s="554"/>
      <c r="B24" s="554"/>
      <c r="C24" s="144">
        <v>5.3</v>
      </c>
      <c r="D24" s="145" t="s">
        <v>102</v>
      </c>
      <c r="E24" s="145" t="s">
        <v>1642</v>
      </c>
      <c r="F24" s="136"/>
      <c r="G24" s="136"/>
      <c r="H24" s="136"/>
      <c r="I24" s="136"/>
      <c r="J24" s="136"/>
      <c r="K24" s="136"/>
      <c r="L24" s="136"/>
      <c r="M24" s="136"/>
      <c r="N24" s="136"/>
      <c r="O24" s="136"/>
      <c r="P24" s="136"/>
      <c r="Q24" s="136"/>
      <c r="R24" s="136"/>
      <c r="S24" s="136"/>
      <c r="T24" s="136"/>
      <c r="U24" s="136"/>
      <c r="V24" s="136"/>
      <c r="W24" s="136"/>
      <c r="X24" s="136"/>
      <c r="Y24" s="136"/>
    </row>
    <row r="25" spans="1:25" ht="39">
      <c r="A25" s="554"/>
      <c r="B25" s="554"/>
      <c r="C25" s="144">
        <v>5.4</v>
      </c>
      <c r="D25" s="145" t="s">
        <v>144</v>
      </c>
      <c r="E25" s="145" t="s">
        <v>1643</v>
      </c>
      <c r="F25" s="136"/>
      <c r="G25" s="136"/>
      <c r="H25" s="136"/>
      <c r="I25" s="136"/>
      <c r="J25" s="136"/>
      <c r="K25" s="136"/>
      <c r="L25" s="136"/>
      <c r="M25" s="136"/>
      <c r="N25" s="136"/>
      <c r="O25" s="136"/>
      <c r="P25" s="136"/>
      <c r="Q25" s="136"/>
      <c r="R25" s="136"/>
      <c r="S25" s="136"/>
      <c r="T25" s="136"/>
      <c r="U25" s="136"/>
      <c r="V25" s="136"/>
      <c r="W25" s="136"/>
      <c r="X25" s="136"/>
      <c r="Y25" s="136"/>
    </row>
    <row r="26" spans="1:25" ht="78">
      <c r="A26" s="515">
        <v>6</v>
      </c>
      <c r="B26" s="516" t="s">
        <v>1644</v>
      </c>
      <c r="C26" s="144">
        <v>6.1</v>
      </c>
      <c r="D26" s="145" t="s">
        <v>67</v>
      </c>
      <c r="E26" s="145" t="s">
        <v>1645</v>
      </c>
      <c r="F26" s="136"/>
      <c r="G26" s="136"/>
      <c r="H26" s="136"/>
      <c r="I26" s="136"/>
      <c r="J26" s="136"/>
      <c r="K26" s="136"/>
      <c r="L26" s="136"/>
      <c r="M26" s="136"/>
      <c r="N26" s="136"/>
      <c r="O26" s="136"/>
      <c r="P26" s="136"/>
      <c r="Q26" s="136"/>
      <c r="R26" s="136"/>
      <c r="S26" s="136"/>
      <c r="T26" s="136"/>
      <c r="U26" s="136"/>
      <c r="V26" s="136"/>
      <c r="W26" s="136"/>
      <c r="X26" s="136"/>
      <c r="Y26" s="136"/>
    </row>
    <row r="27" spans="1:25" ht="26.1">
      <c r="A27" s="554"/>
      <c r="B27" s="554"/>
      <c r="C27" s="144">
        <v>6.2</v>
      </c>
      <c r="D27" s="145" t="s">
        <v>1646</v>
      </c>
      <c r="E27" s="145" t="s">
        <v>1647</v>
      </c>
      <c r="F27" s="136"/>
      <c r="G27" s="136"/>
      <c r="H27" s="136"/>
      <c r="I27" s="136"/>
      <c r="J27" s="136"/>
      <c r="K27" s="136"/>
      <c r="L27" s="136"/>
      <c r="M27" s="136"/>
      <c r="N27" s="136"/>
      <c r="O27" s="136"/>
      <c r="P27" s="136"/>
      <c r="Q27" s="136"/>
      <c r="R27" s="136"/>
      <c r="S27" s="136"/>
      <c r="T27" s="136"/>
      <c r="U27" s="136"/>
      <c r="V27" s="136"/>
      <c r="W27" s="136"/>
      <c r="X27" s="136"/>
      <c r="Y27" s="136"/>
    </row>
    <row r="28" spans="1:25" ht="39">
      <c r="A28" s="554"/>
      <c r="B28" s="554"/>
      <c r="C28" s="144">
        <v>6.3</v>
      </c>
      <c r="D28" s="145" t="s">
        <v>1648</v>
      </c>
      <c r="E28" s="145" t="s">
        <v>1649</v>
      </c>
      <c r="F28" s="136"/>
      <c r="G28" s="136"/>
      <c r="H28" s="136"/>
      <c r="I28" s="136"/>
      <c r="J28" s="136"/>
      <c r="K28" s="136"/>
      <c r="L28" s="136"/>
      <c r="M28" s="136"/>
      <c r="N28" s="136"/>
      <c r="O28" s="136"/>
      <c r="P28" s="136"/>
      <c r="Q28" s="136"/>
      <c r="R28" s="136"/>
      <c r="S28" s="136"/>
      <c r="T28" s="136"/>
      <c r="U28" s="136"/>
      <c r="V28" s="136"/>
      <c r="W28" s="136"/>
      <c r="X28" s="136"/>
      <c r="Y28" s="136"/>
    </row>
    <row r="29" spans="1:25" ht="26.1">
      <c r="A29" s="554"/>
      <c r="B29" s="554"/>
      <c r="C29" s="144">
        <v>6.4</v>
      </c>
      <c r="D29" s="145" t="s">
        <v>1650</v>
      </c>
      <c r="E29" s="145" t="s">
        <v>1651</v>
      </c>
      <c r="F29" s="136"/>
      <c r="G29" s="136"/>
      <c r="H29" s="136"/>
      <c r="I29" s="136"/>
      <c r="J29" s="136"/>
      <c r="K29" s="136"/>
      <c r="L29" s="136"/>
      <c r="M29" s="136"/>
      <c r="N29" s="136"/>
      <c r="O29" s="136"/>
      <c r="P29" s="136"/>
      <c r="Q29" s="136"/>
      <c r="R29" s="136"/>
      <c r="S29" s="136"/>
      <c r="T29" s="136"/>
      <c r="U29" s="136"/>
      <c r="V29" s="136"/>
      <c r="W29" s="136"/>
      <c r="X29" s="136"/>
      <c r="Y29" s="136"/>
    </row>
    <row r="30" spans="1:25" ht="26.1">
      <c r="A30" s="515">
        <v>7</v>
      </c>
      <c r="B30" s="516" t="s">
        <v>1600</v>
      </c>
      <c r="C30" s="144">
        <v>7.1</v>
      </c>
      <c r="D30" s="145" t="s">
        <v>147</v>
      </c>
      <c r="E30" s="145" t="s">
        <v>1652</v>
      </c>
      <c r="F30" s="136"/>
      <c r="G30" s="136"/>
      <c r="H30" s="136"/>
      <c r="I30" s="136"/>
      <c r="J30" s="136"/>
      <c r="K30" s="136"/>
      <c r="L30" s="136"/>
      <c r="M30" s="136"/>
      <c r="N30" s="136"/>
      <c r="O30" s="136"/>
      <c r="P30" s="136"/>
      <c r="Q30" s="136"/>
      <c r="R30" s="136"/>
      <c r="S30" s="136"/>
      <c r="T30" s="136"/>
      <c r="U30" s="136"/>
      <c r="V30" s="136"/>
      <c r="W30" s="136"/>
      <c r="X30" s="136"/>
      <c r="Y30" s="136"/>
    </row>
    <row r="31" spans="1:25" ht="65.099999999999994">
      <c r="A31" s="554"/>
      <c r="B31" s="554"/>
      <c r="C31" s="144">
        <v>7.2</v>
      </c>
      <c r="D31" s="145" t="s">
        <v>60</v>
      </c>
      <c r="E31" s="145" t="s">
        <v>1653</v>
      </c>
      <c r="F31" s="136"/>
      <c r="G31" s="136"/>
      <c r="H31" s="136"/>
      <c r="I31" s="136"/>
      <c r="J31" s="136"/>
      <c r="K31" s="136"/>
      <c r="L31" s="136"/>
      <c r="M31" s="136"/>
      <c r="N31" s="136"/>
      <c r="O31" s="136"/>
      <c r="P31" s="136"/>
      <c r="Q31" s="136"/>
      <c r="R31" s="136"/>
      <c r="S31" s="136"/>
      <c r="T31" s="136"/>
      <c r="U31" s="136"/>
      <c r="V31" s="136"/>
      <c r="W31" s="136"/>
      <c r="X31" s="136"/>
      <c r="Y31" s="136"/>
    </row>
    <row r="32" spans="1:25" ht="39">
      <c r="A32" s="554"/>
      <c r="B32" s="554"/>
      <c r="C32" s="144">
        <v>7.3</v>
      </c>
      <c r="D32" s="145" t="s">
        <v>1654</v>
      </c>
      <c r="E32" s="148" t="s">
        <v>1655</v>
      </c>
      <c r="F32" s="136"/>
      <c r="G32" s="136"/>
      <c r="H32" s="136"/>
      <c r="I32" s="136"/>
      <c r="J32" s="136"/>
      <c r="K32" s="136"/>
      <c r="L32" s="136"/>
      <c r="M32" s="136"/>
      <c r="N32" s="136"/>
      <c r="O32" s="136"/>
      <c r="P32" s="136"/>
      <c r="Q32" s="136"/>
      <c r="R32" s="136"/>
      <c r="S32" s="136"/>
      <c r="T32" s="136"/>
      <c r="U32" s="136"/>
      <c r="V32" s="136"/>
      <c r="W32" s="136"/>
      <c r="X32" s="136"/>
      <c r="Y32" s="136"/>
    </row>
    <row r="33" spans="1:25" ht="26.1">
      <c r="A33" s="554"/>
      <c r="B33" s="554"/>
      <c r="C33" s="144">
        <v>7.4</v>
      </c>
      <c r="D33" s="145" t="s">
        <v>142</v>
      </c>
      <c r="E33" s="145" t="s">
        <v>1656</v>
      </c>
      <c r="F33" s="136"/>
      <c r="G33" s="136"/>
      <c r="H33" s="136"/>
      <c r="I33" s="136"/>
      <c r="J33" s="136"/>
      <c r="K33" s="136"/>
      <c r="L33" s="136"/>
      <c r="M33" s="136"/>
      <c r="N33" s="136"/>
      <c r="O33" s="136"/>
      <c r="P33" s="136"/>
      <c r="Q33" s="136"/>
      <c r="R33" s="136"/>
      <c r="S33" s="136"/>
      <c r="T33" s="136"/>
      <c r="U33" s="136"/>
      <c r="V33" s="136"/>
      <c r="W33" s="136"/>
      <c r="X33" s="136"/>
      <c r="Y33" s="136"/>
    </row>
    <row r="34" spans="1:25" ht="39">
      <c r="A34" s="554"/>
      <c r="B34" s="554"/>
      <c r="C34" s="144">
        <v>7.5</v>
      </c>
      <c r="D34" s="145" t="s">
        <v>1657</v>
      </c>
      <c r="E34" s="145" t="s">
        <v>1658</v>
      </c>
      <c r="F34" s="136"/>
      <c r="G34" s="136"/>
      <c r="H34" s="136"/>
      <c r="I34" s="136"/>
      <c r="J34" s="136"/>
      <c r="K34" s="136"/>
      <c r="L34" s="136"/>
      <c r="M34" s="136"/>
      <c r="N34" s="136"/>
      <c r="O34" s="136"/>
      <c r="P34" s="136"/>
      <c r="Q34" s="136"/>
      <c r="R34" s="136"/>
      <c r="S34" s="136"/>
      <c r="T34" s="136"/>
      <c r="U34" s="136"/>
      <c r="V34" s="136"/>
      <c r="W34" s="136"/>
      <c r="X34" s="136"/>
      <c r="Y34" s="136"/>
    </row>
    <row r="35" spans="1:25" ht="39">
      <c r="A35" s="554"/>
      <c r="B35" s="554"/>
      <c r="C35" s="144">
        <v>7.6</v>
      </c>
      <c r="D35" s="145" t="s">
        <v>59</v>
      </c>
      <c r="E35" s="145" t="s">
        <v>1659</v>
      </c>
      <c r="F35" s="136"/>
      <c r="G35" s="136"/>
      <c r="H35" s="136"/>
      <c r="I35" s="136"/>
      <c r="J35" s="136"/>
      <c r="K35" s="136"/>
      <c r="L35" s="136"/>
      <c r="M35" s="136"/>
      <c r="N35" s="136"/>
      <c r="O35" s="136"/>
      <c r="P35" s="136"/>
      <c r="Q35" s="136"/>
      <c r="R35" s="136"/>
      <c r="S35" s="136"/>
      <c r="T35" s="136"/>
      <c r="U35" s="136"/>
      <c r="V35" s="136"/>
      <c r="W35" s="136"/>
      <c r="X35" s="136"/>
      <c r="Y35" s="136"/>
    </row>
    <row r="36" spans="1:25" ht="39">
      <c r="A36" s="515">
        <v>8</v>
      </c>
      <c r="B36" s="516" t="s">
        <v>1599</v>
      </c>
      <c r="C36" s="144">
        <v>8.1</v>
      </c>
      <c r="D36" s="145" t="s">
        <v>74</v>
      </c>
      <c r="E36" s="145" t="s">
        <v>1660</v>
      </c>
      <c r="F36" s="136"/>
      <c r="G36" s="136"/>
      <c r="H36" s="136"/>
      <c r="I36" s="136"/>
      <c r="J36" s="136"/>
      <c r="K36" s="136"/>
      <c r="L36" s="136"/>
      <c r="M36" s="136"/>
      <c r="N36" s="136"/>
      <c r="O36" s="136"/>
      <c r="P36" s="136"/>
      <c r="Q36" s="136"/>
      <c r="R36" s="136"/>
      <c r="S36" s="136"/>
      <c r="T36" s="136"/>
      <c r="U36" s="136"/>
      <c r="V36" s="136"/>
      <c r="W36" s="136"/>
      <c r="X36" s="136"/>
      <c r="Y36" s="136"/>
    </row>
    <row r="37" spans="1:25" ht="51.95">
      <c r="A37" s="554"/>
      <c r="B37" s="554"/>
      <c r="C37" s="144">
        <v>8.1999999999999993</v>
      </c>
      <c r="D37" s="145" t="s">
        <v>96</v>
      </c>
      <c r="E37" s="145" t="s">
        <v>1661</v>
      </c>
      <c r="F37" s="136"/>
      <c r="G37" s="136"/>
      <c r="H37" s="136"/>
      <c r="I37" s="136"/>
      <c r="J37" s="136"/>
      <c r="K37" s="136"/>
      <c r="L37" s="136"/>
      <c r="M37" s="136"/>
      <c r="N37" s="136"/>
      <c r="O37" s="136"/>
      <c r="P37" s="136"/>
      <c r="Q37" s="136"/>
      <c r="R37" s="136"/>
      <c r="S37" s="136"/>
      <c r="T37" s="136"/>
      <c r="U37" s="136"/>
      <c r="V37" s="136"/>
      <c r="W37" s="136"/>
      <c r="X37" s="136"/>
      <c r="Y37" s="136"/>
    </row>
    <row r="38" spans="1:25" ht="51.95">
      <c r="A38" s="554"/>
      <c r="B38" s="554"/>
      <c r="C38" s="144">
        <v>8.3000000000000007</v>
      </c>
      <c r="D38" s="145" t="s">
        <v>1662</v>
      </c>
      <c r="E38" s="145" t="s">
        <v>1663</v>
      </c>
      <c r="F38" s="136"/>
      <c r="G38" s="136"/>
      <c r="H38" s="136"/>
      <c r="I38" s="136"/>
      <c r="J38" s="136"/>
      <c r="K38" s="136"/>
      <c r="L38" s="136"/>
      <c r="M38" s="136"/>
      <c r="N38" s="136"/>
      <c r="O38" s="136"/>
      <c r="P38" s="136"/>
      <c r="Q38" s="136"/>
      <c r="R38" s="136"/>
      <c r="S38" s="136"/>
      <c r="T38" s="136"/>
      <c r="U38" s="136"/>
      <c r="V38" s="136"/>
      <c r="W38" s="136"/>
      <c r="X38" s="136"/>
      <c r="Y38" s="136"/>
    </row>
    <row r="39" spans="1:25" ht="26.1">
      <c r="A39" s="554"/>
      <c r="B39" s="554"/>
      <c r="C39" s="144">
        <v>8.4</v>
      </c>
      <c r="D39" s="145" t="s">
        <v>79</v>
      </c>
      <c r="E39" s="145" t="s">
        <v>1664</v>
      </c>
      <c r="F39" s="136"/>
      <c r="G39" s="136"/>
      <c r="H39" s="136"/>
      <c r="I39" s="136"/>
      <c r="J39" s="136"/>
      <c r="K39" s="136"/>
      <c r="L39" s="136"/>
      <c r="M39" s="136"/>
      <c r="N39" s="136"/>
      <c r="O39" s="136"/>
      <c r="P39" s="136"/>
      <c r="Q39" s="136"/>
      <c r="R39" s="136"/>
      <c r="S39" s="136"/>
      <c r="T39" s="136"/>
      <c r="U39" s="136"/>
      <c r="V39" s="136"/>
      <c r="W39" s="136"/>
      <c r="X39" s="136"/>
      <c r="Y39" s="136"/>
    </row>
    <row r="40" spans="1:25" ht="39">
      <c r="A40" s="515">
        <v>9</v>
      </c>
      <c r="B40" s="516" t="s">
        <v>1606</v>
      </c>
      <c r="C40" s="144">
        <v>9.1</v>
      </c>
      <c r="D40" s="145" t="s">
        <v>130</v>
      </c>
      <c r="E40" s="145" t="s">
        <v>1665</v>
      </c>
      <c r="F40" s="136"/>
      <c r="G40" s="136"/>
      <c r="H40" s="136"/>
      <c r="I40" s="136"/>
      <c r="J40" s="136"/>
      <c r="K40" s="136"/>
      <c r="L40" s="136"/>
      <c r="M40" s="136"/>
      <c r="N40" s="136"/>
      <c r="O40" s="136"/>
      <c r="P40" s="136"/>
      <c r="Q40" s="136"/>
      <c r="R40" s="136"/>
      <c r="S40" s="136"/>
      <c r="T40" s="136"/>
      <c r="U40" s="136"/>
      <c r="V40" s="136"/>
      <c r="W40" s="136"/>
      <c r="X40" s="136"/>
      <c r="Y40" s="136"/>
    </row>
    <row r="41" spans="1:25" ht="39">
      <c r="A41" s="554"/>
      <c r="B41" s="554"/>
      <c r="C41" s="144">
        <v>9.1999999999999993</v>
      </c>
      <c r="D41" s="145" t="s">
        <v>1666</v>
      </c>
      <c r="E41" s="145" t="s">
        <v>1667</v>
      </c>
      <c r="F41" s="136"/>
      <c r="G41" s="136"/>
      <c r="H41" s="136"/>
      <c r="I41" s="136"/>
      <c r="J41" s="136"/>
      <c r="K41" s="136"/>
      <c r="L41" s="136"/>
      <c r="M41" s="136"/>
      <c r="N41" s="136"/>
      <c r="O41" s="136"/>
      <c r="P41" s="136"/>
      <c r="Q41" s="136"/>
      <c r="R41" s="136"/>
      <c r="S41" s="136"/>
      <c r="T41" s="136"/>
      <c r="U41" s="136"/>
      <c r="V41" s="136"/>
      <c r="W41" s="136"/>
      <c r="X41" s="136"/>
      <c r="Y41" s="136"/>
    </row>
    <row r="42" spans="1:25" ht="12.95">
      <c r="A42" s="554"/>
      <c r="B42" s="554"/>
      <c r="C42" s="144">
        <v>9.3000000000000007</v>
      </c>
      <c r="D42" s="145" t="s">
        <v>1668</v>
      </c>
      <c r="E42" s="145" t="s">
        <v>1669</v>
      </c>
      <c r="F42" s="136"/>
      <c r="G42" s="136"/>
      <c r="H42" s="136"/>
      <c r="I42" s="136"/>
      <c r="J42" s="136"/>
      <c r="K42" s="136"/>
      <c r="L42" s="136"/>
      <c r="M42" s="136"/>
      <c r="N42" s="136"/>
      <c r="O42" s="136"/>
      <c r="P42" s="136"/>
      <c r="Q42" s="136"/>
      <c r="R42" s="136"/>
      <c r="S42" s="136"/>
      <c r="T42" s="136"/>
      <c r="U42" s="136"/>
      <c r="V42" s="136"/>
      <c r="W42" s="136"/>
      <c r="X42" s="136"/>
      <c r="Y42" s="136"/>
    </row>
    <row r="43" spans="1:25" ht="78">
      <c r="A43" s="554"/>
      <c r="B43" s="554"/>
      <c r="C43" s="144">
        <v>9.4</v>
      </c>
      <c r="D43" s="145" t="s">
        <v>1670</v>
      </c>
      <c r="E43" s="145" t="s">
        <v>1671</v>
      </c>
      <c r="F43" s="136"/>
      <c r="G43" s="136"/>
      <c r="H43" s="136"/>
      <c r="I43" s="136"/>
      <c r="J43" s="136"/>
      <c r="K43" s="136"/>
      <c r="L43" s="136"/>
      <c r="M43" s="136"/>
      <c r="N43" s="136"/>
      <c r="O43" s="136"/>
      <c r="P43" s="136"/>
      <c r="Q43" s="136"/>
      <c r="R43" s="136"/>
      <c r="S43" s="136"/>
      <c r="T43" s="136"/>
      <c r="U43" s="136"/>
      <c r="V43" s="136"/>
      <c r="W43" s="136"/>
      <c r="X43" s="136"/>
      <c r="Y43" s="136"/>
    </row>
    <row r="44" spans="1:25" ht="26.1">
      <c r="A44" s="515">
        <v>10</v>
      </c>
      <c r="B44" s="516" t="s">
        <v>1604</v>
      </c>
      <c r="C44" s="144">
        <v>10.1</v>
      </c>
      <c r="D44" s="145" t="s">
        <v>1672</v>
      </c>
      <c r="E44" s="145" t="s">
        <v>1673</v>
      </c>
      <c r="F44" s="136"/>
      <c r="G44" s="136"/>
      <c r="H44" s="136"/>
      <c r="I44" s="136"/>
      <c r="J44" s="136"/>
      <c r="K44" s="136"/>
      <c r="L44" s="136"/>
      <c r="M44" s="136"/>
      <c r="N44" s="136"/>
      <c r="O44" s="136"/>
      <c r="P44" s="136"/>
      <c r="Q44" s="136"/>
      <c r="R44" s="136"/>
      <c r="S44" s="136"/>
      <c r="T44" s="136"/>
      <c r="U44" s="136"/>
      <c r="V44" s="136"/>
      <c r="W44" s="136"/>
      <c r="X44" s="136"/>
      <c r="Y44" s="136"/>
    </row>
    <row r="45" spans="1:25" ht="12.95">
      <c r="A45" s="554"/>
      <c r="B45" s="554"/>
      <c r="C45" s="144">
        <v>10.199999999999999</v>
      </c>
      <c r="D45" s="145" t="s">
        <v>1674</v>
      </c>
      <c r="E45" s="145" t="s">
        <v>1675</v>
      </c>
      <c r="F45" s="136"/>
      <c r="G45" s="136"/>
      <c r="H45" s="136"/>
      <c r="I45" s="136"/>
      <c r="J45" s="136"/>
      <c r="K45" s="136"/>
      <c r="L45" s="136"/>
      <c r="M45" s="136"/>
      <c r="N45" s="136"/>
      <c r="O45" s="136"/>
      <c r="P45" s="136"/>
      <c r="Q45" s="136"/>
      <c r="R45" s="136"/>
      <c r="S45" s="136"/>
      <c r="T45" s="136"/>
      <c r="U45" s="136"/>
      <c r="V45" s="136"/>
      <c r="W45" s="136"/>
      <c r="X45" s="136"/>
      <c r="Y45" s="136"/>
    </row>
    <row r="46" spans="1:25" ht="51.95">
      <c r="A46" s="515">
        <v>11</v>
      </c>
      <c r="B46" s="516" t="s">
        <v>1601</v>
      </c>
      <c r="C46" s="144">
        <v>11.1</v>
      </c>
      <c r="D46" s="145" t="s">
        <v>1676</v>
      </c>
      <c r="E46" s="145" t="s">
        <v>1677</v>
      </c>
      <c r="F46" s="136"/>
      <c r="G46" s="136"/>
      <c r="H46" s="136"/>
      <c r="I46" s="136"/>
      <c r="J46" s="136"/>
      <c r="K46" s="136"/>
      <c r="L46" s="136"/>
      <c r="M46" s="136"/>
      <c r="N46" s="136"/>
      <c r="O46" s="136"/>
      <c r="P46" s="136"/>
      <c r="Q46" s="136"/>
      <c r="R46" s="136"/>
      <c r="S46" s="136"/>
      <c r="T46" s="136"/>
      <c r="U46" s="136"/>
      <c r="V46" s="136"/>
      <c r="W46" s="136"/>
      <c r="X46" s="136"/>
      <c r="Y46" s="136"/>
    </row>
    <row r="47" spans="1:25" ht="26.1">
      <c r="A47" s="554"/>
      <c r="B47" s="554"/>
      <c r="C47" s="144">
        <v>11.2</v>
      </c>
      <c r="D47" s="145" t="s">
        <v>103</v>
      </c>
      <c r="E47" s="145" t="s">
        <v>1678</v>
      </c>
      <c r="F47" s="136"/>
      <c r="G47" s="136"/>
      <c r="H47" s="136"/>
      <c r="I47" s="136"/>
      <c r="J47" s="136"/>
      <c r="K47" s="136"/>
      <c r="L47" s="136"/>
      <c r="M47" s="136"/>
      <c r="N47" s="136"/>
      <c r="O47" s="136"/>
      <c r="P47" s="136"/>
      <c r="Q47" s="136"/>
      <c r="R47" s="136"/>
      <c r="S47" s="136"/>
      <c r="T47" s="136"/>
      <c r="U47" s="136"/>
      <c r="V47" s="136"/>
      <c r="W47" s="136"/>
      <c r="X47" s="136"/>
      <c r="Y47" s="136"/>
    </row>
    <row r="48" spans="1:25" ht="39">
      <c r="A48" s="554"/>
      <c r="B48" s="554"/>
      <c r="C48" s="144">
        <v>11.3</v>
      </c>
      <c r="D48" s="145" t="s">
        <v>66</v>
      </c>
      <c r="E48" s="145" t="s">
        <v>1679</v>
      </c>
      <c r="F48" s="136"/>
      <c r="G48" s="136"/>
      <c r="H48" s="136"/>
      <c r="I48" s="136"/>
      <c r="J48" s="136"/>
      <c r="K48" s="136"/>
      <c r="L48" s="136"/>
      <c r="M48" s="136"/>
      <c r="N48" s="136"/>
      <c r="O48" s="136"/>
      <c r="P48" s="136"/>
      <c r="Q48" s="136"/>
      <c r="R48" s="136"/>
      <c r="S48" s="136"/>
      <c r="T48" s="136"/>
      <c r="U48" s="136"/>
      <c r="V48" s="136"/>
      <c r="W48" s="136"/>
      <c r="X48" s="136"/>
      <c r="Y48" s="136"/>
    </row>
    <row r="49" spans="1:25" ht="12.95">
      <c r="A49" s="554"/>
      <c r="B49" s="554"/>
      <c r="C49" s="144">
        <v>11.4</v>
      </c>
      <c r="D49" s="145" t="s">
        <v>1680</v>
      </c>
      <c r="E49" s="146"/>
      <c r="F49" s="136"/>
      <c r="G49" s="136"/>
      <c r="H49" s="136"/>
      <c r="I49" s="136"/>
      <c r="J49" s="136"/>
      <c r="K49" s="136"/>
      <c r="L49" s="136"/>
      <c r="M49" s="136"/>
      <c r="N49" s="136"/>
      <c r="O49" s="136"/>
      <c r="P49" s="136"/>
      <c r="Q49" s="136"/>
      <c r="R49" s="136"/>
      <c r="S49" s="136"/>
      <c r="T49" s="136"/>
      <c r="U49" s="136"/>
      <c r="V49" s="136"/>
      <c r="W49" s="136"/>
      <c r="X49" s="136"/>
      <c r="Y49" s="136"/>
    </row>
    <row r="50" spans="1:25" ht="12.95">
      <c r="A50" s="149"/>
      <c r="B50" s="150"/>
      <c r="C50" s="151"/>
      <c r="D50" s="137"/>
      <c r="E50" s="136"/>
      <c r="F50" s="136"/>
      <c r="G50" s="136"/>
      <c r="H50" s="136"/>
      <c r="I50" s="136"/>
      <c r="J50" s="136"/>
      <c r="K50" s="136"/>
      <c r="L50" s="136"/>
      <c r="M50" s="136"/>
      <c r="N50" s="136"/>
      <c r="O50" s="136"/>
      <c r="P50" s="136"/>
      <c r="Q50" s="136"/>
      <c r="R50" s="136"/>
      <c r="S50" s="136"/>
      <c r="T50" s="136"/>
      <c r="U50" s="136"/>
      <c r="V50" s="136"/>
      <c r="W50" s="136"/>
      <c r="X50" s="136"/>
      <c r="Y50" s="136"/>
    </row>
    <row r="51" spans="1:25" ht="12.95">
      <c r="A51" s="149"/>
      <c r="B51" s="150"/>
      <c r="C51" s="151"/>
      <c r="D51" s="137"/>
      <c r="E51" s="136"/>
      <c r="F51" s="136"/>
      <c r="G51" s="136"/>
      <c r="H51" s="136"/>
      <c r="I51" s="136"/>
      <c r="J51" s="136"/>
      <c r="K51" s="136"/>
      <c r="L51" s="136"/>
      <c r="M51" s="136"/>
      <c r="N51" s="136"/>
      <c r="O51" s="136"/>
      <c r="P51" s="136"/>
      <c r="Q51" s="136"/>
      <c r="R51" s="136"/>
      <c r="S51" s="136"/>
      <c r="T51" s="136"/>
      <c r="U51" s="136"/>
      <c r="V51" s="136"/>
      <c r="W51" s="136"/>
      <c r="X51" s="136"/>
      <c r="Y51" s="136"/>
    </row>
    <row r="52" spans="1:25" ht="12.95">
      <c r="A52" s="149"/>
      <c r="B52" s="150"/>
      <c r="C52" s="151"/>
      <c r="D52" s="137"/>
      <c r="E52" s="136"/>
      <c r="F52" s="136"/>
      <c r="G52" s="136"/>
      <c r="H52" s="136"/>
      <c r="I52" s="136"/>
      <c r="J52" s="136"/>
      <c r="K52" s="136"/>
      <c r="L52" s="136"/>
      <c r="M52" s="136"/>
      <c r="N52" s="136"/>
      <c r="O52" s="136"/>
      <c r="P52" s="136"/>
      <c r="Q52" s="136"/>
      <c r="R52" s="136"/>
      <c r="S52" s="136"/>
      <c r="T52" s="136"/>
      <c r="U52" s="136"/>
      <c r="V52" s="136"/>
      <c r="W52" s="136"/>
      <c r="X52" s="136"/>
      <c r="Y52" s="136"/>
    </row>
    <row r="53" spans="1:25" ht="12.95">
      <c r="A53" s="135"/>
      <c r="B53" s="150"/>
      <c r="C53" s="151"/>
      <c r="D53" s="137"/>
      <c r="E53" s="136"/>
      <c r="F53" s="136"/>
      <c r="G53" s="136"/>
      <c r="H53" s="136"/>
      <c r="I53" s="136"/>
      <c r="J53" s="136"/>
      <c r="K53" s="136"/>
      <c r="L53" s="136"/>
      <c r="M53" s="136"/>
      <c r="N53" s="136"/>
      <c r="O53" s="136"/>
      <c r="P53" s="136"/>
      <c r="Q53" s="136"/>
      <c r="R53" s="136"/>
      <c r="S53" s="136"/>
      <c r="T53" s="136"/>
      <c r="U53" s="136"/>
      <c r="V53" s="136"/>
      <c r="W53" s="136"/>
      <c r="X53" s="136"/>
      <c r="Y53" s="136"/>
    </row>
    <row r="54" spans="1:25" ht="12.95">
      <c r="A54" s="149"/>
      <c r="B54" s="150"/>
      <c r="C54" s="151"/>
      <c r="D54" s="137"/>
      <c r="E54" s="136"/>
      <c r="F54" s="136"/>
      <c r="G54" s="136"/>
      <c r="H54" s="136"/>
      <c r="I54" s="136"/>
      <c r="J54" s="136"/>
      <c r="K54" s="136"/>
      <c r="L54" s="136"/>
      <c r="M54" s="136"/>
      <c r="N54" s="136"/>
      <c r="O54" s="136"/>
      <c r="P54" s="136"/>
      <c r="Q54" s="136"/>
      <c r="R54" s="136"/>
      <c r="S54" s="136"/>
      <c r="T54" s="136"/>
      <c r="U54" s="136"/>
      <c r="V54" s="136"/>
      <c r="W54" s="136"/>
      <c r="X54" s="136"/>
      <c r="Y54" s="136"/>
    </row>
    <row r="55" spans="1:25" ht="12.95">
      <c r="A55" s="149"/>
      <c r="B55" s="150"/>
      <c r="C55" s="151"/>
      <c r="D55" s="137"/>
      <c r="E55" s="136"/>
      <c r="F55" s="136"/>
      <c r="G55" s="136"/>
      <c r="H55" s="136"/>
      <c r="I55" s="136"/>
      <c r="J55" s="136"/>
      <c r="K55" s="136"/>
      <c r="L55" s="136"/>
      <c r="M55" s="136"/>
      <c r="N55" s="136"/>
      <c r="O55" s="136"/>
      <c r="P55" s="136"/>
      <c r="Q55" s="136"/>
      <c r="R55" s="136"/>
      <c r="S55" s="136"/>
      <c r="T55" s="136"/>
      <c r="U55" s="136"/>
      <c r="V55" s="136"/>
      <c r="W55" s="136"/>
      <c r="X55" s="136"/>
      <c r="Y55" s="136"/>
    </row>
    <row r="56" spans="1:25" ht="12.95">
      <c r="A56" s="149"/>
      <c r="B56" s="150"/>
      <c r="C56" s="151"/>
      <c r="D56" s="137"/>
      <c r="E56" s="136"/>
      <c r="F56" s="136"/>
      <c r="G56" s="136"/>
      <c r="H56" s="136"/>
      <c r="I56" s="136"/>
      <c r="J56" s="136"/>
      <c r="K56" s="136"/>
      <c r="L56" s="136"/>
      <c r="M56" s="136"/>
      <c r="N56" s="136"/>
      <c r="O56" s="136"/>
      <c r="P56" s="136"/>
      <c r="Q56" s="136"/>
      <c r="R56" s="136"/>
      <c r="S56" s="136"/>
      <c r="T56" s="136"/>
      <c r="U56" s="136"/>
      <c r="V56" s="136"/>
      <c r="W56" s="136"/>
      <c r="X56" s="136"/>
      <c r="Y56" s="136"/>
    </row>
    <row r="57" spans="1:25" ht="12.95">
      <c r="A57" s="149"/>
      <c r="B57" s="150"/>
      <c r="C57" s="151"/>
      <c r="D57" s="137"/>
      <c r="E57" s="136"/>
      <c r="F57" s="136"/>
      <c r="G57" s="136"/>
      <c r="H57" s="136"/>
      <c r="I57" s="136"/>
      <c r="J57" s="136"/>
      <c r="K57" s="136"/>
      <c r="L57" s="136"/>
      <c r="M57" s="136"/>
      <c r="N57" s="136"/>
      <c r="O57" s="136"/>
      <c r="P57" s="136"/>
      <c r="Q57" s="136"/>
      <c r="R57" s="136"/>
      <c r="S57" s="136"/>
      <c r="T57" s="136"/>
      <c r="U57" s="136"/>
      <c r="V57" s="136"/>
      <c r="W57" s="136"/>
      <c r="X57" s="136"/>
      <c r="Y57" s="136"/>
    </row>
    <row r="58" spans="1:25" ht="12.95">
      <c r="A58" s="149"/>
      <c r="B58" s="137"/>
      <c r="C58" s="151"/>
      <c r="D58" s="150"/>
      <c r="E58" s="136"/>
      <c r="F58" s="136"/>
      <c r="G58" s="136"/>
      <c r="H58" s="136"/>
      <c r="I58" s="136"/>
      <c r="J58" s="136"/>
      <c r="K58" s="136"/>
      <c r="L58" s="136"/>
      <c r="M58" s="136"/>
      <c r="N58" s="136"/>
      <c r="O58" s="136"/>
      <c r="P58" s="136"/>
      <c r="Q58" s="136"/>
      <c r="R58" s="136"/>
      <c r="S58" s="136"/>
      <c r="T58" s="136"/>
      <c r="U58" s="136"/>
      <c r="V58" s="136"/>
      <c r="W58" s="136"/>
      <c r="X58" s="136"/>
      <c r="Y58" s="136"/>
    </row>
    <row r="59" spans="1:25" ht="12.95">
      <c r="A59" s="149"/>
      <c r="B59" s="150"/>
      <c r="C59" s="151"/>
      <c r="D59" s="137"/>
      <c r="E59" s="136"/>
      <c r="F59" s="136"/>
      <c r="G59" s="136"/>
      <c r="H59" s="136"/>
      <c r="I59" s="136"/>
      <c r="J59" s="136"/>
      <c r="K59" s="136"/>
      <c r="L59" s="136"/>
      <c r="M59" s="136"/>
      <c r="N59" s="136"/>
      <c r="O59" s="136"/>
      <c r="P59" s="136"/>
      <c r="Q59" s="136"/>
      <c r="R59" s="136"/>
      <c r="S59" s="136"/>
      <c r="T59" s="136"/>
      <c r="U59" s="136"/>
      <c r="V59" s="136"/>
      <c r="W59" s="136"/>
      <c r="X59" s="136"/>
      <c r="Y59" s="136"/>
    </row>
    <row r="60" spans="1:25" ht="12.95">
      <c r="A60" s="149"/>
      <c r="B60" s="150"/>
      <c r="C60" s="151"/>
      <c r="D60" s="137"/>
      <c r="E60" s="136"/>
      <c r="F60" s="136"/>
      <c r="G60" s="136"/>
      <c r="H60" s="136"/>
      <c r="I60" s="136"/>
      <c r="J60" s="136"/>
      <c r="K60" s="136"/>
      <c r="L60" s="136"/>
      <c r="M60" s="136"/>
      <c r="N60" s="136"/>
      <c r="O60" s="136"/>
      <c r="P60" s="136"/>
      <c r="Q60" s="136"/>
      <c r="R60" s="136"/>
      <c r="S60" s="136"/>
      <c r="T60" s="136"/>
      <c r="U60" s="136"/>
      <c r="V60" s="136"/>
      <c r="W60" s="136"/>
      <c r="X60" s="136"/>
      <c r="Y60" s="136"/>
    </row>
    <row r="61" spans="1:25" ht="12.95">
      <c r="A61" s="149"/>
      <c r="B61" s="150"/>
      <c r="C61" s="151"/>
      <c r="D61" s="137"/>
      <c r="E61" s="136"/>
      <c r="F61" s="136"/>
      <c r="G61" s="136"/>
      <c r="H61" s="136"/>
      <c r="I61" s="136"/>
      <c r="J61" s="136"/>
      <c r="K61" s="136"/>
      <c r="L61" s="136"/>
      <c r="M61" s="136"/>
      <c r="N61" s="136"/>
      <c r="O61" s="136"/>
      <c r="P61" s="136"/>
      <c r="Q61" s="136"/>
      <c r="R61" s="136"/>
      <c r="S61" s="136"/>
      <c r="T61" s="136"/>
      <c r="U61" s="136"/>
      <c r="V61" s="136"/>
      <c r="W61" s="136"/>
      <c r="X61" s="136"/>
      <c r="Y61" s="136"/>
    </row>
    <row r="62" spans="1:25" ht="12.95">
      <c r="A62" s="149"/>
      <c r="B62" s="150"/>
      <c r="C62" s="151"/>
      <c r="D62" s="137"/>
      <c r="E62" s="136"/>
      <c r="F62" s="136"/>
      <c r="G62" s="136"/>
      <c r="H62" s="136"/>
      <c r="I62" s="136"/>
      <c r="J62" s="136"/>
      <c r="K62" s="136"/>
      <c r="L62" s="136"/>
      <c r="M62" s="136"/>
      <c r="N62" s="136"/>
      <c r="O62" s="136"/>
      <c r="P62" s="136"/>
      <c r="Q62" s="136"/>
      <c r="R62" s="136"/>
      <c r="S62" s="136"/>
      <c r="T62" s="136"/>
      <c r="U62" s="136"/>
      <c r="V62" s="136"/>
      <c r="W62" s="136"/>
      <c r="X62" s="136"/>
      <c r="Y62" s="136"/>
    </row>
    <row r="63" spans="1:25" ht="12.95">
      <c r="A63" s="149"/>
      <c r="B63" s="150"/>
      <c r="C63" s="151"/>
      <c r="D63" s="137"/>
      <c r="E63" s="136"/>
      <c r="F63" s="136"/>
      <c r="G63" s="136"/>
      <c r="H63" s="136"/>
      <c r="I63" s="136"/>
      <c r="J63" s="136"/>
      <c r="K63" s="136"/>
      <c r="L63" s="136"/>
      <c r="M63" s="136"/>
      <c r="N63" s="136"/>
      <c r="O63" s="136"/>
      <c r="P63" s="136"/>
      <c r="Q63" s="136"/>
      <c r="R63" s="136"/>
      <c r="S63" s="136"/>
      <c r="T63" s="136"/>
      <c r="U63" s="136"/>
      <c r="V63" s="136"/>
      <c r="W63" s="136"/>
      <c r="X63" s="136"/>
      <c r="Y63" s="136"/>
    </row>
    <row r="64" spans="1:25" ht="12.95">
      <c r="A64" s="149"/>
      <c r="B64" s="150"/>
      <c r="C64" s="151"/>
      <c r="D64" s="137"/>
      <c r="E64" s="136"/>
      <c r="F64" s="136"/>
      <c r="G64" s="136"/>
      <c r="H64" s="136"/>
      <c r="I64" s="136"/>
      <c r="J64" s="136"/>
      <c r="K64" s="136"/>
      <c r="L64" s="136"/>
      <c r="M64" s="136"/>
      <c r="N64" s="136"/>
      <c r="O64" s="136"/>
      <c r="P64" s="136"/>
      <c r="Q64" s="136"/>
      <c r="R64" s="136"/>
      <c r="S64" s="136"/>
      <c r="T64" s="136"/>
      <c r="U64" s="136"/>
      <c r="V64" s="136"/>
      <c r="W64" s="136"/>
      <c r="X64" s="136"/>
      <c r="Y64" s="136"/>
    </row>
    <row r="65" spans="1:25" ht="12.95">
      <c r="A65" s="149"/>
      <c r="B65" s="150"/>
      <c r="C65" s="151"/>
      <c r="D65" s="137"/>
      <c r="E65" s="136"/>
      <c r="F65" s="136"/>
      <c r="G65" s="136"/>
      <c r="H65" s="136"/>
      <c r="I65" s="136"/>
      <c r="J65" s="136"/>
      <c r="K65" s="136"/>
      <c r="L65" s="136"/>
      <c r="M65" s="136"/>
      <c r="N65" s="136"/>
      <c r="O65" s="136"/>
      <c r="P65" s="136"/>
      <c r="Q65" s="136"/>
      <c r="R65" s="136"/>
      <c r="S65" s="136"/>
      <c r="T65" s="136"/>
      <c r="U65" s="136"/>
      <c r="V65" s="136"/>
      <c r="W65" s="136"/>
      <c r="X65" s="136"/>
      <c r="Y65" s="136"/>
    </row>
    <row r="66" spans="1:25" ht="12.95">
      <c r="A66" s="149"/>
      <c r="B66" s="150"/>
      <c r="C66" s="151"/>
      <c r="D66" s="137"/>
      <c r="E66" s="136"/>
      <c r="F66" s="136"/>
      <c r="G66" s="136"/>
      <c r="H66" s="136"/>
      <c r="I66" s="136"/>
      <c r="J66" s="136"/>
      <c r="K66" s="136"/>
      <c r="L66" s="136"/>
      <c r="M66" s="136"/>
      <c r="N66" s="136"/>
      <c r="O66" s="136"/>
      <c r="P66" s="136"/>
      <c r="Q66" s="136"/>
      <c r="R66" s="136"/>
      <c r="S66" s="136"/>
      <c r="T66" s="136"/>
      <c r="U66" s="136"/>
      <c r="V66" s="136"/>
      <c r="W66" s="136"/>
      <c r="X66" s="136"/>
      <c r="Y66" s="136"/>
    </row>
    <row r="67" spans="1:25" ht="12.95">
      <c r="A67" s="149"/>
      <c r="B67" s="150"/>
      <c r="C67" s="151"/>
      <c r="D67" s="137"/>
      <c r="E67" s="136"/>
      <c r="F67" s="136"/>
      <c r="G67" s="136"/>
      <c r="H67" s="136"/>
      <c r="I67" s="136"/>
      <c r="J67" s="136"/>
      <c r="K67" s="136"/>
      <c r="L67" s="136"/>
      <c r="M67" s="136"/>
      <c r="N67" s="136"/>
      <c r="O67" s="136"/>
      <c r="P67" s="136"/>
      <c r="Q67" s="136"/>
      <c r="R67" s="136"/>
      <c r="S67" s="136"/>
      <c r="T67" s="136"/>
      <c r="U67" s="136"/>
      <c r="V67" s="136"/>
      <c r="W67" s="136"/>
      <c r="X67" s="136"/>
      <c r="Y67" s="136"/>
    </row>
    <row r="68" spans="1:25" ht="12.95">
      <c r="A68" s="149"/>
      <c r="B68" s="150"/>
      <c r="C68" s="151"/>
      <c r="D68" s="137"/>
      <c r="E68" s="136"/>
      <c r="F68" s="136"/>
      <c r="G68" s="136"/>
      <c r="H68" s="136"/>
      <c r="I68" s="136"/>
      <c r="J68" s="136"/>
      <c r="K68" s="136"/>
      <c r="L68" s="136"/>
      <c r="M68" s="136"/>
      <c r="N68" s="136"/>
      <c r="O68" s="136"/>
      <c r="P68" s="136"/>
      <c r="Q68" s="136"/>
      <c r="R68" s="136"/>
      <c r="S68" s="136"/>
      <c r="T68" s="136"/>
      <c r="U68" s="136"/>
      <c r="V68" s="136"/>
      <c r="W68" s="136"/>
      <c r="X68" s="136"/>
      <c r="Y68" s="136"/>
    </row>
    <row r="69" spans="1:25" ht="12.95">
      <c r="A69" s="149"/>
      <c r="B69" s="150"/>
      <c r="C69" s="151"/>
      <c r="D69" s="137"/>
      <c r="E69" s="136"/>
      <c r="F69" s="136"/>
      <c r="G69" s="136"/>
      <c r="H69" s="136"/>
      <c r="I69" s="136"/>
      <c r="J69" s="136"/>
      <c r="K69" s="136"/>
      <c r="L69" s="136"/>
      <c r="M69" s="136"/>
      <c r="N69" s="136"/>
      <c r="O69" s="136"/>
      <c r="P69" s="136"/>
      <c r="Q69" s="136"/>
      <c r="R69" s="136"/>
      <c r="S69" s="136"/>
      <c r="T69" s="136"/>
      <c r="U69" s="136"/>
      <c r="V69" s="136"/>
      <c r="W69" s="136"/>
      <c r="X69" s="136"/>
      <c r="Y69" s="136"/>
    </row>
    <row r="70" spans="1:25" ht="12.95">
      <c r="A70" s="149"/>
      <c r="B70" s="150"/>
      <c r="C70" s="151"/>
      <c r="D70" s="137"/>
      <c r="E70" s="136"/>
      <c r="F70" s="136"/>
      <c r="G70" s="136"/>
      <c r="H70" s="136"/>
      <c r="I70" s="136"/>
      <c r="J70" s="136"/>
      <c r="K70" s="136"/>
      <c r="L70" s="136"/>
      <c r="M70" s="136"/>
      <c r="N70" s="136"/>
      <c r="O70" s="136"/>
      <c r="P70" s="136"/>
      <c r="Q70" s="136"/>
      <c r="R70" s="136"/>
      <c r="S70" s="136"/>
      <c r="T70" s="136"/>
      <c r="U70" s="136"/>
      <c r="V70" s="136"/>
      <c r="W70" s="136"/>
      <c r="X70" s="136"/>
      <c r="Y70" s="136"/>
    </row>
    <row r="71" spans="1:25" ht="12.95">
      <c r="A71" s="149"/>
      <c r="B71" s="150"/>
      <c r="C71" s="151"/>
      <c r="D71" s="137"/>
      <c r="E71" s="136"/>
      <c r="F71" s="136"/>
      <c r="G71" s="136"/>
      <c r="H71" s="136"/>
      <c r="I71" s="136"/>
      <c r="J71" s="136"/>
      <c r="K71" s="136"/>
      <c r="L71" s="136"/>
      <c r="M71" s="136"/>
      <c r="N71" s="136"/>
      <c r="O71" s="136"/>
      <c r="P71" s="136"/>
      <c r="Q71" s="136"/>
      <c r="R71" s="136"/>
      <c r="S71" s="136"/>
      <c r="T71" s="136"/>
      <c r="U71" s="136"/>
      <c r="V71" s="136"/>
      <c r="W71" s="136"/>
      <c r="X71" s="136"/>
      <c r="Y71" s="136"/>
    </row>
    <row r="72" spans="1:25" ht="12.95">
      <c r="A72" s="149"/>
      <c r="B72" s="150"/>
      <c r="C72" s="151"/>
      <c r="D72" s="137"/>
      <c r="E72" s="136"/>
      <c r="F72" s="136"/>
      <c r="G72" s="136"/>
      <c r="H72" s="136"/>
      <c r="I72" s="136"/>
      <c r="J72" s="136"/>
      <c r="K72" s="136"/>
      <c r="L72" s="136"/>
      <c r="M72" s="136"/>
      <c r="N72" s="136"/>
      <c r="O72" s="136"/>
      <c r="P72" s="136"/>
      <c r="Q72" s="136"/>
      <c r="R72" s="136"/>
      <c r="S72" s="136"/>
      <c r="T72" s="136"/>
      <c r="U72" s="136"/>
      <c r="V72" s="136"/>
      <c r="W72" s="136"/>
      <c r="X72" s="136"/>
      <c r="Y72" s="136"/>
    </row>
    <row r="73" spans="1:25" ht="12.95">
      <c r="A73" s="149"/>
      <c r="B73" s="150"/>
      <c r="C73" s="151"/>
      <c r="D73" s="137"/>
      <c r="E73" s="136"/>
      <c r="F73" s="136"/>
      <c r="G73" s="136"/>
      <c r="H73" s="136"/>
      <c r="I73" s="136"/>
      <c r="J73" s="136"/>
      <c r="K73" s="136"/>
      <c r="L73" s="136"/>
      <c r="M73" s="136"/>
      <c r="N73" s="136"/>
      <c r="O73" s="136"/>
      <c r="P73" s="136"/>
      <c r="Q73" s="136"/>
      <c r="R73" s="136"/>
      <c r="S73" s="136"/>
      <c r="T73" s="136"/>
      <c r="U73" s="136"/>
      <c r="V73" s="136"/>
      <c r="W73" s="136"/>
      <c r="X73" s="136"/>
      <c r="Y73" s="136"/>
    </row>
    <row r="74" spans="1:25" ht="12.95">
      <c r="A74" s="149"/>
      <c r="B74" s="150"/>
      <c r="C74" s="152"/>
      <c r="D74" s="137"/>
      <c r="E74" s="136"/>
      <c r="F74" s="136"/>
      <c r="G74" s="136"/>
      <c r="H74" s="136"/>
      <c r="I74" s="136"/>
      <c r="J74" s="136"/>
      <c r="K74" s="136"/>
      <c r="L74" s="136"/>
      <c r="M74" s="136"/>
      <c r="N74" s="136"/>
      <c r="O74" s="136"/>
      <c r="P74" s="136"/>
      <c r="Q74" s="136"/>
      <c r="R74" s="136"/>
      <c r="S74" s="136"/>
      <c r="T74" s="136"/>
      <c r="U74" s="136"/>
      <c r="V74" s="136"/>
      <c r="W74" s="136"/>
      <c r="X74" s="136"/>
      <c r="Y74" s="136"/>
    </row>
    <row r="75" spans="1:25" ht="12.95">
      <c r="A75" s="149"/>
      <c r="B75" s="150"/>
      <c r="C75" s="151"/>
      <c r="D75" s="137"/>
      <c r="E75" s="136"/>
      <c r="F75" s="136"/>
      <c r="G75" s="136"/>
      <c r="H75" s="136"/>
      <c r="I75" s="136"/>
      <c r="J75" s="136"/>
      <c r="K75" s="136"/>
      <c r="L75" s="136"/>
      <c r="M75" s="136"/>
      <c r="N75" s="136"/>
      <c r="O75" s="136"/>
      <c r="P75" s="136"/>
      <c r="Q75" s="136"/>
      <c r="R75" s="136"/>
      <c r="S75" s="136"/>
      <c r="T75" s="136"/>
      <c r="U75" s="136"/>
      <c r="V75" s="136"/>
      <c r="W75" s="136"/>
      <c r="X75" s="136"/>
      <c r="Y75" s="136"/>
    </row>
    <row r="76" spans="1:25" ht="12.95">
      <c r="A76" s="149"/>
      <c r="B76" s="150"/>
      <c r="C76" s="151"/>
      <c r="D76" s="137"/>
      <c r="E76" s="136"/>
      <c r="F76" s="136"/>
      <c r="G76" s="136"/>
      <c r="H76" s="136"/>
      <c r="I76" s="136"/>
      <c r="J76" s="136"/>
      <c r="K76" s="136"/>
      <c r="L76" s="136"/>
      <c r="M76" s="136"/>
      <c r="N76" s="136"/>
      <c r="O76" s="136"/>
      <c r="P76" s="136"/>
      <c r="Q76" s="136"/>
      <c r="R76" s="136"/>
      <c r="S76" s="136"/>
      <c r="T76" s="136"/>
      <c r="U76" s="136"/>
      <c r="V76" s="136"/>
      <c r="W76" s="136"/>
      <c r="X76" s="136"/>
      <c r="Y76" s="136"/>
    </row>
    <row r="77" spans="1:25" ht="12.95">
      <c r="A77" s="149"/>
      <c r="B77" s="150"/>
      <c r="C77" s="151"/>
      <c r="D77" s="137"/>
      <c r="E77" s="136"/>
      <c r="F77" s="136"/>
      <c r="G77" s="136"/>
      <c r="H77" s="136"/>
      <c r="I77" s="136"/>
      <c r="J77" s="136"/>
      <c r="K77" s="136"/>
      <c r="L77" s="136"/>
      <c r="M77" s="136"/>
      <c r="N77" s="136"/>
      <c r="O77" s="136"/>
      <c r="P77" s="136"/>
      <c r="Q77" s="136"/>
      <c r="R77" s="136"/>
      <c r="S77" s="136"/>
      <c r="T77" s="136"/>
      <c r="U77" s="136"/>
      <c r="V77" s="136"/>
      <c r="W77" s="136"/>
      <c r="X77" s="136"/>
      <c r="Y77" s="136"/>
    </row>
    <row r="78" spans="1:25" ht="12.95">
      <c r="A78" s="149"/>
      <c r="B78" s="150"/>
      <c r="C78" s="151"/>
      <c r="D78" s="137"/>
      <c r="E78" s="136"/>
      <c r="F78" s="136"/>
      <c r="G78" s="136"/>
      <c r="H78" s="136"/>
      <c r="I78" s="136"/>
      <c r="J78" s="136"/>
      <c r="K78" s="136"/>
      <c r="L78" s="136"/>
      <c r="M78" s="136"/>
      <c r="N78" s="136"/>
      <c r="O78" s="136"/>
      <c r="P78" s="136"/>
      <c r="Q78" s="136"/>
      <c r="R78" s="136"/>
      <c r="S78" s="136"/>
      <c r="T78" s="136"/>
      <c r="U78" s="136"/>
      <c r="V78" s="136"/>
      <c r="W78" s="136"/>
      <c r="X78" s="136"/>
      <c r="Y78" s="136"/>
    </row>
    <row r="79" spans="1:25" ht="12.95">
      <c r="A79" s="149"/>
      <c r="B79" s="150"/>
      <c r="C79" s="151"/>
      <c r="D79" s="137"/>
      <c r="E79" s="136"/>
      <c r="F79" s="136"/>
      <c r="G79" s="136"/>
      <c r="H79" s="136"/>
      <c r="I79" s="136"/>
      <c r="J79" s="136"/>
      <c r="K79" s="136"/>
      <c r="L79" s="136"/>
      <c r="M79" s="136"/>
      <c r="N79" s="136"/>
      <c r="O79" s="136"/>
      <c r="P79" s="136"/>
      <c r="Q79" s="136"/>
      <c r="R79" s="136"/>
      <c r="S79" s="136"/>
      <c r="T79" s="136"/>
      <c r="U79" s="136"/>
      <c r="V79" s="136"/>
      <c r="W79" s="136"/>
      <c r="X79" s="136"/>
      <c r="Y79" s="136"/>
    </row>
    <row r="80" spans="1:25" ht="12.95">
      <c r="A80" s="149"/>
      <c r="B80" s="150"/>
      <c r="C80" s="151"/>
      <c r="D80" s="137"/>
      <c r="E80" s="136"/>
      <c r="F80" s="136"/>
      <c r="G80" s="136"/>
      <c r="H80" s="136"/>
      <c r="I80" s="136"/>
      <c r="J80" s="136"/>
      <c r="K80" s="136"/>
      <c r="L80" s="136"/>
      <c r="M80" s="136"/>
      <c r="N80" s="136"/>
      <c r="O80" s="136"/>
      <c r="P80" s="136"/>
      <c r="Q80" s="136"/>
      <c r="R80" s="136"/>
      <c r="S80" s="136"/>
      <c r="T80" s="136"/>
      <c r="U80" s="136"/>
      <c r="V80" s="136"/>
      <c r="W80" s="136"/>
      <c r="X80" s="136"/>
      <c r="Y80" s="136"/>
    </row>
    <row r="81" spans="1:25" ht="12.95">
      <c r="A81" s="149"/>
      <c r="B81" s="150"/>
      <c r="C81" s="151"/>
      <c r="D81" s="137"/>
      <c r="E81" s="136"/>
      <c r="F81" s="136"/>
      <c r="G81" s="136"/>
      <c r="H81" s="136"/>
      <c r="I81" s="136"/>
      <c r="J81" s="136"/>
      <c r="K81" s="136"/>
      <c r="L81" s="136"/>
      <c r="M81" s="136"/>
      <c r="N81" s="136"/>
      <c r="O81" s="136"/>
      <c r="P81" s="136"/>
      <c r="Q81" s="136"/>
      <c r="R81" s="136"/>
      <c r="S81" s="136"/>
      <c r="T81" s="136"/>
      <c r="U81" s="136"/>
      <c r="V81" s="136"/>
      <c r="W81" s="136"/>
      <c r="X81" s="136"/>
      <c r="Y81" s="136"/>
    </row>
    <row r="82" spans="1:25" ht="12.95">
      <c r="A82" s="149"/>
      <c r="B82" s="150"/>
      <c r="C82" s="151"/>
      <c r="D82" s="137"/>
      <c r="E82" s="136"/>
      <c r="F82" s="136"/>
      <c r="G82" s="136"/>
      <c r="H82" s="136"/>
      <c r="I82" s="136"/>
      <c r="J82" s="136"/>
      <c r="K82" s="136"/>
      <c r="L82" s="136"/>
      <c r="M82" s="136"/>
      <c r="N82" s="136"/>
      <c r="O82" s="136"/>
      <c r="P82" s="136"/>
      <c r="Q82" s="136"/>
      <c r="R82" s="136"/>
      <c r="S82" s="136"/>
      <c r="T82" s="136"/>
      <c r="U82" s="136"/>
      <c r="V82" s="136"/>
      <c r="W82" s="136"/>
      <c r="X82" s="136"/>
      <c r="Y82" s="136"/>
    </row>
    <row r="83" spans="1:25" ht="12.95">
      <c r="A83" s="149"/>
      <c r="B83" s="150"/>
      <c r="C83" s="151"/>
      <c r="D83" s="137"/>
      <c r="E83" s="136"/>
      <c r="F83" s="136"/>
      <c r="G83" s="136"/>
      <c r="H83" s="136"/>
      <c r="I83" s="136"/>
      <c r="J83" s="136"/>
      <c r="K83" s="136"/>
      <c r="L83" s="136"/>
      <c r="M83" s="136"/>
      <c r="N83" s="136"/>
      <c r="O83" s="136"/>
      <c r="P83" s="136"/>
      <c r="Q83" s="136"/>
      <c r="R83" s="136"/>
      <c r="S83" s="136"/>
      <c r="T83" s="136"/>
      <c r="U83" s="136"/>
      <c r="V83" s="136"/>
      <c r="W83" s="136"/>
      <c r="X83" s="136"/>
      <c r="Y83" s="136"/>
    </row>
    <row r="84" spans="1:25" ht="12.95">
      <c r="A84" s="149"/>
      <c r="B84" s="150"/>
      <c r="C84" s="151"/>
      <c r="D84" s="137"/>
      <c r="E84" s="136"/>
      <c r="F84" s="136"/>
      <c r="G84" s="136"/>
      <c r="H84" s="136"/>
      <c r="I84" s="136"/>
      <c r="J84" s="136"/>
      <c r="K84" s="136"/>
      <c r="L84" s="136"/>
      <c r="M84" s="136"/>
      <c r="N84" s="136"/>
      <c r="O84" s="136"/>
      <c r="P84" s="136"/>
      <c r="Q84" s="136"/>
      <c r="R84" s="136"/>
      <c r="S84" s="136"/>
      <c r="T84" s="136"/>
      <c r="U84" s="136"/>
      <c r="V84" s="136"/>
      <c r="W84" s="136"/>
      <c r="X84" s="136"/>
      <c r="Y84" s="136"/>
    </row>
    <row r="85" spans="1:25" ht="12.95">
      <c r="A85" s="149"/>
      <c r="B85" s="150"/>
      <c r="C85" s="151"/>
      <c r="D85" s="150"/>
      <c r="E85" s="136"/>
      <c r="F85" s="136"/>
      <c r="G85" s="136"/>
      <c r="H85" s="136"/>
      <c r="I85" s="136"/>
      <c r="J85" s="136"/>
      <c r="K85" s="136"/>
      <c r="L85" s="136"/>
      <c r="M85" s="136"/>
      <c r="N85" s="136"/>
      <c r="O85" s="136"/>
      <c r="P85" s="136"/>
      <c r="Q85" s="136"/>
      <c r="R85" s="136"/>
      <c r="S85" s="136"/>
      <c r="T85" s="136"/>
      <c r="U85" s="136"/>
      <c r="V85" s="136"/>
      <c r="W85" s="136"/>
      <c r="X85" s="136"/>
      <c r="Y85" s="136"/>
    </row>
    <row r="86" spans="1:25" ht="12.95">
      <c r="A86" s="149"/>
      <c r="B86" s="150"/>
      <c r="C86" s="151"/>
      <c r="D86" s="137"/>
      <c r="E86" s="136"/>
      <c r="F86" s="136"/>
      <c r="G86" s="136"/>
      <c r="H86" s="136"/>
      <c r="I86" s="136"/>
      <c r="J86" s="136"/>
      <c r="K86" s="136"/>
      <c r="L86" s="136"/>
      <c r="M86" s="136"/>
      <c r="N86" s="136"/>
      <c r="O86" s="136"/>
      <c r="P86" s="136"/>
      <c r="Q86" s="136"/>
      <c r="R86" s="136"/>
      <c r="S86" s="136"/>
      <c r="T86" s="136"/>
      <c r="U86" s="136"/>
      <c r="V86" s="136"/>
      <c r="W86" s="136"/>
      <c r="X86" s="136"/>
      <c r="Y86" s="136"/>
    </row>
    <row r="87" spans="1:25" ht="12.95">
      <c r="A87" s="149"/>
      <c r="B87" s="150"/>
      <c r="C87" s="151"/>
      <c r="D87" s="137"/>
      <c r="E87" s="136"/>
      <c r="F87" s="136"/>
      <c r="G87" s="136"/>
      <c r="H87" s="136"/>
      <c r="I87" s="136"/>
      <c r="J87" s="136"/>
      <c r="K87" s="136"/>
      <c r="L87" s="136"/>
      <c r="M87" s="136"/>
      <c r="N87" s="136"/>
      <c r="O87" s="136"/>
      <c r="P87" s="136"/>
      <c r="Q87" s="136"/>
      <c r="R87" s="136"/>
      <c r="S87" s="136"/>
      <c r="T87" s="136"/>
      <c r="U87" s="136"/>
      <c r="V87" s="136"/>
      <c r="W87" s="136"/>
      <c r="X87" s="136"/>
      <c r="Y87" s="136"/>
    </row>
    <row r="88" spans="1:25" ht="12.95">
      <c r="A88" s="149"/>
      <c r="B88" s="150"/>
      <c r="C88" s="151"/>
      <c r="D88" s="137"/>
      <c r="E88" s="136"/>
      <c r="F88" s="136"/>
      <c r="G88" s="136"/>
      <c r="H88" s="136"/>
      <c r="I88" s="136"/>
      <c r="J88" s="136"/>
      <c r="K88" s="136"/>
      <c r="L88" s="136"/>
      <c r="M88" s="136"/>
      <c r="N88" s="136"/>
      <c r="O88" s="136"/>
      <c r="P88" s="136"/>
      <c r="Q88" s="136"/>
      <c r="R88" s="136"/>
      <c r="S88" s="136"/>
      <c r="T88" s="136"/>
      <c r="U88" s="136"/>
      <c r="V88" s="136"/>
      <c r="W88" s="136"/>
      <c r="X88" s="136"/>
      <c r="Y88" s="136"/>
    </row>
    <row r="89" spans="1:25" ht="12.95">
      <c r="A89" s="149"/>
      <c r="B89" s="150"/>
      <c r="C89" s="151"/>
      <c r="D89" s="137"/>
      <c r="E89" s="136"/>
      <c r="F89" s="136"/>
      <c r="G89" s="136"/>
      <c r="H89" s="136"/>
      <c r="I89" s="136"/>
      <c r="J89" s="136"/>
      <c r="K89" s="136"/>
      <c r="L89" s="136"/>
      <c r="M89" s="136"/>
      <c r="N89" s="136"/>
      <c r="O89" s="136"/>
      <c r="P89" s="136"/>
      <c r="Q89" s="136"/>
      <c r="R89" s="136"/>
      <c r="S89" s="136"/>
      <c r="T89" s="136"/>
      <c r="U89" s="136"/>
      <c r="V89" s="136"/>
      <c r="W89" s="136"/>
      <c r="X89" s="136"/>
      <c r="Y89" s="136"/>
    </row>
    <row r="90" spans="1:25" ht="12.95">
      <c r="A90" s="149"/>
      <c r="B90" s="150"/>
      <c r="C90" s="151"/>
      <c r="D90" s="137"/>
      <c r="E90" s="136"/>
      <c r="F90" s="136"/>
      <c r="G90" s="136"/>
      <c r="H90" s="136"/>
      <c r="I90" s="136"/>
      <c r="J90" s="136"/>
      <c r="K90" s="136"/>
      <c r="L90" s="136"/>
      <c r="M90" s="136"/>
      <c r="N90" s="136"/>
      <c r="O90" s="136"/>
      <c r="P90" s="136"/>
      <c r="Q90" s="136"/>
      <c r="R90" s="136"/>
      <c r="S90" s="136"/>
      <c r="T90" s="136"/>
      <c r="U90" s="136"/>
      <c r="V90" s="136"/>
      <c r="W90" s="136"/>
      <c r="X90" s="136"/>
      <c r="Y90" s="136"/>
    </row>
    <row r="91" spans="1:25" ht="12.95">
      <c r="A91" s="149"/>
      <c r="B91" s="150"/>
      <c r="C91" s="151"/>
      <c r="D91" s="137"/>
      <c r="E91" s="136"/>
      <c r="F91" s="136"/>
      <c r="G91" s="136"/>
      <c r="H91" s="136"/>
      <c r="I91" s="136"/>
      <c r="J91" s="136"/>
      <c r="K91" s="136"/>
      <c r="L91" s="136"/>
      <c r="M91" s="136"/>
      <c r="N91" s="136"/>
      <c r="O91" s="136"/>
      <c r="P91" s="136"/>
      <c r="Q91" s="136"/>
      <c r="R91" s="136"/>
      <c r="S91" s="136"/>
      <c r="T91" s="136"/>
      <c r="U91" s="136"/>
      <c r="V91" s="136"/>
      <c r="W91" s="136"/>
      <c r="X91" s="136"/>
      <c r="Y91" s="136"/>
    </row>
    <row r="92" spans="1:25" ht="12.95">
      <c r="A92" s="149"/>
      <c r="B92" s="150"/>
      <c r="C92" s="151"/>
      <c r="D92" s="137"/>
      <c r="E92" s="136"/>
      <c r="F92" s="136"/>
      <c r="G92" s="136"/>
      <c r="H92" s="136"/>
      <c r="I92" s="136"/>
      <c r="J92" s="136"/>
      <c r="K92" s="136"/>
      <c r="L92" s="136"/>
      <c r="M92" s="136"/>
      <c r="N92" s="136"/>
      <c r="O92" s="136"/>
      <c r="P92" s="136"/>
      <c r="Q92" s="136"/>
      <c r="R92" s="136"/>
      <c r="S92" s="136"/>
      <c r="T92" s="136"/>
      <c r="U92" s="136"/>
      <c r="V92" s="136"/>
      <c r="W92" s="136"/>
      <c r="X92" s="136"/>
      <c r="Y92" s="136"/>
    </row>
    <row r="93" spans="1:25" ht="12.95">
      <c r="A93" s="149"/>
      <c r="B93" s="150"/>
      <c r="C93" s="151"/>
      <c r="D93" s="137"/>
      <c r="E93" s="136"/>
      <c r="F93" s="136"/>
      <c r="G93" s="136"/>
      <c r="H93" s="136"/>
      <c r="I93" s="136"/>
      <c r="J93" s="136"/>
      <c r="K93" s="136"/>
      <c r="L93" s="136"/>
      <c r="M93" s="136"/>
      <c r="N93" s="136"/>
      <c r="O93" s="136"/>
      <c r="P93" s="136"/>
      <c r="Q93" s="136"/>
      <c r="R93" s="136"/>
      <c r="S93" s="136"/>
      <c r="T93" s="136"/>
      <c r="U93" s="136"/>
      <c r="V93" s="136"/>
      <c r="W93" s="136"/>
      <c r="X93" s="136"/>
      <c r="Y93" s="136"/>
    </row>
    <row r="94" spans="1:25" ht="12.95">
      <c r="A94" s="149"/>
      <c r="B94" s="150"/>
      <c r="C94" s="151"/>
      <c r="D94" s="137"/>
      <c r="E94" s="136"/>
      <c r="F94" s="136"/>
      <c r="G94" s="136"/>
      <c r="H94" s="136"/>
      <c r="I94" s="136"/>
      <c r="J94" s="136"/>
      <c r="K94" s="136"/>
      <c r="L94" s="136"/>
      <c r="M94" s="136"/>
      <c r="N94" s="136"/>
      <c r="O94" s="136"/>
      <c r="P94" s="136"/>
      <c r="Q94" s="136"/>
      <c r="R94" s="136"/>
      <c r="S94" s="136"/>
      <c r="T94" s="136"/>
      <c r="U94" s="136"/>
      <c r="V94" s="136"/>
      <c r="W94" s="136"/>
      <c r="X94" s="136"/>
      <c r="Y94" s="136"/>
    </row>
    <row r="95" spans="1:25" ht="12.95">
      <c r="A95" s="149"/>
      <c r="B95" s="150"/>
      <c r="C95" s="151"/>
      <c r="D95" s="137"/>
      <c r="E95" s="136"/>
      <c r="F95" s="136"/>
      <c r="G95" s="136"/>
      <c r="H95" s="136"/>
      <c r="I95" s="136"/>
      <c r="J95" s="136"/>
      <c r="K95" s="136"/>
      <c r="L95" s="136"/>
      <c r="M95" s="136"/>
      <c r="N95" s="136"/>
      <c r="O95" s="136"/>
      <c r="P95" s="136"/>
      <c r="Q95" s="136"/>
      <c r="R95" s="136"/>
      <c r="S95" s="136"/>
      <c r="T95" s="136"/>
      <c r="U95" s="136"/>
      <c r="V95" s="136"/>
      <c r="W95" s="136"/>
      <c r="X95" s="136"/>
      <c r="Y95" s="136"/>
    </row>
    <row r="96" spans="1:25" ht="12.95">
      <c r="A96" s="149"/>
      <c r="B96" s="150"/>
      <c r="C96" s="151"/>
      <c r="D96" s="137"/>
      <c r="E96" s="136"/>
      <c r="F96" s="136"/>
      <c r="G96" s="136"/>
      <c r="H96" s="136"/>
      <c r="I96" s="136"/>
      <c r="J96" s="136"/>
      <c r="K96" s="136"/>
      <c r="L96" s="136"/>
      <c r="M96" s="136"/>
      <c r="N96" s="136"/>
      <c r="O96" s="136"/>
      <c r="P96" s="136"/>
      <c r="Q96" s="136"/>
      <c r="R96" s="136"/>
      <c r="S96" s="136"/>
      <c r="T96" s="136"/>
      <c r="U96" s="136"/>
      <c r="V96" s="136"/>
      <c r="W96" s="136"/>
      <c r="X96" s="136"/>
      <c r="Y96" s="136"/>
    </row>
    <row r="97" spans="1:25" ht="12.95">
      <c r="A97" s="149"/>
      <c r="B97" s="150"/>
      <c r="C97" s="151"/>
      <c r="D97" s="137"/>
      <c r="E97" s="136"/>
      <c r="F97" s="136"/>
      <c r="G97" s="136"/>
      <c r="H97" s="136"/>
      <c r="I97" s="136"/>
      <c r="J97" s="136"/>
      <c r="K97" s="136"/>
      <c r="L97" s="136"/>
      <c r="M97" s="136"/>
      <c r="N97" s="136"/>
      <c r="O97" s="136"/>
      <c r="P97" s="136"/>
      <c r="Q97" s="136"/>
      <c r="R97" s="136"/>
      <c r="S97" s="136"/>
      <c r="T97" s="136"/>
      <c r="U97" s="136"/>
      <c r="V97" s="136"/>
      <c r="W97" s="136"/>
      <c r="X97" s="136"/>
      <c r="Y97" s="136"/>
    </row>
    <row r="98" spans="1:25" ht="12.95">
      <c r="A98" s="149"/>
      <c r="B98" s="150"/>
      <c r="C98" s="151"/>
      <c r="D98" s="137"/>
      <c r="E98" s="136"/>
      <c r="F98" s="136"/>
      <c r="G98" s="136"/>
      <c r="H98" s="136"/>
      <c r="I98" s="136"/>
      <c r="J98" s="136"/>
      <c r="K98" s="136"/>
      <c r="L98" s="136"/>
      <c r="M98" s="136"/>
      <c r="N98" s="136"/>
      <c r="O98" s="136"/>
      <c r="P98" s="136"/>
      <c r="Q98" s="136"/>
      <c r="R98" s="136"/>
      <c r="S98" s="136"/>
      <c r="T98" s="136"/>
      <c r="U98" s="136"/>
      <c r="V98" s="136"/>
      <c r="W98" s="136"/>
      <c r="X98" s="136"/>
      <c r="Y98" s="136"/>
    </row>
    <row r="99" spans="1:25" ht="12.95">
      <c r="A99" s="149"/>
      <c r="B99" s="150"/>
      <c r="C99" s="151"/>
      <c r="D99" s="137"/>
      <c r="E99" s="136"/>
      <c r="F99" s="136"/>
      <c r="G99" s="136"/>
      <c r="H99" s="136"/>
      <c r="I99" s="136"/>
      <c r="J99" s="136"/>
      <c r="K99" s="136"/>
      <c r="L99" s="136"/>
      <c r="M99" s="136"/>
      <c r="N99" s="136"/>
      <c r="O99" s="136"/>
      <c r="P99" s="136"/>
      <c r="Q99" s="136"/>
      <c r="R99" s="136"/>
      <c r="S99" s="136"/>
      <c r="T99" s="136"/>
      <c r="U99" s="136"/>
      <c r="V99" s="136"/>
      <c r="W99" s="136"/>
      <c r="X99" s="136"/>
      <c r="Y99" s="136"/>
    </row>
    <row r="100" spans="1:25" ht="12.95">
      <c r="A100" s="149"/>
      <c r="B100" s="150"/>
      <c r="C100" s="151"/>
      <c r="D100" s="137"/>
      <c r="E100" s="136"/>
      <c r="F100" s="136"/>
      <c r="G100" s="136"/>
      <c r="H100" s="136"/>
      <c r="I100" s="136"/>
      <c r="J100" s="136"/>
      <c r="K100" s="136"/>
      <c r="L100" s="136"/>
      <c r="M100" s="136"/>
      <c r="N100" s="136"/>
      <c r="O100" s="136"/>
      <c r="P100" s="136"/>
      <c r="Q100" s="136"/>
      <c r="R100" s="136"/>
      <c r="S100" s="136"/>
      <c r="T100" s="136"/>
      <c r="U100" s="136"/>
      <c r="V100" s="136"/>
      <c r="W100" s="136"/>
      <c r="X100" s="136"/>
      <c r="Y100" s="136"/>
    </row>
    <row r="101" spans="1:25" ht="12.95">
      <c r="A101" s="149"/>
      <c r="B101" s="150"/>
      <c r="C101" s="151"/>
      <c r="D101" s="137"/>
      <c r="E101" s="136"/>
      <c r="F101" s="136"/>
      <c r="G101" s="136"/>
      <c r="H101" s="136"/>
      <c r="I101" s="136"/>
      <c r="J101" s="136"/>
      <c r="K101" s="136"/>
      <c r="L101" s="136"/>
      <c r="M101" s="136"/>
      <c r="N101" s="136"/>
      <c r="O101" s="136"/>
      <c r="P101" s="136"/>
      <c r="Q101" s="136"/>
      <c r="R101" s="136"/>
      <c r="S101" s="136"/>
      <c r="T101" s="136"/>
      <c r="U101" s="136"/>
      <c r="V101" s="136"/>
      <c r="W101" s="136"/>
      <c r="X101" s="136"/>
      <c r="Y101" s="136"/>
    </row>
    <row r="102" spans="1:25" ht="12.95">
      <c r="A102" s="149"/>
      <c r="B102" s="150"/>
      <c r="C102" s="151"/>
      <c r="D102" s="137"/>
      <c r="E102" s="136"/>
      <c r="F102" s="136"/>
      <c r="G102" s="136"/>
      <c r="H102" s="136"/>
      <c r="I102" s="136"/>
      <c r="J102" s="136"/>
      <c r="K102" s="136"/>
      <c r="L102" s="136"/>
      <c r="M102" s="136"/>
      <c r="N102" s="136"/>
      <c r="O102" s="136"/>
      <c r="P102" s="136"/>
      <c r="Q102" s="136"/>
      <c r="R102" s="136"/>
      <c r="S102" s="136"/>
      <c r="T102" s="136"/>
      <c r="U102" s="136"/>
      <c r="V102" s="136"/>
      <c r="W102" s="136"/>
      <c r="X102" s="136"/>
      <c r="Y102" s="136"/>
    </row>
    <row r="103" spans="1:25" ht="12.95">
      <c r="A103" s="149"/>
      <c r="B103" s="150"/>
      <c r="C103" s="151"/>
      <c r="D103" s="137"/>
      <c r="E103" s="136"/>
      <c r="F103" s="136"/>
      <c r="G103" s="136"/>
      <c r="H103" s="136"/>
      <c r="I103" s="136"/>
      <c r="J103" s="136"/>
      <c r="K103" s="136"/>
      <c r="L103" s="136"/>
      <c r="M103" s="136"/>
      <c r="N103" s="136"/>
      <c r="O103" s="136"/>
      <c r="P103" s="136"/>
      <c r="Q103" s="136"/>
      <c r="R103" s="136"/>
      <c r="S103" s="136"/>
      <c r="T103" s="136"/>
      <c r="U103" s="136"/>
      <c r="V103" s="136"/>
      <c r="W103" s="136"/>
      <c r="X103" s="136"/>
      <c r="Y103" s="136"/>
    </row>
    <row r="104" spans="1:25" ht="12.95">
      <c r="A104" s="149"/>
      <c r="B104" s="150"/>
      <c r="C104" s="151"/>
      <c r="D104" s="137"/>
      <c r="E104" s="136"/>
      <c r="F104" s="136"/>
      <c r="G104" s="136"/>
      <c r="H104" s="136"/>
      <c r="I104" s="136"/>
      <c r="J104" s="136"/>
      <c r="K104" s="136"/>
      <c r="L104" s="136"/>
      <c r="M104" s="136"/>
      <c r="N104" s="136"/>
      <c r="O104" s="136"/>
      <c r="P104" s="136"/>
      <c r="Q104" s="136"/>
      <c r="R104" s="136"/>
      <c r="S104" s="136"/>
      <c r="T104" s="136"/>
      <c r="U104" s="136"/>
      <c r="V104" s="136"/>
      <c r="W104" s="136"/>
      <c r="X104" s="136"/>
      <c r="Y104" s="136"/>
    </row>
    <row r="105" spans="1:25" ht="12.95">
      <c r="A105" s="149"/>
      <c r="B105" s="150"/>
      <c r="C105" s="151"/>
      <c r="D105" s="137"/>
      <c r="E105" s="136"/>
      <c r="F105" s="136"/>
      <c r="G105" s="136"/>
      <c r="H105" s="136"/>
      <c r="I105" s="136"/>
      <c r="J105" s="136"/>
      <c r="K105" s="136"/>
      <c r="L105" s="136"/>
      <c r="M105" s="136"/>
      <c r="N105" s="136"/>
      <c r="O105" s="136"/>
      <c r="P105" s="136"/>
      <c r="Q105" s="136"/>
      <c r="R105" s="136"/>
      <c r="S105" s="136"/>
      <c r="T105" s="136"/>
      <c r="U105" s="136"/>
      <c r="V105" s="136"/>
      <c r="W105" s="136"/>
      <c r="X105" s="136"/>
      <c r="Y105" s="136"/>
    </row>
    <row r="106" spans="1:25" ht="12.95">
      <c r="A106" s="149"/>
      <c r="B106" s="150"/>
      <c r="C106" s="151"/>
      <c r="D106" s="137"/>
      <c r="E106" s="136"/>
      <c r="F106" s="136"/>
      <c r="G106" s="136"/>
      <c r="H106" s="136"/>
      <c r="I106" s="136"/>
      <c r="J106" s="136"/>
      <c r="K106" s="136"/>
      <c r="L106" s="136"/>
      <c r="M106" s="136"/>
      <c r="N106" s="136"/>
      <c r="O106" s="136"/>
      <c r="P106" s="136"/>
      <c r="Q106" s="136"/>
      <c r="R106" s="136"/>
      <c r="S106" s="136"/>
      <c r="T106" s="136"/>
      <c r="U106" s="136"/>
      <c r="V106" s="136"/>
      <c r="W106" s="136"/>
      <c r="X106" s="136"/>
      <c r="Y106" s="136"/>
    </row>
    <row r="107" spans="1:25" ht="12.95">
      <c r="A107" s="149"/>
      <c r="B107" s="150"/>
      <c r="C107" s="151"/>
      <c r="D107" s="137"/>
      <c r="E107" s="136"/>
      <c r="F107" s="136"/>
      <c r="G107" s="136"/>
      <c r="H107" s="136"/>
      <c r="I107" s="136"/>
      <c r="J107" s="136"/>
      <c r="K107" s="136"/>
      <c r="L107" s="136"/>
      <c r="M107" s="136"/>
      <c r="N107" s="136"/>
      <c r="O107" s="136"/>
      <c r="P107" s="136"/>
      <c r="Q107" s="136"/>
      <c r="R107" s="136"/>
      <c r="S107" s="136"/>
      <c r="T107" s="136"/>
      <c r="U107" s="136"/>
      <c r="V107" s="136"/>
      <c r="W107" s="136"/>
      <c r="X107" s="136"/>
      <c r="Y107" s="136"/>
    </row>
    <row r="108" spans="1:25" ht="12.95">
      <c r="A108" s="149"/>
      <c r="B108" s="150"/>
      <c r="C108" s="151"/>
      <c r="D108" s="137"/>
      <c r="E108" s="136"/>
      <c r="F108" s="136"/>
      <c r="G108" s="136"/>
      <c r="H108" s="136"/>
      <c r="I108" s="136"/>
      <c r="J108" s="136"/>
      <c r="K108" s="136"/>
      <c r="L108" s="136"/>
      <c r="M108" s="136"/>
      <c r="N108" s="136"/>
      <c r="O108" s="136"/>
      <c r="P108" s="136"/>
      <c r="Q108" s="136"/>
      <c r="R108" s="136"/>
      <c r="S108" s="136"/>
      <c r="T108" s="136"/>
      <c r="U108" s="136"/>
      <c r="V108" s="136"/>
      <c r="W108" s="136"/>
      <c r="X108" s="136"/>
      <c r="Y108" s="136"/>
    </row>
    <row r="109" spans="1:25" ht="12.95">
      <c r="A109" s="149"/>
      <c r="B109" s="150"/>
      <c r="C109" s="151"/>
      <c r="D109" s="137"/>
      <c r="E109" s="136"/>
      <c r="F109" s="136"/>
      <c r="G109" s="136"/>
      <c r="H109" s="136"/>
      <c r="I109" s="136"/>
      <c r="J109" s="136"/>
      <c r="K109" s="136"/>
      <c r="L109" s="136"/>
      <c r="M109" s="136"/>
      <c r="N109" s="136"/>
      <c r="O109" s="136"/>
      <c r="P109" s="136"/>
      <c r="Q109" s="136"/>
      <c r="R109" s="136"/>
      <c r="S109" s="136"/>
      <c r="T109" s="136"/>
      <c r="U109" s="136"/>
      <c r="V109" s="136"/>
      <c r="W109" s="136"/>
      <c r="X109" s="136"/>
      <c r="Y109" s="136"/>
    </row>
    <row r="110" spans="1:25" ht="12.95">
      <c r="A110" s="149"/>
      <c r="B110" s="150"/>
      <c r="C110" s="151"/>
      <c r="D110" s="137"/>
      <c r="E110" s="136"/>
      <c r="F110" s="136"/>
      <c r="G110" s="136"/>
      <c r="H110" s="136"/>
      <c r="I110" s="136"/>
      <c r="J110" s="136"/>
      <c r="K110" s="136"/>
      <c r="L110" s="136"/>
      <c r="M110" s="136"/>
      <c r="N110" s="136"/>
      <c r="O110" s="136"/>
      <c r="P110" s="136"/>
      <c r="Q110" s="136"/>
      <c r="R110" s="136"/>
      <c r="S110" s="136"/>
      <c r="T110" s="136"/>
      <c r="U110" s="136"/>
      <c r="V110" s="136"/>
      <c r="W110" s="136"/>
      <c r="X110" s="136"/>
      <c r="Y110" s="136"/>
    </row>
    <row r="111" spans="1:25" ht="12.95">
      <c r="A111" s="149"/>
      <c r="B111" s="150"/>
      <c r="C111" s="151"/>
      <c r="D111" s="137"/>
      <c r="E111" s="136"/>
      <c r="F111" s="136"/>
      <c r="G111" s="136"/>
      <c r="H111" s="136"/>
      <c r="I111" s="136"/>
      <c r="J111" s="136"/>
      <c r="K111" s="136"/>
      <c r="L111" s="136"/>
      <c r="M111" s="136"/>
      <c r="N111" s="136"/>
      <c r="O111" s="136"/>
      <c r="P111" s="136"/>
      <c r="Q111" s="136"/>
      <c r="R111" s="136"/>
      <c r="S111" s="136"/>
      <c r="T111" s="136"/>
      <c r="U111" s="136"/>
      <c r="V111" s="136"/>
      <c r="W111" s="136"/>
      <c r="X111" s="136"/>
      <c r="Y111" s="136"/>
    </row>
    <row r="112" spans="1:25" ht="12.95">
      <c r="A112" s="149"/>
      <c r="B112" s="150"/>
      <c r="C112" s="151"/>
      <c r="D112" s="137"/>
      <c r="E112" s="136"/>
      <c r="F112" s="136"/>
      <c r="G112" s="136"/>
      <c r="H112" s="136"/>
      <c r="I112" s="136"/>
      <c r="J112" s="136"/>
      <c r="K112" s="136"/>
      <c r="L112" s="136"/>
      <c r="M112" s="136"/>
      <c r="N112" s="136"/>
      <c r="O112" s="136"/>
      <c r="P112" s="136"/>
      <c r="Q112" s="136"/>
      <c r="R112" s="136"/>
      <c r="S112" s="136"/>
      <c r="T112" s="136"/>
      <c r="U112" s="136"/>
      <c r="V112" s="136"/>
      <c r="W112" s="136"/>
      <c r="X112" s="136"/>
      <c r="Y112" s="136"/>
    </row>
    <row r="113" spans="1:25" ht="12.95">
      <c r="A113" s="149"/>
      <c r="B113" s="150"/>
      <c r="C113" s="151"/>
      <c r="D113" s="137"/>
      <c r="E113" s="136"/>
      <c r="F113" s="136"/>
      <c r="G113" s="136"/>
      <c r="H113" s="136"/>
      <c r="I113" s="136"/>
      <c r="J113" s="136"/>
      <c r="K113" s="136"/>
      <c r="L113" s="136"/>
      <c r="M113" s="136"/>
      <c r="N113" s="136"/>
      <c r="O113" s="136"/>
      <c r="P113" s="136"/>
      <c r="Q113" s="136"/>
      <c r="R113" s="136"/>
      <c r="S113" s="136"/>
      <c r="T113" s="136"/>
      <c r="U113" s="136"/>
      <c r="V113" s="136"/>
      <c r="W113" s="136"/>
      <c r="X113" s="136"/>
      <c r="Y113" s="136"/>
    </row>
    <row r="114" spans="1:25" ht="12.95">
      <c r="A114" s="149"/>
      <c r="B114" s="150"/>
      <c r="C114" s="151"/>
      <c r="D114" s="137"/>
      <c r="E114" s="136"/>
      <c r="F114" s="136"/>
      <c r="G114" s="136"/>
      <c r="H114" s="136"/>
      <c r="I114" s="136"/>
      <c r="J114" s="136"/>
      <c r="K114" s="136"/>
      <c r="L114" s="136"/>
      <c r="M114" s="136"/>
      <c r="N114" s="136"/>
      <c r="O114" s="136"/>
      <c r="P114" s="136"/>
      <c r="Q114" s="136"/>
      <c r="R114" s="136"/>
      <c r="S114" s="136"/>
      <c r="T114" s="136"/>
      <c r="U114" s="136"/>
      <c r="V114" s="136"/>
      <c r="W114" s="136"/>
      <c r="X114" s="136"/>
      <c r="Y114" s="136"/>
    </row>
    <row r="115" spans="1:25" ht="12.95">
      <c r="A115" s="149"/>
      <c r="B115" s="150"/>
      <c r="C115" s="151"/>
      <c r="D115" s="137"/>
      <c r="E115" s="136"/>
      <c r="F115" s="136"/>
      <c r="G115" s="136"/>
      <c r="H115" s="136"/>
      <c r="I115" s="136"/>
      <c r="J115" s="136"/>
      <c r="K115" s="136"/>
      <c r="L115" s="136"/>
      <c r="M115" s="136"/>
      <c r="N115" s="136"/>
      <c r="O115" s="136"/>
      <c r="P115" s="136"/>
      <c r="Q115" s="136"/>
      <c r="R115" s="136"/>
      <c r="S115" s="136"/>
      <c r="T115" s="136"/>
      <c r="U115" s="136"/>
      <c r="V115" s="136"/>
      <c r="W115" s="136"/>
      <c r="X115" s="136"/>
      <c r="Y115" s="136"/>
    </row>
    <row r="116" spans="1:25" ht="12.95">
      <c r="A116" s="149"/>
      <c r="B116" s="150"/>
      <c r="C116" s="151"/>
      <c r="D116" s="137"/>
      <c r="E116" s="136"/>
      <c r="F116" s="136"/>
      <c r="G116" s="136"/>
      <c r="H116" s="136"/>
      <c r="I116" s="136"/>
      <c r="J116" s="136"/>
      <c r="K116" s="136"/>
      <c r="L116" s="136"/>
      <c r="M116" s="136"/>
      <c r="N116" s="136"/>
      <c r="O116" s="136"/>
      <c r="P116" s="136"/>
      <c r="Q116" s="136"/>
      <c r="R116" s="136"/>
      <c r="S116" s="136"/>
      <c r="T116" s="136"/>
      <c r="U116" s="136"/>
      <c r="V116" s="136"/>
      <c r="W116" s="136"/>
      <c r="X116" s="136"/>
      <c r="Y116" s="136"/>
    </row>
    <row r="117" spans="1:25" ht="12.95">
      <c r="A117" s="149"/>
      <c r="B117" s="150"/>
      <c r="C117" s="151"/>
      <c r="D117" s="137"/>
      <c r="E117" s="136"/>
      <c r="F117" s="136"/>
      <c r="G117" s="136"/>
      <c r="H117" s="136"/>
      <c r="I117" s="136"/>
      <c r="J117" s="136"/>
      <c r="K117" s="136"/>
      <c r="L117" s="136"/>
      <c r="M117" s="136"/>
      <c r="N117" s="136"/>
      <c r="O117" s="136"/>
      <c r="P117" s="136"/>
      <c r="Q117" s="136"/>
      <c r="R117" s="136"/>
      <c r="S117" s="136"/>
      <c r="T117" s="136"/>
      <c r="U117" s="136"/>
      <c r="V117" s="136"/>
      <c r="W117" s="136"/>
      <c r="X117" s="136"/>
      <c r="Y117" s="136"/>
    </row>
    <row r="118" spans="1:25" ht="12.95">
      <c r="A118" s="149"/>
      <c r="B118" s="150"/>
      <c r="C118" s="151"/>
      <c r="D118" s="137"/>
      <c r="E118" s="136"/>
      <c r="F118" s="136"/>
      <c r="G118" s="136"/>
      <c r="H118" s="136"/>
      <c r="I118" s="136"/>
      <c r="J118" s="136"/>
      <c r="K118" s="136"/>
      <c r="L118" s="136"/>
      <c r="M118" s="136"/>
      <c r="N118" s="136"/>
      <c r="O118" s="136"/>
      <c r="P118" s="136"/>
      <c r="Q118" s="136"/>
      <c r="R118" s="136"/>
      <c r="S118" s="136"/>
      <c r="T118" s="136"/>
      <c r="U118" s="136"/>
      <c r="V118" s="136"/>
      <c r="W118" s="136"/>
      <c r="X118" s="136"/>
      <c r="Y118" s="136"/>
    </row>
    <row r="119" spans="1:25" ht="12.95">
      <c r="A119" s="149"/>
      <c r="B119" s="150"/>
      <c r="C119" s="151"/>
      <c r="D119" s="137"/>
      <c r="E119" s="136"/>
      <c r="F119" s="136"/>
      <c r="G119" s="136"/>
      <c r="H119" s="136"/>
      <c r="I119" s="136"/>
      <c r="J119" s="136"/>
      <c r="K119" s="136"/>
      <c r="L119" s="136"/>
      <c r="M119" s="136"/>
      <c r="N119" s="136"/>
      <c r="O119" s="136"/>
      <c r="P119" s="136"/>
      <c r="Q119" s="136"/>
      <c r="R119" s="136"/>
      <c r="S119" s="136"/>
      <c r="T119" s="136"/>
      <c r="U119" s="136"/>
      <c r="V119" s="136"/>
      <c r="W119" s="136"/>
      <c r="X119" s="136"/>
      <c r="Y119" s="136"/>
    </row>
    <row r="120" spans="1:25" ht="12.95">
      <c r="A120" s="149"/>
      <c r="B120" s="150"/>
      <c r="C120" s="151"/>
      <c r="D120" s="137"/>
      <c r="E120" s="136"/>
      <c r="F120" s="136"/>
      <c r="G120" s="136"/>
      <c r="H120" s="136"/>
      <c r="I120" s="136"/>
      <c r="J120" s="136"/>
      <c r="K120" s="136"/>
      <c r="L120" s="136"/>
      <c r="M120" s="136"/>
      <c r="N120" s="136"/>
      <c r="O120" s="136"/>
      <c r="P120" s="136"/>
      <c r="Q120" s="136"/>
      <c r="R120" s="136"/>
      <c r="S120" s="136"/>
      <c r="T120" s="136"/>
      <c r="U120" s="136"/>
      <c r="V120" s="136"/>
      <c r="W120" s="136"/>
      <c r="X120" s="136"/>
      <c r="Y120" s="136"/>
    </row>
    <row r="121" spans="1:25" ht="12.95">
      <c r="A121" s="149"/>
      <c r="B121" s="150"/>
      <c r="C121" s="151"/>
      <c r="D121" s="137"/>
      <c r="E121" s="136"/>
      <c r="F121" s="136"/>
      <c r="G121" s="136"/>
      <c r="H121" s="136"/>
      <c r="I121" s="136"/>
      <c r="J121" s="136"/>
      <c r="K121" s="136"/>
      <c r="L121" s="136"/>
      <c r="M121" s="136"/>
      <c r="N121" s="136"/>
      <c r="O121" s="136"/>
      <c r="P121" s="136"/>
      <c r="Q121" s="136"/>
      <c r="R121" s="136"/>
      <c r="S121" s="136"/>
      <c r="T121" s="136"/>
      <c r="U121" s="136"/>
      <c r="V121" s="136"/>
      <c r="W121" s="136"/>
      <c r="X121" s="136"/>
      <c r="Y121" s="136"/>
    </row>
    <row r="122" spans="1:25" ht="12.95">
      <c r="A122" s="149"/>
      <c r="B122" s="150"/>
      <c r="C122" s="151"/>
      <c r="D122" s="137"/>
      <c r="E122" s="136"/>
      <c r="F122" s="136"/>
      <c r="G122" s="136"/>
      <c r="H122" s="136"/>
      <c r="I122" s="136"/>
      <c r="J122" s="136"/>
      <c r="K122" s="136"/>
      <c r="L122" s="136"/>
      <c r="M122" s="136"/>
      <c r="N122" s="136"/>
      <c r="O122" s="136"/>
      <c r="P122" s="136"/>
      <c r="Q122" s="136"/>
      <c r="R122" s="136"/>
      <c r="S122" s="136"/>
      <c r="T122" s="136"/>
      <c r="U122" s="136"/>
      <c r="V122" s="136"/>
      <c r="W122" s="136"/>
      <c r="X122" s="136"/>
      <c r="Y122" s="136"/>
    </row>
    <row r="123" spans="1:25" ht="12.95">
      <c r="A123" s="149"/>
      <c r="B123" s="150"/>
      <c r="C123" s="151"/>
      <c r="D123" s="137"/>
      <c r="E123" s="136"/>
      <c r="F123" s="136"/>
      <c r="G123" s="136"/>
      <c r="H123" s="136"/>
      <c r="I123" s="136"/>
      <c r="J123" s="136"/>
      <c r="K123" s="136"/>
      <c r="L123" s="136"/>
      <c r="M123" s="136"/>
      <c r="N123" s="136"/>
      <c r="O123" s="136"/>
      <c r="P123" s="136"/>
      <c r="Q123" s="136"/>
      <c r="R123" s="136"/>
      <c r="S123" s="136"/>
      <c r="T123" s="136"/>
      <c r="U123" s="136"/>
      <c r="V123" s="136"/>
      <c r="W123" s="136"/>
      <c r="X123" s="136"/>
      <c r="Y123" s="136"/>
    </row>
    <row r="124" spans="1:25" ht="12.95">
      <c r="A124" s="149"/>
      <c r="B124" s="150"/>
      <c r="C124" s="151"/>
      <c r="D124" s="137"/>
      <c r="E124" s="136"/>
      <c r="F124" s="136"/>
      <c r="G124" s="136"/>
      <c r="H124" s="136"/>
      <c r="I124" s="136"/>
      <c r="J124" s="136"/>
      <c r="K124" s="136"/>
      <c r="L124" s="136"/>
      <c r="M124" s="136"/>
      <c r="N124" s="136"/>
      <c r="O124" s="136"/>
      <c r="P124" s="136"/>
      <c r="Q124" s="136"/>
      <c r="R124" s="136"/>
      <c r="S124" s="136"/>
      <c r="T124" s="136"/>
      <c r="U124" s="136"/>
      <c r="V124" s="136"/>
      <c r="W124" s="136"/>
      <c r="X124" s="136"/>
      <c r="Y124" s="136"/>
    </row>
    <row r="125" spans="1:25" ht="12.95">
      <c r="A125" s="149"/>
      <c r="B125" s="150"/>
      <c r="C125" s="151"/>
      <c r="D125" s="137"/>
      <c r="E125" s="136"/>
      <c r="F125" s="136"/>
      <c r="G125" s="136"/>
      <c r="H125" s="136"/>
      <c r="I125" s="136"/>
      <c r="J125" s="136"/>
      <c r="K125" s="136"/>
      <c r="L125" s="136"/>
      <c r="M125" s="136"/>
      <c r="N125" s="136"/>
      <c r="O125" s="136"/>
      <c r="P125" s="136"/>
      <c r="Q125" s="136"/>
      <c r="R125" s="136"/>
      <c r="S125" s="136"/>
      <c r="T125" s="136"/>
      <c r="U125" s="136"/>
      <c r="V125" s="136"/>
      <c r="W125" s="136"/>
      <c r="X125" s="136"/>
      <c r="Y125" s="136"/>
    </row>
    <row r="126" spans="1:25" ht="12.95">
      <c r="A126" s="149"/>
      <c r="B126" s="150"/>
      <c r="C126" s="151"/>
      <c r="D126" s="137"/>
      <c r="E126" s="136"/>
      <c r="F126" s="136"/>
      <c r="G126" s="136"/>
      <c r="H126" s="136"/>
      <c r="I126" s="136"/>
      <c r="J126" s="136"/>
      <c r="K126" s="136"/>
      <c r="L126" s="136"/>
      <c r="M126" s="136"/>
      <c r="N126" s="136"/>
      <c r="O126" s="136"/>
      <c r="P126" s="136"/>
      <c r="Q126" s="136"/>
      <c r="R126" s="136"/>
      <c r="S126" s="136"/>
      <c r="T126" s="136"/>
      <c r="U126" s="136"/>
      <c r="V126" s="136"/>
      <c r="W126" s="136"/>
      <c r="X126" s="136"/>
      <c r="Y126" s="136"/>
    </row>
    <row r="127" spans="1:25" ht="12.95">
      <c r="A127" s="149"/>
      <c r="B127" s="150"/>
      <c r="C127" s="151"/>
      <c r="D127" s="137"/>
      <c r="E127" s="136"/>
      <c r="F127" s="136"/>
      <c r="G127" s="136"/>
      <c r="H127" s="136"/>
      <c r="I127" s="136"/>
      <c r="J127" s="136"/>
      <c r="K127" s="136"/>
      <c r="L127" s="136"/>
      <c r="M127" s="136"/>
      <c r="N127" s="136"/>
      <c r="O127" s="136"/>
      <c r="P127" s="136"/>
      <c r="Q127" s="136"/>
      <c r="R127" s="136"/>
      <c r="S127" s="136"/>
      <c r="T127" s="136"/>
      <c r="U127" s="136"/>
      <c r="V127" s="136"/>
      <c r="W127" s="136"/>
      <c r="X127" s="136"/>
      <c r="Y127" s="136"/>
    </row>
    <row r="128" spans="1:25" ht="12.95">
      <c r="A128" s="149"/>
      <c r="B128" s="150"/>
      <c r="C128" s="151"/>
      <c r="D128" s="137"/>
      <c r="E128" s="136"/>
      <c r="F128" s="136"/>
      <c r="G128" s="136"/>
      <c r="H128" s="136"/>
      <c r="I128" s="136"/>
      <c r="J128" s="136"/>
      <c r="K128" s="136"/>
      <c r="L128" s="136"/>
      <c r="M128" s="136"/>
      <c r="N128" s="136"/>
      <c r="O128" s="136"/>
      <c r="P128" s="136"/>
      <c r="Q128" s="136"/>
      <c r="R128" s="136"/>
      <c r="S128" s="136"/>
      <c r="T128" s="136"/>
      <c r="U128" s="136"/>
      <c r="V128" s="136"/>
      <c r="W128" s="136"/>
      <c r="X128" s="136"/>
      <c r="Y128" s="136"/>
    </row>
    <row r="129" spans="1:25" ht="12.95">
      <c r="A129" s="149"/>
      <c r="B129" s="135"/>
      <c r="C129" s="136"/>
      <c r="D129" s="137"/>
      <c r="E129" s="136"/>
      <c r="F129" s="136"/>
      <c r="G129" s="136"/>
      <c r="H129" s="136"/>
      <c r="I129" s="136"/>
      <c r="J129" s="136"/>
      <c r="K129" s="136"/>
      <c r="L129" s="136"/>
      <c r="M129" s="136"/>
      <c r="N129" s="136"/>
      <c r="O129" s="136"/>
      <c r="P129" s="136"/>
      <c r="Q129" s="136"/>
      <c r="R129" s="136"/>
      <c r="S129" s="136"/>
      <c r="T129" s="136"/>
      <c r="U129" s="136"/>
      <c r="V129" s="136"/>
      <c r="W129" s="136"/>
      <c r="X129" s="136"/>
      <c r="Y129" s="136"/>
    </row>
    <row r="130" spans="1:25" ht="12.95">
      <c r="A130" s="149"/>
      <c r="B130" s="135"/>
      <c r="C130" s="136"/>
      <c r="D130" s="137"/>
      <c r="E130" s="136"/>
      <c r="F130" s="136"/>
      <c r="G130" s="136"/>
      <c r="H130" s="136"/>
      <c r="I130" s="136"/>
      <c r="J130" s="136"/>
      <c r="K130" s="136"/>
      <c r="L130" s="136"/>
      <c r="M130" s="136"/>
      <c r="N130" s="136"/>
      <c r="O130" s="136"/>
      <c r="P130" s="136"/>
      <c r="Q130" s="136"/>
      <c r="R130" s="136"/>
      <c r="S130" s="136"/>
      <c r="T130" s="136"/>
      <c r="U130" s="136"/>
      <c r="V130" s="136"/>
      <c r="W130" s="136"/>
      <c r="X130" s="136"/>
      <c r="Y130" s="136"/>
    </row>
    <row r="131" spans="1:25" ht="12.95">
      <c r="A131" s="149"/>
      <c r="B131" s="135"/>
      <c r="C131" s="136"/>
      <c r="D131" s="137"/>
      <c r="E131" s="136"/>
      <c r="F131" s="136"/>
      <c r="G131" s="136"/>
      <c r="H131" s="136"/>
      <c r="I131" s="136"/>
      <c r="J131" s="136"/>
      <c r="K131" s="136"/>
      <c r="L131" s="136"/>
      <c r="M131" s="136"/>
      <c r="N131" s="136"/>
      <c r="O131" s="136"/>
      <c r="P131" s="136"/>
      <c r="Q131" s="136"/>
      <c r="R131" s="136"/>
      <c r="S131" s="136"/>
      <c r="T131" s="136"/>
      <c r="U131" s="136"/>
      <c r="V131" s="136"/>
      <c r="W131" s="136"/>
      <c r="X131" s="136"/>
      <c r="Y131" s="136"/>
    </row>
    <row r="132" spans="1:25" ht="12.95">
      <c r="A132" s="149"/>
      <c r="B132" s="135"/>
      <c r="C132" s="136"/>
      <c r="D132" s="137"/>
      <c r="E132" s="136"/>
      <c r="F132" s="136"/>
      <c r="G132" s="136"/>
      <c r="H132" s="136"/>
      <c r="I132" s="136"/>
      <c r="J132" s="136"/>
      <c r="K132" s="136"/>
      <c r="L132" s="136"/>
      <c r="M132" s="136"/>
      <c r="N132" s="136"/>
      <c r="O132" s="136"/>
      <c r="P132" s="136"/>
      <c r="Q132" s="136"/>
      <c r="R132" s="136"/>
      <c r="S132" s="136"/>
      <c r="T132" s="136"/>
      <c r="U132" s="136"/>
      <c r="V132" s="136"/>
      <c r="W132" s="136"/>
      <c r="X132" s="136"/>
      <c r="Y132" s="136"/>
    </row>
    <row r="133" spans="1:25" ht="12.95">
      <c r="A133" s="149"/>
      <c r="B133" s="135"/>
      <c r="C133" s="136"/>
      <c r="D133" s="137"/>
      <c r="E133" s="136"/>
      <c r="F133" s="136"/>
      <c r="G133" s="136"/>
      <c r="H133" s="136"/>
      <c r="I133" s="136"/>
      <c r="J133" s="136"/>
      <c r="K133" s="136"/>
      <c r="L133" s="136"/>
      <c r="M133" s="136"/>
      <c r="N133" s="136"/>
      <c r="O133" s="136"/>
      <c r="P133" s="136"/>
      <c r="Q133" s="136"/>
      <c r="R133" s="136"/>
      <c r="S133" s="136"/>
      <c r="T133" s="136"/>
      <c r="U133" s="136"/>
      <c r="V133" s="136"/>
      <c r="W133" s="136"/>
      <c r="X133" s="136"/>
      <c r="Y133" s="136"/>
    </row>
    <row r="134" spans="1:25" ht="12.95">
      <c r="A134" s="149"/>
      <c r="B134" s="135"/>
      <c r="C134" s="136"/>
      <c r="D134" s="137"/>
      <c r="E134" s="136"/>
      <c r="F134" s="136"/>
      <c r="G134" s="136"/>
      <c r="H134" s="136"/>
      <c r="I134" s="136"/>
      <c r="J134" s="136"/>
      <c r="K134" s="136"/>
      <c r="L134" s="136"/>
      <c r="M134" s="136"/>
      <c r="N134" s="136"/>
      <c r="O134" s="136"/>
      <c r="P134" s="136"/>
      <c r="Q134" s="136"/>
      <c r="R134" s="136"/>
      <c r="S134" s="136"/>
      <c r="T134" s="136"/>
      <c r="U134" s="136"/>
      <c r="V134" s="136"/>
      <c r="W134" s="136"/>
      <c r="X134" s="136"/>
      <c r="Y134" s="136"/>
    </row>
    <row r="135" spans="1:25" ht="12.95">
      <c r="A135" s="149"/>
      <c r="B135" s="135"/>
      <c r="C135" s="136"/>
      <c r="D135" s="137"/>
      <c r="E135" s="136"/>
      <c r="F135" s="136"/>
      <c r="G135" s="136"/>
      <c r="H135" s="136"/>
      <c r="I135" s="136"/>
      <c r="J135" s="136"/>
      <c r="K135" s="136"/>
      <c r="L135" s="136"/>
      <c r="M135" s="136"/>
      <c r="N135" s="136"/>
      <c r="O135" s="136"/>
      <c r="P135" s="136"/>
      <c r="Q135" s="136"/>
      <c r="R135" s="136"/>
      <c r="S135" s="136"/>
      <c r="T135" s="136"/>
      <c r="U135" s="136"/>
      <c r="V135" s="136"/>
      <c r="W135" s="136"/>
      <c r="X135" s="136"/>
      <c r="Y135" s="136"/>
    </row>
    <row r="136" spans="1:25" ht="12.95">
      <c r="A136" s="149"/>
      <c r="B136" s="135"/>
      <c r="C136" s="136"/>
      <c r="D136" s="137"/>
      <c r="E136" s="136"/>
      <c r="F136" s="136"/>
      <c r="G136" s="136"/>
      <c r="H136" s="136"/>
      <c r="I136" s="136"/>
      <c r="J136" s="136"/>
      <c r="K136" s="136"/>
      <c r="L136" s="136"/>
      <c r="M136" s="136"/>
      <c r="N136" s="136"/>
      <c r="O136" s="136"/>
      <c r="P136" s="136"/>
      <c r="Q136" s="136"/>
      <c r="R136" s="136"/>
      <c r="S136" s="136"/>
      <c r="T136" s="136"/>
      <c r="U136" s="136"/>
      <c r="V136" s="136"/>
      <c r="W136" s="136"/>
      <c r="X136" s="136"/>
      <c r="Y136" s="136"/>
    </row>
    <row r="137" spans="1:25" ht="12.95">
      <c r="A137" s="149"/>
      <c r="B137" s="135"/>
      <c r="C137" s="136"/>
      <c r="D137" s="137"/>
      <c r="E137" s="136"/>
      <c r="F137" s="136"/>
      <c r="G137" s="136"/>
      <c r="H137" s="136"/>
      <c r="I137" s="136"/>
      <c r="J137" s="136"/>
      <c r="K137" s="136"/>
      <c r="L137" s="136"/>
      <c r="M137" s="136"/>
      <c r="N137" s="136"/>
      <c r="O137" s="136"/>
      <c r="P137" s="136"/>
      <c r="Q137" s="136"/>
      <c r="R137" s="136"/>
      <c r="S137" s="136"/>
      <c r="T137" s="136"/>
      <c r="U137" s="136"/>
      <c r="V137" s="136"/>
      <c r="W137" s="136"/>
      <c r="X137" s="136"/>
      <c r="Y137" s="136"/>
    </row>
    <row r="138" spans="1:25" ht="12.95">
      <c r="A138" s="149"/>
      <c r="B138" s="135"/>
      <c r="C138" s="136"/>
      <c r="D138" s="137"/>
      <c r="E138" s="136"/>
      <c r="F138" s="136"/>
      <c r="G138" s="136"/>
      <c r="H138" s="136"/>
      <c r="I138" s="136"/>
      <c r="J138" s="136"/>
      <c r="K138" s="136"/>
      <c r="L138" s="136"/>
      <c r="M138" s="136"/>
      <c r="N138" s="136"/>
      <c r="O138" s="136"/>
      <c r="P138" s="136"/>
      <c r="Q138" s="136"/>
      <c r="R138" s="136"/>
      <c r="S138" s="136"/>
      <c r="T138" s="136"/>
      <c r="U138" s="136"/>
      <c r="V138" s="136"/>
      <c r="W138" s="136"/>
      <c r="X138" s="136"/>
      <c r="Y138" s="136"/>
    </row>
    <row r="139" spans="1:25" ht="12.95">
      <c r="A139" s="149"/>
      <c r="B139" s="135"/>
      <c r="C139" s="136"/>
      <c r="D139" s="137"/>
      <c r="E139" s="136"/>
      <c r="F139" s="136"/>
      <c r="G139" s="136"/>
      <c r="H139" s="136"/>
      <c r="I139" s="136"/>
      <c r="J139" s="136"/>
      <c r="K139" s="136"/>
      <c r="L139" s="136"/>
      <c r="M139" s="136"/>
      <c r="N139" s="136"/>
      <c r="O139" s="136"/>
      <c r="P139" s="136"/>
      <c r="Q139" s="136"/>
      <c r="R139" s="136"/>
      <c r="S139" s="136"/>
      <c r="T139" s="136"/>
      <c r="U139" s="136"/>
      <c r="V139" s="136"/>
      <c r="W139" s="136"/>
      <c r="X139" s="136"/>
      <c r="Y139" s="136"/>
    </row>
    <row r="140" spans="1:25" ht="12.95">
      <c r="A140" s="149"/>
      <c r="B140" s="135"/>
      <c r="C140" s="136"/>
      <c r="D140" s="137"/>
      <c r="E140" s="136"/>
      <c r="F140" s="136"/>
      <c r="G140" s="136"/>
      <c r="H140" s="136"/>
      <c r="I140" s="136"/>
      <c r="J140" s="136"/>
      <c r="K140" s="136"/>
      <c r="L140" s="136"/>
      <c r="M140" s="136"/>
      <c r="N140" s="136"/>
      <c r="O140" s="136"/>
      <c r="P140" s="136"/>
      <c r="Q140" s="136"/>
      <c r="R140" s="136"/>
      <c r="S140" s="136"/>
      <c r="T140" s="136"/>
      <c r="U140" s="136"/>
      <c r="V140" s="136"/>
      <c r="W140" s="136"/>
      <c r="X140" s="136"/>
      <c r="Y140" s="136"/>
    </row>
    <row r="141" spans="1:25" ht="12.95">
      <c r="A141" s="149"/>
      <c r="B141" s="135"/>
      <c r="C141" s="136"/>
      <c r="D141" s="137"/>
      <c r="E141" s="136"/>
      <c r="F141" s="136"/>
      <c r="G141" s="136"/>
      <c r="H141" s="136"/>
      <c r="I141" s="136"/>
      <c r="J141" s="136"/>
      <c r="K141" s="136"/>
      <c r="L141" s="136"/>
      <c r="M141" s="136"/>
      <c r="N141" s="136"/>
      <c r="O141" s="136"/>
      <c r="P141" s="136"/>
      <c r="Q141" s="136"/>
      <c r="R141" s="136"/>
      <c r="S141" s="136"/>
      <c r="T141" s="136"/>
      <c r="U141" s="136"/>
      <c r="V141" s="136"/>
      <c r="W141" s="136"/>
      <c r="X141" s="136"/>
      <c r="Y141" s="136"/>
    </row>
    <row r="142" spans="1:25" ht="12.95">
      <c r="A142" s="149"/>
      <c r="B142" s="135"/>
      <c r="C142" s="136"/>
      <c r="D142" s="137"/>
      <c r="E142" s="136"/>
      <c r="F142" s="136"/>
      <c r="G142" s="136"/>
      <c r="H142" s="136"/>
      <c r="I142" s="136"/>
      <c r="J142" s="136"/>
      <c r="K142" s="136"/>
      <c r="L142" s="136"/>
      <c r="M142" s="136"/>
      <c r="N142" s="136"/>
      <c r="O142" s="136"/>
      <c r="P142" s="136"/>
      <c r="Q142" s="136"/>
      <c r="R142" s="136"/>
      <c r="S142" s="136"/>
      <c r="T142" s="136"/>
      <c r="U142" s="136"/>
      <c r="V142" s="136"/>
      <c r="W142" s="136"/>
      <c r="X142" s="136"/>
      <c r="Y142" s="136"/>
    </row>
    <row r="143" spans="1:25" ht="12.95">
      <c r="A143" s="149"/>
      <c r="B143" s="135"/>
      <c r="C143" s="136"/>
      <c r="D143" s="137"/>
      <c r="E143" s="136"/>
      <c r="F143" s="136"/>
      <c r="G143" s="136"/>
      <c r="H143" s="136"/>
      <c r="I143" s="136"/>
      <c r="J143" s="136"/>
      <c r="K143" s="136"/>
      <c r="L143" s="136"/>
      <c r="M143" s="136"/>
      <c r="N143" s="136"/>
      <c r="O143" s="136"/>
      <c r="P143" s="136"/>
      <c r="Q143" s="136"/>
      <c r="R143" s="136"/>
      <c r="S143" s="136"/>
      <c r="T143" s="136"/>
      <c r="U143" s="136"/>
      <c r="V143" s="136"/>
      <c r="W143" s="136"/>
      <c r="X143" s="136"/>
      <c r="Y143" s="136"/>
    </row>
    <row r="144" spans="1:25" ht="12.95">
      <c r="A144" s="149"/>
      <c r="B144" s="135"/>
      <c r="C144" s="136"/>
      <c r="D144" s="137"/>
      <c r="E144" s="136"/>
      <c r="F144" s="136"/>
      <c r="G144" s="136"/>
      <c r="H144" s="136"/>
      <c r="I144" s="136"/>
      <c r="J144" s="136"/>
      <c r="K144" s="136"/>
      <c r="L144" s="136"/>
      <c r="M144" s="136"/>
      <c r="N144" s="136"/>
      <c r="O144" s="136"/>
      <c r="P144" s="136"/>
      <c r="Q144" s="136"/>
      <c r="R144" s="136"/>
      <c r="S144" s="136"/>
      <c r="T144" s="136"/>
      <c r="U144" s="136"/>
      <c r="V144" s="136"/>
      <c r="W144" s="136"/>
      <c r="X144" s="136"/>
      <c r="Y144" s="136"/>
    </row>
    <row r="145" spans="1:25" ht="12.95">
      <c r="A145" s="149"/>
      <c r="B145" s="135"/>
      <c r="C145" s="136"/>
      <c r="D145" s="137"/>
      <c r="E145" s="136"/>
      <c r="F145" s="136"/>
      <c r="G145" s="136"/>
      <c r="H145" s="136"/>
      <c r="I145" s="136"/>
      <c r="J145" s="136"/>
      <c r="K145" s="136"/>
      <c r="L145" s="136"/>
      <c r="M145" s="136"/>
      <c r="N145" s="136"/>
      <c r="O145" s="136"/>
      <c r="P145" s="136"/>
      <c r="Q145" s="136"/>
      <c r="R145" s="136"/>
      <c r="S145" s="136"/>
      <c r="T145" s="136"/>
      <c r="U145" s="136"/>
      <c r="V145" s="136"/>
      <c r="W145" s="136"/>
      <c r="X145" s="136"/>
      <c r="Y145" s="136"/>
    </row>
    <row r="146" spans="1:25" ht="12.95">
      <c r="A146" s="149"/>
      <c r="B146" s="135"/>
      <c r="C146" s="136"/>
      <c r="D146" s="137"/>
      <c r="E146" s="136"/>
      <c r="F146" s="136"/>
      <c r="G146" s="136"/>
      <c r="H146" s="136"/>
      <c r="I146" s="136"/>
      <c r="J146" s="136"/>
      <c r="K146" s="136"/>
      <c r="L146" s="136"/>
      <c r="M146" s="136"/>
      <c r="N146" s="136"/>
      <c r="O146" s="136"/>
      <c r="P146" s="136"/>
      <c r="Q146" s="136"/>
      <c r="R146" s="136"/>
      <c r="S146" s="136"/>
      <c r="T146" s="136"/>
      <c r="U146" s="136"/>
      <c r="V146" s="136"/>
      <c r="W146" s="136"/>
      <c r="X146" s="136"/>
      <c r="Y146" s="136"/>
    </row>
    <row r="147" spans="1:25" ht="12.95">
      <c r="A147" s="149"/>
      <c r="B147" s="135"/>
      <c r="C147" s="136"/>
      <c r="D147" s="137"/>
      <c r="E147" s="136"/>
      <c r="F147" s="136"/>
      <c r="G147" s="136"/>
      <c r="H147" s="136"/>
      <c r="I147" s="136"/>
      <c r="J147" s="136"/>
      <c r="K147" s="136"/>
      <c r="L147" s="136"/>
      <c r="M147" s="136"/>
      <c r="N147" s="136"/>
      <c r="O147" s="136"/>
      <c r="P147" s="136"/>
      <c r="Q147" s="136"/>
      <c r="R147" s="136"/>
      <c r="S147" s="136"/>
      <c r="T147" s="136"/>
      <c r="U147" s="136"/>
      <c r="V147" s="136"/>
      <c r="W147" s="136"/>
      <c r="X147" s="136"/>
      <c r="Y147" s="136"/>
    </row>
    <row r="148" spans="1:25" ht="12.95">
      <c r="A148" s="149"/>
      <c r="B148" s="135"/>
      <c r="C148" s="136"/>
      <c r="D148" s="137"/>
      <c r="E148" s="136"/>
      <c r="F148" s="136"/>
      <c r="G148" s="136"/>
      <c r="H148" s="136"/>
      <c r="I148" s="136"/>
      <c r="J148" s="136"/>
      <c r="K148" s="136"/>
      <c r="L148" s="136"/>
      <c r="M148" s="136"/>
      <c r="N148" s="136"/>
      <c r="O148" s="136"/>
      <c r="P148" s="136"/>
      <c r="Q148" s="136"/>
      <c r="R148" s="136"/>
      <c r="S148" s="136"/>
      <c r="T148" s="136"/>
      <c r="U148" s="136"/>
      <c r="V148" s="136"/>
      <c r="W148" s="136"/>
      <c r="X148" s="136"/>
      <c r="Y148" s="136"/>
    </row>
    <row r="149" spans="1:25" ht="12.95">
      <c r="A149" s="149"/>
      <c r="B149" s="135"/>
      <c r="C149" s="136"/>
      <c r="D149" s="137"/>
      <c r="E149" s="136"/>
      <c r="F149" s="136"/>
      <c r="G149" s="136"/>
      <c r="H149" s="136"/>
      <c r="I149" s="136"/>
      <c r="J149" s="136"/>
      <c r="K149" s="136"/>
      <c r="L149" s="136"/>
      <c r="M149" s="136"/>
      <c r="N149" s="136"/>
      <c r="O149" s="136"/>
      <c r="P149" s="136"/>
      <c r="Q149" s="136"/>
      <c r="R149" s="136"/>
      <c r="S149" s="136"/>
      <c r="T149" s="136"/>
      <c r="U149" s="136"/>
      <c r="V149" s="136"/>
      <c r="W149" s="136"/>
      <c r="X149" s="136"/>
      <c r="Y149" s="136"/>
    </row>
    <row r="150" spans="1:25" ht="12.95">
      <c r="A150" s="149"/>
      <c r="B150" s="135"/>
      <c r="C150" s="136"/>
      <c r="D150" s="137"/>
      <c r="E150" s="136"/>
      <c r="F150" s="136"/>
      <c r="G150" s="136"/>
      <c r="H150" s="136"/>
      <c r="I150" s="136"/>
      <c r="J150" s="136"/>
      <c r="K150" s="136"/>
      <c r="L150" s="136"/>
      <c r="M150" s="136"/>
      <c r="N150" s="136"/>
      <c r="O150" s="136"/>
      <c r="P150" s="136"/>
      <c r="Q150" s="136"/>
      <c r="R150" s="136"/>
      <c r="S150" s="136"/>
      <c r="T150" s="136"/>
      <c r="U150" s="136"/>
      <c r="V150" s="136"/>
      <c r="W150" s="136"/>
      <c r="X150" s="136"/>
      <c r="Y150" s="136"/>
    </row>
    <row r="151" spans="1:25" ht="12.95">
      <c r="A151" s="149"/>
      <c r="B151" s="135"/>
      <c r="C151" s="136"/>
      <c r="D151" s="137"/>
      <c r="E151" s="136"/>
      <c r="F151" s="136"/>
      <c r="G151" s="136"/>
      <c r="H151" s="136"/>
      <c r="I151" s="136"/>
      <c r="J151" s="136"/>
      <c r="K151" s="136"/>
      <c r="L151" s="136"/>
      <c r="M151" s="136"/>
      <c r="N151" s="136"/>
      <c r="O151" s="136"/>
      <c r="P151" s="136"/>
      <c r="Q151" s="136"/>
      <c r="R151" s="136"/>
      <c r="S151" s="136"/>
      <c r="T151" s="136"/>
      <c r="U151" s="136"/>
      <c r="V151" s="136"/>
      <c r="W151" s="136"/>
      <c r="X151" s="136"/>
      <c r="Y151" s="136"/>
    </row>
    <row r="152" spans="1:25" ht="12.95">
      <c r="A152" s="149"/>
      <c r="B152" s="135"/>
      <c r="C152" s="136"/>
      <c r="D152" s="137"/>
      <c r="E152" s="136"/>
      <c r="F152" s="136"/>
      <c r="G152" s="136"/>
      <c r="H152" s="136"/>
      <c r="I152" s="136"/>
      <c r="J152" s="136"/>
      <c r="K152" s="136"/>
      <c r="L152" s="136"/>
      <c r="M152" s="136"/>
      <c r="N152" s="136"/>
      <c r="O152" s="136"/>
      <c r="P152" s="136"/>
      <c r="Q152" s="136"/>
      <c r="R152" s="136"/>
      <c r="S152" s="136"/>
      <c r="T152" s="136"/>
      <c r="U152" s="136"/>
      <c r="V152" s="136"/>
      <c r="W152" s="136"/>
      <c r="X152" s="136"/>
      <c r="Y152" s="136"/>
    </row>
    <row r="153" spans="1:25" ht="12.95">
      <c r="A153" s="149"/>
      <c r="B153" s="135"/>
      <c r="C153" s="136"/>
      <c r="D153" s="137"/>
      <c r="E153" s="136"/>
      <c r="F153" s="136"/>
      <c r="G153" s="136"/>
      <c r="H153" s="136"/>
      <c r="I153" s="136"/>
      <c r="J153" s="136"/>
      <c r="K153" s="136"/>
      <c r="L153" s="136"/>
      <c r="M153" s="136"/>
      <c r="N153" s="136"/>
      <c r="O153" s="136"/>
      <c r="P153" s="136"/>
      <c r="Q153" s="136"/>
      <c r="R153" s="136"/>
      <c r="S153" s="136"/>
      <c r="T153" s="136"/>
      <c r="U153" s="136"/>
      <c r="V153" s="136"/>
      <c r="W153" s="136"/>
      <c r="X153" s="136"/>
      <c r="Y153" s="136"/>
    </row>
    <row r="154" spans="1:25" ht="12.95">
      <c r="A154" s="149"/>
      <c r="B154" s="135"/>
      <c r="C154" s="136"/>
      <c r="D154" s="137"/>
      <c r="E154" s="136"/>
      <c r="F154" s="136"/>
      <c r="G154" s="136"/>
      <c r="H154" s="136"/>
      <c r="I154" s="136"/>
      <c r="J154" s="136"/>
      <c r="K154" s="136"/>
      <c r="L154" s="136"/>
      <c r="M154" s="136"/>
      <c r="N154" s="136"/>
      <c r="O154" s="136"/>
      <c r="P154" s="136"/>
      <c r="Q154" s="136"/>
      <c r="R154" s="136"/>
      <c r="S154" s="136"/>
      <c r="T154" s="136"/>
      <c r="U154" s="136"/>
      <c r="V154" s="136"/>
      <c r="W154" s="136"/>
      <c r="X154" s="136"/>
      <c r="Y154" s="136"/>
    </row>
    <row r="155" spans="1:25" ht="12.95">
      <c r="A155" s="149"/>
      <c r="B155" s="135"/>
      <c r="C155" s="136"/>
      <c r="D155" s="137"/>
      <c r="E155" s="136"/>
      <c r="F155" s="136"/>
      <c r="G155" s="136"/>
      <c r="H155" s="136"/>
      <c r="I155" s="136"/>
      <c r="J155" s="136"/>
      <c r="K155" s="136"/>
      <c r="L155" s="136"/>
      <c r="M155" s="136"/>
      <c r="N155" s="136"/>
      <c r="O155" s="136"/>
      <c r="P155" s="136"/>
      <c r="Q155" s="136"/>
      <c r="R155" s="136"/>
      <c r="S155" s="136"/>
      <c r="T155" s="136"/>
      <c r="U155" s="136"/>
      <c r="V155" s="136"/>
      <c r="W155" s="136"/>
      <c r="X155" s="136"/>
      <c r="Y155" s="136"/>
    </row>
    <row r="156" spans="1:25" ht="12.95">
      <c r="A156" s="149"/>
      <c r="B156" s="135"/>
      <c r="C156" s="136"/>
      <c r="D156" s="137"/>
      <c r="E156" s="136"/>
      <c r="F156" s="136"/>
      <c r="G156" s="136"/>
      <c r="H156" s="136"/>
      <c r="I156" s="136"/>
      <c r="J156" s="136"/>
      <c r="K156" s="136"/>
      <c r="L156" s="136"/>
      <c r="M156" s="136"/>
      <c r="N156" s="136"/>
      <c r="O156" s="136"/>
      <c r="P156" s="136"/>
      <c r="Q156" s="136"/>
      <c r="R156" s="136"/>
      <c r="S156" s="136"/>
      <c r="T156" s="136"/>
      <c r="U156" s="136"/>
      <c r="V156" s="136"/>
      <c r="W156" s="136"/>
      <c r="X156" s="136"/>
      <c r="Y156" s="136"/>
    </row>
    <row r="157" spans="1:25" ht="12.95">
      <c r="A157" s="149"/>
      <c r="B157" s="135"/>
      <c r="C157" s="136"/>
      <c r="D157" s="137"/>
      <c r="E157" s="136"/>
      <c r="F157" s="136"/>
      <c r="G157" s="136"/>
      <c r="H157" s="136"/>
      <c r="I157" s="136"/>
      <c r="J157" s="136"/>
      <c r="K157" s="136"/>
      <c r="L157" s="136"/>
      <c r="M157" s="136"/>
      <c r="N157" s="136"/>
      <c r="O157" s="136"/>
      <c r="P157" s="136"/>
      <c r="Q157" s="136"/>
      <c r="R157" s="136"/>
      <c r="S157" s="136"/>
      <c r="T157" s="136"/>
      <c r="U157" s="136"/>
      <c r="V157" s="136"/>
      <c r="W157" s="136"/>
      <c r="X157" s="136"/>
      <c r="Y157" s="136"/>
    </row>
    <row r="158" spans="1:25" ht="12.95">
      <c r="A158" s="149"/>
      <c r="B158" s="135"/>
      <c r="C158" s="136"/>
      <c r="D158" s="137"/>
      <c r="E158" s="136"/>
      <c r="F158" s="136"/>
      <c r="G158" s="136"/>
      <c r="H158" s="136"/>
      <c r="I158" s="136"/>
      <c r="J158" s="136"/>
      <c r="K158" s="136"/>
      <c r="L158" s="136"/>
      <c r="M158" s="136"/>
      <c r="N158" s="136"/>
      <c r="O158" s="136"/>
      <c r="P158" s="136"/>
      <c r="Q158" s="136"/>
      <c r="R158" s="136"/>
      <c r="S158" s="136"/>
      <c r="T158" s="136"/>
      <c r="U158" s="136"/>
      <c r="V158" s="136"/>
      <c r="W158" s="136"/>
      <c r="X158" s="136"/>
      <c r="Y158" s="136"/>
    </row>
    <row r="159" spans="1:25" ht="12.95">
      <c r="A159" s="149"/>
      <c r="B159" s="135"/>
      <c r="C159" s="136"/>
      <c r="D159" s="137"/>
      <c r="E159" s="136"/>
      <c r="F159" s="136"/>
      <c r="G159" s="136"/>
      <c r="H159" s="136"/>
      <c r="I159" s="136"/>
      <c r="J159" s="136"/>
      <c r="K159" s="136"/>
      <c r="L159" s="136"/>
      <c r="M159" s="136"/>
      <c r="N159" s="136"/>
      <c r="O159" s="136"/>
      <c r="P159" s="136"/>
      <c r="Q159" s="136"/>
      <c r="R159" s="136"/>
      <c r="S159" s="136"/>
      <c r="T159" s="136"/>
      <c r="U159" s="136"/>
      <c r="V159" s="136"/>
      <c r="W159" s="136"/>
      <c r="X159" s="136"/>
      <c r="Y159" s="136"/>
    </row>
    <row r="160" spans="1:25" ht="12.95">
      <c r="A160" s="149"/>
      <c r="B160" s="135"/>
      <c r="C160" s="136"/>
      <c r="D160" s="137"/>
      <c r="E160" s="136"/>
      <c r="F160" s="136"/>
      <c r="G160" s="136"/>
      <c r="H160" s="136"/>
      <c r="I160" s="136"/>
      <c r="J160" s="136"/>
      <c r="K160" s="136"/>
      <c r="L160" s="136"/>
      <c r="M160" s="136"/>
      <c r="N160" s="136"/>
      <c r="O160" s="136"/>
      <c r="P160" s="136"/>
      <c r="Q160" s="136"/>
      <c r="R160" s="136"/>
      <c r="S160" s="136"/>
      <c r="T160" s="136"/>
      <c r="U160" s="136"/>
      <c r="V160" s="136"/>
      <c r="W160" s="136"/>
      <c r="X160" s="136"/>
      <c r="Y160" s="136"/>
    </row>
    <row r="161" spans="1:25" ht="12.95">
      <c r="A161" s="149"/>
      <c r="B161" s="135"/>
      <c r="C161" s="136"/>
      <c r="D161" s="137"/>
      <c r="E161" s="136"/>
      <c r="F161" s="136"/>
      <c r="G161" s="136"/>
      <c r="H161" s="136"/>
      <c r="I161" s="136"/>
      <c r="J161" s="136"/>
      <c r="K161" s="136"/>
      <c r="L161" s="136"/>
      <c r="M161" s="136"/>
      <c r="N161" s="136"/>
      <c r="O161" s="136"/>
      <c r="P161" s="136"/>
      <c r="Q161" s="136"/>
      <c r="R161" s="136"/>
      <c r="S161" s="136"/>
      <c r="T161" s="136"/>
      <c r="U161" s="136"/>
      <c r="V161" s="136"/>
      <c r="W161" s="136"/>
      <c r="X161" s="136"/>
      <c r="Y161" s="136"/>
    </row>
    <row r="162" spans="1:25" ht="12.95">
      <c r="A162" s="149"/>
      <c r="B162" s="135"/>
      <c r="C162" s="136"/>
      <c r="D162" s="137"/>
      <c r="E162" s="136"/>
      <c r="F162" s="136"/>
      <c r="G162" s="136"/>
      <c r="H162" s="136"/>
      <c r="I162" s="136"/>
      <c r="J162" s="136"/>
      <c r="K162" s="136"/>
      <c r="L162" s="136"/>
      <c r="M162" s="136"/>
      <c r="N162" s="136"/>
      <c r="O162" s="136"/>
      <c r="P162" s="136"/>
      <c r="Q162" s="136"/>
      <c r="R162" s="136"/>
      <c r="S162" s="136"/>
      <c r="T162" s="136"/>
      <c r="U162" s="136"/>
      <c r="V162" s="136"/>
      <c r="W162" s="136"/>
      <c r="X162" s="136"/>
      <c r="Y162" s="136"/>
    </row>
    <row r="163" spans="1:25" ht="12.95">
      <c r="A163" s="149"/>
      <c r="B163" s="135"/>
      <c r="C163" s="136"/>
      <c r="D163" s="137"/>
      <c r="E163" s="136"/>
      <c r="F163" s="136"/>
      <c r="G163" s="136"/>
      <c r="H163" s="136"/>
      <c r="I163" s="136"/>
      <c r="J163" s="136"/>
      <c r="K163" s="136"/>
      <c r="L163" s="136"/>
      <c r="M163" s="136"/>
      <c r="N163" s="136"/>
      <c r="O163" s="136"/>
      <c r="P163" s="136"/>
      <c r="Q163" s="136"/>
      <c r="R163" s="136"/>
      <c r="S163" s="136"/>
      <c r="T163" s="136"/>
      <c r="U163" s="136"/>
      <c r="V163" s="136"/>
      <c r="W163" s="136"/>
      <c r="X163" s="136"/>
      <c r="Y163" s="136"/>
    </row>
    <row r="164" spans="1:25" ht="12.95">
      <c r="A164" s="149"/>
      <c r="B164" s="135"/>
      <c r="C164" s="136"/>
      <c r="D164" s="137"/>
      <c r="E164" s="136"/>
      <c r="F164" s="136"/>
      <c r="G164" s="136"/>
      <c r="H164" s="136"/>
      <c r="I164" s="136"/>
      <c r="J164" s="136"/>
      <c r="K164" s="136"/>
      <c r="L164" s="136"/>
      <c r="M164" s="136"/>
      <c r="N164" s="136"/>
      <c r="O164" s="136"/>
      <c r="P164" s="136"/>
      <c r="Q164" s="136"/>
      <c r="R164" s="136"/>
      <c r="S164" s="136"/>
      <c r="T164" s="136"/>
      <c r="U164" s="136"/>
      <c r="V164" s="136"/>
      <c r="W164" s="136"/>
      <c r="X164" s="136"/>
      <c r="Y164" s="136"/>
    </row>
    <row r="165" spans="1:25" ht="12.95">
      <c r="A165" s="149"/>
      <c r="B165" s="135"/>
      <c r="C165" s="136"/>
      <c r="D165" s="137"/>
      <c r="E165" s="136"/>
      <c r="F165" s="136"/>
      <c r="G165" s="136"/>
      <c r="H165" s="136"/>
      <c r="I165" s="136"/>
      <c r="J165" s="136"/>
      <c r="K165" s="136"/>
      <c r="L165" s="136"/>
      <c r="M165" s="136"/>
      <c r="N165" s="136"/>
      <c r="O165" s="136"/>
      <c r="P165" s="136"/>
      <c r="Q165" s="136"/>
      <c r="R165" s="136"/>
      <c r="S165" s="136"/>
      <c r="T165" s="136"/>
      <c r="U165" s="136"/>
      <c r="V165" s="136"/>
      <c r="W165" s="136"/>
      <c r="X165" s="136"/>
      <c r="Y165" s="136"/>
    </row>
    <row r="166" spans="1:25" ht="12.95">
      <c r="A166" s="149"/>
      <c r="B166" s="135"/>
      <c r="C166" s="136"/>
      <c r="D166" s="137"/>
      <c r="E166" s="136"/>
      <c r="F166" s="136"/>
      <c r="G166" s="136"/>
      <c r="H166" s="136"/>
      <c r="I166" s="136"/>
      <c r="J166" s="136"/>
      <c r="K166" s="136"/>
      <c r="L166" s="136"/>
      <c r="M166" s="136"/>
      <c r="N166" s="136"/>
      <c r="O166" s="136"/>
      <c r="P166" s="136"/>
      <c r="Q166" s="136"/>
      <c r="R166" s="136"/>
      <c r="S166" s="136"/>
      <c r="T166" s="136"/>
      <c r="U166" s="136"/>
      <c r="V166" s="136"/>
      <c r="W166" s="136"/>
      <c r="X166" s="136"/>
      <c r="Y166" s="136"/>
    </row>
    <row r="167" spans="1:25" ht="12.95">
      <c r="A167" s="149"/>
      <c r="B167" s="135"/>
      <c r="C167" s="136"/>
      <c r="D167" s="137"/>
      <c r="E167" s="136"/>
      <c r="F167" s="136"/>
      <c r="G167" s="136"/>
      <c r="H167" s="136"/>
      <c r="I167" s="136"/>
      <c r="J167" s="136"/>
      <c r="K167" s="136"/>
      <c r="L167" s="136"/>
      <c r="M167" s="136"/>
      <c r="N167" s="136"/>
      <c r="O167" s="136"/>
      <c r="P167" s="136"/>
      <c r="Q167" s="136"/>
      <c r="R167" s="136"/>
      <c r="S167" s="136"/>
      <c r="T167" s="136"/>
      <c r="U167" s="136"/>
      <c r="V167" s="136"/>
      <c r="W167" s="136"/>
      <c r="X167" s="136"/>
      <c r="Y167" s="136"/>
    </row>
    <row r="168" spans="1:25" ht="12.95">
      <c r="A168" s="149"/>
      <c r="B168" s="135"/>
      <c r="C168" s="136"/>
      <c r="D168" s="137"/>
      <c r="E168" s="136"/>
      <c r="F168" s="136"/>
      <c r="G168" s="136"/>
      <c r="H168" s="136"/>
      <c r="I168" s="136"/>
      <c r="J168" s="136"/>
      <c r="K168" s="136"/>
      <c r="L168" s="136"/>
      <c r="M168" s="136"/>
      <c r="N168" s="136"/>
      <c r="O168" s="136"/>
      <c r="P168" s="136"/>
      <c r="Q168" s="136"/>
      <c r="R168" s="136"/>
      <c r="S168" s="136"/>
      <c r="T168" s="136"/>
      <c r="U168" s="136"/>
      <c r="V168" s="136"/>
      <c r="W168" s="136"/>
      <c r="X168" s="136"/>
      <c r="Y168" s="136"/>
    </row>
    <row r="169" spans="1:25" ht="12.95">
      <c r="A169" s="149"/>
      <c r="B169" s="135"/>
      <c r="C169" s="136"/>
      <c r="D169" s="137"/>
      <c r="E169" s="136"/>
      <c r="F169" s="136"/>
      <c r="G169" s="136"/>
      <c r="H169" s="136"/>
      <c r="I169" s="136"/>
      <c r="J169" s="136"/>
      <c r="K169" s="136"/>
      <c r="L169" s="136"/>
      <c r="M169" s="136"/>
      <c r="N169" s="136"/>
      <c r="O169" s="136"/>
      <c r="P169" s="136"/>
      <c r="Q169" s="136"/>
      <c r="R169" s="136"/>
      <c r="S169" s="136"/>
      <c r="T169" s="136"/>
      <c r="U169" s="136"/>
      <c r="V169" s="136"/>
      <c r="W169" s="136"/>
      <c r="X169" s="136"/>
      <c r="Y169" s="136"/>
    </row>
    <row r="170" spans="1:25" ht="12.95">
      <c r="A170" s="149"/>
      <c r="B170" s="135"/>
      <c r="C170" s="136"/>
      <c r="D170" s="137"/>
      <c r="E170" s="136"/>
      <c r="F170" s="136"/>
      <c r="G170" s="136"/>
      <c r="H170" s="136"/>
      <c r="I170" s="136"/>
      <c r="J170" s="136"/>
      <c r="K170" s="136"/>
      <c r="L170" s="136"/>
      <c r="M170" s="136"/>
      <c r="N170" s="136"/>
      <c r="O170" s="136"/>
      <c r="P170" s="136"/>
      <c r="Q170" s="136"/>
      <c r="R170" s="136"/>
      <c r="S170" s="136"/>
      <c r="T170" s="136"/>
      <c r="U170" s="136"/>
      <c r="V170" s="136"/>
      <c r="W170" s="136"/>
      <c r="X170" s="136"/>
      <c r="Y170" s="136"/>
    </row>
    <row r="171" spans="1:25" ht="12.95">
      <c r="A171" s="149"/>
      <c r="B171" s="135"/>
      <c r="C171" s="136"/>
      <c r="D171" s="137"/>
      <c r="E171" s="136"/>
      <c r="F171" s="136"/>
      <c r="G171" s="136"/>
      <c r="H171" s="136"/>
      <c r="I171" s="136"/>
      <c r="J171" s="136"/>
      <c r="K171" s="136"/>
      <c r="L171" s="136"/>
      <c r="M171" s="136"/>
      <c r="N171" s="136"/>
      <c r="O171" s="136"/>
      <c r="P171" s="136"/>
      <c r="Q171" s="136"/>
      <c r="R171" s="136"/>
      <c r="S171" s="136"/>
      <c r="T171" s="136"/>
      <c r="U171" s="136"/>
      <c r="V171" s="136"/>
      <c r="W171" s="136"/>
      <c r="X171" s="136"/>
      <c r="Y171" s="136"/>
    </row>
    <row r="172" spans="1:25" ht="12.95">
      <c r="A172" s="149"/>
      <c r="B172" s="135"/>
      <c r="C172" s="136"/>
      <c r="D172" s="137"/>
      <c r="E172" s="136"/>
      <c r="F172" s="136"/>
      <c r="G172" s="136"/>
      <c r="H172" s="136"/>
      <c r="I172" s="136"/>
      <c r="J172" s="136"/>
      <c r="K172" s="136"/>
      <c r="L172" s="136"/>
      <c r="M172" s="136"/>
      <c r="N172" s="136"/>
      <c r="O172" s="136"/>
      <c r="P172" s="136"/>
      <c r="Q172" s="136"/>
      <c r="R172" s="136"/>
      <c r="S172" s="136"/>
      <c r="T172" s="136"/>
      <c r="U172" s="136"/>
      <c r="V172" s="136"/>
      <c r="W172" s="136"/>
      <c r="X172" s="136"/>
      <c r="Y172" s="136"/>
    </row>
    <row r="173" spans="1:25" ht="12.95">
      <c r="A173" s="149"/>
      <c r="B173" s="135"/>
      <c r="C173" s="136"/>
      <c r="D173" s="137"/>
      <c r="E173" s="136"/>
      <c r="F173" s="136"/>
      <c r="G173" s="136"/>
      <c r="H173" s="136"/>
      <c r="I173" s="136"/>
      <c r="J173" s="136"/>
      <c r="K173" s="136"/>
      <c r="L173" s="136"/>
      <c r="M173" s="136"/>
      <c r="N173" s="136"/>
      <c r="O173" s="136"/>
      <c r="P173" s="136"/>
      <c r="Q173" s="136"/>
      <c r="R173" s="136"/>
      <c r="S173" s="136"/>
      <c r="T173" s="136"/>
      <c r="U173" s="136"/>
      <c r="V173" s="136"/>
      <c r="W173" s="136"/>
      <c r="X173" s="136"/>
      <c r="Y173" s="136"/>
    </row>
    <row r="174" spans="1:25" ht="12.95">
      <c r="A174" s="149"/>
      <c r="B174" s="135"/>
      <c r="C174" s="136"/>
      <c r="D174" s="137"/>
      <c r="E174" s="136"/>
      <c r="F174" s="136"/>
      <c r="G174" s="136"/>
      <c r="H174" s="136"/>
      <c r="I174" s="136"/>
      <c r="J174" s="136"/>
      <c r="K174" s="136"/>
      <c r="L174" s="136"/>
      <c r="M174" s="136"/>
      <c r="N174" s="136"/>
      <c r="O174" s="136"/>
      <c r="P174" s="136"/>
      <c r="Q174" s="136"/>
      <c r="R174" s="136"/>
      <c r="S174" s="136"/>
      <c r="T174" s="136"/>
      <c r="U174" s="136"/>
      <c r="V174" s="136"/>
      <c r="W174" s="136"/>
      <c r="X174" s="136"/>
      <c r="Y174" s="136"/>
    </row>
    <row r="175" spans="1:25" ht="12.95">
      <c r="A175" s="149"/>
      <c r="B175" s="135"/>
      <c r="C175" s="136"/>
      <c r="D175" s="137"/>
      <c r="E175" s="136"/>
      <c r="F175" s="136"/>
      <c r="G175" s="136"/>
      <c r="H175" s="136"/>
      <c r="I175" s="136"/>
      <c r="J175" s="136"/>
      <c r="K175" s="136"/>
      <c r="L175" s="136"/>
      <c r="M175" s="136"/>
      <c r="N175" s="136"/>
      <c r="O175" s="136"/>
      <c r="P175" s="136"/>
      <c r="Q175" s="136"/>
      <c r="R175" s="136"/>
      <c r="S175" s="136"/>
      <c r="T175" s="136"/>
      <c r="U175" s="136"/>
      <c r="V175" s="136"/>
      <c r="W175" s="136"/>
      <c r="X175" s="136"/>
      <c r="Y175" s="136"/>
    </row>
    <row r="176" spans="1:25" ht="12.95">
      <c r="A176" s="149"/>
      <c r="B176" s="135"/>
      <c r="C176" s="136"/>
      <c r="D176" s="137"/>
      <c r="E176" s="136"/>
      <c r="F176" s="136"/>
      <c r="G176" s="136"/>
      <c r="H176" s="136"/>
      <c r="I176" s="136"/>
      <c r="J176" s="136"/>
      <c r="K176" s="136"/>
      <c r="L176" s="136"/>
      <c r="M176" s="136"/>
      <c r="N176" s="136"/>
      <c r="O176" s="136"/>
      <c r="P176" s="136"/>
      <c r="Q176" s="136"/>
      <c r="R176" s="136"/>
      <c r="S176" s="136"/>
      <c r="T176" s="136"/>
      <c r="U176" s="136"/>
      <c r="V176" s="136"/>
      <c r="W176" s="136"/>
      <c r="X176" s="136"/>
      <c r="Y176" s="136"/>
    </row>
    <row r="177" spans="1:25" ht="12.95">
      <c r="A177" s="149"/>
      <c r="B177" s="135"/>
      <c r="C177" s="136"/>
      <c r="D177" s="137"/>
      <c r="E177" s="136"/>
      <c r="F177" s="136"/>
      <c r="G177" s="136"/>
      <c r="H177" s="136"/>
      <c r="I177" s="136"/>
      <c r="J177" s="136"/>
      <c r="K177" s="136"/>
      <c r="L177" s="136"/>
      <c r="M177" s="136"/>
      <c r="N177" s="136"/>
      <c r="O177" s="136"/>
      <c r="P177" s="136"/>
      <c r="Q177" s="136"/>
      <c r="R177" s="136"/>
      <c r="S177" s="136"/>
      <c r="T177" s="136"/>
      <c r="U177" s="136"/>
      <c r="V177" s="136"/>
      <c r="W177" s="136"/>
      <c r="X177" s="136"/>
      <c r="Y177" s="136"/>
    </row>
    <row r="178" spans="1:25" ht="12.95">
      <c r="A178" s="149"/>
      <c r="B178" s="135"/>
      <c r="C178" s="136"/>
      <c r="D178" s="137"/>
      <c r="E178" s="136"/>
      <c r="F178" s="136"/>
      <c r="G178" s="136"/>
      <c r="H178" s="136"/>
      <c r="I178" s="136"/>
      <c r="J178" s="136"/>
      <c r="K178" s="136"/>
      <c r="L178" s="136"/>
      <c r="M178" s="136"/>
      <c r="N178" s="136"/>
      <c r="O178" s="136"/>
      <c r="P178" s="136"/>
      <c r="Q178" s="136"/>
      <c r="R178" s="136"/>
      <c r="S178" s="136"/>
      <c r="T178" s="136"/>
      <c r="U178" s="136"/>
      <c r="V178" s="136"/>
      <c r="W178" s="136"/>
      <c r="X178" s="136"/>
      <c r="Y178" s="136"/>
    </row>
    <row r="179" spans="1:25" ht="12.95">
      <c r="A179" s="149"/>
      <c r="B179" s="135"/>
      <c r="C179" s="136"/>
      <c r="D179" s="137"/>
      <c r="E179" s="136"/>
      <c r="F179" s="136"/>
      <c r="G179" s="136"/>
      <c r="H179" s="136"/>
      <c r="I179" s="136"/>
      <c r="J179" s="136"/>
      <c r="K179" s="136"/>
      <c r="L179" s="136"/>
      <c r="M179" s="136"/>
      <c r="N179" s="136"/>
      <c r="O179" s="136"/>
      <c r="P179" s="136"/>
      <c r="Q179" s="136"/>
      <c r="R179" s="136"/>
      <c r="S179" s="136"/>
      <c r="T179" s="136"/>
      <c r="U179" s="136"/>
      <c r="V179" s="136"/>
      <c r="W179" s="136"/>
      <c r="X179" s="136"/>
      <c r="Y179" s="136"/>
    </row>
    <row r="180" spans="1:25" ht="12.95">
      <c r="A180" s="149"/>
      <c r="B180" s="135"/>
      <c r="C180" s="136"/>
      <c r="D180" s="137"/>
      <c r="E180" s="136"/>
      <c r="F180" s="136"/>
      <c r="G180" s="136"/>
      <c r="H180" s="136"/>
      <c r="I180" s="136"/>
      <c r="J180" s="136"/>
      <c r="K180" s="136"/>
      <c r="L180" s="136"/>
      <c r="M180" s="136"/>
      <c r="N180" s="136"/>
      <c r="O180" s="136"/>
      <c r="P180" s="136"/>
      <c r="Q180" s="136"/>
      <c r="R180" s="136"/>
      <c r="S180" s="136"/>
      <c r="T180" s="136"/>
      <c r="U180" s="136"/>
      <c r="V180" s="136"/>
      <c r="W180" s="136"/>
      <c r="X180" s="136"/>
      <c r="Y180" s="136"/>
    </row>
    <row r="181" spans="1:25" ht="12.95">
      <c r="A181" s="149"/>
      <c r="B181" s="135"/>
      <c r="C181" s="136"/>
      <c r="D181" s="137"/>
      <c r="E181" s="136"/>
      <c r="F181" s="136"/>
      <c r="G181" s="136"/>
      <c r="H181" s="136"/>
      <c r="I181" s="136"/>
      <c r="J181" s="136"/>
      <c r="K181" s="136"/>
      <c r="L181" s="136"/>
      <c r="M181" s="136"/>
      <c r="N181" s="136"/>
      <c r="O181" s="136"/>
      <c r="P181" s="136"/>
      <c r="Q181" s="136"/>
      <c r="R181" s="136"/>
      <c r="S181" s="136"/>
      <c r="T181" s="136"/>
      <c r="U181" s="136"/>
      <c r="V181" s="136"/>
      <c r="W181" s="136"/>
      <c r="X181" s="136"/>
      <c r="Y181" s="136"/>
    </row>
    <row r="182" spans="1:25" ht="12.95">
      <c r="A182" s="149"/>
      <c r="B182" s="135"/>
      <c r="C182" s="136"/>
      <c r="D182" s="137"/>
      <c r="E182" s="136"/>
      <c r="F182" s="136"/>
      <c r="G182" s="136"/>
      <c r="H182" s="136"/>
      <c r="I182" s="136"/>
      <c r="J182" s="136"/>
      <c r="K182" s="136"/>
      <c r="L182" s="136"/>
      <c r="M182" s="136"/>
      <c r="N182" s="136"/>
      <c r="O182" s="136"/>
      <c r="P182" s="136"/>
      <c r="Q182" s="136"/>
      <c r="R182" s="136"/>
      <c r="S182" s="136"/>
      <c r="T182" s="136"/>
      <c r="U182" s="136"/>
      <c r="V182" s="136"/>
      <c r="W182" s="136"/>
      <c r="X182" s="136"/>
      <c r="Y182" s="136"/>
    </row>
    <row r="183" spans="1:25" ht="12.95">
      <c r="A183" s="149"/>
      <c r="B183" s="135"/>
      <c r="C183" s="136"/>
      <c r="D183" s="137"/>
      <c r="E183" s="136"/>
      <c r="F183" s="136"/>
      <c r="G183" s="136"/>
      <c r="H183" s="136"/>
      <c r="I183" s="136"/>
      <c r="J183" s="136"/>
      <c r="K183" s="136"/>
      <c r="L183" s="136"/>
      <c r="M183" s="136"/>
      <c r="N183" s="136"/>
      <c r="O183" s="136"/>
      <c r="P183" s="136"/>
      <c r="Q183" s="136"/>
      <c r="R183" s="136"/>
      <c r="S183" s="136"/>
      <c r="T183" s="136"/>
      <c r="U183" s="136"/>
      <c r="V183" s="136"/>
      <c r="W183" s="136"/>
      <c r="X183" s="136"/>
      <c r="Y183" s="136"/>
    </row>
    <row r="184" spans="1:25" ht="12.95">
      <c r="A184" s="149"/>
      <c r="B184" s="135"/>
      <c r="C184" s="136"/>
      <c r="D184" s="137"/>
      <c r="E184" s="136"/>
      <c r="F184" s="136"/>
      <c r="G184" s="136"/>
      <c r="H184" s="136"/>
      <c r="I184" s="136"/>
      <c r="J184" s="136"/>
      <c r="K184" s="136"/>
      <c r="L184" s="136"/>
      <c r="M184" s="136"/>
      <c r="N184" s="136"/>
      <c r="O184" s="136"/>
      <c r="P184" s="136"/>
      <c r="Q184" s="136"/>
      <c r="R184" s="136"/>
      <c r="S184" s="136"/>
      <c r="T184" s="136"/>
      <c r="U184" s="136"/>
      <c r="V184" s="136"/>
      <c r="W184" s="136"/>
      <c r="X184" s="136"/>
      <c r="Y184" s="136"/>
    </row>
    <row r="185" spans="1:25" ht="12.95">
      <c r="A185" s="149"/>
      <c r="B185" s="135"/>
      <c r="C185" s="136"/>
      <c r="D185" s="137"/>
      <c r="E185" s="136"/>
      <c r="F185" s="136"/>
      <c r="G185" s="136"/>
      <c r="H185" s="136"/>
      <c r="I185" s="136"/>
      <c r="J185" s="136"/>
      <c r="K185" s="136"/>
      <c r="L185" s="136"/>
      <c r="M185" s="136"/>
      <c r="N185" s="136"/>
      <c r="O185" s="136"/>
      <c r="P185" s="136"/>
      <c r="Q185" s="136"/>
      <c r="R185" s="136"/>
      <c r="S185" s="136"/>
      <c r="T185" s="136"/>
      <c r="U185" s="136"/>
      <c r="V185" s="136"/>
      <c r="W185" s="136"/>
      <c r="X185" s="136"/>
      <c r="Y185" s="136"/>
    </row>
    <row r="186" spans="1:25" ht="12.95">
      <c r="A186" s="149"/>
      <c r="B186" s="135"/>
      <c r="C186" s="136"/>
      <c r="D186" s="137"/>
      <c r="E186" s="136"/>
      <c r="F186" s="136"/>
      <c r="G186" s="136"/>
      <c r="H186" s="136"/>
      <c r="I186" s="136"/>
      <c r="J186" s="136"/>
      <c r="K186" s="136"/>
      <c r="L186" s="136"/>
      <c r="M186" s="136"/>
      <c r="N186" s="136"/>
      <c r="O186" s="136"/>
      <c r="P186" s="136"/>
      <c r="Q186" s="136"/>
      <c r="R186" s="136"/>
      <c r="S186" s="136"/>
      <c r="T186" s="136"/>
      <c r="U186" s="136"/>
      <c r="V186" s="136"/>
      <c r="W186" s="136"/>
      <c r="X186" s="136"/>
      <c r="Y186" s="136"/>
    </row>
    <row r="187" spans="1:25" ht="12.95">
      <c r="A187" s="149"/>
      <c r="B187" s="135"/>
      <c r="C187" s="136"/>
      <c r="D187" s="137"/>
      <c r="E187" s="136"/>
      <c r="F187" s="136"/>
      <c r="G187" s="136"/>
      <c r="H187" s="136"/>
      <c r="I187" s="136"/>
      <c r="J187" s="136"/>
      <c r="K187" s="136"/>
      <c r="L187" s="136"/>
      <c r="M187" s="136"/>
      <c r="N187" s="136"/>
      <c r="O187" s="136"/>
      <c r="P187" s="136"/>
      <c r="Q187" s="136"/>
      <c r="R187" s="136"/>
      <c r="S187" s="136"/>
      <c r="T187" s="136"/>
      <c r="U187" s="136"/>
      <c r="V187" s="136"/>
      <c r="W187" s="136"/>
      <c r="X187" s="136"/>
      <c r="Y187" s="136"/>
    </row>
    <row r="188" spans="1:25" ht="12.95">
      <c r="A188" s="149"/>
      <c r="B188" s="135"/>
      <c r="C188" s="136"/>
      <c r="D188" s="137"/>
      <c r="E188" s="136"/>
      <c r="F188" s="136"/>
      <c r="G188" s="136"/>
      <c r="H188" s="136"/>
      <c r="I188" s="136"/>
      <c r="J188" s="136"/>
      <c r="K188" s="136"/>
      <c r="L188" s="136"/>
      <c r="M188" s="136"/>
      <c r="N188" s="136"/>
      <c r="O188" s="136"/>
      <c r="P188" s="136"/>
      <c r="Q188" s="136"/>
      <c r="R188" s="136"/>
      <c r="S188" s="136"/>
      <c r="T188" s="136"/>
      <c r="U188" s="136"/>
      <c r="V188" s="136"/>
      <c r="W188" s="136"/>
      <c r="X188" s="136"/>
      <c r="Y188" s="136"/>
    </row>
    <row r="189" spans="1:25" ht="12.95">
      <c r="A189" s="149"/>
      <c r="B189" s="135"/>
      <c r="C189" s="136"/>
      <c r="D189" s="137"/>
      <c r="E189" s="136"/>
      <c r="F189" s="136"/>
      <c r="G189" s="136"/>
      <c r="H189" s="136"/>
      <c r="I189" s="136"/>
      <c r="J189" s="136"/>
      <c r="K189" s="136"/>
      <c r="L189" s="136"/>
      <c r="M189" s="136"/>
      <c r="N189" s="136"/>
      <c r="O189" s="136"/>
      <c r="P189" s="136"/>
      <c r="Q189" s="136"/>
      <c r="R189" s="136"/>
      <c r="S189" s="136"/>
      <c r="T189" s="136"/>
      <c r="U189" s="136"/>
      <c r="V189" s="136"/>
      <c r="W189" s="136"/>
      <c r="X189" s="136"/>
      <c r="Y189" s="136"/>
    </row>
    <row r="190" spans="1:25" ht="12.95">
      <c r="A190" s="149"/>
      <c r="B190" s="135"/>
      <c r="C190" s="136"/>
      <c r="D190" s="137"/>
      <c r="E190" s="136"/>
      <c r="F190" s="136"/>
      <c r="G190" s="136"/>
      <c r="H190" s="136"/>
      <c r="I190" s="136"/>
      <c r="J190" s="136"/>
      <c r="K190" s="136"/>
      <c r="L190" s="136"/>
      <c r="M190" s="136"/>
      <c r="N190" s="136"/>
      <c r="O190" s="136"/>
      <c r="P190" s="136"/>
      <c r="Q190" s="136"/>
      <c r="R190" s="136"/>
      <c r="S190" s="136"/>
      <c r="T190" s="136"/>
      <c r="U190" s="136"/>
      <c r="V190" s="136"/>
      <c r="W190" s="136"/>
      <c r="X190" s="136"/>
      <c r="Y190" s="136"/>
    </row>
    <row r="191" spans="1:25" ht="12.95">
      <c r="A191" s="149"/>
      <c r="B191" s="135"/>
      <c r="C191" s="136"/>
      <c r="D191" s="137"/>
      <c r="E191" s="136"/>
      <c r="F191" s="136"/>
      <c r="G191" s="136"/>
      <c r="H191" s="136"/>
      <c r="I191" s="136"/>
      <c r="J191" s="136"/>
      <c r="K191" s="136"/>
      <c r="L191" s="136"/>
      <c r="M191" s="136"/>
      <c r="N191" s="136"/>
      <c r="O191" s="136"/>
      <c r="P191" s="136"/>
      <c r="Q191" s="136"/>
      <c r="R191" s="136"/>
      <c r="S191" s="136"/>
      <c r="T191" s="136"/>
      <c r="U191" s="136"/>
      <c r="V191" s="136"/>
      <c r="W191" s="136"/>
      <c r="X191" s="136"/>
      <c r="Y191" s="136"/>
    </row>
    <row r="192" spans="1:25" ht="12.95">
      <c r="A192" s="149"/>
      <c r="B192" s="135"/>
      <c r="C192" s="136"/>
      <c r="D192" s="137"/>
      <c r="E192" s="136"/>
      <c r="F192" s="136"/>
      <c r="G192" s="136"/>
      <c r="H192" s="136"/>
      <c r="I192" s="136"/>
      <c r="J192" s="136"/>
      <c r="K192" s="136"/>
      <c r="L192" s="136"/>
      <c r="M192" s="136"/>
      <c r="N192" s="136"/>
      <c r="O192" s="136"/>
      <c r="P192" s="136"/>
      <c r="Q192" s="136"/>
      <c r="R192" s="136"/>
      <c r="S192" s="136"/>
      <c r="T192" s="136"/>
      <c r="U192" s="136"/>
      <c r="V192" s="136"/>
      <c r="W192" s="136"/>
      <c r="X192" s="136"/>
      <c r="Y192" s="136"/>
    </row>
    <row r="193" spans="1:25" ht="12.95">
      <c r="A193" s="149"/>
      <c r="B193" s="135"/>
      <c r="C193" s="136"/>
      <c r="D193" s="137"/>
      <c r="E193" s="136"/>
      <c r="F193" s="136"/>
      <c r="G193" s="136"/>
      <c r="H193" s="136"/>
      <c r="I193" s="136"/>
      <c r="J193" s="136"/>
      <c r="K193" s="136"/>
      <c r="L193" s="136"/>
      <c r="M193" s="136"/>
      <c r="N193" s="136"/>
      <c r="O193" s="136"/>
      <c r="P193" s="136"/>
      <c r="Q193" s="136"/>
      <c r="R193" s="136"/>
      <c r="S193" s="136"/>
      <c r="T193" s="136"/>
      <c r="U193" s="136"/>
      <c r="V193" s="136"/>
      <c r="W193" s="136"/>
      <c r="X193" s="136"/>
      <c r="Y193" s="136"/>
    </row>
    <row r="194" spans="1:25" ht="12.95">
      <c r="A194" s="149"/>
      <c r="B194" s="135"/>
      <c r="C194" s="136"/>
      <c r="D194" s="137"/>
      <c r="E194" s="136"/>
      <c r="F194" s="136"/>
      <c r="G194" s="136"/>
      <c r="H194" s="136"/>
      <c r="I194" s="136"/>
      <c r="J194" s="136"/>
      <c r="K194" s="136"/>
      <c r="L194" s="136"/>
      <c r="M194" s="136"/>
      <c r="N194" s="136"/>
      <c r="O194" s="136"/>
      <c r="P194" s="136"/>
      <c r="Q194" s="136"/>
      <c r="R194" s="136"/>
      <c r="S194" s="136"/>
      <c r="T194" s="136"/>
      <c r="U194" s="136"/>
      <c r="V194" s="136"/>
      <c r="W194" s="136"/>
      <c r="X194" s="136"/>
      <c r="Y194" s="136"/>
    </row>
    <row r="195" spans="1:25" ht="12.95">
      <c r="A195" s="149"/>
      <c r="B195" s="135"/>
      <c r="C195" s="136"/>
      <c r="D195" s="137"/>
      <c r="E195" s="136"/>
      <c r="F195" s="136"/>
      <c r="G195" s="136"/>
      <c r="H195" s="136"/>
      <c r="I195" s="136"/>
      <c r="J195" s="136"/>
      <c r="K195" s="136"/>
      <c r="L195" s="136"/>
      <c r="M195" s="136"/>
      <c r="N195" s="136"/>
      <c r="O195" s="136"/>
      <c r="P195" s="136"/>
      <c r="Q195" s="136"/>
      <c r="R195" s="136"/>
      <c r="S195" s="136"/>
      <c r="T195" s="136"/>
      <c r="U195" s="136"/>
      <c r="V195" s="136"/>
      <c r="W195" s="136"/>
      <c r="X195" s="136"/>
      <c r="Y195" s="136"/>
    </row>
    <row r="196" spans="1:25" ht="12.95">
      <c r="A196" s="149"/>
      <c r="B196" s="135"/>
      <c r="C196" s="136"/>
      <c r="D196" s="137"/>
      <c r="E196" s="136"/>
      <c r="F196" s="136"/>
      <c r="G196" s="136"/>
      <c r="H196" s="136"/>
      <c r="I196" s="136"/>
      <c r="J196" s="136"/>
      <c r="K196" s="136"/>
      <c r="L196" s="136"/>
      <c r="M196" s="136"/>
      <c r="N196" s="136"/>
      <c r="O196" s="136"/>
      <c r="P196" s="136"/>
      <c r="Q196" s="136"/>
      <c r="R196" s="136"/>
      <c r="S196" s="136"/>
      <c r="T196" s="136"/>
      <c r="U196" s="136"/>
      <c r="V196" s="136"/>
      <c r="W196" s="136"/>
      <c r="X196" s="136"/>
      <c r="Y196" s="136"/>
    </row>
    <row r="197" spans="1:25" ht="12.95">
      <c r="A197" s="149"/>
      <c r="B197" s="135"/>
      <c r="C197" s="136"/>
      <c r="D197" s="137"/>
      <c r="E197" s="136"/>
      <c r="F197" s="136"/>
      <c r="G197" s="136"/>
      <c r="H197" s="136"/>
      <c r="I197" s="136"/>
      <c r="J197" s="136"/>
      <c r="K197" s="136"/>
      <c r="L197" s="136"/>
      <c r="M197" s="136"/>
      <c r="N197" s="136"/>
      <c r="O197" s="136"/>
      <c r="P197" s="136"/>
      <c r="Q197" s="136"/>
      <c r="R197" s="136"/>
      <c r="S197" s="136"/>
      <c r="T197" s="136"/>
      <c r="U197" s="136"/>
      <c r="V197" s="136"/>
      <c r="W197" s="136"/>
      <c r="X197" s="136"/>
      <c r="Y197" s="136"/>
    </row>
    <row r="198" spans="1:25" ht="12.95">
      <c r="A198" s="149"/>
      <c r="B198" s="135"/>
      <c r="C198" s="136"/>
      <c r="D198" s="137"/>
      <c r="E198" s="136"/>
      <c r="F198" s="136"/>
      <c r="G198" s="136"/>
      <c r="H198" s="136"/>
      <c r="I198" s="136"/>
      <c r="J198" s="136"/>
      <c r="K198" s="136"/>
      <c r="L198" s="136"/>
      <c r="M198" s="136"/>
      <c r="N198" s="136"/>
      <c r="O198" s="136"/>
      <c r="P198" s="136"/>
      <c r="Q198" s="136"/>
      <c r="R198" s="136"/>
      <c r="S198" s="136"/>
      <c r="T198" s="136"/>
      <c r="U198" s="136"/>
      <c r="V198" s="136"/>
      <c r="W198" s="136"/>
      <c r="X198" s="136"/>
      <c r="Y198" s="136"/>
    </row>
    <row r="199" spans="1:25" ht="12.95">
      <c r="A199" s="149"/>
      <c r="B199" s="135"/>
      <c r="C199" s="136"/>
      <c r="D199" s="137"/>
      <c r="E199" s="136"/>
      <c r="F199" s="136"/>
      <c r="G199" s="136"/>
      <c r="H199" s="136"/>
      <c r="I199" s="136"/>
      <c r="J199" s="136"/>
      <c r="K199" s="136"/>
      <c r="L199" s="136"/>
      <c r="M199" s="136"/>
      <c r="N199" s="136"/>
      <c r="O199" s="136"/>
      <c r="P199" s="136"/>
      <c r="Q199" s="136"/>
      <c r="R199" s="136"/>
      <c r="S199" s="136"/>
      <c r="T199" s="136"/>
      <c r="U199" s="136"/>
      <c r="V199" s="136"/>
      <c r="W199" s="136"/>
      <c r="X199" s="136"/>
      <c r="Y199" s="136"/>
    </row>
    <row r="200" spans="1:25" ht="12.95">
      <c r="A200" s="149"/>
      <c r="B200" s="135"/>
      <c r="C200" s="136"/>
      <c r="D200" s="137"/>
      <c r="E200" s="136"/>
      <c r="F200" s="136"/>
      <c r="G200" s="136"/>
      <c r="H200" s="136"/>
      <c r="I200" s="136"/>
      <c r="J200" s="136"/>
      <c r="K200" s="136"/>
      <c r="L200" s="136"/>
      <c r="M200" s="136"/>
      <c r="N200" s="136"/>
      <c r="O200" s="136"/>
      <c r="P200" s="136"/>
      <c r="Q200" s="136"/>
      <c r="R200" s="136"/>
      <c r="S200" s="136"/>
      <c r="T200" s="136"/>
      <c r="U200" s="136"/>
      <c r="V200" s="136"/>
      <c r="W200" s="136"/>
      <c r="X200" s="136"/>
      <c r="Y200" s="136"/>
    </row>
    <row r="201" spans="1:25" ht="12.95">
      <c r="A201" s="149"/>
      <c r="B201" s="135"/>
      <c r="C201" s="136"/>
      <c r="D201" s="137"/>
      <c r="E201" s="136"/>
      <c r="F201" s="136"/>
      <c r="G201" s="136"/>
      <c r="H201" s="136"/>
      <c r="I201" s="136"/>
      <c r="J201" s="136"/>
      <c r="K201" s="136"/>
      <c r="L201" s="136"/>
      <c r="M201" s="136"/>
      <c r="N201" s="136"/>
      <c r="O201" s="136"/>
      <c r="P201" s="136"/>
      <c r="Q201" s="136"/>
      <c r="R201" s="136"/>
      <c r="S201" s="136"/>
      <c r="T201" s="136"/>
      <c r="U201" s="136"/>
      <c r="V201" s="136"/>
      <c r="W201" s="136"/>
      <c r="X201" s="136"/>
      <c r="Y201" s="136"/>
    </row>
    <row r="202" spans="1:25" ht="12.95">
      <c r="A202" s="149"/>
      <c r="B202" s="135"/>
      <c r="C202" s="136"/>
      <c r="D202" s="137"/>
      <c r="E202" s="136"/>
      <c r="F202" s="136"/>
      <c r="G202" s="136"/>
      <c r="H202" s="136"/>
      <c r="I202" s="136"/>
      <c r="J202" s="136"/>
      <c r="K202" s="136"/>
      <c r="L202" s="136"/>
      <c r="M202" s="136"/>
      <c r="N202" s="136"/>
      <c r="O202" s="136"/>
      <c r="P202" s="136"/>
      <c r="Q202" s="136"/>
      <c r="R202" s="136"/>
      <c r="S202" s="136"/>
      <c r="T202" s="136"/>
      <c r="U202" s="136"/>
      <c r="V202" s="136"/>
      <c r="W202" s="136"/>
      <c r="X202" s="136"/>
      <c r="Y202" s="136"/>
    </row>
    <row r="203" spans="1:25" ht="12.95">
      <c r="A203" s="149"/>
      <c r="B203" s="135"/>
      <c r="C203" s="136"/>
      <c r="D203" s="137"/>
      <c r="E203" s="136"/>
      <c r="F203" s="136"/>
      <c r="G203" s="136"/>
      <c r="H203" s="136"/>
      <c r="I203" s="136"/>
      <c r="J203" s="136"/>
      <c r="K203" s="136"/>
      <c r="L203" s="136"/>
      <c r="M203" s="136"/>
      <c r="N203" s="136"/>
      <c r="O203" s="136"/>
      <c r="P203" s="136"/>
      <c r="Q203" s="136"/>
      <c r="R203" s="136"/>
      <c r="S203" s="136"/>
      <c r="T203" s="136"/>
      <c r="U203" s="136"/>
      <c r="V203" s="136"/>
      <c r="W203" s="136"/>
      <c r="X203" s="136"/>
      <c r="Y203" s="136"/>
    </row>
    <row r="204" spans="1:25" ht="12.95">
      <c r="A204" s="149"/>
      <c r="B204" s="135"/>
      <c r="C204" s="136"/>
      <c r="D204" s="137"/>
      <c r="E204" s="136"/>
      <c r="F204" s="136"/>
      <c r="G204" s="136"/>
      <c r="H204" s="136"/>
      <c r="I204" s="136"/>
      <c r="J204" s="136"/>
      <c r="K204" s="136"/>
      <c r="L204" s="136"/>
      <c r="M204" s="136"/>
      <c r="N204" s="136"/>
      <c r="O204" s="136"/>
      <c r="P204" s="136"/>
      <c r="Q204" s="136"/>
      <c r="R204" s="136"/>
      <c r="S204" s="136"/>
      <c r="T204" s="136"/>
      <c r="U204" s="136"/>
      <c r="V204" s="136"/>
      <c r="W204" s="136"/>
      <c r="X204" s="136"/>
      <c r="Y204" s="136"/>
    </row>
    <row r="205" spans="1:25" ht="12.95">
      <c r="A205" s="149"/>
      <c r="B205" s="135"/>
      <c r="C205" s="136"/>
      <c r="D205" s="137"/>
      <c r="E205" s="136"/>
      <c r="F205" s="136"/>
      <c r="G205" s="136"/>
      <c r="H205" s="136"/>
      <c r="I205" s="136"/>
      <c r="J205" s="136"/>
      <c r="K205" s="136"/>
      <c r="L205" s="136"/>
      <c r="M205" s="136"/>
      <c r="N205" s="136"/>
      <c r="O205" s="136"/>
      <c r="P205" s="136"/>
      <c r="Q205" s="136"/>
      <c r="R205" s="136"/>
      <c r="S205" s="136"/>
      <c r="T205" s="136"/>
      <c r="U205" s="136"/>
      <c r="V205" s="136"/>
      <c r="W205" s="136"/>
      <c r="X205" s="136"/>
      <c r="Y205" s="136"/>
    </row>
    <row r="206" spans="1:25" ht="12.95">
      <c r="A206" s="149"/>
      <c r="B206" s="135"/>
      <c r="C206" s="136"/>
      <c r="D206" s="137"/>
      <c r="E206" s="136"/>
      <c r="F206" s="136"/>
      <c r="G206" s="136"/>
      <c r="H206" s="136"/>
      <c r="I206" s="136"/>
      <c r="J206" s="136"/>
      <c r="K206" s="136"/>
      <c r="L206" s="136"/>
      <c r="M206" s="136"/>
      <c r="N206" s="136"/>
      <c r="O206" s="136"/>
      <c r="P206" s="136"/>
      <c r="Q206" s="136"/>
      <c r="R206" s="136"/>
      <c r="S206" s="136"/>
      <c r="T206" s="136"/>
      <c r="U206" s="136"/>
      <c r="V206" s="136"/>
      <c r="W206" s="136"/>
      <c r="X206" s="136"/>
      <c r="Y206" s="136"/>
    </row>
    <row r="207" spans="1:25" ht="12.95">
      <c r="A207" s="149"/>
      <c r="B207" s="135"/>
      <c r="C207" s="136"/>
      <c r="D207" s="137"/>
      <c r="E207" s="136"/>
      <c r="F207" s="136"/>
      <c r="G207" s="136"/>
      <c r="H207" s="136"/>
      <c r="I207" s="136"/>
      <c r="J207" s="136"/>
      <c r="K207" s="136"/>
      <c r="L207" s="136"/>
      <c r="M207" s="136"/>
      <c r="N207" s="136"/>
      <c r="O207" s="136"/>
      <c r="P207" s="136"/>
      <c r="Q207" s="136"/>
      <c r="R207" s="136"/>
      <c r="S207" s="136"/>
      <c r="T207" s="136"/>
      <c r="U207" s="136"/>
      <c r="V207" s="136"/>
      <c r="W207" s="136"/>
      <c r="X207" s="136"/>
      <c r="Y207" s="136"/>
    </row>
    <row r="208" spans="1:25" ht="12.95">
      <c r="A208" s="149"/>
      <c r="B208" s="135"/>
      <c r="C208" s="136"/>
      <c r="D208" s="137"/>
      <c r="E208" s="136"/>
      <c r="F208" s="136"/>
      <c r="G208" s="136"/>
      <c r="H208" s="136"/>
      <c r="I208" s="136"/>
      <c r="J208" s="136"/>
      <c r="K208" s="136"/>
      <c r="L208" s="136"/>
      <c r="M208" s="136"/>
      <c r="N208" s="136"/>
      <c r="O208" s="136"/>
      <c r="P208" s="136"/>
      <c r="Q208" s="136"/>
      <c r="R208" s="136"/>
      <c r="S208" s="136"/>
      <c r="T208" s="136"/>
      <c r="U208" s="136"/>
      <c r="V208" s="136"/>
      <c r="W208" s="136"/>
      <c r="X208" s="136"/>
      <c r="Y208" s="136"/>
    </row>
    <row r="209" spans="1:25" ht="12.95">
      <c r="A209" s="149"/>
      <c r="B209" s="135"/>
      <c r="C209" s="136"/>
      <c r="D209" s="137"/>
      <c r="E209" s="136"/>
      <c r="F209" s="136"/>
      <c r="G209" s="136"/>
      <c r="H209" s="136"/>
      <c r="I209" s="136"/>
      <c r="J209" s="136"/>
      <c r="K209" s="136"/>
      <c r="L209" s="136"/>
      <c r="M209" s="136"/>
      <c r="N209" s="136"/>
      <c r="O209" s="136"/>
      <c r="P209" s="136"/>
      <c r="Q209" s="136"/>
      <c r="R209" s="136"/>
      <c r="S209" s="136"/>
      <c r="T209" s="136"/>
      <c r="U209" s="136"/>
      <c r="V209" s="136"/>
      <c r="W209" s="136"/>
      <c r="X209" s="136"/>
      <c r="Y209" s="136"/>
    </row>
    <row r="210" spans="1:25" ht="12.95">
      <c r="A210" s="149"/>
      <c r="B210" s="135"/>
      <c r="C210" s="136"/>
      <c r="D210" s="137"/>
      <c r="E210" s="136"/>
      <c r="F210" s="136"/>
      <c r="G210" s="136"/>
      <c r="H210" s="136"/>
      <c r="I210" s="136"/>
      <c r="J210" s="136"/>
      <c r="K210" s="136"/>
      <c r="L210" s="136"/>
      <c r="M210" s="136"/>
      <c r="N210" s="136"/>
      <c r="O210" s="136"/>
      <c r="P210" s="136"/>
      <c r="Q210" s="136"/>
      <c r="R210" s="136"/>
      <c r="S210" s="136"/>
      <c r="T210" s="136"/>
      <c r="U210" s="136"/>
      <c r="V210" s="136"/>
      <c r="W210" s="136"/>
      <c r="X210" s="136"/>
      <c r="Y210" s="136"/>
    </row>
    <row r="211" spans="1:25" ht="12.95">
      <c r="A211" s="149"/>
      <c r="B211" s="135"/>
      <c r="C211" s="136"/>
      <c r="D211" s="137"/>
      <c r="E211" s="136"/>
      <c r="F211" s="136"/>
      <c r="G211" s="136"/>
      <c r="H211" s="136"/>
      <c r="I211" s="136"/>
      <c r="J211" s="136"/>
      <c r="K211" s="136"/>
      <c r="L211" s="136"/>
      <c r="M211" s="136"/>
      <c r="N211" s="136"/>
      <c r="O211" s="136"/>
      <c r="P211" s="136"/>
      <c r="Q211" s="136"/>
      <c r="R211" s="136"/>
      <c r="S211" s="136"/>
      <c r="T211" s="136"/>
      <c r="U211" s="136"/>
      <c r="V211" s="136"/>
      <c r="W211" s="136"/>
      <c r="X211" s="136"/>
      <c r="Y211" s="136"/>
    </row>
    <row r="212" spans="1:25" ht="12.95">
      <c r="A212" s="149"/>
      <c r="B212" s="135"/>
      <c r="C212" s="136"/>
      <c r="D212" s="137"/>
      <c r="E212" s="136"/>
      <c r="F212" s="136"/>
      <c r="G212" s="136"/>
      <c r="H212" s="136"/>
      <c r="I212" s="136"/>
      <c r="J212" s="136"/>
      <c r="K212" s="136"/>
      <c r="L212" s="136"/>
      <c r="M212" s="136"/>
      <c r="N212" s="136"/>
      <c r="O212" s="136"/>
      <c r="P212" s="136"/>
      <c r="Q212" s="136"/>
      <c r="R212" s="136"/>
      <c r="S212" s="136"/>
      <c r="T212" s="136"/>
      <c r="U212" s="136"/>
      <c r="V212" s="136"/>
      <c r="W212" s="136"/>
      <c r="X212" s="136"/>
      <c r="Y212" s="136"/>
    </row>
    <row r="213" spans="1:25" ht="12.95">
      <c r="A213" s="149"/>
      <c r="B213" s="135"/>
      <c r="C213" s="136"/>
      <c r="D213" s="137"/>
      <c r="E213" s="136"/>
      <c r="F213" s="136"/>
      <c r="G213" s="136"/>
      <c r="H213" s="136"/>
      <c r="I213" s="136"/>
      <c r="J213" s="136"/>
      <c r="K213" s="136"/>
      <c r="L213" s="136"/>
      <c r="M213" s="136"/>
      <c r="N213" s="136"/>
      <c r="O213" s="136"/>
      <c r="P213" s="136"/>
      <c r="Q213" s="136"/>
      <c r="R213" s="136"/>
      <c r="S213" s="136"/>
      <c r="T213" s="136"/>
      <c r="U213" s="136"/>
      <c r="V213" s="136"/>
      <c r="W213" s="136"/>
      <c r="X213" s="136"/>
      <c r="Y213" s="136"/>
    </row>
    <row r="214" spans="1:25" ht="12.95">
      <c r="A214" s="149"/>
      <c r="B214" s="135"/>
      <c r="C214" s="136"/>
      <c r="D214" s="137"/>
      <c r="E214" s="136"/>
      <c r="F214" s="136"/>
      <c r="G214" s="136"/>
      <c r="H214" s="136"/>
      <c r="I214" s="136"/>
      <c r="J214" s="136"/>
      <c r="K214" s="136"/>
      <c r="L214" s="136"/>
      <c r="M214" s="136"/>
      <c r="N214" s="136"/>
      <c r="O214" s="136"/>
      <c r="P214" s="136"/>
      <c r="Q214" s="136"/>
      <c r="R214" s="136"/>
      <c r="S214" s="136"/>
      <c r="T214" s="136"/>
      <c r="U214" s="136"/>
      <c r="V214" s="136"/>
      <c r="W214" s="136"/>
      <c r="X214" s="136"/>
      <c r="Y214" s="136"/>
    </row>
    <row r="215" spans="1:25" ht="12.95">
      <c r="A215" s="149"/>
      <c r="B215" s="135"/>
      <c r="C215" s="136"/>
      <c r="D215" s="137"/>
      <c r="E215" s="136"/>
      <c r="F215" s="136"/>
      <c r="G215" s="136"/>
      <c r="H215" s="136"/>
      <c r="I215" s="136"/>
      <c r="J215" s="136"/>
      <c r="K215" s="136"/>
      <c r="L215" s="136"/>
      <c r="M215" s="136"/>
      <c r="N215" s="136"/>
      <c r="O215" s="136"/>
      <c r="P215" s="136"/>
      <c r="Q215" s="136"/>
      <c r="R215" s="136"/>
      <c r="S215" s="136"/>
      <c r="T215" s="136"/>
      <c r="U215" s="136"/>
      <c r="V215" s="136"/>
      <c r="W215" s="136"/>
      <c r="X215" s="136"/>
      <c r="Y215" s="136"/>
    </row>
    <row r="216" spans="1:25" ht="12.95">
      <c r="A216" s="149"/>
      <c r="B216" s="135"/>
      <c r="C216" s="136"/>
      <c r="D216" s="137"/>
      <c r="E216" s="136"/>
      <c r="F216" s="136"/>
      <c r="G216" s="136"/>
      <c r="H216" s="136"/>
      <c r="I216" s="136"/>
      <c r="J216" s="136"/>
      <c r="K216" s="136"/>
      <c r="L216" s="136"/>
      <c r="M216" s="136"/>
      <c r="N216" s="136"/>
      <c r="O216" s="136"/>
      <c r="P216" s="136"/>
      <c r="Q216" s="136"/>
      <c r="R216" s="136"/>
      <c r="S216" s="136"/>
      <c r="T216" s="136"/>
      <c r="U216" s="136"/>
      <c r="V216" s="136"/>
      <c r="W216" s="136"/>
      <c r="X216" s="136"/>
      <c r="Y216" s="136"/>
    </row>
    <row r="217" spans="1:25" ht="12.95">
      <c r="A217" s="149"/>
      <c r="B217" s="135"/>
      <c r="C217" s="136"/>
      <c r="D217" s="137"/>
      <c r="E217" s="136"/>
      <c r="F217" s="136"/>
      <c r="G217" s="136"/>
      <c r="H217" s="136"/>
      <c r="I217" s="136"/>
      <c r="J217" s="136"/>
      <c r="K217" s="136"/>
      <c r="L217" s="136"/>
      <c r="M217" s="136"/>
      <c r="N217" s="136"/>
      <c r="O217" s="136"/>
      <c r="P217" s="136"/>
      <c r="Q217" s="136"/>
      <c r="R217" s="136"/>
      <c r="S217" s="136"/>
      <c r="T217" s="136"/>
      <c r="U217" s="136"/>
      <c r="V217" s="136"/>
      <c r="W217" s="136"/>
      <c r="X217" s="136"/>
      <c r="Y217" s="136"/>
    </row>
    <row r="218" spans="1:25" ht="12.95">
      <c r="A218" s="149"/>
      <c r="B218" s="135"/>
      <c r="C218" s="136"/>
      <c r="D218" s="137"/>
      <c r="E218" s="136"/>
      <c r="F218" s="136"/>
      <c r="G218" s="136"/>
      <c r="H218" s="136"/>
      <c r="I218" s="136"/>
      <c r="J218" s="136"/>
      <c r="K218" s="136"/>
      <c r="L218" s="136"/>
      <c r="M218" s="136"/>
      <c r="N218" s="136"/>
      <c r="O218" s="136"/>
      <c r="P218" s="136"/>
      <c r="Q218" s="136"/>
      <c r="R218" s="136"/>
      <c r="S218" s="136"/>
      <c r="T218" s="136"/>
      <c r="U218" s="136"/>
      <c r="V218" s="136"/>
      <c r="W218" s="136"/>
      <c r="X218" s="136"/>
      <c r="Y218" s="136"/>
    </row>
    <row r="219" spans="1:25" ht="12.95">
      <c r="A219" s="149"/>
      <c r="B219" s="135"/>
      <c r="C219" s="136"/>
      <c r="D219" s="137"/>
      <c r="E219" s="136"/>
      <c r="F219" s="136"/>
      <c r="G219" s="136"/>
      <c r="H219" s="136"/>
      <c r="I219" s="136"/>
      <c r="J219" s="136"/>
      <c r="K219" s="136"/>
      <c r="L219" s="136"/>
      <c r="M219" s="136"/>
      <c r="N219" s="136"/>
      <c r="O219" s="136"/>
      <c r="P219" s="136"/>
      <c r="Q219" s="136"/>
      <c r="R219" s="136"/>
      <c r="S219" s="136"/>
      <c r="T219" s="136"/>
      <c r="U219" s="136"/>
      <c r="V219" s="136"/>
      <c r="W219" s="136"/>
      <c r="X219" s="136"/>
      <c r="Y219" s="136"/>
    </row>
    <row r="220" spans="1:25" ht="12.95">
      <c r="A220" s="149"/>
      <c r="B220" s="135"/>
      <c r="C220" s="136"/>
      <c r="D220" s="137"/>
      <c r="E220" s="136"/>
      <c r="F220" s="136"/>
      <c r="G220" s="136"/>
      <c r="H220" s="136"/>
      <c r="I220" s="136"/>
      <c r="J220" s="136"/>
      <c r="K220" s="136"/>
      <c r="L220" s="136"/>
      <c r="M220" s="136"/>
      <c r="N220" s="136"/>
      <c r="O220" s="136"/>
      <c r="P220" s="136"/>
      <c r="Q220" s="136"/>
      <c r="R220" s="136"/>
      <c r="S220" s="136"/>
      <c r="T220" s="136"/>
      <c r="U220" s="136"/>
      <c r="V220" s="136"/>
      <c r="W220" s="136"/>
      <c r="X220" s="136"/>
      <c r="Y220" s="136"/>
    </row>
    <row r="221" spans="1:25" ht="12.95">
      <c r="A221" s="149"/>
      <c r="B221" s="135"/>
      <c r="C221" s="136"/>
      <c r="D221" s="137"/>
      <c r="E221" s="136"/>
      <c r="F221" s="136"/>
      <c r="G221" s="136"/>
      <c r="H221" s="136"/>
      <c r="I221" s="136"/>
      <c r="J221" s="136"/>
      <c r="K221" s="136"/>
      <c r="L221" s="136"/>
      <c r="M221" s="136"/>
      <c r="N221" s="136"/>
      <c r="O221" s="136"/>
      <c r="P221" s="136"/>
      <c r="Q221" s="136"/>
      <c r="R221" s="136"/>
      <c r="S221" s="136"/>
      <c r="T221" s="136"/>
      <c r="U221" s="136"/>
      <c r="V221" s="136"/>
      <c r="W221" s="136"/>
      <c r="X221" s="136"/>
      <c r="Y221" s="136"/>
    </row>
    <row r="222" spans="1:25" ht="12.95">
      <c r="A222" s="149"/>
      <c r="B222" s="135"/>
      <c r="C222" s="136"/>
      <c r="D222" s="137"/>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spans="1:25" ht="12.95">
      <c r="A223" s="149"/>
      <c r="B223" s="135"/>
      <c r="C223" s="136"/>
      <c r="D223" s="137"/>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spans="1:25" ht="12.95">
      <c r="A224" s="149"/>
      <c r="B224" s="135"/>
      <c r="C224" s="136"/>
      <c r="D224" s="137"/>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spans="1:25" ht="12.95">
      <c r="A225" s="149"/>
      <c r="B225" s="135"/>
      <c r="C225" s="136"/>
      <c r="D225" s="137"/>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spans="1:25" ht="12.95">
      <c r="A226" s="149"/>
      <c r="B226" s="135"/>
      <c r="C226" s="136"/>
      <c r="D226" s="137"/>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spans="1:25" ht="12.95">
      <c r="A227" s="149"/>
      <c r="B227" s="135"/>
      <c r="C227" s="136"/>
      <c r="D227" s="137"/>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spans="1:25" ht="12.95">
      <c r="A228" s="149"/>
      <c r="B228" s="135"/>
      <c r="C228" s="136"/>
      <c r="D228" s="137"/>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spans="1:25" ht="12.95">
      <c r="A229" s="149"/>
      <c r="B229" s="135"/>
      <c r="C229" s="136"/>
      <c r="D229" s="137"/>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spans="1:25" ht="12.95">
      <c r="A230" s="149"/>
      <c r="B230" s="135"/>
      <c r="C230" s="136"/>
      <c r="D230" s="137"/>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spans="1:25" ht="12.95">
      <c r="A231" s="149"/>
      <c r="B231" s="135"/>
      <c r="C231" s="136"/>
      <c r="D231" s="137"/>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spans="1:25" ht="12.95">
      <c r="A232" s="149"/>
      <c r="B232" s="135"/>
      <c r="C232" s="136"/>
      <c r="D232" s="137"/>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spans="1:25" ht="12.95">
      <c r="A233" s="149"/>
      <c r="B233" s="135"/>
      <c r="C233" s="136"/>
      <c r="D233" s="137"/>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spans="1:25" ht="12.95">
      <c r="A234" s="149"/>
      <c r="B234" s="135"/>
      <c r="C234" s="136"/>
      <c r="D234" s="137"/>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spans="1:25" ht="12.95">
      <c r="A235" s="149"/>
      <c r="B235" s="135"/>
      <c r="C235" s="136"/>
      <c r="D235" s="137"/>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spans="1:25" ht="12.95">
      <c r="A236" s="149"/>
      <c r="B236" s="135"/>
      <c r="C236" s="136"/>
      <c r="D236" s="137"/>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spans="1:25" ht="12.95">
      <c r="A237" s="149"/>
      <c r="B237" s="135"/>
      <c r="C237" s="136"/>
      <c r="D237" s="137"/>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spans="1:25" ht="12.95">
      <c r="A238" s="149"/>
      <c r="B238" s="135"/>
      <c r="C238" s="136"/>
      <c r="D238" s="137"/>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spans="1:25" ht="12.95">
      <c r="A239" s="149"/>
      <c r="B239" s="135"/>
      <c r="C239" s="136"/>
      <c r="D239" s="137"/>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spans="1:25" ht="12.95">
      <c r="A240" s="149"/>
      <c r="B240" s="135"/>
      <c r="C240" s="136"/>
      <c r="D240" s="137"/>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spans="1:25" ht="12.95">
      <c r="A241" s="149"/>
      <c r="B241" s="135"/>
      <c r="C241" s="136"/>
      <c r="D241" s="137"/>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spans="1:25" ht="12.95">
      <c r="A242" s="149"/>
      <c r="B242" s="135"/>
      <c r="C242" s="136"/>
      <c r="D242" s="137"/>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spans="1:25" ht="12.95">
      <c r="A243" s="149"/>
      <c r="B243" s="135"/>
      <c r="C243" s="136"/>
      <c r="D243" s="137"/>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spans="1:25" ht="12.95">
      <c r="A244" s="149"/>
      <c r="B244" s="135"/>
      <c r="C244" s="136"/>
      <c r="D244" s="137"/>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spans="1:25" ht="12.95">
      <c r="A245" s="149"/>
      <c r="B245" s="135"/>
      <c r="C245" s="136"/>
      <c r="D245" s="137"/>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spans="1:25" ht="12.95">
      <c r="A246" s="149"/>
      <c r="B246" s="135"/>
      <c r="C246" s="136"/>
      <c r="D246" s="137"/>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spans="1:25" ht="12.95">
      <c r="A247" s="149"/>
      <c r="B247" s="135"/>
      <c r="C247" s="136"/>
      <c r="D247" s="137"/>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spans="1:25" ht="12.95">
      <c r="A248" s="149"/>
      <c r="B248" s="135"/>
      <c r="C248" s="136"/>
      <c r="D248" s="137"/>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spans="1:25" ht="12.95">
      <c r="A249" s="149"/>
      <c r="B249" s="135"/>
      <c r="C249" s="136"/>
      <c r="D249" s="137"/>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spans="1:25" ht="12.95">
      <c r="A250" s="149"/>
      <c r="B250" s="135"/>
      <c r="C250" s="136"/>
      <c r="D250" s="137"/>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spans="1:25" ht="12.95">
      <c r="A251" s="149"/>
      <c r="B251" s="135"/>
      <c r="C251" s="136"/>
      <c r="D251" s="137"/>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spans="1:25" ht="12.95">
      <c r="A252" s="149"/>
      <c r="B252" s="135"/>
      <c r="C252" s="136"/>
      <c r="D252" s="137"/>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spans="1:25" ht="12.95">
      <c r="A253" s="149"/>
      <c r="B253" s="135"/>
      <c r="C253" s="136"/>
      <c r="D253" s="137"/>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spans="1:25" ht="12.95">
      <c r="A254" s="149"/>
      <c r="B254" s="135"/>
      <c r="C254" s="136"/>
      <c r="D254" s="137"/>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spans="1:25" ht="12.95">
      <c r="A255" s="149"/>
      <c r="B255" s="135"/>
      <c r="C255" s="136"/>
      <c r="D255" s="137"/>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spans="1:25" ht="12.95">
      <c r="A256" s="149"/>
      <c r="B256" s="135"/>
      <c r="C256" s="136"/>
      <c r="D256" s="137"/>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spans="1:25" ht="12.95">
      <c r="A257" s="149"/>
      <c r="B257" s="135"/>
      <c r="C257" s="136"/>
      <c r="D257" s="137"/>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spans="1:25" ht="12.95">
      <c r="A258" s="149"/>
      <c r="B258" s="135"/>
      <c r="C258" s="136"/>
      <c r="D258" s="137"/>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spans="1:25" ht="12.95">
      <c r="A259" s="149"/>
      <c r="B259" s="135"/>
      <c r="C259" s="136"/>
      <c r="D259" s="137"/>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spans="1:25" ht="12.95">
      <c r="A260" s="149"/>
      <c r="B260" s="135"/>
      <c r="C260" s="136"/>
      <c r="D260" s="137"/>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spans="1:25" ht="12.95">
      <c r="A261" s="149"/>
      <c r="B261" s="135"/>
      <c r="C261" s="136"/>
      <c r="D261" s="137"/>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spans="1:25" ht="12.95">
      <c r="A262" s="149"/>
      <c r="B262" s="135"/>
      <c r="C262" s="136"/>
      <c r="D262" s="137"/>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spans="1:25" ht="12.95">
      <c r="A263" s="149"/>
      <c r="B263" s="135"/>
      <c r="C263" s="136"/>
      <c r="D263" s="137"/>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spans="1:25" ht="12.95">
      <c r="A264" s="149"/>
      <c r="B264" s="135"/>
      <c r="C264" s="136"/>
      <c r="D264" s="137"/>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spans="1:25" ht="12.95">
      <c r="A265" s="149"/>
      <c r="B265" s="135"/>
      <c r="C265" s="136"/>
      <c r="D265" s="137"/>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spans="1:25" ht="12.95">
      <c r="A266" s="149"/>
      <c r="B266" s="135"/>
      <c r="C266" s="136"/>
      <c r="D266" s="137"/>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spans="1:25" ht="12.95">
      <c r="A267" s="149"/>
      <c r="B267" s="135"/>
      <c r="C267" s="136"/>
      <c r="D267" s="137"/>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spans="1:25" ht="12.95">
      <c r="A268" s="149"/>
      <c r="B268" s="135"/>
      <c r="C268" s="136"/>
      <c r="D268" s="137"/>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spans="1:25" ht="12.95">
      <c r="A269" s="149"/>
      <c r="B269" s="135"/>
      <c r="C269" s="136"/>
      <c r="D269" s="137"/>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spans="1:25" ht="12.95">
      <c r="A270" s="149"/>
      <c r="B270" s="135"/>
      <c r="C270" s="136"/>
      <c r="D270" s="137"/>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spans="1:25" ht="12.95">
      <c r="A271" s="149"/>
      <c r="B271" s="135"/>
      <c r="C271" s="136"/>
      <c r="D271" s="137"/>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spans="1:25" ht="12.95">
      <c r="A272" s="149"/>
      <c r="B272" s="135"/>
      <c r="C272" s="136"/>
      <c r="D272" s="137"/>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spans="1:25" ht="12.95">
      <c r="A273" s="149"/>
      <c r="B273" s="135"/>
      <c r="C273" s="136"/>
      <c r="D273" s="137"/>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spans="1:25" ht="12.95">
      <c r="A274" s="149"/>
      <c r="B274" s="135"/>
      <c r="C274" s="136"/>
      <c r="D274" s="137"/>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spans="1:25" ht="12.95">
      <c r="A275" s="149"/>
      <c r="B275" s="135"/>
      <c r="C275" s="136"/>
      <c r="D275" s="137"/>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spans="1:25" ht="12.95">
      <c r="A276" s="149"/>
      <c r="B276" s="135"/>
      <c r="C276" s="136"/>
      <c r="D276" s="137"/>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spans="1:25" ht="12.95">
      <c r="A277" s="149"/>
      <c r="B277" s="135"/>
      <c r="C277" s="136"/>
      <c r="D277" s="137"/>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spans="1:25" ht="12.95">
      <c r="A278" s="149"/>
      <c r="B278" s="135"/>
      <c r="C278" s="136"/>
      <c r="D278" s="137"/>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spans="1:25" ht="12.95">
      <c r="A279" s="149"/>
      <c r="B279" s="135"/>
      <c r="C279" s="136"/>
      <c r="D279" s="137"/>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spans="1:25" ht="12.95">
      <c r="A280" s="149"/>
      <c r="B280" s="135"/>
      <c r="C280" s="136"/>
      <c r="D280" s="137"/>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spans="1:25" ht="12.95">
      <c r="A281" s="149"/>
      <c r="B281" s="135"/>
      <c r="C281" s="136"/>
      <c r="D281" s="137"/>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spans="1:25" ht="12.95">
      <c r="A282" s="149"/>
      <c r="B282" s="135"/>
      <c r="C282" s="136"/>
      <c r="D282" s="137"/>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spans="1:25" ht="12.95">
      <c r="A283" s="149"/>
      <c r="B283" s="135"/>
      <c r="C283" s="136"/>
      <c r="D283" s="137"/>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spans="1:25" ht="12.95">
      <c r="A284" s="149"/>
      <c r="B284" s="135"/>
      <c r="C284" s="136"/>
      <c r="D284" s="137"/>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spans="1:25" ht="12.95">
      <c r="A285" s="149"/>
      <c r="B285" s="135"/>
      <c r="C285" s="136"/>
      <c r="D285" s="137"/>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spans="1:25" ht="12.95">
      <c r="A286" s="149"/>
      <c r="B286" s="135"/>
      <c r="C286" s="136"/>
      <c r="D286" s="137"/>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spans="1:25" ht="12.95">
      <c r="A287" s="149"/>
      <c r="B287" s="135"/>
      <c r="C287" s="136"/>
      <c r="D287" s="137"/>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spans="1:25" ht="12.95">
      <c r="A288" s="149"/>
      <c r="B288" s="135"/>
      <c r="C288" s="136"/>
      <c r="D288" s="137"/>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spans="1:25" ht="12.95">
      <c r="A289" s="149"/>
      <c r="B289" s="135"/>
      <c r="C289" s="136"/>
      <c r="D289" s="137"/>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spans="1:25" ht="12.95">
      <c r="A290" s="149"/>
      <c r="B290" s="135"/>
      <c r="C290" s="136"/>
      <c r="D290" s="137"/>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spans="1:25" ht="12.95">
      <c r="A291" s="149"/>
      <c r="B291" s="135"/>
      <c r="C291" s="136"/>
      <c r="D291" s="137"/>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spans="1:25" ht="12.95">
      <c r="A292" s="149"/>
      <c r="B292" s="135"/>
      <c r="C292" s="136"/>
      <c r="D292" s="137"/>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spans="1:25" ht="12.95">
      <c r="A293" s="149"/>
      <c r="B293" s="135"/>
      <c r="C293" s="136"/>
      <c r="D293" s="137"/>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spans="1:25" ht="12.95">
      <c r="A294" s="149"/>
      <c r="B294" s="135"/>
      <c r="C294" s="136"/>
      <c r="D294" s="137"/>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spans="1:25" ht="12.95">
      <c r="A295" s="149"/>
      <c r="B295" s="135"/>
      <c r="C295" s="136"/>
      <c r="D295" s="137"/>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spans="1:25" ht="12.95">
      <c r="A296" s="149"/>
      <c r="B296" s="135"/>
      <c r="C296" s="136"/>
      <c r="D296" s="137"/>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spans="1:25" ht="12.95">
      <c r="A297" s="149"/>
      <c r="B297" s="135"/>
      <c r="C297" s="136"/>
      <c r="D297" s="137"/>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spans="1:25" ht="12.95">
      <c r="A298" s="149"/>
      <c r="B298" s="135"/>
      <c r="C298" s="136"/>
      <c r="D298" s="137"/>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spans="1:25" ht="12.95">
      <c r="A299" s="149"/>
      <c r="B299" s="135"/>
      <c r="C299" s="136"/>
      <c r="D299" s="137"/>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spans="1:25" ht="12.95">
      <c r="A300" s="149"/>
      <c r="B300" s="135"/>
      <c r="C300" s="136"/>
      <c r="D300" s="137"/>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spans="1:25" ht="12.95">
      <c r="A301" s="149"/>
      <c r="B301" s="135"/>
      <c r="C301" s="136"/>
      <c r="D301" s="137"/>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spans="1:25" ht="12.95">
      <c r="A302" s="149"/>
      <c r="B302" s="135"/>
      <c r="C302" s="136"/>
      <c r="D302" s="137"/>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spans="1:25" ht="12.95">
      <c r="A303" s="149"/>
      <c r="B303" s="135"/>
      <c r="C303" s="136"/>
      <c r="D303" s="137"/>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spans="1:25" ht="12.95">
      <c r="A304" s="149"/>
      <c r="B304" s="135"/>
      <c r="C304" s="136"/>
      <c r="D304" s="137"/>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spans="1:25" ht="12.95">
      <c r="A305" s="149"/>
      <c r="B305" s="135"/>
      <c r="C305" s="136"/>
      <c r="D305" s="137"/>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spans="1:25" ht="12.95">
      <c r="A306" s="149"/>
      <c r="B306" s="135"/>
      <c r="C306" s="136"/>
      <c r="D306" s="137"/>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spans="1:25" ht="12.95">
      <c r="A307" s="149"/>
      <c r="B307" s="135"/>
      <c r="C307" s="136"/>
      <c r="D307" s="137"/>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spans="1:25" ht="12.95">
      <c r="A308" s="149"/>
      <c r="B308" s="135"/>
      <c r="C308" s="136"/>
      <c r="D308" s="137"/>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spans="1:25" ht="12.95">
      <c r="A309" s="149"/>
      <c r="B309" s="135"/>
      <c r="C309" s="136"/>
      <c r="D309" s="137"/>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spans="1:25" ht="12.95">
      <c r="A310" s="149"/>
      <c r="B310" s="135"/>
      <c r="C310" s="136"/>
      <c r="D310" s="137"/>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spans="1:25" ht="12.95">
      <c r="A311" s="149"/>
      <c r="B311" s="135"/>
      <c r="C311" s="136"/>
      <c r="D311" s="137"/>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spans="1:25" ht="12.95">
      <c r="A312" s="149"/>
      <c r="B312" s="135"/>
      <c r="C312" s="136"/>
      <c r="D312" s="137"/>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spans="1:25" ht="12.95">
      <c r="A313" s="149"/>
      <c r="B313" s="135"/>
      <c r="C313" s="136"/>
      <c r="D313" s="137"/>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spans="1:25" ht="12.95">
      <c r="A314" s="149"/>
      <c r="B314" s="135"/>
      <c r="C314" s="136"/>
      <c r="D314" s="137"/>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spans="1:25" ht="12.95">
      <c r="A315" s="149"/>
      <c r="B315" s="135"/>
      <c r="C315" s="136"/>
      <c r="D315" s="137"/>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spans="1:25" ht="12.95">
      <c r="A316" s="149"/>
      <c r="B316" s="135"/>
      <c r="C316" s="136"/>
      <c r="D316" s="137"/>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spans="1:25" ht="12.95">
      <c r="A317" s="149"/>
      <c r="B317" s="135"/>
      <c r="C317" s="136"/>
      <c r="D317" s="137"/>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spans="1:25" ht="12.95">
      <c r="A318" s="149"/>
      <c r="B318" s="135"/>
      <c r="C318" s="136"/>
      <c r="D318" s="137"/>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spans="1:25" ht="12.95">
      <c r="A319" s="149"/>
      <c r="B319" s="135"/>
      <c r="C319" s="136"/>
      <c r="D319" s="137"/>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spans="1:25" ht="12.95">
      <c r="A320" s="149"/>
      <c r="B320" s="135"/>
      <c r="C320" s="136"/>
      <c r="D320" s="137"/>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spans="1:25" ht="12.95">
      <c r="A321" s="149"/>
      <c r="B321" s="135"/>
      <c r="C321" s="136"/>
      <c r="D321" s="137"/>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spans="1:25" ht="12.95">
      <c r="A322" s="149"/>
      <c r="B322" s="135"/>
      <c r="C322" s="136"/>
      <c r="D322" s="137"/>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spans="1:25" ht="12.95">
      <c r="A323" s="149"/>
      <c r="B323" s="135"/>
      <c r="C323" s="136"/>
      <c r="D323" s="137"/>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spans="1:25" ht="12.95">
      <c r="A324" s="149"/>
      <c r="B324" s="135"/>
      <c r="C324" s="136"/>
      <c r="D324" s="137"/>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spans="1:25" ht="12.95">
      <c r="A325" s="149"/>
      <c r="B325" s="135"/>
      <c r="C325" s="136"/>
      <c r="D325" s="137"/>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spans="1:25" ht="12.95">
      <c r="A326" s="149"/>
      <c r="B326" s="135"/>
      <c r="C326" s="136"/>
      <c r="D326" s="137"/>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spans="1:25" ht="12.95">
      <c r="A327" s="149"/>
      <c r="B327" s="135"/>
      <c r="C327" s="136"/>
      <c r="D327" s="137"/>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spans="1:25" ht="12.95">
      <c r="A328" s="149"/>
      <c r="B328" s="135"/>
      <c r="C328" s="136"/>
      <c r="D328" s="137"/>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spans="1:25" ht="12.95">
      <c r="A329" s="149"/>
      <c r="B329" s="135"/>
      <c r="C329" s="136"/>
      <c r="D329" s="137"/>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spans="1:25" ht="12.95">
      <c r="A330" s="149"/>
      <c r="B330" s="135"/>
      <c r="C330" s="136"/>
      <c r="D330" s="137"/>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spans="1:25" ht="12.95">
      <c r="A331" s="149"/>
      <c r="B331" s="135"/>
      <c r="C331" s="136"/>
      <c r="D331" s="137"/>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spans="1:25" ht="12.95">
      <c r="A332" s="149"/>
      <c r="B332" s="135"/>
      <c r="C332" s="136"/>
      <c r="D332" s="137"/>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spans="1:25" ht="12.95">
      <c r="A333" s="149"/>
      <c r="B333" s="135"/>
      <c r="C333" s="136"/>
      <c r="D333" s="137"/>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spans="1:25" ht="12.95">
      <c r="A334" s="149"/>
      <c r="B334" s="135"/>
      <c r="C334" s="136"/>
      <c r="D334" s="137"/>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spans="1:25" ht="12.95">
      <c r="A335" s="149"/>
      <c r="B335" s="135"/>
      <c r="C335" s="136"/>
      <c r="D335" s="137"/>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spans="1:25" ht="12.95">
      <c r="A336" s="149"/>
      <c r="B336" s="135"/>
      <c r="C336" s="136"/>
      <c r="D336" s="137"/>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spans="1:25" ht="12.95">
      <c r="A337" s="149"/>
      <c r="B337" s="135"/>
      <c r="C337" s="136"/>
      <c r="D337" s="137"/>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spans="1:25" ht="12.95">
      <c r="A338" s="149"/>
      <c r="B338" s="135"/>
      <c r="C338" s="136"/>
      <c r="D338" s="137"/>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spans="1:25" ht="12.95">
      <c r="A339" s="149"/>
      <c r="B339" s="135"/>
      <c r="C339" s="136"/>
      <c r="D339" s="137"/>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spans="1:25" ht="12.95">
      <c r="A340" s="149"/>
      <c r="B340" s="135"/>
      <c r="C340" s="136"/>
      <c r="D340" s="137"/>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spans="1:25" ht="12.95">
      <c r="A341" s="149"/>
      <c r="B341" s="135"/>
      <c r="C341" s="136"/>
      <c r="D341" s="137"/>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spans="1:25" ht="12.95">
      <c r="A342" s="149"/>
      <c r="B342" s="135"/>
      <c r="C342" s="136"/>
      <c r="D342" s="137"/>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spans="1:25" ht="12.95">
      <c r="A343" s="149"/>
      <c r="B343" s="135"/>
      <c r="C343" s="136"/>
      <c r="D343" s="137"/>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spans="1:25" ht="12.95">
      <c r="A344" s="149"/>
      <c r="B344" s="135"/>
      <c r="C344" s="136"/>
      <c r="D344" s="137"/>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spans="1:25" ht="12.95">
      <c r="A345" s="149"/>
      <c r="B345" s="135"/>
      <c r="C345" s="136"/>
      <c r="D345" s="137"/>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spans="1:25" ht="12.95">
      <c r="A346" s="149"/>
      <c r="B346" s="135"/>
      <c r="C346" s="136"/>
      <c r="D346" s="137"/>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spans="1:25" ht="12.95">
      <c r="A347" s="149"/>
      <c r="B347" s="135"/>
      <c r="C347" s="136"/>
      <c r="D347" s="137"/>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spans="1:25" ht="12.95">
      <c r="A348" s="149"/>
      <c r="B348" s="135"/>
      <c r="C348" s="136"/>
      <c r="D348" s="137"/>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spans="1:25" ht="12.95">
      <c r="A349" s="149"/>
      <c r="B349" s="135"/>
      <c r="C349" s="136"/>
      <c r="D349" s="137"/>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spans="1:25" ht="12.95">
      <c r="A350" s="149"/>
      <c r="B350" s="135"/>
      <c r="C350" s="136"/>
      <c r="D350" s="137"/>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spans="1:25" ht="12.95">
      <c r="A351" s="149"/>
      <c r="B351" s="135"/>
      <c r="C351" s="136"/>
      <c r="D351" s="137"/>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spans="1:25" ht="12.95">
      <c r="A352" s="149"/>
      <c r="B352" s="135"/>
      <c r="C352" s="136"/>
      <c r="D352" s="137"/>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spans="1:25" ht="12.95">
      <c r="A353" s="149"/>
      <c r="B353" s="135"/>
      <c r="C353" s="136"/>
      <c r="D353" s="137"/>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spans="1:25" ht="12.95">
      <c r="A354" s="149"/>
      <c r="B354" s="135"/>
      <c r="C354" s="136"/>
      <c r="D354" s="137"/>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spans="1:25" ht="12.95">
      <c r="A355" s="149"/>
      <c r="B355" s="135"/>
      <c r="C355" s="136"/>
      <c r="D355" s="137"/>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spans="1:25" ht="12.95">
      <c r="A356" s="149"/>
      <c r="B356" s="135"/>
      <c r="C356" s="136"/>
      <c r="D356" s="137"/>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spans="1:25" ht="12.95">
      <c r="A357" s="149"/>
      <c r="B357" s="135"/>
      <c r="C357" s="136"/>
      <c r="D357" s="137"/>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spans="1:25" ht="12.95">
      <c r="A358" s="149"/>
      <c r="B358" s="135"/>
      <c r="C358" s="136"/>
      <c r="D358" s="137"/>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spans="1:25" ht="12.95">
      <c r="A359" s="149"/>
      <c r="B359" s="135"/>
      <c r="C359" s="136"/>
      <c r="D359" s="137"/>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spans="1:25" ht="12.95">
      <c r="A360" s="149"/>
      <c r="B360" s="135"/>
      <c r="C360" s="136"/>
      <c r="D360" s="137"/>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spans="1:25" ht="12.95">
      <c r="A361" s="149"/>
      <c r="B361" s="135"/>
      <c r="C361" s="136"/>
      <c r="D361" s="137"/>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spans="1:25" ht="12.95">
      <c r="A362" s="149"/>
      <c r="B362" s="135"/>
      <c r="C362" s="136"/>
      <c r="D362" s="137"/>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spans="1:25" ht="12.95">
      <c r="A363" s="149"/>
      <c r="B363" s="135"/>
      <c r="C363" s="136"/>
      <c r="D363" s="137"/>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spans="1:25" ht="12.95">
      <c r="A364" s="149"/>
      <c r="B364" s="135"/>
      <c r="C364" s="136"/>
      <c r="D364" s="137"/>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spans="1:25" ht="12.95">
      <c r="A365" s="149"/>
      <c r="B365" s="135"/>
      <c r="C365" s="136"/>
      <c r="D365" s="137"/>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spans="1:25" ht="12.95">
      <c r="A366" s="149"/>
      <c r="B366" s="135"/>
      <c r="C366" s="136"/>
      <c r="D366" s="137"/>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spans="1:25" ht="12.95">
      <c r="A367" s="149"/>
      <c r="B367" s="135"/>
      <c r="C367" s="136"/>
      <c r="D367" s="137"/>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spans="1:25" ht="12.95">
      <c r="A368" s="149"/>
      <c r="B368" s="135"/>
      <c r="C368" s="136"/>
      <c r="D368" s="137"/>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spans="1:25" ht="12.95">
      <c r="A369" s="149"/>
      <c r="B369" s="135"/>
      <c r="C369" s="136"/>
      <c r="D369" s="137"/>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spans="1:25" ht="12.95">
      <c r="A370" s="149"/>
      <c r="B370" s="135"/>
      <c r="C370" s="136"/>
      <c r="D370" s="137"/>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spans="1:25" ht="12.95">
      <c r="A371" s="149"/>
      <c r="B371" s="135"/>
      <c r="C371" s="136"/>
      <c r="D371" s="137"/>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spans="1:25" ht="12.95">
      <c r="A372" s="149"/>
      <c r="B372" s="135"/>
      <c r="C372" s="136"/>
      <c r="D372" s="137"/>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spans="1:25" ht="12.95">
      <c r="A373" s="149"/>
      <c r="B373" s="135"/>
      <c r="C373" s="136"/>
      <c r="D373" s="137"/>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spans="1:25" ht="12.95">
      <c r="A374" s="149"/>
      <c r="B374" s="135"/>
      <c r="C374" s="136"/>
      <c r="D374" s="137"/>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spans="1:25" ht="12.95">
      <c r="A375" s="149"/>
      <c r="B375" s="135"/>
      <c r="C375" s="136"/>
      <c r="D375" s="137"/>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spans="1:25" ht="12.95">
      <c r="A376" s="149"/>
      <c r="B376" s="135"/>
      <c r="C376" s="136"/>
      <c r="D376" s="137"/>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spans="1:25" ht="12.95">
      <c r="A377" s="149"/>
      <c r="B377" s="135"/>
      <c r="C377" s="136"/>
      <c r="D377" s="137"/>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spans="1:25" ht="12.95">
      <c r="A378" s="149"/>
      <c r="B378" s="135"/>
      <c r="C378" s="136"/>
      <c r="D378" s="137"/>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spans="1:25" ht="12.95">
      <c r="A379" s="149"/>
      <c r="B379" s="135"/>
      <c r="C379" s="136"/>
      <c r="D379" s="137"/>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spans="1:25" ht="12.95">
      <c r="A380" s="149"/>
      <c r="B380" s="135"/>
      <c r="C380" s="136"/>
      <c r="D380" s="137"/>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spans="1:25" ht="12.95">
      <c r="A381" s="149"/>
      <c r="B381" s="135"/>
      <c r="C381" s="136"/>
      <c r="D381" s="137"/>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spans="1:25" ht="12.95">
      <c r="A382" s="149"/>
      <c r="B382" s="135"/>
      <c r="C382" s="136"/>
      <c r="D382" s="137"/>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spans="1:25" ht="12.95">
      <c r="A383" s="149"/>
      <c r="B383" s="135"/>
      <c r="C383" s="136"/>
      <c r="D383" s="137"/>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spans="1:25" ht="12.95">
      <c r="A384" s="149"/>
      <c r="B384" s="135"/>
      <c r="C384" s="136"/>
      <c r="D384" s="137"/>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spans="1:25" ht="12.95">
      <c r="A385" s="149"/>
      <c r="B385" s="135"/>
      <c r="C385" s="136"/>
      <c r="D385" s="137"/>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spans="1:25" ht="12.95">
      <c r="A386" s="149"/>
      <c r="B386" s="135"/>
      <c r="C386" s="136"/>
      <c r="D386" s="137"/>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spans="1:25" ht="12.95">
      <c r="A387" s="149"/>
      <c r="B387" s="135"/>
      <c r="C387" s="136"/>
      <c r="D387" s="137"/>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spans="1:25" ht="12.95">
      <c r="A388" s="149"/>
      <c r="B388" s="135"/>
      <c r="C388" s="136"/>
      <c r="D388" s="137"/>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spans="1:25" ht="12.95">
      <c r="A389" s="149"/>
      <c r="B389" s="135"/>
      <c r="C389" s="136"/>
      <c r="D389" s="137"/>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spans="1:25" ht="12.95">
      <c r="A390" s="149"/>
      <c r="B390" s="135"/>
      <c r="C390" s="136"/>
      <c r="D390" s="137"/>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spans="1:25" ht="12.95">
      <c r="A391" s="149"/>
      <c r="B391" s="135"/>
      <c r="C391" s="136"/>
      <c r="D391" s="137"/>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spans="1:25" ht="12.95">
      <c r="A392" s="149"/>
      <c r="B392" s="135"/>
      <c r="C392" s="136"/>
      <c r="D392" s="137"/>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spans="1:25" ht="12.95">
      <c r="A393" s="149"/>
      <c r="B393" s="135"/>
      <c r="C393" s="136"/>
      <c r="D393" s="137"/>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spans="1:25" ht="12.95">
      <c r="A394" s="149"/>
      <c r="B394" s="135"/>
      <c r="C394" s="136"/>
      <c r="D394" s="137"/>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spans="1:25" ht="12.95">
      <c r="A395" s="149"/>
      <c r="B395" s="135"/>
      <c r="C395" s="136"/>
      <c r="D395" s="137"/>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spans="1:25" ht="12.95">
      <c r="A396" s="149"/>
      <c r="B396" s="135"/>
      <c r="C396" s="136"/>
      <c r="D396" s="137"/>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spans="1:25" ht="12.95">
      <c r="A397" s="149"/>
      <c r="B397" s="135"/>
      <c r="C397" s="136"/>
      <c r="D397" s="137"/>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spans="1:25" ht="12.95">
      <c r="A398" s="149"/>
      <c r="B398" s="135"/>
      <c r="C398" s="136"/>
      <c r="D398" s="137"/>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spans="1:25" ht="12.95">
      <c r="A399" s="149"/>
      <c r="B399" s="135"/>
      <c r="C399" s="136"/>
      <c r="D399" s="137"/>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spans="1:25" ht="12.95">
      <c r="A400" s="149"/>
      <c r="B400" s="135"/>
      <c r="C400" s="136"/>
      <c r="D400" s="137"/>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spans="1:25" ht="12.95">
      <c r="A401" s="149"/>
      <c r="B401" s="135"/>
      <c r="C401" s="136"/>
      <c r="D401" s="137"/>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spans="1:25" ht="12.95">
      <c r="A402" s="149"/>
      <c r="B402" s="135"/>
      <c r="C402" s="136"/>
      <c r="D402" s="137"/>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spans="1:25" ht="12.95">
      <c r="A403" s="149"/>
      <c r="B403" s="135"/>
      <c r="C403" s="136"/>
      <c r="D403" s="137"/>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spans="1:25" ht="12.95">
      <c r="A404" s="149"/>
      <c r="B404" s="135"/>
      <c r="C404" s="136"/>
      <c r="D404" s="137"/>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spans="1:25" ht="12.95">
      <c r="A405" s="149"/>
      <c r="B405" s="135"/>
      <c r="C405" s="136"/>
      <c r="D405" s="137"/>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spans="1:25" ht="12.95">
      <c r="A406" s="149"/>
      <c r="B406" s="135"/>
      <c r="C406" s="136"/>
      <c r="D406" s="137"/>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spans="1:25" ht="12.95">
      <c r="A407" s="149"/>
      <c r="B407" s="135"/>
      <c r="C407" s="136"/>
      <c r="D407" s="137"/>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spans="1:25" ht="12.95">
      <c r="A408" s="149"/>
      <c r="B408" s="135"/>
      <c r="C408" s="136"/>
      <c r="D408" s="137"/>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spans="1:25" ht="12.95">
      <c r="A409" s="149"/>
      <c r="B409" s="135"/>
      <c r="C409" s="136"/>
      <c r="D409" s="137"/>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spans="1:25" ht="12.95">
      <c r="A410" s="149"/>
      <c r="B410" s="135"/>
      <c r="C410" s="136"/>
      <c r="D410" s="137"/>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spans="1:25" ht="12.95">
      <c r="A411" s="149"/>
      <c r="B411" s="135"/>
      <c r="C411" s="136"/>
      <c r="D411" s="137"/>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spans="1:25" ht="12.95">
      <c r="A412" s="149"/>
      <c r="B412" s="135"/>
      <c r="C412" s="136"/>
      <c r="D412" s="137"/>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spans="1:25" ht="12.95">
      <c r="A413" s="149"/>
      <c r="B413" s="135"/>
      <c r="C413" s="136"/>
      <c r="D413" s="137"/>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spans="1:25" ht="12.95">
      <c r="A414" s="149"/>
      <c r="B414" s="135"/>
      <c r="C414" s="136"/>
      <c r="D414" s="137"/>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spans="1:25" ht="12.95">
      <c r="A415" s="149"/>
      <c r="B415" s="135"/>
      <c r="C415" s="136"/>
      <c r="D415" s="137"/>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spans="1:25" ht="12.95">
      <c r="A416" s="149"/>
      <c r="B416" s="135"/>
      <c r="C416" s="136"/>
      <c r="D416" s="137"/>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spans="1:25" ht="12.95">
      <c r="A417" s="149"/>
      <c r="B417" s="135"/>
      <c r="C417" s="136"/>
      <c r="D417" s="137"/>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spans="1:25" ht="12.95">
      <c r="A418" s="149"/>
      <c r="B418" s="135"/>
      <c r="C418" s="136"/>
      <c r="D418" s="137"/>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spans="1:25" ht="12.95">
      <c r="A419" s="149"/>
      <c r="B419" s="135"/>
      <c r="C419" s="136"/>
      <c r="D419" s="137"/>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spans="1:25" ht="12.95">
      <c r="A420" s="149"/>
      <c r="B420" s="135"/>
      <c r="C420" s="136"/>
      <c r="D420" s="137"/>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spans="1:25" ht="12.95">
      <c r="A421" s="149"/>
      <c r="B421" s="135"/>
      <c r="C421" s="136"/>
      <c r="D421" s="137"/>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spans="1:25" ht="12.95">
      <c r="A422" s="149"/>
      <c r="B422" s="135"/>
      <c r="C422" s="136"/>
      <c r="D422" s="137"/>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spans="1:25" ht="12.95">
      <c r="A423" s="149"/>
      <c r="B423" s="135"/>
      <c r="C423" s="136"/>
      <c r="D423" s="137"/>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spans="1:25" ht="12.95">
      <c r="A424" s="149"/>
      <c r="B424" s="135"/>
      <c r="C424" s="136"/>
      <c r="D424" s="137"/>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spans="1:25" ht="12.95">
      <c r="A425" s="149"/>
      <c r="B425" s="135"/>
      <c r="C425" s="136"/>
      <c r="D425" s="137"/>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spans="1:25" ht="12.95">
      <c r="A426" s="149"/>
      <c r="B426" s="135"/>
      <c r="C426" s="136"/>
      <c r="D426" s="137"/>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spans="1:25" ht="12.95">
      <c r="A427" s="149"/>
      <c r="B427" s="135"/>
      <c r="C427" s="136"/>
      <c r="D427" s="137"/>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spans="1:25" ht="12.95">
      <c r="A428" s="149"/>
      <c r="B428" s="135"/>
      <c r="C428" s="136"/>
      <c r="D428" s="137"/>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spans="1:25" ht="12.95">
      <c r="A429" s="149"/>
      <c r="B429" s="135"/>
      <c r="C429" s="136"/>
      <c r="D429" s="137"/>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spans="1:25" ht="12.95">
      <c r="A430" s="149"/>
      <c r="B430" s="135"/>
      <c r="C430" s="136"/>
      <c r="D430" s="137"/>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spans="1:25" ht="12.95">
      <c r="A431" s="149"/>
      <c r="B431" s="135"/>
      <c r="C431" s="136"/>
      <c r="D431" s="137"/>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spans="1:25" ht="12.95">
      <c r="A432" s="149"/>
      <c r="B432" s="135"/>
      <c r="C432" s="136"/>
      <c r="D432" s="137"/>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spans="1:25" ht="12.95">
      <c r="A433" s="149"/>
      <c r="B433" s="135"/>
      <c r="C433" s="136"/>
      <c r="D433" s="137"/>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spans="1:25" ht="12.95">
      <c r="A434" s="149"/>
      <c r="B434" s="135"/>
      <c r="C434" s="136"/>
      <c r="D434" s="137"/>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spans="1:25" ht="12.95">
      <c r="A435" s="149"/>
      <c r="B435" s="135"/>
      <c r="C435" s="136"/>
      <c r="D435" s="137"/>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spans="1:25" ht="12.95">
      <c r="A436" s="149"/>
      <c r="B436" s="135"/>
      <c r="C436" s="136"/>
      <c r="D436" s="137"/>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spans="1:25" ht="12.95">
      <c r="A437" s="149"/>
      <c r="B437" s="135"/>
      <c r="C437" s="136"/>
      <c r="D437" s="137"/>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spans="1:25" ht="12.95">
      <c r="A438" s="149"/>
      <c r="B438" s="135"/>
      <c r="C438" s="136"/>
      <c r="D438" s="137"/>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spans="1:25" ht="12.95">
      <c r="A439" s="149"/>
      <c r="B439" s="135"/>
      <c r="C439" s="136"/>
      <c r="D439" s="137"/>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spans="1:25" ht="12.95">
      <c r="A440" s="149"/>
      <c r="B440" s="135"/>
      <c r="C440" s="136"/>
      <c r="D440" s="137"/>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spans="1:25" ht="12.95">
      <c r="A441" s="149"/>
      <c r="B441" s="135"/>
      <c r="C441" s="136"/>
      <c r="D441" s="137"/>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spans="1:25" ht="12.95">
      <c r="A442" s="149"/>
      <c r="B442" s="135"/>
      <c r="C442" s="136"/>
      <c r="D442" s="137"/>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spans="1:25" ht="12.95">
      <c r="A443" s="149"/>
      <c r="B443" s="135"/>
      <c r="C443" s="136"/>
      <c r="D443" s="137"/>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spans="1:25" ht="12.95">
      <c r="A444" s="149"/>
      <c r="B444" s="135"/>
      <c r="C444" s="136"/>
      <c r="D444" s="137"/>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spans="1:25" ht="12.95">
      <c r="A445" s="149"/>
      <c r="B445" s="135"/>
      <c r="C445" s="136"/>
      <c r="D445" s="137"/>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spans="1:25" ht="12.95">
      <c r="A446" s="149"/>
      <c r="B446" s="135"/>
      <c r="C446" s="136"/>
      <c r="D446" s="137"/>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spans="1:25" ht="12.95">
      <c r="A447" s="149"/>
      <c r="B447" s="135"/>
      <c r="C447" s="136"/>
      <c r="D447" s="137"/>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spans="1:25" ht="12.95">
      <c r="A448" s="149"/>
      <c r="B448" s="135"/>
      <c r="C448" s="136"/>
      <c r="D448" s="137"/>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spans="1:25" ht="12.95">
      <c r="A449" s="149"/>
      <c r="B449" s="135"/>
      <c r="C449" s="136"/>
      <c r="D449" s="137"/>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spans="1:25" ht="12.95">
      <c r="A450" s="149"/>
      <c r="B450" s="135"/>
      <c r="C450" s="136"/>
      <c r="D450" s="137"/>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spans="1:25" ht="12.95">
      <c r="A451" s="149"/>
      <c r="B451" s="135"/>
      <c r="C451" s="136"/>
      <c r="D451" s="137"/>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spans="1:25" ht="12.95">
      <c r="A452" s="149"/>
      <c r="B452" s="135"/>
      <c r="C452" s="136"/>
      <c r="D452" s="137"/>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spans="1:25" ht="12.95">
      <c r="A453" s="149"/>
      <c r="B453" s="135"/>
      <c r="C453" s="136"/>
      <c r="D453" s="137"/>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spans="1:25" ht="12.95">
      <c r="A454" s="149"/>
      <c r="B454" s="135"/>
      <c r="C454" s="136"/>
      <c r="D454" s="137"/>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spans="1:25" ht="12.95">
      <c r="A455" s="149"/>
      <c r="B455" s="135"/>
      <c r="C455" s="136"/>
      <c r="D455" s="137"/>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spans="1:25" ht="12.95">
      <c r="A456" s="149"/>
      <c r="B456" s="135"/>
      <c r="C456" s="136"/>
      <c r="D456" s="137"/>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spans="1:25" ht="12.95">
      <c r="A457" s="149"/>
      <c r="B457" s="135"/>
      <c r="C457" s="136"/>
      <c r="D457" s="137"/>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spans="1:25" ht="12.95">
      <c r="A458" s="149"/>
      <c r="B458" s="135"/>
      <c r="C458" s="136"/>
      <c r="D458" s="137"/>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spans="1:25" ht="12.95">
      <c r="A459" s="149"/>
      <c r="B459" s="135"/>
      <c r="C459" s="136"/>
      <c r="D459" s="137"/>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spans="1:25" ht="12.95">
      <c r="A460" s="149"/>
      <c r="B460" s="135"/>
      <c r="C460" s="136"/>
      <c r="D460" s="137"/>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spans="1:25" ht="12.95">
      <c r="A461" s="149"/>
      <c r="B461" s="135"/>
      <c r="C461" s="136"/>
      <c r="D461" s="137"/>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spans="1:25" ht="12.95">
      <c r="A462" s="149"/>
      <c r="B462" s="135"/>
      <c r="C462" s="136"/>
      <c r="D462" s="137"/>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spans="1:25" ht="12.95">
      <c r="A463" s="149"/>
      <c r="B463" s="135"/>
      <c r="C463" s="136"/>
      <c r="D463" s="137"/>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spans="1:25" ht="12.95">
      <c r="A464" s="149"/>
      <c r="B464" s="135"/>
      <c r="C464" s="136"/>
      <c r="D464" s="137"/>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spans="1:25" ht="12.95">
      <c r="A465" s="149"/>
      <c r="B465" s="135"/>
      <c r="C465" s="136"/>
      <c r="D465" s="137"/>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spans="1:25" ht="12.95">
      <c r="A466" s="149"/>
      <c r="B466" s="135"/>
      <c r="C466" s="136"/>
      <c r="D466" s="137"/>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spans="1:25" ht="12.95">
      <c r="A467" s="149"/>
      <c r="B467" s="135"/>
      <c r="C467" s="136"/>
      <c r="D467" s="137"/>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spans="1:25" ht="12.95">
      <c r="A468" s="149"/>
      <c r="B468" s="135"/>
      <c r="C468" s="136"/>
      <c r="D468" s="137"/>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spans="1:25" ht="12.95">
      <c r="A469" s="149"/>
      <c r="B469" s="135"/>
      <c r="C469" s="136"/>
      <c r="D469" s="137"/>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spans="1:25" ht="12.95">
      <c r="A470" s="149"/>
      <c r="B470" s="135"/>
      <c r="C470" s="136"/>
      <c r="D470" s="137"/>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spans="1:25" ht="12.95">
      <c r="A471" s="149"/>
      <c r="B471" s="135"/>
      <c r="C471" s="136"/>
      <c r="D471" s="137"/>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spans="1:25" ht="12.95">
      <c r="A472" s="149"/>
      <c r="B472" s="135"/>
      <c r="C472" s="136"/>
      <c r="D472" s="137"/>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spans="1:25" ht="12.95">
      <c r="A473" s="149"/>
      <c r="B473" s="135"/>
      <c r="C473" s="136"/>
      <c r="D473" s="137"/>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spans="1:25" ht="12.95">
      <c r="A474" s="149"/>
      <c r="B474" s="135"/>
      <c r="C474" s="136"/>
      <c r="D474" s="137"/>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spans="1:25" ht="12.95">
      <c r="A475" s="149"/>
      <c r="B475" s="135"/>
      <c r="C475" s="136"/>
      <c r="D475" s="137"/>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spans="1:25" ht="12.95">
      <c r="A476" s="149"/>
      <c r="B476" s="135"/>
      <c r="C476" s="136"/>
      <c r="D476" s="137"/>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spans="1:25" ht="12.95">
      <c r="A477" s="149"/>
      <c r="B477" s="135"/>
      <c r="C477" s="136"/>
      <c r="D477" s="137"/>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spans="1:25" ht="12.95">
      <c r="A478" s="149"/>
      <c r="B478" s="135"/>
      <c r="C478" s="136"/>
      <c r="D478" s="137"/>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spans="1:25" ht="12.95">
      <c r="A479" s="149"/>
      <c r="B479" s="135"/>
      <c r="C479" s="136"/>
      <c r="D479" s="137"/>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spans="1:25" ht="12.95">
      <c r="A480" s="149"/>
      <c r="B480" s="135"/>
      <c r="C480" s="136"/>
      <c r="D480" s="137"/>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spans="1:25" ht="12.95">
      <c r="A481" s="149"/>
      <c r="B481" s="135"/>
      <c r="C481" s="136"/>
      <c r="D481" s="137"/>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spans="1:25" ht="12.95">
      <c r="A482" s="149"/>
      <c r="B482" s="135"/>
      <c r="C482" s="136"/>
      <c r="D482" s="137"/>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spans="1:25" ht="12.95">
      <c r="A483" s="149"/>
      <c r="B483" s="135"/>
      <c r="C483" s="136"/>
      <c r="D483" s="137"/>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spans="1:25" ht="12.95">
      <c r="A484" s="149"/>
      <c r="B484" s="135"/>
      <c r="C484" s="136"/>
      <c r="D484" s="137"/>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spans="1:25" ht="12.95">
      <c r="A485" s="149"/>
      <c r="B485" s="135"/>
      <c r="C485" s="136"/>
      <c r="D485" s="137"/>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spans="1:25" ht="12.95">
      <c r="A486" s="149"/>
      <c r="B486" s="135"/>
      <c r="C486" s="136"/>
      <c r="D486" s="137"/>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spans="1:25" ht="12.95">
      <c r="A487" s="149"/>
      <c r="B487" s="135"/>
      <c r="C487" s="136"/>
      <c r="D487" s="137"/>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spans="1:25" ht="12.95">
      <c r="A488" s="149"/>
      <c r="B488" s="135"/>
      <c r="C488" s="136"/>
      <c r="D488" s="137"/>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spans="1:25" ht="12.95">
      <c r="A489" s="149"/>
      <c r="B489" s="135"/>
      <c r="C489" s="136"/>
      <c r="D489" s="137"/>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spans="1:25" ht="12.95">
      <c r="A490" s="149"/>
      <c r="B490" s="135"/>
      <c r="C490" s="136"/>
      <c r="D490" s="137"/>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spans="1:25" ht="12.95">
      <c r="A491" s="149"/>
      <c r="B491" s="135"/>
      <c r="C491" s="136"/>
      <c r="D491" s="137"/>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spans="1:25" ht="12.95">
      <c r="A492" s="149"/>
      <c r="B492" s="135"/>
      <c r="C492" s="136"/>
      <c r="D492" s="137"/>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spans="1:25" ht="12.95">
      <c r="A493" s="149"/>
      <c r="B493" s="135"/>
      <c r="C493" s="136"/>
      <c r="D493" s="137"/>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spans="1:25" ht="12.95">
      <c r="A494" s="149"/>
      <c r="B494" s="135"/>
      <c r="C494" s="136"/>
      <c r="D494" s="137"/>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spans="1:25" ht="12.95">
      <c r="A495" s="149"/>
      <c r="B495" s="135"/>
      <c r="C495" s="136"/>
      <c r="D495" s="137"/>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spans="1:25" ht="12.95">
      <c r="A496" s="149"/>
      <c r="B496" s="135"/>
      <c r="C496" s="136"/>
      <c r="D496" s="137"/>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spans="1:25" ht="12.95">
      <c r="A497" s="149"/>
      <c r="B497" s="135"/>
      <c r="C497" s="136"/>
      <c r="D497" s="137"/>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spans="1:25" ht="12.95">
      <c r="A498" s="149"/>
      <c r="B498" s="135"/>
      <c r="C498" s="136"/>
      <c r="D498" s="137"/>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spans="1:25" ht="12.95">
      <c r="A499" s="149"/>
      <c r="B499" s="135"/>
      <c r="C499" s="136"/>
      <c r="D499" s="137"/>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spans="1:25" ht="12.95">
      <c r="A500" s="149"/>
      <c r="B500" s="135"/>
      <c r="C500" s="136"/>
      <c r="D500" s="137"/>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spans="1:25" ht="12.95">
      <c r="A501" s="149"/>
      <c r="B501" s="135"/>
      <c r="C501" s="136"/>
      <c r="D501" s="137"/>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spans="1:25" ht="12.95">
      <c r="A502" s="149"/>
      <c r="B502" s="135"/>
      <c r="C502" s="136"/>
      <c r="D502" s="137"/>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spans="1:25" ht="12.95">
      <c r="A503" s="149"/>
      <c r="B503" s="135"/>
      <c r="C503" s="136"/>
      <c r="D503" s="137"/>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spans="1:25" ht="12.95">
      <c r="A504" s="149"/>
      <c r="B504" s="135"/>
      <c r="C504" s="136"/>
      <c r="D504" s="137"/>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spans="1:25" ht="12.95">
      <c r="A505" s="149"/>
      <c r="B505" s="135"/>
      <c r="C505" s="136"/>
      <c r="D505" s="137"/>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spans="1:25" ht="12.95">
      <c r="A506" s="149"/>
      <c r="B506" s="135"/>
      <c r="C506" s="136"/>
      <c r="D506" s="137"/>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spans="1:25" ht="12.95">
      <c r="A507" s="149"/>
      <c r="B507" s="135"/>
      <c r="C507" s="136"/>
      <c r="D507" s="137"/>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spans="1:25" ht="12.95">
      <c r="A508" s="149"/>
      <c r="B508" s="135"/>
      <c r="C508" s="136"/>
      <c r="D508" s="137"/>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spans="1:25" ht="12.95">
      <c r="A509" s="149"/>
      <c r="B509" s="135"/>
      <c r="C509" s="136"/>
      <c r="D509" s="137"/>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spans="1:25" ht="12.95">
      <c r="A510" s="149"/>
      <c r="B510" s="135"/>
      <c r="C510" s="136"/>
      <c r="D510" s="137"/>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spans="1:25" ht="12.95">
      <c r="A511" s="149"/>
      <c r="B511" s="135"/>
      <c r="C511" s="136"/>
      <c r="D511" s="137"/>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spans="1:25" ht="12.95">
      <c r="A512" s="149"/>
      <c r="B512" s="135"/>
      <c r="C512" s="136"/>
      <c r="D512" s="137"/>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spans="1:25" ht="12.95">
      <c r="A513" s="149"/>
      <c r="B513" s="135"/>
      <c r="C513" s="136"/>
      <c r="D513" s="137"/>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spans="1:25" ht="12.95">
      <c r="A514" s="149"/>
      <c r="B514" s="135"/>
      <c r="C514" s="136"/>
      <c r="D514" s="137"/>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spans="1:25" ht="12.95">
      <c r="A515" s="149"/>
      <c r="B515" s="135"/>
      <c r="C515" s="136"/>
      <c r="D515" s="137"/>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spans="1:25" ht="12.95">
      <c r="A516" s="149"/>
      <c r="B516" s="135"/>
      <c r="C516" s="136"/>
      <c r="D516" s="137"/>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spans="1:25" ht="12.95">
      <c r="A517" s="149"/>
      <c r="B517" s="135"/>
      <c r="C517" s="136"/>
      <c r="D517" s="137"/>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spans="1:25" ht="12.95">
      <c r="A518" s="149"/>
      <c r="B518" s="135"/>
      <c r="C518" s="136"/>
      <c r="D518" s="137"/>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spans="1:25" ht="12.95">
      <c r="A519" s="149"/>
      <c r="B519" s="135"/>
      <c r="C519" s="136"/>
      <c r="D519" s="137"/>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spans="1:25" ht="12.95">
      <c r="A520" s="149"/>
      <c r="B520" s="135"/>
      <c r="C520" s="136"/>
      <c r="D520" s="137"/>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spans="1:25" ht="12.95">
      <c r="A521" s="149"/>
      <c r="B521" s="135"/>
      <c r="C521" s="136"/>
      <c r="D521" s="137"/>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spans="1:25" ht="12.95">
      <c r="A522" s="149"/>
      <c r="B522" s="135"/>
      <c r="C522" s="136"/>
      <c r="D522" s="137"/>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spans="1:25" ht="12.95">
      <c r="A523" s="149"/>
      <c r="B523" s="135"/>
      <c r="C523" s="136"/>
      <c r="D523" s="137"/>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spans="1:25" ht="12.95">
      <c r="A524" s="149"/>
      <c r="B524" s="135"/>
      <c r="C524" s="136"/>
      <c r="D524" s="137"/>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spans="1:25" ht="12.95">
      <c r="A525" s="149"/>
      <c r="B525" s="135"/>
      <c r="C525" s="136"/>
      <c r="D525" s="137"/>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spans="1:25" ht="12.95">
      <c r="A526" s="149"/>
      <c r="B526" s="135"/>
      <c r="C526" s="136"/>
      <c r="D526" s="137"/>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spans="1:25" ht="12.95">
      <c r="A527" s="149"/>
      <c r="B527" s="135"/>
      <c r="C527" s="136"/>
      <c r="D527" s="137"/>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spans="1:25" ht="12.95">
      <c r="A528" s="149"/>
      <c r="B528" s="135"/>
      <c r="C528" s="136"/>
      <c r="D528" s="137"/>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spans="1:25" ht="12.95">
      <c r="A529" s="149"/>
      <c r="B529" s="135"/>
      <c r="C529" s="136"/>
      <c r="D529" s="137"/>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spans="1:25" ht="12.95">
      <c r="A530" s="149"/>
      <c r="B530" s="135"/>
      <c r="C530" s="136"/>
      <c r="D530" s="137"/>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spans="1:25" ht="12.95">
      <c r="A531" s="149"/>
      <c r="B531" s="135"/>
      <c r="C531" s="136"/>
      <c r="D531" s="137"/>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spans="1:25" ht="12.95">
      <c r="A532" s="149"/>
      <c r="B532" s="135"/>
      <c r="C532" s="136"/>
      <c r="D532" s="137"/>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spans="1:25" ht="12.95">
      <c r="A533" s="149"/>
      <c r="B533" s="135"/>
      <c r="C533" s="136"/>
      <c r="D533" s="137"/>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spans="1:25" ht="12.95">
      <c r="A534" s="149"/>
      <c r="B534" s="135"/>
      <c r="C534" s="136"/>
      <c r="D534" s="137"/>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spans="1:25" ht="12.95">
      <c r="A535" s="149"/>
      <c r="B535" s="135"/>
      <c r="C535" s="136"/>
      <c r="D535" s="137"/>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spans="1:25" ht="12.95">
      <c r="A536" s="149"/>
      <c r="B536" s="135"/>
      <c r="C536" s="136"/>
      <c r="D536" s="137"/>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spans="1:25" ht="12.95">
      <c r="A537" s="149"/>
      <c r="B537" s="135"/>
      <c r="C537" s="136"/>
      <c r="D537" s="137"/>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spans="1:25" ht="12.95">
      <c r="A538" s="149"/>
      <c r="B538" s="135"/>
      <c r="C538" s="136"/>
      <c r="D538" s="137"/>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spans="1:25" ht="12.95">
      <c r="A539" s="149"/>
      <c r="B539" s="135"/>
      <c r="C539" s="136"/>
      <c r="D539" s="137"/>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spans="1:25" ht="12.95">
      <c r="A540" s="149"/>
      <c r="B540" s="135"/>
      <c r="C540" s="136"/>
      <c r="D540" s="137"/>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spans="1:25" ht="12.95">
      <c r="A541" s="149"/>
      <c r="B541" s="135"/>
      <c r="C541" s="136"/>
      <c r="D541" s="137"/>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spans="1:25" ht="12.95">
      <c r="A542" s="149"/>
      <c r="B542" s="135"/>
      <c r="C542" s="136"/>
      <c r="D542" s="137"/>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spans="1:25" ht="12.95">
      <c r="A543" s="149"/>
      <c r="B543" s="135"/>
      <c r="C543" s="136"/>
      <c r="D543" s="137"/>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spans="1:25" ht="12.95">
      <c r="A544" s="149"/>
      <c r="B544" s="135"/>
      <c r="C544" s="136"/>
      <c r="D544" s="137"/>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spans="1:25" ht="12.95">
      <c r="A545" s="149"/>
      <c r="B545" s="135"/>
      <c r="C545" s="136"/>
      <c r="D545" s="137"/>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spans="1:25" ht="12.95">
      <c r="A546" s="149"/>
      <c r="B546" s="135"/>
      <c r="C546" s="136"/>
      <c r="D546" s="137"/>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spans="1:25" ht="12.95">
      <c r="A547" s="149"/>
      <c r="B547" s="135"/>
      <c r="C547" s="136"/>
      <c r="D547" s="137"/>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spans="1:25" ht="12.95">
      <c r="A548" s="149"/>
      <c r="B548" s="135"/>
      <c r="C548" s="136"/>
      <c r="D548" s="137"/>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spans="1:25" ht="12.95">
      <c r="A549" s="149"/>
      <c r="B549" s="135"/>
      <c r="C549" s="136"/>
      <c r="D549" s="137"/>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spans="1:25" ht="12.95">
      <c r="A550" s="149"/>
      <c r="B550" s="135"/>
      <c r="C550" s="136"/>
      <c r="D550" s="137"/>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spans="1:25" ht="12.95">
      <c r="A551" s="149"/>
      <c r="B551" s="135"/>
      <c r="C551" s="136"/>
      <c r="D551" s="137"/>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spans="1:25" ht="12.95">
      <c r="A552" s="149"/>
      <c r="B552" s="135"/>
      <c r="C552" s="136"/>
      <c r="D552" s="137"/>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spans="1:25" ht="12.95">
      <c r="A553" s="149"/>
      <c r="B553" s="135"/>
      <c r="C553" s="136"/>
      <c r="D553" s="137"/>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spans="1:25" ht="12.95">
      <c r="A554" s="149"/>
      <c r="B554" s="135"/>
      <c r="C554" s="136"/>
      <c r="D554" s="137"/>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spans="1:25" ht="12.95">
      <c r="A555" s="149"/>
      <c r="B555" s="135"/>
      <c r="C555" s="136"/>
      <c r="D555" s="137"/>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spans="1:25" ht="12.95">
      <c r="A556" s="149"/>
      <c r="B556" s="135"/>
      <c r="C556" s="136"/>
      <c r="D556" s="137"/>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spans="1:25" ht="12.95">
      <c r="A557" s="149"/>
      <c r="B557" s="135"/>
      <c r="C557" s="136"/>
      <c r="D557" s="137"/>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spans="1:25" ht="12.95">
      <c r="A558" s="149"/>
      <c r="B558" s="135"/>
      <c r="C558" s="136"/>
      <c r="D558" s="137"/>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spans="1:25" ht="12.95">
      <c r="A559" s="149"/>
      <c r="B559" s="135"/>
      <c r="C559" s="136"/>
      <c r="D559" s="137"/>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spans="1:25" ht="12.95">
      <c r="A560" s="149"/>
      <c r="B560" s="135"/>
      <c r="C560" s="136"/>
      <c r="D560" s="137"/>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spans="1:25" ht="12.95">
      <c r="A561" s="149"/>
      <c r="B561" s="135"/>
      <c r="C561" s="136"/>
      <c r="D561" s="137"/>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spans="1:25" ht="12.95">
      <c r="A562" s="149"/>
      <c r="B562" s="135"/>
      <c r="C562" s="136"/>
      <c r="D562" s="137"/>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spans="1:25" ht="12.95">
      <c r="A563" s="149"/>
      <c r="B563" s="135"/>
      <c r="C563" s="136"/>
      <c r="D563" s="137"/>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spans="1:25" ht="12.95">
      <c r="A564" s="149"/>
      <c r="B564" s="135"/>
      <c r="C564" s="136"/>
      <c r="D564" s="137"/>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spans="1:25" ht="12.95">
      <c r="A565" s="149"/>
      <c r="B565" s="135"/>
      <c r="C565" s="136"/>
      <c r="D565" s="137"/>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spans="1:25" ht="12.95">
      <c r="A566" s="149"/>
      <c r="B566" s="135"/>
      <c r="C566" s="136"/>
      <c r="D566" s="137"/>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spans="1:25" ht="12.95">
      <c r="A567" s="149"/>
      <c r="B567" s="135"/>
      <c r="C567" s="136"/>
      <c r="D567" s="137"/>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spans="1:25" ht="12.95">
      <c r="A568" s="149"/>
      <c r="B568" s="135"/>
      <c r="C568" s="136"/>
      <c r="D568" s="137"/>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spans="1:25" ht="12.95">
      <c r="A569" s="149"/>
      <c r="B569" s="135"/>
      <c r="C569" s="136"/>
      <c r="D569" s="137"/>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spans="1:25" ht="12.95">
      <c r="A570" s="149"/>
      <c r="B570" s="135"/>
      <c r="C570" s="136"/>
      <c r="D570" s="137"/>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spans="1:25" ht="12.95">
      <c r="A571" s="149"/>
      <c r="B571" s="135"/>
      <c r="C571" s="136"/>
      <c r="D571" s="137"/>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spans="1:25" ht="12.95">
      <c r="A572" s="149"/>
      <c r="B572" s="135"/>
      <c r="C572" s="136"/>
      <c r="D572" s="137"/>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spans="1:25" ht="12.95">
      <c r="A573" s="149"/>
      <c r="B573" s="135"/>
      <c r="C573" s="136"/>
      <c r="D573" s="137"/>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spans="1:25" ht="12.95">
      <c r="A574" s="149"/>
      <c r="B574" s="135"/>
      <c r="C574" s="136"/>
      <c r="D574" s="137"/>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spans="1:25" ht="12.95">
      <c r="A575" s="149"/>
      <c r="B575" s="135"/>
      <c r="C575" s="136"/>
      <c r="D575" s="137"/>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spans="1:25" ht="12.95">
      <c r="A576" s="149"/>
      <c r="B576" s="135"/>
      <c r="C576" s="136"/>
      <c r="D576" s="137"/>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spans="1:25" ht="12.95">
      <c r="A577" s="149"/>
      <c r="B577" s="135"/>
      <c r="C577" s="136"/>
      <c r="D577" s="137"/>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spans="1:25" ht="12.95">
      <c r="A578" s="149"/>
      <c r="B578" s="135"/>
      <c r="C578" s="136"/>
      <c r="D578" s="137"/>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spans="1:25" ht="12.95">
      <c r="A579" s="149"/>
      <c r="B579" s="135"/>
      <c r="C579" s="136"/>
      <c r="D579" s="137"/>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spans="1:25" ht="12.95">
      <c r="A580" s="149"/>
      <c r="B580" s="135"/>
      <c r="C580" s="136"/>
      <c r="D580" s="137"/>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spans="1:25" ht="12.95">
      <c r="A581" s="149"/>
      <c r="B581" s="135"/>
      <c r="C581" s="136"/>
      <c r="D581" s="137"/>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spans="1:25" ht="12.95">
      <c r="A582" s="149"/>
      <c r="B582" s="135"/>
      <c r="C582" s="136"/>
      <c r="D582" s="137"/>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spans="1:25" ht="12.95">
      <c r="A583" s="149"/>
      <c r="B583" s="135"/>
      <c r="C583" s="136"/>
      <c r="D583" s="137"/>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spans="1:25" ht="12.95">
      <c r="A584" s="149"/>
      <c r="B584" s="135"/>
      <c r="C584" s="136"/>
      <c r="D584" s="137"/>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spans="1:25" ht="12.95">
      <c r="A585" s="149"/>
      <c r="B585" s="135"/>
      <c r="C585" s="136"/>
      <c r="D585" s="137"/>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spans="1:25" ht="12.95">
      <c r="A586" s="149"/>
      <c r="B586" s="135"/>
      <c r="C586" s="136"/>
      <c r="D586" s="137"/>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spans="1:25" ht="12.95">
      <c r="A587" s="149"/>
      <c r="B587" s="135"/>
      <c r="C587" s="136"/>
      <c r="D587" s="137"/>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spans="1:25" ht="12.95">
      <c r="A588" s="149"/>
      <c r="B588" s="135"/>
      <c r="C588" s="136"/>
      <c r="D588" s="137"/>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spans="1:25" ht="12.95">
      <c r="A589" s="149"/>
      <c r="B589" s="135"/>
      <c r="C589" s="136"/>
      <c r="D589" s="137"/>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spans="1:25" ht="12.95">
      <c r="A590" s="149"/>
      <c r="B590" s="135"/>
      <c r="C590" s="136"/>
      <c r="D590" s="137"/>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spans="1:25" ht="12.95">
      <c r="A591" s="149"/>
      <c r="B591" s="135"/>
      <c r="C591" s="136"/>
      <c r="D591" s="137"/>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spans="1:25" ht="12.95">
      <c r="A592" s="149"/>
      <c r="B592" s="135"/>
      <c r="C592" s="136"/>
      <c r="D592" s="137"/>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spans="1:25" ht="12.95">
      <c r="A593" s="149"/>
      <c r="B593" s="135"/>
      <c r="C593" s="136"/>
      <c r="D593" s="137"/>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spans="1:25" ht="12.95">
      <c r="A594" s="149"/>
      <c r="B594" s="135"/>
      <c r="C594" s="136"/>
      <c r="D594" s="137"/>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spans="1:25" ht="12.95">
      <c r="A595" s="149"/>
      <c r="B595" s="135"/>
      <c r="C595" s="136"/>
      <c r="D595" s="137"/>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spans="1:25" ht="12.95">
      <c r="A596" s="149"/>
      <c r="B596" s="135"/>
      <c r="C596" s="136"/>
      <c r="D596" s="137"/>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spans="1:25" ht="12.95">
      <c r="A597" s="149"/>
      <c r="B597" s="135"/>
      <c r="C597" s="136"/>
      <c r="D597" s="137"/>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spans="1:25" ht="12.95">
      <c r="A598" s="149"/>
      <c r="B598" s="135"/>
      <c r="C598" s="136"/>
      <c r="D598" s="137"/>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spans="1:25" ht="12.95">
      <c r="A599" s="149"/>
      <c r="B599" s="135"/>
      <c r="C599" s="136"/>
      <c r="D599" s="137"/>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spans="1:25" ht="12.95">
      <c r="A600" s="149"/>
      <c r="B600" s="135"/>
      <c r="C600" s="136"/>
      <c r="D600" s="137"/>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spans="1:25" ht="12.95">
      <c r="A601" s="149"/>
      <c r="B601" s="135"/>
      <c r="C601" s="136"/>
      <c r="D601" s="137"/>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spans="1:25" ht="12.95">
      <c r="A602" s="149"/>
      <c r="B602" s="135"/>
      <c r="C602" s="136"/>
      <c r="D602" s="137"/>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spans="1:25" ht="12.95">
      <c r="A603" s="149"/>
      <c r="B603" s="135"/>
      <c r="C603" s="136"/>
      <c r="D603" s="137"/>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spans="1:25" ht="12.95">
      <c r="A604" s="149"/>
      <c r="B604" s="135"/>
      <c r="C604" s="136"/>
      <c r="D604" s="137"/>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spans="1:25" ht="12.95">
      <c r="A605" s="149"/>
      <c r="B605" s="135"/>
      <c r="C605" s="136"/>
      <c r="D605" s="137"/>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spans="1:25" ht="12.95">
      <c r="A606" s="149"/>
      <c r="B606" s="135"/>
      <c r="C606" s="136"/>
      <c r="D606" s="137"/>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spans="1:25" ht="12.95">
      <c r="A607" s="149"/>
      <c r="B607" s="135"/>
      <c r="C607" s="136"/>
      <c r="D607" s="137"/>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spans="1:25" ht="12.95">
      <c r="A608" s="149"/>
      <c r="B608" s="135"/>
      <c r="C608" s="136"/>
      <c r="D608" s="137"/>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spans="1:25" ht="12.95">
      <c r="A609" s="149"/>
      <c r="B609" s="135"/>
      <c r="C609" s="136"/>
      <c r="D609" s="137"/>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spans="1:25" ht="12.95">
      <c r="A610" s="149"/>
      <c r="B610" s="135"/>
      <c r="C610" s="136"/>
      <c r="D610" s="137"/>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spans="1:25" ht="12.95">
      <c r="A611" s="149"/>
      <c r="B611" s="135"/>
      <c r="C611" s="136"/>
      <c r="D611" s="137"/>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spans="1:25" ht="12.95">
      <c r="A612" s="149"/>
      <c r="B612" s="135"/>
      <c r="C612" s="136"/>
      <c r="D612" s="137"/>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spans="1:25" ht="12.95">
      <c r="A613" s="149"/>
      <c r="B613" s="135"/>
      <c r="C613" s="136"/>
      <c r="D613" s="137"/>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spans="1:25" ht="12.95">
      <c r="A614" s="149"/>
      <c r="B614" s="135"/>
      <c r="C614" s="136"/>
      <c r="D614" s="137"/>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spans="1:25" ht="12.95">
      <c r="A615" s="149"/>
      <c r="B615" s="135"/>
      <c r="C615" s="136"/>
      <c r="D615" s="137"/>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spans="1:25" ht="12.95">
      <c r="A616" s="149"/>
      <c r="B616" s="135"/>
      <c r="C616" s="136"/>
      <c r="D616" s="137"/>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spans="1:25" ht="12.95">
      <c r="A617" s="149"/>
      <c r="B617" s="135"/>
      <c r="C617" s="136"/>
      <c r="D617" s="137"/>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spans="1:25" ht="12.95">
      <c r="A618" s="149"/>
      <c r="B618" s="135"/>
      <c r="C618" s="136"/>
      <c r="D618" s="137"/>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spans="1:25" ht="12.95">
      <c r="A619" s="149"/>
      <c r="B619" s="135"/>
      <c r="C619" s="136"/>
      <c r="D619" s="137"/>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spans="1:25" ht="12.95">
      <c r="A620" s="149"/>
      <c r="B620" s="135"/>
      <c r="C620" s="136"/>
      <c r="D620" s="137"/>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spans="1:25" ht="12.95">
      <c r="A621" s="149"/>
      <c r="B621" s="135"/>
      <c r="C621" s="136"/>
      <c r="D621" s="137"/>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spans="1:25" ht="12.95">
      <c r="A622" s="149"/>
      <c r="B622" s="135"/>
      <c r="C622" s="136"/>
      <c r="D622" s="137"/>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spans="1:25" ht="12.95">
      <c r="A623" s="149"/>
      <c r="B623" s="135"/>
      <c r="C623" s="136"/>
      <c r="D623" s="137"/>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spans="1:25" ht="12.95">
      <c r="A624" s="149"/>
      <c r="B624" s="135"/>
      <c r="C624" s="136"/>
      <c r="D624" s="137"/>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spans="1:25" ht="12.95">
      <c r="A625" s="149"/>
      <c r="B625" s="135"/>
      <c r="C625" s="136"/>
      <c r="D625" s="137"/>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spans="1:25" ht="12.95">
      <c r="A626" s="149"/>
      <c r="B626" s="135"/>
      <c r="C626" s="136"/>
      <c r="D626" s="137"/>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spans="1:25" ht="12.95">
      <c r="A627" s="149"/>
      <c r="B627" s="135"/>
      <c r="C627" s="136"/>
      <c r="D627" s="137"/>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spans="1:25" ht="12.95">
      <c r="A628" s="149"/>
      <c r="B628" s="135"/>
      <c r="C628" s="136"/>
      <c r="D628" s="137"/>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spans="1:25" ht="12.95">
      <c r="A629" s="149"/>
      <c r="B629" s="135"/>
      <c r="C629" s="136"/>
      <c r="D629" s="137"/>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spans="1:25" ht="12.95">
      <c r="A630" s="149"/>
      <c r="B630" s="135"/>
      <c r="C630" s="136"/>
      <c r="D630" s="137"/>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spans="1:25" ht="12.95">
      <c r="A631" s="149"/>
      <c r="B631" s="135"/>
      <c r="C631" s="136"/>
      <c r="D631" s="137"/>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spans="1:25" ht="12.95">
      <c r="A632" s="149"/>
      <c r="B632" s="135"/>
      <c r="C632" s="136"/>
      <c r="D632" s="137"/>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spans="1:25" ht="12.95">
      <c r="A633" s="149"/>
      <c r="B633" s="135"/>
      <c r="C633" s="136"/>
      <c r="D633" s="137"/>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spans="1:25" ht="12.95">
      <c r="A634" s="149"/>
      <c r="B634" s="135"/>
      <c r="C634" s="136"/>
      <c r="D634" s="137"/>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spans="1:25" ht="12.95">
      <c r="A635" s="149"/>
      <c r="B635" s="135"/>
      <c r="C635" s="136"/>
      <c r="D635" s="137"/>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spans="1:25" ht="12.95">
      <c r="A636" s="149"/>
      <c r="B636" s="135"/>
      <c r="C636" s="136"/>
      <c r="D636" s="137"/>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spans="1:25" ht="12.95">
      <c r="A637" s="149"/>
      <c r="B637" s="135"/>
      <c r="C637" s="136"/>
      <c r="D637" s="137"/>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spans="1:25" ht="12.95">
      <c r="A638" s="149"/>
      <c r="B638" s="135"/>
      <c r="C638" s="136"/>
      <c r="D638" s="137"/>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spans="1:25" ht="12.95">
      <c r="A639" s="149"/>
      <c r="B639" s="135"/>
      <c r="C639" s="136"/>
      <c r="D639" s="137"/>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spans="1:25" ht="12.95">
      <c r="A640" s="149"/>
      <c r="B640" s="135"/>
      <c r="C640" s="136"/>
      <c r="D640" s="137"/>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spans="1:25" ht="12.95">
      <c r="A641" s="149"/>
      <c r="B641" s="135"/>
      <c r="C641" s="136"/>
      <c r="D641" s="137"/>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spans="1:25" ht="12.95">
      <c r="A642" s="149"/>
      <c r="B642" s="135"/>
      <c r="C642" s="136"/>
      <c r="D642" s="137"/>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spans="1:25" ht="12.95">
      <c r="A643" s="149"/>
      <c r="B643" s="135"/>
      <c r="C643" s="136"/>
      <c r="D643" s="137"/>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spans="1:25" ht="12.95">
      <c r="A644" s="149"/>
      <c r="B644" s="135"/>
      <c r="C644" s="136"/>
      <c r="D644" s="137"/>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spans="1:25" ht="12.95">
      <c r="A645" s="149"/>
      <c r="B645" s="135"/>
      <c r="C645" s="136"/>
      <c r="D645" s="137"/>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spans="1:25" ht="12.95">
      <c r="A646" s="149"/>
      <c r="B646" s="135"/>
      <c r="C646" s="136"/>
      <c r="D646" s="137"/>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spans="1:25" ht="12.95">
      <c r="A647" s="149"/>
      <c r="B647" s="135"/>
      <c r="C647" s="136"/>
      <c r="D647" s="137"/>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spans="1:25" ht="12.95">
      <c r="A648" s="149"/>
      <c r="B648" s="135"/>
      <c r="C648" s="136"/>
      <c r="D648" s="137"/>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spans="1:25" ht="12.95">
      <c r="A649" s="149"/>
      <c r="B649" s="135"/>
      <c r="C649" s="136"/>
      <c r="D649" s="137"/>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spans="1:25" ht="12.95">
      <c r="A650" s="149"/>
      <c r="B650" s="135"/>
      <c r="C650" s="136"/>
      <c r="D650" s="137"/>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spans="1:25" ht="12.95">
      <c r="A651" s="149"/>
      <c r="B651" s="135"/>
      <c r="C651" s="136"/>
      <c r="D651" s="137"/>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spans="1:25" ht="12.95">
      <c r="A652" s="149"/>
      <c r="B652" s="135"/>
      <c r="C652" s="136"/>
      <c r="D652" s="137"/>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spans="1:25" ht="12.95">
      <c r="A653" s="149"/>
      <c r="B653" s="135"/>
      <c r="C653" s="136"/>
      <c r="D653" s="137"/>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spans="1:25" ht="12.95">
      <c r="A654" s="149"/>
      <c r="B654" s="135"/>
      <c r="C654" s="136"/>
      <c r="D654" s="137"/>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spans="1:25" ht="12.95">
      <c r="A655" s="149"/>
      <c r="B655" s="135"/>
      <c r="C655" s="136"/>
      <c r="D655" s="137"/>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spans="1:25" ht="12.95">
      <c r="A656" s="149"/>
      <c r="B656" s="135"/>
      <c r="C656" s="136"/>
      <c r="D656" s="137"/>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spans="1:25" ht="12.95">
      <c r="A657" s="149"/>
      <c r="B657" s="135"/>
      <c r="C657" s="136"/>
      <c r="D657" s="137"/>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spans="1:25" ht="12.95">
      <c r="A658" s="149"/>
      <c r="B658" s="135"/>
      <c r="C658" s="136"/>
      <c r="D658" s="137"/>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spans="1:25" ht="12.95">
      <c r="A659" s="149"/>
      <c r="B659" s="135"/>
      <c r="C659" s="136"/>
      <c r="D659" s="137"/>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spans="1:25" ht="12.95">
      <c r="A660" s="149"/>
      <c r="B660" s="135"/>
      <c r="C660" s="136"/>
      <c r="D660" s="137"/>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spans="1:25" ht="12.95">
      <c r="A661" s="149"/>
      <c r="B661" s="135"/>
      <c r="C661" s="136"/>
      <c r="D661" s="137"/>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spans="1:25" ht="12.95">
      <c r="A662" s="149"/>
      <c r="B662" s="135"/>
      <c r="C662" s="136"/>
      <c r="D662" s="137"/>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spans="1:25" ht="12.95">
      <c r="A663" s="149"/>
      <c r="B663" s="135"/>
      <c r="C663" s="136"/>
      <c r="D663" s="137"/>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spans="1:25" ht="12.95">
      <c r="A664" s="149"/>
      <c r="B664" s="135"/>
      <c r="C664" s="136"/>
      <c r="D664" s="137"/>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spans="1:25" ht="12.95">
      <c r="A665" s="149"/>
      <c r="B665" s="135"/>
      <c r="C665" s="136"/>
      <c r="D665" s="137"/>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spans="1:25" ht="12.95">
      <c r="A666" s="149"/>
      <c r="B666" s="135"/>
      <c r="C666" s="136"/>
      <c r="D666" s="137"/>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spans="1:25" ht="12.95">
      <c r="A667" s="149"/>
      <c r="B667" s="135"/>
      <c r="C667" s="136"/>
      <c r="D667" s="137"/>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spans="1:25" ht="12.95">
      <c r="A668" s="149"/>
      <c r="B668" s="135"/>
      <c r="C668" s="136"/>
      <c r="D668" s="137"/>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spans="1:25" ht="12.95">
      <c r="A669" s="149"/>
      <c r="B669" s="135"/>
      <c r="C669" s="136"/>
      <c r="D669" s="137"/>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spans="1:25" ht="12.95">
      <c r="A670" s="149"/>
      <c r="B670" s="135"/>
      <c r="C670" s="136"/>
      <c r="D670" s="137"/>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spans="1:25" ht="12.95">
      <c r="A671" s="149"/>
      <c r="B671" s="135"/>
      <c r="C671" s="136"/>
      <c r="D671" s="137"/>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spans="1:25" ht="12.95">
      <c r="A672" s="149"/>
      <c r="B672" s="135"/>
      <c r="C672" s="136"/>
      <c r="D672" s="137"/>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spans="1:25" ht="12.95">
      <c r="A673" s="149"/>
      <c r="B673" s="135"/>
      <c r="C673" s="136"/>
      <c r="D673" s="137"/>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spans="1:25" ht="12.95">
      <c r="A674" s="149"/>
      <c r="B674" s="135"/>
      <c r="C674" s="136"/>
      <c r="D674" s="137"/>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spans="1:25" ht="12.95">
      <c r="A675" s="149"/>
      <c r="B675" s="135"/>
      <c r="C675" s="136"/>
      <c r="D675" s="137"/>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spans="1:25" ht="12.95">
      <c r="A676" s="149"/>
      <c r="B676" s="135"/>
      <c r="C676" s="136"/>
      <c r="D676" s="137"/>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spans="1:25" ht="12.95">
      <c r="A677" s="149"/>
      <c r="B677" s="135"/>
      <c r="C677" s="136"/>
      <c r="D677" s="137"/>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spans="1:25" ht="12.95">
      <c r="A678" s="149"/>
      <c r="B678" s="135"/>
      <c r="C678" s="136"/>
      <c r="D678" s="137"/>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spans="1:25" ht="12.95">
      <c r="A679" s="149"/>
      <c r="B679" s="135"/>
      <c r="C679" s="136"/>
      <c r="D679" s="137"/>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spans="1:25" ht="12.95">
      <c r="A680" s="149"/>
      <c r="B680" s="135"/>
      <c r="C680" s="136"/>
      <c r="D680" s="137"/>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spans="1:25" ht="12.95">
      <c r="A681" s="149"/>
      <c r="B681" s="135"/>
      <c r="C681" s="136"/>
      <c r="D681" s="137"/>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spans="1:25" ht="12.95">
      <c r="A682" s="149"/>
      <c r="B682" s="135"/>
      <c r="C682" s="136"/>
      <c r="D682" s="137"/>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spans="1:25" ht="12.95">
      <c r="A683" s="149"/>
      <c r="B683" s="135"/>
      <c r="C683" s="136"/>
      <c r="D683" s="137"/>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spans="1:25" ht="12.95">
      <c r="A684" s="149"/>
      <c r="B684" s="135"/>
      <c r="C684" s="136"/>
      <c r="D684" s="137"/>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spans="1:25" ht="12.95">
      <c r="A685" s="149"/>
      <c r="B685" s="135"/>
      <c r="C685" s="136"/>
      <c r="D685" s="137"/>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spans="1:25" ht="12.95">
      <c r="A686" s="149"/>
      <c r="B686" s="135"/>
      <c r="C686" s="136"/>
      <c r="D686" s="137"/>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spans="1:25" ht="12.95">
      <c r="A687" s="149"/>
      <c r="B687" s="135"/>
      <c r="C687" s="136"/>
      <c r="D687" s="137"/>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spans="1:25" ht="12.95">
      <c r="A688" s="149"/>
      <c r="B688" s="135"/>
      <c r="C688" s="136"/>
      <c r="D688" s="137"/>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spans="1:25" ht="12.95">
      <c r="A689" s="149"/>
      <c r="B689" s="135"/>
      <c r="C689" s="136"/>
      <c r="D689" s="137"/>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spans="1:25" ht="12.95">
      <c r="A690" s="149"/>
      <c r="B690" s="135"/>
      <c r="C690" s="136"/>
      <c r="D690" s="137"/>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spans="1:25" ht="12.95">
      <c r="A691" s="149"/>
      <c r="B691" s="135"/>
      <c r="C691" s="136"/>
      <c r="D691" s="137"/>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spans="1:25" ht="12.95">
      <c r="A692" s="149"/>
      <c r="B692" s="135"/>
      <c r="C692" s="136"/>
      <c r="D692" s="137"/>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spans="1:25" ht="12.95">
      <c r="A693" s="149"/>
      <c r="B693" s="135"/>
      <c r="C693" s="136"/>
      <c r="D693" s="137"/>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spans="1:25" ht="12.95">
      <c r="A694" s="149"/>
      <c r="B694" s="135"/>
      <c r="C694" s="136"/>
      <c r="D694" s="137"/>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spans="1:25" ht="12.95">
      <c r="A695" s="149"/>
      <c r="B695" s="135"/>
      <c r="C695" s="136"/>
      <c r="D695" s="137"/>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spans="1:25" ht="12.95">
      <c r="A696" s="149"/>
      <c r="B696" s="135"/>
      <c r="C696" s="136"/>
      <c r="D696" s="137"/>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spans="1:25" ht="12.95">
      <c r="A697" s="149"/>
      <c r="B697" s="135"/>
      <c r="C697" s="136"/>
      <c r="D697" s="137"/>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spans="1:25" ht="12.95">
      <c r="A698" s="149"/>
      <c r="B698" s="135"/>
      <c r="C698" s="136"/>
      <c r="D698" s="137"/>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spans="1:25" ht="12.95">
      <c r="A699" s="149"/>
      <c r="B699" s="135"/>
      <c r="C699" s="136"/>
      <c r="D699" s="137"/>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spans="1:25" ht="12.95">
      <c r="A700" s="149"/>
      <c r="B700" s="135"/>
      <c r="C700" s="136"/>
      <c r="D700" s="137"/>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spans="1:25" ht="12.95">
      <c r="A701" s="149"/>
      <c r="B701" s="135"/>
      <c r="C701" s="136"/>
      <c r="D701" s="137"/>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spans="1:25" ht="12.95">
      <c r="A702" s="149"/>
      <c r="B702" s="135"/>
      <c r="C702" s="136"/>
      <c r="D702" s="137"/>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spans="1:25" ht="12.95">
      <c r="A703" s="149"/>
      <c r="B703" s="135"/>
      <c r="C703" s="136"/>
      <c r="D703" s="137"/>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spans="1:25" ht="12.95">
      <c r="A704" s="149"/>
      <c r="B704" s="135"/>
      <c r="C704" s="136"/>
      <c r="D704" s="137"/>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spans="1:25" ht="12.95">
      <c r="A705" s="149"/>
      <c r="B705" s="135"/>
      <c r="C705" s="136"/>
      <c r="D705" s="137"/>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spans="1:25" ht="12.95">
      <c r="A706" s="149"/>
      <c r="B706" s="135"/>
      <c r="C706" s="136"/>
      <c r="D706" s="137"/>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spans="1:25" ht="12.95">
      <c r="A707" s="149"/>
      <c r="B707" s="135"/>
      <c r="C707" s="136"/>
      <c r="D707" s="137"/>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spans="1:25" ht="12.95">
      <c r="A708" s="149"/>
      <c r="B708" s="135"/>
      <c r="C708" s="136"/>
      <c r="D708" s="137"/>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spans="1:25" ht="12.95">
      <c r="A709" s="149"/>
      <c r="B709" s="135"/>
      <c r="C709" s="136"/>
      <c r="D709" s="137"/>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spans="1:25" ht="12.95">
      <c r="A710" s="149"/>
      <c r="B710" s="135"/>
      <c r="C710" s="136"/>
      <c r="D710" s="137"/>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spans="1:25" ht="12.95">
      <c r="A711" s="149"/>
      <c r="B711" s="135"/>
      <c r="C711" s="136"/>
      <c r="D711" s="137"/>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spans="1:25" ht="12.95">
      <c r="A712" s="149"/>
      <c r="B712" s="135"/>
      <c r="C712" s="136"/>
      <c r="D712" s="137"/>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spans="1:25" ht="12.95">
      <c r="A713" s="149"/>
      <c r="B713" s="135"/>
      <c r="C713" s="136"/>
      <c r="D713" s="137"/>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spans="1:25" ht="12.95">
      <c r="A714" s="149"/>
      <c r="B714" s="135"/>
      <c r="C714" s="136"/>
      <c r="D714" s="137"/>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spans="1:25" ht="12.95">
      <c r="A715" s="149"/>
      <c r="B715" s="135"/>
      <c r="C715" s="136"/>
      <c r="D715" s="137"/>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spans="1:25" ht="12.95">
      <c r="A716" s="149"/>
      <c r="B716" s="135"/>
      <c r="C716" s="136"/>
      <c r="D716" s="137"/>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spans="1:25" ht="12.95">
      <c r="A717" s="149"/>
      <c r="B717" s="135"/>
      <c r="C717" s="136"/>
      <c r="D717" s="137"/>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spans="1:25" ht="12.95">
      <c r="A718" s="149"/>
      <c r="B718" s="135"/>
      <c r="C718" s="136"/>
      <c r="D718" s="137"/>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spans="1:25" ht="12.95">
      <c r="A719" s="149"/>
      <c r="B719" s="135"/>
      <c r="C719" s="136"/>
      <c r="D719" s="137"/>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spans="1:25" ht="12.95">
      <c r="A720" s="149"/>
      <c r="B720" s="135"/>
      <c r="C720" s="136"/>
      <c r="D720" s="137"/>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spans="1:25" ht="12.95">
      <c r="A721" s="149"/>
      <c r="B721" s="135"/>
      <c r="C721" s="136"/>
      <c r="D721" s="137"/>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spans="1:25" ht="12.95">
      <c r="A722" s="149"/>
      <c r="B722" s="135"/>
      <c r="C722" s="136"/>
      <c r="D722" s="137"/>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spans="1:25" ht="12.95">
      <c r="A723" s="149"/>
      <c r="B723" s="135"/>
      <c r="C723" s="136"/>
      <c r="D723" s="137"/>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spans="1:25" ht="12.95">
      <c r="A724" s="149"/>
      <c r="B724" s="135"/>
      <c r="C724" s="136"/>
      <c r="D724" s="137"/>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spans="1:25" ht="12.95">
      <c r="A725" s="149"/>
      <c r="B725" s="135"/>
      <c r="C725" s="136"/>
      <c r="D725" s="137"/>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spans="1:25" ht="12.95">
      <c r="A726" s="149"/>
      <c r="B726" s="135"/>
      <c r="C726" s="136"/>
      <c r="D726" s="137"/>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spans="1:25" ht="12.95">
      <c r="A727" s="149"/>
      <c r="B727" s="135"/>
      <c r="C727" s="136"/>
      <c r="D727" s="137"/>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spans="1:25" ht="12.95">
      <c r="A728" s="149"/>
      <c r="B728" s="135"/>
      <c r="C728" s="136"/>
      <c r="D728" s="137"/>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spans="1:25" ht="12.95">
      <c r="A729" s="149"/>
      <c r="B729" s="135"/>
      <c r="C729" s="136"/>
      <c r="D729" s="137"/>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spans="1:25" ht="12.95">
      <c r="A730" s="149"/>
      <c r="B730" s="135"/>
      <c r="C730" s="136"/>
      <c r="D730" s="137"/>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spans="1:25" ht="12.95">
      <c r="A731" s="149"/>
      <c r="B731" s="135"/>
      <c r="C731" s="136"/>
      <c r="D731" s="137"/>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spans="1:25" ht="12.95">
      <c r="A732" s="149"/>
      <c r="B732" s="135"/>
      <c r="C732" s="136"/>
      <c r="D732" s="137"/>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spans="1:25" ht="12.95">
      <c r="A733" s="149"/>
      <c r="B733" s="135"/>
      <c r="C733" s="136"/>
      <c r="D733" s="137"/>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spans="1:25" ht="12.95">
      <c r="A734" s="149"/>
      <c r="B734" s="135"/>
      <c r="C734" s="136"/>
      <c r="D734" s="137"/>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spans="1:25" ht="12.95">
      <c r="A735" s="149"/>
      <c r="B735" s="135"/>
      <c r="C735" s="136"/>
      <c r="D735" s="137"/>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spans="1:25" ht="12.95">
      <c r="A736" s="149"/>
      <c r="B736" s="135"/>
      <c r="C736" s="136"/>
      <c r="D736" s="137"/>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spans="1:25" ht="12.95">
      <c r="A737" s="149"/>
      <c r="B737" s="135"/>
      <c r="C737" s="136"/>
      <c r="D737" s="137"/>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spans="1:25" ht="12.95">
      <c r="A738" s="149"/>
      <c r="B738" s="135"/>
      <c r="C738" s="136"/>
      <c r="D738" s="137"/>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spans="1:25" ht="12.95">
      <c r="A739" s="149"/>
      <c r="B739" s="135"/>
      <c r="C739" s="136"/>
      <c r="D739" s="137"/>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spans="1:25" ht="12.95">
      <c r="A740" s="149"/>
      <c r="B740" s="135"/>
      <c r="C740" s="136"/>
      <c r="D740" s="137"/>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spans="1:25" ht="12.95">
      <c r="A741" s="149"/>
      <c r="B741" s="135"/>
      <c r="C741" s="136"/>
      <c r="D741" s="137"/>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spans="1:25" ht="12.95">
      <c r="A742" s="149"/>
      <c r="B742" s="135"/>
      <c r="C742" s="136"/>
      <c r="D742" s="137"/>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spans="1:25" ht="12.95">
      <c r="A743" s="149"/>
      <c r="B743" s="135"/>
      <c r="C743" s="136"/>
      <c r="D743" s="137"/>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spans="1:25" ht="12.95">
      <c r="A744" s="149"/>
      <c r="B744" s="135"/>
      <c r="C744" s="136"/>
      <c r="D744" s="137"/>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spans="1:25" ht="12.95">
      <c r="A745" s="149"/>
      <c r="B745" s="135"/>
      <c r="C745" s="136"/>
      <c r="D745" s="137"/>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spans="1:25" ht="12.95">
      <c r="A746" s="149"/>
      <c r="B746" s="135"/>
      <c r="C746" s="136"/>
      <c r="D746" s="137"/>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spans="1:25" ht="12.95">
      <c r="A747" s="149"/>
      <c r="B747" s="135"/>
      <c r="C747" s="136"/>
      <c r="D747" s="137"/>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spans="1:25" ht="12.95">
      <c r="A748" s="149"/>
      <c r="B748" s="135"/>
      <c r="C748" s="136"/>
      <c r="D748" s="137"/>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spans="1:25" ht="12.95">
      <c r="A749" s="149"/>
      <c r="B749" s="135"/>
      <c r="C749" s="136"/>
      <c r="D749" s="137"/>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spans="1:25" ht="12.95">
      <c r="A750" s="149"/>
      <c r="B750" s="135"/>
      <c r="C750" s="136"/>
      <c r="D750" s="137"/>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spans="1:25" ht="12.95">
      <c r="A751" s="149"/>
      <c r="B751" s="135"/>
      <c r="C751" s="136"/>
      <c r="D751" s="137"/>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spans="1:25" ht="12.95">
      <c r="A752" s="149"/>
      <c r="B752" s="135"/>
      <c r="C752" s="136"/>
      <c r="D752" s="137"/>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spans="1:25" ht="12.95">
      <c r="A753" s="149"/>
      <c r="B753" s="135"/>
      <c r="C753" s="136"/>
      <c r="D753" s="137"/>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spans="1:25" ht="12.95">
      <c r="A754" s="149"/>
      <c r="B754" s="135"/>
      <c r="C754" s="136"/>
      <c r="D754" s="137"/>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spans="1:25" ht="12.95">
      <c r="A755" s="149"/>
      <c r="B755" s="135"/>
      <c r="C755" s="136"/>
      <c r="D755" s="137"/>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spans="1:25" ht="12.95">
      <c r="A756" s="149"/>
      <c r="B756" s="135"/>
      <c r="C756" s="136"/>
      <c r="D756" s="137"/>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spans="1:25" ht="12.95">
      <c r="A757" s="149"/>
      <c r="B757" s="135"/>
      <c r="C757" s="136"/>
      <c r="D757" s="137"/>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spans="1:25" ht="12.95">
      <c r="A758" s="149"/>
      <c r="B758" s="135"/>
      <c r="C758" s="136"/>
      <c r="D758" s="137"/>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spans="1:25" ht="12.95">
      <c r="A759" s="149"/>
      <c r="B759" s="135"/>
      <c r="C759" s="136"/>
      <c r="D759" s="137"/>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spans="1:25" ht="12.95">
      <c r="A760" s="149"/>
      <c r="B760" s="135"/>
      <c r="C760" s="136"/>
      <c r="D760" s="137"/>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spans="1:25" ht="12.95">
      <c r="A761" s="149"/>
      <c r="B761" s="135"/>
      <c r="C761" s="136"/>
      <c r="D761" s="137"/>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spans="1:25" ht="12.95">
      <c r="A762" s="149"/>
      <c r="B762" s="135"/>
      <c r="C762" s="136"/>
      <c r="D762" s="137"/>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spans="1:25" ht="12.95">
      <c r="A763" s="149"/>
      <c r="B763" s="135"/>
      <c r="C763" s="136"/>
      <c r="D763" s="137"/>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spans="1:25" ht="12.95">
      <c r="A764" s="149"/>
      <c r="B764" s="135"/>
      <c r="C764" s="136"/>
      <c r="D764" s="137"/>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spans="1:25" ht="12.95">
      <c r="A765" s="149"/>
      <c r="B765" s="135"/>
      <c r="C765" s="136"/>
      <c r="D765" s="137"/>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spans="1:25" ht="12.95">
      <c r="A766" s="149"/>
      <c r="B766" s="135"/>
      <c r="C766" s="136"/>
      <c r="D766" s="137"/>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spans="1:25" ht="12.95">
      <c r="A767" s="149"/>
      <c r="B767" s="135"/>
      <c r="C767" s="136"/>
      <c r="D767" s="137"/>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spans="1:25" ht="12.95">
      <c r="A768" s="149"/>
      <c r="B768" s="135"/>
      <c r="C768" s="136"/>
      <c r="D768" s="137"/>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spans="1:25" ht="12.95">
      <c r="A769" s="149"/>
      <c r="B769" s="135"/>
      <c r="C769" s="136"/>
      <c r="D769" s="137"/>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spans="1:25" ht="12.95">
      <c r="A770" s="149"/>
      <c r="B770" s="135"/>
      <c r="C770" s="136"/>
      <c r="D770" s="137"/>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spans="1:25" ht="12.95">
      <c r="A771" s="149"/>
      <c r="B771" s="135"/>
      <c r="C771" s="136"/>
      <c r="D771" s="137"/>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spans="1:25" ht="12.95">
      <c r="A772" s="149"/>
      <c r="B772" s="135"/>
      <c r="C772" s="136"/>
      <c r="D772" s="137"/>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spans="1:25" ht="12.95">
      <c r="A773" s="149"/>
      <c r="B773" s="135"/>
      <c r="C773" s="136"/>
      <c r="D773" s="137"/>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spans="1:25" ht="12.95">
      <c r="A774" s="149"/>
      <c r="B774" s="135"/>
      <c r="C774" s="136"/>
      <c r="D774" s="137"/>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spans="1:25" ht="12.95">
      <c r="A775" s="149"/>
      <c r="B775" s="135"/>
      <c r="C775" s="136"/>
      <c r="D775" s="137"/>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spans="1:25" ht="12.95">
      <c r="A776" s="149"/>
      <c r="B776" s="135"/>
      <c r="C776" s="136"/>
      <c r="D776" s="137"/>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spans="1:25" ht="12.95">
      <c r="A777" s="149"/>
      <c r="B777" s="135"/>
      <c r="C777" s="136"/>
      <c r="D777" s="137"/>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spans="1:25" ht="12.95">
      <c r="A778" s="149"/>
      <c r="B778" s="135"/>
      <c r="C778" s="136"/>
      <c r="D778" s="137"/>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spans="1:25" ht="12.95">
      <c r="A779" s="149"/>
      <c r="B779" s="135"/>
      <c r="C779" s="136"/>
      <c r="D779" s="137"/>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spans="1:25" ht="12.95">
      <c r="A780" s="149"/>
      <c r="B780" s="135"/>
      <c r="C780" s="136"/>
      <c r="D780" s="137"/>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spans="1:25" ht="12.95">
      <c r="A781" s="149"/>
      <c r="B781" s="135"/>
      <c r="C781" s="136"/>
      <c r="D781" s="137"/>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spans="1:25" ht="12.95">
      <c r="A782" s="149"/>
      <c r="B782" s="135"/>
      <c r="C782" s="136"/>
      <c r="D782" s="137"/>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spans="1:25" ht="12.95">
      <c r="A783" s="149"/>
      <c r="B783" s="135"/>
      <c r="C783" s="136"/>
      <c r="D783" s="137"/>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spans="1:25" ht="12.95">
      <c r="A784" s="149"/>
      <c r="B784" s="135"/>
      <c r="C784" s="136"/>
      <c r="D784" s="137"/>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spans="1:25" ht="12.95">
      <c r="A785" s="149"/>
      <c r="B785" s="135"/>
      <c r="C785" s="136"/>
      <c r="D785" s="137"/>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spans="1:25" ht="12.95">
      <c r="A786" s="149"/>
      <c r="B786" s="135"/>
      <c r="C786" s="136"/>
      <c r="D786" s="137"/>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spans="1:25" ht="12.95">
      <c r="A787" s="149"/>
      <c r="B787" s="135"/>
      <c r="C787" s="136"/>
      <c r="D787" s="137"/>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spans="1:25" ht="12.95">
      <c r="A788" s="149"/>
      <c r="B788" s="135"/>
      <c r="C788" s="136"/>
      <c r="D788" s="137"/>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spans="1:25" ht="12.95">
      <c r="A789" s="149"/>
      <c r="B789" s="135"/>
      <c r="C789" s="136"/>
      <c r="D789" s="137"/>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spans="1:25" ht="12.95">
      <c r="A790" s="149"/>
      <c r="B790" s="135"/>
      <c r="C790" s="136"/>
      <c r="D790" s="137"/>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spans="1:25" ht="12.95">
      <c r="A791" s="149"/>
      <c r="B791" s="135"/>
      <c r="C791" s="136"/>
      <c r="D791" s="137"/>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spans="1:25" ht="12.95">
      <c r="A792" s="149"/>
      <c r="B792" s="135"/>
      <c r="C792" s="136"/>
      <c r="D792" s="137"/>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spans="1:25" ht="12.95">
      <c r="A793" s="149"/>
      <c r="B793" s="135"/>
      <c r="C793" s="136"/>
      <c r="D793" s="137"/>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spans="1:25" ht="12.95">
      <c r="A794" s="149"/>
      <c r="B794" s="135"/>
      <c r="C794" s="136"/>
      <c r="D794" s="137"/>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spans="1:25" ht="12.95">
      <c r="A795" s="149"/>
      <c r="B795" s="135"/>
      <c r="C795" s="136"/>
      <c r="D795" s="137"/>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spans="1:25" ht="12.95">
      <c r="A796" s="149"/>
      <c r="B796" s="135"/>
      <c r="C796" s="136"/>
      <c r="D796" s="137"/>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spans="1:25" ht="12.95">
      <c r="A797" s="149"/>
      <c r="B797" s="135"/>
      <c r="C797" s="136"/>
      <c r="D797" s="137"/>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spans="1:25" ht="12.95">
      <c r="A798" s="149"/>
      <c r="B798" s="135"/>
      <c r="C798" s="136"/>
      <c r="D798" s="137"/>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spans="1:25" ht="12.95">
      <c r="A799" s="149"/>
      <c r="B799" s="135"/>
      <c r="C799" s="136"/>
      <c r="D799" s="137"/>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spans="1:25" ht="12.95">
      <c r="A800" s="149"/>
      <c r="B800" s="135"/>
      <c r="C800" s="136"/>
      <c r="D800" s="137"/>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spans="1:25" ht="12.95">
      <c r="A801" s="149"/>
      <c r="B801" s="135"/>
      <c r="C801" s="136"/>
      <c r="D801" s="137"/>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spans="1:25" ht="12.95">
      <c r="A802" s="149"/>
      <c r="B802" s="135"/>
      <c r="C802" s="136"/>
      <c r="D802" s="137"/>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spans="1:25" ht="12.95">
      <c r="A803" s="149"/>
      <c r="B803" s="135"/>
      <c r="C803" s="136"/>
      <c r="D803" s="137"/>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spans="1:25" ht="12.95">
      <c r="A804" s="149"/>
      <c r="B804" s="135"/>
      <c r="C804" s="136"/>
      <c r="D804" s="137"/>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spans="1:25" ht="12.95">
      <c r="A805" s="149"/>
      <c r="B805" s="135"/>
      <c r="C805" s="136"/>
      <c r="D805" s="137"/>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spans="1:25" ht="12.95">
      <c r="A806" s="149"/>
      <c r="B806" s="135"/>
      <c r="C806" s="136"/>
      <c r="D806" s="137"/>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spans="1:25" ht="12.95">
      <c r="A807" s="149"/>
      <c r="B807" s="135"/>
      <c r="C807" s="136"/>
      <c r="D807" s="137"/>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spans="1:25" ht="12.95">
      <c r="A808" s="149"/>
      <c r="B808" s="135"/>
      <c r="C808" s="136"/>
      <c r="D808" s="137"/>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spans="1:25" ht="12.95">
      <c r="A809" s="149"/>
      <c r="B809" s="135"/>
      <c r="C809" s="136"/>
      <c r="D809" s="137"/>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spans="1:25" ht="12.95">
      <c r="A810" s="149"/>
      <c r="B810" s="135"/>
      <c r="C810" s="136"/>
      <c r="D810" s="137"/>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spans="1:25" ht="12.95">
      <c r="A811" s="149"/>
      <c r="B811" s="135"/>
      <c r="C811" s="136"/>
      <c r="D811" s="137"/>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spans="1:25" ht="12.95">
      <c r="A812" s="149"/>
      <c r="B812" s="135"/>
      <c r="C812" s="136"/>
      <c r="D812" s="137"/>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spans="1:25" ht="12.95">
      <c r="A813" s="149"/>
      <c r="B813" s="135"/>
      <c r="C813" s="136"/>
      <c r="D813" s="137"/>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spans="1:25" ht="12.95">
      <c r="A814" s="149"/>
      <c r="B814" s="135"/>
      <c r="C814" s="136"/>
      <c r="D814" s="137"/>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spans="1:25" ht="12.95">
      <c r="A815" s="149"/>
      <c r="B815" s="135"/>
      <c r="C815" s="136"/>
      <c r="D815" s="137"/>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spans="1:25" ht="12.95">
      <c r="A816" s="149"/>
      <c r="B816" s="135"/>
      <c r="C816" s="136"/>
      <c r="D816" s="137"/>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spans="1:25" ht="12.95">
      <c r="A817" s="149"/>
      <c r="B817" s="135"/>
      <c r="C817" s="136"/>
      <c r="D817" s="137"/>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spans="1:25" ht="12.95">
      <c r="A818" s="149"/>
      <c r="B818" s="135"/>
      <c r="C818" s="136"/>
      <c r="D818" s="137"/>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spans="1:25" ht="12.95">
      <c r="A819" s="149"/>
      <c r="B819" s="135"/>
      <c r="C819" s="136"/>
      <c r="D819" s="137"/>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spans="1:25" ht="12.95">
      <c r="A820" s="149"/>
      <c r="B820" s="135"/>
      <c r="C820" s="136"/>
      <c r="D820" s="137"/>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spans="1:25" ht="12.95">
      <c r="A821" s="149"/>
      <c r="B821" s="135"/>
      <c r="C821" s="136"/>
      <c r="D821" s="137"/>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spans="1:25" ht="12.95">
      <c r="A822" s="149"/>
      <c r="B822" s="135"/>
      <c r="C822" s="136"/>
      <c r="D822" s="137"/>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spans="1:25" ht="12.95">
      <c r="A823" s="149"/>
      <c r="B823" s="135"/>
      <c r="C823" s="136"/>
      <c r="D823" s="137"/>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spans="1:25" ht="12.95">
      <c r="A824" s="149"/>
      <c r="B824" s="135"/>
      <c r="C824" s="136"/>
      <c r="D824" s="137"/>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spans="1:25" ht="12.95">
      <c r="A825" s="149"/>
      <c r="B825" s="135"/>
      <c r="C825" s="136"/>
      <c r="D825" s="137"/>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spans="1:25" ht="12.95">
      <c r="A826" s="149"/>
      <c r="B826" s="135"/>
      <c r="C826" s="136"/>
      <c r="D826" s="137"/>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spans="1:25" ht="12.95">
      <c r="A827" s="149"/>
      <c r="B827" s="135"/>
      <c r="C827" s="136"/>
      <c r="D827" s="137"/>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spans="1:25" ht="12.95">
      <c r="A828" s="149"/>
      <c r="B828" s="135"/>
      <c r="C828" s="136"/>
      <c r="D828" s="137"/>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spans="1:25" ht="12.95">
      <c r="A829" s="149"/>
      <c r="B829" s="135"/>
      <c r="C829" s="136"/>
      <c r="D829" s="137"/>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spans="1:25" ht="12.95">
      <c r="A830" s="149"/>
      <c r="B830" s="135"/>
      <c r="C830" s="136"/>
      <c r="D830" s="137"/>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spans="1:25" ht="12.95">
      <c r="A831" s="149"/>
      <c r="B831" s="135"/>
      <c r="C831" s="136"/>
      <c r="D831" s="137"/>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spans="1:25" ht="12.95">
      <c r="A832" s="149"/>
      <c r="B832" s="135"/>
      <c r="C832" s="136"/>
      <c r="D832" s="137"/>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spans="1:25" ht="12.95">
      <c r="A833" s="149"/>
      <c r="B833" s="135"/>
      <c r="C833" s="136"/>
      <c r="D833" s="137"/>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spans="1:25" ht="12.95">
      <c r="A834" s="149"/>
      <c r="B834" s="135"/>
      <c r="C834" s="136"/>
      <c r="D834" s="137"/>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spans="1:25" ht="12.95">
      <c r="A835" s="149"/>
      <c r="B835" s="135"/>
      <c r="C835" s="136"/>
      <c r="D835" s="137"/>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spans="1:25" ht="12.95">
      <c r="A836" s="149"/>
      <c r="B836" s="135"/>
      <c r="C836" s="136"/>
      <c r="D836" s="137"/>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spans="1:25" ht="12.95">
      <c r="A837" s="149"/>
      <c r="B837" s="135"/>
      <c r="C837" s="136"/>
      <c r="D837" s="137"/>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spans="1:25" ht="12.95">
      <c r="A838" s="149"/>
      <c r="B838" s="135"/>
      <c r="C838" s="136"/>
      <c r="D838" s="137"/>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spans="1:25" ht="12.95">
      <c r="A839" s="149"/>
      <c r="B839" s="135"/>
      <c r="C839" s="136"/>
      <c r="D839" s="137"/>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spans="1:25" ht="12.95">
      <c r="A840" s="149"/>
      <c r="B840" s="135"/>
      <c r="C840" s="136"/>
      <c r="D840" s="137"/>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spans="1:25" ht="12.95">
      <c r="A841" s="149"/>
      <c r="B841" s="135"/>
      <c r="C841" s="136"/>
      <c r="D841" s="137"/>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spans="1:25" ht="12.95">
      <c r="A842" s="149"/>
      <c r="B842" s="135"/>
      <c r="C842" s="136"/>
      <c r="D842" s="137"/>
      <c r="E842" s="136"/>
      <c r="F842" s="136"/>
      <c r="G842" s="136"/>
      <c r="H842" s="136"/>
      <c r="I842" s="136"/>
      <c r="J842" s="136"/>
      <c r="K842" s="136"/>
      <c r="L842" s="136"/>
      <c r="M842" s="136"/>
      <c r="N842" s="136"/>
      <c r="O842" s="136"/>
      <c r="P842" s="136"/>
      <c r="Q842" s="136"/>
      <c r="R842" s="136"/>
      <c r="S842" s="136"/>
      <c r="T842" s="136"/>
      <c r="U842" s="136"/>
      <c r="V842" s="136"/>
      <c r="W842" s="136"/>
      <c r="X842" s="136"/>
      <c r="Y842" s="136"/>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xr:uid="{00000000-0004-0000-0500-000000000000}"/>
    <hyperlink ref="A5" r:id="rId2" xr:uid="{00000000-0004-0000-0500-000001000000}"/>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3"/>
  <sheetViews>
    <sheetView workbookViewId="0">
      <selection activeCell="Q6" sqref="Q6"/>
    </sheetView>
  </sheetViews>
  <sheetFormatPr defaultColWidth="8.7109375" defaultRowHeight="14.45"/>
  <cols>
    <col min="2" max="2" width="26.7109375" customWidth="1"/>
    <col min="7" max="7" width="49" customWidth="1"/>
  </cols>
  <sheetData>
    <row r="1" spans="1:7" ht="29.1">
      <c r="A1" s="127" t="s">
        <v>1681</v>
      </c>
      <c r="D1" t="s">
        <v>1682</v>
      </c>
      <c r="F1" s="141" t="s">
        <v>1613</v>
      </c>
      <c r="G1" s="143" t="s">
        <v>1615</v>
      </c>
    </row>
    <row r="2" spans="1:7">
      <c r="A2">
        <v>0</v>
      </c>
      <c r="B2" s="148" t="s">
        <v>175</v>
      </c>
      <c r="D2" t="s">
        <v>57</v>
      </c>
      <c r="F2" s="144"/>
      <c r="G2" s="145" t="s">
        <v>175</v>
      </c>
    </row>
    <row r="3" spans="1:7">
      <c r="A3">
        <v>1</v>
      </c>
      <c r="B3" s="148" t="s">
        <v>1617</v>
      </c>
      <c r="D3" t="s">
        <v>81</v>
      </c>
      <c r="F3" s="144">
        <v>1.1000000000000001</v>
      </c>
      <c r="G3" s="145" t="s">
        <v>1618</v>
      </c>
    </row>
    <row r="4" spans="1:7">
      <c r="A4">
        <v>2</v>
      </c>
      <c r="B4" s="148" t="s">
        <v>1603</v>
      </c>
      <c r="D4" t="s">
        <v>76</v>
      </c>
      <c r="F4" s="144">
        <v>1.2</v>
      </c>
      <c r="G4" s="145" t="s">
        <v>1620</v>
      </c>
    </row>
    <row r="5" spans="1:7">
      <c r="A5">
        <v>3</v>
      </c>
      <c r="B5" s="148" t="s">
        <v>1626</v>
      </c>
      <c r="F5" s="144">
        <v>1.3</v>
      </c>
      <c r="G5" s="145" t="s">
        <v>93</v>
      </c>
    </row>
    <row r="6" spans="1:7" ht="26.1">
      <c r="A6">
        <v>4</v>
      </c>
      <c r="B6" s="148" t="s">
        <v>1605</v>
      </c>
      <c r="F6" s="144">
        <v>2.1</v>
      </c>
      <c r="G6" s="145" t="s">
        <v>1598</v>
      </c>
    </row>
    <row r="7" spans="1:7">
      <c r="A7">
        <v>5</v>
      </c>
      <c r="B7" s="148" t="s">
        <v>1602</v>
      </c>
      <c r="F7" s="144">
        <v>2.2000000000000002</v>
      </c>
      <c r="G7" s="145" t="s">
        <v>233</v>
      </c>
    </row>
    <row r="8" spans="1:7">
      <c r="A8">
        <v>6</v>
      </c>
      <c r="B8" s="148" t="s">
        <v>1644</v>
      </c>
      <c r="F8" s="144">
        <v>2.2999999999999998</v>
      </c>
      <c r="G8" s="145" t="s">
        <v>61</v>
      </c>
    </row>
    <row r="9" spans="1:7" ht="26.1">
      <c r="A9">
        <v>7</v>
      </c>
      <c r="B9" s="148" t="s">
        <v>1600</v>
      </c>
      <c r="F9" s="144">
        <v>2.4</v>
      </c>
      <c r="G9" s="145" t="s">
        <v>1624</v>
      </c>
    </row>
    <row r="10" spans="1:7">
      <c r="A10">
        <v>8</v>
      </c>
      <c r="B10" s="148" t="s">
        <v>1599</v>
      </c>
      <c r="F10" s="144">
        <v>3.1</v>
      </c>
      <c r="G10" s="145" t="s">
        <v>1627</v>
      </c>
    </row>
    <row r="11" spans="1:7">
      <c r="A11">
        <v>9</v>
      </c>
      <c r="B11" s="148" t="s">
        <v>1606</v>
      </c>
      <c r="F11" s="144">
        <v>3.2</v>
      </c>
      <c r="G11" s="145" t="s">
        <v>1629</v>
      </c>
    </row>
    <row r="12" spans="1:7">
      <c r="A12">
        <v>10</v>
      </c>
      <c r="B12" s="148" t="s">
        <v>1604</v>
      </c>
      <c r="F12" s="144">
        <v>4.0999999999999996</v>
      </c>
      <c r="G12" s="145" t="s">
        <v>1631</v>
      </c>
    </row>
    <row r="13" spans="1:7">
      <c r="A13">
        <v>11</v>
      </c>
      <c r="B13" s="148" t="s">
        <v>1601</v>
      </c>
      <c r="F13" s="144">
        <v>4.2</v>
      </c>
      <c r="G13" s="145" t="s">
        <v>1633</v>
      </c>
    </row>
    <row r="14" spans="1:7">
      <c r="F14" s="144">
        <v>4.3</v>
      </c>
      <c r="G14" s="145" t="s">
        <v>1635</v>
      </c>
    </row>
    <row r="15" spans="1:7">
      <c r="F15" s="144">
        <v>4.4000000000000004</v>
      </c>
      <c r="G15" s="145" t="s">
        <v>1637</v>
      </c>
    </row>
    <row r="16" spans="1:7">
      <c r="F16" s="144">
        <v>5.0999999999999996</v>
      </c>
      <c r="G16" s="145" t="s">
        <v>138</v>
      </c>
    </row>
    <row r="17" spans="6:7">
      <c r="F17" s="147">
        <v>5.2</v>
      </c>
      <c r="G17" s="145" t="s">
        <v>1640</v>
      </c>
    </row>
    <row r="18" spans="6:7">
      <c r="F18" s="144">
        <v>5.3</v>
      </c>
      <c r="G18" s="145" t="s">
        <v>102</v>
      </c>
    </row>
    <row r="19" spans="6:7">
      <c r="F19" s="144">
        <v>5.4</v>
      </c>
      <c r="G19" s="145" t="s">
        <v>144</v>
      </c>
    </row>
    <row r="20" spans="6:7">
      <c r="F20" s="144">
        <v>6.1</v>
      </c>
      <c r="G20" s="145" t="s">
        <v>67</v>
      </c>
    </row>
    <row r="21" spans="6:7">
      <c r="F21" s="144">
        <v>6.2</v>
      </c>
      <c r="G21" s="145" t="s">
        <v>1646</v>
      </c>
    </row>
    <row r="22" spans="6:7">
      <c r="F22" s="144">
        <v>6.3</v>
      </c>
      <c r="G22" s="145" t="s">
        <v>1648</v>
      </c>
    </row>
    <row r="23" spans="6:7">
      <c r="F23" s="144">
        <v>6.4</v>
      </c>
      <c r="G23" s="145" t="s">
        <v>1650</v>
      </c>
    </row>
    <row r="24" spans="6:7">
      <c r="F24" s="144">
        <v>7.1</v>
      </c>
      <c r="G24" s="145" t="s">
        <v>147</v>
      </c>
    </row>
    <row r="25" spans="6:7">
      <c r="F25" s="144">
        <v>7.2</v>
      </c>
      <c r="G25" s="145" t="s">
        <v>60</v>
      </c>
    </row>
    <row r="26" spans="6:7">
      <c r="F26" s="144">
        <v>7.3</v>
      </c>
      <c r="G26" s="145" t="s">
        <v>1654</v>
      </c>
    </row>
    <row r="27" spans="6:7">
      <c r="F27" s="144">
        <v>7.4</v>
      </c>
      <c r="G27" s="145" t="s">
        <v>142</v>
      </c>
    </row>
    <row r="28" spans="6:7">
      <c r="F28" s="144">
        <v>7.5</v>
      </c>
      <c r="G28" s="145" t="s">
        <v>1657</v>
      </c>
    </row>
    <row r="29" spans="6:7">
      <c r="F29" s="144">
        <v>7.6</v>
      </c>
      <c r="G29" s="145" t="s">
        <v>59</v>
      </c>
    </row>
    <row r="30" spans="6:7">
      <c r="F30" s="144">
        <v>8.1</v>
      </c>
      <c r="G30" s="145" t="s">
        <v>74</v>
      </c>
    </row>
    <row r="31" spans="6:7">
      <c r="F31" s="144">
        <v>8.1999999999999993</v>
      </c>
      <c r="G31" s="145" t="s">
        <v>96</v>
      </c>
    </row>
    <row r="32" spans="6:7">
      <c r="F32" s="144">
        <v>8.3000000000000007</v>
      </c>
      <c r="G32" s="145" t="s">
        <v>1662</v>
      </c>
    </row>
    <row r="33" spans="6:7">
      <c r="F33" s="144">
        <v>8.4</v>
      </c>
      <c r="G33" s="145" t="s">
        <v>79</v>
      </c>
    </row>
    <row r="34" spans="6:7">
      <c r="F34" s="144">
        <v>9.1</v>
      </c>
      <c r="G34" s="145" t="s">
        <v>130</v>
      </c>
    </row>
    <row r="35" spans="6:7">
      <c r="F35" s="144">
        <v>9.1999999999999993</v>
      </c>
      <c r="G35" s="145" t="s">
        <v>1666</v>
      </c>
    </row>
    <row r="36" spans="6:7">
      <c r="F36" s="144">
        <v>9.3000000000000007</v>
      </c>
      <c r="G36" s="145" t="s">
        <v>1668</v>
      </c>
    </row>
    <row r="37" spans="6:7">
      <c r="F37" s="144">
        <v>9.4</v>
      </c>
      <c r="G37" s="145" t="s">
        <v>1670</v>
      </c>
    </row>
    <row r="38" spans="6:7">
      <c r="F38" s="144">
        <v>10.1</v>
      </c>
      <c r="G38" s="145" t="s">
        <v>1672</v>
      </c>
    </row>
    <row r="39" spans="6:7">
      <c r="F39" s="144">
        <v>10.199999999999999</v>
      </c>
      <c r="G39" s="145" t="s">
        <v>1674</v>
      </c>
    </row>
    <row r="40" spans="6:7">
      <c r="F40" s="144">
        <v>11.1</v>
      </c>
      <c r="G40" s="145" t="s">
        <v>1676</v>
      </c>
    </row>
    <row r="41" spans="6:7" ht="26.1">
      <c r="F41" s="144">
        <v>11.2</v>
      </c>
      <c r="G41" s="145" t="s">
        <v>103</v>
      </c>
    </row>
    <row r="42" spans="6:7" ht="26.1">
      <c r="F42" s="144">
        <v>11.3</v>
      </c>
      <c r="G42" s="145" t="s">
        <v>66</v>
      </c>
    </row>
    <row r="43" spans="6:7">
      <c r="F43" s="144">
        <v>11.4</v>
      </c>
      <c r="G43" s="145" t="s">
        <v>1680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50"/>
  <sheetViews>
    <sheetView zoomScale="90" zoomScaleNormal="90" workbookViewId="0">
      <pane ySplit="1" topLeftCell="A5" activePane="bottomLeft" state="frozen"/>
      <selection pane="bottomLeft" activeCell="Q6" sqref="Q6"/>
    </sheetView>
  </sheetViews>
  <sheetFormatPr defaultColWidth="8.7109375" defaultRowHeight="15" customHeight="1"/>
  <cols>
    <col min="1" max="1" width="8.7109375" style="211"/>
    <col min="2" max="2" width="10.7109375" style="74" customWidth="1"/>
    <col min="3" max="3" width="13.7109375" style="74" hidden="1" customWidth="1"/>
    <col min="4" max="4" width="12.28515625" style="1" customWidth="1"/>
    <col min="5" max="5" width="10.42578125" style="74" hidden="1" customWidth="1"/>
    <col min="6" max="6" width="57.28515625" style="1" customWidth="1"/>
    <col min="7" max="7" width="13.28515625" style="74" customWidth="1"/>
    <col min="8" max="8" width="11" style="296" customWidth="1"/>
    <col min="9" max="9" width="24.28515625" style="184" customWidth="1"/>
    <col min="10" max="10" width="18.28515625" style="87" customWidth="1"/>
    <col min="11" max="11" width="40.7109375" style="74" customWidth="1"/>
    <col min="12" max="12" width="62.42578125" style="74" customWidth="1"/>
    <col min="13" max="13" width="10.5703125" style="87" customWidth="1"/>
    <col min="14" max="14" width="40" style="74" customWidth="1"/>
    <col min="15" max="15" width="13.5703125" style="377" customWidth="1"/>
    <col min="16" max="16384" width="8.7109375" style="74"/>
  </cols>
  <sheetData>
    <row r="1" spans="1:15" ht="29.1">
      <c r="A1" s="363" t="s">
        <v>1683</v>
      </c>
      <c r="B1" s="288" t="s">
        <v>1684</v>
      </c>
      <c r="C1" s="289" t="s">
        <v>1685</v>
      </c>
      <c r="D1" s="288" t="s">
        <v>1686</v>
      </c>
      <c r="E1" s="289" t="s">
        <v>1687</v>
      </c>
      <c r="F1" s="288" t="s">
        <v>1688</v>
      </c>
      <c r="G1" s="290" t="s">
        <v>1689</v>
      </c>
      <c r="H1" s="291" t="s">
        <v>1690</v>
      </c>
      <c r="I1" s="291" t="s">
        <v>1691</v>
      </c>
      <c r="J1" s="292" t="s">
        <v>1692</v>
      </c>
      <c r="K1" s="292" t="s">
        <v>1693</v>
      </c>
      <c r="L1" s="293" t="s">
        <v>1694</v>
      </c>
      <c r="M1" s="293" t="s">
        <v>1695</v>
      </c>
      <c r="N1" s="293" t="s">
        <v>1696</v>
      </c>
      <c r="O1" s="376" t="s">
        <v>1697</v>
      </c>
    </row>
    <row r="2" spans="1:15" ht="57.95">
      <c r="A2" s="211">
        <v>1</v>
      </c>
      <c r="B2" s="294" t="s">
        <v>1698</v>
      </c>
      <c r="D2" s="218" t="s">
        <v>1699</v>
      </c>
      <c r="F2" s="218" t="s">
        <v>1700</v>
      </c>
      <c r="G2" s="211" t="s">
        <v>1701</v>
      </c>
      <c r="H2" s="295"/>
      <c r="I2" s="296"/>
      <c r="J2" s="297" t="s">
        <v>723</v>
      </c>
      <c r="K2" s="8" t="s">
        <v>724</v>
      </c>
      <c r="L2" s="211"/>
    </row>
    <row r="3" spans="1:15" ht="72.599999999999994">
      <c r="A3" s="211">
        <v>2</v>
      </c>
      <c r="B3" s="294" t="s">
        <v>1698</v>
      </c>
      <c r="D3" s="218" t="s">
        <v>1699</v>
      </c>
      <c r="F3" s="218" t="s">
        <v>1702</v>
      </c>
      <c r="G3" s="211" t="s">
        <v>1703</v>
      </c>
      <c r="H3" s="295"/>
      <c r="I3" s="296" t="s">
        <v>1704</v>
      </c>
      <c r="J3" s="297" t="s">
        <v>707</v>
      </c>
      <c r="K3" s="298" t="s">
        <v>708</v>
      </c>
      <c r="O3" s="377" t="s">
        <v>1705</v>
      </c>
    </row>
    <row r="4" spans="1:15" ht="57.95">
      <c r="A4" s="211">
        <v>3</v>
      </c>
      <c r="B4" s="294" t="s">
        <v>1698</v>
      </c>
      <c r="D4" s="218" t="s">
        <v>1699</v>
      </c>
      <c r="F4" s="218" t="s">
        <v>1706</v>
      </c>
      <c r="G4" s="211" t="s">
        <v>1701</v>
      </c>
      <c r="I4" s="296"/>
      <c r="J4" s="297" t="s">
        <v>723</v>
      </c>
      <c r="K4" s="8" t="s">
        <v>724</v>
      </c>
    </row>
    <row r="5" spans="1:15" ht="57.95">
      <c r="A5" s="211">
        <v>4</v>
      </c>
      <c r="B5" s="294" t="s">
        <v>1698</v>
      </c>
      <c r="D5" s="218" t="s">
        <v>1699</v>
      </c>
      <c r="F5" s="218" t="s">
        <v>1707</v>
      </c>
      <c r="G5" s="211"/>
      <c r="I5" s="296"/>
      <c r="J5" s="297" t="s">
        <v>723</v>
      </c>
      <c r="K5" s="8" t="s">
        <v>724</v>
      </c>
    </row>
    <row r="6" spans="1:15" ht="57.95">
      <c r="A6" s="211">
        <v>5</v>
      </c>
      <c r="B6" s="294" t="s">
        <v>1698</v>
      </c>
      <c r="D6" s="218" t="s">
        <v>1699</v>
      </c>
      <c r="F6" s="218" t="s">
        <v>1708</v>
      </c>
      <c r="G6" s="211" t="s">
        <v>1703</v>
      </c>
      <c r="H6" s="295"/>
      <c r="I6" s="296"/>
      <c r="J6" s="297" t="s">
        <v>732</v>
      </c>
      <c r="K6" s="8" t="s">
        <v>733</v>
      </c>
      <c r="L6" s="8" t="s">
        <v>734</v>
      </c>
    </row>
    <row r="7" spans="1:15" ht="57.95">
      <c r="A7" s="211">
        <v>6</v>
      </c>
      <c r="B7" s="294" t="s">
        <v>1698</v>
      </c>
      <c r="D7" s="218" t="s">
        <v>1699</v>
      </c>
      <c r="F7" s="218" t="s">
        <v>1709</v>
      </c>
      <c r="G7" s="211" t="s">
        <v>1703</v>
      </c>
      <c r="H7" s="295"/>
      <c r="I7" s="296"/>
      <c r="J7" s="297" t="s">
        <v>732</v>
      </c>
      <c r="K7" s="8" t="s">
        <v>733</v>
      </c>
      <c r="L7" s="8" t="s">
        <v>734</v>
      </c>
    </row>
    <row r="8" spans="1:15" ht="57.95">
      <c r="A8" s="211">
        <v>7</v>
      </c>
      <c r="B8" s="294" t="s">
        <v>1698</v>
      </c>
      <c r="D8" s="218" t="s">
        <v>1699</v>
      </c>
      <c r="F8" s="218" t="s">
        <v>1710</v>
      </c>
      <c r="G8" s="211"/>
      <c r="H8" s="295"/>
      <c r="I8" s="296"/>
      <c r="J8" s="297" t="s">
        <v>1260</v>
      </c>
      <c r="K8" s="8" t="s">
        <v>1261</v>
      </c>
    </row>
    <row r="9" spans="1:15" ht="57.95">
      <c r="A9" s="211">
        <v>8</v>
      </c>
      <c r="B9" s="294" t="s">
        <v>1698</v>
      </c>
      <c r="D9" s="218" t="s">
        <v>1699</v>
      </c>
      <c r="F9" s="218" t="s">
        <v>1711</v>
      </c>
      <c r="G9" s="211"/>
      <c r="H9" s="295"/>
      <c r="I9" s="296"/>
      <c r="J9" s="297" t="s">
        <v>585</v>
      </c>
      <c r="K9" s="8" t="s">
        <v>586</v>
      </c>
    </row>
    <row r="10" spans="1:15" ht="57.95">
      <c r="A10" s="211">
        <v>9</v>
      </c>
      <c r="B10" s="294" t="s">
        <v>1698</v>
      </c>
      <c r="D10" s="218" t="s">
        <v>1699</v>
      </c>
      <c r="F10" s="218" t="s">
        <v>1712</v>
      </c>
      <c r="G10" s="211"/>
      <c r="H10" s="295"/>
      <c r="I10" s="296"/>
      <c r="J10" s="297" t="s">
        <v>732</v>
      </c>
      <c r="K10" s="8" t="s">
        <v>733</v>
      </c>
      <c r="L10" s="8" t="s">
        <v>734</v>
      </c>
    </row>
    <row r="11" spans="1:15" ht="57.95">
      <c r="A11" s="211">
        <v>10</v>
      </c>
      <c r="B11" s="294" t="s">
        <v>1698</v>
      </c>
      <c r="D11" s="218" t="s">
        <v>1699</v>
      </c>
      <c r="F11" s="218" t="s">
        <v>1713</v>
      </c>
      <c r="G11" s="211"/>
      <c r="H11" s="295"/>
      <c r="I11" s="296"/>
      <c r="J11" s="297" t="s">
        <v>741</v>
      </c>
      <c r="K11" s="8" t="s">
        <v>742</v>
      </c>
    </row>
    <row r="12" spans="1:15" ht="57.95">
      <c r="A12" s="211">
        <v>11</v>
      </c>
      <c r="B12" s="294" t="s">
        <v>1698</v>
      </c>
      <c r="D12" s="218" t="s">
        <v>1699</v>
      </c>
      <c r="F12" s="218" t="s">
        <v>1714</v>
      </c>
      <c r="H12" s="296" t="s">
        <v>1715</v>
      </c>
      <c r="I12" s="296" t="s">
        <v>1716</v>
      </c>
      <c r="J12" s="297" t="s">
        <v>715</v>
      </c>
      <c r="K12" s="8" t="s">
        <v>716</v>
      </c>
      <c r="O12" s="74"/>
    </row>
    <row r="13" spans="1:15" ht="57.95">
      <c r="A13" s="211">
        <v>12</v>
      </c>
      <c r="B13" s="294" t="s">
        <v>1698</v>
      </c>
      <c r="D13" s="218" t="s">
        <v>1699</v>
      </c>
      <c r="F13" s="218" t="s">
        <v>1717</v>
      </c>
      <c r="G13" s="211"/>
      <c r="H13" s="295"/>
      <c r="I13" s="296"/>
      <c r="J13" s="297" t="s">
        <v>741</v>
      </c>
      <c r="K13" s="8" t="s">
        <v>742</v>
      </c>
    </row>
    <row r="14" spans="1:15" ht="57.95">
      <c r="A14" s="211">
        <v>13</v>
      </c>
      <c r="B14" s="294" t="s">
        <v>1698</v>
      </c>
      <c r="D14" s="218" t="s">
        <v>1699</v>
      </c>
      <c r="F14" s="218" t="s">
        <v>1718</v>
      </c>
      <c r="H14" s="296" t="s">
        <v>1715</v>
      </c>
      <c r="I14" s="296" t="s">
        <v>1719</v>
      </c>
      <c r="J14" s="297" t="s">
        <v>732</v>
      </c>
      <c r="K14" s="8" t="s">
        <v>733</v>
      </c>
      <c r="L14" s="8" t="s">
        <v>734</v>
      </c>
      <c r="O14" s="74"/>
    </row>
    <row r="15" spans="1:15" ht="57.95">
      <c r="A15" s="211">
        <v>14</v>
      </c>
      <c r="B15" s="294" t="s">
        <v>1698</v>
      </c>
      <c r="D15" s="218" t="s">
        <v>1699</v>
      </c>
      <c r="F15" s="218" t="s">
        <v>1720</v>
      </c>
      <c r="H15" s="296" t="s">
        <v>1715</v>
      </c>
      <c r="I15" s="296" t="s">
        <v>1721</v>
      </c>
      <c r="J15" s="297" t="s">
        <v>741</v>
      </c>
      <c r="K15" s="8" t="s">
        <v>742</v>
      </c>
      <c r="O15" s="74"/>
    </row>
    <row r="16" spans="1:15" ht="57.95">
      <c r="A16" s="211">
        <v>15</v>
      </c>
      <c r="B16" s="294" t="s">
        <v>1698</v>
      </c>
      <c r="D16" s="218" t="s">
        <v>1699</v>
      </c>
      <c r="F16" s="218" t="s">
        <v>1722</v>
      </c>
      <c r="G16" s="211"/>
      <c r="H16" s="295"/>
      <c r="I16" s="296"/>
      <c r="J16" s="297" t="s">
        <v>783</v>
      </c>
      <c r="K16" s="8" t="s">
        <v>784</v>
      </c>
    </row>
    <row r="17" spans="1:15" ht="72.599999999999994">
      <c r="A17" s="211">
        <v>16</v>
      </c>
      <c r="B17" s="294" t="s">
        <v>1698</v>
      </c>
      <c r="D17" s="299" t="s">
        <v>1723</v>
      </c>
      <c r="F17" s="218" t="s">
        <v>1724</v>
      </c>
      <c r="G17" s="211" t="s">
        <v>1701</v>
      </c>
      <c r="H17" s="295"/>
      <c r="I17" s="296"/>
      <c r="J17" s="297" t="s">
        <v>707</v>
      </c>
      <c r="K17" s="298" t="s">
        <v>708</v>
      </c>
      <c r="O17" s="377" t="s">
        <v>1705</v>
      </c>
    </row>
    <row r="18" spans="1:15" ht="57.95">
      <c r="A18" s="211">
        <v>17</v>
      </c>
      <c r="B18" s="294" t="s">
        <v>1698</v>
      </c>
      <c r="D18" s="299" t="s">
        <v>1723</v>
      </c>
      <c r="F18" s="218" t="s">
        <v>1725</v>
      </c>
      <c r="H18" s="296" t="s">
        <v>1715</v>
      </c>
      <c r="I18" s="296" t="s">
        <v>1726</v>
      </c>
      <c r="J18" s="297" t="s">
        <v>428</v>
      </c>
      <c r="K18" s="8" t="s">
        <v>429</v>
      </c>
      <c r="O18" s="74"/>
    </row>
    <row r="19" spans="1:15" ht="57.95">
      <c r="A19" s="211">
        <v>18</v>
      </c>
      <c r="B19" s="294" t="s">
        <v>1698</v>
      </c>
      <c r="D19" s="299" t="s">
        <v>1723</v>
      </c>
      <c r="F19" s="218" t="s">
        <v>1727</v>
      </c>
      <c r="G19" s="211" t="s">
        <v>1701</v>
      </c>
      <c r="H19" s="295"/>
      <c r="I19" s="296"/>
      <c r="J19" s="297" t="s">
        <v>318</v>
      </c>
      <c r="K19" s="8" t="s">
        <v>319</v>
      </c>
    </row>
    <row r="20" spans="1:15" ht="57.95">
      <c r="A20" s="211">
        <v>19</v>
      </c>
      <c r="B20" s="294" t="s">
        <v>1698</v>
      </c>
      <c r="D20" s="299" t="s">
        <v>1723</v>
      </c>
      <c r="F20" s="218" t="s">
        <v>1728</v>
      </c>
      <c r="G20" s="211" t="s">
        <v>1703</v>
      </c>
      <c r="H20" s="295"/>
      <c r="I20" s="296"/>
      <c r="J20" s="297" t="s">
        <v>438</v>
      </c>
      <c r="K20" s="8" t="s">
        <v>439</v>
      </c>
    </row>
    <row r="21" spans="1:15" ht="57.95">
      <c r="A21" s="211">
        <v>20</v>
      </c>
      <c r="B21" s="294" t="s">
        <v>1698</v>
      </c>
      <c r="D21" s="299" t="s">
        <v>1723</v>
      </c>
      <c r="F21" s="218" t="s">
        <v>1729</v>
      </c>
      <c r="G21" s="364" t="s">
        <v>1730</v>
      </c>
      <c r="H21" s="295"/>
      <c r="I21" s="296"/>
      <c r="J21" s="297" t="s">
        <v>1144</v>
      </c>
      <c r="K21" s="8" t="s">
        <v>1145</v>
      </c>
    </row>
    <row r="22" spans="1:15" ht="57.95">
      <c r="A22" s="211">
        <v>21</v>
      </c>
      <c r="B22" s="294" t="s">
        <v>1698</v>
      </c>
      <c r="D22" s="300" t="s">
        <v>1731</v>
      </c>
      <c r="F22" s="218" t="s">
        <v>1732</v>
      </c>
      <c r="H22" s="295"/>
      <c r="I22" s="296" t="s">
        <v>1733</v>
      </c>
      <c r="J22" s="297" t="s">
        <v>1432</v>
      </c>
      <c r="K22" s="8" t="s">
        <v>1433</v>
      </c>
    </row>
    <row r="23" spans="1:15" ht="57.95">
      <c r="A23" s="211">
        <v>22</v>
      </c>
      <c r="B23" s="294" t="s">
        <v>1698</v>
      </c>
      <c r="D23" s="300" t="s">
        <v>1731</v>
      </c>
      <c r="F23" s="218" t="s">
        <v>1734</v>
      </c>
      <c r="H23" s="295"/>
      <c r="I23" s="296" t="s">
        <v>1735</v>
      </c>
      <c r="J23" s="297" t="s">
        <v>1442</v>
      </c>
      <c r="K23" s="8" t="s">
        <v>1443</v>
      </c>
      <c r="O23" s="377" t="s">
        <v>1736</v>
      </c>
    </row>
    <row r="24" spans="1:15" ht="57.95">
      <c r="A24" s="211">
        <v>23</v>
      </c>
      <c r="B24" s="294" t="s">
        <v>1698</v>
      </c>
      <c r="D24" s="300" t="s">
        <v>1731</v>
      </c>
      <c r="F24" s="218" t="s">
        <v>1737</v>
      </c>
      <c r="G24" s="211" t="s">
        <v>1703</v>
      </c>
      <c r="H24" s="295"/>
      <c r="I24" s="296" t="s">
        <v>1738</v>
      </c>
      <c r="J24" s="297" t="s">
        <v>1432</v>
      </c>
      <c r="K24" s="8" t="s">
        <v>1433</v>
      </c>
      <c r="O24" s="377" t="s">
        <v>1739</v>
      </c>
    </row>
    <row r="25" spans="1:15" ht="57.95">
      <c r="A25" s="211">
        <v>24</v>
      </c>
      <c r="B25" s="294" t="s">
        <v>1698</v>
      </c>
      <c r="D25" s="300" t="s">
        <v>1731</v>
      </c>
      <c r="F25" s="218" t="s">
        <v>1740</v>
      </c>
      <c r="G25" s="211" t="s">
        <v>1703</v>
      </c>
      <c r="H25" s="295"/>
      <c r="I25" s="296" t="s">
        <v>1738</v>
      </c>
      <c r="J25" s="297" t="s">
        <v>1432</v>
      </c>
      <c r="K25" s="8" t="s">
        <v>1433</v>
      </c>
      <c r="O25" s="377" t="s">
        <v>1741</v>
      </c>
    </row>
    <row r="26" spans="1:15" ht="57.95">
      <c r="A26" s="211">
        <v>25</v>
      </c>
      <c r="B26" s="294" t="s">
        <v>1698</v>
      </c>
      <c r="D26" s="300" t="s">
        <v>1731</v>
      </c>
      <c r="F26" s="218" t="s">
        <v>1742</v>
      </c>
      <c r="G26" s="211" t="s">
        <v>1703</v>
      </c>
      <c r="H26" s="295"/>
      <c r="I26" s="296" t="s">
        <v>1743</v>
      </c>
      <c r="J26" s="297" t="s">
        <v>1255</v>
      </c>
      <c r="K26" s="8" t="s">
        <v>1256</v>
      </c>
    </row>
    <row r="27" spans="1:15" ht="57.95">
      <c r="A27" s="211">
        <v>26</v>
      </c>
      <c r="B27" s="294" t="s">
        <v>1698</v>
      </c>
      <c r="D27" s="300" t="s">
        <v>1731</v>
      </c>
      <c r="F27" s="218" t="s">
        <v>1744</v>
      </c>
      <c r="G27" s="211" t="s">
        <v>1703</v>
      </c>
      <c r="H27" s="295"/>
      <c r="I27" s="296" t="s">
        <v>1743</v>
      </c>
      <c r="J27" s="297" t="s">
        <v>1255</v>
      </c>
      <c r="K27" s="8" t="s">
        <v>1256</v>
      </c>
    </row>
    <row r="28" spans="1:15" ht="57.95">
      <c r="A28" s="211">
        <v>27</v>
      </c>
      <c r="B28" s="294" t="s">
        <v>1698</v>
      </c>
      <c r="D28" s="300" t="s">
        <v>1731</v>
      </c>
      <c r="F28" s="218" t="s">
        <v>1745</v>
      </c>
      <c r="G28" s="211" t="s">
        <v>1703</v>
      </c>
      <c r="H28" s="295"/>
      <c r="I28" s="296" t="s">
        <v>1743</v>
      </c>
      <c r="J28" s="297" t="s">
        <v>1255</v>
      </c>
      <c r="K28" s="8" t="s">
        <v>1256</v>
      </c>
    </row>
    <row r="29" spans="1:15" ht="57.95">
      <c r="A29" s="211">
        <v>28</v>
      </c>
      <c r="B29" s="294" t="s">
        <v>1698</v>
      </c>
      <c r="D29" s="300" t="s">
        <v>1731</v>
      </c>
      <c r="F29" s="218" t="s">
        <v>1746</v>
      </c>
      <c r="G29" s="211" t="s">
        <v>1703</v>
      </c>
      <c r="H29" s="295"/>
      <c r="I29" s="296" t="s">
        <v>1743</v>
      </c>
      <c r="J29" s="297" t="s">
        <v>1255</v>
      </c>
      <c r="K29" s="8" t="s">
        <v>1256</v>
      </c>
    </row>
    <row r="30" spans="1:15" ht="57.95">
      <c r="A30" s="211">
        <v>29</v>
      </c>
      <c r="B30" s="294" t="s">
        <v>1698</v>
      </c>
      <c r="D30" s="300" t="s">
        <v>1731</v>
      </c>
      <c r="F30" s="218" t="s">
        <v>1747</v>
      </c>
      <c r="G30" s="211" t="s">
        <v>1703</v>
      </c>
      <c r="H30" s="295"/>
      <c r="I30" s="296" t="s">
        <v>1748</v>
      </c>
      <c r="J30" s="297" t="s">
        <v>1432</v>
      </c>
      <c r="K30" s="8" t="s">
        <v>1433</v>
      </c>
    </row>
    <row r="31" spans="1:15" ht="57.95">
      <c r="A31" s="211">
        <v>30</v>
      </c>
      <c r="B31" s="294" t="s">
        <v>1698</v>
      </c>
      <c r="D31" s="300" t="s">
        <v>1731</v>
      </c>
      <c r="F31" s="218" t="s">
        <v>1749</v>
      </c>
      <c r="G31" s="211" t="s">
        <v>1703</v>
      </c>
      <c r="H31" s="295"/>
      <c r="I31" s="296" t="s">
        <v>1750</v>
      </c>
      <c r="J31" s="297" t="s">
        <v>1432</v>
      </c>
      <c r="K31" s="8" t="s">
        <v>1433</v>
      </c>
    </row>
    <row r="32" spans="1:15" ht="57.95">
      <c r="A32" s="211">
        <v>31</v>
      </c>
      <c r="B32" s="294" t="s">
        <v>1698</v>
      </c>
      <c r="D32" s="300" t="s">
        <v>1731</v>
      </c>
      <c r="F32" s="218" t="s">
        <v>1751</v>
      </c>
      <c r="G32" s="211"/>
      <c r="H32" s="295"/>
      <c r="I32" s="296"/>
      <c r="J32" s="297" t="s">
        <v>1320</v>
      </c>
      <c r="K32" s="298" t="s">
        <v>1321</v>
      </c>
      <c r="O32" s="377" t="s">
        <v>1752</v>
      </c>
    </row>
    <row r="33" spans="1:15" ht="57.95">
      <c r="A33" s="211">
        <v>32</v>
      </c>
      <c r="B33" s="294" t="s">
        <v>1698</v>
      </c>
      <c r="D33" s="300" t="s">
        <v>1731</v>
      </c>
      <c r="F33" s="218" t="s">
        <v>1753</v>
      </c>
      <c r="H33" s="295"/>
      <c r="I33" s="296" t="s">
        <v>1754</v>
      </c>
      <c r="J33" s="297" t="s">
        <v>752</v>
      </c>
      <c r="K33" s="8" t="s">
        <v>753</v>
      </c>
    </row>
    <row r="34" spans="1:15" ht="57.95">
      <c r="A34" s="211">
        <v>33</v>
      </c>
      <c r="B34" s="294" t="s">
        <v>1698</v>
      </c>
      <c r="D34" s="300" t="s">
        <v>1731</v>
      </c>
      <c r="F34" s="218" t="s">
        <v>1755</v>
      </c>
      <c r="G34" s="211"/>
      <c r="H34" s="295"/>
      <c r="I34" s="296"/>
      <c r="J34" s="297" t="s">
        <v>741</v>
      </c>
      <c r="K34" s="8" t="s">
        <v>742</v>
      </c>
    </row>
    <row r="35" spans="1:15" ht="72.599999999999994">
      <c r="A35" s="211">
        <v>34</v>
      </c>
      <c r="B35" s="294" t="s">
        <v>1698</v>
      </c>
      <c r="D35" s="300" t="s">
        <v>1731</v>
      </c>
      <c r="F35" s="218" t="s">
        <v>1756</v>
      </c>
      <c r="G35" s="211" t="s">
        <v>1703</v>
      </c>
      <c r="H35" s="295"/>
      <c r="I35" s="296" t="s">
        <v>1757</v>
      </c>
      <c r="J35" s="297" t="s">
        <v>707</v>
      </c>
      <c r="K35" s="298" t="s">
        <v>708</v>
      </c>
      <c r="O35" s="377" t="s">
        <v>1758</v>
      </c>
    </row>
    <row r="36" spans="1:15" ht="57.95">
      <c r="A36" s="211">
        <v>35</v>
      </c>
      <c r="B36" s="294" t="s">
        <v>1698</v>
      </c>
      <c r="D36" s="301" t="s">
        <v>1759</v>
      </c>
      <c r="F36" s="218" t="s">
        <v>1760</v>
      </c>
      <c r="G36" s="211" t="s">
        <v>1703</v>
      </c>
      <c r="H36" s="295"/>
      <c r="I36" s="296"/>
      <c r="J36" s="297" t="s">
        <v>330</v>
      </c>
      <c r="K36" s="8" t="s">
        <v>331</v>
      </c>
    </row>
    <row r="37" spans="1:15" ht="57.95">
      <c r="A37" s="211">
        <v>36</v>
      </c>
      <c r="B37" s="302" t="s">
        <v>1761</v>
      </c>
      <c r="D37" s="303" t="s">
        <v>1580</v>
      </c>
      <c r="F37" s="224" t="s">
        <v>1762</v>
      </c>
      <c r="G37" s="211" t="s">
        <v>1703</v>
      </c>
      <c r="H37" s="295"/>
      <c r="I37" s="296" t="s">
        <v>1763</v>
      </c>
      <c r="J37" s="297" t="s">
        <v>783</v>
      </c>
      <c r="K37" s="8" t="s">
        <v>784</v>
      </c>
    </row>
    <row r="38" spans="1:15" ht="57.95">
      <c r="A38" s="211">
        <v>37</v>
      </c>
      <c r="B38" s="302" t="s">
        <v>1761</v>
      </c>
      <c r="D38" s="303" t="s">
        <v>1580</v>
      </c>
      <c r="F38" s="224" t="s">
        <v>1764</v>
      </c>
      <c r="G38" s="211" t="s">
        <v>1703</v>
      </c>
      <c r="H38" s="295"/>
      <c r="I38" s="296"/>
      <c r="J38" s="297" t="s">
        <v>783</v>
      </c>
      <c r="K38" s="8" t="s">
        <v>784</v>
      </c>
    </row>
    <row r="39" spans="1:15" ht="57.95">
      <c r="A39" s="211">
        <v>38</v>
      </c>
      <c r="B39" s="302" t="s">
        <v>1761</v>
      </c>
      <c r="D39" s="303" t="s">
        <v>1580</v>
      </c>
      <c r="F39" s="224" t="s">
        <v>1765</v>
      </c>
      <c r="G39" s="211" t="s">
        <v>1703</v>
      </c>
      <c r="H39" s="295"/>
      <c r="I39" s="296"/>
      <c r="J39" s="297" t="s">
        <v>299</v>
      </c>
      <c r="K39" s="8" t="s">
        <v>300</v>
      </c>
      <c r="L39" s="8" t="s">
        <v>304</v>
      </c>
      <c r="O39" s="377" t="s">
        <v>1766</v>
      </c>
    </row>
    <row r="40" spans="1:15" ht="57.95">
      <c r="A40" s="211">
        <v>39</v>
      </c>
      <c r="B40" s="302" t="s">
        <v>1761</v>
      </c>
      <c r="D40" s="303" t="s">
        <v>1580</v>
      </c>
      <c r="F40" s="224" t="s">
        <v>1767</v>
      </c>
      <c r="G40" s="211" t="s">
        <v>1703</v>
      </c>
      <c r="H40" s="295"/>
      <c r="I40" s="296"/>
      <c r="J40" s="297" t="s">
        <v>783</v>
      </c>
      <c r="K40" s="8" t="s">
        <v>784</v>
      </c>
      <c r="L40" s="8"/>
    </row>
    <row r="41" spans="1:15" ht="57.95">
      <c r="A41" s="211">
        <v>40</v>
      </c>
      <c r="B41" s="302" t="s">
        <v>1761</v>
      </c>
      <c r="D41" s="303" t="s">
        <v>1580</v>
      </c>
      <c r="F41" s="224" t="s">
        <v>1768</v>
      </c>
      <c r="G41" s="211" t="s">
        <v>1701</v>
      </c>
      <c r="H41" s="295"/>
      <c r="I41" s="296"/>
      <c r="J41" s="297" t="s">
        <v>783</v>
      </c>
      <c r="K41" s="8" t="s">
        <v>784</v>
      </c>
      <c r="L41" s="8"/>
    </row>
    <row r="42" spans="1:15" ht="57.95">
      <c r="A42" s="211">
        <v>41</v>
      </c>
      <c r="B42" s="302" t="s">
        <v>1761</v>
      </c>
      <c r="D42" s="303" t="s">
        <v>1580</v>
      </c>
      <c r="F42" s="224" t="s">
        <v>1769</v>
      </c>
      <c r="G42" s="211" t="s">
        <v>1703</v>
      </c>
      <c r="H42" s="295"/>
      <c r="I42" s="296"/>
      <c r="J42" s="297" t="s">
        <v>783</v>
      </c>
      <c r="K42" s="8" t="s">
        <v>784</v>
      </c>
    </row>
    <row r="43" spans="1:15" ht="57.95">
      <c r="A43" s="211">
        <v>42</v>
      </c>
      <c r="B43" s="302" t="s">
        <v>1761</v>
      </c>
      <c r="D43" s="303" t="s">
        <v>1580</v>
      </c>
      <c r="F43" s="224" t="s">
        <v>1770</v>
      </c>
      <c r="G43" s="211" t="s">
        <v>1703</v>
      </c>
      <c r="H43" s="295"/>
      <c r="I43" s="296"/>
      <c r="J43" s="297" t="s">
        <v>783</v>
      </c>
      <c r="K43" s="8" t="s">
        <v>784</v>
      </c>
    </row>
    <row r="44" spans="1:15" ht="57.95">
      <c r="A44" s="211">
        <v>43</v>
      </c>
      <c r="B44" s="302" t="s">
        <v>1761</v>
      </c>
      <c r="D44" s="303" t="s">
        <v>1580</v>
      </c>
      <c r="F44" s="224" t="s">
        <v>1771</v>
      </c>
      <c r="G44" s="211" t="s">
        <v>1703</v>
      </c>
      <c r="H44" s="295"/>
      <c r="I44" s="296"/>
      <c r="J44" s="297" t="s">
        <v>783</v>
      </c>
      <c r="K44" s="8" t="s">
        <v>784</v>
      </c>
    </row>
    <row r="45" spans="1:15" ht="57.95">
      <c r="A45" s="211">
        <v>44</v>
      </c>
      <c r="B45" s="302" t="s">
        <v>1761</v>
      </c>
      <c r="D45" s="303" t="s">
        <v>1580</v>
      </c>
      <c r="F45" s="224" t="s">
        <v>1772</v>
      </c>
      <c r="G45" s="211" t="s">
        <v>1703</v>
      </c>
      <c r="H45" s="295"/>
      <c r="I45" s="296"/>
      <c r="J45" s="297" t="s">
        <v>299</v>
      </c>
      <c r="K45" s="8" t="s">
        <v>300</v>
      </c>
      <c r="L45" s="8" t="s">
        <v>304</v>
      </c>
      <c r="O45" s="377" t="s">
        <v>1773</v>
      </c>
    </row>
    <row r="46" spans="1:15" ht="57.95">
      <c r="A46" s="211">
        <v>45</v>
      </c>
      <c r="B46" s="302" t="s">
        <v>1761</v>
      </c>
      <c r="D46" s="303" t="s">
        <v>1580</v>
      </c>
      <c r="F46" s="224" t="s">
        <v>1774</v>
      </c>
      <c r="G46" s="211" t="s">
        <v>1775</v>
      </c>
      <c r="H46" s="295"/>
      <c r="I46" s="296" t="s">
        <v>1776</v>
      </c>
      <c r="J46" s="297"/>
      <c r="K46" s="74" t="s">
        <v>1777</v>
      </c>
      <c r="M46" s="87" t="s">
        <v>1778</v>
      </c>
      <c r="N46" s="8" t="s">
        <v>1779</v>
      </c>
    </row>
    <row r="47" spans="1:15" ht="57.95">
      <c r="A47" s="211">
        <v>46</v>
      </c>
      <c r="B47" s="302" t="s">
        <v>1761</v>
      </c>
      <c r="D47" s="303" t="s">
        <v>1580</v>
      </c>
      <c r="F47" s="224" t="s">
        <v>1780</v>
      </c>
      <c r="G47" s="211" t="s">
        <v>1703</v>
      </c>
      <c r="H47" s="295"/>
      <c r="I47" s="296"/>
      <c r="J47" s="297" t="s">
        <v>428</v>
      </c>
      <c r="K47" s="8" t="s">
        <v>429</v>
      </c>
    </row>
    <row r="48" spans="1:15" ht="217.5">
      <c r="A48" s="211">
        <v>47</v>
      </c>
      <c r="B48" s="302" t="s">
        <v>1761</v>
      </c>
      <c r="D48" s="303" t="s">
        <v>1580</v>
      </c>
      <c r="F48" s="224" t="s">
        <v>1781</v>
      </c>
      <c r="G48" s="9" t="s">
        <v>1730</v>
      </c>
      <c r="H48" s="295"/>
      <c r="I48" s="296" t="s">
        <v>1782</v>
      </c>
      <c r="J48" s="297" t="s">
        <v>500</v>
      </c>
      <c r="K48" s="8" t="s">
        <v>501</v>
      </c>
    </row>
    <row r="49" spans="1:15" ht="57.95">
      <c r="A49" s="211">
        <v>48</v>
      </c>
      <c r="B49" s="302" t="s">
        <v>1761</v>
      </c>
      <c r="D49" s="303" t="s">
        <v>1580</v>
      </c>
      <c r="F49" s="224" t="s">
        <v>1783</v>
      </c>
      <c r="G49" s="365" t="s">
        <v>1730</v>
      </c>
      <c r="H49" s="295"/>
      <c r="I49" s="296"/>
      <c r="J49" s="297" t="s">
        <v>409</v>
      </c>
      <c r="K49" s="8" t="s">
        <v>410</v>
      </c>
      <c r="O49" s="377" t="s">
        <v>1784</v>
      </c>
    </row>
    <row r="50" spans="1:15" ht="57.95">
      <c r="A50" s="211">
        <v>49</v>
      </c>
      <c r="B50" s="302" t="s">
        <v>1761</v>
      </c>
      <c r="D50" s="303" t="s">
        <v>1580</v>
      </c>
      <c r="F50" s="224" t="s">
        <v>1785</v>
      </c>
      <c r="G50" s="211" t="s">
        <v>1703</v>
      </c>
      <c r="H50" s="295"/>
      <c r="I50" s="296"/>
      <c r="J50" s="297" t="s">
        <v>428</v>
      </c>
      <c r="K50" s="8" t="s">
        <v>429</v>
      </c>
      <c r="O50" s="377" t="s">
        <v>1786</v>
      </c>
    </row>
    <row r="51" spans="1:15" ht="57.95">
      <c r="A51" s="211">
        <v>50</v>
      </c>
      <c r="B51" s="302" t="s">
        <v>1761</v>
      </c>
      <c r="D51" s="304" t="s">
        <v>1582</v>
      </c>
      <c r="F51" s="224" t="s">
        <v>1787</v>
      </c>
      <c r="G51" s="211" t="s">
        <v>1703</v>
      </c>
      <c r="H51" s="295"/>
      <c r="I51" s="296" t="s">
        <v>1788</v>
      </c>
      <c r="J51" s="297" t="s">
        <v>616</v>
      </c>
      <c r="K51" s="8" t="s">
        <v>617</v>
      </c>
    </row>
    <row r="52" spans="1:15" ht="57.95">
      <c r="A52" s="211">
        <v>51</v>
      </c>
      <c r="B52" s="302" t="s">
        <v>1761</v>
      </c>
      <c r="D52" s="305" t="s">
        <v>1584</v>
      </c>
      <c r="F52" s="224" t="s">
        <v>1789</v>
      </c>
      <c r="G52" s="365" t="s">
        <v>1730</v>
      </c>
      <c r="H52" s="295"/>
      <c r="I52" s="296"/>
      <c r="J52" s="297" t="s">
        <v>885</v>
      </c>
      <c r="K52" s="8" t="s">
        <v>886</v>
      </c>
    </row>
    <row r="53" spans="1:15" ht="57.95">
      <c r="A53" s="211">
        <v>52</v>
      </c>
      <c r="B53" s="302" t="s">
        <v>1761</v>
      </c>
      <c r="D53" s="305" t="s">
        <v>1584</v>
      </c>
      <c r="F53" s="224" t="s">
        <v>1790</v>
      </c>
      <c r="G53" s="365" t="s">
        <v>1730</v>
      </c>
      <c r="H53" s="295"/>
      <c r="I53" s="296" t="s">
        <v>1791</v>
      </c>
      <c r="J53" s="297" t="s">
        <v>909</v>
      </c>
      <c r="K53" s="8" t="s">
        <v>910</v>
      </c>
      <c r="L53" s="8" t="s">
        <v>911</v>
      </c>
      <c r="O53" s="377" t="s">
        <v>1792</v>
      </c>
    </row>
    <row r="54" spans="1:15" ht="57.95">
      <c r="A54" s="211">
        <v>53</v>
      </c>
      <c r="B54" s="302" t="s">
        <v>1761</v>
      </c>
      <c r="D54" s="305" t="s">
        <v>1584</v>
      </c>
      <c r="F54" s="224" t="s">
        <v>1793</v>
      </c>
      <c r="G54" s="365" t="s">
        <v>1730</v>
      </c>
      <c r="H54" s="295"/>
      <c r="I54" s="296"/>
      <c r="J54" s="297" t="s">
        <v>1083</v>
      </c>
      <c r="K54" s="8" t="s">
        <v>1084</v>
      </c>
      <c r="O54" s="377" t="s">
        <v>1794</v>
      </c>
    </row>
    <row r="55" spans="1:15" ht="57.95">
      <c r="A55" s="211">
        <v>54</v>
      </c>
      <c r="B55" s="302" t="s">
        <v>1761</v>
      </c>
      <c r="D55" s="305" t="s">
        <v>1584</v>
      </c>
      <c r="F55" s="224" t="s">
        <v>1795</v>
      </c>
      <c r="G55" s="365" t="s">
        <v>1730</v>
      </c>
      <c r="H55" s="295"/>
      <c r="I55" s="296"/>
      <c r="J55" s="297" t="s">
        <v>1171</v>
      </c>
      <c r="K55" s="298" t="s">
        <v>1796</v>
      </c>
    </row>
    <row r="56" spans="1:15" ht="72.599999999999994">
      <c r="A56" s="211">
        <v>55</v>
      </c>
      <c r="B56" s="302" t="s">
        <v>1761</v>
      </c>
      <c r="D56" s="305" t="s">
        <v>1584</v>
      </c>
      <c r="F56" s="224" t="s">
        <v>1797</v>
      </c>
      <c r="G56" s="365" t="s">
        <v>1730</v>
      </c>
      <c r="H56" s="295"/>
      <c r="I56" s="296" t="s">
        <v>1798</v>
      </c>
      <c r="J56" s="297" t="s">
        <v>985</v>
      </c>
      <c r="K56" s="8" t="s">
        <v>986</v>
      </c>
    </row>
    <row r="57" spans="1:15" ht="57.95">
      <c r="A57" s="211">
        <v>56</v>
      </c>
      <c r="B57" s="302" t="s">
        <v>1761</v>
      </c>
      <c r="D57" s="306" t="s">
        <v>1583</v>
      </c>
      <c r="F57" s="224" t="s">
        <v>1799</v>
      </c>
      <c r="G57" s="211" t="s">
        <v>1703</v>
      </c>
      <c r="H57" s="295"/>
      <c r="I57" s="296" t="s">
        <v>1800</v>
      </c>
      <c r="J57" s="297" t="s">
        <v>732</v>
      </c>
      <c r="K57" s="8" t="s">
        <v>733</v>
      </c>
      <c r="L57" s="8" t="s">
        <v>734</v>
      </c>
    </row>
    <row r="58" spans="1:15" ht="57.95">
      <c r="A58" s="211">
        <v>57</v>
      </c>
      <c r="B58" s="302" t="s">
        <v>1761</v>
      </c>
      <c r="D58" s="307" t="s">
        <v>1801</v>
      </c>
      <c r="F58" s="224" t="s">
        <v>1802</v>
      </c>
      <c r="G58" s="365" t="s">
        <v>1730</v>
      </c>
      <c r="H58" s="295"/>
      <c r="I58" s="296"/>
      <c r="J58" s="297" t="s">
        <v>1432</v>
      </c>
      <c r="K58" s="8" t="s">
        <v>1433</v>
      </c>
    </row>
    <row r="59" spans="1:15" customFormat="1" ht="116.1">
      <c r="A59" s="211">
        <v>58</v>
      </c>
      <c r="B59" s="302" t="s">
        <v>1761</v>
      </c>
      <c r="D59" s="308" t="s">
        <v>1801</v>
      </c>
      <c r="F59" s="224" t="s">
        <v>1803</v>
      </c>
      <c r="G59" s="365" t="s">
        <v>1730</v>
      </c>
      <c r="H59" s="295"/>
      <c r="I59" s="296" t="s">
        <v>1804</v>
      </c>
      <c r="J59" s="297" t="s">
        <v>1171</v>
      </c>
      <c r="K59" s="8" t="s">
        <v>1796</v>
      </c>
      <c r="M59" s="127"/>
      <c r="O59" s="377"/>
    </row>
    <row r="60" spans="1:15" ht="57.95">
      <c r="A60" s="211">
        <v>59</v>
      </c>
      <c r="B60" s="302" t="s">
        <v>1761</v>
      </c>
      <c r="D60" s="307" t="s">
        <v>1801</v>
      </c>
      <c r="F60" s="224" t="s">
        <v>1805</v>
      </c>
      <c r="G60" s="365" t="s">
        <v>1730</v>
      </c>
      <c r="H60" s="295"/>
      <c r="I60" s="296" t="s">
        <v>1806</v>
      </c>
      <c r="J60" s="297" t="s">
        <v>1144</v>
      </c>
      <c r="K60" s="8" t="s">
        <v>1145</v>
      </c>
      <c r="O60" s="377" t="s">
        <v>1807</v>
      </c>
    </row>
    <row r="61" spans="1:15" ht="57.95">
      <c r="A61" s="211">
        <v>60</v>
      </c>
      <c r="B61" s="302" t="s">
        <v>1761</v>
      </c>
      <c r="D61" s="307" t="s">
        <v>1801</v>
      </c>
      <c r="F61" s="224" t="s">
        <v>1808</v>
      </c>
      <c r="G61" s="365" t="s">
        <v>1730</v>
      </c>
      <c r="H61" s="295"/>
      <c r="I61" s="296" t="s">
        <v>1809</v>
      </c>
      <c r="J61" s="297" t="s">
        <v>1089</v>
      </c>
      <c r="K61" s="8" t="s">
        <v>1090</v>
      </c>
      <c r="O61" s="377" t="s">
        <v>1810</v>
      </c>
    </row>
    <row r="62" spans="1:15" ht="87">
      <c r="A62" s="211">
        <v>61</v>
      </c>
      <c r="B62" s="302" t="s">
        <v>1761</v>
      </c>
      <c r="D62" s="307" t="s">
        <v>1801</v>
      </c>
      <c r="F62" s="224" t="s">
        <v>1811</v>
      </c>
      <c r="G62" s="365" t="s">
        <v>1730</v>
      </c>
      <c r="H62" s="295"/>
      <c r="I62" s="296" t="s">
        <v>1812</v>
      </c>
      <c r="J62" s="297" t="s">
        <v>1038</v>
      </c>
      <c r="K62" s="8" t="s">
        <v>1039</v>
      </c>
      <c r="O62" s="377" t="s">
        <v>1813</v>
      </c>
    </row>
    <row r="63" spans="1:15" ht="57.95">
      <c r="A63" s="211">
        <v>62</v>
      </c>
      <c r="B63" s="302" t="s">
        <v>1761</v>
      </c>
      <c r="D63" s="307" t="s">
        <v>1801</v>
      </c>
      <c r="F63" s="224" t="s">
        <v>1814</v>
      </c>
      <c r="G63" s="365" t="s">
        <v>1730</v>
      </c>
      <c r="H63" s="295"/>
      <c r="I63" s="296" t="s">
        <v>1815</v>
      </c>
      <c r="J63" s="297" t="s">
        <v>1038</v>
      </c>
      <c r="K63" s="8" t="s">
        <v>1039</v>
      </c>
    </row>
    <row r="64" spans="1:15" ht="57.95">
      <c r="A64" s="211">
        <v>63</v>
      </c>
      <c r="B64" s="302" t="s">
        <v>1761</v>
      </c>
      <c r="D64" s="307" t="s">
        <v>1801</v>
      </c>
      <c r="F64" s="224" t="s">
        <v>1816</v>
      </c>
      <c r="G64" s="365" t="s">
        <v>1730</v>
      </c>
      <c r="H64" s="295"/>
      <c r="I64" s="296" t="s">
        <v>1817</v>
      </c>
      <c r="J64" s="297" t="s">
        <v>1104</v>
      </c>
      <c r="K64" s="8" t="s">
        <v>1105</v>
      </c>
    </row>
    <row r="65" spans="1:15" ht="57.95">
      <c r="A65" s="211">
        <v>64</v>
      </c>
      <c r="B65" s="302" t="s">
        <v>1761</v>
      </c>
      <c r="D65" s="307" t="s">
        <v>1801</v>
      </c>
      <c r="F65" s="224" t="s">
        <v>1818</v>
      </c>
      <c r="G65" s="365" t="s">
        <v>1730</v>
      </c>
      <c r="H65" s="295"/>
      <c r="I65" s="296"/>
      <c r="J65" s="297" t="s">
        <v>1144</v>
      </c>
      <c r="K65" s="8" t="s">
        <v>1145</v>
      </c>
    </row>
    <row r="66" spans="1:15" ht="57.95">
      <c r="A66" s="211">
        <v>65</v>
      </c>
      <c r="B66" s="302" t="s">
        <v>1761</v>
      </c>
      <c r="D66" s="307" t="s">
        <v>1801</v>
      </c>
      <c r="F66" s="224" t="s">
        <v>1819</v>
      </c>
      <c r="G66" s="365" t="s">
        <v>1730</v>
      </c>
      <c r="H66" s="295"/>
      <c r="I66" s="296"/>
      <c r="J66" s="297" t="s">
        <v>1199</v>
      </c>
      <c r="K66" s="8" t="s">
        <v>1200</v>
      </c>
    </row>
    <row r="67" spans="1:15" ht="57.95">
      <c r="A67" s="211">
        <v>66</v>
      </c>
      <c r="B67" s="302" t="s">
        <v>1761</v>
      </c>
      <c r="D67" s="307" t="s">
        <v>1801</v>
      </c>
      <c r="F67" s="224" t="s">
        <v>1820</v>
      </c>
      <c r="G67" s="211" t="s">
        <v>1821</v>
      </c>
      <c r="H67" s="295"/>
      <c r="I67" s="296"/>
      <c r="J67" s="297" t="s">
        <v>1004</v>
      </c>
      <c r="K67" s="8" t="s">
        <v>1005</v>
      </c>
    </row>
    <row r="68" spans="1:15" ht="57.95">
      <c r="A68" s="211">
        <v>67</v>
      </c>
      <c r="B68" s="302" t="s">
        <v>1761</v>
      </c>
      <c r="D68" s="309" t="s">
        <v>1822</v>
      </c>
      <c r="F68" s="224" t="s">
        <v>1823</v>
      </c>
      <c r="G68" s="365" t="s">
        <v>1730</v>
      </c>
      <c r="H68" s="295"/>
      <c r="I68" s="296"/>
      <c r="J68" s="297" t="s">
        <v>1442</v>
      </c>
      <c r="K68" s="8" t="s">
        <v>1443</v>
      </c>
      <c r="O68" s="377" t="s">
        <v>1824</v>
      </c>
    </row>
    <row r="69" spans="1:15" ht="57.95">
      <c r="A69" s="211">
        <v>68</v>
      </c>
      <c r="B69" s="302" t="s">
        <v>1761</v>
      </c>
      <c r="D69" s="309" t="s">
        <v>1822</v>
      </c>
      <c r="F69" s="224" t="s">
        <v>1825</v>
      </c>
      <c r="G69" s="365" t="s">
        <v>1730</v>
      </c>
      <c r="H69" s="295"/>
      <c r="I69" s="296"/>
      <c r="J69" s="297" t="s">
        <v>1423</v>
      </c>
      <c r="K69" s="8" t="s">
        <v>1424</v>
      </c>
      <c r="O69" s="377" t="s">
        <v>1826</v>
      </c>
    </row>
    <row r="70" spans="1:15" ht="57.95">
      <c r="A70" s="211">
        <v>69</v>
      </c>
      <c r="B70" s="302" t="s">
        <v>1761</v>
      </c>
      <c r="D70" s="309" t="s">
        <v>1822</v>
      </c>
      <c r="F70" s="224" t="s">
        <v>1827</v>
      </c>
      <c r="G70" s="211" t="s">
        <v>1828</v>
      </c>
      <c r="H70" s="295"/>
      <c r="I70" s="296"/>
      <c r="J70" s="297" t="s">
        <v>1255</v>
      </c>
      <c r="K70" s="8" t="s">
        <v>1256</v>
      </c>
    </row>
    <row r="71" spans="1:15" ht="87">
      <c r="A71" s="211">
        <v>70</v>
      </c>
      <c r="B71" s="302" t="s">
        <v>1761</v>
      </c>
      <c r="D71" s="309" t="s">
        <v>1822</v>
      </c>
      <c r="F71" s="224" t="s">
        <v>1829</v>
      </c>
      <c r="G71" s="211" t="s">
        <v>1830</v>
      </c>
      <c r="H71" s="295"/>
      <c r="I71" s="296"/>
      <c r="J71" s="297" t="s">
        <v>1358</v>
      </c>
      <c r="K71" s="8" t="s">
        <v>1359</v>
      </c>
    </row>
    <row r="72" spans="1:15" ht="72.599999999999994">
      <c r="A72" s="211">
        <v>71</v>
      </c>
      <c r="B72" s="302" t="s">
        <v>1761</v>
      </c>
      <c r="D72" s="309" t="s">
        <v>1822</v>
      </c>
      <c r="F72" s="224" t="s">
        <v>1831</v>
      </c>
      <c r="G72" s="211" t="s">
        <v>1832</v>
      </c>
      <c r="H72" s="295"/>
      <c r="I72" s="296"/>
      <c r="J72" s="297" t="s">
        <v>1171</v>
      </c>
      <c r="K72" s="8" t="s">
        <v>1796</v>
      </c>
    </row>
    <row r="73" spans="1:15" ht="101.45">
      <c r="A73" s="211">
        <v>72</v>
      </c>
      <c r="B73" s="310" t="s">
        <v>1833</v>
      </c>
      <c r="D73" s="233" t="s">
        <v>1834</v>
      </c>
      <c r="F73" s="233" t="s">
        <v>1834</v>
      </c>
      <c r="G73" s="211"/>
      <c r="H73" s="295"/>
      <c r="I73" s="296"/>
      <c r="J73" s="297" t="s">
        <v>1561</v>
      </c>
      <c r="K73" s="8" t="s">
        <v>1562</v>
      </c>
    </row>
    <row r="74" spans="1:15" ht="116.1">
      <c r="A74" s="211">
        <v>73</v>
      </c>
      <c r="B74" s="310" t="s">
        <v>1833</v>
      </c>
      <c r="D74" s="311" t="s">
        <v>1835</v>
      </c>
      <c r="F74" s="233" t="s">
        <v>1836</v>
      </c>
      <c r="G74" s="211" t="s">
        <v>1701</v>
      </c>
      <c r="H74" s="295"/>
      <c r="I74" s="296" t="s">
        <v>1837</v>
      </c>
      <c r="J74" s="297"/>
      <c r="K74" s="74" t="s">
        <v>1777</v>
      </c>
      <c r="M74" s="87" t="s">
        <v>918</v>
      </c>
      <c r="N74" s="8" t="s">
        <v>1838</v>
      </c>
      <c r="O74" s="377" t="s">
        <v>1839</v>
      </c>
    </row>
    <row r="75" spans="1:15" ht="116.1">
      <c r="A75" s="211">
        <v>74</v>
      </c>
      <c r="B75" s="310" t="s">
        <v>1833</v>
      </c>
      <c r="D75" s="312" t="s">
        <v>1835</v>
      </c>
      <c r="F75" s="233" t="s">
        <v>1840</v>
      </c>
      <c r="G75" s="211" t="s">
        <v>1841</v>
      </c>
      <c r="H75" s="295"/>
      <c r="I75" s="296"/>
      <c r="J75" s="297" t="s">
        <v>409</v>
      </c>
      <c r="K75" s="8" t="s">
        <v>410</v>
      </c>
    </row>
    <row r="76" spans="1:15" ht="116.1">
      <c r="A76" s="211">
        <v>75</v>
      </c>
      <c r="B76" s="310" t="s">
        <v>1833</v>
      </c>
      <c r="D76" s="312" t="s">
        <v>1835</v>
      </c>
      <c r="F76" s="233" t="s">
        <v>1842</v>
      </c>
      <c r="G76" s="211" t="s">
        <v>1730</v>
      </c>
      <c r="H76" s="295"/>
      <c r="I76" s="296" t="s">
        <v>1843</v>
      </c>
      <c r="J76" s="297" t="s">
        <v>409</v>
      </c>
      <c r="K76" s="8" t="s">
        <v>410</v>
      </c>
    </row>
    <row r="77" spans="1:15" ht="116.1">
      <c r="A77" s="211">
        <v>76</v>
      </c>
      <c r="B77" s="310" t="s">
        <v>1833</v>
      </c>
      <c r="D77" s="312" t="s">
        <v>1835</v>
      </c>
      <c r="F77" s="233" t="s">
        <v>1844</v>
      </c>
      <c r="G77" s="211"/>
      <c r="H77" s="295"/>
      <c r="I77" s="296" t="s">
        <v>1845</v>
      </c>
      <c r="J77" s="297"/>
      <c r="K77" s="74" t="s">
        <v>1777</v>
      </c>
      <c r="M77" s="87" t="s">
        <v>918</v>
      </c>
      <c r="N77" s="8" t="s">
        <v>1838</v>
      </c>
      <c r="O77" s="377" t="s">
        <v>1846</v>
      </c>
    </row>
    <row r="78" spans="1:15" ht="87">
      <c r="A78" s="211">
        <v>77</v>
      </c>
      <c r="B78" s="310" t="s">
        <v>1833</v>
      </c>
      <c r="D78" s="313" t="s">
        <v>1847</v>
      </c>
      <c r="F78" s="233" t="s">
        <v>1848</v>
      </c>
      <c r="G78" s="211" t="s">
        <v>1849</v>
      </c>
      <c r="H78" s="295"/>
      <c r="I78" s="296" t="s">
        <v>1850</v>
      </c>
      <c r="J78" s="297" t="s">
        <v>909</v>
      </c>
      <c r="K78" s="8" t="s">
        <v>910</v>
      </c>
      <c r="L78" s="8" t="s">
        <v>911</v>
      </c>
      <c r="O78" s="377" t="s">
        <v>1851</v>
      </c>
    </row>
    <row r="79" spans="1:15" ht="72.599999999999994">
      <c r="A79" s="211">
        <v>78</v>
      </c>
      <c r="B79" s="310" t="s">
        <v>1833</v>
      </c>
      <c r="D79" s="313" t="s">
        <v>1847</v>
      </c>
      <c r="F79" s="233" t="s">
        <v>1852</v>
      </c>
      <c r="G79" s="211" t="s">
        <v>1853</v>
      </c>
      <c r="H79" s="295"/>
      <c r="I79" s="296" t="s">
        <v>1854</v>
      </c>
      <c r="J79" s="297" t="s">
        <v>1171</v>
      </c>
      <c r="K79" s="298" t="s">
        <v>1796</v>
      </c>
      <c r="O79" s="377" t="s">
        <v>1855</v>
      </c>
    </row>
    <row r="80" spans="1:15" ht="72.599999999999994">
      <c r="A80" s="211">
        <v>79</v>
      </c>
      <c r="B80" s="310" t="s">
        <v>1833</v>
      </c>
      <c r="D80" s="313" t="s">
        <v>1847</v>
      </c>
      <c r="F80" s="233" t="s">
        <v>1856</v>
      </c>
      <c r="G80" s="211" t="s">
        <v>1857</v>
      </c>
      <c r="H80" s="295"/>
      <c r="I80" s="296"/>
      <c r="J80" s="297"/>
      <c r="K80" s="74" t="s">
        <v>1777</v>
      </c>
      <c r="M80" s="87" t="s">
        <v>918</v>
      </c>
      <c r="N80" s="8" t="s">
        <v>1838</v>
      </c>
    </row>
    <row r="81" spans="1:15" ht="72.599999999999994">
      <c r="A81" s="211">
        <v>80</v>
      </c>
      <c r="B81" s="310" t="s">
        <v>1833</v>
      </c>
      <c r="D81" s="313" t="s">
        <v>1847</v>
      </c>
      <c r="F81" s="233" t="s">
        <v>1858</v>
      </c>
      <c r="G81" s="211"/>
      <c r="H81" s="296" t="s">
        <v>1715</v>
      </c>
      <c r="I81" s="296" t="s">
        <v>1859</v>
      </c>
      <c r="J81" s="297" t="s">
        <v>636</v>
      </c>
      <c r="K81" s="8" t="s">
        <v>637</v>
      </c>
      <c r="O81" s="74"/>
    </row>
    <row r="82" spans="1:15" ht="72.599999999999994">
      <c r="A82" s="211">
        <v>81</v>
      </c>
      <c r="B82" s="310" t="s">
        <v>1833</v>
      </c>
      <c r="D82" s="314" t="s">
        <v>1860</v>
      </c>
      <c r="F82" s="233" t="s">
        <v>1861</v>
      </c>
      <c r="G82" s="211" t="s">
        <v>1775</v>
      </c>
      <c r="H82" s="295"/>
      <c r="I82" s="296" t="s">
        <v>1862</v>
      </c>
      <c r="J82" s="297" t="s">
        <v>894</v>
      </c>
      <c r="K82" s="8" t="s">
        <v>895</v>
      </c>
      <c r="L82" s="8" t="s">
        <v>1863</v>
      </c>
      <c r="N82" s="8"/>
      <c r="O82" s="377" t="s">
        <v>1864</v>
      </c>
    </row>
    <row r="83" spans="1:15" ht="87">
      <c r="A83" s="211">
        <v>82</v>
      </c>
      <c r="B83" s="310" t="s">
        <v>1833</v>
      </c>
      <c r="D83" s="314" t="s">
        <v>1860</v>
      </c>
      <c r="F83" s="233" t="s">
        <v>1865</v>
      </c>
      <c r="G83" s="211" t="s">
        <v>1866</v>
      </c>
      <c r="H83" s="295"/>
      <c r="I83" s="296" t="s">
        <v>1867</v>
      </c>
      <c r="J83" s="297" t="s">
        <v>894</v>
      </c>
      <c r="K83" s="8" t="s">
        <v>895</v>
      </c>
      <c r="L83" s="8" t="s">
        <v>1863</v>
      </c>
      <c r="O83" s="377" t="s">
        <v>1868</v>
      </c>
    </row>
    <row r="84" spans="1:15" ht="72.599999999999994">
      <c r="A84" s="211">
        <v>83</v>
      </c>
      <c r="B84" s="310" t="s">
        <v>1833</v>
      </c>
      <c r="D84" s="315" t="s">
        <v>1869</v>
      </c>
      <c r="F84" s="233" t="s">
        <v>1870</v>
      </c>
      <c r="G84" s="211" t="s">
        <v>1701</v>
      </c>
      <c r="H84" s="295"/>
      <c r="I84" s="296" t="s">
        <v>1871</v>
      </c>
      <c r="J84" s="297" t="s">
        <v>597</v>
      </c>
      <c r="K84" s="8" t="s">
        <v>598</v>
      </c>
    </row>
    <row r="85" spans="1:15" ht="87">
      <c r="A85" s="211">
        <v>84</v>
      </c>
      <c r="B85" s="310" t="s">
        <v>1833</v>
      </c>
      <c r="D85" s="316" t="s">
        <v>1872</v>
      </c>
      <c r="F85" s="233" t="s">
        <v>1873</v>
      </c>
      <c r="G85" s="211"/>
      <c r="H85" s="296" t="s">
        <v>1715</v>
      </c>
      <c r="I85" s="296" t="s">
        <v>1874</v>
      </c>
      <c r="J85" s="297" t="s">
        <v>894</v>
      </c>
      <c r="K85" s="8" t="s">
        <v>895</v>
      </c>
      <c r="L85" s="8" t="s">
        <v>1863</v>
      </c>
      <c r="O85" s="74"/>
    </row>
    <row r="86" spans="1:15" ht="72.599999999999994">
      <c r="A86" s="211">
        <v>85</v>
      </c>
      <c r="B86" s="310" t="s">
        <v>1833</v>
      </c>
      <c r="D86" s="317" t="s">
        <v>1875</v>
      </c>
      <c r="F86" s="233" t="s">
        <v>1876</v>
      </c>
      <c r="G86" s="211" t="s">
        <v>1775</v>
      </c>
      <c r="H86" s="295"/>
      <c r="I86" s="296" t="s">
        <v>1877</v>
      </c>
      <c r="J86" s="297" t="s">
        <v>947</v>
      </c>
      <c r="K86" s="8" t="s">
        <v>948</v>
      </c>
      <c r="L86" s="8" t="s">
        <v>1878</v>
      </c>
    </row>
    <row r="87" spans="1:15" ht="72.599999999999994">
      <c r="A87" s="211">
        <v>86</v>
      </c>
      <c r="B87" s="310" t="s">
        <v>1833</v>
      </c>
      <c r="D87" s="317" t="s">
        <v>1875</v>
      </c>
      <c r="F87" s="233" t="s">
        <v>1879</v>
      </c>
      <c r="G87" s="211"/>
      <c r="H87" s="295"/>
      <c r="I87" s="296"/>
      <c r="J87" s="297"/>
      <c r="K87" s="74" t="s">
        <v>1777</v>
      </c>
      <c r="M87" s="87" t="s">
        <v>918</v>
      </c>
      <c r="N87" s="8" t="s">
        <v>1838</v>
      </c>
    </row>
    <row r="88" spans="1:15" ht="87">
      <c r="A88" s="211">
        <v>87</v>
      </c>
      <c r="B88" s="310" t="s">
        <v>1833</v>
      </c>
      <c r="D88" s="318" t="s">
        <v>1880</v>
      </c>
      <c r="F88" s="233" t="s">
        <v>1881</v>
      </c>
      <c r="G88" s="211"/>
      <c r="H88" s="295"/>
      <c r="I88" s="296" t="s">
        <v>1882</v>
      </c>
      <c r="J88" s="297" t="s">
        <v>391</v>
      </c>
      <c r="K88" s="8" t="s">
        <v>392</v>
      </c>
      <c r="L88" s="8"/>
    </row>
    <row r="89" spans="1:15" ht="87">
      <c r="A89" s="211">
        <v>88</v>
      </c>
      <c r="B89" s="310" t="s">
        <v>1833</v>
      </c>
      <c r="D89" s="318" t="s">
        <v>1880</v>
      </c>
      <c r="F89" s="233" t="s">
        <v>1883</v>
      </c>
      <c r="G89" s="211"/>
      <c r="H89" s="295"/>
      <c r="I89" s="296" t="s">
        <v>1882</v>
      </c>
      <c r="J89" s="297" t="s">
        <v>894</v>
      </c>
      <c r="K89" s="8" t="s">
        <v>895</v>
      </c>
      <c r="L89" s="8" t="s">
        <v>1863</v>
      </c>
    </row>
    <row r="90" spans="1:15" ht="72.599999999999994">
      <c r="A90" s="211">
        <v>89</v>
      </c>
      <c r="B90" s="310" t="s">
        <v>1833</v>
      </c>
      <c r="D90" s="319" t="s">
        <v>1884</v>
      </c>
      <c r="F90" s="233" t="s">
        <v>1885</v>
      </c>
      <c r="G90" s="211" t="s">
        <v>1703</v>
      </c>
      <c r="H90" s="295"/>
      <c r="I90" s="296" t="s">
        <v>1886</v>
      </c>
      <c r="J90" s="297" t="s">
        <v>1289</v>
      </c>
      <c r="K90" s="8" t="s">
        <v>1290</v>
      </c>
      <c r="L90" s="8"/>
    </row>
    <row r="91" spans="1:15" ht="72.599999999999994">
      <c r="A91" s="211">
        <v>90</v>
      </c>
      <c r="B91" s="310" t="s">
        <v>1833</v>
      </c>
      <c r="D91" s="319" t="s">
        <v>1884</v>
      </c>
      <c r="F91" s="233" t="s">
        <v>1887</v>
      </c>
      <c r="G91" s="211" t="s">
        <v>1703</v>
      </c>
      <c r="H91" s="295"/>
      <c r="I91" s="296" t="s">
        <v>1888</v>
      </c>
      <c r="J91" s="297"/>
      <c r="K91" s="74" t="s">
        <v>1777</v>
      </c>
      <c r="M91" s="87" t="s">
        <v>918</v>
      </c>
      <c r="N91" s="8" t="s">
        <v>1838</v>
      </c>
    </row>
    <row r="92" spans="1:15" ht="72.599999999999994">
      <c r="A92" s="211">
        <v>91</v>
      </c>
      <c r="B92" s="310" t="s">
        <v>1833</v>
      </c>
      <c r="D92" s="319" t="s">
        <v>1884</v>
      </c>
      <c r="F92" s="233" t="s">
        <v>1889</v>
      </c>
      <c r="G92" s="211"/>
      <c r="H92" s="295"/>
      <c r="I92" s="296"/>
      <c r="J92" s="297" t="s">
        <v>903</v>
      </c>
      <c r="K92" s="8" t="s">
        <v>904</v>
      </c>
    </row>
    <row r="93" spans="1:15" ht="116.1">
      <c r="A93" s="211">
        <v>92</v>
      </c>
      <c r="B93" s="310" t="s">
        <v>1833</v>
      </c>
      <c r="D93" s="319" t="s">
        <v>1884</v>
      </c>
      <c r="F93" s="233" t="s">
        <v>1890</v>
      </c>
      <c r="G93" s="211"/>
      <c r="H93" s="295"/>
      <c r="I93" s="296" t="s">
        <v>1891</v>
      </c>
      <c r="J93" s="297" t="s">
        <v>925</v>
      </c>
      <c r="K93" s="8" t="s">
        <v>926</v>
      </c>
    </row>
    <row r="94" spans="1:15" ht="72.599999999999994">
      <c r="A94" s="211">
        <v>93</v>
      </c>
      <c r="B94" s="310" t="s">
        <v>1833</v>
      </c>
      <c r="D94" s="319" t="s">
        <v>1884</v>
      </c>
      <c r="F94" s="233" t="s">
        <v>1892</v>
      </c>
      <c r="G94" s="211" t="s">
        <v>1703</v>
      </c>
      <c r="H94" s="295"/>
      <c r="I94" s="296" t="s">
        <v>1893</v>
      </c>
      <c r="J94" s="297" t="s">
        <v>1458</v>
      </c>
      <c r="K94" s="8" t="s">
        <v>1459</v>
      </c>
    </row>
    <row r="95" spans="1:15" ht="116.1">
      <c r="A95" s="211">
        <v>94</v>
      </c>
      <c r="B95" s="320" t="s">
        <v>1894</v>
      </c>
      <c r="D95" s="245" t="s">
        <v>1895</v>
      </c>
      <c r="F95" s="245" t="s">
        <v>1896</v>
      </c>
      <c r="G95" s="211" t="s">
        <v>1701</v>
      </c>
      <c r="H95" s="295"/>
      <c r="I95" s="296"/>
      <c r="J95" s="297" t="s">
        <v>1225</v>
      </c>
      <c r="K95" s="8" t="s">
        <v>1226</v>
      </c>
    </row>
    <row r="96" spans="1:15" ht="116.1">
      <c r="A96" s="211">
        <v>95</v>
      </c>
      <c r="B96" s="320" t="s">
        <v>1894</v>
      </c>
      <c r="D96" s="245" t="s">
        <v>1895</v>
      </c>
      <c r="F96" s="245" t="s">
        <v>1897</v>
      </c>
      <c r="G96" s="211" t="s">
        <v>1898</v>
      </c>
      <c r="H96" s="295"/>
      <c r="I96" s="296"/>
      <c r="J96" s="297" t="s">
        <v>1268</v>
      </c>
      <c r="K96" s="8" t="s">
        <v>1269</v>
      </c>
    </row>
    <row r="97" spans="1:15" ht="116.1">
      <c r="A97" s="211">
        <v>96</v>
      </c>
      <c r="B97" s="320" t="s">
        <v>1894</v>
      </c>
      <c r="D97" s="245" t="s">
        <v>1895</v>
      </c>
      <c r="F97" s="245" t="s">
        <v>1899</v>
      </c>
      <c r="G97" s="211" t="s">
        <v>1898</v>
      </c>
      <c r="H97" s="295"/>
      <c r="I97" s="296"/>
      <c r="J97" s="297" t="s">
        <v>1326</v>
      </c>
      <c r="K97" s="8" t="s">
        <v>1327</v>
      </c>
    </row>
    <row r="98" spans="1:15" ht="116.1">
      <c r="A98" s="211">
        <v>97</v>
      </c>
      <c r="B98" s="320" t="s">
        <v>1894</v>
      </c>
      <c r="D98" s="245" t="s">
        <v>1895</v>
      </c>
      <c r="F98" s="245" t="s">
        <v>1900</v>
      </c>
      <c r="G98" s="211" t="s">
        <v>1898</v>
      </c>
      <c r="H98" s="295"/>
      <c r="I98" s="296"/>
      <c r="J98" s="297" t="s">
        <v>1255</v>
      </c>
      <c r="K98" s="8" t="s">
        <v>1256</v>
      </c>
      <c r="O98" s="377" t="s">
        <v>1901</v>
      </c>
    </row>
    <row r="99" spans="1:15" ht="116.1">
      <c r="A99" s="211">
        <v>98</v>
      </c>
      <c r="B99" s="320" t="s">
        <v>1894</v>
      </c>
      <c r="D99" s="245" t="s">
        <v>1895</v>
      </c>
      <c r="F99" s="245" t="s">
        <v>1902</v>
      </c>
      <c r="G99" s="211" t="s">
        <v>1898</v>
      </c>
      <c r="H99" s="295"/>
      <c r="I99" s="296"/>
      <c r="J99" s="297" t="s">
        <v>1255</v>
      </c>
      <c r="K99" s="8" t="s">
        <v>1256</v>
      </c>
      <c r="O99" s="377" t="s">
        <v>1903</v>
      </c>
    </row>
    <row r="100" spans="1:15" ht="116.1">
      <c r="A100" s="211">
        <v>99</v>
      </c>
      <c r="B100" s="320" t="s">
        <v>1894</v>
      </c>
      <c r="D100" s="245" t="s">
        <v>1895</v>
      </c>
      <c r="F100" s="245" t="s">
        <v>1904</v>
      </c>
      <c r="G100" s="211" t="s">
        <v>1898</v>
      </c>
      <c r="H100" s="295"/>
      <c r="I100" s="296"/>
      <c r="J100" s="297" t="s">
        <v>1310</v>
      </c>
      <c r="K100" s="8" t="s">
        <v>1311</v>
      </c>
    </row>
    <row r="101" spans="1:15" ht="116.1">
      <c r="A101" s="211">
        <v>100</v>
      </c>
      <c r="B101" s="320" t="s">
        <v>1894</v>
      </c>
      <c r="D101" s="245" t="s">
        <v>1895</v>
      </c>
      <c r="F101" s="245" t="s">
        <v>1905</v>
      </c>
      <c r="G101" s="211" t="s">
        <v>1898</v>
      </c>
      <c r="H101" s="295"/>
      <c r="I101" s="296"/>
      <c r="J101" s="297" t="s">
        <v>1326</v>
      </c>
      <c r="K101" s="8" t="s">
        <v>1327</v>
      </c>
    </row>
    <row r="102" spans="1:15" ht="116.1">
      <c r="A102" s="211">
        <v>101</v>
      </c>
      <c r="B102" s="320" t="s">
        <v>1894</v>
      </c>
      <c r="D102" s="245" t="s">
        <v>1895</v>
      </c>
      <c r="F102" s="245" t="s">
        <v>1906</v>
      </c>
      <c r="G102" s="211" t="s">
        <v>1898</v>
      </c>
      <c r="H102" s="295"/>
      <c r="I102" s="296"/>
      <c r="J102" s="297" t="s">
        <v>1280</v>
      </c>
      <c r="K102" s="8" t="s">
        <v>1281</v>
      </c>
    </row>
    <row r="103" spans="1:15" ht="72.599999999999994">
      <c r="A103" s="211">
        <v>102</v>
      </c>
      <c r="B103" s="320" t="s">
        <v>1894</v>
      </c>
      <c r="D103" s="321" t="s">
        <v>1907</v>
      </c>
      <c r="F103" s="245" t="s">
        <v>1908</v>
      </c>
      <c r="G103" s="211"/>
      <c r="H103" s="295"/>
      <c r="I103" s="296" t="s">
        <v>1909</v>
      </c>
      <c r="J103" s="297" t="s">
        <v>1268</v>
      </c>
      <c r="K103" s="8" t="s">
        <v>1269</v>
      </c>
    </row>
    <row r="104" spans="1:15" ht="57.95">
      <c r="A104" s="211">
        <v>103</v>
      </c>
      <c r="B104" s="320" t="s">
        <v>1894</v>
      </c>
      <c r="D104" s="321" t="s">
        <v>1907</v>
      </c>
      <c r="F104" s="245" t="s">
        <v>1910</v>
      </c>
      <c r="G104" s="211"/>
      <c r="H104" s="295"/>
      <c r="I104" s="296" t="s">
        <v>1911</v>
      </c>
      <c r="J104" s="297" t="s">
        <v>1561</v>
      </c>
      <c r="K104" s="8" t="s">
        <v>1562</v>
      </c>
    </row>
    <row r="105" spans="1:15" ht="57.95">
      <c r="A105" s="211">
        <v>104</v>
      </c>
      <c r="B105" s="320" t="s">
        <v>1894</v>
      </c>
      <c r="D105" s="321" t="s">
        <v>1907</v>
      </c>
      <c r="F105" s="245" t="s">
        <v>1912</v>
      </c>
      <c r="G105" s="365" t="s">
        <v>1730</v>
      </c>
      <c r="H105" s="295"/>
      <c r="I105" s="296"/>
      <c r="J105" s="297" t="s">
        <v>1171</v>
      </c>
      <c r="K105" s="298" t="s">
        <v>1796</v>
      </c>
    </row>
    <row r="106" spans="1:15" ht="57.95">
      <c r="A106" s="211">
        <v>105</v>
      </c>
      <c r="B106" s="320" t="s">
        <v>1894</v>
      </c>
      <c r="D106" s="322" t="s">
        <v>1913</v>
      </c>
      <c r="F106" s="245" t="s">
        <v>1914</v>
      </c>
      <c r="G106" s="211"/>
      <c r="H106" s="295"/>
      <c r="I106" s="296" t="s">
        <v>1915</v>
      </c>
      <c r="J106" s="297" t="s">
        <v>1178</v>
      </c>
      <c r="K106" s="298" t="s">
        <v>1179</v>
      </c>
    </row>
    <row r="107" spans="1:15" ht="57.95">
      <c r="A107" s="211">
        <v>106</v>
      </c>
      <c r="B107" s="320" t="s">
        <v>1894</v>
      </c>
      <c r="D107" s="323" t="s">
        <v>1916</v>
      </c>
      <c r="F107" s="245" t="s">
        <v>1917</v>
      </c>
      <c r="G107" s="211" t="s">
        <v>1918</v>
      </c>
      <c r="H107" s="295"/>
      <c r="I107" s="296" t="s">
        <v>1919</v>
      </c>
      <c r="J107" s="297" t="s">
        <v>1448</v>
      </c>
      <c r="K107" s="8" t="s">
        <v>1449</v>
      </c>
    </row>
    <row r="108" spans="1:15" ht="144.94999999999999">
      <c r="A108" s="211">
        <v>107</v>
      </c>
      <c r="B108" s="324" t="s">
        <v>1920</v>
      </c>
      <c r="D108" s="251" t="s">
        <v>1921</v>
      </c>
      <c r="F108" s="251" t="s">
        <v>1922</v>
      </c>
      <c r="G108" s="211" t="s">
        <v>1923</v>
      </c>
      <c r="H108" s="295"/>
      <c r="I108" s="296" t="s">
        <v>1924</v>
      </c>
      <c r="J108" s="297" t="s">
        <v>732</v>
      </c>
      <c r="K108" s="8" t="s">
        <v>733</v>
      </c>
      <c r="L108" s="8" t="s">
        <v>734</v>
      </c>
    </row>
    <row r="109" spans="1:15" ht="174">
      <c r="A109" s="211">
        <v>108</v>
      </c>
      <c r="B109" s="324" t="s">
        <v>1920</v>
      </c>
      <c r="D109" s="251" t="s">
        <v>1921</v>
      </c>
      <c r="F109" s="251" t="s">
        <v>1925</v>
      </c>
      <c r="G109" s="211" t="s">
        <v>1775</v>
      </c>
      <c r="H109" s="295"/>
      <c r="I109" s="296" t="s">
        <v>1926</v>
      </c>
      <c r="J109" s="297" t="s">
        <v>741</v>
      </c>
      <c r="K109" s="8" t="s">
        <v>742</v>
      </c>
    </row>
    <row r="110" spans="1:15" ht="57.95">
      <c r="A110" s="211">
        <v>109</v>
      </c>
      <c r="B110" s="324" t="s">
        <v>1920</v>
      </c>
      <c r="D110" s="251" t="s">
        <v>1921</v>
      </c>
      <c r="F110" s="251" t="s">
        <v>1927</v>
      </c>
      <c r="G110" s="211" t="s">
        <v>1928</v>
      </c>
      <c r="H110" s="295"/>
      <c r="I110" s="296" t="s">
        <v>1929</v>
      </c>
      <c r="J110" s="297" t="s">
        <v>815</v>
      </c>
      <c r="K110" s="8" t="s">
        <v>816</v>
      </c>
    </row>
    <row r="111" spans="1:15" ht="43.5">
      <c r="A111" s="211">
        <v>110</v>
      </c>
      <c r="B111" s="324" t="s">
        <v>1920</v>
      </c>
      <c r="D111" s="325" t="s">
        <v>1930</v>
      </c>
      <c r="F111" s="251" t="s">
        <v>1931</v>
      </c>
      <c r="G111" s="211" t="s">
        <v>1918</v>
      </c>
      <c r="H111" s="295"/>
      <c r="I111" s="296" t="s">
        <v>1932</v>
      </c>
      <c r="J111" s="297" t="s">
        <v>374</v>
      </c>
      <c r="K111" s="8" t="s">
        <v>375</v>
      </c>
    </row>
    <row r="112" spans="1:15" ht="72.599999999999994">
      <c r="A112" s="211">
        <v>111</v>
      </c>
      <c r="B112" s="324" t="s">
        <v>1920</v>
      </c>
      <c r="D112" s="325" t="s">
        <v>1930</v>
      </c>
      <c r="F112" s="251" t="s">
        <v>1933</v>
      </c>
      <c r="G112" s="211" t="s">
        <v>1701</v>
      </c>
      <c r="H112" s="295"/>
      <c r="I112" s="296" t="s">
        <v>1934</v>
      </c>
      <c r="J112" s="297" t="s">
        <v>500</v>
      </c>
      <c r="K112" s="8" t="s">
        <v>501</v>
      </c>
    </row>
    <row r="113" spans="1:15" ht="43.5">
      <c r="A113" s="211">
        <v>112</v>
      </c>
      <c r="B113" s="324" t="s">
        <v>1920</v>
      </c>
      <c r="D113" s="325" t="s">
        <v>1930</v>
      </c>
      <c r="F113" s="251" t="s">
        <v>1935</v>
      </c>
      <c r="G113" s="211"/>
      <c r="H113" s="296" t="s">
        <v>1715</v>
      </c>
      <c r="I113" s="296" t="s">
        <v>1936</v>
      </c>
      <c r="J113" s="297" t="s">
        <v>572</v>
      </c>
      <c r="K113" s="8" t="s">
        <v>573</v>
      </c>
      <c r="O113" s="74"/>
    </row>
    <row r="114" spans="1:15" ht="43.5">
      <c r="A114" s="211">
        <v>113</v>
      </c>
      <c r="B114" s="324" t="s">
        <v>1920</v>
      </c>
      <c r="D114" s="325" t="s">
        <v>1930</v>
      </c>
      <c r="F114" s="251" t="s">
        <v>1937</v>
      </c>
      <c r="G114" s="211" t="s">
        <v>1703</v>
      </c>
      <c r="H114" s="295"/>
      <c r="I114" s="296" t="s">
        <v>1938</v>
      </c>
      <c r="J114" s="297" t="s">
        <v>299</v>
      </c>
      <c r="K114" s="8" t="s">
        <v>300</v>
      </c>
      <c r="L114" s="8" t="s">
        <v>304</v>
      </c>
    </row>
    <row r="115" spans="1:15" ht="144.94999999999999">
      <c r="A115" s="211">
        <v>114</v>
      </c>
      <c r="B115" s="324" t="s">
        <v>1920</v>
      </c>
      <c r="D115" s="326" t="s">
        <v>1939</v>
      </c>
      <c r="F115" s="251" t="s">
        <v>1940</v>
      </c>
      <c r="G115" s="211"/>
      <c r="H115" s="295"/>
      <c r="I115" s="296" t="s">
        <v>1941</v>
      </c>
      <c r="J115" s="297" t="s">
        <v>374</v>
      </c>
      <c r="K115" s="8" t="s">
        <v>375</v>
      </c>
    </row>
    <row r="116" spans="1:15" ht="144.94999999999999">
      <c r="A116" s="211">
        <v>115</v>
      </c>
      <c r="B116" s="324" t="s">
        <v>1920</v>
      </c>
      <c r="D116" s="326" t="s">
        <v>1939</v>
      </c>
      <c r="F116" s="251" t="s">
        <v>1942</v>
      </c>
      <c r="G116" s="211"/>
      <c r="H116" s="295"/>
      <c r="I116" s="296" t="s">
        <v>1941</v>
      </c>
      <c r="J116" s="297" t="s">
        <v>382</v>
      </c>
      <c r="K116" s="8" t="s">
        <v>383</v>
      </c>
      <c r="O116" s="377" t="s">
        <v>1943</v>
      </c>
    </row>
    <row r="117" spans="1:15" ht="144.94999999999999">
      <c r="A117" s="211">
        <v>116</v>
      </c>
      <c r="B117" s="324" t="s">
        <v>1920</v>
      </c>
      <c r="D117" s="326" t="s">
        <v>1939</v>
      </c>
      <c r="F117" s="251" t="s">
        <v>1944</v>
      </c>
      <c r="G117" s="211"/>
      <c r="H117" s="295"/>
      <c r="I117" s="296"/>
      <c r="J117" s="297" t="s">
        <v>299</v>
      </c>
      <c r="K117" s="8" t="s">
        <v>300</v>
      </c>
      <c r="L117" s="8" t="s">
        <v>304</v>
      </c>
    </row>
    <row r="118" spans="1:15" ht="144.94999999999999">
      <c r="A118" s="211">
        <v>117</v>
      </c>
      <c r="B118" s="324" t="s">
        <v>1920</v>
      </c>
      <c r="D118" s="326" t="s">
        <v>1939</v>
      </c>
      <c r="F118" s="251" t="s">
        <v>1945</v>
      </c>
      <c r="G118" s="211" t="s">
        <v>1730</v>
      </c>
      <c r="H118" s="295"/>
      <c r="I118" s="296"/>
      <c r="J118" s="297" t="s">
        <v>409</v>
      </c>
      <c r="K118" s="8" t="s">
        <v>410</v>
      </c>
      <c r="O118" s="377" t="s">
        <v>1946</v>
      </c>
    </row>
    <row r="119" spans="1:15" ht="144.94999999999999">
      <c r="A119" s="211">
        <v>118</v>
      </c>
      <c r="B119" s="324" t="s">
        <v>1920</v>
      </c>
      <c r="D119" s="326" t="s">
        <v>1939</v>
      </c>
      <c r="F119" s="251" t="s">
        <v>1947</v>
      </c>
      <c r="G119" s="211"/>
      <c r="H119" s="295"/>
      <c r="I119" s="296" t="s">
        <v>1948</v>
      </c>
      <c r="J119" s="297"/>
      <c r="K119" s="74" t="s">
        <v>1777</v>
      </c>
      <c r="M119" s="87" t="s">
        <v>918</v>
      </c>
      <c r="N119" s="8" t="s">
        <v>1838</v>
      </c>
    </row>
    <row r="120" spans="1:15" ht="144.94999999999999">
      <c r="A120" s="211">
        <v>119</v>
      </c>
      <c r="B120" s="324" t="s">
        <v>1920</v>
      </c>
      <c r="D120" s="326" t="s">
        <v>1939</v>
      </c>
      <c r="F120" s="251" t="s">
        <v>1949</v>
      </c>
      <c r="G120" s="211"/>
      <c r="H120" s="295"/>
      <c r="I120" s="296" t="s">
        <v>1948</v>
      </c>
      <c r="J120" s="297" t="s">
        <v>1482</v>
      </c>
      <c r="K120" s="8" t="s">
        <v>1483</v>
      </c>
    </row>
    <row r="121" spans="1:15" ht="144.94999999999999">
      <c r="A121" s="211">
        <v>120</v>
      </c>
      <c r="B121" s="324" t="s">
        <v>1920</v>
      </c>
      <c r="D121" s="326" t="s">
        <v>1939</v>
      </c>
      <c r="F121" s="251" t="s">
        <v>1950</v>
      </c>
      <c r="G121" s="211" t="s">
        <v>1730</v>
      </c>
      <c r="H121" s="295"/>
      <c r="I121" s="296"/>
      <c r="J121" s="297" t="s">
        <v>428</v>
      </c>
      <c r="K121" s="8" t="s">
        <v>429</v>
      </c>
      <c r="O121" s="377" t="s">
        <v>1951</v>
      </c>
    </row>
    <row r="122" spans="1:15" ht="101.45">
      <c r="A122" s="211">
        <v>121</v>
      </c>
      <c r="B122" s="324" t="s">
        <v>1920</v>
      </c>
      <c r="D122" s="327" t="s">
        <v>1952</v>
      </c>
      <c r="F122" s="251" t="s">
        <v>1953</v>
      </c>
      <c r="G122" s="211" t="s">
        <v>1730</v>
      </c>
      <c r="H122" s="295"/>
      <c r="I122" s="296" t="s">
        <v>1954</v>
      </c>
      <c r="J122" s="297" t="s">
        <v>1144</v>
      </c>
      <c r="K122" s="8" t="s">
        <v>1145</v>
      </c>
    </row>
    <row r="123" spans="1:15" ht="101.45">
      <c r="A123" s="211">
        <v>122</v>
      </c>
      <c r="B123" s="324" t="s">
        <v>1920</v>
      </c>
      <c r="D123" s="327" t="s">
        <v>1952</v>
      </c>
      <c r="F123" s="251" t="s">
        <v>1955</v>
      </c>
      <c r="G123" s="328" t="s">
        <v>1730</v>
      </c>
      <c r="H123" s="295"/>
      <c r="I123" s="296"/>
      <c r="J123" s="297" t="s">
        <v>1171</v>
      </c>
      <c r="K123" s="298" t="s">
        <v>1796</v>
      </c>
    </row>
    <row r="124" spans="1:15" ht="101.45">
      <c r="A124" s="211">
        <v>123</v>
      </c>
      <c r="B124" s="324" t="s">
        <v>1920</v>
      </c>
      <c r="D124" s="327" t="s">
        <v>1952</v>
      </c>
      <c r="F124" s="251" t="s">
        <v>1956</v>
      </c>
      <c r="G124" s="211" t="s">
        <v>1730</v>
      </c>
      <c r="H124" s="295"/>
      <c r="I124" s="296"/>
      <c r="J124" s="297" t="s">
        <v>1423</v>
      </c>
      <c r="K124" s="8" t="s">
        <v>1424</v>
      </c>
      <c r="O124" s="377" t="s">
        <v>1957</v>
      </c>
    </row>
    <row r="125" spans="1:15" ht="101.45">
      <c r="A125" s="211">
        <v>124</v>
      </c>
      <c r="B125" s="324" t="s">
        <v>1920</v>
      </c>
      <c r="D125" s="327" t="s">
        <v>1952</v>
      </c>
      <c r="F125" s="251" t="s">
        <v>1958</v>
      </c>
      <c r="G125" s="211"/>
      <c r="H125" s="295"/>
      <c r="I125" s="296" t="s">
        <v>1959</v>
      </c>
      <c r="J125" s="297" t="s">
        <v>1047</v>
      </c>
      <c r="K125" s="8" t="s">
        <v>1048</v>
      </c>
    </row>
    <row r="126" spans="1:15" ht="101.45">
      <c r="A126" s="211">
        <v>125</v>
      </c>
      <c r="B126" s="324" t="s">
        <v>1920</v>
      </c>
      <c r="D126" s="327" t="s">
        <v>1952</v>
      </c>
      <c r="F126" s="251" t="s">
        <v>1960</v>
      </c>
      <c r="G126" s="211" t="s">
        <v>1730</v>
      </c>
      <c r="H126" s="295"/>
      <c r="I126" s="296"/>
      <c r="J126" s="297" t="s">
        <v>851</v>
      </c>
      <c r="K126" s="8" t="s">
        <v>852</v>
      </c>
    </row>
    <row r="127" spans="1:15" ht="43.5">
      <c r="A127" s="211">
        <v>126</v>
      </c>
      <c r="B127" s="324" t="s">
        <v>1920</v>
      </c>
      <c r="D127" s="329" t="s">
        <v>1961</v>
      </c>
      <c r="F127" s="251" t="s">
        <v>1962</v>
      </c>
      <c r="G127" s="211" t="s">
        <v>1730</v>
      </c>
      <c r="H127" s="295"/>
      <c r="I127" s="296" t="s">
        <v>1963</v>
      </c>
      <c r="J127" s="297" t="s">
        <v>1289</v>
      </c>
      <c r="K127" s="8" t="s">
        <v>1290</v>
      </c>
      <c r="O127" s="377" t="s">
        <v>1964</v>
      </c>
    </row>
    <row r="128" spans="1:15" ht="43.5">
      <c r="A128" s="211">
        <v>127</v>
      </c>
      <c r="B128" s="324" t="s">
        <v>1920</v>
      </c>
      <c r="D128" s="329" t="s">
        <v>1961</v>
      </c>
      <c r="F128" s="251" t="s">
        <v>1965</v>
      </c>
      <c r="H128" s="295"/>
      <c r="I128" s="296" t="s">
        <v>1966</v>
      </c>
      <c r="J128" s="297" t="s">
        <v>1351</v>
      </c>
      <c r="K128" s="8" t="s">
        <v>1352</v>
      </c>
    </row>
    <row r="129" spans="1:15" ht="72.599999999999994">
      <c r="A129" s="211">
        <v>128</v>
      </c>
      <c r="B129" s="324" t="s">
        <v>1920</v>
      </c>
      <c r="D129" s="330" t="s">
        <v>1967</v>
      </c>
      <c r="F129" s="251" t="s">
        <v>1968</v>
      </c>
      <c r="G129" s="211" t="s">
        <v>1969</v>
      </c>
      <c r="H129" s="295"/>
      <c r="I129" s="296" t="s">
        <v>1970</v>
      </c>
      <c r="J129" s="297" t="s">
        <v>985</v>
      </c>
      <c r="K129" s="8" t="s">
        <v>986</v>
      </c>
    </row>
    <row r="130" spans="1:15" ht="72.599999999999994">
      <c r="A130" s="211">
        <v>129</v>
      </c>
      <c r="B130" s="324" t="s">
        <v>1920</v>
      </c>
      <c r="D130" s="330" t="s">
        <v>1967</v>
      </c>
      <c r="F130" s="251" t="s">
        <v>1971</v>
      </c>
      <c r="G130" s="211"/>
      <c r="H130" s="296" t="s">
        <v>1715</v>
      </c>
      <c r="I130" s="296" t="s">
        <v>1972</v>
      </c>
      <c r="J130" s="297" t="s">
        <v>933</v>
      </c>
      <c r="K130" s="8" t="s">
        <v>934</v>
      </c>
      <c r="O130" s="74"/>
    </row>
    <row r="131" spans="1:15" ht="72.599999999999994">
      <c r="A131" s="211">
        <v>130</v>
      </c>
      <c r="B131" s="324" t="s">
        <v>1920</v>
      </c>
      <c r="D131" s="330" t="s">
        <v>1967</v>
      </c>
      <c r="F131" s="251" t="s">
        <v>1973</v>
      </c>
      <c r="G131" s="211" t="s">
        <v>1918</v>
      </c>
      <c r="H131" s="295"/>
      <c r="I131" s="211">
        <v>2026</v>
      </c>
      <c r="J131" s="297" t="s">
        <v>697</v>
      </c>
      <c r="K131" s="8" t="s">
        <v>698</v>
      </c>
    </row>
    <row r="132" spans="1:15" ht="72.599999999999994">
      <c r="A132" s="211">
        <v>131</v>
      </c>
      <c r="B132" s="324" t="s">
        <v>1920</v>
      </c>
      <c r="D132" s="330" t="s">
        <v>1967</v>
      </c>
      <c r="F132" s="251" t="s">
        <v>1974</v>
      </c>
      <c r="G132" s="211" t="s">
        <v>1918</v>
      </c>
      <c r="H132" s="295"/>
      <c r="I132" s="211">
        <v>2027</v>
      </c>
      <c r="J132" s="297" t="s">
        <v>691</v>
      </c>
      <c r="K132" s="8" t="s">
        <v>692</v>
      </c>
    </row>
    <row r="133" spans="1:15" ht="57.95">
      <c r="A133" s="211">
        <v>132</v>
      </c>
      <c r="B133" s="324" t="s">
        <v>1920</v>
      </c>
      <c r="D133" s="331" t="s">
        <v>1975</v>
      </c>
      <c r="F133" s="251" t="s">
        <v>1976</v>
      </c>
      <c r="G133" s="211"/>
      <c r="H133" s="296" t="s">
        <v>1715</v>
      </c>
      <c r="I133" s="296" t="s">
        <v>1977</v>
      </c>
      <c r="J133" s="297" t="s">
        <v>1193</v>
      </c>
      <c r="K133" s="8" t="s">
        <v>1194</v>
      </c>
      <c r="O133" s="74"/>
    </row>
    <row r="134" spans="1:15" ht="43.5">
      <c r="A134" s="211">
        <v>133</v>
      </c>
      <c r="B134" s="324" t="s">
        <v>1920</v>
      </c>
      <c r="D134" s="331" t="s">
        <v>1975</v>
      </c>
      <c r="F134" s="251" t="s">
        <v>1978</v>
      </c>
      <c r="G134" s="211" t="s">
        <v>1730</v>
      </c>
      <c r="H134" s="295"/>
      <c r="I134" s="296"/>
      <c r="J134" s="297" t="s">
        <v>1193</v>
      </c>
      <c r="K134" s="8" t="s">
        <v>1194</v>
      </c>
    </row>
    <row r="135" spans="1:15" ht="101.45">
      <c r="A135" s="211">
        <v>134</v>
      </c>
      <c r="B135" s="324" t="s">
        <v>1920</v>
      </c>
      <c r="D135" s="332" t="s">
        <v>1979</v>
      </c>
      <c r="F135" s="251" t="s">
        <v>1980</v>
      </c>
      <c r="G135" s="211" t="s">
        <v>1703</v>
      </c>
      <c r="H135" s="295"/>
      <c r="I135" s="296" t="s">
        <v>1981</v>
      </c>
      <c r="J135" s="297" t="s">
        <v>1472</v>
      </c>
      <c r="K135" s="8" t="s">
        <v>1473</v>
      </c>
    </row>
    <row r="136" spans="1:15" ht="57.95">
      <c r="A136" s="211">
        <v>135</v>
      </c>
      <c r="B136" s="324" t="s">
        <v>1920</v>
      </c>
      <c r="D136" s="333" t="s">
        <v>1982</v>
      </c>
      <c r="F136" s="251" t="s">
        <v>1983</v>
      </c>
      <c r="G136" s="211" t="s">
        <v>1703</v>
      </c>
      <c r="H136" s="295"/>
      <c r="I136" s="296" t="s">
        <v>1984</v>
      </c>
      <c r="J136" s="297" t="s">
        <v>330</v>
      </c>
      <c r="K136" s="8" t="s">
        <v>331</v>
      </c>
      <c r="O136" s="377" t="s">
        <v>1985</v>
      </c>
    </row>
    <row r="137" spans="1:15" ht="57.95">
      <c r="A137" s="211">
        <v>136</v>
      </c>
      <c r="B137" s="324" t="s">
        <v>1920</v>
      </c>
      <c r="D137" s="333" t="s">
        <v>1982</v>
      </c>
      <c r="F137" s="251" t="s">
        <v>1986</v>
      </c>
      <c r="G137" s="211"/>
      <c r="H137" s="295"/>
      <c r="I137" s="296"/>
      <c r="J137" s="297" t="s">
        <v>330</v>
      </c>
      <c r="K137" s="8" t="s">
        <v>331</v>
      </c>
      <c r="O137" s="377" t="s">
        <v>1987</v>
      </c>
    </row>
    <row r="138" spans="1:15" ht="87">
      <c r="A138" s="211">
        <v>137</v>
      </c>
      <c r="B138" s="334" t="s">
        <v>1988</v>
      </c>
      <c r="C138" s="335">
        <v>1</v>
      </c>
      <c r="D138" s="336" t="s">
        <v>1989</v>
      </c>
      <c r="E138" s="17" t="s">
        <v>1990</v>
      </c>
      <c r="F138" s="218" t="s">
        <v>1991</v>
      </c>
      <c r="G138" s="211" t="s">
        <v>1703</v>
      </c>
      <c r="H138" s="295"/>
      <c r="I138" s="296" t="s">
        <v>1992</v>
      </c>
      <c r="J138" s="297" t="s">
        <v>985</v>
      </c>
      <c r="K138" s="8" t="s">
        <v>986</v>
      </c>
    </row>
    <row r="139" spans="1:15" ht="87">
      <c r="A139" s="211">
        <v>138</v>
      </c>
      <c r="B139" s="334" t="s">
        <v>1988</v>
      </c>
      <c r="C139" s="335">
        <v>1</v>
      </c>
      <c r="D139" s="336" t="s">
        <v>1989</v>
      </c>
      <c r="E139" s="17" t="s">
        <v>1993</v>
      </c>
      <c r="F139" s="218" t="s">
        <v>1994</v>
      </c>
      <c r="G139" s="211" t="s">
        <v>1703</v>
      </c>
      <c r="H139" s="295"/>
      <c r="I139" s="296" t="s">
        <v>1992</v>
      </c>
      <c r="J139" s="297" t="s">
        <v>985</v>
      </c>
      <c r="K139" s="8" t="s">
        <v>986</v>
      </c>
      <c r="O139" s="377" t="s">
        <v>1995</v>
      </c>
    </row>
    <row r="140" spans="1:15" ht="87">
      <c r="A140" s="211">
        <v>139</v>
      </c>
      <c r="B140" s="334" t="s">
        <v>1988</v>
      </c>
      <c r="C140" s="335">
        <v>1</v>
      </c>
      <c r="D140" s="336" t="s">
        <v>1989</v>
      </c>
      <c r="E140" s="17" t="s">
        <v>1996</v>
      </c>
      <c r="F140" s="218" t="s">
        <v>1997</v>
      </c>
      <c r="G140" s="211" t="s">
        <v>1703</v>
      </c>
      <c r="H140" s="295"/>
      <c r="I140" s="296" t="s">
        <v>1992</v>
      </c>
      <c r="J140" s="297" t="s">
        <v>985</v>
      </c>
      <c r="K140" s="8" t="s">
        <v>986</v>
      </c>
      <c r="O140" s="377" t="s">
        <v>1998</v>
      </c>
    </row>
    <row r="141" spans="1:15" ht="87">
      <c r="A141" s="211">
        <v>140</v>
      </c>
      <c r="B141" s="334" t="s">
        <v>1988</v>
      </c>
      <c r="C141" s="335">
        <v>1</v>
      </c>
      <c r="D141" s="336" t="s">
        <v>1989</v>
      </c>
      <c r="E141" s="17" t="s">
        <v>1999</v>
      </c>
      <c r="F141" s="218" t="s">
        <v>2000</v>
      </c>
      <c r="G141" s="211" t="s">
        <v>1703</v>
      </c>
      <c r="H141" s="295"/>
      <c r="I141" s="296" t="s">
        <v>1992</v>
      </c>
      <c r="J141" s="297" t="s">
        <v>985</v>
      </c>
      <c r="K141" s="8" t="s">
        <v>986</v>
      </c>
    </row>
    <row r="142" spans="1:15" ht="87">
      <c r="A142" s="211">
        <v>141</v>
      </c>
      <c r="B142" s="334" t="s">
        <v>1988</v>
      </c>
      <c r="C142" s="335">
        <v>1</v>
      </c>
      <c r="D142" s="336" t="s">
        <v>1989</v>
      </c>
      <c r="E142" s="17" t="s">
        <v>2001</v>
      </c>
      <c r="F142" s="218" t="s">
        <v>2002</v>
      </c>
      <c r="G142" s="211" t="s">
        <v>1703</v>
      </c>
      <c r="H142" s="295"/>
      <c r="I142" s="296" t="s">
        <v>1992</v>
      </c>
      <c r="J142" s="297" t="s">
        <v>985</v>
      </c>
      <c r="K142" s="8" t="s">
        <v>986</v>
      </c>
      <c r="O142" s="377" t="s">
        <v>2003</v>
      </c>
    </row>
    <row r="143" spans="1:15" ht="87">
      <c r="A143" s="211">
        <v>142</v>
      </c>
      <c r="B143" s="334" t="s">
        <v>1988</v>
      </c>
      <c r="C143" s="335">
        <v>1</v>
      </c>
      <c r="D143" s="336" t="s">
        <v>1989</v>
      </c>
      <c r="E143" s="17" t="s">
        <v>2004</v>
      </c>
      <c r="F143" s="218" t="s">
        <v>2005</v>
      </c>
      <c r="G143" s="211" t="s">
        <v>1703</v>
      </c>
      <c r="H143" s="295"/>
      <c r="I143" s="296" t="s">
        <v>1992</v>
      </c>
      <c r="J143" s="297" t="s">
        <v>985</v>
      </c>
      <c r="K143" s="8" t="s">
        <v>986</v>
      </c>
      <c r="O143" s="377" t="s">
        <v>2006</v>
      </c>
    </row>
    <row r="144" spans="1:15" ht="87">
      <c r="A144" s="211">
        <v>143</v>
      </c>
      <c r="B144" s="334" t="s">
        <v>1988</v>
      </c>
      <c r="C144" s="335">
        <v>1</v>
      </c>
      <c r="D144" s="336" t="s">
        <v>1989</v>
      </c>
      <c r="E144" s="17" t="s">
        <v>2007</v>
      </c>
      <c r="F144" s="218" t="s">
        <v>2008</v>
      </c>
      <c r="G144" s="211" t="s">
        <v>1703</v>
      </c>
      <c r="H144" s="295"/>
      <c r="I144" s="296" t="s">
        <v>1992</v>
      </c>
      <c r="J144" s="297" t="s">
        <v>985</v>
      </c>
      <c r="K144" s="8" t="s">
        <v>986</v>
      </c>
      <c r="O144" s="377" t="s">
        <v>2009</v>
      </c>
    </row>
    <row r="145" spans="1:15" ht="29.1">
      <c r="A145" s="211">
        <v>144</v>
      </c>
      <c r="B145" s="334" t="s">
        <v>1988</v>
      </c>
      <c r="C145" s="335">
        <v>2</v>
      </c>
      <c r="D145" s="337" t="s">
        <v>2010</v>
      </c>
      <c r="E145" s="17" t="s">
        <v>2011</v>
      </c>
      <c r="F145" s="218" t="s">
        <v>2012</v>
      </c>
      <c r="G145" s="211"/>
      <c r="H145" s="295"/>
      <c r="I145" s="296"/>
      <c r="J145" s="297" t="s">
        <v>1448</v>
      </c>
      <c r="K145" s="8" t="s">
        <v>1449</v>
      </c>
    </row>
    <row r="146" spans="1:15" ht="29.1">
      <c r="A146" s="211">
        <v>145</v>
      </c>
      <c r="B146" s="334" t="s">
        <v>1988</v>
      </c>
      <c r="C146" s="335">
        <v>2</v>
      </c>
      <c r="D146" s="337" t="s">
        <v>2010</v>
      </c>
      <c r="E146" s="17" t="s">
        <v>2011</v>
      </c>
      <c r="F146" s="218" t="s">
        <v>2013</v>
      </c>
      <c r="G146" s="211" t="s">
        <v>1703</v>
      </c>
      <c r="H146" s="295"/>
      <c r="I146" s="296" t="s">
        <v>1992</v>
      </c>
      <c r="J146" s="297" t="s">
        <v>1432</v>
      </c>
      <c r="K146" s="8" t="s">
        <v>1433</v>
      </c>
    </row>
    <row r="147" spans="1:15" ht="43.5">
      <c r="A147" s="211">
        <v>146</v>
      </c>
      <c r="B147" s="334" t="s">
        <v>1988</v>
      </c>
      <c r="C147" s="335">
        <v>2</v>
      </c>
      <c r="D147" s="337" t="s">
        <v>2010</v>
      </c>
      <c r="E147" s="17" t="s">
        <v>2014</v>
      </c>
      <c r="F147" s="218" t="s">
        <v>2015</v>
      </c>
      <c r="G147" s="211" t="s">
        <v>1703</v>
      </c>
      <c r="H147" s="295"/>
      <c r="I147" s="296" t="s">
        <v>1992</v>
      </c>
      <c r="J147" s="297" t="s">
        <v>998</v>
      </c>
      <c r="K147" s="8" t="s">
        <v>999</v>
      </c>
    </row>
    <row r="148" spans="1:15" ht="43.5">
      <c r="A148" s="211">
        <v>147</v>
      </c>
      <c r="B148" s="334" t="s">
        <v>1988</v>
      </c>
      <c r="C148" s="335">
        <v>2</v>
      </c>
      <c r="D148" s="337" t="s">
        <v>2010</v>
      </c>
      <c r="E148" s="17" t="s">
        <v>2016</v>
      </c>
      <c r="F148" s="218" t="s">
        <v>2017</v>
      </c>
      <c r="G148" s="211"/>
      <c r="H148" s="295"/>
      <c r="I148" s="296"/>
      <c r="J148" s="297" t="s">
        <v>998</v>
      </c>
      <c r="K148" s="8" t="s">
        <v>999</v>
      </c>
    </row>
    <row r="149" spans="1:15" ht="43.5">
      <c r="A149" s="211">
        <v>148</v>
      </c>
      <c r="B149" s="334" t="s">
        <v>1988</v>
      </c>
      <c r="C149" s="335">
        <v>3</v>
      </c>
      <c r="D149" s="338" t="s">
        <v>2018</v>
      </c>
      <c r="E149" s="17" t="s">
        <v>2019</v>
      </c>
      <c r="F149" s="218" t="s">
        <v>2020</v>
      </c>
      <c r="G149" s="211" t="s">
        <v>1703</v>
      </c>
      <c r="H149" s="295"/>
      <c r="I149" s="296" t="s">
        <v>1992</v>
      </c>
      <c r="J149" s="297" t="s">
        <v>998</v>
      </c>
      <c r="K149" s="8" t="s">
        <v>999</v>
      </c>
      <c r="O149" s="377" t="s">
        <v>2021</v>
      </c>
    </row>
    <row r="150" spans="1:15" ht="43.5">
      <c r="A150" s="211">
        <v>149</v>
      </c>
      <c r="B150" s="334" t="s">
        <v>1988</v>
      </c>
      <c r="C150" s="335">
        <v>3</v>
      </c>
      <c r="D150" s="338" t="s">
        <v>2018</v>
      </c>
      <c r="E150" s="17" t="s">
        <v>2022</v>
      </c>
      <c r="F150" s="218" t="s">
        <v>2023</v>
      </c>
      <c r="G150" s="211" t="s">
        <v>1703</v>
      </c>
      <c r="H150" s="295"/>
      <c r="I150" s="296" t="s">
        <v>1992</v>
      </c>
      <c r="J150" s="297" t="s">
        <v>998</v>
      </c>
      <c r="K150" s="8" t="s">
        <v>999</v>
      </c>
      <c r="O150" s="377" t="s">
        <v>2024</v>
      </c>
    </row>
    <row r="151" spans="1:15" ht="43.5">
      <c r="A151" s="211">
        <v>150</v>
      </c>
      <c r="B151" s="334" t="s">
        <v>1988</v>
      </c>
      <c r="C151" s="335">
        <v>3</v>
      </c>
      <c r="D151" s="338" t="s">
        <v>2018</v>
      </c>
      <c r="E151" s="17" t="s">
        <v>2025</v>
      </c>
      <c r="F151" s="218" t="s">
        <v>2026</v>
      </c>
      <c r="G151" s="211"/>
      <c r="H151" s="295"/>
      <c r="I151" s="296"/>
      <c r="J151" s="297" t="s">
        <v>1273</v>
      </c>
      <c r="K151" s="8" t="s">
        <v>2027</v>
      </c>
    </row>
    <row r="152" spans="1:15" ht="29.1">
      <c r="A152" s="211">
        <v>151</v>
      </c>
      <c r="B152" s="334" t="s">
        <v>1988</v>
      </c>
      <c r="C152" s="335">
        <v>3</v>
      </c>
      <c r="D152" s="338" t="s">
        <v>2018</v>
      </c>
      <c r="E152" s="17" t="s">
        <v>2028</v>
      </c>
      <c r="F152" s="218" t="s">
        <v>2029</v>
      </c>
      <c r="G152" s="211"/>
      <c r="H152" s="295"/>
      <c r="I152" s="296"/>
      <c r="J152" s="297" t="s">
        <v>1273</v>
      </c>
      <c r="K152" s="8" t="s">
        <v>1274</v>
      </c>
    </row>
    <row r="153" spans="1:15" ht="43.5">
      <c r="A153" s="211">
        <v>152</v>
      </c>
      <c r="B153" s="334" t="s">
        <v>1988</v>
      </c>
      <c r="C153" s="335">
        <v>3</v>
      </c>
      <c r="D153" s="338" t="s">
        <v>2018</v>
      </c>
      <c r="E153" s="17" t="s">
        <v>2030</v>
      </c>
      <c r="F153" s="218" t="s">
        <v>2031</v>
      </c>
      <c r="G153" s="211" t="s">
        <v>1703</v>
      </c>
      <c r="H153" s="295"/>
      <c r="I153" s="296" t="s">
        <v>1992</v>
      </c>
      <c r="J153" s="297" t="s">
        <v>1004</v>
      </c>
      <c r="K153" s="8" t="s">
        <v>1005</v>
      </c>
    </row>
    <row r="154" spans="1:15" ht="57.95">
      <c r="A154" s="211">
        <v>153</v>
      </c>
      <c r="B154" s="334" t="s">
        <v>1988</v>
      </c>
      <c r="C154" s="335">
        <v>3</v>
      </c>
      <c r="D154" s="338" t="s">
        <v>2018</v>
      </c>
      <c r="E154" s="17" t="s">
        <v>2032</v>
      </c>
      <c r="F154" s="218" t="s">
        <v>2033</v>
      </c>
      <c r="G154" s="211"/>
      <c r="H154" s="295"/>
      <c r="I154" s="296"/>
      <c r="J154" s="297" t="s">
        <v>1171</v>
      </c>
      <c r="K154" s="298" t="s">
        <v>1796</v>
      </c>
    </row>
    <row r="155" spans="1:15" ht="57.95">
      <c r="A155" s="211">
        <v>154</v>
      </c>
      <c r="B155" s="334" t="s">
        <v>1988</v>
      </c>
      <c r="C155" s="335">
        <v>3</v>
      </c>
      <c r="D155" s="338" t="s">
        <v>2018</v>
      </c>
      <c r="E155" s="17" t="s">
        <v>2034</v>
      </c>
      <c r="F155" s="218" t="s">
        <v>2035</v>
      </c>
      <c r="G155" s="211"/>
      <c r="H155" s="295"/>
      <c r="I155" s="296"/>
      <c r="J155" s="297" t="s">
        <v>1171</v>
      </c>
      <c r="K155" s="298" t="s">
        <v>1796</v>
      </c>
    </row>
    <row r="156" spans="1:15" ht="87">
      <c r="A156" s="211">
        <v>155</v>
      </c>
      <c r="B156" s="334" t="s">
        <v>1988</v>
      </c>
      <c r="C156" s="335">
        <v>4</v>
      </c>
      <c r="D156" s="300" t="s">
        <v>2036</v>
      </c>
      <c r="E156" s="17" t="s">
        <v>2037</v>
      </c>
      <c r="F156" s="218" t="s">
        <v>2038</v>
      </c>
      <c r="G156" s="211" t="s">
        <v>1703</v>
      </c>
      <c r="H156" s="295"/>
      <c r="I156" s="296" t="s">
        <v>1992</v>
      </c>
      <c r="J156" s="297" t="s">
        <v>656</v>
      </c>
      <c r="K156" s="8" t="s">
        <v>657</v>
      </c>
    </row>
    <row r="157" spans="1:15" ht="87">
      <c r="A157" s="211">
        <v>156</v>
      </c>
      <c r="B157" s="334" t="s">
        <v>1988</v>
      </c>
      <c r="C157" s="335">
        <v>4</v>
      </c>
      <c r="D157" s="300" t="s">
        <v>2036</v>
      </c>
      <c r="E157" s="17" t="s">
        <v>2039</v>
      </c>
      <c r="F157" s="218" t="s">
        <v>2040</v>
      </c>
      <c r="G157" s="211" t="s">
        <v>1703</v>
      </c>
      <c r="H157" s="295"/>
      <c r="I157" s="296" t="s">
        <v>2041</v>
      </c>
      <c r="J157" s="297" t="s">
        <v>1432</v>
      </c>
      <c r="K157" s="8" t="s">
        <v>1433</v>
      </c>
    </row>
    <row r="158" spans="1:15" ht="87">
      <c r="A158" s="211">
        <v>157</v>
      </c>
      <c r="B158" s="334" t="s">
        <v>1988</v>
      </c>
      <c r="C158" s="335">
        <v>4</v>
      </c>
      <c r="D158" s="300" t="s">
        <v>2036</v>
      </c>
      <c r="E158" s="17" t="s">
        <v>2042</v>
      </c>
      <c r="F158" s="218" t="s">
        <v>1025</v>
      </c>
      <c r="G158" s="211" t="s">
        <v>1703</v>
      </c>
      <c r="H158" s="295"/>
      <c r="I158" s="296" t="s">
        <v>1992</v>
      </c>
      <c r="J158" s="297"/>
      <c r="K158" s="74" t="s">
        <v>1777</v>
      </c>
      <c r="M158" s="87" t="s">
        <v>1019</v>
      </c>
      <c r="N158" s="8" t="s">
        <v>1021</v>
      </c>
    </row>
    <row r="159" spans="1:15" ht="87">
      <c r="A159" s="211">
        <v>158</v>
      </c>
      <c r="B159" s="334" t="s">
        <v>1988</v>
      </c>
      <c r="C159" s="335">
        <v>4</v>
      </c>
      <c r="D159" s="300" t="s">
        <v>2036</v>
      </c>
      <c r="E159" s="17" t="s">
        <v>2043</v>
      </c>
      <c r="F159" s="218" t="s">
        <v>813</v>
      </c>
      <c r="G159" s="211"/>
      <c r="H159" s="295"/>
      <c r="I159" s="296"/>
      <c r="J159" s="297" t="s">
        <v>808</v>
      </c>
      <c r="K159" s="8" t="s">
        <v>809</v>
      </c>
    </row>
    <row r="160" spans="1:15" ht="43.5">
      <c r="A160" s="211">
        <v>159</v>
      </c>
      <c r="B160" s="334" t="s">
        <v>1988</v>
      </c>
      <c r="C160" s="335">
        <v>5</v>
      </c>
      <c r="D160" s="339" t="s">
        <v>2044</v>
      </c>
      <c r="E160" s="17" t="s">
        <v>2045</v>
      </c>
      <c r="F160" s="218" t="s">
        <v>2046</v>
      </c>
      <c r="G160" s="211" t="s">
        <v>1703</v>
      </c>
      <c r="H160" s="295"/>
      <c r="I160" s="296" t="s">
        <v>1992</v>
      </c>
      <c r="J160" s="297" t="s">
        <v>1289</v>
      </c>
      <c r="K160" s="8" t="s">
        <v>1290</v>
      </c>
      <c r="O160" s="377" t="s">
        <v>2047</v>
      </c>
    </row>
    <row r="161" spans="1:15" ht="43.5">
      <c r="A161" s="211">
        <v>160</v>
      </c>
      <c r="B161" s="334" t="s">
        <v>1988</v>
      </c>
      <c r="C161" s="335">
        <v>5</v>
      </c>
      <c r="D161" s="339" t="s">
        <v>2044</v>
      </c>
      <c r="E161" s="17" t="s">
        <v>2048</v>
      </c>
      <c r="F161" s="218" t="s">
        <v>2049</v>
      </c>
      <c r="G161" s="211"/>
      <c r="H161" s="295"/>
      <c r="I161" s="296"/>
      <c r="J161" s="297" t="s">
        <v>1351</v>
      </c>
      <c r="K161" s="8" t="s">
        <v>1352</v>
      </c>
      <c r="O161" s="377" t="s">
        <v>2050</v>
      </c>
    </row>
    <row r="162" spans="1:15" ht="43.5">
      <c r="A162" s="211">
        <v>161</v>
      </c>
      <c r="B162" s="334" t="s">
        <v>1988</v>
      </c>
      <c r="C162" s="335">
        <v>5</v>
      </c>
      <c r="D162" s="339" t="s">
        <v>2044</v>
      </c>
      <c r="E162" s="17" t="s">
        <v>2051</v>
      </c>
      <c r="F162" s="218" t="s">
        <v>2052</v>
      </c>
      <c r="G162" s="211"/>
      <c r="H162" s="295"/>
      <c r="I162" s="296"/>
      <c r="J162" s="297" t="s">
        <v>1351</v>
      </c>
      <c r="K162" s="8" t="s">
        <v>1352</v>
      </c>
    </row>
    <row r="163" spans="1:15" ht="57.95">
      <c r="A163" s="211">
        <v>162</v>
      </c>
      <c r="B163" s="334" t="s">
        <v>1988</v>
      </c>
      <c r="C163" s="335">
        <v>5</v>
      </c>
      <c r="D163" s="339" t="s">
        <v>2044</v>
      </c>
      <c r="E163" s="17" t="s">
        <v>2053</v>
      </c>
      <c r="F163" s="218" t="s">
        <v>2054</v>
      </c>
      <c r="G163" s="211"/>
      <c r="H163" s="295"/>
      <c r="I163" s="296"/>
      <c r="J163" s="297" t="s">
        <v>1171</v>
      </c>
      <c r="K163" s="298" t="s">
        <v>1796</v>
      </c>
    </row>
    <row r="164" spans="1:15" ht="57.95">
      <c r="A164" s="211">
        <v>163</v>
      </c>
      <c r="B164" s="334" t="s">
        <v>1988</v>
      </c>
      <c r="C164" s="335">
        <v>5</v>
      </c>
      <c r="D164" s="339" t="s">
        <v>2044</v>
      </c>
      <c r="E164" s="17" t="s">
        <v>2055</v>
      </c>
      <c r="F164" s="218" t="s">
        <v>2056</v>
      </c>
      <c r="G164" s="211"/>
      <c r="H164" s="295"/>
      <c r="I164" s="296"/>
      <c r="J164" s="297" t="s">
        <v>1171</v>
      </c>
      <c r="K164" s="298" t="s">
        <v>1796</v>
      </c>
    </row>
    <row r="165" spans="1:15" ht="57.95">
      <c r="A165" s="211">
        <v>164</v>
      </c>
      <c r="B165" s="334" t="s">
        <v>1988</v>
      </c>
      <c r="C165" s="335">
        <v>5</v>
      </c>
      <c r="D165" s="339" t="s">
        <v>2044</v>
      </c>
      <c r="E165" s="17" t="s">
        <v>2057</v>
      </c>
      <c r="F165" s="218" t="s">
        <v>2058</v>
      </c>
      <c r="G165" s="211" t="s">
        <v>1703</v>
      </c>
      <c r="H165" s="295"/>
      <c r="I165" s="296" t="s">
        <v>1992</v>
      </c>
      <c r="J165" s="297" t="s">
        <v>1255</v>
      </c>
      <c r="K165" s="8" t="s">
        <v>1256</v>
      </c>
    </row>
    <row r="166" spans="1:15" ht="29.1">
      <c r="A166" s="211">
        <v>165</v>
      </c>
      <c r="B166" s="334" t="s">
        <v>1988</v>
      </c>
      <c r="C166" s="335">
        <v>6</v>
      </c>
      <c r="D166" s="340" t="s">
        <v>2059</v>
      </c>
      <c r="E166" s="17" t="s">
        <v>2060</v>
      </c>
      <c r="F166" s="218" t="s">
        <v>2061</v>
      </c>
      <c r="G166" s="211"/>
      <c r="H166" s="295"/>
      <c r="I166" s="296"/>
      <c r="J166" s="297" t="s">
        <v>1280</v>
      </c>
      <c r="K166" s="8" t="s">
        <v>1281</v>
      </c>
    </row>
    <row r="167" spans="1:15" ht="43.5">
      <c r="A167" s="211">
        <v>166</v>
      </c>
      <c r="B167" s="334" t="s">
        <v>1988</v>
      </c>
      <c r="C167" s="335">
        <v>6</v>
      </c>
      <c r="D167" s="340" t="s">
        <v>2059</v>
      </c>
      <c r="E167" s="17" t="s">
        <v>2062</v>
      </c>
      <c r="F167" s="218" t="s">
        <v>2063</v>
      </c>
      <c r="G167" s="211"/>
      <c r="H167" s="295"/>
      <c r="I167" s="296"/>
      <c r="J167" s="297" t="s">
        <v>939</v>
      </c>
      <c r="K167" s="8" t="s">
        <v>940</v>
      </c>
      <c r="O167" s="377" t="s">
        <v>2064</v>
      </c>
    </row>
    <row r="168" spans="1:15" ht="43.5">
      <c r="A168" s="211">
        <v>167</v>
      </c>
      <c r="B168" s="334" t="s">
        <v>1988</v>
      </c>
      <c r="C168" s="335">
        <v>6</v>
      </c>
      <c r="D168" s="340" t="s">
        <v>2059</v>
      </c>
      <c r="E168" s="17" t="s">
        <v>2065</v>
      </c>
      <c r="F168" s="218" t="s">
        <v>2066</v>
      </c>
      <c r="G168" s="211"/>
      <c r="H168" s="295"/>
      <c r="I168" s="296"/>
      <c r="J168" s="297" t="s">
        <v>951</v>
      </c>
      <c r="K168" s="8" t="s">
        <v>952</v>
      </c>
    </row>
    <row r="169" spans="1:15" ht="43.5">
      <c r="A169" s="211">
        <v>168</v>
      </c>
      <c r="B169" s="334" t="s">
        <v>1988</v>
      </c>
      <c r="C169" s="335">
        <v>6</v>
      </c>
      <c r="D169" s="340" t="s">
        <v>2059</v>
      </c>
      <c r="E169" s="17" t="s">
        <v>2067</v>
      </c>
      <c r="F169" s="218" t="s">
        <v>2068</v>
      </c>
      <c r="G169" s="211"/>
      <c r="H169" s="295"/>
      <c r="I169" s="296"/>
      <c r="J169" s="297" t="s">
        <v>951</v>
      </c>
      <c r="K169" s="8" t="s">
        <v>952</v>
      </c>
    </row>
    <row r="170" spans="1:15" ht="43.5">
      <c r="A170" s="211">
        <v>169</v>
      </c>
      <c r="B170" s="334" t="s">
        <v>1988</v>
      </c>
      <c r="C170" s="335">
        <v>6</v>
      </c>
      <c r="D170" s="340" t="s">
        <v>2059</v>
      </c>
      <c r="E170" s="17" t="s">
        <v>2069</v>
      </c>
      <c r="F170" s="218" t="s">
        <v>2070</v>
      </c>
      <c r="G170" s="211"/>
      <c r="H170" s="295"/>
      <c r="I170" s="296"/>
      <c r="J170" s="297" t="s">
        <v>939</v>
      </c>
      <c r="K170" s="8" t="s">
        <v>940</v>
      </c>
      <c r="O170" s="377" t="s">
        <v>2071</v>
      </c>
    </row>
    <row r="171" spans="1:15" ht="29.1">
      <c r="A171" s="211">
        <v>170</v>
      </c>
      <c r="B171" s="334" t="s">
        <v>1988</v>
      </c>
      <c r="C171" s="335">
        <v>6</v>
      </c>
      <c r="D171" s="340" t="s">
        <v>2059</v>
      </c>
      <c r="E171" s="17" t="s">
        <v>2072</v>
      </c>
      <c r="F171" s="218" t="s">
        <v>2073</v>
      </c>
      <c r="G171" s="211"/>
      <c r="H171" s="295"/>
      <c r="I171" s="296"/>
      <c r="J171" s="297" t="s">
        <v>1370</v>
      </c>
      <c r="K171" s="8" t="s">
        <v>1371</v>
      </c>
    </row>
    <row r="172" spans="1:15" ht="43.5">
      <c r="A172" s="211">
        <v>171</v>
      </c>
      <c r="B172" s="334" t="s">
        <v>1988</v>
      </c>
      <c r="C172" s="335">
        <v>6</v>
      </c>
      <c r="D172" s="340" t="s">
        <v>2059</v>
      </c>
      <c r="E172" s="17" t="s">
        <v>2074</v>
      </c>
      <c r="F172" s="218" t="s">
        <v>2075</v>
      </c>
      <c r="G172" s="211" t="s">
        <v>1703</v>
      </c>
      <c r="H172" s="295"/>
      <c r="I172" s="296" t="s">
        <v>1992</v>
      </c>
      <c r="J172" s="297" t="s">
        <v>925</v>
      </c>
      <c r="K172" s="8" t="s">
        <v>926</v>
      </c>
    </row>
    <row r="173" spans="1:15" ht="43.5">
      <c r="A173" s="211">
        <v>172</v>
      </c>
      <c r="B173" s="334" t="s">
        <v>1988</v>
      </c>
      <c r="C173" s="335">
        <v>6</v>
      </c>
      <c r="D173" s="340" t="s">
        <v>2059</v>
      </c>
      <c r="E173" s="17" t="s">
        <v>2076</v>
      </c>
      <c r="F173" s="218" t="s">
        <v>2077</v>
      </c>
      <c r="G173" s="211" t="s">
        <v>1703</v>
      </c>
      <c r="H173" s="295"/>
      <c r="I173" s="296" t="s">
        <v>1992</v>
      </c>
      <c r="J173" s="297" t="s">
        <v>951</v>
      </c>
      <c r="K173" s="19" t="s">
        <v>952</v>
      </c>
    </row>
    <row r="174" spans="1:15" ht="43.5">
      <c r="A174" s="211">
        <v>173</v>
      </c>
      <c r="B174" s="334" t="s">
        <v>1988</v>
      </c>
      <c r="C174" s="335">
        <v>7</v>
      </c>
      <c r="D174" s="341" t="s">
        <v>2078</v>
      </c>
      <c r="E174" s="17" t="s">
        <v>2079</v>
      </c>
      <c r="F174" s="218" t="s">
        <v>2080</v>
      </c>
      <c r="G174" s="211"/>
      <c r="H174" s="295"/>
      <c r="I174" s="296"/>
      <c r="J174" s="297" t="s">
        <v>1004</v>
      </c>
      <c r="K174" s="8" t="s">
        <v>1005</v>
      </c>
      <c r="O174" s="377" t="s">
        <v>2081</v>
      </c>
    </row>
    <row r="175" spans="1:15" ht="43.5">
      <c r="A175" s="211">
        <v>174</v>
      </c>
      <c r="B175" s="334" t="s">
        <v>1988</v>
      </c>
      <c r="C175" s="335">
        <v>7</v>
      </c>
      <c r="D175" s="341" t="s">
        <v>2078</v>
      </c>
      <c r="E175" s="17" t="s">
        <v>2082</v>
      </c>
      <c r="F175" s="218" t="s">
        <v>2083</v>
      </c>
      <c r="G175" s="211"/>
      <c r="H175" s="295"/>
      <c r="I175" s="296"/>
      <c r="J175" s="297" t="s">
        <v>1004</v>
      </c>
      <c r="K175" s="8" t="s">
        <v>1005</v>
      </c>
      <c r="O175" s="377" t="s">
        <v>2084</v>
      </c>
    </row>
    <row r="176" spans="1:15" ht="43.5">
      <c r="A176" s="211">
        <v>175</v>
      </c>
      <c r="B176" s="334" t="s">
        <v>1988</v>
      </c>
      <c r="C176" s="335">
        <v>7</v>
      </c>
      <c r="D176" s="341" t="s">
        <v>2078</v>
      </c>
      <c r="E176" s="17" t="s">
        <v>2085</v>
      </c>
      <c r="F176" s="218" t="s">
        <v>2086</v>
      </c>
      <c r="G176" s="211" t="s">
        <v>1703</v>
      </c>
      <c r="H176" s="295"/>
      <c r="I176" s="296" t="s">
        <v>1992</v>
      </c>
      <c r="J176" s="297" t="s">
        <v>998</v>
      </c>
      <c r="K176" s="8" t="s">
        <v>999</v>
      </c>
    </row>
    <row r="177" spans="1:15" ht="43.5">
      <c r="A177" s="211">
        <v>176</v>
      </c>
      <c r="B177" s="334" t="s">
        <v>1988</v>
      </c>
      <c r="C177" s="335">
        <v>7</v>
      </c>
      <c r="D177" s="341" t="s">
        <v>2078</v>
      </c>
      <c r="E177" s="17" t="s">
        <v>2087</v>
      </c>
      <c r="F177" s="218" t="s">
        <v>2088</v>
      </c>
      <c r="G177" s="211"/>
      <c r="H177" s="295"/>
      <c r="I177" s="296"/>
      <c r="J177" s="297" t="s">
        <v>1004</v>
      </c>
      <c r="K177" s="8" t="s">
        <v>1005</v>
      </c>
    </row>
    <row r="178" spans="1:15" ht="43.5">
      <c r="A178" s="211">
        <v>177</v>
      </c>
      <c r="B178" s="334" t="s">
        <v>1988</v>
      </c>
      <c r="C178" s="335">
        <v>7</v>
      </c>
      <c r="D178" s="341" t="s">
        <v>2078</v>
      </c>
      <c r="E178" s="17" t="s">
        <v>2089</v>
      </c>
      <c r="F178" s="218" t="s">
        <v>2090</v>
      </c>
      <c r="G178" s="211" t="s">
        <v>1703</v>
      </c>
      <c r="H178" s="295"/>
      <c r="I178" s="296" t="s">
        <v>1992</v>
      </c>
      <c r="J178" s="297" t="s">
        <v>998</v>
      </c>
      <c r="K178" s="8" t="s">
        <v>999</v>
      </c>
    </row>
    <row r="179" spans="1:15" ht="43.5">
      <c r="A179" s="211">
        <v>178</v>
      </c>
      <c r="B179" s="334" t="s">
        <v>1988</v>
      </c>
      <c r="C179" s="335">
        <v>7</v>
      </c>
      <c r="D179" s="341" t="s">
        <v>2078</v>
      </c>
      <c r="E179" s="17" t="s">
        <v>2091</v>
      </c>
      <c r="F179" s="218" t="s">
        <v>2092</v>
      </c>
      <c r="G179" s="211" t="s">
        <v>1703</v>
      </c>
      <c r="H179" s="295"/>
      <c r="I179" s="296" t="s">
        <v>1992</v>
      </c>
      <c r="J179" s="297" t="s">
        <v>998</v>
      </c>
      <c r="K179" s="8" t="s">
        <v>999</v>
      </c>
    </row>
    <row r="180" spans="1:15" ht="43.5">
      <c r="A180" s="211">
        <v>179</v>
      </c>
      <c r="B180" s="334" t="s">
        <v>1988</v>
      </c>
      <c r="C180" s="335">
        <v>7</v>
      </c>
      <c r="D180" s="341" t="s">
        <v>2078</v>
      </c>
      <c r="E180" s="17" t="s">
        <v>2093</v>
      </c>
      <c r="F180" s="218" t="s">
        <v>2094</v>
      </c>
      <c r="G180" s="211" t="s">
        <v>1703</v>
      </c>
      <c r="H180" s="295"/>
      <c r="I180" s="296" t="s">
        <v>1992</v>
      </c>
      <c r="J180" s="297" t="s">
        <v>985</v>
      </c>
      <c r="K180" s="8" t="s">
        <v>986</v>
      </c>
    </row>
    <row r="181" spans="1:15" ht="29.1">
      <c r="A181" s="211">
        <v>180</v>
      </c>
      <c r="B181" s="334" t="s">
        <v>1988</v>
      </c>
      <c r="C181" s="335">
        <v>8</v>
      </c>
      <c r="D181" s="342" t="s">
        <v>2095</v>
      </c>
      <c r="E181" s="17" t="s">
        <v>2096</v>
      </c>
      <c r="F181" s="218" t="s">
        <v>2097</v>
      </c>
      <c r="G181" s="211"/>
      <c r="H181" s="295"/>
      <c r="I181" s="296"/>
      <c r="J181" s="297" t="s">
        <v>1400</v>
      </c>
      <c r="K181" s="8" t="s">
        <v>1401</v>
      </c>
    </row>
    <row r="182" spans="1:15" ht="43.5">
      <c r="A182" s="211">
        <v>181</v>
      </c>
      <c r="B182" s="334" t="s">
        <v>1988</v>
      </c>
      <c r="C182" s="335">
        <v>8</v>
      </c>
      <c r="D182" s="342" t="s">
        <v>2095</v>
      </c>
      <c r="E182" s="17" t="s">
        <v>2098</v>
      </c>
      <c r="F182" s="218" t="s">
        <v>2099</v>
      </c>
      <c r="G182" s="211"/>
      <c r="H182" s="295"/>
      <c r="I182" s="296"/>
      <c r="J182" s="297" t="s">
        <v>1389</v>
      </c>
      <c r="K182" s="8" t="s">
        <v>1390</v>
      </c>
    </row>
    <row r="183" spans="1:15" ht="43.5">
      <c r="A183" s="211">
        <v>182</v>
      </c>
      <c r="B183" s="334" t="s">
        <v>1988</v>
      </c>
      <c r="C183" s="335">
        <v>8</v>
      </c>
      <c r="D183" s="342" t="s">
        <v>2095</v>
      </c>
      <c r="E183" s="17" t="s">
        <v>2100</v>
      </c>
      <c r="F183" s="218" t="s">
        <v>2101</v>
      </c>
      <c r="G183" s="211" t="s">
        <v>1703</v>
      </c>
      <c r="H183" s="295"/>
      <c r="I183" s="296" t="s">
        <v>1992</v>
      </c>
      <c r="J183" s="297" t="s">
        <v>1395</v>
      </c>
      <c r="K183" s="8" t="s">
        <v>1396</v>
      </c>
    </row>
    <row r="184" spans="1:15" ht="29.1">
      <c r="A184" s="211">
        <v>183</v>
      </c>
      <c r="B184" s="334" t="s">
        <v>1988</v>
      </c>
      <c r="C184" s="335">
        <v>8</v>
      </c>
      <c r="D184" s="342" t="s">
        <v>2095</v>
      </c>
      <c r="E184" s="17" t="s">
        <v>2102</v>
      </c>
      <c r="F184" s="218" t="s">
        <v>2103</v>
      </c>
      <c r="G184" s="211" t="s">
        <v>1703</v>
      </c>
      <c r="H184" s="295"/>
      <c r="I184" s="296" t="s">
        <v>1992</v>
      </c>
      <c r="J184" s="297" t="s">
        <v>875</v>
      </c>
      <c r="K184" s="8" t="s">
        <v>876</v>
      </c>
    </row>
    <row r="185" spans="1:15" ht="29.1">
      <c r="A185" s="211">
        <v>184</v>
      </c>
      <c r="B185" s="343" t="s">
        <v>46</v>
      </c>
      <c r="D185" s="1" t="s">
        <v>2104</v>
      </c>
      <c r="F185" s="245" t="s">
        <v>2105</v>
      </c>
      <c r="G185" s="211" t="s">
        <v>1703</v>
      </c>
      <c r="H185" s="295"/>
      <c r="I185" s="296" t="s">
        <v>2106</v>
      </c>
      <c r="J185" s="297" t="s">
        <v>1164</v>
      </c>
      <c r="K185" s="8" t="s">
        <v>1165</v>
      </c>
    </row>
    <row r="186" spans="1:15" ht="43.5">
      <c r="A186" s="211">
        <v>185</v>
      </c>
      <c r="B186" s="343" t="s">
        <v>46</v>
      </c>
      <c r="D186" s="245" t="s">
        <v>61</v>
      </c>
      <c r="F186" s="245" t="s">
        <v>2107</v>
      </c>
      <c r="G186" s="211" t="s">
        <v>1703</v>
      </c>
      <c r="H186" s="295"/>
      <c r="I186" s="296"/>
      <c r="J186" s="297" t="s">
        <v>409</v>
      </c>
      <c r="K186" s="8" t="s">
        <v>410</v>
      </c>
      <c r="O186" s="377" t="s">
        <v>2108</v>
      </c>
    </row>
    <row r="187" spans="1:15" ht="43.5">
      <c r="A187" s="211">
        <v>186</v>
      </c>
      <c r="B187" s="343" t="s">
        <v>46</v>
      </c>
      <c r="D187" s="245" t="s">
        <v>61</v>
      </c>
      <c r="F187" s="245" t="s">
        <v>2109</v>
      </c>
      <c r="G187" s="211" t="s">
        <v>1775</v>
      </c>
      <c r="H187" s="295"/>
      <c r="I187" s="296" t="s">
        <v>2110</v>
      </c>
      <c r="J187" s="297"/>
      <c r="K187" s="74" t="s">
        <v>1777</v>
      </c>
      <c r="M187" s="87" t="s">
        <v>918</v>
      </c>
      <c r="N187" s="8" t="s">
        <v>1838</v>
      </c>
      <c r="O187" s="377" t="s">
        <v>2111</v>
      </c>
    </row>
    <row r="188" spans="1:15" ht="57.95">
      <c r="A188" s="211">
        <v>187</v>
      </c>
      <c r="B188" s="343" t="s">
        <v>46</v>
      </c>
      <c r="D188" s="321" t="s">
        <v>2112</v>
      </c>
      <c r="F188" s="245" t="s">
        <v>2113</v>
      </c>
      <c r="G188" s="211"/>
      <c r="H188" s="296" t="s">
        <v>1715</v>
      </c>
      <c r="I188" s="296" t="s">
        <v>2114</v>
      </c>
      <c r="J188" s="297" t="s">
        <v>572</v>
      </c>
      <c r="K188" s="8" t="s">
        <v>573</v>
      </c>
      <c r="O188" s="74"/>
    </row>
    <row r="189" spans="1:15" ht="29.1">
      <c r="A189" s="211">
        <v>188</v>
      </c>
      <c r="B189" s="343" t="s">
        <v>46</v>
      </c>
      <c r="D189" s="322" t="s">
        <v>1580</v>
      </c>
      <c r="F189" s="245" t="s">
        <v>2115</v>
      </c>
      <c r="G189" s="211" t="s">
        <v>1775</v>
      </c>
      <c r="H189" s="295"/>
      <c r="I189" s="296" t="s">
        <v>2116</v>
      </c>
      <c r="J189" s="297" t="s">
        <v>374</v>
      </c>
      <c r="K189" s="8" t="s">
        <v>375</v>
      </c>
    </row>
    <row r="190" spans="1:15" ht="14.45">
      <c r="A190" s="211">
        <v>189</v>
      </c>
      <c r="B190" s="343" t="s">
        <v>46</v>
      </c>
      <c r="D190" s="322" t="s">
        <v>1580</v>
      </c>
      <c r="F190" s="245" t="s">
        <v>2117</v>
      </c>
      <c r="G190" s="211" t="s">
        <v>1775</v>
      </c>
      <c r="H190" s="295"/>
      <c r="I190" s="296"/>
      <c r="J190" s="297"/>
      <c r="K190" s="74" t="s">
        <v>1777</v>
      </c>
      <c r="M190" s="87" t="s">
        <v>1778</v>
      </c>
      <c r="N190" s="8" t="s">
        <v>1779</v>
      </c>
    </row>
    <row r="191" spans="1:15" ht="29.1">
      <c r="A191" s="211">
        <v>190</v>
      </c>
      <c r="B191" s="343" t="s">
        <v>46</v>
      </c>
      <c r="D191" s="322" t="s">
        <v>1580</v>
      </c>
      <c r="F191" s="245" t="s">
        <v>2118</v>
      </c>
      <c r="G191" s="211" t="s">
        <v>1775</v>
      </c>
      <c r="H191" s="295"/>
      <c r="I191" s="296" t="s">
        <v>2119</v>
      </c>
      <c r="J191" s="297" t="s">
        <v>400</v>
      </c>
      <c r="K191" s="8" t="s">
        <v>401</v>
      </c>
      <c r="L191" s="8" t="s">
        <v>402</v>
      </c>
      <c r="O191" s="335"/>
    </row>
    <row r="192" spans="1:15" ht="43.5">
      <c r="A192" s="211">
        <v>191</v>
      </c>
      <c r="B192" s="343" t="s">
        <v>46</v>
      </c>
      <c r="D192" s="322" t="s">
        <v>1580</v>
      </c>
      <c r="F192" s="245" t="s">
        <v>2120</v>
      </c>
      <c r="G192" s="211" t="s">
        <v>1775</v>
      </c>
      <c r="H192" s="295"/>
      <c r="I192" s="296" t="s">
        <v>2119</v>
      </c>
      <c r="J192" s="297" t="s">
        <v>382</v>
      </c>
      <c r="K192" s="8" t="s">
        <v>383</v>
      </c>
      <c r="O192" s="377" t="s">
        <v>2121</v>
      </c>
    </row>
    <row r="193" spans="1:15" ht="43.5">
      <c r="A193" s="211">
        <v>192</v>
      </c>
      <c r="B193" s="343" t="s">
        <v>46</v>
      </c>
      <c r="D193" s="322" t="s">
        <v>1580</v>
      </c>
      <c r="F193" s="245" t="s">
        <v>2122</v>
      </c>
      <c r="G193" s="211" t="s">
        <v>1775</v>
      </c>
      <c r="H193" s="295"/>
      <c r="I193" s="296" t="s">
        <v>2123</v>
      </c>
      <c r="J193" s="297" t="s">
        <v>470</v>
      </c>
      <c r="K193" s="8" t="s">
        <v>471</v>
      </c>
      <c r="L193" s="8" t="s">
        <v>473</v>
      </c>
    </row>
    <row r="194" spans="1:15" ht="43.5">
      <c r="A194" s="211">
        <v>193</v>
      </c>
      <c r="B194" s="343" t="s">
        <v>46</v>
      </c>
      <c r="D194" s="322" t="s">
        <v>1580</v>
      </c>
      <c r="F194" s="245" t="s">
        <v>2124</v>
      </c>
      <c r="G194" s="211" t="s">
        <v>1775</v>
      </c>
      <c r="H194" s="295"/>
      <c r="I194" s="296" t="s">
        <v>2123</v>
      </c>
      <c r="J194" s="297" t="s">
        <v>391</v>
      </c>
      <c r="K194" s="8" t="s">
        <v>392</v>
      </c>
    </row>
    <row r="195" spans="1:15" ht="57.95">
      <c r="A195" s="211">
        <v>194</v>
      </c>
      <c r="B195" s="343" t="s">
        <v>46</v>
      </c>
      <c r="D195" s="344" t="s">
        <v>2125</v>
      </c>
      <c r="E195" s="74" t="s">
        <v>2126</v>
      </c>
      <c r="F195" s="271" t="s">
        <v>2127</v>
      </c>
      <c r="G195" s="211" t="s">
        <v>1918</v>
      </c>
      <c r="H195" s="345"/>
      <c r="I195" s="296" t="s">
        <v>2128</v>
      </c>
      <c r="J195" s="297" t="s">
        <v>352</v>
      </c>
      <c r="K195" s="8" t="s">
        <v>353</v>
      </c>
    </row>
    <row r="196" spans="1:15" ht="116.1">
      <c r="A196" s="211">
        <v>195</v>
      </c>
      <c r="B196" s="343" t="s">
        <v>46</v>
      </c>
      <c r="D196" s="344" t="s">
        <v>2125</v>
      </c>
      <c r="E196" s="74" t="s">
        <v>2129</v>
      </c>
      <c r="F196" s="272" t="s">
        <v>2130</v>
      </c>
      <c r="G196" s="211" t="s">
        <v>1918</v>
      </c>
      <c r="H196" s="345"/>
      <c r="I196" s="296" t="s">
        <v>2131</v>
      </c>
      <c r="J196" s="346" t="s">
        <v>533</v>
      </c>
      <c r="K196" s="8" t="s">
        <v>534</v>
      </c>
      <c r="L196" s="8" t="s">
        <v>2132</v>
      </c>
    </row>
    <row r="197" spans="1:15" ht="87">
      <c r="A197" s="211">
        <v>196</v>
      </c>
      <c r="B197" s="343" t="s">
        <v>46</v>
      </c>
      <c r="D197" s="344" t="s">
        <v>2125</v>
      </c>
      <c r="E197" s="74" t="s">
        <v>2133</v>
      </c>
      <c r="F197" s="272" t="s">
        <v>2134</v>
      </c>
      <c r="G197" s="211" t="s">
        <v>2135</v>
      </c>
      <c r="H197" s="345"/>
      <c r="I197" s="296" t="s">
        <v>2136</v>
      </c>
      <c r="J197" s="346" t="s">
        <v>783</v>
      </c>
      <c r="K197" s="8" t="s">
        <v>784</v>
      </c>
    </row>
    <row r="198" spans="1:15" ht="43.5">
      <c r="A198" s="211">
        <v>197</v>
      </c>
      <c r="B198" s="343" t="s">
        <v>46</v>
      </c>
      <c r="D198" s="344" t="s">
        <v>2125</v>
      </c>
      <c r="E198" s="74" t="s">
        <v>2137</v>
      </c>
      <c r="F198" s="272" t="s">
        <v>2138</v>
      </c>
      <c r="G198" s="211" t="s">
        <v>1701</v>
      </c>
      <c r="H198" s="345"/>
      <c r="I198" s="296"/>
      <c r="J198" s="346" t="s">
        <v>1038</v>
      </c>
      <c r="K198" s="8" t="s">
        <v>1039</v>
      </c>
    </row>
    <row r="199" spans="1:15" ht="57.95">
      <c r="A199" s="211">
        <v>198</v>
      </c>
      <c r="B199" s="343" t="s">
        <v>46</v>
      </c>
      <c r="D199" s="344" t="s">
        <v>2125</v>
      </c>
      <c r="E199" s="74" t="s">
        <v>2139</v>
      </c>
      <c r="F199" s="273" t="s">
        <v>2140</v>
      </c>
      <c r="G199" s="211" t="s">
        <v>1918</v>
      </c>
      <c r="H199" s="345"/>
      <c r="I199" s="296" t="s">
        <v>2141</v>
      </c>
      <c r="J199" s="346" t="s">
        <v>974</v>
      </c>
      <c r="K199" s="8" t="s">
        <v>975</v>
      </c>
      <c r="O199" s="377" t="s">
        <v>2142</v>
      </c>
    </row>
    <row r="200" spans="1:15" ht="43.5">
      <c r="A200" s="211">
        <v>199</v>
      </c>
      <c r="B200" s="343" t="s">
        <v>46</v>
      </c>
      <c r="D200" s="344" t="s">
        <v>2125</v>
      </c>
      <c r="E200" s="74" t="s">
        <v>2143</v>
      </c>
      <c r="F200" s="272" t="s">
        <v>2144</v>
      </c>
      <c r="G200" s="211" t="s">
        <v>2135</v>
      </c>
      <c r="H200" s="345"/>
      <c r="I200" s="296" t="s">
        <v>2145</v>
      </c>
      <c r="J200" s="346" t="s">
        <v>732</v>
      </c>
      <c r="K200" s="8" t="s">
        <v>733</v>
      </c>
      <c r="L200" s="8" t="s">
        <v>734</v>
      </c>
    </row>
    <row r="201" spans="1:15" ht="57.95">
      <c r="A201" s="211">
        <v>200</v>
      </c>
      <c r="B201" s="343" t="s">
        <v>46</v>
      </c>
      <c r="D201" s="344" t="s">
        <v>2125</v>
      </c>
      <c r="E201" s="74" t="s">
        <v>2146</v>
      </c>
      <c r="F201" s="273" t="s">
        <v>2147</v>
      </c>
      <c r="G201" s="211" t="s">
        <v>1918</v>
      </c>
      <c r="H201" s="345"/>
      <c r="I201" s="296" t="s">
        <v>2148</v>
      </c>
      <c r="J201" s="346" t="s">
        <v>1038</v>
      </c>
      <c r="K201" s="8" t="s">
        <v>1039</v>
      </c>
      <c r="O201" s="377" t="s">
        <v>2149</v>
      </c>
    </row>
    <row r="202" spans="1:15" ht="86.65" customHeight="1">
      <c r="A202" s="211">
        <v>201</v>
      </c>
      <c r="B202" s="343" t="s">
        <v>46</v>
      </c>
      <c r="D202" s="344" t="s">
        <v>2125</v>
      </c>
      <c r="E202" s="74" t="s">
        <v>2150</v>
      </c>
      <c r="F202" s="273" t="s">
        <v>2151</v>
      </c>
      <c r="G202" s="211" t="s">
        <v>2135</v>
      </c>
      <c r="H202" s="345"/>
      <c r="I202" s="296" t="s">
        <v>2152</v>
      </c>
      <c r="J202" s="346" t="s">
        <v>533</v>
      </c>
      <c r="K202" s="8" t="s">
        <v>534</v>
      </c>
      <c r="L202" s="8" t="s">
        <v>2132</v>
      </c>
    </row>
    <row r="203" spans="1:15" ht="87">
      <c r="A203" s="211">
        <v>202</v>
      </c>
      <c r="B203" s="343" t="s">
        <v>46</v>
      </c>
      <c r="D203" s="344" t="s">
        <v>2125</v>
      </c>
      <c r="E203" s="74" t="s">
        <v>2153</v>
      </c>
      <c r="F203" s="272" t="s">
        <v>2154</v>
      </c>
      <c r="G203" s="211" t="s">
        <v>2135</v>
      </c>
      <c r="H203" s="345"/>
      <c r="I203" s="296" t="s">
        <v>2155</v>
      </c>
      <c r="J203" s="346" t="s">
        <v>974</v>
      </c>
      <c r="K203" s="8" t="s">
        <v>975</v>
      </c>
      <c r="O203" s="377" t="s">
        <v>2156</v>
      </c>
    </row>
    <row r="204" spans="1:15" ht="130.5">
      <c r="A204" s="211">
        <v>203</v>
      </c>
      <c r="B204" s="343" t="s">
        <v>46</v>
      </c>
      <c r="D204" s="344" t="s">
        <v>2125</v>
      </c>
      <c r="E204" t="s">
        <v>2157</v>
      </c>
      <c r="F204" s="272" t="s">
        <v>2158</v>
      </c>
      <c r="G204" s="211" t="s">
        <v>1701</v>
      </c>
      <c r="H204" s="345"/>
      <c r="I204" s="296" t="s">
        <v>2159</v>
      </c>
      <c r="J204" s="346" t="s">
        <v>561</v>
      </c>
      <c r="K204" s="8" t="s">
        <v>562</v>
      </c>
    </row>
    <row r="205" spans="1:15" ht="57.95">
      <c r="A205" s="211">
        <v>204</v>
      </c>
      <c r="B205" s="343" t="s">
        <v>46</v>
      </c>
      <c r="D205" s="344" t="s">
        <v>2125</v>
      </c>
      <c r="E205" s="74" t="s">
        <v>2160</v>
      </c>
      <c r="F205" s="272" t="s">
        <v>2161</v>
      </c>
      <c r="G205" s="211" t="s">
        <v>1701</v>
      </c>
      <c r="H205" s="345"/>
      <c r="I205" s="296" t="s">
        <v>2162</v>
      </c>
      <c r="J205" s="347" t="s">
        <v>342</v>
      </c>
      <c r="K205" s="8" t="s">
        <v>343</v>
      </c>
    </row>
    <row r="206" spans="1:15" ht="101.45">
      <c r="A206" s="211">
        <v>205</v>
      </c>
      <c r="B206" s="343" t="s">
        <v>46</v>
      </c>
      <c r="D206" s="344" t="s">
        <v>2125</v>
      </c>
      <c r="E206" s="74" t="s">
        <v>2163</v>
      </c>
      <c r="F206" s="272" t="s">
        <v>2164</v>
      </c>
      <c r="G206" s="211" t="s">
        <v>2135</v>
      </c>
      <c r="H206" s="345"/>
      <c r="I206" s="296" t="s">
        <v>2165</v>
      </c>
      <c r="J206" s="346" t="s">
        <v>549</v>
      </c>
      <c r="K206" s="8" t="s">
        <v>550</v>
      </c>
    </row>
    <row r="207" spans="1:15" ht="217.5">
      <c r="A207" s="211">
        <v>206</v>
      </c>
      <c r="B207" s="343" t="s">
        <v>46</v>
      </c>
      <c r="D207" s="344" t="s">
        <v>2125</v>
      </c>
      <c r="E207" s="74" t="s">
        <v>2166</v>
      </c>
      <c r="F207" s="272" t="s">
        <v>2167</v>
      </c>
      <c r="G207" s="211" t="s">
        <v>2135</v>
      </c>
      <c r="H207" s="345"/>
      <c r="I207" s="296" t="s">
        <v>2168</v>
      </c>
      <c r="J207" s="346" t="s">
        <v>561</v>
      </c>
      <c r="K207" s="8" t="s">
        <v>562</v>
      </c>
    </row>
    <row r="208" spans="1:15" ht="87">
      <c r="A208" s="211">
        <v>207</v>
      </c>
      <c r="B208" s="343" t="s">
        <v>46</v>
      </c>
      <c r="D208" s="344" t="s">
        <v>2125</v>
      </c>
      <c r="E208" s="74" t="s">
        <v>2169</v>
      </c>
      <c r="F208" s="273" t="s">
        <v>2170</v>
      </c>
      <c r="G208" s="211" t="s">
        <v>1701</v>
      </c>
      <c r="H208" s="345"/>
      <c r="I208" s="296" t="s">
        <v>2171</v>
      </c>
      <c r="J208" s="346" t="s">
        <v>783</v>
      </c>
      <c r="K208" s="8" t="s">
        <v>784</v>
      </c>
    </row>
    <row r="209" spans="1:15" ht="43.5">
      <c r="A209" s="211">
        <v>208</v>
      </c>
      <c r="B209" s="343" t="s">
        <v>46</v>
      </c>
      <c r="D209" s="344" t="s">
        <v>2125</v>
      </c>
      <c r="E209" s="74" t="s">
        <v>2172</v>
      </c>
      <c r="F209" s="273" t="s">
        <v>2173</v>
      </c>
      <c r="G209" s="211" t="s">
        <v>1701</v>
      </c>
      <c r="H209" s="345"/>
      <c r="I209" s="296" t="s">
        <v>2174</v>
      </c>
      <c r="J209" s="346" t="s">
        <v>1199</v>
      </c>
      <c r="K209" s="8" t="s">
        <v>1200</v>
      </c>
      <c r="O209" s="377" t="s">
        <v>2175</v>
      </c>
    </row>
    <row r="210" spans="1:15" ht="43.5">
      <c r="A210" s="211">
        <v>209</v>
      </c>
      <c r="B210" s="343" t="s">
        <v>46</v>
      </c>
      <c r="D210" s="344" t="s">
        <v>2125</v>
      </c>
      <c r="E210" s="74" t="s">
        <v>2176</v>
      </c>
      <c r="F210" s="273" t="s">
        <v>2177</v>
      </c>
      <c r="G210" s="211" t="s">
        <v>2135</v>
      </c>
      <c r="H210" s="345"/>
      <c r="I210" s="296"/>
      <c r="J210" s="346" t="s">
        <v>299</v>
      </c>
      <c r="K210" s="8" t="s">
        <v>300</v>
      </c>
      <c r="L210" s="8" t="s">
        <v>304</v>
      </c>
      <c r="O210" s="377" t="s">
        <v>2178</v>
      </c>
    </row>
    <row r="211" spans="1:15" ht="101.45">
      <c r="A211" s="211">
        <v>210</v>
      </c>
      <c r="B211" s="343" t="s">
        <v>46</v>
      </c>
      <c r="D211" s="344" t="s">
        <v>2125</v>
      </c>
      <c r="E211" s="74" t="s">
        <v>2179</v>
      </c>
      <c r="F211" s="273" t="s">
        <v>2180</v>
      </c>
      <c r="G211" s="211" t="s">
        <v>2181</v>
      </c>
      <c r="H211" s="345"/>
      <c r="I211" s="296" t="s">
        <v>2182</v>
      </c>
      <c r="J211" s="346" t="s">
        <v>352</v>
      </c>
      <c r="K211" s="8" t="s">
        <v>353</v>
      </c>
    </row>
    <row r="212" spans="1:15" ht="57.95">
      <c r="A212" s="211">
        <v>211</v>
      </c>
      <c r="B212" s="343" t="s">
        <v>46</v>
      </c>
      <c r="D212" s="344" t="s">
        <v>2125</v>
      </c>
      <c r="E212" s="74" t="s">
        <v>2183</v>
      </c>
      <c r="F212" s="273" t="s">
        <v>2184</v>
      </c>
      <c r="G212" s="211" t="s">
        <v>1701</v>
      </c>
      <c r="H212" s="345"/>
      <c r="I212" s="296" t="s">
        <v>2185</v>
      </c>
      <c r="J212" s="346" t="s">
        <v>561</v>
      </c>
      <c r="K212" s="8" t="s">
        <v>562</v>
      </c>
    </row>
    <row r="213" spans="1:15" ht="72.599999999999994">
      <c r="A213" s="211">
        <v>212</v>
      </c>
      <c r="B213" s="343" t="s">
        <v>46</v>
      </c>
      <c r="D213" s="344" t="s">
        <v>2125</v>
      </c>
      <c r="E213" s="74" t="s">
        <v>2186</v>
      </c>
      <c r="F213" s="272" t="s">
        <v>2187</v>
      </c>
      <c r="G213" s="211" t="s">
        <v>2135</v>
      </c>
      <c r="H213" s="345"/>
      <c r="I213" s="296" t="s">
        <v>2188</v>
      </c>
      <c r="J213" s="346" t="s">
        <v>564</v>
      </c>
      <c r="K213" s="8" t="s">
        <v>565</v>
      </c>
      <c r="L213" s="8" t="s">
        <v>2189</v>
      </c>
    </row>
    <row r="214" spans="1:15" ht="57.95">
      <c r="A214" s="211">
        <v>213</v>
      </c>
      <c r="B214" s="343" t="s">
        <v>46</v>
      </c>
      <c r="D214" s="344" t="s">
        <v>2125</v>
      </c>
      <c r="E214" s="74" t="s">
        <v>2190</v>
      </c>
      <c r="F214" s="272" t="s">
        <v>2191</v>
      </c>
      <c r="G214" s="211" t="s">
        <v>1701</v>
      </c>
      <c r="H214" s="345"/>
      <c r="I214" s="296" t="s">
        <v>2192</v>
      </c>
      <c r="J214" s="346" t="s">
        <v>299</v>
      </c>
      <c r="K214" s="8" t="s">
        <v>300</v>
      </c>
      <c r="L214" s="8" t="s">
        <v>304</v>
      </c>
      <c r="O214" s="377" t="s">
        <v>2193</v>
      </c>
    </row>
    <row r="215" spans="1:15" ht="159.6">
      <c r="A215" s="211">
        <v>214</v>
      </c>
      <c r="B215" s="343" t="s">
        <v>46</v>
      </c>
      <c r="D215" s="344" t="s">
        <v>2125</v>
      </c>
      <c r="E215" s="74" t="s">
        <v>2194</v>
      </c>
      <c r="F215" s="272" t="s">
        <v>2195</v>
      </c>
      <c r="G215" s="211" t="s">
        <v>1701</v>
      </c>
      <c r="H215" s="345"/>
      <c r="I215" s="296" t="s">
        <v>2196</v>
      </c>
      <c r="J215" s="346" t="s">
        <v>342</v>
      </c>
      <c r="K215" s="8" t="s">
        <v>343</v>
      </c>
    </row>
    <row r="216" spans="1:15" ht="57.95">
      <c r="A216" s="211">
        <v>215</v>
      </c>
      <c r="B216" s="343" t="s">
        <v>46</v>
      </c>
      <c r="D216" s="344" t="s">
        <v>2125</v>
      </c>
      <c r="E216" s="74" t="s">
        <v>2197</v>
      </c>
      <c r="F216" s="272" t="s">
        <v>2198</v>
      </c>
      <c r="G216" s="211" t="s">
        <v>1701</v>
      </c>
      <c r="H216" s="345"/>
      <c r="I216" s="296" t="s">
        <v>2199</v>
      </c>
      <c r="J216" s="346" t="s">
        <v>352</v>
      </c>
      <c r="K216" s="8" t="s">
        <v>353</v>
      </c>
    </row>
    <row r="217" spans="1:15" ht="116.1">
      <c r="A217" s="211">
        <v>216</v>
      </c>
      <c r="B217" s="343" t="s">
        <v>46</v>
      </c>
      <c r="D217" s="344" t="s">
        <v>2125</v>
      </c>
      <c r="E217" s="74" t="s">
        <v>2200</v>
      </c>
      <c r="F217" s="272" t="s">
        <v>2201</v>
      </c>
      <c r="G217" s="211" t="s">
        <v>1918</v>
      </c>
      <c r="H217" s="345"/>
      <c r="I217" s="296" t="s">
        <v>2202</v>
      </c>
      <c r="J217" s="346" t="s">
        <v>438</v>
      </c>
      <c r="K217" s="8" t="s">
        <v>439</v>
      </c>
    </row>
    <row r="218" spans="1:15" ht="43.5">
      <c r="A218" s="211">
        <v>217</v>
      </c>
      <c r="B218" s="343" t="s">
        <v>46</v>
      </c>
      <c r="D218" s="344" t="s">
        <v>2125</v>
      </c>
      <c r="E218" s="74" t="s">
        <v>2203</v>
      </c>
      <c r="F218" s="272" t="s">
        <v>2204</v>
      </c>
      <c r="G218" s="211" t="s">
        <v>2135</v>
      </c>
      <c r="H218" s="345"/>
      <c r="I218" s="296" t="s">
        <v>2205</v>
      </c>
      <c r="J218" s="346" t="s">
        <v>549</v>
      </c>
      <c r="K218" s="8" t="s">
        <v>550</v>
      </c>
    </row>
    <row r="219" spans="1:15" ht="57.95">
      <c r="A219" s="211">
        <v>218</v>
      </c>
      <c r="B219" s="343" t="s">
        <v>46</v>
      </c>
      <c r="D219" s="344" t="s">
        <v>2125</v>
      </c>
      <c r="E219" s="74" t="s">
        <v>2206</v>
      </c>
      <c r="F219" s="272" t="s">
        <v>2207</v>
      </c>
      <c r="G219" s="211" t="s">
        <v>2135</v>
      </c>
      <c r="H219" s="345"/>
      <c r="I219" s="296" t="s">
        <v>2208</v>
      </c>
      <c r="J219" s="346" t="s">
        <v>572</v>
      </c>
      <c r="K219" s="8" t="s">
        <v>573</v>
      </c>
    </row>
    <row r="220" spans="1:15" ht="43.5">
      <c r="A220" s="211">
        <v>219</v>
      </c>
      <c r="B220" s="343" t="s">
        <v>46</v>
      </c>
      <c r="D220" s="344" t="s">
        <v>2125</v>
      </c>
      <c r="E220" s="74" t="s">
        <v>2209</v>
      </c>
      <c r="F220" s="273" t="s">
        <v>2210</v>
      </c>
      <c r="G220" s="211" t="s">
        <v>2135</v>
      </c>
      <c r="H220" s="345"/>
      <c r="I220" s="296" t="s">
        <v>2211</v>
      </c>
      <c r="J220" s="346" t="s">
        <v>783</v>
      </c>
      <c r="K220" s="8" t="s">
        <v>784</v>
      </c>
    </row>
    <row r="221" spans="1:15" ht="43.5">
      <c r="A221" s="211">
        <v>220</v>
      </c>
      <c r="B221" s="343" t="s">
        <v>46</v>
      </c>
      <c r="D221" s="344" t="s">
        <v>2125</v>
      </c>
      <c r="E221" s="74" t="s">
        <v>2212</v>
      </c>
      <c r="F221" s="272" t="s">
        <v>2213</v>
      </c>
      <c r="G221" s="211" t="s">
        <v>2135</v>
      </c>
      <c r="H221" s="345"/>
      <c r="I221" s="296" t="s">
        <v>2214</v>
      </c>
      <c r="J221" s="346" t="s">
        <v>732</v>
      </c>
      <c r="K221" s="8" t="s">
        <v>733</v>
      </c>
      <c r="L221" s="8" t="s">
        <v>734</v>
      </c>
    </row>
    <row r="222" spans="1:15" ht="57.95">
      <c r="A222" s="211">
        <v>221</v>
      </c>
      <c r="B222" s="343" t="s">
        <v>46</v>
      </c>
      <c r="D222" s="344" t="s">
        <v>2125</v>
      </c>
      <c r="E222" s="74" t="s">
        <v>2215</v>
      </c>
      <c r="F222" s="273" t="s">
        <v>2216</v>
      </c>
      <c r="G222" s="211" t="s">
        <v>1701</v>
      </c>
      <c r="H222" s="345"/>
      <c r="I222" s="296"/>
      <c r="J222" s="346" t="s">
        <v>974</v>
      </c>
      <c r="K222" s="8" t="s">
        <v>975</v>
      </c>
    </row>
    <row r="223" spans="1:15" ht="57.95">
      <c r="A223" s="211">
        <v>222</v>
      </c>
      <c r="B223" s="343" t="s">
        <v>46</v>
      </c>
      <c r="D223" s="344" t="s">
        <v>2125</v>
      </c>
      <c r="E223" s="74" t="s">
        <v>2217</v>
      </c>
      <c r="F223" s="272" t="s">
        <v>2218</v>
      </c>
      <c r="G223" s="211" t="s">
        <v>1701</v>
      </c>
      <c r="H223" s="345"/>
      <c r="I223" s="296"/>
      <c r="J223" s="346" t="s">
        <v>521</v>
      </c>
      <c r="K223" s="8" t="s">
        <v>522</v>
      </c>
    </row>
    <row r="224" spans="1:15" ht="57.95">
      <c r="A224" s="211">
        <v>223</v>
      </c>
      <c r="B224" s="343" t="s">
        <v>46</v>
      </c>
      <c r="D224" s="344" t="s">
        <v>2125</v>
      </c>
      <c r="E224" s="74" t="s">
        <v>2219</v>
      </c>
      <c r="F224" s="273" t="s">
        <v>2220</v>
      </c>
      <c r="G224" s="211" t="s">
        <v>1701</v>
      </c>
      <c r="H224" s="345"/>
      <c r="I224" s="296"/>
      <c r="J224" s="346" t="s">
        <v>974</v>
      </c>
      <c r="K224" s="8" t="s">
        <v>975</v>
      </c>
      <c r="O224" s="377" t="s">
        <v>2221</v>
      </c>
    </row>
    <row r="225" spans="1:15" ht="43.5">
      <c r="A225" s="211">
        <v>224</v>
      </c>
      <c r="B225" s="343" t="s">
        <v>46</v>
      </c>
      <c r="D225" s="344" t="s">
        <v>2125</v>
      </c>
      <c r="E225" s="74" t="s">
        <v>2222</v>
      </c>
      <c r="F225" s="272" t="s">
        <v>2223</v>
      </c>
      <c r="G225" s="211" t="s">
        <v>2135</v>
      </c>
      <c r="H225" s="345"/>
      <c r="I225" s="296" t="s">
        <v>2224</v>
      </c>
      <c r="J225" s="346" t="s">
        <v>732</v>
      </c>
      <c r="K225" s="8" t="s">
        <v>733</v>
      </c>
      <c r="L225" s="8" t="s">
        <v>734</v>
      </c>
    </row>
    <row r="226" spans="1:15" ht="43.5">
      <c r="A226" s="211">
        <v>225</v>
      </c>
      <c r="B226" s="343" t="s">
        <v>46</v>
      </c>
      <c r="D226" s="344" t="s">
        <v>2125</v>
      </c>
      <c r="E226" s="74" t="s">
        <v>2225</v>
      </c>
      <c r="F226" s="272" t="s">
        <v>2226</v>
      </c>
      <c r="G226" s="211" t="s">
        <v>2135</v>
      </c>
      <c r="H226" s="345"/>
      <c r="I226" s="296" t="s">
        <v>2227</v>
      </c>
      <c r="J226" s="346" t="s">
        <v>299</v>
      </c>
      <c r="K226" s="8" t="s">
        <v>300</v>
      </c>
      <c r="L226" s="8" t="s">
        <v>304</v>
      </c>
    </row>
    <row r="227" spans="1:15" ht="57.95">
      <c r="A227" s="211">
        <v>226</v>
      </c>
      <c r="B227" s="343" t="s">
        <v>46</v>
      </c>
      <c r="D227" s="344" t="s">
        <v>2125</v>
      </c>
      <c r="E227" s="74" t="s">
        <v>2228</v>
      </c>
      <c r="F227" s="272" t="s">
        <v>2229</v>
      </c>
      <c r="G227" s="211" t="s">
        <v>1703</v>
      </c>
      <c r="H227" s="345"/>
      <c r="I227" s="296" t="s">
        <v>2230</v>
      </c>
      <c r="J227" s="346" t="s">
        <v>400</v>
      </c>
      <c r="K227" s="8" t="s">
        <v>401</v>
      </c>
      <c r="L227" s="8" t="s">
        <v>402</v>
      </c>
    </row>
    <row r="228" spans="1:15" ht="57.95">
      <c r="A228" s="211">
        <v>227</v>
      </c>
      <c r="B228" s="343" t="s">
        <v>46</v>
      </c>
      <c r="D228" s="344" t="s">
        <v>2125</v>
      </c>
      <c r="E228" s="74" t="s">
        <v>2231</v>
      </c>
      <c r="F228" s="272" t="s">
        <v>2232</v>
      </c>
      <c r="G228" s="211" t="s">
        <v>1703</v>
      </c>
      <c r="H228" s="211"/>
      <c r="I228" s="296" t="s">
        <v>2230</v>
      </c>
      <c r="J228" s="297"/>
      <c r="K228" s="74" t="s">
        <v>1777</v>
      </c>
      <c r="M228" s="210" t="s">
        <v>1778</v>
      </c>
      <c r="N228" s="348" t="s">
        <v>1779</v>
      </c>
    </row>
    <row r="229" spans="1:15" ht="43.5">
      <c r="A229" s="211">
        <v>228</v>
      </c>
      <c r="B229" s="343" t="s">
        <v>46</v>
      </c>
      <c r="D229" s="344" t="s">
        <v>2125</v>
      </c>
      <c r="E229" s="74" t="s">
        <v>2233</v>
      </c>
      <c r="F229" s="272" t="s">
        <v>2234</v>
      </c>
      <c r="G229" s="211" t="s">
        <v>1703</v>
      </c>
      <c r="H229" s="211"/>
      <c r="I229" s="296" t="s">
        <v>2235</v>
      </c>
      <c r="J229" s="297"/>
      <c r="K229" s="74" t="s">
        <v>1777</v>
      </c>
      <c r="M229" s="210" t="s">
        <v>918</v>
      </c>
      <c r="N229" s="348" t="s">
        <v>1838</v>
      </c>
      <c r="O229" s="377" t="s">
        <v>2236</v>
      </c>
    </row>
    <row r="230" spans="1:15" ht="87">
      <c r="A230" s="211">
        <v>229</v>
      </c>
      <c r="B230" s="343" t="s">
        <v>46</v>
      </c>
      <c r="D230" s="344" t="s">
        <v>2125</v>
      </c>
      <c r="E230" s="74" t="s">
        <v>2237</v>
      </c>
      <c r="F230" s="272" t="s">
        <v>2238</v>
      </c>
      <c r="G230" s="211" t="s">
        <v>2135</v>
      </c>
      <c r="H230" s="211"/>
      <c r="I230" s="296" t="s">
        <v>2239</v>
      </c>
      <c r="J230" s="297"/>
      <c r="K230" s="74" t="s">
        <v>1777</v>
      </c>
      <c r="M230" s="210" t="s">
        <v>918</v>
      </c>
      <c r="N230" s="348" t="s">
        <v>1838</v>
      </c>
    </row>
    <row r="231" spans="1:15" ht="43.5">
      <c r="A231" s="211">
        <v>230</v>
      </c>
      <c r="B231" s="343" t="s">
        <v>46</v>
      </c>
      <c r="D231" s="344" t="s">
        <v>2125</v>
      </c>
      <c r="E231" s="74" t="s">
        <v>2240</v>
      </c>
      <c r="F231" s="272" t="s">
        <v>2241</v>
      </c>
      <c r="G231" s="211"/>
      <c r="H231" s="345"/>
      <c r="I231" s="296"/>
      <c r="J231" s="346" t="s">
        <v>783</v>
      </c>
      <c r="K231" s="8" t="s">
        <v>784</v>
      </c>
      <c r="M231" s="210"/>
      <c r="N231" s="348"/>
    </row>
    <row r="232" spans="1:15" ht="43.5">
      <c r="A232" s="211">
        <v>231</v>
      </c>
      <c r="B232" s="343" t="s">
        <v>46</v>
      </c>
      <c r="D232" s="344" t="s">
        <v>2125</v>
      </c>
      <c r="E232" s="74" t="s">
        <v>2242</v>
      </c>
      <c r="F232" s="272" t="s">
        <v>2243</v>
      </c>
      <c r="G232" s="211"/>
      <c r="H232" s="345"/>
      <c r="I232" s="296"/>
      <c r="J232" s="346" t="s">
        <v>732</v>
      </c>
      <c r="K232" s="8" t="s">
        <v>733</v>
      </c>
      <c r="L232" s="8" t="s">
        <v>734</v>
      </c>
      <c r="M232" s="210"/>
      <c r="N232" s="348"/>
    </row>
    <row r="233" spans="1:15" ht="43.5">
      <c r="A233" s="211">
        <v>232</v>
      </c>
      <c r="B233" s="343" t="s">
        <v>46</v>
      </c>
      <c r="D233" s="344" t="s">
        <v>2125</v>
      </c>
      <c r="E233" s="74" t="s">
        <v>2244</v>
      </c>
      <c r="F233" s="272" t="s">
        <v>2245</v>
      </c>
      <c r="G233" s="211" t="s">
        <v>1701</v>
      </c>
      <c r="H233" s="345"/>
      <c r="I233" s="296" t="s">
        <v>2246</v>
      </c>
      <c r="J233" s="346" t="s">
        <v>382</v>
      </c>
      <c r="K233" s="8" t="s">
        <v>383</v>
      </c>
      <c r="L233" s="8"/>
      <c r="M233" s="210"/>
      <c r="N233" s="348"/>
      <c r="O233" s="377" t="s">
        <v>2247</v>
      </c>
    </row>
    <row r="234" spans="1:15" ht="72.599999999999994">
      <c r="A234" s="211">
        <v>233</v>
      </c>
      <c r="B234" s="343" t="s">
        <v>46</v>
      </c>
      <c r="D234" s="344" t="s">
        <v>2125</v>
      </c>
      <c r="E234" s="74" t="s">
        <v>2248</v>
      </c>
      <c r="F234" s="273" t="s">
        <v>2249</v>
      </c>
      <c r="G234" s="211" t="s">
        <v>1775</v>
      </c>
      <c r="H234" s="285"/>
      <c r="I234" s="296" t="s">
        <v>2250</v>
      </c>
      <c r="J234" s="347"/>
      <c r="K234" s="74" t="s">
        <v>1777</v>
      </c>
      <c r="M234" s="210" t="s">
        <v>1019</v>
      </c>
      <c r="N234" s="348" t="s">
        <v>1021</v>
      </c>
    </row>
    <row r="235" spans="1:15" ht="43.5">
      <c r="A235" s="211">
        <v>234</v>
      </c>
      <c r="B235" s="343" t="s">
        <v>46</v>
      </c>
      <c r="D235" s="344" t="s">
        <v>2125</v>
      </c>
      <c r="E235" s="74" t="s">
        <v>2251</v>
      </c>
      <c r="F235" s="273" t="s">
        <v>2252</v>
      </c>
      <c r="G235" s="211" t="s">
        <v>2135</v>
      </c>
      <c r="H235" s="345"/>
      <c r="I235" s="296" t="s">
        <v>2253</v>
      </c>
      <c r="J235" s="346" t="s">
        <v>409</v>
      </c>
      <c r="K235" s="8" t="s">
        <v>410</v>
      </c>
      <c r="O235" s="377" t="s">
        <v>2254</v>
      </c>
    </row>
    <row r="236" spans="1:15" ht="29.1">
      <c r="A236" s="211">
        <v>235</v>
      </c>
      <c r="B236" s="343" t="s">
        <v>46</v>
      </c>
      <c r="D236" s="344" t="s">
        <v>2125</v>
      </c>
      <c r="E236" s="74" t="s">
        <v>2255</v>
      </c>
      <c r="F236" s="273" t="s">
        <v>2256</v>
      </c>
      <c r="G236" s="211" t="s">
        <v>2135</v>
      </c>
      <c r="H236" s="345"/>
      <c r="I236" s="296" t="s">
        <v>2257</v>
      </c>
      <c r="J236" s="346" t="s">
        <v>947</v>
      </c>
      <c r="K236" s="8" t="s">
        <v>948</v>
      </c>
      <c r="L236" s="8" t="s">
        <v>1878</v>
      </c>
    </row>
    <row r="237" spans="1:15" ht="57.95">
      <c r="A237" s="211">
        <v>236</v>
      </c>
      <c r="B237" s="343" t="s">
        <v>46</v>
      </c>
      <c r="D237" s="344" t="s">
        <v>2125</v>
      </c>
      <c r="E237" s="74" t="s">
        <v>2258</v>
      </c>
      <c r="F237" s="273" t="s">
        <v>2259</v>
      </c>
      <c r="G237" s="211" t="s">
        <v>2135</v>
      </c>
      <c r="H237" s="345"/>
      <c r="I237" s="296" t="s">
        <v>2260</v>
      </c>
      <c r="J237" s="346" t="s">
        <v>894</v>
      </c>
      <c r="K237" s="8" t="s">
        <v>895</v>
      </c>
      <c r="L237" s="8" t="s">
        <v>1863</v>
      </c>
    </row>
    <row r="238" spans="1:15" ht="43.5">
      <c r="A238" s="211">
        <v>237</v>
      </c>
      <c r="B238" s="343" t="s">
        <v>46</v>
      </c>
      <c r="D238" s="344" t="s">
        <v>2125</v>
      </c>
      <c r="E238" s="74" t="s">
        <v>2261</v>
      </c>
      <c r="F238" s="273" t="s">
        <v>2262</v>
      </c>
      <c r="G238" s="211" t="s">
        <v>1730</v>
      </c>
      <c r="H238" s="345"/>
      <c r="I238" s="296"/>
      <c r="J238" s="346" t="s">
        <v>1104</v>
      </c>
      <c r="K238" s="8" t="s">
        <v>1105</v>
      </c>
    </row>
    <row r="239" spans="1:15" ht="43.5">
      <c r="A239" s="211">
        <v>238</v>
      </c>
      <c r="B239" s="343" t="s">
        <v>46</v>
      </c>
      <c r="D239" s="344" t="s">
        <v>2125</v>
      </c>
      <c r="E239" s="74" t="s">
        <v>2263</v>
      </c>
      <c r="F239" s="272" t="s">
        <v>2264</v>
      </c>
      <c r="G239" s="211"/>
      <c r="H239" s="345"/>
      <c r="I239" s="296" t="s">
        <v>2265</v>
      </c>
      <c r="J239" s="346" t="s">
        <v>783</v>
      </c>
      <c r="K239" s="8" t="s">
        <v>784</v>
      </c>
    </row>
    <row r="240" spans="1:15" ht="57.95">
      <c r="A240" s="211">
        <v>239</v>
      </c>
      <c r="B240" s="343" t="s">
        <v>46</v>
      </c>
      <c r="D240" s="344" t="s">
        <v>2125</v>
      </c>
      <c r="E240" s="74" t="s">
        <v>2266</v>
      </c>
      <c r="F240" s="273" t="s">
        <v>2267</v>
      </c>
      <c r="G240" s="211" t="s">
        <v>2135</v>
      </c>
      <c r="H240" s="345"/>
      <c r="I240" s="296" t="s">
        <v>2268</v>
      </c>
      <c r="J240" s="346" t="s">
        <v>400</v>
      </c>
      <c r="K240" s="8" t="s">
        <v>401</v>
      </c>
      <c r="L240" s="8" t="s">
        <v>402</v>
      </c>
    </row>
    <row r="241" spans="1:15" ht="43.5">
      <c r="A241" s="211">
        <v>240</v>
      </c>
      <c r="B241" s="343" t="s">
        <v>46</v>
      </c>
      <c r="D241" s="344" t="s">
        <v>2125</v>
      </c>
      <c r="E241" s="74" t="s">
        <v>2269</v>
      </c>
      <c r="F241" s="272" t="s">
        <v>2270</v>
      </c>
      <c r="G241" s="211" t="s">
        <v>2135</v>
      </c>
      <c r="H241" s="345"/>
      <c r="I241" s="296" t="s">
        <v>2271</v>
      </c>
      <c r="J241" s="346" t="s">
        <v>299</v>
      </c>
      <c r="K241" s="8" t="s">
        <v>300</v>
      </c>
      <c r="L241" s="8" t="s">
        <v>304</v>
      </c>
    </row>
    <row r="242" spans="1:15" ht="43.5">
      <c r="A242" s="211">
        <v>241</v>
      </c>
      <c r="B242" s="343" t="s">
        <v>46</v>
      </c>
      <c r="D242" s="344" t="s">
        <v>2125</v>
      </c>
      <c r="E242" s="74" t="s">
        <v>2272</v>
      </c>
      <c r="F242" s="273" t="s">
        <v>2273</v>
      </c>
      <c r="G242" s="211" t="s">
        <v>2135</v>
      </c>
      <c r="H242" s="345"/>
      <c r="I242" s="296" t="s">
        <v>2274</v>
      </c>
      <c r="J242" s="346" t="s">
        <v>299</v>
      </c>
      <c r="K242" s="8" t="s">
        <v>300</v>
      </c>
      <c r="L242" s="8" t="s">
        <v>304</v>
      </c>
    </row>
    <row r="243" spans="1:15" ht="43.5">
      <c r="A243" s="211">
        <v>242</v>
      </c>
      <c r="B243" s="343" t="s">
        <v>46</v>
      </c>
      <c r="D243" s="344" t="s">
        <v>2125</v>
      </c>
      <c r="E243" s="74" t="s">
        <v>2275</v>
      </c>
      <c r="F243" s="272" t="s">
        <v>2276</v>
      </c>
      <c r="G243" s="211" t="s">
        <v>1730</v>
      </c>
      <c r="H243" s="345"/>
      <c r="I243" s="296"/>
      <c r="J243" s="346" t="s">
        <v>409</v>
      </c>
      <c r="K243" s="8" t="s">
        <v>410</v>
      </c>
      <c r="O243" s="377" t="s">
        <v>2277</v>
      </c>
    </row>
    <row r="244" spans="1:15" ht="72.599999999999994">
      <c r="A244" s="211">
        <v>243</v>
      </c>
      <c r="B244" s="343" t="s">
        <v>46</v>
      </c>
      <c r="D244" s="344" t="s">
        <v>2125</v>
      </c>
      <c r="E244" s="74" t="s">
        <v>2278</v>
      </c>
      <c r="F244" s="272" t="s">
        <v>2279</v>
      </c>
      <c r="G244" s="211" t="s">
        <v>2135</v>
      </c>
      <c r="H244" s="74"/>
      <c r="I244" s="296" t="s">
        <v>2280</v>
      </c>
      <c r="J244" s="347"/>
      <c r="K244" s="74" t="s">
        <v>1777</v>
      </c>
      <c r="M244" s="87" t="s">
        <v>1019</v>
      </c>
      <c r="N244" s="8" t="s">
        <v>1021</v>
      </c>
    </row>
    <row r="245" spans="1:15" ht="43.5">
      <c r="A245" s="211">
        <v>244</v>
      </c>
      <c r="B245" s="343" t="s">
        <v>46</v>
      </c>
      <c r="D245" s="344" t="s">
        <v>2125</v>
      </c>
      <c r="E245" s="74" t="s">
        <v>2281</v>
      </c>
      <c r="F245" s="272" t="s">
        <v>2282</v>
      </c>
      <c r="G245" s="211" t="s">
        <v>2135</v>
      </c>
      <c r="H245" s="345"/>
      <c r="I245" s="296" t="s">
        <v>2283</v>
      </c>
      <c r="J245" s="346" t="s">
        <v>732</v>
      </c>
      <c r="K245" s="8" t="s">
        <v>733</v>
      </c>
      <c r="L245" s="8" t="s">
        <v>734</v>
      </c>
    </row>
    <row r="246" spans="1:15" ht="57.95">
      <c r="A246" s="211">
        <v>245</v>
      </c>
      <c r="B246" s="343" t="s">
        <v>46</v>
      </c>
      <c r="D246" s="344" t="s">
        <v>2125</v>
      </c>
      <c r="E246" s="74" t="s">
        <v>2284</v>
      </c>
      <c r="F246" s="272" t="s">
        <v>2285</v>
      </c>
      <c r="G246" s="211"/>
      <c r="H246" s="345"/>
      <c r="I246" s="296"/>
      <c r="J246" s="346" t="s">
        <v>342</v>
      </c>
      <c r="K246" s="8" t="s">
        <v>343</v>
      </c>
    </row>
    <row r="247" spans="1:15" ht="29.1">
      <c r="A247" s="211">
        <v>246</v>
      </c>
      <c r="B247" s="343" t="s">
        <v>46</v>
      </c>
      <c r="D247" s="344" t="s">
        <v>2125</v>
      </c>
      <c r="E247" s="74" t="s">
        <v>2286</v>
      </c>
      <c r="F247" s="272" t="s">
        <v>2287</v>
      </c>
      <c r="G247" s="211" t="s">
        <v>2135</v>
      </c>
      <c r="H247" s="345"/>
      <c r="I247" s="296" t="s">
        <v>2288</v>
      </c>
      <c r="J247" s="346" t="s">
        <v>409</v>
      </c>
      <c r="K247" s="8" t="s">
        <v>410</v>
      </c>
    </row>
    <row r="248" spans="1:15" ht="43.5">
      <c r="A248" s="211">
        <v>247</v>
      </c>
      <c r="B248" s="343" t="s">
        <v>46</v>
      </c>
      <c r="D248" s="344" t="s">
        <v>2125</v>
      </c>
      <c r="E248" s="74" t="s">
        <v>2289</v>
      </c>
      <c r="F248" s="272" t="s">
        <v>2290</v>
      </c>
      <c r="G248" s="211"/>
      <c r="H248" s="345"/>
      <c r="I248" s="296"/>
      <c r="J248" s="346" t="s">
        <v>299</v>
      </c>
      <c r="K248" s="8" t="s">
        <v>300</v>
      </c>
      <c r="L248" s="8" t="s">
        <v>304</v>
      </c>
    </row>
    <row r="249" spans="1:15" ht="43.5">
      <c r="A249" s="211">
        <v>248</v>
      </c>
      <c r="B249" s="343" t="s">
        <v>46</v>
      </c>
      <c r="D249" s="344" t="s">
        <v>2125</v>
      </c>
      <c r="E249" s="74" t="s">
        <v>2291</v>
      </c>
      <c r="F249" s="273" t="s">
        <v>2292</v>
      </c>
      <c r="G249" s="211" t="s">
        <v>2135</v>
      </c>
      <c r="H249" s="345"/>
      <c r="I249" s="296"/>
      <c r="J249" s="346" t="s">
        <v>715</v>
      </c>
      <c r="K249" s="8" t="s">
        <v>716</v>
      </c>
    </row>
    <row r="250" spans="1:15" ht="43.5">
      <c r="A250" s="211">
        <v>249</v>
      </c>
      <c r="B250" s="343" t="s">
        <v>46</v>
      </c>
      <c r="D250" s="344" t="s">
        <v>2125</v>
      </c>
      <c r="E250" s="74" t="s">
        <v>2293</v>
      </c>
      <c r="F250" s="272" t="s">
        <v>2294</v>
      </c>
      <c r="G250" s="211"/>
      <c r="H250" s="345"/>
      <c r="I250" s="296"/>
      <c r="J250" s="346" t="s">
        <v>894</v>
      </c>
      <c r="K250" s="8" t="s">
        <v>895</v>
      </c>
      <c r="L250" s="8" t="s">
        <v>1863</v>
      </c>
    </row>
    <row r="251" spans="1:15" ht="57.95">
      <c r="A251" s="211">
        <v>250</v>
      </c>
      <c r="B251" s="343" t="s">
        <v>46</v>
      </c>
      <c r="D251" s="344" t="s">
        <v>2125</v>
      </c>
      <c r="E251" s="74" t="s">
        <v>2295</v>
      </c>
      <c r="F251" s="274" t="s">
        <v>2296</v>
      </c>
      <c r="G251" s="211"/>
      <c r="H251" s="345"/>
      <c r="I251" s="296"/>
      <c r="J251" s="346" t="s">
        <v>759</v>
      </c>
      <c r="K251" s="8" t="s">
        <v>760</v>
      </c>
    </row>
    <row r="252" spans="1:15" ht="57.95">
      <c r="A252" s="211">
        <v>251</v>
      </c>
      <c r="B252" s="343" t="s">
        <v>46</v>
      </c>
      <c r="D252" s="344" t="s">
        <v>2125</v>
      </c>
      <c r="E252" s="74" t="s">
        <v>2297</v>
      </c>
      <c r="F252" s="273" t="s">
        <v>2298</v>
      </c>
      <c r="G252" s="211"/>
      <c r="H252" s="345"/>
      <c r="I252" s="296"/>
      <c r="J252" s="346" t="s">
        <v>299</v>
      </c>
      <c r="K252" s="8" t="s">
        <v>300</v>
      </c>
      <c r="L252" s="8" t="s">
        <v>304</v>
      </c>
    </row>
    <row r="253" spans="1:15" ht="57.95">
      <c r="A253" s="211">
        <v>252</v>
      </c>
      <c r="B253" s="343" t="s">
        <v>46</v>
      </c>
      <c r="D253" s="344" t="s">
        <v>2125</v>
      </c>
      <c r="E253" s="74" t="s">
        <v>2299</v>
      </c>
      <c r="F253" s="272" t="s">
        <v>2300</v>
      </c>
      <c r="G253" s="211"/>
      <c r="H253" s="296" t="s">
        <v>1715</v>
      </c>
      <c r="I253" s="296" t="s">
        <v>2301</v>
      </c>
      <c r="J253" s="346" t="s">
        <v>342</v>
      </c>
      <c r="K253" s="8" t="s">
        <v>343</v>
      </c>
      <c r="O253" s="74"/>
    </row>
    <row r="254" spans="1:15" ht="57.95">
      <c r="A254" s="211">
        <v>253</v>
      </c>
      <c r="B254" s="343" t="s">
        <v>46</v>
      </c>
      <c r="D254" s="344" t="s">
        <v>2125</v>
      </c>
      <c r="E254" s="74" t="s">
        <v>2302</v>
      </c>
      <c r="F254" s="272" t="s">
        <v>2303</v>
      </c>
      <c r="G254" s="211" t="s">
        <v>1701</v>
      </c>
      <c r="H254" s="345"/>
      <c r="I254" s="296"/>
      <c r="J254" s="346" t="s">
        <v>342</v>
      </c>
      <c r="K254" s="8" t="s">
        <v>343</v>
      </c>
    </row>
    <row r="255" spans="1:15" ht="57.95">
      <c r="A255" s="211">
        <v>254</v>
      </c>
      <c r="B255" s="343" t="s">
        <v>46</v>
      </c>
      <c r="D255" s="344" t="s">
        <v>2125</v>
      </c>
      <c r="E255" s="74" t="s">
        <v>2304</v>
      </c>
      <c r="F255" s="272" t="s">
        <v>2305</v>
      </c>
      <c r="G255" s="211" t="s">
        <v>2135</v>
      </c>
      <c r="H255" s="345"/>
      <c r="I255" s="296"/>
      <c r="J255" s="346" t="s">
        <v>382</v>
      </c>
      <c r="K255" s="8" t="s">
        <v>383</v>
      </c>
      <c r="L255" s="8"/>
      <c r="O255" s="377" t="s">
        <v>2306</v>
      </c>
    </row>
    <row r="256" spans="1:15" ht="43.5">
      <c r="A256" s="211">
        <v>255</v>
      </c>
      <c r="B256" s="343" t="s">
        <v>46</v>
      </c>
      <c r="D256" s="344" t="s">
        <v>2125</v>
      </c>
      <c r="E256" s="74" t="s">
        <v>2307</v>
      </c>
      <c r="F256" s="272" t="s">
        <v>2308</v>
      </c>
      <c r="G256" s="211" t="s">
        <v>2135</v>
      </c>
      <c r="H256" s="345"/>
      <c r="I256" s="296" t="s">
        <v>2309</v>
      </c>
      <c r="J256" s="346" t="s">
        <v>382</v>
      </c>
      <c r="K256" s="8" t="s">
        <v>383</v>
      </c>
      <c r="O256" s="377" t="s">
        <v>2310</v>
      </c>
    </row>
    <row r="257" spans="1:15" ht="43.5">
      <c r="A257" s="211">
        <v>256</v>
      </c>
      <c r="B257" s="343" t="s">
        <v>46</v>
      </c>
      <c r="D257" s="344" t="s">
        <v>2125</v>
      </c>
      <c r="E257" s="74" t="s">
        <v>2311</v>
      </c>
      <c r="F257" s="272" t="s">
        <v>2312</v>
      </c>
      <c r="G257" s="211" t="s">
        <v>2135</v>
      </c>
      <c r="H257" s="345"/>
      <c r="I257" s="296" t="s">
        <v>2313</v>
      </c>
      <c r="J257" s="346" t="s">
        <v>382</v>
      </c>
      <c r="K257" s="8" t="s">
        <v>383</v>
      </c>
      <c r="O257" s="377" t="s">
        <v>2314</v>
      </c>
    </row>
    <row r="258" spans="1:15" ht="43.5">
      <c r="A258" s="211">
        <v>257</v>
      </c>
      <c r="B258" s="343" t="s">
        <v>46</v>
      </c>
      <c r="D258" s="344" t="s">
        <v>2125</v>
      </c>
      <c r="E258" s="74" t="s">
        <v>2315</v>
      </c>
      <c r="F258" s="272" t="s">
        <v>2316</v>
      </c>
      <c r="G258" s="211" t="s">
        <v>2135</v>
      </c>
      <c r="H258" s="345"/>
      <c r="I258" s="296" t="s">
        <v>2317</v>
      </c>
      <c r="J258" s="346" t="s">
        <v>909</v>
      </c>
      <c r="K258" s="8" t="s">
        <v>910</v>
      </c>
      <c r="L258" s="8" t="s">
        <v>911</v>
      </c>
    </row>
    <row r="259" spans="1:15" ht="57.95">
      <c r="A259" s="211">
        <v>258</v>
      </c>
      <c r="B259" s="343" t="s">
        <v>46</v>
      </c>
      <c r="D259" s="344" t="s">
        <v>2125</v>
      </c>
      <c r="E259" s="74" t="s">
        <v>2318</v>
      </c>
      <c r="F259" s="272" t="s">
        <v>2319</v>
      </c>
      <c r="G259" s="211" t="s">
        <v>1701</v>
      </c>
      <c r="H259" s="345"/>
      <c r="I259" s="296"/>
      <c r="J259" s="346" t="s">
        <v>974</v>
      </c>
      <c r="K259" s="8" t="s">
        <v>975</v>
      </c>
      <c r="O259" s="377" t="s">
        <v>2320</v>
      </c>
    </row>
    <row r="260" spans="1:15" ht="43.5">
      <c r="A260" s="211">
        <v>259</v>
      </c>
      <c r="B260" s="343" t="s">
        <v>46</v>
      </c>
      <c r="D260" s="344" t="s">
        <v>2125</v>
      </c>
      <c r="E260" s="74" t="s">
        <v>2321</v>
      </c>
      <c r="F260" s="272" t="s">
        <v>2322</v>
      </c>
      <c r="G260" s="211" t="s">
        <v>2135</v>
      </c>
      <c r="H260" s="345"/>
      <c r="I260" s="296"/>
      <c r="J260" s="346" t="s">
        <v>299</v>
      </c>
      <c r="K260" s="8" t="s">
        <v>300</v>
      </c>
      <c r="L260" s="8" t="s">
        <v>304</v>
      </c>
    </row>
    <row r="261" spans="1:15" ht="43.5">
      <c r="A261" s="211">
        <v>260</v>
      </c>
      <c r="B261" s="343" t="s">
        <v>46</v>
      </c>
      <c r="D261" s="344" t="s">
        <v>2125</v>
      </c>
      <c r="E261" s="74" t="s">
        <v>2323</v>
      </c>
      <c r="F261" s="273" t="s">
        <v>2324</v>
      </c>
      <c r="G261" s="211" t="s">
        <v>2135</v>
      </c>
      <c r="H261" s="345"/>
      <c r="I261" s="296"/>
      <c r="J261" s="346" t="s">
        <v>909</v>
      </c>
      <c r="K261" s="8" t="s">
        <v>910</v>
      </c>
      <c r="L261" s="8" t="s">
        <v>911</v>
      </c>
    </row>
    <row r="262" spans="1:15" ht="72.599999999999994">
      <c r="A262" s="211">
        <v>261</v>
      </c>
      <c r="B262" s="343" t="s">
        <v>46</v>
      </c>
      <c r="D262" s="344" t="s">
        <v>2125</v>
      </c>
      <c r="E262" s="74" t="s">
        <v>2325</v>
      </c>
      <c r="F262" s="273" t="s">
        <v>2326</v>
      </c>
      <c r="G262" s="211"/>
      <c r="H262" s="345"/>
      <c r="I262" s="296" t="s">
        <v>2327</v>
      </c>
      <c r="J262" s="346" t="s">
        <v>533</v>
      </c>
      <c r="K262" s="8" t="s">
        <v>534</v>
      </c>
      <c r="L262" s="8" t="s">
        <v>2132</v>
      </c>
    </row>
    <row r="263" spans="1:15" ht="43.5">
      <c r="A263" s="211">
        <v>262</v>
      </c>
      <c r="B263" s="343" t="s">
        <v>46</v>
      </c>
      <c r="D263" s="344" t="s">
        <v>2125</v>
      </c>
      <c r="E263" s="74" t="s">
        <v>2328</v>
      </c>
      <c r="F263" s="272" t="s">
        <v>2329</v>
      </c>
      <c r="G263" s="211" t="s">
        <v>2135</v>
      </c>
      <c r="H263" s="345"/>
      <c r="I263" s="296"/>
      <c r="J263" s="346" t="s">
        <v>299</v>
      </c>
      <c r="K263" s="8" t="s">
        <v>300</v>
      </c>
      <c r="L263" s="8" t="s">
        <v>304</v>
      </c>
    </row>
    <row r="264" spans="1:15" ht="29.1">
      <c r="A264" s="211">
        <v>263</v>
      </c>
      <c r="B264" s="343" t="s">
        <v>46</v>
      </c>
      <c r="D264" s="344" t="s">
        <v>2125</v>
      </c>
      <c r="E264" s="74" t="s">
        <v>2330</v>
      </c>
      <c r="F264" s="272" t="s">
        <v>2331</v>
      </c>
      <c r="G264" s="211"/>
      <c r="H264" s="211"/>
      <c r="I264" s="296"/>
      <c r="J264" s="346"/>
      <c r="K264" s="74" t="s">
        <v>1777</v>
      </c>
      <c r="M264" s="210" t="s">
        <v>1778</v>
      </c>
      <c r="N264" s="348" t="s">
        <v>1779</v>
      </c>
    </row>
    <row r="265" spans="1:15" ht="43.5">
      <c r="A265" s="211">
        <v>264</v>
      </c>
      <c r="B265" s="343" t="s">
        <v>46</v>
      </c>
      <c r="D265" s="344" t="s">
        <v>2125</v>
      </c>
      <c r="E265" s="74" t="s">
        <v>2332</v>
      </c>
      <c r="F265" s="273" t="s">
        <v>2333</v>
      </c>
      <c r="G265" s="211"/>
      <c r="H265" s="345" t="s">
        <v>2334</v>
      </c>
      <c r="I265" s="296" t="s">
        <v>2335</v>
      </c>
      <c r="J265" s="346" t="s">
        <v>318</v>
      </c>
      <c r="K265" s="8" t="s">
        <v>319</v>
      </c>
      <c r="O265" s="74"/>
    </row>
    <row r="266" spans="1:15" ht="43.5">
      <c r="A266" s="211">
        <v>265</v>
      </c>
      <c r="B266" s="343" t="s">
        <v>46</v>
      </c>
      <c r="D266" s="344" t="s">
        <v>2125</v>
      </c>
      <c r="E266" s="74" t="s">
        <v>2336</v>
      </c>
      <c r="F266" s="273" t="s">
        <v>2337</v>
      </c>
      <c r="H266" s="345"/>
      <c r="I266" s="296" t="s">
        <v>2338</v>
      </c>
      <c r="J266" s="346" t="s">
        <v>299</v>
      </c>
      <c r="K266" s="8" t="s">
        <v>300</v>
      </c>
      <c r="L266" s="8" t="s">
        <v>304</v>
      </c>
      <c r="O266" s="377" t="s">
        <v>2339</v>
      </c>
    </row>
    <row r="267" spans="1:15" ht="43.5">
      <c r="A267" s="211">
        <v>266</v>
      </c>
      <c r="B267" s="343" t="s">
        <v>46</v>
      </c>
      <c r="D267" s="344" t="s">
        <v>2125</v>
      </c>
      <c r="E267" s="74" t="s">
        <v>2340</v>
      </c>
      <c r="F267" s="272" t="s">
        <v>2341</v>
      </c>
      <c r="G267" s="211" t="s">
        <v>2135</v>
      </c>
      <c r="H267" s="345"/>
      <c r="I267" s="296" t="s">
        <v>2342</v>
      </c>
      <c r="J267" s="346" t="s">
        <v>1038</v>
      </c>
      <c r="K267" s="8" t="s">
        <v>1039</v>
      </c>
    </row>
    <row r="268" spans="1:15" ht="43.5">
      <c r="A268" s="211">
        <v>267</v>
      </c>
      <c r="B268" s="343" t="s">
        <v>46</v>
      </c>
      <c r="D268" s="344" t="s">
        <v>2125</v>
      </c>
      <c r="E268" s="74" t="s">
        <v>2343</v>
      </c>
      <c r="F268" s="273" t="s">
        <v>2344</v>
      </c>
      <c r="G268" s="211" t="s">
        <v>2135</v>
      </c>
      <c r="H268" s="345"/>
      <c r="I268" s="296" t="s">
        <v>2345</v>
      </c>
      <c r="J268" s="346" t="s">
        <v>299</v>
      </c>
      <c r="K268" s="8" t="s">
        <v>300</v>
      </c>
      <c r="L268" s="8" t="s">
        <v>304</v>
      </c>
    </row>
    <row r="269" spans="1:15" ht="43.5">
      <c r="A269" s="211">
        <v>268</v>
      </c>
      <c r="B269" s="343" t="s">
        <v>46</v>
      </c>
      <c r="D269" s="344" t="s">
        <v>2125</v>
      </c>
      <c r="E269" s="74" t="s">
        <v>2346</v>
      </c>
      <c r="F269" s="273" t="s">
        <v>2347</v>
      </c>
      <c r="G269" s="211" t="s">
        <v>2135</v>
      </c>
      <c r="H269" s="345"/>
      <c r="I269" s="296"/>
      <c r="J269" s="346" t="s">
        <v>909</v>
      </c>
      <c r="K269" s="8" t="s">
        <v>910</v>
      </c>
      <c r="L269" s="8" t="s">
        <v>911</v>
      </c>
    </row>
    <row r="270" spans="1:15" ht="43.5">
      <c r="A270" s="211">
        <v>269</v>
      </c>
      <c r="B270" s="343" t="s">
        <v>46</v>
      </c>
      <c r="D270" s="344" t="s">
        <v>2125</v>
      </c>
      <c r="E270" s="74" t="s">
        <v>2348</v>
      </c>
      <c r="F270" s="273" t="s">
        <v>2349</v>
      </c>
      <c r="G270" s="211"/>
      <c r="H270" s="296" t="s">
        <v>1715</v>
      </c>
      <c r="I270" s="296" t="s">
        <v>2350</v>
      </c>
      <c r="J270" s="346" t="s">
        <v>438</v>
      </c>
      <c r="K270" s="8" t="s">
        <v>439</v>
      </c>
      <c r="O270" s="74"/>
    </row>
    <row r="271" spans="1:15" ht="43.5">
      <c r="A271" s="211">
        <v>270</v>
      </c>
      <c r="B271" s="343" t="s">
        <v>46</v>
      </c>
      <c r="D271" s="344" t="s">
        <v>2125</v>
      </c>
      <c r="E271" s="74" t="s">
        <v>2351</v>
      </c>
      <c r="F271" s="272" t="s">
        <v>2352</v>
      </c>
      <c r="G271" s="211" t="s">
        <v>2135</v>
      </c>
      <c r="H271" s="345"/>
      <c r="I271" s="296" t="s">
        <v>2353</v>
      </c>
      <c r="J271" s="346" t="s">
        <v>299</v>
      </c>
      <c r="K271" s="8" t="s">
        <v>300</v>
      </c>
      <c r="L271" s="8" t="s">
        <v>304</v>
      </c>
      <c r="O271" s="377" t="s">
        <v>2354</v>
      </c>
    </row>
    <row r="272" spans="1:15" ht="43.5">
      <c r="A272" s="211">
        <v>271</v>
      </c>
      <c r="B272" s="343" t="s">
        <v>46</v>
      </c>
      <c r="D272" s="344" t="s">
        <v>2125</v>
      </c>
      <c r="E272" s="74" t="s">
        <v>2355</v>
      </c>
      <c r="F272" s="273" t="s">
        <v>2356</v>
      </c>
      <c r="G272" s="211" t="s">
        <v>2135</v>
      </c>
      <c r="H272" s="345"/>
      <c r="I272" s="296" t="s">
        <v>2357</v>
      </c>
      <c r="J272" s="346" t="s">
        <v>438</v>
      </c>
      <c r="K272" s="8" t="s">
        <v>439</v>
      </c>
    </row>
    <row r="273" spans="1:15" ht="43.5">
      <c r="A273" s="211">
        <v>272</v>
      </c>
      <c r="B273" s="343" t="s">
        <v>46</v>
      </c>
      <c r="D273" s="344" t="s">
        <v>2125</v>
      </c>
      <c r="E273" s="74" t="s">
        <v>2358</v>
      </c>
      <c r="F273" s="273" t="s">
        <v>2359</v>
      </c>
      <c r="G273" s="211" t="s">
        <v>2135</v>
      </c>
      <c r="H273" s="296" t="s">
        <v>1715</v>
      </c>
      <c r="I273" s="296" t="s">
        <v>2360</v>
      </c>
      <c r="J273" s="346" t="s">
        <v>894</v>
      </c>
      <c r="K273" s="8" t="s">
        <v>895</v>
      </c>
      <c r="L273" s="8" t="s">
        <v>1863</v>
      </c>
      <c r="O273" s="74"/>
    </row>
    <row r="274" spans="1:15" ht="29.1">
      <c r="A274" s="211">
        <v>273</v>
      </c>
      <c r="B274" s="343" t="s">
        <v>46</v>
      </c>
      <c r="D274" s="344" t="s">
        <v>2125</v>
      </c>
      <c r="E274" s="74" t="s">
        <v>2361</v>
      </c>
      <c r="F274" s="272" t="s">
        <v>2362</v>
      </c>
      <c r="G274" s="211" t="s">
        <v>2135</v>
      </c>
      <c r="H274" s="345"/>
      <c r="I274" s="296" t="s">
        <v>2363</v>
      </c>
      <c r="J274" s="346" t="s">
        <v>577</v>
      </c>
      <c r="K274" s="8" t="s">
        <v>578</v>
      </c>
    </row>
    <row r="275" spans="1:15" ht="43.5">
      <c r="A275" s="211">
        <v>274</v>
      </c>
      <c r="B275" s="343" t="s">
        <v>46</v>
      </c>
      <c r="D275" s="344" t="s">
        <v>2125</v>
      </c>
      <c r="E275" s="74" t="s">
        <v>2364</v>
      </c>
      <c r="F275" s="272" t="s">
        <v>2365</v>
      </c>
      <c r="G275" s="211" t="s">
        <v>1730</v>
      </c>
      <c r="H275" s="345"/>
      <c r="I275" s="296" t="s">
        <v>2366</v>
      </c>
      <c r="J275" s="346" t="s">
        <v>1199</v>
      </c>
      <c r="K275" s="8" t="s">
        <v>1200</v>
      </c>
      <c r="O275" s="377" t="s">
        <v>2367</v>
      </c>
    </row>
    <row r="276" spans="1:15" ht="43.5">
      <c r="A276" s="211">
        <v>275</v>
      </c>
      <c r="B276" s="343" t="s">
        <v>46</v>
      </c>
      <c r="D276" s="344" t="s">
        <v>2125</v>
      </c>
      <c r="E276" s="74" t="s">
        <v>2368</v>
      </c>
      <c r="F276" s="272" t="s">
        <v>2369</v>
      </c>
      <c r="G276" s="211" t="s">
        <v>2135</v>
      </c>
      <c r="H276" s="345"/>
      <c r="I276" s="296" t="s">
        <v>2370</v>
      </c>
      <c r="J276" s="346" t="s">
        <v>299</v>
      </c>
      <c r="K276" s="8" t="s">
        <v>300</v>
      </c>
      <c r="L276" s="8" t="s">
        <v>304</v>
      </c>
    </row>
    <row r="277" spans="1:15" ht="43.5">
      <c r="A277" s="211">
        <v>276</v>
      </c>
      <c r="B277" s="343" t="s">
        <v>46</v>
      </c>
      <c r="D277" s="344" t="s">
        <v>2125</v>
      </c>
      <c r="E277" s="74" t="s">
        <v>2371</v>
      </c>
      <c r="F277" s="272" t="s">
        <v>2372</v>
      </c>
      <c r="G277" s="211"/>
      <c r="H277" s="345"/>
      <c r="I277" s="296" t="s">
        <v>2373</v>
      </c>
      <c r="J277" s="346" t="s">
        <v>299</v>
      </c>
      <c r="K277" s="8" t="s">
        <v>300</v>
      </c>
      <c r="L277" s="8" t="s">
        <v>304</v>
      </c>
    </row>
    <row r="278" spans="1:15" ht="57.95">
      <c r="A278" s="211">
        <v>277</v>
      </c>
      <c r="B278" s="343" t="s">
        <v>46</v>
      </c>
      <c r="D278" s="344" t="s">
        <v>2125</v>
      </c>
      <c r="E278" s="74" t="s">
        <v>2374</v>
      </c>
      <c r="F278" s="272" t="s">
        <v>2375</v>
      </c>
      <c r="G278" s="211"/>
      <c r="H278" s="345"/>
      <c r="I278" s="296" t="s">
        <v>2376</v>
      </c>
      <c r="J278" s="346" t="s">
        <v>968</v>
      </c>
      <c r="K278" s="8" t="s">
        <v>969</v>
      </c>
    </row>
    <row r="279" spans="1:15" ht="72" customHeight="1">
      <c r="A279" s="211">
        <v>278</v>
      </c>
      <c r="B279" s="343" t="s">
        <v>46</v>
      </c>
      <c r="D279" s="344" t="s">
        <v>2125</v>
      </c>
      <c r="E279" s="74" t="s">
        <v>2377</v>
      </c>
      <c r="F279" s="272" t="s">
        <v>2378</v>
      </c>
      <c r="G279" s="211"/>
      <c r="H279" s="345"/>
      <c r="I279" s="296" t="s">
        <v>2379</v>
      </c>
      <c r="J279" s="346" t="s">
        <v>299</v>
      </c>
      <c r="K279" s="8" t="s">
        <v>300</v>
      </c>
      <c r="L279" s="8" t="s">
        <v>304</v>
      </c>
    </row>
    <row r="280" spans="1:15" ht="72.599999999999994">
      <c r="A280" s="211">
        <v>279</v>
      </c>
      <c r="B280" s="343" t="s">
        <v>46</v>
      </c>
      <c r="D280" s="344" t="s">
        <v>2125</v>
      </c>
      <c r="E280" s="74" t="s">
        <v>2380</v>
      </c>
      <c r="F280" s="272" t="s">
        <v>2381</v>
      </c>
      <c r="G280" s="211"/>
      <c r="H280" s="345"/>
      <c r="I280" s="296" t="s">
        <v>2379</v>
      </c>
      <c r="J280" s="346" t="s">
        <v>409</v>
      </c>
      <c r="K280" s="8" t="s">
        <v>410</v>
      </c>
    </row>
    <row r="281" spans="1:15" ht="43.5">
      <c r="A281" s="211">
        <v>280</v>
      </c>
      <c r="B281" s="343" t="s">
        <v>46</v>
      </c>
      <c r="D281" s="344" t="s">
        <v>2125</v>
      </c>
      <c r="E281" s="74" t="s">
        <v>2382</v>
      </c>
      <c r="F281" s="272" t="s">
        <v>2383</v>
      </c>
      <c r="H281" s="296" t="s">
        <v>1715</v>
      </c>
      <c r="I281" s="296" t="s">
        <v>2384</v>
      </c>
      <c r="J281" s="346" t="s">
        <v>299</v>
      </c>
      <c r="K281" s="8" t="s">
        <v>300</v>
      </c>
      <c r="L281" s="8" t="s">
        <v>304</v>
      </c>
      <c r="O281" s="74"/>
    </row>
    <row r="282" spans="1:15" ht="43.5">
      <c r="A282" s="211">
        <v>281</v>
      </c>
      <c r="B282" s="343" t="s">
        <v>46</v>
      </c>
      <c r="D282" s="344" t="s">
        <v>2125</v>
      </c>
      <c r="E282" s="74" t="s">
        <v>2385</v>
      </c>
      <c r="F282" s="273" t="s">
        <v>2386</v>
      </c>
      <c r="H282" s="296" t="s">
        <v>1715</v>
      </c>
      <c r="I282" s="296" t="s">
        <v>2384</v>
      </c>
      <c r="J282" s="346" t="s">
        <v>1199</v>
      </c>
      <c r="K282" s="8" t="s">
        <v>1200</v>
      </c>
      <c r="O282" s="74"/>
    </row>
    <row r="283" spans="1:15" ht="43.5">
      <c r="A283" s="211">
        <v>282</v>
      </c>
      <c r="B283" s="343" t="s">
        <v>46</v>
      </c>
      <c r="D283" s="344" t="s">
        <v>2125</v>
      </c>
      <c r="E283" s="74" t="s">
        <v>2387</v>
      </c>
      <c r="F283" s="272" t="s">
        <v>2388</v>
      </c>
      <c r="H283" s="296" t="s">
        <v>1715</v>
      </c>
      <c r="I283" s="296" t="s">
        <v>2384</v>
      </c>
      <c r="J283" s="346"/>
      <c r="K283" s="74" t="s">
        <v>1777</v>
      </c>
      <c r="M283" s="210" t="s">
        <v>1778</v>
      </c>
      <c r="N283" s="348" t="s">
        <v>1779</v>
      </c>
      <c r="O283" s="74"/>
    </row>
    <row r="284" spans="1:15" ht="29.1">
      <c r="A284" s="211">
        <v>283</v>
      </c>
      <c r="B284" s="343" t="s">
        <v>46</v>
      </c>
      <c r="D284" s="344" t="s">
        <v>2125</v>
      </c>
      <c r="E284" s="74" t="s">
        <v>2389</v>
      </c>
      <c r="F284" s="272" t="s">
        <v>2390</v>
      </c>
      <c r="H284" s="296" t="s">
        <v>1715</v>
      </c>
      <c r="I284" s="296" t="s">
        <v>2384</v>
      </c>
      <c r="J284" s="346" t="s">
        <v>438</v>
      </c>
      <c r="K284" s="8" t="s">
        <v>439</v>
      </c>
      <c r="O284" s="74"/>
    </row>
    <row r="285" spans="1:15" ht="57.95">
      <c r="A285" s="211">
        <v>284</v>
      </c>
      <c r="B285" s="343" t="s">
        <v>46</v>
      </c>
      <c r="D285" s="344" t="s">
        <v>2125</v>
      </c>
      <c r="E285" s="74" t="s">
        <v>2391</v>
      </c>
      <c r="F285" s="272" t="s">
        <v>2392</v>
      </c>
      <c r="H285" s="296" t="s">
        <v>1715</v>
      </c>
      <c r="I285" s="296" t="s">
        <v>2384</v>
      </c>
      <c r="J285" s="346" t="s">
        <v>342</v>
      </c>
      <c r="K285" s="8" t="s">
        <v>343</v>
      </c>
      <c r="O285" s="74"/>
    </row>
    <row r="286" spans="1:15" ht="29.1">
      <c r="A286" s="211">
        <v>285</v>
      </c>
      <c r="B286" s="343" t="s">
        <v>46</v>
      </c>
      <c r="D286" s="344" t="s">
        <v>2125</v>
      </c>
      <c r="E286" s="74" t="s">
        <v>2393</v>
      </c>
      <c r="F286" s="272" t="s">
        <v>2394</v>
      </c>
      <c r="G286" s="211" t="s">
        <v>1703</v>
      </c>
      <c r="H286" s="345"/>
      <c r="I286" s="296" t="s">
        <v>2395</v>
      </c>
      <c r="J286" s="346" t="s">
        <v>409</v>
      </c>
      <c r="K286" s="8" t="s">
        <v>410</v>
      </c>
    </row>
    <row r="287" spans="1:15" ht="43.5">
      <c r="A287" s="211">
        <v>286</v>
      </c>
      <c r="B287" s="343" t="s">
        <v>46</v>
      </c>
      <c r="D287" s="323" t="s">
        <v>2396</v>
      </c>
      <c r="E287" s="74" t="s">
        <v>2397</v>
      </c>
      <c r="F287" s="272" t="s">
        <v>2398</v>
      </c>
      <c r="G287" s="211" t="s">
        <v>2135</v>
      </c>
      <c r="H287" s="345"/>
      <c r="I287" s="296" t="s">
        <v>2399</v>
      </c>
      <c r="J287" s="346" t="s">
        <v>723</v>
      </c>
      <c r="K287" s="8" t="s">
        <v>724</v>
      </c>
    </row>
    <row r="288" spans="1:15" ht="43.5">
      <c r="A288" s="211">
        <v>287</v>
      </c>
      <c r="B288" s="343" t="s">
        <v>46</v>
      </c>
      <c r="D288" s="323" t="s">
        <v>2396</v>
      </c>
      <c r="E288" s="74" t="s">
        <v>2400</v>
      </c>
      <c r="F288" s="272" t="s">
        <v>2401</v>
      </c>
      <c r="G288" s="211" t="s">
        <v>2135</v>
      </c>
      <c r="H288" s="74"/>
      <c r="I288" s="296" t="s">
        <v>2402</v>
      </c>
      <c r="J288" s="347"/>
      <c r="K288" s="74" t="s">
        <v>1777</v>
      </c>
      <c r="M288" s="87" t="s">
        <v>1019</v>
      </c>
      <c r="N288" s="8" t="s">
        <v>1021</v>
      </c>
    </row>
    <row r="289" spans="1:15" ht="29.1">
      <c r="A289" s="211">
        <v>288</v>
      </c>
      <c r="B289" s="343" t="s">
        <v>46</v>
      </c>
      <c r="D289" s="323" t="s">
        <v>2396</v>
      </c>
      <c r="E289" s="74" t="s">
        <v>2403</v>
      </c>
      <c r="F289" s="272" t="s">
        <v>2404</v>
      </c>
      <c r="G289" s="211"/>
      <c r="H289" s="296" t="s">
        <v>1715</v>
      </c>
      <c r="I289" s="296" t="s">
        <v>2405</v>
      </c>
      <c r="J289" s="346" t="s">
        <v>577</v>
      </c>
      <c r="K289" s="8" t="s">
        <v>578</v>
      </c>
      <c r="O289" s="74"/>
    </row>
    <row r="290" spans="1:15" ht="57.95">
      <c r="A290" s="211">
        <v>289</v>
      </c>
      <c r="B290" s="343" t="s">
        <v>46</v>
      </c>
      <c r="D290" s="323" t="s">
        <v>2396</v>
      </c>
      <c r="E290" s="74" t="s">
        <v>2406</v>
      </c>
      <c r="F290" s="272" t="s">
        <v>2407</v>
      </c>
      <c r="G290" s="211" t="s">
        <v>2408</v>
      </c>
      <c r="H290" s="345"/>
      <c r="I290" s="296" t="s">
        <v>2409</v>
      </c>
      <c r="J290" s="346" t="s">
        <v>909</v>
      </c>
      <c r="K290" s="8" t="s">
        <v>910</v>
      </c>
      <c r="L290" s="8" t="s">
        <v>911</v>
      </c>
      <c r="O290" s="377" t="s">
        <v>2410</v>
      </c>
    </row>
    <row r="291" spans="1:15" ht="57.95">
      <c r="A291" s="211">
        <v>290</v>
      </c>
      <c r="B291" s="343" t="s">
        <v>46</v>
      </c>
      <c r="D291" s="323" t="s">
        <v>2396</v>
      </c>
      <c r="E291" s="74" t="s">
        <v>2411</v>
      </c>
      <c r="F291" s="272" t="s">
        <v>2412</v>
      </c>
      <c r="G291" s="211" t="s">
        <v>2408</v>
      </c>
      <c r="H291" s="74"/>
      <c r="I291" s="296" t="s">
        <v>2413</v>
      </c>
      <c r="J291" s="347"/>
      <c r="K291" s="74" t="s">
        <v>1777</v>
      </c>
      <c r="M291" s="87" t="s">
        <v>1778</v>
      </c>
      <c r="N291" s="8" t="s">
        <v>1779</v>
      </c>
    </row>
    <row r="292" spans="1:15" ht="43.5">
      <c r="A292" s="211">
        <v>291</v>
      </c>
      <c r="B292" s="343" t="s">
        <v>46</v>
      </c>
      <c r="D292" s="323" t="s">
        <v>2396</v>
      </c>
      <c r="E292" s="74" t="s">
        <v>2414</v>
      </c>
      <c r="F292" s="272" t="s">
        <v>2415</v>
      </c>
      <c r="G292" s="211" t="s">
        <v>2416</v>
      </c>
      <c r="H292" s="345"/>
      <c r="I292" s="296" t="s">
        <v>2417</v>
      </c>
      <c r="J292" s="346" t="s">
        <v>715</v>
      </c>
      <c r="K292" s="8" t="s">
        <v>716</v>
      </c>
    </row>
    <row r="293" spans="1:15" ht="43.5">
      <c r="A293" s="211">
        <v>292</v>
      </c>
      <c r="B293" s="343" t="s">
        <v>46</v>
      </c>
      <c r="D293" s="323" t="s">
        <v>2396</v>
      </c>
      <c r="E293" s="74" t="s">
        <v>2418</v>
      </c>
      <c r="F293" s="272" t="s">
        <v>2419</v>
      </c>
      <c r="G293" s="211" t="s">
        <v>1701</v>
      </c>
      <c r="H293" s="345"/>
      <c r="I293" s="296" t="s">
        <v>2420</v>
      </c>
      <c r="J293" s="346" t="s">
        <v>732</v>
      </c>
      <c r="K293" s="8" t="s">
        <v>733</v>
      </c>
      <c r="L293" s="8" t="s">
        <v>734</v>
      </c>
    </row>
    <row r="294" spans="1:15" ht="43.5">
      <c r="A294" s="211">
        <v>293</v>
      </c>
      <c r="B294" s="343" t="s">
        <v>46</v>
      </c>
      <c r="D294" s="323" t="s">
        <v>2396</v>
      </c>
      <c r="E294" s="74" t="s">
        <v>2421</v>
      </c>
      <c r="F294" s="272" t="s">
        <v>2422</v>
      </c>
      <c r="G294" s="211" t="s">
        <v>1701</v>
      </c>
      <c r="H294" s="345"/>
      <c r="I294" s="296" t="s">
        <v>2423</v>
      </c>
      <c r="J294" s="346" t="s">
        <v>409</v>
      </c>
      <c r="K294" s="8" t="s">
        <v>410</v>
      </c>
    </row>
    <row r="295" spans="1:15" ht="43.5">
      <c r="A295" s="211">
        <v>294</v>
      </c>
      <c r="B295" s="343" t="s">
        <v>46</v>
      </c>
      <c r="D295" s="323" t="s">
        <v>2396</v>
      </c>
      <c r="E295" s="74" t="s">
        <v>2424</v>
      </c>
      <c r="F295" s="272" t="s">
        <v>2425</v>
      </c>
      <c r="G295" s="211" t="s">
        <v>1701</v>
      </c>
      <c r="H295" s="74"/>
      <c r="I295" s="296" t="s">
        <v>2423</v>
      </c>
      <c r="J295" s="347"/>
      <c r="K295" s="74" t="s">
        <v>1777</v>
      </c>
      <c r="M295" s="87" t="s">
        <v>1019</v>
      </c>
      <c r="N295" s="8" t="s">
        <v>1021</v>
      </c>
    </row>
    <row r="296" spans="1:15" ht="57.95">
      <c r="A296" s="211">
        <v>295</v>
      </c>
      <c r="B296" s="343" t="s">
        <v>46</v>
      </c>
      <c r="D296" s="323" t="s">
        <v>2396</v>
      </c>
      <c r="E296" s="74" t="s">
        <v>2426</v>
      </c>
      <c r="F296" s="272" t="s">
        <v>2427</v>
      </c>
      <c r="G296" s="211" t="s">
        <v>2135</v>
      </c>
      <c r="H296" s="345"/>
      <c r="I296" s="296" t="s">
        <v>2428</v>
      </c>
      <c r="J296" s="346" t="s">
        <v>438</v>
      </c>
      <c r="K296" s="8" t="s">
        <v>439</v>
      </c>
    </row>
    <row r="297" spans="1:15" ht="130.5">
      <c r="A297" s="211">
        <v>296</v>
      </c>
      <c r="B297" s="343" t="s">
        <v>46</v>
      </c>
      <c r="D297" s="323" t="s">
        <v>2396</v>
      </c>
      <c r="E297" s="74" t="s">
        <v>2429</v>
      </c>
      <c r="F297" s="272" t="s">
        <v>2430</v>
      </c>
      <c r="G297" s="211"/>
      <c r="H297" s="345"/>
      <c r="I297" s="296" t="s">
        <v>2431</v>
      </c>
      <c r="J297" s="346" t="s">
        <v>783</v>
      </c>
      <c r="K297" s="8" t="s">
        <v>784</v>
      </c>
    </row>
    <row r="298" spans="1:15" ht="43.5">
      <c r="A298" s="211">
        <v>297</v>
      </c>
      <c r="B298" s="343" t="s">
        <v>46</v>
      </c>
      <c r="D298" s="323" t="s">
        <v>2396</v>
      </c>
      <c r="E298" s="74" t="s">
        <v>2432</v>
      </c>
      <c r="F298" s="272" t="s">
        <v>2433</v>
      </c>
      <c r="G298" s="211"/>
      <c r="H298" s="345"/>
      <c r="I298" s="296"/>
      <c r="J298" s="346" t="s">
        <v>732</v>
      </c>
      <c r="K298" s="8" t="s">
        <v>733</v>
      </c>
      <c r="L298" s="8" t="s">
        <v>734</v>
      </c>
    </row>
    <row r="299" spans="1:15" ht="72.599999999999994">
      <c r="A299" s="211">
        <v>298</v>
      </c>
      <c r="B299" s="343" t="s">
        <v>46</v>
      </c>
      <c r="D299" s="323" t="s">
        <v>2396</v>
      </c>
      <c r="E299" s="74" t="s">
        <v>2434</v>
      </c>
      <c r="F299" s="272" t="s">
        <v>2435</v>
      </c>
      <c r="G299" s="211"/>
      <c r="H299" s="345"/>
      <c r="I299" s="296" t="s">
        <v>2436</v>
      </c>
      <c r="J299" s="346" t="s">
        <v>741</v>
      </c>
      <c r="K299" s="8" t="s">
        <v>742</v>
      </c>
      <c r="N299" s="103"/>
    </row>
    <row r="300" spans="1:15" ht="43.5">
      <c r="A300" s="211">
        <v>299</v>
      </c>
      <c r="B300" s="343" t="s">
        <v>46</v>
      </c>
      <c r="D300" s="323" t="s">
        <v>2396</v>
      </c>
      <c r="E300" s="74" t="s">
        <v>2437</v>
      </c>
      <c r="F300" s="272" t="s">
        <v>2438</v>
      </c>
      <c r="G300" s="211" t="s">
        <v>2135</v>
      </c>
      <c r="H300" s="74"/>
      <c r="I300" s="296" t="s">
        <v>2439</v>
      </c>
      <c r="J300" s="347"/>
      <c r="K300" s="74" t="s">
        <v>1777</v>
      </c>
      <c r="M300" s="87" t="s">
        <v>1019</v>
      </c>
      <c r="N300" s="8" t="s">
        <v>1021</v>
      </c>
      <c r="O300" s="377" t="s">
        <v>2440</v>
      </c>
    </row>
    <row r="301" spans="1:15" ht="43.5">
      <c r="A301" s="211">
        <v>300</v>
      </c>
      <c r="B301" s="343" t="s">
        <v>46</v>
      </c>
      <c r="D301" s="323" t="s">
        <v>2396</v>
      </c>
      <c r="E301" s="74" t="s">
        <v>2441</v>
      </c>
      <c r="F301" s="272" t="s">
        <v>2442</v>
      </c>
      <c r="H301" s="74"/>
      <c r="I301" s="296" t="s">
        <v>2443</v>
      </c>
      <c r="J301" s="347"/>
      <c r="K301" s="74" t="s">
        <v>1777</v>
      </c>
      <c r="M301" s="87" t="s">
        <v>1019</v>
      </c>
      <c r="N301" s="8" t="s">
        <v>1021</v>
      </c>
    </row>
    <row r="302" spans="1:15" ht="43.5">
      <c r="A302" s="211">
        <v>301</v>
      </c>
      <c r="B302" s="343" t="s">
        <v>46</v>
      </c>
      <c r="D302" s="323" t="s">
        <v>2396</v>
      </c>
      <c r="E302" s="74" t="s">
        <v>2444</v>
      </c>
      <c r="F302" s="272" t="s">
        <v>2445</v>
      </c>
      <c r="H302" s="349" t="s">
        <v>1715</v>
      </c>
      <c r="I302" s="296" t="s">
        <v>2446</v>
      </c>
      <c r="J302" s="346" t="s">
        <v>391</v>
      </c>
      <c r="K302" s="8" t="s">
        <v>392</v>
      </c>
      <c r="O302" s="74"/>
    </row>
    <row r="303" spans="1:15" ht="43.5">
      <c r="A303" s="211">
        <v>302</v>
      </c>
      <c r="B303" s="343" t="s">
        <v>46</v>
      </c>
      <c r="D303" s="323" t="s">
        <v>2396</v>
      </c>
      <c r="E303" s="74" t="s">
        <v>2447</v>
      </c>
      <c r="F303" s="272" t="s">
        <v>2448</v>
      </c>
      <c r="G303" s="211"/>
      <c r="H303" s="349" t="s">
        <v>1715</v>
      </c>
      <c r="I303" s="296" t="s">
        <v>2449</v>
      </c>
      <c r="J303" s="346" t="s">
        <v>500</v>
      </c>
      <c r="K303" s="8" t="s">
        <v>501</v>
      </c>
      <c r="O303" s="74"/>
    </row>
    <row r="304" spans="1:15" ht="130.5">
      <c r="A304" s="211">
        <v>303</v>
      </c>
      <c r="B304" s="343" t="s">
        <v>46</v>
      </c>
      <c r="D304" s="323" t="s">
        <v>2396</v>
      </c>
      <c r="E304" s="74" t="s">
        <v>2450</v>
      </c>
      <c r="F304" s="272" t="s">
        <v>2451</v>
      </c>
      <c r="G304" s="211" t="s">
        <v>1730</v>
      </c>
      <c r="H304" s="345"/>
      <c r="I304" s="296" t="s">
        <v>2452</v>
      </c>
      <c r="J304" s="346" t="s">
        <v>636</v>
      </c>
      <c r="K304" s="8" t="s">
        <v>637</v>
      </c>
    </row>
    <row r="305" spans="1:15" ht="87">
      <c r="A305" s="211">
        <v>304</v>
      </c>
      <c r="B305" s="343" t="s">
        <v>46</v>
      </c>
      <c r="D305" s="323" t="s">
        <v>2396</v>
      </c>
      <c r="E305" s="74" t="s">
        <v>2453</v>
      </c>
      <c r="F305" s="272" t="s">
        <v>2454</v>
      </c>
      <c r="G305" s="211" t="s">
        <v>2135</v>
      </c>
      <c r="H305" s="345"/>
      <c r="I305" s="296" t="s">
        <v>2455</v>
      </c>
      <c r="J305" s="346" t="s">
        <v>741</v>
      </c>
      <c r="K305" s="8" t="s">
        <v>742</v>
      </c>
    </row>
    <row r="306" spans="1:15" ht="87">
      <c r="A306" s="211">
        <v>305</v>
      </c>
      <c r="B306" s="343" t="s">
        <v>46</v>
      </c>
      <c r="D306" s="323" t="s">
        <v>2396</v>
      </c>
      <c r="E306" s="74" t="s">
        <v>2456</v>
      </c>
      <c r="F306" s="272" t="s">
        <v>2457</v>
      </c>
      <c r="G306" s="211" t="s">
        <v>2135</v>
      </c>
      <c r="H306" s="345"/>
      <c r="I306" s="296" t="s">
        <v>2455</v>
      </c>
      <c r="J306" s="346" t="s">
        <v>577</v>
      </c>
      <c r="K306" s="8" t="s">
        <v>578</v>
      </c>
      <c r="O306" s="377" t="s">
        <v>2458</v>
      </c>
    </row>
    <row r="307" spans="1:15" ht="57.95">
      <c r="A307" s="211">
        <v>306</v>
      </c>
      <c r="B307" s="343" t="s">
        <v>46</v>
      </c>
      <c r="D307" s="323" t="s">
        <v>2396</v>
      </c>
      <c r="E307" s="74" t="s">
        <v>2459</v>
      </c>
      <c r="F307" s="272" t="s">
        <v>2460</v>
      </c>
      <c r="G307" s="211"/>
      <c r="H307" s="74"/>
      <c r="I307" s="296" t="s">
        <v>2461</v>
      </c>
      <c r="J307" s="347"/>
      <c r="K307" s="74" t="s">
        <v>1777</v>
      </c>
      <c r="M307" s="87" t="s">
        <v>1019</v>
      </c>
      <c r="N307" s="8" t="s">
        <v>1021</v>
      </c>
    </row>
    <row r="308" spans="1:15" ht="43.5">
      <c r="A308" s="211">
        <v>307</v>
      </c>
      <c r="B308" s="343" t="s">
        <v>46</v>
      </c>
      <c r="D308" s="323" t="s">
        <v>2396</v>
      </c>
      <c r="E308" s="74" t="s">
        <v>2462</v>
      </c>
      <c r="F308" s="272" t="s">
        <v>2463</v>
      </c>
      <c r="G308" s="211" t="s">
        <v>1703</v>
      </c>
      <c r="H308" s="345"/>
      <c r="I308" s="296"/>
      <c r="J308" s="346" t="s">
        <v>299</v>
      </c>
      <c r="K308" s="8" t="s">
        <v>300</v>
      </c>
      <c r="L308" s="8" t="s">
        <v>304</v>
      </c>
    </row>
    <row r="309" spans="1:15" ht="101.45">
      <c r="A309" s="211">
        <v>308</v>
      </c>
      <c r="B309" s="343" t="s">
        <v>46</v>
      </c>
      <c r="D309" s="323" t="s">
        <v>2396</v>
      </c>
      <c r="E309" s="74" t="s">
        <v>2464</v>
      </c>
      <c r="F309" s="272" t="s">
        <v>2465</v>
      </c>
      <c r="G309" s="211" t="s">
        <v>1701</v>
      </c>
      <c r="H309" s="74"/>
      <c r="I309" s="296" t="s">
        <v>2466</v>
      </c>
      <c r="J309" s="347"/>
      <c r="K309" s="74" t="s">
        <v>1777</v>
      </c>
      <c r="M309" s="87" t="s">
        <v>1019</v>
      </c>
      <c r="N309" s="8" t="s">
        <v>1021</v>
      </c>
      <c r="O309" s="377" t="s">
        <v>2467</v>
      </c>
    </row>
    <row r="310" spans="1:15" ht="43.5">
      <c r="A310" s="211">
        <v>309</v>
      </c>
      <c r="B310" s="343" t="s">
        <v>46</v>
      </c>
      <c r="D310" s="323" t="s">
        <v>2396</v>
      </c>
      <c r="E310" s="74" t="s">
        <v>2468</v>
      </c>
      <c r="F310" s="273" t="s">
        <v>2469</v>
      </c>
      <c r="G310" s="211" t="s">
        <v>2135</v>
      </c>
      <c r="H310" s="345"/>
      <c r="I310" s="296"/>
      <c r="J310" s="346" t="s">
        <v>909</v>
      </c>
      <c r="K310" s="8" t="s">
        <v>910</v>
      </c>
      <c r="L310" s="8" t="s">
        <v>911</v>
      </c>
    </row>
    <row r="311" spans="1:15" ht="43.5">
      <c r="A311" s="211">
        <v>310</v>
      </c>
      <c r="B311" s="343" t="s">
        <v>46</v>
      </c>
      <c r="D311" s="323" t="s">
        <v>2396</v>
      </c>
      <c r="E311" s="74" t="s">
        <v>2470</v>
      </c>
      <c r="F311" s="272" t="s">
        <v>2471</v>
      </c>
      <c r="G311" s="211" t="s">
        <v>1701</v>
      </c>
      <c r="H311" s="349"/>
      <c r="I311" s="296" t="s">
        <v>2472</v>
      </c>
      <c r="J311" s="346" t="s">
        <v>500</v>
      </c>
      <c r="K311" s="8" t="s">
        <v>501</v>
      </c>
    </row>
    <row r="312" spans="1:15" ht="57.95">
      <c r="A312" s="211">
        <v>311</v>
      </c>
      <c r="B312" s="343" t="s">
        <v>46</v>
      </c>
      <c r="D312" s="323" t="s">
        <v>2396</v>
      </c>
      <c r="E312" s="74" t="s">
        <v>2473</v>
      </c>
      <c r="F312" s="272" t="s">
        <v>2474</v>
      </c>
      <c r="G312" s="211" t="s">
        <v>1701</v>
      </c>
      <c r="H312" s="345"/>
      <c r="I312" s="296" t="s">
        <v>2475</v>
      </c>
      <c r="J312" s="346" t="s">
        <v>715</v>
      </c>
      <c r="K312" s="8" t="s">
        <v>716</v>
      </c>
    </row>
    <row r="313" spans="1:15" ht="43.5">
      <c r="A313" s="211">
        <v>312</v>
      </c>
      <c r="B313" s="343" t="s">
        <v>46</v>
      </c>
      <c r="D313" s="323" t="s">
        <v>2396</v>
      </c>
      <c r="E313" s="74" t="s">
        <v>2476</v>
      </c>
      <c r="F313" s="272" t="s">
        <v>2477</v>
      </c>
      <c r="G313" s="211" t="s">
        <v>2135</v>
      </c>
      <c r="H313" s="345"/>
      <c r="I313" s="296" t="s">
        <v>2478</v>
      </c>
      <c r="J313" s="346" t="s">
        <v>400</v>
      </c>
      <c r="K313" s="8" t="s">
        <v>401</v>
      </c>
      <c r="L313" s="8" t="s">
        <v>402</v>
      </c>
    </row>
    <row r="314" spans="1:15" ht="87">
      <c r="A314" s="211">
        <v>313</v>
      </c>
      <c r="B314" s="343" t="s">
        <v>46</v>
      </c>
      <c r="D314" s="323" t="s">
        <v>2396</v>
      </c>
      <c r="E314" s="74" t="s">
        <v>2479</v>
      </c>
      <c r="F314" s="272" t="s">
        <v>2480</v>
      </c>
      <c r="G314" s="211" t="s">
        <v>1701</v>
      </c>
      <c r="H314" s="345"/>
      <c r="I314" s="296" t="s">
        <v>2481</v>
      </c>
      <c r="J314" s="346" t="s">
        <v>558</v>
      </c>
      <c r="K314" s="8" t="s">
        <v>559</v>
      </c>
    </row>
    <row r="315" spans="1:15" ht="57.95">
      <c r="A315" s="211">
        <v>314</v>
      </c>
      <c r="B315" s="343" t="s">
        <v>46</v>
      </c>
      <c r="D315" s="323" t="s">
        <v>2396</v>
      </c>
      <c r="E315" s="74" t="s">
        <v>2482</v>
      </c>
      <c r="F315" s="272" t="s">
        <v>2483</v>
      </c>
      <c r="G315" s="211" t="s">
        <v>1701</v>
      </c>
      <c r="H315" s="74"/>
      <c r="I315" s="296" t="s">
        <v>2484</v>
      </c>
      <c r="J315" s="347"/>
      <c r="K315" s="74" t="s">
        <v>1777</v>
      </c>
      <c r="M315" s="87" t="s">
        <v>1019</v>
      </c>
      <c r="N315" s="8" t="s">
        <v>1021</v>
      </c>
    </row>
    <row r="316" spans="1:15" ht="57.95">
      <c r="A316" s="211">
        <v>315</v>
      </c>
      <c r="B316" s="343" t="s">
        <v>46</v>
      </c>
      <c r="D316" s="323" t="s">
        <v>2396</v>
      </c>
      <c r="E316" s="74" t="s">
        <v>2485</v>
      </c>
      <c r="F316" s="272" t="s">
        <v>2486</v>
      </c>
      <c r="G316" s="211" t="s">
        <v>2135</v>
      </c>
      <c r="H316" s="345"/>
      <c r="I316" s="296"/>
      <c r="J316" s="346" t="s">
        <v>352</v>
      </c>
      <c r="K316" s="8" t="s">
        <v>353</v>
      </c>
      <c r="O316" s="377" t="s">
        <v>2487</v>
      </c>
    </row>
    <row r="317" spans="1:15" ht="29.1">
      <c r="A317" s="211">
        <v>316</v>
      </c>
      <c r="B317" s="343" t="s">
        <v>46</v>
      </c>
      <c r="D317" s="323" t="s">
        <v>2396</v>
      </c>
      <c r="E317" s="74" t="s">
        <v>2488</v>
      </c>
      <c r="F317" s="272" t="s">
        <v>2489</v>
      </c>
      <c r="G317" s="211" t="s">
        <v>1701</v>
      </c>
      <c r="H317" s="345" t="s">
        <v>2334</v>
      </c>
      <c r="I317" s="296" t="s">
        <v>2490</v>
      </c>
      <c r="J317" s="346" t="s">
        <v>409</v>
      </c>
      <c r="K317" s="8" t="s">
        <v>410</v>
      </c>
      <c r="O317" s="74"/>
    </row>
    <row r="318" spans="1:15" ht="57.95">
      <c r="A318" s="211">
        <v>317</v>
      </c>
      <c r="B318" s="343" t="s">
        <v>46</v>
      </c>
      <c r="D318" s="323" t="s">
        <v>2396</v>
      </c>
      <c r="E318" s="74" t="s">
        <v>2491</v>
      </c>
      <c r="F318" s="272" t="s">
        <v>2492</v>
      </c>
      <c r="G318" s="211"/>
      <c r="H318" s="345" t="s">
        <v>2334</v>
      </c>
      <c r="I318" s="296" t="s">
        <v>2493</v>
      </c>
      <c r="J318" s="346" t="s">
        <v>903</v>
      </c>
      <c r="K318" s="8" t="s">
        <v>904</v>
      </c>
      <c r="O318" s="74"/>
    </row>
    <row r="319" spans="1:15" ht="57.95">
      <c r="A319" s="211">
        <v>318</v>
      </c>
      <c r="B319" s="343" t="s">
        <v>46</v>
      </c>
      <c r="D319" s="323" t="s">
        <v>2396</v>
      </c>
      <c r="E319" s="74" t="s">
        <v>2494</v>
      </c>
      <c r="F319" s="272" t="s">
        <v>2495</v>
      </c>
      <c r="G319" s="211" t="s">
        <v>1701</v>
      </c>
      <c r="H319" s="345"/>
      <c r="I319" s="296" t="s">
        <v>2496</v>
      </c>
      <c r="J319" s="346" t="s">
        <v>409</v>
      </c>
      <c r="K319" s="8" t="s">
        <v>410</v>
      </c>
      <c r="O319" s="377" t="s">
        <v>2497</v>
      </c>
    </row>
    <row r="320" spans="1:15" ht="116.1">
      <c r="A320" s="211">
        <v>319</v>
      </c>
      <c r="B320" s="343" t="s">
        <v>46</v>
      </c>
      <c r="D320" s="323" t="s">
        <v>2396</v>
      </c>
      <c r="E320" s="74" t="s">
        <v>2498</v>
      </c>
      <c r="F320" s="272" t="s">
        <v>2499</v>
      </c>
      <c r="G320" s="211" t="s">
        <v>1701</v>
      </c>
      <c r="H320" s="345"/>
      <c r="I320" s="296" t="s">
        <v>2500</v>
      </c>
      <c r="J320" s="346" t="s">
        <v>741</v>
      </c>
      <c r="K320" s="298" t="s">
        <v>742</v>
      </c>
    </row>
    <row r="321" spans="1:15" ht="29.1">
      <c r="A321" s="211">
        <v>320</v>
      </c>
      <c r="B321" s="343" t="s">
        <v>46</v>
      </c>
      <c r="D321" s="323" t="s">
        <v>2396</v>
      </c>
      <c r="E321" s="74" t="s">
        <v>2501</v>
      </c>
      <c r="F321" s="272" t="s">
        <v>2502</v>
      </c>
      <c r="G321" s="211" t="s">
        <v>2135</v>
      </c>
      <c r="H321" s="345"/>
      <c r="I321" s="296" t="s">
        <v>2503</v>
      </c>
      <c r="J321" s="346" t="s">
        <v>723</v>
      </c>
      <c r="K321" s="8" t="s">
        <v>724</v>
      </c>
    </row>
    <row r="322" spans="1:15" ht="57.95">
      <c r="A322" s="211">
        <v>321</v>
      </c>
      <c r="B322" s="343" t="s">
        <v>46</v>
      </c>
      <c r="D322" s="323" t="s">
        <v>2396</v>
      </c>
      <c r="E322" s="74" t="s">
        <v>2504</v>
      </c>
      <c r="F322" s="272" t="s">
        <v>2505</v>
      </c>
      <c r="G322" s="211"/>
      <c r="H322" s="345"/>
      <c r="I322" s="296"/>
      <c r="J322" s="346" t="s">
        <v>299</v>
      </c>
      <c r="K322" s="8" t="s">
        <v>300</v>
      </c>
      <c r="L322" s="8" t="s">
        <v>304</v>
      </c>
    </row>
    <row r="323" spans="1:15" ht="43.5">
      <c r="A323" s="211">
        <v>322</v>
      </c>
      <c r="B323" s="343" t="s">
        <v>46</v>
      </c>
      <c r="D323" s="323" t="s">
        <v>2396</v>
      </c>
      <c r="E323" s="74" t="s">
        <v>2506</v>
      </c>
      <c r="F323" s="272" t="s">
        <v>2507</v>
      </c>
      <c r="G323" s="211" t="s">
        <v>1701</v>
      </c>
      <c r="H323" s="74"/>
      <c r="I323" s="296"/>
      <c r="J323" s="347"/>
      <c r="K323" s="74" t="s">
        <v>1777</v>
      </c>
      <c r="M323" s="87" t="s">
        <v>1019</v>
      </c>
      <c r="N323" s="8" t="s">
        <v>1021</v>
      </c>
    </row>
    <row r="324" spans="1:15" ht="43.5">
      <c r="A324" s="211">
        <v>323</v>
      </c>
      <c r="B324" s="343" t="s">
        <v>46</v>
      </c>
      <c r="D324" s="323" t="s">
        <v>2396</v>
      </c>
      <c r="E324" s="74" t="s">
        <v>2508</v>
      </c>
      <c r="F324" s="272" t="s">
        <v>2509</v>
      </c>
      <c r="G324" s="211" t="s">
        <v>1701</v>
      </c>
      <c r="H324" s="74"/>
      <c r="I324" s="296"/>
      <c r="J324" s="347"/>
      <c r="K324" s="74" t="s">
        <v>1777</v>
      </c>
      <c r="M324" s="87" t="s">
        <v>1019</v>
      </c>
      <c r="N324" s="8" t="s">
        <v>1021</v>
      </c>
    </row>
    <row r="325" spans="1:15" ht="29.1">
      <c r="A325" s="211">
        <v>324</v>
      </c>
      <c r="B325" s="343" t="s">
        <v>46</v>
      </c>
      <c r="D325" s="323" t="s">
        <v>2396</v>
      </c>
      <c r="E325" s="74" t="s">
        <v>2510</v>
      </c>
      <c r="F325" s="272" t="s">
        <v>2511</v>
      </c>
      <c r="G325" s="211" t="s">
        <v>1701</v>
      </c>
      <c r="H325" s="345"/>
      <c r="I325" s="296"/>
      <c r="J325" s="346" t="s">
        <v>1058</v>
      </c>
      <c r="K325" s="8" t="s">
        <v>1059</v>
      </c>
      <c r="L325" s="8" t="s">
        <v>1060</v>
      </c>
    </row>
    <row r="326" spans="1:15" ht="29.1">
      <c r="A326" s="211">
        <v>325</v>
      </c>
      <c r="B326" s="343" t="s">
        <v>46</v>
      </c>
      <c r="D326" s="323" t="s">
        <v>2396</v>
      </c>
      <c r="E326" s="74" t="s">
        <v>2512</v>
      </c>
      <c r="F326" s="272" t="s">
        <v>2513</v>
      </c>
      <c r="G326" s="211" t="s">
        <v>1701</v>
      </c>
      <c r="H326" s="345"/>
      <c r="I326" s="296"/>
      <c r="J326" s="346" t="s">
        <v>1058</v>
      </c>
      <c r="K326" s="8" t="s">
        <v>1059</v>
      </c>
      <c r="L326" s="8" t="s">
        <v>1060</v>
      </c>
    </row>
    <row r="327" spans="1:15" ht="57.95">
      <c r="A327" s="211">
        <v>326</v>
      </c>
      <c r="B327" s="343" t="s">
        <v>46</v>
      </c>
      <c r="D327" s="323" t="s">
        <v>2396</v>
      </c>
      <c r="E327" s="74" t="s">
        <v>2514</v>
      </c>
      <c r="F327" s="272" t="s">
        <v>2515</v>
      </c>
      <c r="G327" s="211" t="s">
        <v>2135</v>
      </c>
      <c r="H327" s="345"/>
      <c r="I327" s="296" t="s">
        <v>2516</v>
      </c>
      <c r="J327" s="346" t="s">
        <v>352</v>
      </c>
      <c r="K327" s="8" t="s">
        <v>353</v>
      </c>
      <c r="O327" s="377" t="s">
        <v>2517</v>
      </c>
    </row>
    <row r="328" spans="1:15" ht="57.95">
      <c r="A328" s="211">
        <v>327</v>
      </c>
      <c r="B328" s="343" t="s">
        <v>46</v>
      </c>
      <c r="D328" s="323" t="s">
        <v>2396</v>
      </c>
      <c r="E328" s="74" t="s">
        <v>2518</v>
      </c>
      <c r="F328" s="275" t="s">
        <v>2519</v>
      </c>
      <c r="G328" s="211" t="s">
        <v>1701</v>
      </c>
      <c r="H328" s="345"/>
      <c r="I328" s="296"/>
      <c r="J328" s="346" t="s">
        <v>558</v>
      </c>
      <c r="K328" s="8" t="s">
        <v>559</v>
      </c>
    </row>
    <row r="329" spans="1:15" ht="72.599999999999994">
      <c r="A329" s="211">
        <v>328</v>
      </c>
      <c r="B329" s="343" t="s">
        <v>46</v>
      </c>
      <c r="D329" s="323" t="s">
        <v>2396</v>
      </c>
      <c r="E329" s="74" t="s">
        <v>2520</v>
      </c>
      <c r="F329" s="272" t="s">
        <v>2521</v>
      </c>
      <c r="G329" s="211" t="s">
        <v>1701</v>
      </c>
      <c r="H329" s="345"/>
      <c r="I329" s="296" t="s">
        <v>2522</v>
      </c>
      <c r="J329" s="346" t="s">
        <v>318</v>
      </c>
      <c r="K329" s="8" t="s">
        <v>319</v>
      </c>
    </row>
    <row r="330" spans="1:15" ht="72.599999999999994">
      <c r="A330" s="211">
        <v>329</v>
      </c>
      <c r="B330" s="343" t="s">
        <v>46</v>
      </c>
      <c r="D330" s="323" t="s">
        <v>2396</v>
      </c>
      <c r="E330" s="74" t="s">
        <v>2523</v>
      </c>
      <c r="F330" s="272" t="s">
        <v>2524</v>
      </c>
      <c r="G330" s="211" t="s">
        <v>2135</v>
      </c>
      <c r="H330" s="345"/>
      <c r="I330" s="296"/>
      <c r="J330" s="346" t="s">
        <v>707</v>
      </c>
      <c r="K330" s="8" t="s">
        <v>708</v>
      </c>
      <c r="O330" s="377" t="s">
        <v>1705</v>
      </c>
    </row>
    <row r="331" spans="1:15" ht="43.5">
      <c r="A331" s="211">
        <v>330</v>
      </c>
      <c r="B331" s="343" t="s">
        <v>46</v>
      </c>
      <c r="D331" s="323" t="s">
        <v>2396</v>
      </c>
      <c r="E331" s="74" t="s">
        <v>2525</v>
      </c>
      <c r="F331" s="272" t="s">
        <v>2526</v>
      </c>
      <c r="G331" s="211"/>
      <c r="H331" s="345" t="s">
        <v>2334</v>
      </c>
      <c r="I331" s="296" t="s">
        <v>2527</v>
      </c>
      <c r="J331" s="346" t="s">
        <v>1289</v>
      </c>
      <c r="K331" s="8" t="s">
        <v>1290</v>
      </c>
      <c r="O331" s="74"/>
    </row>
    <row r="332" spans="1:15" ht="43.5">
      <c r="A332" s="211">
        <v>331</v>
      </c>
      <c r="B332" s="343" t="s">
        <v>46</v>
      </c>
      <c r="D332" s="323" t="s">
        <v>2396</v>
      </c>
      <c r="E332" s="74" t="s">
        <v>2528</v>
      </c>
      <c r="F332" s="272" t="s">
        <v>2529</v>
      </c>
      <c r="G332" s="211"/>
      <c r="H332" s="345"/>
      <c r="I332" s="296" t="s">
        <v>2530</v>
      </c>
      <c r="J332" s="346" t="s">
        <v>318</v>
      </c>
      <c r="K332" s="8" t="s">
        <v>319</v>
      </c>
    </row>
    <row r="333" spans="1:15" ht="57.95">
      <c r="A333" s="211">
        <v>332</v>
      </c>
      <c r="B333" s="343" t="s">
        <v>46</v>
      </c>
      <c r="D333" s="323" t="s">
        <v>2396</v>
      </c>
      <c r="E333" s="74" t="s">
        <v>2531</v>
      </c>
      <c r="F333" s="273" t="s">
        <v>2532</v>
      </c>
      <c r="G333" s="211" t="s">
        <v>2135</v>
      </c>
      <c r="H333" s="74"/>
      <c r="I333" s="296"/>
      <c r="J333" s="347"/>
      <c r="K333" s="74" t="s">
        <v>1777</v>
      </c>
      <c r="M333" s="87" t="s">
        <v>1019</v>
      </c>
      <c r="N333" s="8" t="s">
        <v>1021</v>
      </c>
    </row>
    <row r="334" spans="1:15" ht="43.5">
      <c r="A334" s="211">
        <v>333</v>
      </c>
      <c r="B334" s="343" t="s">
        <v>46</v>
      </c>
      <c r="D334" s="323" t="s">
        <v>2396</v>
      </c>
      <c r="E334" s="74" t="s">
        <v>2533</v>
      </c>
      <c r="F334" s="272" t="s">
        <v>2534</v>
      </c>
      <c r="G334" s="211" t="s">
        <v>1701</v>
      </c>
      <c r="H334" s="345"/>
      <c r="I334" s="296" t="s">
        <v>2535</v>
      </c>
      <c r="J334" s="346" t="s">
        <v>470</v>
      </c>
      <c r="K334" s="8" t="s">
        <v>471</v>
      </c>
      <c r="L334" s="8" t="s">
        <v>2536</v>
      </c>
    </row>
    <row r="335" spans="1:15" ht="72.599999999999994">
      <c r="A335" s="211">
        <v>334</v>
      </c>
      <c r="B335" s="343" t="s">
        <v>46</v>
      </c>
      <c r="D335" s="323" t="s">
        <v>2396</v>
      </c>
      <c r="E335" s="74" t="s">
        <v>2537</v>
      </c>
      <c r="F335" s="272" t="s">
        <v>2538</v>
      </c>
      <c r="G335" s="211" t="s">
        <v>1701</v>
      </c>
      <c r="H335" s="345"/>
      <c r="I335" s="296" t="s">
        <v>2539</v>
      </c>
      <c r="J335" s="346" t="s">
        <v>374</v>
      </c>
      <c r="K335" s="8" t="s">
        <v>375</v>
      </c>
    </row>
    <row r="336" spans="1:15" ht="43.5">
      <c r="A336" s="211">
        <v>335</v>
      </c>
      <c r="B336" s="343" t="s">
        <v>46</v>
      </c>
      <c r="D336" s="323" t="s">
        <v>2396</v>
      </c>
      <c r="E336" s="74" t="s">
        <v>2540</v>
      </c>
      <c r="F336" s="272" t="s">
        <v>2541</v>
      </c>
      <c r="G336" s="211" t="s">
        <v>1701</v>
      </c>
      <c r="H336" s="345"/>
      <c r="I336" s="296" t="s">
        <v>2535</v>
      </c>
      <c r="J336" s="346" t="s">
        <v>470</v>
      </c>
      <c r="K336" s="8" t="s">
        <v>471</v>
      </c>
      <c r="L336" s="8" t="s">
        <v>2536</v>
      </c>
    </row>
    <row r="337" spans="1:15" ht="57.95">
      <c r="A337" s="211">
        <v>336</v>
      </c>
      <c r="B337" s="343" t="s">
        <v>46</v>
      </c>
      <c r="D337" s="323" t="s">
        <v>2396</v>
      </c>
      <c r="E337" s="74" t="s">
        <v>2542</v>
      </c>
      <c r="F337" s="272" t="s">
        <v>2543</v>
      </c>
      <c r="G337" s="211" t="s">
        <v>1701</v>
      </c>
      <c r="H337" s="345"/>
      <c r="I337" s="296" t="s">
        <v>2544</v>
      </c>
      <c r="J337" s="346" t="s">
        <v>470</v>
      </c>
      <c r="K337" s="8" t="s">
        <v>471</v>
      </c>
      <c r="L337" s="8" t="s">
        <v>2536</v>
      </c>
    </row>
    <row r="338" spans="1:15" ht="43.5">
      <c r="A338" s="211">
        <v>337</v>
      </c>
      <c r="B338" s="343" t="s">
        <v>46</v>
      </c>
      <c r="D338" s="323" t="s">
        <v>2396</v>
      </c>
      <c r="E338" s="74" t="s">
        <v>2545</v>
      </c>
      <c r="F338" s="272" t="s">
        <v>2546</v>
      </c>
      <c r="G338" s="211" t="s">
        <v>2135</v>
      </c>
      <c r="H338" s="345"/>
      <c r="I338" s="296"/>
      <c r="J338" s="346" t="s">
        <v>909</v>
      </c>
      <c r="K338" s="8" t="s">
        <v>910</v>
      </c>
      <c r="L338" s="8" t="s">
        <v>911</v>
      </c>
    </row>
    <row r="339" spans="1:15" ht="72.599999999999994">
      <c r="A339" s="211">
        <v>338</v>
      </c>
      <c r="B339" s="343" t="s">
        <v>46</v>
      </c>
      <c r="D339" s="323" t="s">
        <v>2396</v>
      </c>
      <c r="E339" s="74" t="s">
        <v>2547</v>
      </c>
      <c r="F339" s="272" t="s">
        <v>2548</v>
      </c>
      <c r="G339" s="211"/>
      <c r="H339" s="74"/>
      <c r="I339" s="296"/>
      <c r="J339" s="297"/>
      <c r="K339" s="74" t="s">
        <v>1777</v>
      </c>
      <c r="M339" s="210" t="s">
        <v>918</v>
      </c>
      <c r="N339" s="348" t="s">
        <v>1838</v>
      </c>
    </row>
    <row r="340" spans="1:15" ht="43.5">
      <c r="A340" s="211">
        <v>339</v>
      </c>
      <c r="B340" s="343" t="s">
        <v>46</v>
      </c>
      <c r="D340" s="323" t="s">
        <v>2396</v>
      </c>
      <c r="E340" s="74" t="s">
        <v>2549</v>
      </c>
      <c r="F340" s="272" t="s">
        <v>2550</v>
      </c>
      <c r="G340" s="211"/>
      <c r="H340" s="345"/>
      <c r="I340" s="296"/>
      <c r="J340" s="346" t="s">
        <v>470</v>
      </c>
      <c r="K340" s="8" t="s">
        <v>471</v>
      </c>
      <c r="L340" s="8" t="s">
        <v>2536</v>
      </c>
    </row>
    <row r="341" spans="1:15" ht="43.5">
      <c r="A341" s="211">
        <v>340</v>
      </c>
      <c r="B341" s="343" t="s">
        <v>46</v>
      </c>
      <c r="D341" s="323" t="s">
        <v>2396</v>
      </c>
      <c r="E341" s="74" t="s">
        <v>2551</v>
      </c>
      <c r="F341" s="272" t="s">
        <v>2552</v>
      </c>
      <c r="G341" s="211" t="s">
        <v>1701</v>
      </c>
      <c r="H341" s="74"/>
      <c r="I341" s="296"/>
      <c r="J341" s="347"/>
      <c r="K341" s="74" t="s">
        <v>1777</v>
      </c>
      <c r="M341" s="87" t="s">
        <v>1019</v>
      </c>
      <c r="N341" s="8" t="s">
        <v>1021</v>
      </c>
    </row>
    <row r="342" spans="1:15" ht="43.5">
      <c r="A342" s="211">
        <v>341</v>
      </c>
      <c r="B342" s="343" t="s">
        <v>46</v>
      </c>
      <c r="D342" s="323" t="s">
        <v>2396</v>
      </c>
      <c r="E342" s="74" t="s">
        <v>2553</v>
      </c>
      <c r="F342" s="272" t="s">
        <v>2554</v>
      </c>
      <c r="G342" s="211" t="s">
        <v>1703</v>
      </c>
      <c r="H342" s="345"/>
      <c r="I342" s="296"/>
      <c r="J342" s="346" t="s">
        <v>470</v>
      </c>
      <c r="K342" s="8" t="s">
        <v>471</v>
      </c>
      <c r="L342" s="8" t="s">
        <v>2536</v>
      </c>
    </row>
    <row r="343" spans="1:15" ht="29.1">
      <c r="A343" s="211">
        <v>342</v>
      </c>
      <c r="B343" s="343" t="s">
        <v>46</v>
      </c>
      <c r="D343" s="323" t="s">
        <v>2396</v>
      </c>
      <c r="E343" s="74" t="s">
        <v>2555</v>
      </c>
      <c r="F343" s="272" t="s">
        <v>2556</v>
      </c>
      <c r="G343" s="211" t="s">
        <v>1701</v>
      </c>
      <c r="H343" s="345"/>
      <c r="I343" s="296" t="s">
        <v>2557</v>
      </c>
      <c r="J343" s="346" t="s">
        <v>382</v>
      </c>
      <c r="K343" s="8" t="s">
        <v>383</v>
      </c>
    </row>
    <row r="344" spans="1:15" ht="43.5">
      <c r="A344" s="211">
        <v>343</v>
      </c>
      <c r="B344" s="343" t="s">
        <v>46</v>
      </c>
      <c r="D344" s="323" t="s">
        <v>2396</v>
      </c>
      <c r="E344" s="74" t="s">
        <v>2558</v>
      </c>
      <c r="F344" s="272" t="s">
        <v>2559</v>
      </c>
      <c r="G344" s="211"/>
      <c r="H344" s="345"/>
      <c r="I344" s="296"/>
      <c r="J344" s="346" t="s">
        <v>470</v>
      </c>
      <c r="K344" s="8" t="s">
        <v>471</v>
      </c>
      <c r="L344" s="8" t="s">
        <v>2536</v>
      </c>
    </row>
    <row r="345" spans="1:15" ht="43.5">
      <c r="A345" s="211">
        <v>344</v>
      </c>
      <c r="B345" s="343" t="s">
        <v>46</v>
      </c>
      <c r="D345" s="323" t="s">
        <v>2396</v>
      </c>
      <c r="E345" s="74" t="s">
        <v>2560</v>
      </c>
      <c r="F345" s="272" t="s">
        <v>2561</v>
      </c>
      <c r="H345" s="74"/>
      <c r="I345" s="296" t="s">
        <v>2562</v>
      </c>
      <c r="J345" s="347"/>
      <c r="K345" s="74" t="s">
        <v>1777</v>
      </c>
      <c r="M345" s="87" t="s">
        <v>1019</v>
      </c>
      <c r="N345" s="8" t="s">
        <v>1021</v>
      </c>
    </row>
    <row r="346" spans="1:15" ht="29.1">
      <c r="A346" s="211">
        <v>345</v>
      </c>
      <c r="B346" s="343" t="s">
        <v>46</v>
      </c>
      <c r="D346" s="323" t="s">
        <v>2396</v>
      </c>
      <c r="E346" s="74" t="s">
        <v>2563</v>
      </c>
      <c r="F346" s="272" t="s">
        <v>2564</v>
      </c>
      <c r="G346" s="211" t="s">
        <v>1701</v>
      </c>
      <c r="H346" s="345"/>
      <c r="I346" s="296" t="s">
        <v>2565</v>
      </c>
      <c r="J346" s="350" t="s">
        <v>489</v>
      </c>
      <c r="K346" s="8" t="s">
        <v>490</v>
      </c>
    </row>
    <row r="347" spans="1:15" ht="43.5">
      <c r="A347" s="211">
        <v>346</v>
      </c>
      <c r="B347" s="343" t="s">
        <v>46</v>
      </c>
      <c r="D347" s="323" t="s">
        <v>2396</v>
      </c>
      <c r="E347" s="74" t="s">
        <v>2566</v>
      </c>
      <c r="F347" s="273" t="s">
        <v>2567</v>
      </c>
      <c r="G347" s="211"/>
      <c r="H347" s="345"/>
      <c r="I347" s="296" t="s">
        <v>2568</v>
      </c>
      <c r="J347" s="346" t="s">
        <v>299</v>
      </c>
      <c r="K347" s="8" t="s">
        <v>300</v>
      </c>
      <c r="L347" s="8" t="s">
        <v>304</v>
      </c>
    </row>
    <row r="348" spans="1:15" ht="43.5">
      <c r="A348" s="211">
        <v>347</v>
      </c>
      <c r="B348" s="343" t="s">
        <v>46</v>
      </c>
      <c r="D348" s="323" t="s">
        <v>2396</v>
      </c>
      <c r="E348" s="74" t="s">
        <v>2569</v>
      </c>
      <c r="F348" s="272" t="s">
        <v>2570</v>
      </c>
      <c r="H348" s="349" t="s">
        <v>1715</v>
      </c>
      <c r="I348" s="296" t="s">
        <v>1071</v>
      </c>
      <c r="J348" s="346" t="s">
        <v>470</v>
      </c>
      <c r="K348" s="8" t="s">
        <v>471</v>
      </c>
      <c r="L348" s="8" t="s">
        <v>2536</v>
      </c>
      <c r="O348" s="74"/>
    </row>
    <row r="349" spans="1:15" ht="57.95">
      <c r="A349" s="211">
        <v>348</v>
      </c>
      <c r="B349" s="343" t="s">
        <v>46</v>
      </c>
      <c r="D349" s="323" t="s">
        <v>2396</v>
      </c>
      <c r="E349" s="74" t="s">
        <v>2571</v>
      </c>
      <c r="F349" s="272" t="s">
        <v>2572</v>
      </c>
      <c r="G349" s="211" t="s">
        <v>2135</v>
      </c>
      <c r="H349" s="345"/>
      <c r="I349" s="296"/>
      <c r="J349" s="346" t="s">
        <v>577</v>
      </c>
      <c r="K349" s="8" t="s">
        <v>578</v>
      </c>
      <c r="O349" s="377" t="s">
        <v>2573</v>
      </c>
    </row>
    <row r="350" spans="1:15" ht="43.5">
      <c r="A350" s="211">
        <v>349</v>
      </c>
      <c r="B350" s="343" t="s">
        <v>46</v>
      </c>
      <c r="D350" s="323" t="s">
        <v>2396</v>
      </c>
      <c r="E350" s="74" t="s">
        <v>2574</v>
      </c>
      <c r="F350" s="272" t="s">
        <v>2575</v>
      </c>
      <c r="G350" s="211" t="s">
        <v>2135</v>
      </c>
      <c r="H350" s="345"/>
      <c r="I350" s="296"/>
      <c r="J350" s="346" t="s">
        <v>470</v>
      </c>
      <c r="K350" s="8" t="s">
        <v>471</v>
      </c>
      <c r="L350" s="8" t="s">
        <v>2536</v>
      </c>
    </row>
    <row r="351" spans="1:15" ht="57.95">
      <c r="A351" s="211">
        <v>350</v>
      </c>
      <c r="B351" s="343" t="s">
        <v>46</v>
      </c>
      <c r="D351" s="323" t="s">
        <v>2396</v>
      </c>
      <c r="E351" s="74" t="s">
        <v>2576</v>
      </c>
      <c r="F351" s="272" t="s">
        <v>2577</v>
      </c>
      <c r="G351" s="211" t="s">
        <v>2135</v>
      </c>
      <c r="H351" s="345"/>
      <c r="I351" s="296" t="s">
        <v>2578</v>
      </c>
      <c r="J351" s="346" t="s">
        <v>382</v>
      </c>
      <c r="K351" s="8" t="s">
        <v>383</v>
      </c>
    </row>
    <row r="352" spans="1:15" ht="87">
      <c r="A352" s="211">
        <v>351</v>
      </c>
      <c r="B352" s="343" t="s">
        <v>46</v>
      </c>
      <c r="D352" s="323" t="s">
        <v>2396</v>
      </c>
      <c r="E352" s="74" t="s">
        <v>2579</v>
      </c>
      <c r="F352" s="272" t="s">
        <v>2580</v>
      </c>
      <c r="G352" s="211" t="s">
        <v>2135</v>
      </c>
      <c r="H352" s="345"/>
      <c r="I352" s="296" t="s">
        <v>2581</v>
      </c>
      <c r="J352" s="346" t="s">
        <v>382</v>
      </c>
      <c r="K352" s="8" t="s">
        <v>383</v>
      </c>
    </row>
    <row r="353" spans="1:15" ht="43.5">
      <c r="A353" s="211">
        <v>352</v>
      </c>
      <c r="B353" s="343" t="s">
        <v>46</v>
      </c>
      <c r="D353" s="323" t="s">
        <v>2396</v>
      </c>
      <c r="E353" s="74" t="s">
        <v>2582</v>
      </c>
      <c r="F353" s="273" t="s">
        <v>2583</v>
      </c>
      <c r="G353" s="211" t="s">
        <v>2135</v>
      </c>
      <c r="H353" s="345"/>
      <c r="I353" s="296" t="s">
        <v>2584</v>
      </c>
      <c r="J353" s="346" t="s">
        <v>299</v>
      </c>
      <c r="K353" s="8" t="s">
        <v>300</v>
      </c>
      <c r="L353" s="8" t="s">
        <v>304</v>
      </c>
    </row>
    <row r="354" spans="1:15" ht="43.5">
      <c r="A354" s="211">
        <v>353</v>
      </c>
      <c r="B354" s="343" t="s">
        <v>46</v>
      </c>
      <c r="D354" s="323" t="s">
        <v>2396</v>
      </c>
      <c r="E354" s="74" t="s">
        <v>2585</v>
      </c>
      <c r="F354" s="272" t="s">
        <v>2586</v>
      </c>
      <c r="G354" s="211" t="s">
        <v>1701</v>
      </c>
      <c r="H354" s="74"/>
      <c r="I354" s="296" t="s">
        <v>2535</v>
      </c>
      <c r="J354" s="347"/>
      <c r="K354" s="74" t="s">
        <v>1777</v>
      </c>
      <c r="M354" s="87" t="s">
        <v>1019</v>
      </c>
      <c r="N354" s="8" t="s">
        <v>1021</v>
      </c>
    </row>
    <row r="355" spans="1:15" ht="29.1">
      <c r="A355" s="211">
        <v>354</v>
      </c>
      <c r="B355" s="343" t="s">
        <v>46</v>
      </c>
      <c r="D355" s="323" t="s">
        <v>2396</v>
      </c>
      <c r="E355" s="74" t="s">
        <v>2587</v>
      </c>
      <c r="F355" s="272" t="s">
        <v>2588</v>
      </c>
      <c r="H355" s="349" t="s">
        <v>1715</v>
      </c>
      <c r="I355" s="296" t="s">
        <v>2589</v>
      </c>
      <c r="J355" s="346" t="s">
        <v>577</v>
      </c>
      <c r="K355" s="8" t="s">
        <v>578</v>
      </c>
      <c r="O355" s="74"/>
    </row>
    <row r="356" spans="1:15" ht="29.1">
      <c r="A356" s="211">
        <v>355</v>
      </c>
      <c r="B356" s="343" t="s">
        <v>46</v>
      </c>
      <c r="D356" s="323" t="s">
        <v>2396</v>
      </c>
      <c r="E356" s="74" t="s">
        <v>2590</v>
      </c>
      <c r="F356" s="273" t="s">
        <v>2591</v>
      </c>
      <c r="G356" s="211" t="s">
        <v>1701</v>
      </c>
      <c r="H356" s="345"/>
      <c r="I356" s="296" t="s">
        <v>2592</v>
      </c>
      <c r="J356" s="346" t="s">
        <v>723</v>
      </c>
      <c r="K356" s="8" t="s">
        <v>724</v>
      </c>
    </row>
    <row r="357" spans="1:15" ht="43.5">
      <c r="A357" s="211">
        <v>356</v>
      </c>
      <c r="B357" s="343" t="s">
        <v>46</v>
      </c>
      <c r="D357" s="323" t="s">
        <v>2396</v>
      </c>
      <c r="E357" s="74" t="s">
        <v>2593</v>
      </c>
      <c r="F357" s="272" t="s">
        <v>2594</v>
      </c>
      <c r="G357" s="211" t="s">
        <v>1703</v>
      </c>
      <c r="H357" s="345"/>
      <c r="I357" s="296"/>
      <c r="J357" s="346" t="s">
        <v>909</v>
      </c>
      <c r="K357" s="8" t="s">
        <v>910</v>
      </c>
      <c r="L357" s="8" t="s">
        <v>911</v>
      </c>
      <c r="O357" s="377" t="s">
        <v>2595</v>
      </c>
    </row>
    <row r="358" spans="1:15" ht="57.95">
      <c r="A358" s="211">
        <v>357</v>
      </c>
      <c r="B358" s="343" t="s">
        <v>46</v>
      </c>
      <c r="D358" s="323" t="s">
        <v>2396</v>
      </c>
      <c r="E358" s="74" t="s">
        <v>2596</v>
      </c>
      <c r="F358" s="273" t="s">
        <v>2597</v>
      </c>
      <c r="G358" s="211" t="s">
        <v>1703</v>
      </c>
      <c r="H358" s="345"/>
      <c r="I358" s="296" t="s">
        <v>2598</v>
      </c>
      <c r="J358" s="346" t="s">
        <v>894</v>
      </c>
      <c r="K358" s="8" t="s">
        <v>895</v>
      </c>
      <c r="L358" s="8" t="s">
        <v>1863</v>
      </c>
    </row>
    <row r="359" spans="1:15" ht="57.95">
      <c r="A359" s="211">
        <v>358</v>
      </c>
      <c r="B359" s="343" t="s">
        <v>46</v>
      </c>
      <c r="D359" s="323" t="s">
        <v>2396</v>
      </c>
      <c r="E359" s="74" t="s">
        <v>2599</v>
      </c>
      <c r="F359" s="272" t="s">
        <v>2600</v>
      </c>
      <c r="G359" s="211" t="s">
        <v>1701</v>
      </c>
      <c r="H359" s="349" t="s">
        <v>1715</v>
      </c>
      <c r="I359" s="296" t="s">
        <v>2601</v>
      </c>
      <c r="J359" s="346" t="s">
        <v>470</v>
      </c>
      <c r="K359" s="8" t="s">
        <v>471</v>
      </c>
      <c r="L359" s="8" t="s">
        <v>2536</v>
      </c>
      <c r="O359" s="74"/>
    </row>
    <row r="360" spans="1:15" ht="43.5">
      <c r="A360" s="211">
        <v>359</v>
      </c>
      <c r="B360" s="343" t="s">
        <v>46</v>
      </c>
      <c r="D360" s="323" t="s">
        <v>2396</v>
      </c>
      <c r="E360" s="74" t="s">
        <v>2602</v>
      </c>
      <c r="F360" s="272" t="s">
        <v>2603</v>
      </c>
      <c r="H360" s="74"/>
      <c r="I360" s="296" t="s">
        <v>2604</v>
      </c>
      <c r="J360" s="347"/>
      <c r="K360" s="74" t="s">
        <v>1777</v>
      </c>
      <c r="M360" s="87" t="s">
        <v>1019</v>
      </c>
      <c r="N360" s="8" t="s">
        <v>1021</v>
      </c>
    </row>
    <row r="361" spans="1:15" ht="43.5">
      <c r="A361" s="211">
        <v>360</v>
      </c>
      <c r="B361" s="343" t="s">
        <v>46</v>
      </c>
      <c r="D361" s="323" t="s">
        <v>2396</v>
      </c>
      <c r="E361" s="74" t="s">
        <v>2605</v>
      </c>
      <c r="F361" s="273" t="s">
        <v>2606</v>
      </c>
      <c r="G361" s="211"/>
      <c r="H361" s="345"/>
      <c r="I361" s="296"/>
      <c r="J361" s="351" t="s">
        <v>577</v>
      </c>
      <c r="K361" s="8" t="s">
        <v>578</v>
      </c>
    </row>
    <row r="362" spans="1:15" ht="29.1">
      <c r="A362" s="211">
        <v>361</v>
      </c>
      <c r="B362" s="343" t="s">
        <v>46</v>
      </c>
      <c r="D362" s="323" t="s">
        <v>2396</v>
      </c>
      <c r="E362" s="74" t="s">
        <v>2607</v>
      </c>
      <c r="F362" s="273" t="s">
        <v>2608</v>
      </c>
      <c r="G362" s="211" t="s">
        <v>1701</v>
      </c>
      <c r="H362" s="345"/>
      <c r="I362" s="296"/>
      <c r="J362" s="346" t="s">
        <v>723</v>
      </c>
      <c r="K362" s="8" t="s">
        <v>724</v>
      </c>
    </row>
    <row r="363" spans="1:15" ht="43.5">
      <c r="A363" s="211">
        <v>362</v>
      </c>
      <c r="B363" s="343" t="s">
        <v>46</v>
      </c>
      <c r="D363" s="323" t="s">
        <v>2396</v>
      </c>
      <c r="E363" s="74" t="s">
        <v>2609</v>
      </c>
      <c r="F363" s="273" t="s">
        <v>2610</v>
      </c>
      <c r="G363" s="211" t="s">
        <v>2611</v>
      </c>
      <c r="H363" s="349" t="s">
        <v>1715</v>
      </c>
      <c r="I363" s="296"/>
      <c r="J363" s="346" t="s">
        <v>400</v>
      </c>
      <c r="K363" s="8" t="s">
        <v>401</v>
      </c>
      <c r="L363" s="8" t="s">
        <v>402</v>
      </c>
      <c r="O363" s="74"/>
    </row>
    <row r="364" spans="1:15" ht="43.5">
      <c r="A364" s="211">
        <v>363</v>
      </c>
      <c r="B364" s="343" t="s">
        <v>46</v>
      </c>
      <c r="D364" s="323" t="s">
        <v>2396</v>
      </c>
      <c r="E364" s="74" t="s">
        <v>2612</v>
      </c>
      <c r="F364" s="272" t="s">
        <v>2613</v>
      </c>
      <c r="G364" s="211" t="s">
        <v>1701</v>
      </c>
      <c r="H364" s="349"/>
      <c r="I364" s="296" t="s">
        <v>2614</v>
      </c>
      <c r="J364" s="346" t="s">
        <v>470</v>
      </c>
      <c r="K364" s="8" t="s">
        <v>471</v>
      </c>
      <c r="L364" s="8" t="s">
        <v>2536</v>
      </c>
    </row>
    <row r="365" spans="1:15" ht="43.5">
      <c r="A365" s="211">
        <v>364</v>
      </c>
      <c r="B365" s="343" t="s">
        <v>46</v>
      </c>
      <c r="D365" s="323" t="s">
        <v>2396</v>
      </c>
      <c r="E365" s="74" t="s">
        <v>2615</v>
      </c>
      <c r="F365" s="272" t="s">
        <v>2616</v>
      </c>
      <c r="G365" s="211" t="s">
        <v>1701</v>
      </c>
      <c r="H365" s="349"/>
      <c r="I365" s="296" t="s">
        <v>2617</v>
      </c>
      <c r="J365" s="346" t="s">
        <v>470</v>
      </c>
      <c r="K365" s="8" t="s">
        <v>471</v>
      </c>
      <c r="L365" s="8" t="s">
        <v>2536</v>
      </c>
    </row>
    <row r="366" spans="1:15" ht="377.1">
      <c r="A366" s="211">
        <v>365</v>
      </c>
      <c r="B366" s="352" t="s">
        <v>2618</v>
      </c>
      <c r="C366"/>
      <c r="D366" s="224" t="s">
        <v>2619</v>
      </c>
      <c r="F366" s="224" t="s">
        <v>2620</v>
      </c>
      <c r="G366" s="211" t="s">
        <v>1730</v>
      </c>
      <c r="H366" s="345"/>
      <c r="I366" s="296"/>
      <c r="J366" s="297" t="s">
        <v>1212</v>
      </c>
      <c r="K366" s="8" t="s">
        <v>1213</v>
      </c>
      <c r="L366"/>
      <c r="M366" s="127"/>
      <c r="N366"/>
    </row>
    <row r="367" spans="1:15" ht="377.1">
      <c r="A367" s="211">
        <v>366</v>
      </c>
      <c r="B367" s="352" t="s">
        <v>2618</v>
      </c>
      <c r="C367"/>
      <c r="D367" s="224" t="s">
        <v>2619</v>
      </c>
      <c r="F367" s="224" t="s">
        <v>2621</v>
      </c>
      <c r="G367" s="211" t="s">
        <v>1730</v>
      </c>
      <c r="H367" s="345"/>
      <c r="I367" s="296"/>
      <c r="J367" s="297" t="s">
        <v>1432</v>
      </c>
      <c r="K367" s="8" t="s">
        <v>1433</v>
      </c>
      <c r="L367"/>
      <c r="M367" s="127"/>
      <c r="N367"/>
    </row>
    <row r="368" spans="1:15" ht="377.1">
      <c r="A368" s="211">
        <v>367</v>
      </c>
      <c r="B368" s="352" t="s">
        <v>2618</v>
      </c>
      <c r="C368"/>
      <c r="D368" s="224" t="s">
        <v>2619</v>
      </c>
      <c r="F368" s="224" t="s">
        <v>2622</v>
      </c>
      <c r="G368" s="211" t="s">
        <v>1730</v>
      </c>
      <c r="H368" s="345"/>
      <c r="I368" s="296"/>
      <c r="J368" s="297" t="s">
        <v>1442</v>
      </c>
      <c r="K368" s="8" t="s">
        <v>1443</v>
      </c>
      <c r="L368"/>
      <c r="M368" s="127"/>
      <c r="N368"/>
    </row>
    <row r="369" spans="1:15" ht="377.1">
      <c r="A369" s="211">
        <v>368</v>
      </c>
      <c r="B369" s="352" t="s">
        <v>2618</v>
      </c>
      <c r="C369"/>
      <c r="D369" s="224" t="s">
        <v>2619</v>
      </c>
      <c r="F369" s="224" t="s">
        <v>2623</v>
      </c>
      <c r="G369" s="211" t="s">
        <v>1730</v>
      </c>
      <c r="H369" s="345"/>
      <c r="I369" s="296"/>
      <c r="J369" s="297" t="s">
        <v>851</v>
      </c>
      <c r="K369" s="8" t="s">
        <v>852</v>
      </c>
      <c r="L369"/>
      <c r="M369" s="127"/>
      <c r="N369"/>
      <c r="O369" s="377" t="s">
        <v>2624</v>
      </c>
    </row>
    <row r="370" spans="1:15" ht="377.1">
      <c r="A370" s="211">
        <v>369</v>
      </c>
      <c r="B370" s="352" t="s">
        <v>2618</v>
      </c>
      <c r="C370"/>
      <c r="D370" s="224" t="s">
        <v>2619</v>
      </c>
      <c r="F370" s="224" t="s">
        <v>2625</v>
      </c>
      <c r="G370" s="211" t="s">
        <v>1730</v>
      </c>
      <c r="H370" s="345"/>
      <c r="I370" s="296"/>
      <c r="J370" s="297" t="s">
        <v>851</v>
      </c>
      <c r="K370" s="8" t="s">
        <v>852</v>
      </c>
      <c r="L370"/>
      <c r="M370" s="127"/>
      <c r="N370"/>
      <c r="O370" s="377" t="s">
        <v>2626</v>
      </c>
    </row>
    <row r="371" spans="1:15" ht="377.1">
      <c r="A371" s="211">
        <v>370</v>
      </c>
      <c r="B371" s="352" t="s">
        <v>2618</v>
      </c>
      <c r="C371"/>
      <c r="D371" s="224" t="s">
        <v>2619</v>
      </c>
      <c r="F371" s="224" t="s">
        <v>2627</v>
      </c>
      <c r="G371" s="211" t="s">
        <v>1730</v>
      </c>
      <c r="H371" s="345"/>
      <c r="I371" s="296"/>
      <c r="J371" s="297" t="s">
        <v>1423</v>
      </c>
      <c r="K371" s="8" t="s">
        <v>1424</v>
      </c>
      <c r="L371"/>
      <c r="M371" s="127"/>
      <c r="N371"/>
    </row>
    <row r="372" spans="1:15" ht="377.1">
      <c r="A372" s="211">
        <v>371</v>
      </c>
      <c r="B372" s="352" t="s">
        <v>2618</v>
      </c>
      <c r="C372"/>
      <c r="D372" s="224" t="s">
        <v>2619</v>
      </c>
      <c r="F372" s="224" t="s">
        <v>2628</v>
      </c>
      <c r="G372" s="211" t="s">
        <v>1730</v>
      </c>
      <c r="H372" s="345"/>
      <c r="I372" s="296"/>
      <c r="J372" s="297" t="s">
        <v>1545</v>
      </c>
      <c r="K372" s="8" t="s">
        <v>1546</v>
      </c>
      <c r="L372"/>
      <c r="M372" s="127"/>
      <c r="N372"/>
    </row>
    <row r="373" spans="1:15" ht="377.1">
      <c r="A373" s="211">
        <v>372</v>
      </c>
      <c r="B373" s="352" t="s">
        <v>2618</v>
      </c>
      <c r="C373"/>
      <c r="D373" s="224" t="s">
        <v>2619</v>
      </c>
      <c r="F373" s="224" t="s">
        <v>2629</v>
      </c>
      <c r="G373" s="211" t="s">
        <v>1730</v>
      </c>
      <c r="H373" s="345"/>
      <c r="I373" s="296"/>
      <c r="J373" s="297" t="s">
        <v>1423</v>
      </c>
      <c r="K373" s="8" t="s">
        <v>1424</v>
      </c>
      <c r="L373"/>
      <c r="M373" s="127"/>
      <c r="N373"/>
    </row>
    <row r="374" spans="1:15" ht="377.1">
      <c r="A374" s="211">
        <v>373</v>
      </c>
      <c r="B374" s="352" t="s">
        <v>2618</v>
      </c>
      <c r="C374"/>
      <c r="D374" s="224" t="s">
        <v>2619</v>
      </c>
      <c r="F374" s="278" t="s">
        <v>2630</v>
      </c>
      <c r="G374" s="211" t="s">
        <v>1730</v>
      </c>
      <c r="H374" s="345"/>
      <c r="I374" s="296"/>
      <c r="J374" s="297" t="s">
        <v>1545</v>
      </c>
      <c r="K374" s="8" t="s">
        <v>1546</v>
      </c>
      <c r="L374"/>
      <c r="M374" s="127"/>
      <c r="N374"/>
    </row>
    <row r="375" spans="1:15" ht="246.6">
      <c r="A375" s="211">
        <v>374</v>
      </c>
      <c r="B375" s="352" t="s">
        <v>2618</v>
      </c>
      <c r="C375"/>
      <c r="D375" s="353" t="s">
        <v>2631</v>
      </c>
      <c r="F375" s="224" t="s">
        <v>2631</v>
      </c>
      <c r="G375" s="211" t="s">
        <v>1730</v>
      </c>
      <c r="H375" s="345"/>
      <c r="I375" s="296"/>
      <c r="J375" s="297" t="s">
        <v>1171</v>
      </c>
      <c r="K375" s="8" t="s">
        <v>1796</v>
      </c>
      <c r="L375"/>
      <c r="M375" s="127"/>
      <c r="N375"/>
    </row>
    <row r="376" spans="1:15" ht="87">
      <c r="A376" s="211">
        <v>375</v>
      </c>
      <c r="B376" s="352" t="s">
        <v>2618</v>
      </c>
      <c r="C376"/>
      <c r="D376" s="303" t="s">
        <v>2632</v>
      </c>
      <c r="F376" s="224" t="s">
        <v>2633</v>
      </c>
      <c r="G376" s="211" t="s">
        <v>1730</v>
      </c>
      <c r="H376" s="345"/>
      <c r="I376" s="296"/>
      <c r="J376" s="297" t="s">
        <v>1423</v>
      </c>
      <c r="K376" s="8" t="s">
        <v>1424</v>
      </c>
      <c r="L376"/>
      <c r="M376" s="127"/>
      <c r="N376"/>
    </row>
    <row r="377" spans="1:15" ht="87">
      <c r="A377" s="211">
        <v>376</v>
      </c>
      <c r="B377" s="352" t="s">
        <v>2618</v>
      </c>
      <c r="C377"/>
      <c r="D377" s="303" t="s">
        <v>2632</v>
      </c>
      <c r="F377" s="224" t="s">
        <v>2634</v>
      </c>
      <c r="G377" s="211" t="s">
        <v>1730</v>
      </c>
      <c r="H377" s="345"/>
      <c r="I377" s="296"/>
      <c r="J377" s="297" t="s">
        <v>1413</v>
      </c>
      <c r="K377" s="8" t="s">
        <v>1414</v>
      </c>
      <c r="L377"/>
      <c r="M377" s="127"/>
      <c r="N377"/>
    </row>
    <row r="378" spans="1:15" ht="87">
      <c r="A378" s="211">
        <v>377</v>
      </c>
      <c r="B378" s="352" t="s">
        <v>2618</v>
      </c>
      <c r="C378"/>
      <c r="D378" s="303" t="s">
        <v>2632</v>
      </c>
      <c r="F378" s="224" t="s">
        <v>2635</v>
      </c>
      <c r="G378" s="211" t="s">
        <v>1730</v>
      </c>
      <c r="H378" s="345"/>
      <c r="I378" s="296"/>
      <c r="J378" s="297" t="s">
        <v>1442</v>
      </c>
      <c r="K378" s="8" t="s">
        <v>1443</v>
      </c>
      <c r="L378"/>
      <c r="M378" s="127"/>
      <c r="N378"/>
      <c r="O378" s="377" t="s">
        <v>2636</v>
      </c>
    </row>
    <row r="379" spans="1:15" ht="87">
      <c r="A379" s="211">
        <v>378</v>
      </c>
      <c r="B379" s="352" t="s">
        <v>2618</v>
      </c>
      <c r="C379"/>
      <c r="D379" s="303" t="s">
        <v>2632</v>
      </c>
      <c r="F379" s="224" t="s">
        <v>2637</v>
      </c>
      <c r="G379" s="211" t="s">
        <v>1730</v>
      </c>
      <c r="H379" s="345"/>
      <c r="I379" s="296"/>
      <c r="J379" s="297" t="s">
        <v>1442</v>
      </c>
      <c r="K379" s="8" t="s">
        <v>1443</v>
      </c>
      <c r="L379"/>
      <c r="M379" s="127"/>
      <c r="N379"/>
    </row>
    <row r="380" spans="1:15" ht="87">
      <c r="A380" s="211">
        <v>379</v>
      </c>
      <c r="B380" s="352" t="s">
        <v>2618</v>
      </c>
      <c r="C380"/>
      <c r="D380" s="303" t="s">
        <v>2632</v>
      </c>
      <c r="F380" s="224" t="s">
        <v>2638</v>
      </c>
      <c r="G380" s="211" t="s">
        <v>1730</v>
      </c>
      <c r="H380" s="345"/>
      <c r="I380" s="296"/>
      <c r="J380" s="297" t="s">
        <v>1089</v>
      </c>
      <c r="K380" s="8" t="s">
        <v>1090</v>
      </c>
      <c r="L380"/>
      <c r="M380" s="127"/>
      <c r="N380"/>
    </row>
    <row r="381" spans="1:15" ht="57.95">
      <c r="A381" s="211">
        <v>380</v>
      </c>
      <c r="B381" s="352" t="s">
        <v>2618</v>
      </c>
      <c r="C381"/>
      <c r="D381" s="354" t="s">
        <v>2639</v>
      </c>
      <c r="F381" s="224" t="s">
        <v>2640</v>
      </c>
      <c r="G381" s="211" t="s">
        <v>1730</v>
      </c>
      <c r="H381" s="345"/>
      <c r="I381" s="296"/>
      <c r="J381" s="297" t="s">
        <v>1289</v>
      </c>
      <c r="K381" s="8" t="s">
        <v>1290</v>
      </c>
      <c r="L381"/>
      <c r="M381" s="127"/>
      <c r="N381"/>
    </row>
    <row r="382" spans="1:15" ht="43.5">
      <c r="A382" s="211">
        <v>381</v>
      </c>
      <c r="B382" s="352" t="s">
        <v>2618</v>
      </c>
      <c r="C382"/>
      <c r="D382" s="354" t="s">
        <v>2639</v>
      </c>
      <c r="F382" s="224" t="s">
        <v>2641</v>
      </c>
      <c r="G382" s="211" t="s">
        <v>1730</v>
      </c>
      <c r="H382" s="345"/>
      <c r="I382" s="296"/>
      <c r="J382" s="297" t="s">
        <v>1289</v>
      </c>
      <c r="K382" s="8" t="s">
        <v>1290</v>
      </c>
      <c r="L382"/>
      <c r="M382" s="127"/>
      <c r="N382"/>
      <c r="O382" s="377" t="s">
        <v>2642</v>
      </c>
    </row>
    <row r="383" spans="1:15" ht="43.5">
      <c r="A383" s="211">
        <v>382</v>
      </c>
      <c r="B383" s="352" t="s">
        <v>2618</v>
      </c>
      <c r="C383"/>
      <c r="D383" s="354" t="s">
        <v>2639</v>
      </c>
      <c r="F383" s="224" t="s">
        <v>2643</v>
      </c>
      <c r="G383" s="211" t="s">
        <v>1730</v>
      </c>
      <c r="H383" s="345"/>
      <c r="I383" s="296"/>
      <c r="J383" s="297" t="s">
        <v>1212</v>
      </c>
      <c r="K383" s="8" t="s">
        <v>1213</v>
      </c>
      <c r="L383"/>
      <c r="M383" s="127"/>
      <c r="N383"/>
    </row>
    <row r="384" spans="1:15" ht="43.5">
      <c r="A384" s="211">
        <v>383</v>
      </c>
      <c r="B384" s="352" t="s">
        <v>2618</v>
      </c>
      <c r="C384"/>
      <c r="D384" s="354" t="s">
        <v>2639</v>
      </c>
      <c r="F384" s="224" t="s">
        <v>2644</v>
      </c>
      <c r="G384" s="211" t="s">
        <v>1730</v>
      </c>
      <c r="H384" s="345"/>
      <c r="I384" s="296"/>
      <c r="J384" s="297" t="s">
        <v>1144</v>
      </c>
      <c r="K384" s="8" t="s">
        <v>1145</v>
      </c>
      <c r="L384"/>
      <c r="M384" s="127"/>
      <c r="N384"/>
    </row>
    <row r="385" spans="1:15" ht="57.95">
      <c r="A385" s="211">
        <v>384</v>
      </c>
      <c r="B385" s="352" t="s">
        <v>2618</v>
      </c>
      <c r="C385"/>
      <c r="D385" s="355" t="s">
        <v>2645</v>
      </c>
      <c r="F385" s="224" t="s">
        <v>2646</v>
      </c>
      <c r="G385" s="211" t="s">
        <v>1730</v>
      </c>
      <c r="H385" s="345"/>
      <c r="I385" s="296"/>
      <c r="J385" s="297" t="s">
        <v>1255</v>
      </c>
      <c r="K385" s="8" t="s">
        <v>1256</v>
      </c>
      <c r="L385"/>
      <c r="M385" s="127"/>
      <c r="N385"/>
    </row>
    <row r="386" spans="1:15" ht="72.599999999999994">
      <c r="A386" s="211">
        <v>385</v>
      </c>
      <c r="B386" s="352" t="s">
        <v>2618</v>
      </c>
      <c r="C386"/>
      <c r="D386" s="355" t="s">
        <v>2645</v>
      </c>
      <c r="F386" s="224" t="s">
        <v>2647</v>
      </c>
      <c r="G386" s="211" t="s">
        <v>1730</v>
      </c>
      <c r="H386" s="345"/>
      <c r="I386" s="296"/>
      <c r="J386" s="297" t="s">
        <v>1299</v>
      </c>
      <c r="K386" s="8" t="s">
        <v>1300</v>
      </c>
      <c r="L386"/>
      <c r="M386" s="127"/>
      <c r="N386"/>
    </row>
    <row r="387" spans="1:15" ht="87">
      <c r="A387" s="211">
        <v>386</v>
      </c>
      <c r="B387" s="352" t="s">
        <v>2618</v>
      </c>
      <c r="C387"/>
      <c r="D387" s="356" t="s">
        <v>2648</v>
      </c>
      <c r="F387" s="224" t="s">
        <v>2649</v>
      </c>
      <c r="G387" s="211" t="s">
        <v>1730</v>
      </c>
      <c r="H387" s="345"/>
      <c r="I387" s="296"/>
      <c r="J387" s="297" t="s">
        <v>1239</v>
      </c>
      <c r="K387" s="8" t="s">
        <v>1240</v>
      </c>
      <c r="L387"/>
      <c r="M387" s="127"/>
      <c r="N387"/>
      <c r="O387" s="377" t="s">
        <v>2650</v>
      </c>
    </row>
    <row r="388" spans="1:15" ht="130.5">
      <c r="A388" s="211">
        <v>387</v>
      </c>
      <c r="B388" s="352" t="s">
        <v>2618</v>
      </c>
      <c r="C388"/>
      <c r="D388" s="356" t="s">
        <v>2648</v>
      </c>
      <c r="F388" s="224" t="s">
        <v>2651</v>
      </c>
      <c r="G388" s="211" t="s">
        <v>1730</v>
      </c>
      <c r="H388" s="345"/>
      <c r="I388" s="296" t="s">
        <v>2652</v>
      </c>
      <c r="J388" s="297" t="s">
        <v>1343</v>
      </c>
      <c r="K388" s="8" t="s">
        <v>1344</v>
      </c>
      <c r="L388"/>
      <c r="M388" s="127"/>
      <c r="N388"/>
    </row>
    <row r="389" spans="1:15" ht="87">
      <c r="A389" s="211">
        <v>388</v>
      </c>
      <c r="B389" s="352" t="s">
        <v>2618</v>
      </c>
      <c r="C389"/>
      <c r="D389" s="356" t="s">
        <v>2648</v>
      </c>
      <c r="F389" s="224" t="s">
        <v>2653</v>
      </c>
      <c r="G389" s="211" t="s">
        <v>1730</v>
      </c>
      <c r="H389" s="345"/>
      <c r="I389" s="296"/>
      <c r="J389" s="297" t="s">
        <v>1232</v>
      </c>
      <c r="K389" s="8" t="s">
        <v>1233</v>
      </c>
      <c r="L389"/>
      <c r="M389" s="127"/>
      <c r="N389"/>
      <c r="O389" s="377" t="s">
        <v>2654</v>
      </c>
    </row>
    <row r="390" spans="1:15" ht="87">
      <c r="A390" s="211">
        <v>389</v>
      </c>
      <c r="B390" s="352" t="s">
        <v>2618</v>
      </c>
      <c r="C390"/>
      <c r="D390" s="356" t="s">
        <v>2648</v>
      </c>
      <c r="F390" s="224" t="s">
        <v>2655</v>
      </c>
      <c r="G390" s="211" t="s">
        <v>1730</v>
      </c>
      <c r="H390" s="345"/>
      <c r="I390" s="296"/>
      <c r="J390" s="297" t="s">
        <v>1232</v>
      </c>
      <c r="K390" s="8" t="s">
        <v>1233</v>
      </c>
      <c r="L390"/>
      <c r="M390" s="127"/>
      <c r="N390"/>
    </row>
    <row r="391" spans="1:15" ht="87">
      <c r="A391" s="211">
        <v>390</v>
      </c>
      <c r="B391" s="352" t="s">
        <v>2618</v>
      </c>
      <c r="C391"/>
      <c r="D391" s="356" t="s">
        <v>2648</v>
      </c>
      <c r="F391" s="224" t="s">
        <v>2656</v>
      </c>
      <c r="G391" s="211" t="s">
        <v>1730</v>
      </c>
      <c r="H391" s="345"/>
      <c r="I391" s="296"/>
      <c r="J391" s="297" t="s">
        <v>1239</v>
      </c>
      <c r="K391" s="8" t="s">
        <v>1240</v>
      </c>
      <c r="L391"/>
      <c r="M391" s="127"/>
      <c r="N391"/>
      <c r="O391" s="377" t="s">
        <v>2657</v>
      </c>
    </row>
    <row r="392" spans="1:15" ht="87">
      <c r="A392" s="211">
        <v>391</v>
      </c>
      <c r="B392" s="352" t="s">
        <v>2618</v>
      </c>
      <c r="C392"/>
      <c r="D392" s="356" t="s">
        <v>2648</v>
      </c>
      <c r="F392" s="224" t="s">
        <v>2658</v>
      </c>
      <c r="G392" s="211" t="s">
        <v>1730</v>
      </c>
      <c r="H392" s="345"/>
      <c r="I392" s="296"/>
      <c r="J392" s="297" t="s">
        <v>1232</v>
      </c>
      <c r="K392" s="8" t="s">
        <v>1233</v>
      </c>
      <c r="L392"/>
      <c r="M392" s="127"/>
      <c r="N392"/>
      <c r="O392" s="377" t="s">
        <v>2659</v>
      </c>
    </row>
    <row r="393" spans="1:15" ht="87">
      <c r="A393" s="211">
        <v>392</v>
      </c>
      <c r="B393" s="352" t="s">
        <v>2618</v>
      </c>
      <c r="C393"/>
      <c r="D393" s="356" t="s">
        <v>2648</v>
      </c>
      <c r="F393" s="224" t="s">
        <v>2660</v>
      </c>
      <c r="G393" s="211" t="s">
        <v>1730</v>
      </c>
      <c r="H393" s="345"/>
      <c r="I393" s="296"/>
      <c r="J393" s="297" t="s">
        <v>1232</v>
      </c>
      <c r="K393" s="8" t="s">
        <v>1233</v>
      </c>
      <c r="L393"/>
      <c r="M393" s="127"/>
      <c r="N393"/>
    </row>
    <row r="394" spans="1:15" ht="87">
      <c r="A394" s="211">
        <v>393</v>
      </c>
      <c r="B394" s="352" t="s">
        <v>2618</v>
      </c>
      <c r="C394"/>
      <c r="D394" s="356" t="s">
        <v>2648</v>
      </c>
      <c r="F394" s="224" t="s">
        <v>2661</v>
      </c>
      <c r="G394" s="211" t="s">
        <v>1730</v>
      </c>
      <c r="H394" s="345"/>
      <c r="I394" s="296"/>
      <c r="J394" s="297" t="s">
        <v>1232</v>
      </c>
      <c r="K394" s="8" t="s">
        <v>1233</v>
      </c>
      <c r="L394"/>
      <c r="M394" s="127"/>
      <c r="N394"/>
    </row>
    <row r="395" spans="1:15" ht="43.5">
      <c r="A395" s="211">
        <v>394</v>
      </c>
      <c r="B395" s="352" t="s">
        <v>2618</v>
      </c>
      <c r="C395"/>
      <c r="D395" s="357" t="s">
        <v>2662</v>
      </c>
      <c r="F395" s="224" t="s">
        <v>2663</v>
      </c>
      <c r="G395" s="211" t="s">
        <v>1730</v>
      </c>
      <c r="H395" s="345"/>
      <c r="I395" s="296"/>
      <c r="J395" s="297" t="s">
        <v>1358</v>
      </c>
      <c r="K395" s="8" t="s">
        <v>1359</v>
      </c>
      <c r="L395"/>
      <c r="M395" s="127"/>
      <c r="N395"/>
    </row>
    <row r="396" spans="1:15" ht="57.95">
      <c r="A396" s="211">
        <v>395</v>
      </c>
      <c r="B396" s="352" t="s">
        <v>2618</v>
      </c>
      <c r="C396"/>
      <c r="D396" s="357" t="s">
        <v>2662</v>
      </c>
      <c r="F396" s="224" t="s">
        <v>2664</v>
      </c>
      <c r="G396" s="211" t="s">
        <v>1730</v>
      </c>
      <c r="H396" s="345"/>
      <c r="I396" s="296"/>
      <c r="J396" s="297" t="s">
        <v>1358</v>
      </c>
      <c r="K396" s="8" t="s">
        <v>1359</v>
      </c>
      <c r="L396"/>
      <c r="M396" s="127"/>
      <c r="N396"/>
    </row>
    <row r="397" spans="1:15" ht="57.95">
      <c r="A397" s="211">
        <v>396</v>
      </c>
      <c r="B397" s="352" t="s">
        <v>2618</v>
      </c>
      <c r="C397"/>
      <c r="D397" s="357" t="s">
        <v>2662</v>
      </c>
      <c r="F397" s="224" t="s">
        <v>2665</v>
      </c>
      <c r="G397" s="211" t="s">
        <v>1730</v>
      </c>
      <c r="H397" s="345"/>
      <c r="I397" s="296"/>
      <c r="J397" s="297" t="s">
        <v>1358</v>
      </c>
      <c r="K397" s="8" t="s">
        <v>1359</v>
      </c>
      <c r="L397"/>
      <c r="M397" s="127"/>
      <c r="N397"/>
    </row>
    <row r="398" spans="1:15" ht="43.5">
      <c r="A398" s="211">
        <v>397</v>
      </c>
      <c r="B398" s="352" t="s">
        <v>2618</v>
      </c>
      <c r="C398"/>
      <c r="D398" s="357" t="s">
        <v>2662</v>
      </c>
      <c r="F398" s="224" t="s">
        <v>2666</v>
      </c>
      <c r="G398" s="211" t="s">
        <v>1730</v>
      </c>
      <c r="H398" s="345"/>
      <c r="I398" s="296"/>
      <c r="J398" s="297" t="s">
        <v>1351</v>
      </c>
      <c r="K398" s="8" t="s">
        <v>1352</v>
      </c>
      <c r="L398"/>
      <c r="M398" s="127"/>
      <c r="N398"/>
    </row>
    <row r="399" spans="1:15" ht="43.5">
      <c r="A399" s="211">
        <v>398</v>
      </c>
      <c r="B399" s="352" t="s">
        <v>2618</v>
      </c>
      <c r="C399"/>
      <c r="D399" s="357" t="s">
        <v>2662</v>
      </c>
      <c r="F399" s="224" t="s">
        <v>2667</v>
      </c>
      <c r="G399" s="211" t="s">
        <v>1730</v>
      </c>
      <c r="H399" s="345"/>
      <c r="I399" s="296"/>
      <c r="J399" s="297" t="s">
        <v>1351</v>
      </c>
      <c r="K399" s="8" t="s">
        <v>1352</v>
      </c>
      <c r="L399"/>
      <c r="M399" s="127"/>
      <c r="N399"/>
    </row>
    <row r="400" spans="1:15" ht="101.45">
      <c r="A400" s="211">
        <v>399</v>
      </c>
      <c r="B400" s="352" t="s">
        <v>2618</v>
      </c>
      <c r="C400"/>
      <c r="D400" s="357" t="s">
        <v>2662</v>
      </c>
      <c r="F400" s="224" t="s">
        <v>2668</v>
      </c>
      <c r="G400" s="211" t="s">
        <v>1730</v>
      </c>
      <c r="H400" s="345"/>
      <c r="I400" s="296"/>
      <c r="J400" s="297" t="s">
        <v>1358</v>
      </c>
      <c r="K400" s="8" t="s">
        <v>1359</v>
      </c>
      <c r="L400"/>
      <c r="M400" s="127"/>
      <c r="N400"/>
    </row>
    <row r="401" spans="1:15" ht="43.5">
      <c r="A401" s="211">
        <v>400</v>
      </c>
      <c r="B401" s="352" t="s">
        <v>2618</v>
      </c>
      <c r="C401"/>
      <c r="D401" s="357" t="s">
        <v>2662</v>
      </c>
      <c r="F401" s="224" t="s">
        <v>2669</v>
      </c>
      <c r="G401" s="211" t="s">
        <v>1730</v>
      </c>
      <c r="H401" s="345"/>
      <c r="I401" s="296"/>
      <c r="J401" s="297" t="s">
        <v>1358</v>
      </c>
      <c r="K401" s="8" t="s">
        <v>1359</v>
      </c>
      <c r="L401"/>
      <c r="M401" s="127"/>
      <c r="N401"/>
    </row>
    <row r="402" spans="1:15" ht="43.5">
      <c r="A402" s="211">
        <v>401</v>
      </c>
      <c r="B402" s="352" t="s">
        <v>2618</v>
      </c>
      <c r="C402"/>
      <c r="D402" s="357" t="s">
        <v>2662</v>
      </c>
      <c r="F402" s="224" t="s">
        <v>2670</v>
      </c>
      <c r="G402" s="211" t="s">
        <v>1730</v>
      </c>
      <c r="H402" s="345"/>
      <c r="I402" s="296"/>
      <c r="J402" s="297" t="s">
        <v>1358</v>
      </c>
      <c r="K402" s="8" t="s">
        <v>1359</v>
      </c>
      <c r="L402"/>
      <c r="M402" s="127"/>
      <c r="N402"/>
    </row>
    <row r="403" spans="1:15" ht="159.6">
      <c r="A403" s="211">
        <v>402</v>
      </c>
      <c r="B403" s="358" t="s">
        <v>2671</v>
      </c>
      <c r="C403"/>
      <c r="D403" s="359" t="s">
        <v>2672</v>
      </c>
      <c r="E403"/>
      <c r="F403" s="360" t="s">
        <v>2673</v>
      </c>
      <c r="G403"/>
      <c r="H403" s="206"/>
      <c r="I403" s="296"/>
      <c r="J403" s="297" t="s">
        <v>489</v>
      </c>
      <c r="K403" s="8" t="s">
        <v>490</v>
      </c>
      <c r="L403"/>
      <c r="M403" s="127"/>
      <c r="N403"/>
    </row>
    <row r="404" spans="1:15" ht="159.6">
      <c r="A404" s="211">
        <v>403</v>
      </c>
      <c r="B404" s="358" t="s">
        <v>2671</v>
      </c>
      <c r="C404"/>
      <c r="D404" s="359" t="s">
        <v>2672</v>
      </c>
      <c r="E404"/>
      <c r="F404" s="360" t="s">
        <v>2674</v>
      </c>
      <c r="G404"/>
      <c r="H404" s="206"/>
      <c r="I404" s="296"/>
      <c r="J404" s="297" t="s">
        <v>489</v>
      </c>
      <c r="K404" s="8" t="s">
        <v>490</v>
      </c>
      <c r="M404" s="127"/>
      <c r="N404"/>
    </row>
    <row r="405" spans="1:15" ht="159.6">
      <c r="A405" s="211">
        <v>404</v>
      </c>
      <c r="B405" s="358" t="s">
        <v>2671</v>
      </c>
      <c r="C405"/>
      <c r="D405" s="359" t="s">
        <v>2672</v>
      </c>
      <c r="E405"/>
      <c r="F405" s="360" t="s">
        <v>2675</v>
      </c>
      <c r="G405"/>
      <c r="H405" s="206"/>
      <c r="I405" s="296"/>
      <c r="J405" s="297" t="s">
        <v>489</v>
      </c>
      <c r="K405" s="8" t="s">
        <v>490</v>
      </c>
      <c r="L405"/>
      <c r="M405" s="127"/>
      <c r="N405"/>
      <c r="O405" s="377" t="s">
        <v>2676</v>
      </c>
    </row>
    <row r="406" spans="1:15" ht="159.6">
      <c r="A406" s="211">
        <v>405</v>
      </c>
      <c r="B406" s="358" t="s">
        <v>2671</v>
      </c>
      <c r="C406"/>
      <c r="D406" s="359" t="s">
        <v>2672</v>
      </c>
      <c r="E406"/>
      <c r="F406" s="360" t="s">
        <v>2677</v>
      </c>
      <c r="G406"/>
      <c r="H406" s="206"/>
      <c r="I406" s="296"/>
      <c r="J406" s="297" t="s">
        <v>489</v>
      </c>
      <c r="K406" s="8" t="s">
        <v>490</v>
      </c>
      <c r="L406"/>
      <c r="M406" s="127"/>
      <c r="N406"/>
      <c r="O406" s="377" t="s">
        <v>2678</v>
      </c>
    </row>
    <row r="407" spans="1:15" ht="159.6">
      <c r="A407" s="211">
        <v>406</v>
      </c>
      <c r="B407" s="358" t="s">
        <v>2671</v>
      </c>
      <c r="C407"/>
      <c r="D407" s="359" t="s">
        <v>2672</v>
      </c>
      <c r="E407"/>
      <c r="F407" s="360" t="s">
        <v>2679</v>
      </c>
      <c r="G407"/>
      <c r="H407" s="206"/>
      <c r="I407" s="296"/>
      <c r="J407" s="297" t="s">
        <v>489</v>
      </c>
      <c r="K407" s="8" t="s">
        <v>490</v>
      </c>
      <c r="L407"/>
      <c r="M407" s="127"/>
      <c r="N407"/>
      <c r="O407" s="377" t="s">
        <v>2680</v>
      </c>
    </row>
    <row r="408" spans="1:15" ht="159.6">
      <c r="A408" s="211">
        <v>407</v>
      </c>
      <c r="B408" s="358" t="s">
        <v>2671</v>
      </c>
      <c r="C408"/>
      <c r="D408" s="359" t="s">
        <v>2672</v>
      </c>
      <c r="E408"/>
      <c r="F408" s="360" t="s">
        <v>2681</v>
      </c>
      <c r="G408"/>
      <c r="H408" s="206"/>
      <c r="I408" s="296"/>
      <c r="J408" s="297" t="s">
        <v>489</v>
      </c>
      <c r="K408" s="8" t="s">
        <v>490</v>
      </c>
      <c r="L408"/>
      <c r="M408" s="127"/>
      <c r="N408"/>
      <c r="O408" s="377" t="s">
        <v>2682</v>
      </c>
    </row>
    <row r="409" spans="1:15" ht="159.6">
      <c r="A409" s="211">
        <v>408</v>
      </c>
      <c r="B409" s="358" t="s">
        <v>2671</v>
      </c>
      <c r="C409"/>
      <c r="D409" s="359" t="s">
        <v>2672</v>
      </c>
      <c r="E409"/>
      <c r="F409" s="360" t="s">
        <v>2683</v>
      </c>
      <c r="G409"/>
      <c r="H409" s="206"/>
      <c r="I409" s="296"/>
      <c r="J409" s="297" t="s">
        <v>489</v>
      </c>
      <c r="K409" s="8" t="s">
        <v>490</v>
      </c>
      <c r="L409"/>
      <c r="M409" s="127"/>
      <c r="N409"/>
      <c r="O409" s="377" t="s">
        <v>2684</v>
      </c>
    </row>
    <row r="410" spans="1:15" ht="159.6">
      <c r="A410" s="211">
        <v>409</v>
      </c>
      <c r="B410" s="358" t="s">
        <v>2671</v>
      </c>
      <c r="C410"/>
      <c r="D410" s="359" t="s">
        <v>2672</v>
      </c>
      <c r="E410"/>
      <c r="F410" s="360" t="s">
        <v>2685</v>
      </c>
      <c r="G410"/>
      <c r="H410" s="206"/>
      <c r="I410" s="296"/>
      <c r="J410" s="297" t="s">
        <v>489</v>
      </c>
      <c r="K410" s="8" t="s">
        <v>490</v>
      </c>
      <c r="L410"/>
      <c r="M410" s="127"/>
      <c r="N410"/>
      <c r="O410" s="377" t="s">
        <v>2686</v>
      </c>
    </row>
    <row r="411" spans="1:15" ht="159.6">
      <c r="A411" s="211">
        <v>410</v>
      </c>
      <c r="B411" s="358" t="s">
        <v>2671</v>
      </c>
      <c r="C411"/>
      <c r="D411" s="359" t="s">
        <v>2672</v>
      </c>
      <c r="E411"/>
      <c r="F411" s="360" t="s">
        <v>2687</v>
      </c>
      <c r="G411"/>
      <c r="H411" s="206"/>
      <c r="I411" s="296"/>
      <c r="J411" s="297" t="s">
        <v>489</v>
      </c>
      <c r="K411" s="8" t="s">
        <v>490</v>
      </c>
      <c r="L411"/>
      <c r="M411" s="127"/>
      <c r="N411"/>
      <c r="O411" s="377" t="s">
        <v>2688</v>
      </c>
    </row>
    <row r="412" spans="1:15" ht="159.6">
      <c r="A412" s="211">
        <v>411</v>
      </c>
      <c r="B412" s="358" t="s">
        <v>2671</v>
      </c>
      <c r="C412"/>
      <c r="D412" s="359" t="s">
        <v>2672</v>
      </c>
      <c r="E412"/>
      <c r="F412" s="360" t="s">
        <v>2689</v>
      </c>
      <c r="G412"/>
      <c r="H412" s="206"/>
      <c r="I412" s="296"/>
      <c r="J412" s="297" t="s">
        <v>489</v>
      </c>
      <c r="K412" s="8" t="s">
        <v>490</v>
      </c>
      <c r="L412"/>
      <c r="M412" s="127"/>
      <c r="N412"/>
      <c r="O412" s="377" t="s">
        <v>2690</v>
      </c>
    </row>
    <row r="413" spans="1:15" ht="159.6">
      <c r="A413" s="211">
        <v>412</v>
      </c>
      <c r="B413" s="358" t="s">
        <v>2671</v>
      </c>
      <c r="C413"/>
      <c r="D413" s="359" t="s">
        <v>2672</v>
      </c>
      <c r="E413"/>
      <c r="F413" s="360" t="s">
        <v>2691</v>
      </c>
      <c r="G413"/>
      <c r="H413" s="206"/>
      <c r="I413" s="296"/>
      <c r="J413" s="297" t="s">
        <v>489</v>
      </c>
      <c r="K413" s="8" t="s">
        <v>490</v>
      </c>
      <c r="L413"/>
      <c r="M413" s="127"/>
      <c r="N413"/>
      <c r="O413" s="377" t="s">
        <v>2692</v>
      </c>
    </row>
    <row r="414" spans="1:15" ht="43.5">
      <c r="A414" s="211">
        <v>413</v>
      </c>
      <c r="B414" s="373" t="s">
        <v>2693</v>
      </c>
      <c r="C414"/>
      <c r="D414" s="3"/>
      <c r="E414"/>
      <c r="F414" s="375" t="s">
        <v>2694</v>
      </c>
      <c r="G414"/>
      <c r="H414" s="361"/>
      <c r="I414" s="362"/>
      <c r="J414" s="297" t="s">
        <v>611</v>
      </c>
      <c r="K414" s="8" t="s">
        <v>612</v>
      </c>
      <c r="L414"/>
      <c r="M414" s="127"/>
      <c r="N414"/>
    </row>
    <row r="415" spans="1:15" ht="43.5">
      <c r="A415" s="211">
        <v>414</v>
      </c>
      <c r="B415" s="373" t="s">
        <v>2693</v>
      </c>
      <c r="C415"/>
      <c r="D415" s="3"/>
      <c r="E415"/>
      <c r="F415" s="374" t="s">
        <v>2695</v>
      </c>
      <c r="G415"/>
      <c r="H415" s="361"/>
      <c r="I415" s="362"/>
      <c r="J415" s="297" t="s">
        <v>925</v>
      </c>
      <c r="K415" s="8" t="s">
        <v>926</v>
      </c>
      <c r="L415"/>
      <c r="M415" s="127"/>
      <c r="N415"/>
    </row>
    <row r="416" spans="1:15" ht="43.5">
      <c r="A416" s="211">
        <v>415</v>
      </c>
      <c r="B416" s="373" t="s">
        <v>2693</v>
      </c>
      <c r="C416"/>
      <c r="D416" s="3"/>
      <c r="E416"/>
      <c r="F416" s="374" t="s">
        <v>2696</v>
      </c>
      <c r="G416"/>
      <c r="H416" s="361"/>
      <c r="I416" s="362"/>
      <c r="J416" s="297" t="s">
        <v>362</v>
      </c>
      <c r="K416" s="8" t="s">
        <v>363</v>
      </c>
      <c r="L416"/>
      <c r="M416" s="127"/>
      <c r="N416"/>
    </row>
    <row r="417" spans="1:14" ht="29.1">
      <c r="A417" s="211">
        <v>416</v>
      </c>
      <c r="B417" s="373" t="s">
        <v>2693</v>
      </c>
      <c r="C417"/>
      <c r="D417" s="3"/>
      <c r="E417"/>
      <c r="F417" s="375" t="s">
        <v>2697</v>
      </c>
      <c r="G417"/>
      <c r="H417" s="361"/>
      <c r="I417" s="362"/>
      <c r="J417" s="297" t="s">
        <v>1260</v>
      </c>
      <c r="K417" s="8" t="s">
        <v>1261</v>
      </c>
      <c r="L417"/>
      <c r="M417" s="127"/>
      <c r="N417"/>
    </row>
    <row r="418" spans="1:14" ht="57.95">
      <c r="A418" s="211">
        <v>417</v>
      </c>
      <c r="B418" s="373" t="s">
        <v>2693</v>
      </c>
      <c r="C418" s="368" t="s">
        <v>2698</v>
      </c>
      <c r="D418" s="366"/>
      <c r="E418"/>
      <c r="F418" s="374" t="s">
        <v>2699</v>
      </c>
      <c r="G418"/>
      <c r="H418" s="361"/>
      <c r="I418" s="362"/>
      <c r="J418" s="297" t="s">
        <v>611</v>
      </c>
      <c r="K418" s="8" t="s">
        <v>612</v>
      </c>
      <c r="L418"/>
      <c r="M418" s="127"/>
      <c r="N418"/>
    </row>
    <row r="419" spans="1:14" ht="188.45">
      <c r="A419" s="211">
        <v>418</v>
      </c>
      <c r="B419" s="373" t="s">
        <v>2693</v>
      </c>
      <c r="C419" s="369" t="s">
        <v>2694</v>
      </c>
      <c r="D419" s="212"/>
      <c r="E419"/>
      <c r="F419" s="374" t="s">
        <v>2700</v>
      </c>
      <c r="G419"/>
      <c r="H419" s="361"/>
      <c r="I419" s="362"/>
      <c r="J419" s="297" t="s">
        <v>1171</v>
      </c>
      <c r="K419" s="298" t="s">
        <v>1796</v>
      </c>
      <c r="L419"/>
      <c r="M419" s="127"/>
      <c r="N419"/>
    </row>
    <row r="420" spans="1:14" ht="261">
      <c r="A420" s="211">
        <v>419</v>
      </c>
      <c r="B420" s="373" t="s">
        <v>2693</v>
      </c>
      <c r="C420" s="370" t="s">
        <v>2701</v>
      </c>
      <c r="D420" s="367"/>
      <c r="E420"/>
      <c r="F420" s="374" t="s">
        <v>2702</v>
      </c>
      <c r="G420"/>
      <c r="H420" s="361"/>
      <c r="I420" s="362"/>
      <c r="J420" s="346" t="s">
        <v>318</v>
      </c>
      <c r="K420" s="8" t="s">
        <v>319</v>
      </c>
      <c r="L420"/>
      <c r="M420" s="127"/>
      <c r="N420"/>
    </row>
    <row r="421" spans="1:14" ht="116.1">
      <c r="A421" s="211">
        <v>420</v>
      </c>
      <c r="B421" s="373" t="s">
        <v>2693</v>
      </c>
      <c r="C421" s="370" t="s">
        <v>2696</v>
      </c>
      <c r="D421" s="213"/>
      <c r="E421"/>
      <c r="F421" s="375" t="s">
        <v>2703</v>
      </c>
      <c r="G421"/>
      <c r="H421" s="361"/>
      <c r="I421" s="362"/>
      <c r="J421" s="346" t="s">
        <v>299</v>
      </c>
      <c r="K421" s="8" t="s">
        <v>300</v>
      </c>
      <c r="L421" s="8" t="s">
        <v>304</v>
      </c>
      <c r="M421" s="127"/>
      <c r="N421"/>
    </row>
    <row r="422" spans="1:14" ht="87">
      <c r="A422" s="211">
        <v>421</v>
      </c>
      <c r="B422" s="373" t="s">
        <v>2693</v>
      </c>
      <c r="C422" s="370" t="s">
        <v>2704</v>
      </c>
      <c r="D422" s="213"/>
      <c r="E422"/>
      <c r="F422" s="375" t="s">
        <v>2705</v>
      </c>
      <c r="G422"/>
      <c r="H422" s="361"/>
      <c r="I422" s="362"/>
      <c r="J422" s="297" t="s">
        <v>611</v>
      </c>
      <c r="K422" s="8" t="s">
        <v>612</v>
      </c>
      <c r="L422"/>
      <c r="M422" s="127"/>
      <c r="N422"/>
    </row>
    <row r="423" spans="1:14" ht="362.45">
      <c r="A423" s="211">
        <v>422</v>
      </c>
      <c r="B423" s="302" t="s">
        <v>1761</v>
      </c>
      <c r="C423" s="370" t="s">
        <v>2706</v>
      </c>
      <c r="D423" s="303" t="s">
        <v>1580</v>
      </c>
      <c r="E423"/>
      <c r="F423" s="224" t="s">
        <v>2707</v>
      </c>
      <c r="G423"/>
      <c r="H423" s="361"/>
      <c r="I423" s="362">
        <v>2025</v>
      </c>
      <c r="J423" s="297" t="s">
        <v>783</v>
      </c>
      <c r="K423" s="8" t="s">
        <v>784</v>
      </c>
      <c r="L423"/>
      <c r="M423" s="127"/>
      <c r="N423"/>
    </row>
    <row r="424" spans="1:14" ht="116.1">
      <c r="A424" s="211">
        <v>423</v>
      </c>
      <c r="B424" s="302" t="s">
        <v>1761</v>
      </c>
      <c r="C424" s="370" t="s">
        <v>2700</v>
      </c>
      <c r="D424" s="303" t="s">
        <v>1580</v>
      </c>
      <c r="E424"/>
      <c r="F424" s="224" t="s">
        <v>2708</v>
      </c>
      <c r="G424"/>
      <c r="H424" s="361"/>
      <c r="I424" s="362">
        <v>2025</v>
      </c>
      <c r="J424" s="297" t="s">
        <v>783</v>
      </c>
      <c r="K424" s="8" t="s">
        <v>784</v>
      </c>
      <c r="L424"/>
      <c r="M424" s="127"/>
      <c r="N424"/>
    </row>
    <row r="425" spans="1:14" ht="57.95">
      <c r="A425" s="211">
        <v>424</v>
      </c>
      <c r="B425" s="302" t="s">
        <v>1761</v>
      </c>
      <c r="C425" s="371" t="s">
        <v>2709</v>
      </c>
      <c r="D425" s="309" t="s">
        <v>1822</v>
      </c>
      <c r="E425"/>
      <c r="F425" s="224" t="s">
        <v>2710</v>
      </c>
      <c r="G425"/>
      <c r="H425" s="361"/>
      <c r="I425" s="362">
        <v>2025</v>
      </c>
      <c r="J425" s="297" t="s">
        <v>636</v>
      </c>
      <c r="K425" s="8" t="s">
        <v>637</v>
      </c>
      <c r="L425"/>
      <c r="M425" s="127"/>
      <c r="N425"/>
    </row>
    <row r="426" spans="1:14" ht="57.95">
      <c r="A426" s="211">
        <v>425</v>
      </c>
      <c r="B426" s="302" t="s">
        <v>1761</v>
      </c>
      <c r="C426" s="372" t="s">
        <v>2703</v>
      </c>
      <c r="D426" s="307" t="s">
        <v>1801</v>
      </c>
      <c r="E426"/>
      <c r="F426" s="224" t="s">
        <v>2711</v>
      </c>
      <c r="G426"/>
      <c r="H426" s="361"/>
      <c r="I426" s="362">
        <v>2025</v>
      </c>
      <c r="J426" s="297" t="s">
        <v>1171</v>
      </c>
      <c r="K426" s="298" t="s">
        <v>1796</v>
      </c>
      <c r="L426"/>
      <c r="M426" s="127"/>
      <c r="N426"/>
    </row>
    <row r="427" spans="1:14" ht="57.95">
      <c r="A427" s="211">
        <v>426</v>
      </c>
      <c r="B427" s="302" t="s">
        <v>1761</v>
      </c>
      <c r="C427"/>
      <c r="D427" s="307" t="s">
        <v>1801</v>
      </c>
      <c r="E427"/>
      <c r="F427" s="224" t="s">
        <v>2712</v>
      </c>
      <c r="G427"/>
      <c r="H427" s="361"/>
      <c r="I427" s="362">
        <v>2025</v>
      </c>
      <c r="J427" s="297" t="s">
        <v>1171</v>
      </c>
      <c r="K427" s="298" t="s">
        <v>1796</v>
      </c>
      <c r="L427"/>
      <c r="M427" s="127"/>
      <c r="N427"/>
    </row>
    <row r="428" spans="1:14" ht="57.95">
      <c r="A428" s="211">
        <v>427</v>
      </c>
      <c r="B428" s="302" t="s">
        <v>1761</v>
      </c>
      <c r="C428"/>
      <c r="D428" s="307" t="s">
        <v>1801</v>
      </c>
      <c r="E428"/>
      <c r="F428" s="224" t="s">
        <v>2713</v>
      </c>
      <c r="G428"/>
      <c r="H428" s="361"/>
      <c r="I428" s="362">
        <v>2025</v>
      </c>
      <c r="J428" s="297" t="s">
        <v>616</v>
      </c>
      <c r="K428" s="8" t="s">
        <v>617</v>
      </c>
      <c r="L428"/>
      <c r="M428" s="127"/>
      <c r="N428"/>
    </row>
    <row r="429" spans="1:14" ht="14.45">
      <c r="B429"/>
      <c r="C429"/>
      <c r="D429" s="3"/>
      <c r="E429"/>
      <c r="G429"/>
      <c r="H429" s="361"/>
      <c r="I429" s="362"/>
      <c r="J429" s="127"/>
      <c r="K429"/>
      <c r="L429"/>
      <c r="M429" s="127"/>
      <c r="N429"/>
    </row>
    <row r="430" spans="1:14" ht="14.45">
      <c r="B430"/>
      <c r="C430"/>
      <c r="D430" s="3"/>
      <c r="E430"/>
      <c r="G430"/>
      <c r="H430" s="361"/>
      <c r="I430" s="362"/>
      <c r="J430" s="127"/>
      <c r="K430"/>
      <c r="L430"/>
      <c r="M430" s="127"/>
      <c r="N430"/>
    </row>
    <row r="431" spans="1:14" ht="14.45">
      <c r="B431"/>
      <c r="C431"/>
      <c r="D431" s="3"/>
      <c r="E431"/>
      <c r="G431"/>
      <c r="H431" s="361"/>
      <c r="I431" s="362"/>
      <c r="J431" s="127"/>
      <c r="K431"/>
      <c r="L431"/>
      <c r="M431" s="127"/>
      <c r="N431"/>
    </row>
    <row r="432" spans="1:14" ht="14.45">
      <c r="B432"/>
      <c r="C432"/>
      <c r="D432" s="3"/>
      <c r="E432"/>
      <c r="G432"/>
      <c r="H432" s="361"/>
      <c r="I432" s="362"/>
      <c r="J432" s="127"/>
      <c r="K432"/>
      <c r="L432"/>
      <c r="M432" s="127"/>
      <c r="N432"/>
    </row>
    <row r="433" spans="2:16" ht="14.45">
      <c r="B433"/>
      <c r="C433"/>
      <c r="D433" s="3"/>
      <c r="E433"/>
      <c r="G433"/>
      <c r="H433" s="361"/>
      <c r="I433" s="362"/>
      <c r="L433" s="10"/>
      <c r="M433" s="10"/>
      <c r="N433" s="17"/>
      <c r="O433" s="19"/>
      <c r="P433" s="8"/>
    </row>
    <row r="434" spans="2:16" ht="14.45">
      <c r="B434"/>
      <c r="C434"/>
      <c r="D434" s="3"/>
      <c r="E434"/>
      <c r="G434"/>
      <c r="H434" s="361"/>
      <c r="I434" s="362"/>
      <c r="J434" s="127"/>
      <c r="K434"/>
      <c r="L434"/>
      <c r="M434" s="127"/>
      <c r="N434"/>
    </row>
    <row r="435" spans="2:16" ht="14.45">
      <c r="B435"/>
      <c r="C435"/>
      <c r="D435" s="3"/>
      <c r="E435"/>
      <c r="G435"/>
      <c r="H435" s="361"/>
      <c r="I435" s="362"/>
      <c r="J435" s="127"/>
      <c r="K435"/>
      <c r="L435"/>
      <c r="M435" s="127"/>
      <c r="N435"/>
    </row>
    <row r="436" spans="2:16" ht="14.45">
      <c r="B436"/>
      <c r="C436"/>
      <c r="D436" s="3"/>
      <c r="E436"/>
      <c r="G436"/>
      <c r="H436" s="361"/>
      <c r="I436" s="362"/>
      <c r="J436" s="127"/>
      <c r="K436"/>
      <c r="L436"/>
      <c r="M436" s="127"/>
      <c r="N436"/>
    </row>
    <row r="437" spans="2:16" ht="14.45">
      <c r="B437"/>
      <c r="C437"/>
      <c r="D437" s="3"/>
      <c r="E437"/>
      <c r="G437"/>
      <c r="H437" s="361"/>
      <c r="I437" s="362"/>
      <c r="J437" s="127"/>
      <c r="K437"/>
      <c r="L437"/>
      <c r="M437" s="127"/>
      <c r="N437"/>
    </row>
    <row r="438" spans="2:16" ht="14.45">
      <c r="B438"/>
      <c r="C438"/>
      <c r="D438" s="3"/>
      <c r="E438"/>
      <c r="G438"/>
      <c r="H438" s="361"/>
      <c r="I438" s="362"/>
      <c r="J438" s="127"/>
      <c r="K438"/>
      <c r="L438"/>
      <c r="M438" s="127"/>
      <c r="N438"/>
    </row>
    <row r="439" spans="2:16" ht="14.45">
      <c r="B439"/>
      <c r="C439"/>
      <c r="D439" s="3"/>
      <c r="E439"/>
      <c r="G439"/>
      <c r="H439" s="361"/>
      <c r="I439" s="362"/>
      <c r="J439" s="127"/>
      <c r="K439"/>
      <c r="L439"/>
      <c r="M439" s="127"/>
      <c r="N439"/>
    </row>
    <row r="440" spans="2:16" ht="14.45">
      <c r="B440"/>
      <c r="C440"/>
      <c r="D440" s="3"/>
      <c r="E440"/>
      <c r="G440"/>
      <c r="H440" s="361"/>
      <c r="I440" s="362"/>
      <c r="J440" s="127"/>
      <c r="K440"/>
      <c r="L440"/>
      <c r="M440" s="127"/>
      <c r="N440"/>
    </row>
    <row r="441" spans="2:16" ht="14.45">
      <c r="B441"/>
      <c r="C441"/>
      <c r="D441" s="3"/>
      <c r="E441"/>
      <c r="G441"/>
      <c r="H441" s="361"/>
      <c r="I441" s="362"/>
      <c r="J441" s="127"/>
      <c r="K441"/>
      <c r="L441"/>
      <c r="M441" s="127"/>
      <c r="N441"/>
    </row>
    <row r="442" spans="2:16" ht="14.45">
      <c r="B442"/>
      <c r="C442"/>
      <c r="D442" s="3"/>
      <c r="E442"/>
      <c r="G442"/>
      <c r="H442" s="361"/>
      <c r="I442" s="362"/>
      <c r="J442" s="127"/>
      <c r="K442"/>
      <c r="L442"/>
      <c r="M442" s="127"/>
      <c r="N442"/>
    </row>
    <row r="443" spans="2:16" ht="14.45">
      <c r="B443"/>
      <c r="C443"/>
      <c r="D443" s="3"/>
      <c r="E443"/>
      <c r="G443"/>
      <c r="H443" s="361"/>
      <c r="I443" s="362"/>
      <c r="J443" s="127"/>
      <c r="K443"/>
      <c r="L443"/>
      <c r="M443" s="127"/>
      <c r="N443"/>
    </row>
    <row r="444" spans="2:16" ht="14.45">
      <c r="B444"/>
      <c r="C444"/>
      <c r="D444" s="3"/>
      <c r="E444"/>
      <c r="G444"/>
      <c r="H444" s="361"/>
      <c r="I444" s="362"/>
      <c r="J444" s="127"/>
      <c r="K444"/>
      <c r="L444"/>
      <c r="M444" s="127"/>
      <c r="N444"/>
    </row>
    <row r="445" spans="2:16" ht="14.45">
      <c r="B445"/>
      <c r="C445"/>
      <c r="D445" s="3"/>
      <c r="E445"/>
      <c r="G445"/>
      <c r="H445" s="361"/>
      <c r="I445" s="362"/>
      <c r="J445" s="127"/>
      <c r="K445"/>
      <c r="L445"/>
      <c r="M445" s="127"/>
      <c r="N445"/>
    </row>
    <row r="446" spans="2:16" ht="14.45">
      <c r="B446"/>
      <c r="C446"/>
      <c r="D446" s="3"/>
      <c r="E446"/>
      <c r="G446"/>
      <c r="H446" s="361"/>
      <c r="I446" s="362"/>
      <c r="J446" s="127"/>
      <c r="K446"/>
      <c r="L446"/>
      <c r="M446" s="127"/>
      <c r="N446"/>
    </row>
    <row r="447" spans="2:16" ht="14.45">
      <c r="B447"/>
      <c r="C447"/>
      <c r="D447" s="3"/>
      <c r="E447"/>
      <c r="G447"/>
      <c r="H447" s="361"/>
      <c r="I447" s="362"/>
      <c r="J447" s="127"/>
      <c r="K447"/>
      <c r="L447"/>
      <c r="M447" s="127"/>
      <c r="N447"/>
    </row>
    <row r="448" spans="2:16" ht="14.45">
      <c r="B448"/>
      <c r="C448"/>
      <c r="D448" s="3"/>
      <c r="E448"/>
      <c r="G448"/>
      <c r="H448" s="361"/>
      <c r="I448" s="362"/>
      <c r="J448" s="127"/>
      <c r="K448"/>
      <c r="L448"/>
      <c r="M448" s="127"/>
      <c r="N448"/>
    </row>
    <row r="449" spans="2:14" ht="14.45">
      <c r="B449"/>
      <c r="C449"/>
      <c r="D449" s="3"/>
      <c r="E449"/>
      <c r="G449"/>
      <c r="H449" s="361"/>
      <c r="I449" s="362"/>
      <c r="J449" s="127"/>
      <c r="K449"/>
      <c r="L449"/>
      <c r="M449" s="127"/>
      <c r="N449"/>
    </row>
    <row r="450" spans="2:14" ht="14.45">
      <c r="B450"/>
      <c r="C450"/>
      <c r="D450" s="3"/>
      <c r="E450"/>
      <c r="G450"/>
      <c r="H450" s="361"/>
      <c r="I450" s="362"/>
      <c r="J450" s="127"/>
      <c r="K450"/>
      <c r="L450"/>
      <c r="M450" s="127"/>
      <c r="N450"/>
    </row>
    <row r="451" spans="2:14" ht="14.45">
      <c r="B451"/>
      <c r="C451"/>
      <c r="D451" s="3"/>
      <c r="E451"/>
      <c r="G451"/>
      <c r="H451" s="361"/>
      <c r="I451" s="362"/>
      <c r="J451" s="127"/>
      <c r="K451"/>
      <c r="L451"/>
      <c r="M451" s="127"/>
      <c r="N451"/>
    </row>
    <row r="452" spans="2:14" ht="14.45">
      <c r="B452"/>
      <c r="C452"/>
      <c r="D452" s="3"/>
      <c r="E452"/>
      <c r="G452"/>
      <c r="H452" s="361"/>
      <c r="I452" s="362"/>
      <c r="J452" s="127"/>
      <c r="K452"/>
      <c r="L452"/>
      <c r="M452" s="127"/>
      <c r="N452"/>
    </row>
    <row r="453" spans="2:14" ht="14.45">
      <c r="B453"/>
      <c r="C453"/>
      <c r="D453" s="3"/>
      <c r="E453"/>
      <c r="G453"/>
      <c r="H453" s="361"/>
      <c r="I453" s="362"/>
      <c r="J453" s="127"/>
      <c r="K453"/>
      <c r="L453"/>
      <c r="M453" s="127"/>
      <c r="N453"/>
    </row>
    <row r="454" spans="2:14" ht="14.45">
      <c r="B454"/>
      <c r="C454"/>
      <c r="D454" s="3"/>
      <c r="E454"/>
      <c r="G454"/>
      <c r="H454" s="361"/>
      <c r="I454" s="362"/>
      <c r="J454" s="127"/>
      <c r="K454"/>
      <c r="L454"/>
      <c r="M454" s="127"/>
      <c r="N454"/>
    </row>
    <row r="455" spans="2:14" ht="14.45">
      <c r="B455"/>
      <c r="C455"/>
      <c r="D455" s="3"/>
      <c r="E455"/>
      <c r="G455"/>
      <c r="H455" s="361"/>
      <c r="I455" s="362"/>
      <c r="J455" s="127"/>
      <c r="K455"/>
      <c r="L455"/>
      <c r="M455" s="127"/>
      <c r="N455"/>
    </row>
    <row r="456" spans="2:14" ht="14.45">
      <c r="B456"/>
      <c r="C456"/>
      <c r="D456" s="3"/>
      <c r="E456"/>
      <c r="G456"/>
      <c r="H456" s="361"/>
      <c r="I456" s="362"/>
      <c r="J456" s="127"/>
      <c r="K456"/>
      <c r="L456"/>
      <c r="M456" s="127"/>
      <c r="N456"/>
    </row>
    <row r="457" spans="2:14" ht="14.45">
      <c r="B457"/>
      <c r="C457"/>
      <c r="D457" s="3"/>
      <c r="E457"/>
      <c r="G457"/>
      <c r="H457" s="361"/>
      <c r="I457" s="362"/>
      <c r="J457" s="127"/>
      <c r="K457"/>
      <c r="L457"/>
      <c r="M457" s="127"/>
      <c r="N457"/>
    </row>
    <row r="458" spans="2:14" ht="14.45">
      <c r="B458"/>
      <c r="C458"/>
      <c r="D458" s="3"/>
      <c r="E458"/>
      <c r="G458"/>
      <c r="H458" s="361"/>
      <c r="I458" s="362"/>
      <c r="J458" s="127"/>
      <c r="K458"/>
      <c r="L458"/>
      <c r="M458" s="127"/>
      <c r="N458"/>
    </row>
    <row r="459" spans="2:14" ht="14.45">
      <c r="B459"/>
      <c r="C459"/>
      <c r="D459" s="3"/>
      <c r="E459"/>
      <c r="G459"/>
      <c r="H459" s="361"/>
      <c r="I459" s="362"/>
      <c r="J459" s="127"/>
      <c r="K459"/>
      <c r="L459"/>
      <c r="M459" s="127"/>
      <c r="N459"/>
    </row>
    <row r="460" spans="2:14" ht="14.45">
      <c r="B460"/>
      <c r="C460"/>
      <c r="D460" s="3"/>
      <c r="E460"/>
      <c r="G460"/>
      <c r="H460" s="361"/>
      <c r="I460" s="362"/>
      <c r="J460" s="127"/>
      <c r="K460"/>
      <c r="L460"/>
      <c r="M460" s="127"/>
      <c r="N460"/>
    </row>
    <row r="461" spans="2:14" ht="14.45">
      <c r="B461"/>
      <c r="C461"/>
      <c r="D461" s="3"/>
      <c r="E461"/>
      <c r="G461"/>
      <c r="H461" s="361"/>
      <c r="I461" s="362"/>
      <c r="J461" s="127"/>
      <c r="K461"/>
      <c r="L461"/>
      <c r="M461" s="127"/>
      <c r="N461"/>
    </row>
    <row r="462" spans="2:14" ht="14.45">
      <c r="B462"/>
      <c r="C462"/>
      <c r="D462" s="3"/>
      <c r="E462"/>
      <c r="G462"/>
      <c r="H462" s="361"/>
      <c r="I462" s="362"/>
      <c r="J462" s="127"/>
      <c r="K462"/>
      <c r="L462"/>
      <c r="M462" s="127"/>
      <c r="N462"/>
    </row>
    <row r="463" spans="2:14" ht="14.45">
      <c r="B463"/>
      <c r="C463"/>
      <c r="D463" s="3"/>
      <c r="E463"/>
      <c r="G463"/>
      <c r="H463" s="361"/>
      <c r="I463" s="362"/>
      <c r="J463" s="127"/>
      <c r="K463"/>
      <c r="L463"/>
      <c r="M463" s="127"/>
      <c r="N463"/>
    </row>
    <row r="464" spans="2:14" ht="14.45">
      <c r="B464"/>
      <c r="C464"/>
      <c r="D464" s="3"/>
      <c r="E464"/>
      <c r="G464"/>
      <c r="H464" s="361"/>
      <c r="I464" s="362"/>
      <c r="J464" s="127"/>
      <c r="K464"/>
      <c r="L464"/>
      <c r="M464" s="127"/>
      <c r="N464"/>
    </row>
    <row r="465" spans="2:14" ht="14.45">
      <c r="B465"/>
      <c r="C465"/>
      <c r="D465" s="3"/>
      <c r="E465"/>
      <c r="G465"/>
      <c r="H465" s="361"/>
      <c r="I465" s="362"/>
      <c r="J465" s="127"/>
      <c r="K465"/>
      <c r="L465"/>
      <c r="M465" s="127"/>
      <c r="N465"/>
    </row>
    <row r="466" spans="2:14" ht="14.45">
      <c r="B466"/>
      <c r="C466"/>
      <c r="D466" s="3"/>
      <c r="E466"/>
      <c r="G466"/>
      <c r="H466" s="361"/>
      <c r="I466" s="362"/>
      <c r="J466" s="127"/>
      <c r="K466"/>
      <c r="L466"/>
      <c r="M466" s="127"/>
      <c r="N466"/>
    </row>
    <row r="467" spans="2:14" ht="14.45">
      <c r="B467"/>
      <c r="C467"/>
      <c r="D467" s="3"/>
      <c r="E467"/>
      <c r="G467"/>
      <c r="H467" s="361"/>
      <c r="I467" s="362"/>
      <c r="J467" s="127"/>
      <c r="K467"/>
      <c r="L467"/>
      <c r="M467" s="127"/>
      <c r="N467"/>
    </row>
    <row r="468" spans="2:14" ht="14.45">
      <c r="B468"/>
      <c r="C468"/>
      <c r="D468" s="3"/>
      <c r="E468"/>
      <c r="G468"/>
      <c r="H468" s="361"/>
      <c r="I468" s="362"/>
      <c r="J468" s="127"/>
      <c r="K468"/>
      <c r="L468"/>
      <c r="M468" s="127"/>
      <c r="N468"/>
    </row>
    <row r="469" spans="2:14" ht="14.45">
      <c r="B469"/>
      <c r="C469"/>
      <c r="D469" s="3"/>
      <c r="E469"/>
      <c r="G469"/>
      <c r="H469" s="361"/>
      <c r="I469" s="362"/>
      <c r="J469" s="127"/>
      <c r="K469"/>
      <c r="L469"/>
      <c r="M469" s="127"/>
      <c r="N469"/>
    </row>
    <row r="470" spans="2:14" ht="14.45">
      <c r="B470"/>
      <c r="C470"/>
      <c r="D470" s="3"/>
      <c r="E470"/>
      <c r="G470"/>
      <c r="H470" s="361"/>
      <c r="I470" s="362"/>
      <c r="J470" s="127"/>
      <c r="K470"/>
      <c r="L470"/>
      <c r="M470" s="127"/>
      <c r="N470"/>
    </row>
    <row r="471" spans="2:14" ht="14.45">
      <c r="B471"/>
      <c r="C471"/>
      <c r="D471" s="3"/>
      <c r="E471"/>
      <c r="G471"/>
      <c r="H471" s="361"/>
      <c r="I471" s="362"/>
      <c r="J471" s="127"/>
      <c r="K471"/>
      <c r="L471"/>
      <c r="M471" s="127"/>
      <c r="N471"/>
    </row>
    <row r="472" spans="2:14" ht="14.45">
      <c r="B472"/>
      <c r="C472"/>
      <c r="D472" s="3"/>
      <c r="E472"/>
      <c r="G472"/>
      <c r="H472" s="361"/>
      <c r="I472" s="362"/>
      <c r="J472" s="127"/>
      <c r="K472"/>
      <c r="L472"/>
      <c r="M472" s="127"/>
      <c r="N472"/>
    </row>
    <row r="473" spans="2:14" ht="14.45">
      <c r="B473"/>
      <c r="C473"/>
      <c r="D473" s="3"/>
      <c r="E473"/>
      <c r="G473"/>
      <c r="H473" s="361"/>
      <c r="I473" s="362"/>
      <c r="J473" s="127"/>
      <c r="K473"/>
      <c r="L473"/>
      <c r="M473" s="127"/>
      <c r="N473"/>
    </row>
    <row r="474" spans="2:14" ht="14.45">
      <c r="B474"/>
      <c r="C474"/>
      <c r="D474" s="3"/>
      <c r="E474"/>
      <c r="G474"/>
      <c r="H474" s="361"/>
      <c r="I474" s="362"/>
      <c r="J474" s="127"/>
      <c r="K474"/>
      <c r="L474"/>
      <c r="M474" s="127"/>
      <c r="N474"/>
    </row>
    <row r="475" spans="2:14" ht="14.45">
      <c r="B475"/>
      <c r="C475"/>
      <c r="D475" s="3"/>
      <c r="E475"/>
      <c r="G475"/>
      <c r="H475" s="361"/>
      <c r="I475" s="362"/>
      <c r="J475" s="127"/>
      <c r="K475"/>
      <c r="L475"/>
      <c r="M475" s="127"/>
      <c r="N475"/>
    </row>
    <row r="476" spans="2:14" ht="14.45">
      <c r="B476"/>
      <c r="C476"/>
      <c r="D476" s="3"/>
      <c r="E476"/>
      <c r="G476"/>
      <c r="H476" s="361"/>
      <c r="I476" s="362"/>
      <c r="J476" s="127"/>
      <c r="K476"/>
      <c r="L476"/>
      <c r="M476" s="127"/>
      <c r="N476"/>
    </row>
    <row r="477" spans="2:14" ht="14.45">
      <c r="B477"/>
      <c r="C477"/>
      <c r="D477" s="3"/>
      <c r="E477"/>
      <c r="G477"/>
      <c r="H477" s="361"/>
      <c r="I477" s="362"/>
      <c r="J477" s="127"/>
      <c r="K477"/>
      <c r="L477"/>
      <c r="M477" s="127"/>
      <c r="N477"/>
    </row>
    <row r="478" spans="2:14" ht="14.45">
      <c r="B478"/>
      <c r="C478"/>
      <c r="D478" s="3"/>
      <c r="E478"/>
      <c r="G478"/>
      <c r="H478" s="361"/>
      <c r="I478" s="362"/>
      <c r="J478" s="127"/>
      <c r="K478"/>
      <c r="L478"/>
      <c r="M478" s="127"/>
      <c r="N478"/>
    </row>
    <row r="479" spans="2:14" ht="14.45">
      <c r="B479"/>
      <c r="C479"/>
      <c r="D479" s="3"/>
      <c r="E479"/>
      <c r="G479"/>
      <c r="H479" s="361"/>
      <c r="I479" s="362"/>
      <c r="J479" s="127"/>
      <c r="K479"/>
      <c r="L479"/>
      <c r="M479" s="127"/>
      <c r="N479"/>
    </row>
    <row r="480" spans="2:14" ht="14.45">
      <c r="B480"/>
      <c r="C480"/>
      <c r="D480" s="3"/>
      <c r="E480"/>
      <c r="G480"/>
      <c r="H480" s="361"/>
      <c r="I480" s="362"/>
      <c r="J480" s="127"/>
      <c r="K480"/>
      <c r="L480"/>
      <c r="M480" s="127"/>
      <c r="N480"/>
    </row>
    <row r="481" spans="2:14" ht="14.45">
      <c r="B481"/>
      <c r="C481"/>
      <c r="D481" s="3"/>
      <c r="E481"/>
      <c r="G481"/>
      <c r="H481" s="361"/>
      <c r="I481" s="362"/>
      <c r="J481" s="127"/>
      <c r="K481"/>
      <c r="L481"/>
      <c r="M481" s="127"/>
      <c r="N481"/>
    </row>
    <row r="482" spans="2:14" ht="14.45">
      <c r="B482"/>
      <c r="C482"/>
      <c r="D482" s="3"/>
      <c r="E482"/>
      <c r="G482"/>
      <c r="H482" s="361"/>
      <c r="I482" s="362"/>
      <c r="J482" s="127"/>
      <c r="K482"/>
      <c r="L482"/>
      <c r="M482" s="127"/>
      <c r="N482"/>
    </row>
    <row r="483" spans="2:14" ht="14.45">
      <c r="B483"/>
      <c r="C483"/>
      <c r="D483" s="3"/>
      <c r="E483"/>
      <c r="G483"/>
      <c r="H483" s="361"/>
      <c r="I483" s="362"/>
      <c r="J483" s="127"/>
      <c r="K483"/>
      <c r="L483"/>
      <c r="M483" s="127"/>
      <c r="N483"/>
    </row>
    <row r="484" spans="2:14" ht="14.45">
      <c r="B484"/>
      <c r="C484"/>
      <c r="D484" s="3"/>
      <c r="E484"/>
      <c r="G484"/>
      <c r="H484" s="361"/>
      <c r="I484" s="362"/>
      <c r="J484" s="127"/>
      <c r="K484"/>
      <c r="L484"/>
      <c r="M484" s="127"/>
      <c r="N484"/>
    </row>
    <row r="485" spans="2:14" ht="14.45">
      <c r="B485"/>
      <c r="C485"/>
      <c r="D485" s="3"/>
      <c r="E485"/>
      <c r="G485"/>
      <c r="H485" s="361"/>
      <c r="I485" s="362"/>
      <c r="J485" s="127"/>
      <c r="K485"/>
      <c r="L485"/>
      <c r="M485" s="127"/>
      <c r="N485"/>
    </row>
    <row r="486" spans="2:14" ht="14.45">
      <c r="B486"/>
      <c r="C486"/>
      <c r="D486" s="3"/>
      <c r="E486"/>
      <c r="G486"/>
      <c r="H486" s="361"/>
      <c r="I486" s="362"/>
      <c r="J486" s="127"/>
      <c r="K486"/>
      <c r="L486"/>
      <c r="M486" s="127"/>
      <c r="N486"/>
    </row>
    <row r="487" spans="2:14" ht="14.45">
      <c r="B487"/>
      <c r="C487"/>
      <c r="D487" s="3"/>
      <c r="E487"/>
      <c r="G487"/>
      <c r="H487" s="361"/>
      <c r="I487" s="362"/>
      <c r="J487" s="127"/>
      <c r="K487"/>
      <c r="L487"/>
      <c r="M487" s="127"/>
      <c r="N487"/>
    </row>
    <row r="488" spans="2:14" ht="14.45">
      <c r="B488"/>
      <c r="C488"/>
      <c r="D488" s="3"/>
      <c r="E488"/>
      <c r="G488"/>
      <c r="H488" s="361"/>
      <c r="I488" s="362"/>
      <c r="J488" s="127"/>
      <c r="K488"/>
      <c r="L488"/>
      <c r="M488" s="127"/>
      <c r="N488"/>
    </row>
    <row r="489" spans="2:14" ht="14.45">
      <c r="B489"/>
      <c r="C489"/>
      <c r="D489" s="3"/>
      <c r="E489"/>
      <c r="G489"/>
      <c r="H489" s="361"/>
      <c r="I489" s="362"/>
      <c r="J489" s="127"/>
      <c r="K489"/>
      <c r="L489"/>
      <c r="M489" s="127"/>
      <c r="N489"/>
    </row>
    <row r="490" spans="2:14" ht="14.45">
      <c r="B490"/>
      <c r="C490"/>
      <c r="D490" s="3"/>
      <c r="E490"/>
      <c r="G490"/>
      <c r="H490" s="361"/>
      <c r="I490" s="362"/>
      <c r="J490" s="127"/>
      <c r="K490"/>
      <c r="L490"/>
      <c r="M490" s="127"/>
      <c r="N490"/>
    </row>
    <row r="491" spans="2:14" ht="14.45">
      <c r="B491"/>
      <c r="C491"/>
      <c r="D491" s="3"/>
      <c r="E491"/>
      <c r="G491"/>
      <c r="H491" s="361"/>
      <c r="I491" s="362"/>
      <c r="J491" s="127"/>
      <c r="K491"/>
      <c r="L491"/>
      <c r="M491" s="127"/>
      <c r="N491"/>
    </row>
    <row r="492" spans="2:14" ht="14.45">
      <c r="B492"/>
      <c r="C492"/>
      <c r="D492" s="3"/>
      <c r="E492"/>
      <c r="G492"/>
      <c r="H492" s="361"/>
      <c r="I492" s="362"/>
      <c r="J492" s="127"/>
      <c r="K492"/>
      <c r="L492"/>
      <c r="M492" s="127"/>
      <c r="N492"/>
    </row>
    <row r="493" spans="2:14" ht="14.45">
      <c r="B493"/>
      <c r="C493"/>
      <c r="D493" s="3"/>
      <c r="E493"/>
      <c r="G493"/>
      <c r="H493" s="361"/>
      <c r="I493" s="362"/>
      <c r="J493" s="127"/>
      <c r="K493"/>
      <c r="L493"/>
      <c r="M493" s="127"/>
      <c r="N493"/>
    </row>
    <row r="494" spans="2:14" ht="14.45">
      <c r="B494"/>
      <c r="C494"/>
      <c r="D494" s="3"/>
      <c r="E494"/>
      <c r="G494"/>
      <c r="H494" s="361"/>
      <c r="I494" s="362"/>
      <c r="J494" s="127"/>
      <c r="K494"/>
      <c r="L494"/>
      <c r="M494" s="127"/>
      <c r="N494"/>
    </row>
    <row r="495" spans="2:14" ht="14.45">
      <c r="B495"/>
      <c r="C495"/>
      <c r="D495" s="3"/>
      <c r="E495"/>
      <c r="G495"/>
      <c r="H495" s="361"/>
      <c r="I495" s="362"/>
      <c r="J495" s="127"/>
      <c r="K495"/>
      <c r="L495"/>
      <c r="M495" s="127"/>
      <c r="N495"/>
    </row>
    <row r="496" spans="2:14" ht="14.45">
      <c r="B496"/>
      <c r="C496"/>
      <c r="D496" s="3"/>
      <c r="E496"/>
      <c r="G496"/>
      <c r="H496" s="361"/>
      <c r="I496" s="362"/>
      <c r="J496" s="127"/>
      <c r="K496"/>
      <c r="L496"/>
      <c r="M496" s="127"/>
      <c r="N496"/>
    </row>
    <row r="497" spans="2:14" ht="14.45">
      <c r="B497"/>
      <c r="C497"/>
      <c r="D497" s="3"/>
      <c r="E497"/>
      <c r="G497"/>
      <c r="H497" s="361"/>
      <c r="I497" s="362"/>
      <c r="J497" s="127"/>
      <c r="K497"/>
      <c r="L497"/>
      <c r="M497" s="127"/>
      <c r="N497"/>
    </row>
    <row r="498" spans="2:14" ht="14.45">
      <c r="B498"/>
      <c r="C498"/>
      <c r="D498" s="3"/>
      <c r="E498"/>
      <c r="G498"/>
      <c r="H498" s="361"/>
      <c r="I498" s="362"/>
      <c r="J498" s="127"/>
      <c r="K498"/>
      <c r="L498"/>
      <c r="M498" s="127"/>
      <c r="N498"/>
    </row>
    <row r="499" spans="2:14" ht="14.45">
      <c r="B499"/>
      <c r="C499"/>
      <c r="D499" s="3"/>
      <c r="E499"/>
      <c r="G499"/>
      <c r="H499" s="361"/>
      <c r="I499" s="362"/>
      <c r="J499" s="127"/>
      <c r="K499"/>
      <c r="L499"/>
      <c r="M499" s="127"/>
      <c r="N499"/>
    </row>
    <row r="500" spans="2:14" ht="14.45">
      <c r="B500"/>
      <c r="C500"/>
      <c r="D500" s="3"/>
      <c r="E500"/>
      <c r="G500"/>
      <c r="H500" s="361"/>
      <c r="I500" s="362"/>
      <c r="J500" s="127"/>
      <c r="K500"/>
      <c r="L500"/>
      <c r="M500" s="127"/>
      <c r="N500"/>
    </row>
    <row r="501" spans="2:14" ht="14.45">
      <c r="B501"/>
      <c r="C501"/>
      <c r="D501" s="3"/>
      <c r="E501"/>
      <c r="G501"/>
      <c r="H501" s="361"/>
      <c r="I501" s="362"/>
      <c r="J501" s="127"/>
      <c r="K501"/>
      <c r="L501"/>
      <c r="M501" s="127"/>
      <c r="N501"/>
    </row>
    <row r="502" spans="2:14" ht="14.45">
      <c r="B502"/>
      <c r="C502"/>
      <c r="D502" s="3"/>
      <c r="E502"/>
      <c r="G502"/>
      <c r="H502" s="361"/>
      <c r="I502" s="362"/>
      <c r="J502" s="127"/>
      <c r="K502"/>
      <c r="L502"/>
      <c r="M502" s="127"/>
      <c r="N502"/>
    </row>
    <row r="503" spans="2:14" ht="14.45">
      <c r="B503"/>
      <c r="C503"/>
      <c r="D503" s="3"/>
      <c r="E503"/>
      <c r="G503"/>
      <c r="H503" s="361"/>
      <c r="I503" s="362"/>
      <c r="J503" s="127"/>
      <c r="K503"/>
      <c r="L503"/>
      <c r="M503" s="127"/>
      <c r="N503"/>
    </row>
    <row r="504" spans="2:14" ht="14.45">
      <c r="B504"/>
      <c r="C504"/>
      <c r="D504" s="3"/>
      <c r="E504"/>
      <c r="G504"/>
      <c r="H504" s="361"/>
      <c r="I504" s="362"/>
      <c r="J504" s="127"/>
      <c r="K504"/>
      <c r="L504"/>
      <c r="M504" s="127"/>
      <c r="N504"/>
    </row>
    <row r="505" spans="2:14" ht="14.45">
      <c r="B505"/>
      <c r="C505"/>
      <c r="D505" s="3"/>
      <c r="E505"/>
      <c r="G505"/>
      <c r="H505" s="361"/>
      <c r="I505" s="362"/>
      <c r="J505" s="127"/>
      <c r="K505"/>
      <c r="L505"/>
      <c r="M505" s="127"/>
      <c r="N505"/>
    </row>
    <row r="506" spans="2:14" ht="14.45">
      <c r="B506"/>
      <c r="C506"/>
      <c r="D506" s="3"/>
      <c r="E506"/>
      <c r="G506"/>
      <c r="H506" s="361"/>
      <c r="I506" s="362"/>
      <c r="J506" s="127"/>
      <c r="K506"/>
      <c r="L506"/>
      <c r="M506" s="127"/>
      <c r="N506"/>
    </row>
    <row r="507" spans="2:14" ht="14.45">
      <c r="B507"/>
      <c r="C507"/>
      <c r="D507" s="3"/>
      <c r="E507"/>
      <c r="G507"/>
      <c r="H507" s="361"/>
      <c r="I507" s="362"/>
      <c r="J507" s="127"/>
      <c r="K507"/>
      <c r="L507"/>
      <c r="M507" s="127"/>
      <c r="N507"/>
    </row>
    <row r="508" spans="2:14" ht="14.45">
      <c r="B508"/>
      <c r="C508"/>
      <c r="D508" s="3"/>
      <c r="E508"/>
      <c r="G508"/>
      <c r="H508" s="361"/>
      <c r="I508" s="362"/>
      <c r="J508" s="127"/>
      <c r="K508"/>
      <c r="L508"/>
      <c r="M508" s="127"/>
      <c r="N508"/>
    </row>
    <row r="509" spans="2:14" ht="14.45">
      <c r="B509"/>
      <c r="C509"/>
      <c r="D509" s="3"/>
      <c r="E509"/>
      <c r="G509"/>
      <c r="H509" s="361"/>
      <c r="I509" s="362"/>
      <c r="J509" s="127"/>
      <c r="K509"/>
      <c r="L509"/>
      <c r="M509" s="127"/>
      <c r="N509"/>
    </row>
    <row r="510" spans="2:14" ht="14.45">
      <c r="B510"/>
      <c r="C510"/>
      <c r="D510" s="3"/>
      <c r="E510"/>
      <c r="G510"/>
      <c r="H510" s="361"/>
      <c r="I510" s="362"/>
      <c r="J510" s="127"/>
      <c r="K510"/>
      <c r="L510"/>
      <c r="M510" s="127"/>
      <c r="N510"/>
    </row>
    <row r="511" spans="2:14" ht="14.45">
      <c r="B511"/>
      <c r="C511"/>
      <c r="D511" s="3"/>
      <c r="E511"/>
      <c r="G511"/>
      <c r="H511" s="361"/>
      <c r="I511" s="362"/>
      <c r="J511" s="127"/>
      <c r="K511"/>
      <c r="L511"/>
      <c r="M511" s="127"/>
      <c r="N511"/>
    </row>
    <row r="512" spans="2:14" ht="14.45">
      <c r="B512"/>
      <c r="C512"/>
      <c r="D512" s="3"/>
      <c r="E512"/>
      <c r="G512"/>
      <c r="H512" s="361"/>
      <c r="I512" s="362"/>
      <c r="J512" s="127"/>
      <c r="K512"/>
      <c r="L512"/>
      <c r="M512" s="127"/>
      <c r="N512"/>
    </row>
    <row r="513" spans="2:14" ht="14.45">
      <c r="B513"/>
      <c r="C513"/>
      <c r="D513" s="3"/>
      <c r="E513"/>
      <c r="G513"/>
      <c r="H513" s="361"/>
      <c r="I513" s="362"/>
      <c r="J513" s="127"/>
      <c r="K513"/>
      <c r="L513"/>
      <c r="M513" s="127"/>
      <c r="N513"/>
    </row>
    <row r="514" spans="2:14" ht="14.45">
      <c r="B514"/>
      <c r="C514"/>
      <c r="D514" s="3"/>
      <c r="E514"/>
      <c r="G514"/>
      <c r="H514" s="361"/>
      <c r="I514" s="362"/>
      <c r="J514" s="127"/>
      <c r="K514"/>
      <c r="L514"/>
      <c r="M514" s="127"/>
      <c r="N514"/>
    </row>
    <row r="515" spans="2:14" ht="14.45">
      <c r="B515"/>
      <c r="C515"/>
      <c r="D515" s="3"/>
      <c r="E515"/>
      <c r="G515"/>
      <c r="H515" s="361"/>
      <c r="I515" s="362"/>
      <c r="J515" s="127"/>
      <c r="K515"/>
      <c r="L515"/>
      <c r="M515" s="127"/>
      <c r="N515"/>
    </row>
    <row r="516" spans="2:14" ht="14.45">
      <c r="B516"/>
      <c r="C516"/>
      <c r="D516" s="3"/>
      <c r="E516"/>
      <c r="G516"/>
      <c r="H516" s="361"/>
      <c r="I516" s="362"/>
      <c r="J516" s="127"/>
      <c r="K516"/>
      <c r="L516"/>
      <c r="M516" s="127"/>
      <c r="N516"/>
    </row>
    <row r="517" spans="2:14" ht="14.45">
      <c r="B517"/>
      <c r="C517"/>
      <c r="D517" s="3"/>
      <c r="E517"/>
      <c r="G517"/>
      <c r="H517" s="361"/>
      <c r="I517" s="362"/>
      <c r="J517" s="127"/>
      <c r="K517"/>
      <c r="L517"/>
      <c r="M517" s="127"/>
      <c r="N517"/>
    </row>
    <row r="518" spans="2:14" ht="14.45">
      <c r="B518"/>
      <c r="C518"/>
      <c r="D518" s="3"/>
      <c r="E518"/>
      <c r="G518"/>
      <c r="H518" s="361"/>
      <c r="I518" s="362"/>
      <c r="J518" s="127"/>
      <c r="K518"/>
      <c r="L518"/>
      <c r="M518" s="127"/>
      <c r="N518"/>
    </row>
    <row r="519" spans="2:14" ht="14.45">
      <c r="B519"/>
      <c r="C519"/>
      <c r="D519" s="3"/>
      <c r="E519"/>
      <c r="G519"/>
      <c r="H519" s="361"/>
      <c r="I519" s="362"/>
      <c r="J519" s="127"/>
      <c r="K519"/>
      <c r="L519"/>
      <c r="M519" s="127"/>
      <c r="N519"/>
    </row>
    <row r="520" spans="2:14" ht="14.45">
      <c r="B520"/>
      <c r="C520"/>
      <c r="D520" s="3"/>
      <c r="E520"/>
      <c r="G520"/>
      <c r="H520" s="361"/>
      <c r="I520" s="362"/>
      <c r="J520" s="127"/>
      <c r="K520"/>
      <c r="L520"/>
      <c r="M520" s="127"/>
      <c r="N520"/>
    </row>
    <row r="521" spans="2:14" ht="14.45">
      <c r="B521"/>
      <c r="C521"/>
      <c r="D521" s="3"/>
      <c r="E521"/>
      <c r="G521"/>
      <c r="H521" s="361"/>
      <c r="I521" s="362"/>
      <c r="J521" s="127"/>
      <c r="K521"/>
      <c r="L521"/>
      <c r="M521" s="127"/>
      <c r="N521"/>
    </row>
    <row r="522" spans="2:14" ht="14.45">
      <c r="B522"/>
      <c r="C522"/>
      <c r="D522" s="3"/>
      <c r="E522"/>
      <c r="G522"/>
      <c r="H522" s="361"/>
      <c r="I522" s="362"/>
      <c r="J522" s="127"/>
      <c r="K522"/>
      <c r="L522"/>
      <c r="M522" s="127"/>
      <c r="N522"/>
    </row>
    <row r="523" spans="2:14" ht="14.45">
      <c r="B523"/>
      <c r="C523"/>
      <c r="D523" s="3"/>
      <c r="E523"/>
      <c r="G523"/>
      <c r="H523" s="361"/>
      <c r="I523" s="362"/>
      <c r="J523" s="127"/>
      <c r="K523"/>
      <c r="L523"/>
      <c r="M523" s="127"/>
      <c r="N523"/>
    </row>
    <row r="524" spans="2:14" ht="14.45">
      <c r="B524"/>
      <c r="C524"/>
      <c r="D524" s="3"/>
      <c r="E524"/>
      <c r="G524"/>
      <c r="H524" s="361"/>
      <c r="I524" s="362"/>
      <c r="J524" s="127"/>
      <c r="K524"/>
      <c r="L524"/>
      <c r="M524" s="127"/>
      <c r="N524"/>
    </row>
    <row r="525" spans="2:14" ht="14.45">
      <c r="B525"/>
      <c r="C525"/>
      <c r="D525" s="3"/>
      <c r="E525"/>
      <c r="G525"/>
      <c r="H525" s="361"/>
      <c r="I525" s="362"/>
      <c r="J525" s="127"/>
      <c r="K525"/>
      <c r="L525"/>
      <c r="M525" s="127"/>
      <c r="N525"/>
    </row>
    <row r="526" spans="2:14" ht="14.45">
      <c r="B526"/>
      <c r="C526"/>
      <c r="D526" s="3"/>
      <c r="E526"/>
      <c r="G526"/>
      <c r="H526" s="361"/>
      <c r="I526" s="362"/>
      <c r="J526" s="127"/>
      <c r="K526"/>
      <c r="L526"/>
      <c r="M526" s="127"/>
      <c r="N526"/>
    </row>
    <row r="527" spans="2:14" ht="14.45">
      <c r="B527"/>
      <c r="C527"/>
      <c r="D527" s="3"/>
      <c r="E527"/>
      <c r="G527"/>
      <c r="H527" s="361"/>
      <c r="I527" s="362"/>
      <c r="J527" s="127"/>
      <c r="K527"/>
      <c r="L527"/>
      <c r="M527" s="127"/>
      <c r="N527"/>
    </row>
    <row r="528" spans="2:14" ht="14.45">
      <c r="B528"/>
      <c r="C528"/>
      <c r="D528" s="3"/>
      <c r="E528"/>
      <c r="G528"/>
      <c r="H528" s="361"/>
      <c r="I528" s="362"/>
      <c r="J528" s="127"/>
      <c r="K528"/>
      <c r="L528"/>
      <c r="M528" s="127"/>
      <c r="N528"/>
    </row>
    <row r="529" spans="2:14" ht="14.45">
      <c r="B529"/>
      <c r="C529"/>
      <c r="D529" s="3"/>
      <c r="E529"/>
      <c r="G529"/>
      <c r="H529" s="361"/>
      <c r="I529" s="362"/>
      <c r="J529" s="127"/>
      <c r="K529"/>
      <c r="L529"/>
      <c r="M529" s="127"/>
      <c r="N529"/>
    </row>
    <row r="530" spans="2:14" ht="14.45">
      <c r="B530"/>
      <c r="C530"/>
      <c r="D530" s="3"/>
      <c r="E530"/>
      <c r="G530"/>
      <c r="H530" s="361"/>
      <c r="I530" s="362"/>
      <c r="J530" s="127"/>
      <c r="K530"/>
      <c r="L530"/>
      <c r="M530" s="127"/>
      <c r="N530"/>
    </row>
    <row r="531" spans="2:14" ht="14.45">
      <c r="B531"/>
      <c r="C531"/>
      <c r="D531" s="3"/>
      <c r="E531"/>
      <c r="G531"/>
      <c r="H531" s="361"/>
      <c r="I531" s="362"/>
      <c r="J531" s="127"/>
      <c r="K531"/>
      <c r="L531"/>
      <c r="M531" s="127"/>
      <c r="N531"/>
    </row>
    <row r="532" spans="2:14" ht="14.45">
      <c r="B532"/>
      <c r="C532"/>
      <c r="D532" s="3"/>
      <c r="E532"/>
      <c r="G532"/>
      <c r="H532" s="361"/>
      <c r="I532" s="362"/>
      <c r="J532" s="127"/>
      <c r="K532"/>
      <c r="L532"/>
      <c r="M532" s="127"/>
      <c r="N532"/>
    </row>
    <row r="533" spans="2:14" ht="14.45">
      <c r="B533"/>
      <c r="C533"/>
      <c r="D533" s="3"/>
      <c r="E533"/>
      <c r="G533"/>
      <c r="H533" s="361"/>
      <c r="I533" s="362"/>
      <c r="J533" s="127"/>
      <c r="K533"/>
      <c r="L533"/>
      <c r="M533" s="127"/>
      <c r="N533"/>
    </row>
    <row r="534" spans="2:14" ht="14.45">
      <c r="B534"/>
      <c r="C534"/>
      <c r="D534" s="3"/>
      <c r="E534"/>
      <c r="G534"/>
      <c r="H534" s="361"/>
      <c r="I534" s="362"/>
      <c r="J534" s="127"/>
      <c r="K534"/>
      <c r="L534"/>
      <c r="M534" s="127"/>
      <c r="N534"/>
    </row>
    <row r="535" spans="2:14" ht="14.45">
      <c r="B535"/>
      <c r="C535"/>
      <c r="D535" s="3"/>
      <c r="E535"/>
      <c r="G535"/>
      <c r="H535" s="361"/>
      <c r="I535" s="362"/>
      <c r="J535" s="127"/>
      <c r="K535"/>
      <c r="L535"/>
      <c r="M535" s="127"/>
      <c r="N535"/>
    </row>
    <row r="536" spans="2:14" ht="14.45">
      <c r="B536"/>
      <c r="C536"/>
      <c r="D536" s="3"/>
      <c r="E536"/>
      <c r="G536"/>
      <c r="H536" s="361"/>
      <c r="I536" s="362"/>
      <c r="J536" s="127"/>
      <c r="K536"/>
      <c r="L536"/>
      <c r="M536" s="127"/>
      <c r="N536"/>
    </row>
    <row r="537" spans="2:14" ht="14.45">
      <c r="B537"/>
      <c r="C537"/>
      <c r="D537" s="3"/>
      <c r="E537"/>
      <c r="G537"/>
      <c r="H537" s="361"/>
      <c r="I537" s="362"/>
      <c r="J537" s="127"/>
      <c r="K537"/>
      <c r="L537"/>
      <c r="M537" s="127"/>
      <c r="N537"/>
    </row>
    <row r="538" spans="2:14" ht="14.45">
      <c r="B538"/>
      <c r="C538"/>
      <c r="D538" s="3"/>
      <c r="E538"/>
      <c r="G538"/>
      <c r="H538" s="361"/>
      <c r="I538" s="362"/>
      <c r="J538" s="127"/>
      <c r="K538"/>
      <c r="L538"/>
      <c r="M538" s="127"/>
      <c r="N538"/>
    </row>
    <row r="539" spans="2:14" ht="14.45">
      <c r="B539"/>
      <c r="C539"/>
      <c r="D539" s="3"/>
      <c r="E539"/>
      <c r="G539"/>
      <c r="H539" s="361"/>
      <c r="I539" s="362"/>
      <c r="J539" s="127"/>
      <c r="K539"/>
      <c r="L539"/>
      <c r="M539" s="127"/>
      <c r="N539"/>
    </row>
    <row r="540" spans="2:14" ht="14.45">
      <c r="B540"/>
      <c r="C540"/>
      <c r="D540" s="3"/>
      <c r="E540"/>
      <c r="G540"/>
      <c r="H540" s="361"/>
      <c r="I540" s="362"/>
      <c r="J540" s="127"/>
      <c r="K540"/>
      <c r="L540"/>
      <c r="M540" s="127"/>
      <c r="N540"/>
    </row>
    <row r="541" spans="2:14" ht="14.45">
      <c r="B541"/>
      <c r="C541"/>
      <c r="D541" s="3"/>
      <c r="E541"/>
      <c r="G541"/>
      <c r="H541" s="361"/>
      <c r="I541" s="362"/>
      <c r="J541" s="127"/>
      <c r="K541"/>
      <c r="L541"/>
      <c r="M541" s="127"/>
      <c r="N541"/>
    </row>
    <row r="542" spans="2:14" ht="14.45">
      <c r="B542"/>
      <c r="C542"/>
      <c r="D542" s="3"/>
      <c r="E542"/>
      <c r="G542"/>
      <c r="H542" s="361"/>
      <c r="I542" s="362"/>
      <c r="J542" s="127"/>
      <c r="K542"/>
      <c r="L542"/>
      <c r="M542" s="127"/>
      <c r="N542"/>
    </row>
    <row r="543" spans="2:14" ht="14.45">
      <c r="B543"/>
      <c r="C543"/>
      <c r="D543" s="3"/>
      <c r="E543"/>
      <c r="G543"/>
      <c r="H543" s="361"/>
      <c r="I543" s="362"/>
      <c r="J543" s="127"/>
      <c r="K543"/>
      <c r="L543"/>
      <c r="M543" s="127"/>
      <c r="N543"/>
    </row>
    <row r="544" spans="2:14" ht="14.45">
      <c r="B544"/>
      <c r="C544"/>
      <c r="D544" s="3"/>
      <c r="E544"/>
      <c r="G544"/>
      <c r="H544" s="361"/>
      <c r="I544" s="362"/>
      <c r="J544" s="127"/>
      <c r="K544"/>
      <c r="L544"/>
      <c r="M544" s="127"/>
      <c r="N544"/>
    </row>
    <row r="545" spans="2:14" ht="14.45">
      <c r="B545"/>
      <c r="C545"/>
      <c r="D545" s="3"/>
      <c r="E545"/>
      <c r="G545"/>
      <c r="H545" s="361"/>
      <c r="I545" s="362"/>
      <c r="J545" s="127"/>
      <c r="K545"/>
      <c r="L545"/>
      <c r="M545" s="127"/>
      <c r="N545"/>
    </row>
    <row r="546" spans="2:14" ht="14.45">
      <c r="B546"/>
      <c r="C546"/>
      <c r="D546" s="3"/>
      <c r="E546"/>
      <c r="G546"/>
      <c r="H546" s="361"/>
      <c r="I546" s="362"/>
      <c r="J546" s="127"/>
      <c r="K546"/>
      <c r="L546"/>
      <c r="M546" s="127"/>
      <c r="N546"/>
    </row>
    <row r="547" spans="2:14" ht="14.45">
      <c r="B547"/>
      <c r="C547"/>
      <c r="D547" s="3"/>
      <c r="E547"/>
      <c r="G547"/>
      <c r="H547" s="361"/>
      <c r="I547" s="362"/>
      <c r="J547" s="127"/>
      <c r="K547"/>
      <c r="L547"/>
      <c r="M547" s="127"/>
      <c r="N547"/>
    </row>
    <row r="548" spans="2:14" ht="14.45">
      <c r="B548"/>
      <c r="C548"/>
      <c r="D548" s="3"/>
      <c r="E548"/>
      <c r="G548"/>
      <c r="H548" s="361"/>
      <c r="I548" s="362"/>
      <c r="J548" s="127"/>
      <c r="K548"/>
      <c r="L548"/>
      <c r="M548" s="127"/>
      <c r="N548"/>
    </row>
    <row r="549" spans="2:14" ht="14.45">
      <c r="B549"/>
      <c r="C549"/>
      <c r="D549" s="3"/>
      <c r="E549"/>
      <c r="G549"/>
      <c r="H549" s="361"/>
      <c r="I549" s="362"/>
      <c r="J549" s="127"/>
      <c r="K549"/>
      <c r="L549"/>
      <c r="M549" s="127"/>
      <c r="N549"/>
    </row>
    <row r="550" spans="2:14" ht="14.45">
      <c r="B550"/>
      <c r="C550"/>
      <c r="D550" s="3"/>
      <c r="E550"/>
      <c r="G550"/>
      <c r="H550" s="361"/>
      <c r="I550" s="362"/>
      <c r="J550" s="127"/>
      <c r="K550"/>
      <c r="L550"/>
      <c r="M550" s="127"/>
      <c r="N550"/>
    </row>
    <row r="551" spans="2:14" ht="14.45">
      <c r="B551"/>
      <c r="C551"/>
      <c r="D551" s="3"/>
      <c r="E551"/>
      <c r="G551"/>
      <c r="H551" s="361"/>
      <c r="I551" s="362"/>
      <c r="J551" s="127"/>
      <c r="K551"/>
      <c r="L551"/>
      <c r="M551" s="127"/>
      <c r="N551"/>
    </row>
    <row r="552" spans="2:14" ht="14.45">
      <c r="B552"/>
      <c r="C552"/>
      <c r="D552" s="3"/>
      <c r="E552"/>
      <c r="G552"/>
      <c r="H552" s="361"/>
      <c r="I552" s="362"/>
      <c r="J552" s="127"/>
      <c r="K552"/>
      <c r="L552"/>
      <c r="M552" s="127"/>
      <c r="N552"/>
    </row>
    <row r="553" spans="2:14" ht="14.45">
      <c r="B553"/>
      <c r="C553"/>
      <c r="D553" s="3"/>
      <c r="E553"/>
      <c r="G553"/>
      <c r="H553" s="361"/>
      <c r="I553" s="362"/>
      <c r="J553" s="127"/>
      <c r="K553"/>
      <c r="L553"/>
      <c r="M553" s="127"/>
      <c r="N553"/>
    </row>
    <row r="554" spans="2:14" ht="14.45">
      <c r="B554"/>
      <c r="C554"/>
      <c r="D554" s="3"/>
      <c r="E554"/>
      <c r="G554"/>
      <c r="H554" s="361"/>
      <c r="I554" s="362"/>
      <c r="J554" s="127"/>
      <c r="K554"/>
      <c r="L554"/>
      <c r="M554" s="127"/>
      <c r="N554"/>
    </row>
    <row r="555" spans="2:14" ht="14.45">
      <c r="B555"/>
      <c r="C555"/>
      <c r="D555" s="3"/>
      <c r="E555"/>
      <c r="G555"/>
      <c r="H555" s="361"/>
      <c r="I555" s="362"/>
      <c r="J555" s="127"/>
      <c r="K555"/>
      <c r="L555"/>
      <c r="M555" s="127"/>
      <c r="N555"/>
    </row>
    <row r="556" spans="2:14" ht="14.45">
      <c r="B556"/>
      <c r="C556"/>
      <c r="D556" s="3"/>
      <c r="E556"/>
      <c r="G556"/>
      <c r="H556" s="361"/>
      <c r="I556" s="362"/>
      <c r="J556" s="127"/>
      <c r="K556"/>
      <c r="L556"/>
      <c r="M556" s="127"/>
      <c r="N556"/>
    </row>
    <row r="557" spans="2:14" ht="14.45">
      <c r="B557"/>
      <c r="C557"/>
      <c r="D557" s="3"/>
      <c r="E557"/>
      <c r="G557"/>
      <c r="H557" s="361"/>
      <c r="I557" s="362"/>
      <c r="J557" s="127"/>
      <c r="K557"/>
      <c r="L557"/>
      <c r="M557" s="127"/>
      <c r="N557"/>
    </row>
    <row r="558" spans="2:14" ht="14.45">
      <c r="B558"/>
      <c r="C558"/>
      <c r="D558" s="3"/>
      <c r="E558"/>
      <c r="G558"/>
      <c r="H558" s="361"/>
      <c r="I558" s="362"/>
      <c r="J558" s="127"/>
      <c r="K558"/>
      <c r="L558"/>
      <c r="M558" s="127"/>
      <c r="N558"/>
    </row>
    <row r="559" spans="2:14" ht="14.45">
      <c r="B559"/>
      <c r="C559"/>
      <c r="D559" s="3"/>
      <c r="E559"/>
      <c r="G559"/>
      <c r="H559" s="361"/>
      <c r="I559" s="362"/>
      <c r="J559" s="127"/>
      <c r="K559"/>
      <c r="L559"/>
      <c r="M559" s="127"/>
      <c r="N559"/>
    </row>
    <row r="560" spans="2:14" ht="14.45">
      <c r="B560"/>
      <c r="C560"/>
      <c r="D560" s="3"/>
      <c r="E560"/>
      <c r="G560"/>
      <c r="H560" s="361"/>
      <c r="I560" s="362"/>
      <c r="J560" s="127"/>
      <c r="K560"/>
      <c r="L560"/>
      <c r="M560" s="127"/>
      <c r="N560"/>
    </row>
    <row r="561" spans="2:14" ht="14.45">
      <c r="B561"/>
      <c r="C561"/>
      <c r="D561" s="3"/>
      <c r="E561"/>
      <c r="G561"/>
      <c r="H561" s="361"/>
      <c r="I561" s="362"/>
      <c r="J561" s="127"/>
      <c r="K561"/>
      <c r="L561"/>
      <c r="M561" s="127"/>
      <c r="N561"/>
    </row>
    <row r="562" spans="2:14" ht="14.45">
      <c r="B562"/>
      <c r="C562"/>
      <c r="D562" s="3"/>
      <c r="E562"/>
      <c r="G562"/>
      <c r="H562" s="361"/>
      <c r="I562" s="362"/>
      <c r="J562" s="127"/>
      <c r="K562"/>
      <c r="L562"/>
      <c r="M562" s="127"/>
      <c r="N562"/>
    </row>
    <row r="563" spans="2:14" ht="14.45">
      <c r="B563"/>
      <c r="C563"/>
      <c r="D563" s="3"/>
      <c r="E563"/>
      <c r="G563"/>
      <c r="H563" s="361"/>
      <c r="I563" s="362"/>
      <c r="J563" s="127"/>
      <c r="K563"/>
      <c r="L563"/>
      <c r="M563" s="127"/>
      <c r="N563"/>
    </row>
    <row r="564" spans="2:14" ht="14.45">
      <c r="B564"/>
      <c r="C564"/>
      <c r="D564" s="3"/>
      <c r="E564"/>
      <c r="G564"/>
      <c r="H564" s="361"/>
      <c r="I564" s="362"/>
      <c r="J564" s="127"/>
      <c r="K564"/>
      <c r="L564"/>
      <c r="M564" s="127"/>
      <c r="N564"/>
    </row>
    <row r="565" spans="2:14" ht="14.45">
      <c r="B565"/>
      <c r="C565"/>
      <c r="D565" s="3"/>
      <c r="E565"/>
      <c r="G565"/>
      <c r="H565" s="361"/>
      <c r="I565" s="362"/>
      <c r="J565" s="127"/>
      <c r="K565"/>
      <c r="L565"/>
      <c r="M565" s="127"/>
      <c r="N565"/>
    </row>
    <row r="566" spans="2:14" ht="14.45">
      <c r="B566"/>
      <c r="C566"/>
      <c r="D566" s="3"/>
      <c r="E566"/>
      <c r="G566"/>
      <c r="H566" s="361"/>
      <c r="I566" s="362"/>
      <c r="J566" s="127"/>
      <c r="K566"/>
      <c r="L566"/>
      <c r="M566" s="127"/>
      <c r="N566"/>
    </row>
    <row r="567" spans="2:14" ht="14.45">
      <c r="B567"/>
      <c r="C567"/>
      <c r="D567" s="3"/>
      <c r="E567"/>
      <c r="G567"/>
      <c r="H567" s="361"/>
      <c r="I567" s="362"/>
      <c r="J567" s="127"/>
      <c r="K567"/>
      <c r="L567"/>
      <c r="M567" s="127"/>
      <c r="N567"/>
    </row>
    <row r="568" spans="2:14" ht="14.45">
      <c r="B568"/>
      <c r="C568"/>
      <c r="D568" s="3"/>
      <c r="E568"/>
      <c r="G568"/>
      <c r="H568" s="361"/>
      <c r="I568" s="362"/>
      <c r="J568" s="127"/>
      <c r="K568"/>
      <c r="L568"/>
      <c r="M568" s="127"/>
      <c r="N568"/>
    </row>
    <row r="569" spans="2:14" ht="14.45">
      <c r="B569"/>
      <c r="C569"/>
      <c r="D569" s="3"/>
      <c r="E569"/>
      <c r="G569"/>
      <c r="H569" s="361"/>
      <c r="I569" s="362"/>
      <c r="J569" s="127"/>
      <c r="K569"/>
      <c r="L569"/>
      <c r="M569" s="127"/>
      <c r="N569"/>
    </row>
    <row r="570" spans="2:14" ht="14.45">
      <c r="B570"/>
      <c r="C570"/>
      <c r="D570" s="3"/>
      <c r="E570"/>
      <c r="G570"/>
      <c r="H570" s="361"/>
      <c r="I570" s="362"/>
      <c r="J570" s="127"/>
      <c r="K570"/>
      <c r="L570"/>
      <c r="M570" s="127"/>
      <c r="N570"/>
    </row>
    <row r="571" spans="2:14" ht="14.45">
      <c r="B571"/>
      <c r="C571"/>
      <c r="D571" s="3"/>
      <c r="E571"/>
      <c r="G571"/>
      <c r="H571" s="361"/>
      <c r="I571" s="362"/>
      <c r="J571" s="127"/>
      <c r="K571"/>
      <c r="L571"/>
      <c r="M571" s="127"/>
      <c r="N571"/>
    </row>
    <row r="572" spans="2:14" ht="14.45">
      <c r="B572"/>
      <c r="C572"/>
      <c r="D572" s="3"/>
      <c r="E572"/>
      <c r="G572"/>
      <c r="H572" s="361"/>
      <c r="I572" s="362"/>
      <c r="J572" s="127"/>
      <c r="K572"/>
      <c r="L572"/>
      <c r="M572" s="127"/>
      <c r="N572"/>
    </row>
    <row r="573" spans="2:14" ht="14.45">
      <c r="B573"/>
      <c r="C573"/>
      <c r="D573" s="3"/>
      <c r="E573"/>
      <c r="G573"/>
      <c r="H573" s="361"/>
      <c r="I573" s="362"/>
      <c r="J573" s="127"/>
      <c r="K573"/>
      <c r="L573"/>
      <c r="M573" s="127"/>
      <c r="N573"/>
    </row>
    <row r="574" spans="2:14" ht="14.45">
      <c r="B574"/>
      <c r="C574"/>
      <c r="D574" s="3"/>
      <c r="E574"/>
      <c r="G574"/>
      <c r="H574" s="361"/>
      <c r="I574" s="362"/>
      <c r="J574" s="127"/>
      <c r="K574"/>
      <c r="L574"/>
      <c r="M574" s="127"/>
      <c r="N574"/>
    </row>
    <row r="575" spans="2:14" ht="14.45">
      <c r="B575"/>
      <c r="C575"/>
      <c r="D575" s="3"/>
      <c r="E575"/>
      <c r="G575"/>
      <c r="H575" s="361"/>
      <c r="I575" s="362"/>
      <c r="J575" s="127"/>
      <c r="K575"/>
      <c r="L575"/>
      <c r="M575" s="127"/>
      <c r="N575"/>
    </row>
    <row r="576" spans="2:14" ht="14.45">
      <c r="B576"/>
      <c r="C576"/>
      <c r="D576" s="3"/>
      <c r="E576"/>
      <c r="G576"/>
      <c r="H576" s="361"/>
      <c r="I576" s="362"/>
      <c r="J576" s="127"/>
      <c r="K576"/>
      <c r="L576"/>
      <c r="M576" s="127"/>
      <c r="N576"/>
    </row>
    <row r="577" spans="2:14" ht="14.45">
      <c r="B577"/>
      <c r="C577"/>
      <c r="D577" s="3"/>
      <c r="E577"/>
      <c r="G577"/>
      <c r="H577" s="361"/>
      <c r="I577" s="362"/>
      <c r="J577" s="127"/>
      <c r="K577"/>
      <c r="L577"/>
      <c r="M577" s="127"/>
      <c r="N577"/>
    </row>
    <row r="578" spans="2:14" ht="14.45">
      <c r="B578"/>
      <c r="C578"/>
      <c r="D578" s="3"/>
      <c r="E578"/>
      <c r="G578"/>
      <c r="H578" s="361"/>
      <c r="I578" s="362"/>
      <c r="J578" s="127"/>
      <c r="K578"/>
      <c r="L578"/>
      <c r="M578" s="127"/>
      <c r="N578"/>
    </row>
    <row r="579" spans="2:14" ht="14.45">
      <c r="B579"/>
      <c r="C579"/>
      <c r="D579" s="3"/>
      <c r="E579"/>
      <c r="G579"/>
      <c r="H579" s="361"/>
      <c r="I579" s="362"/>
      <c r="J579" s="127"/>
      <c r="K579"/>
      <c r="L579"/>
      <c r="M579" s="127"/>
      <c r="N579"/>
    </row>
    <row r="580" spans="2:14" ht="14.45">
      <c r="B580"/>
      <c r="C580"/>
      <c r="D580" s="3"/>
      <c r="E580"/>
      <c r="G580"/>
      <c r="H580" s="361"/>
      <c r="I580" s="362"/>
      <c r="J580" s="127"/>
      <c r="K580"/>
      <c r="L580"/>
      <c r="M580" s="127"/>
      <c r="N580"/>
    </row>
    <row r="581" spans="2:14" ht="14.45">
      <c r="B581"/>
      <c r="C581"/>
      <c r="D581" s="3"/>
      <c r="E581"/>
      <c r="G581"/>
      <c r="H581" s="361"/>
      <c r="I581" s="362"/>
      <c r="J581" s="127"/>
      <c r="K581"/>
      <c r="L581"/>
      <c r="M581" s="127"/>
      <c r="N581"/>
    </row>
    <row r="582" spans="2:14" ht="14.45">
      <c r="B582"/>
      <c r="C582"/>
      <c r="D582" s="3"/>
      <c r="E582"/>
      <c r="G582"/>
      <c r="H582" s="361"/>
      <c r="I582" s="362"/>
      <c r="J582" s="127"/>
      <c r="K582"/>
      <c r="L582"/>
      <c r="M582" s="127"/>
      <c r="N582"/>
    </row>
    <row r="583" spans="2:14" ht="14.45">
      <c r="B583"/>
      <c r="C583"/>
      <c r="D583" s="3"/>
      <c r="E583"/>
      <c r="G583"/>
      <c r="H583" s="361"/>
      <c r="I583" s="362"/>
      <c r="J583" s="127"/>
      <c r="K583"/>
      <c r="L583"/>
      <c r="M583" s="127"/>
      <c r="N583"/>
    </row>
    <row r="584" spans="2:14" ht="14.45">
      <c r="B584"/>
      <c r="C584"/>
      <c r="D584" s="3"/>
      <c r="E584"/>
      <c r="G584"/>
      <c r="H584" s="361"/>
      <c r="I584" s="362"/>
      <c r="J584" s="127"/>
      <c r="K584"/>
      <c r="L584"/>
      <c r="M584" s="127"/>
      <c r="N584"/>
    </row>
    <row r="585" spans="2:14" ht="14.45">
      <c r="B585"/>
      <c r="C585"/>
      <c r="D585" s="3"/>
      <c r="E585"/>
      <c r="G585"/>
      <c r="H585" s="361"/>
      <c r="I585" s="362"/>
      <c r="J585" s="127"/>
      <c r="K585"/>
      <c r="L585"/>
      <c r="M585" s="127"/>
      <c r="N585"/>
    </row>
    <row r="586" spans="2:14" ht="14.45">
      <c r="B586"/>
      <c r="C586"/>
      <c r="D586" s="3"/>
      <c r="E586"/>
      <c r="G586"/>
      <c r="H586" s="361"/>
      <c r="I586" s="362"/>
      <c r="J586" s="127"/>
      <c r="K586"/>
      <c r="L586"/>
      <c r="M586" s="127"/>
      <c r="N586"/>
    </row>
    <row r="587" spans="2:14" ht="14.45">
      <c r="B587"/>
      <c r="C587"/>
      <c r="D587" s="3"/>
      <c r="E587"/>
      <c r="G587"/>
      <c r="H587" s="361"/>
      <c r="I587" s="362"/>
      <c r="J587" s="127"/>
      <c r="K587"/>
      <c r="L587"/>
      <c r="M587" s="127"/>
      <c r="N587"/>
    </row>
    <row r="588" spans="2:14" ht="14.45">
      <c r="B588"/>
      <c r="C588"/>
      <c r="D588" s="3"/>
      <c r="E588"/>
      <c r="G588"/>
      <c r="H588" s="361"/>
      <c r="I588" s="362"/>
      <c r="J588" s="127"/>
      <c r="K588"/>
      <c r="L588"/>
      <c r="M588" s="127"/>
      <c r="N588"/>
    </row>
    <row r="589" spans="2:14" ht="14.45">
      <c r="B589"/>
      <c r="C589"/>
      <c r="D589" s="3"/>
      <c r="E589"/>
      <c r="G589"/>
      <c r="H589" s="361"/>
      <c r="I589" s="362"/>
      <c r="J589" s="127"/>
      <c r="K589"/>
      <c r="L589"/>
      <c r="M589" s="127"/>
      <c r="N589"/>
    </row>
    <row r="590" spans="2:14" ht="14.45">
      <c r="B590"/>
      <c r="C590"/>
      <c r="D590" s="3"/>
      <c r="E590"/>
      <c r="G590"/>
      <c r="H590" s="361"/>
      <c r="I590" s="362"/>
      <c r="J590" s="127"/>
      <c r="K590"/>
      <c r="L590"/>
      <c r="M590" s="127"/>
      <c r="N590"/>
    </row>
    <row r="591" spans="2:14" ht="14.45">
      <c r="B591"/>
      <c r="C591"/>
      <c r="D591" s="3"/>
      <c r="E591"/>
      <c r="G591"/>
      <c r="H591" s="361"/>
      <c r="I591" s="362"/>
      <c r="J591" s="127"/>
      <c r="K591"/>
      <c r="L591"/>
      <c r="M591" s="127"/>
      <c r="N591"/>
    </row>
    <row r="592" spans="2:14" ht="14.45">
      <c r="B592"/>
      <c r="C592"/>
      <c r="D592" s="3"/>
      <c r="E592"/>
      <c r="G592"/>
      <c r="H592" s="361"/>
      <c r="I592" s="362"/>
      <c r="J592" s="127"/>
      <c r="K592"/>
      <c r="L592"/>
      <c r="M592" s="127"/>
      <c r="N592"/>
    </row>
    <row r="593" spans="2:14" ht="14.45">
      <c r="B593"/>
      <c r="C593"/>
      <c r="D593" s="3"/>
      <c r="E593"/>
      <c r="G593"/>
      <c r="H593" s="361"/>
      <c r="I593" s="362"/>
      <c r="J593" s="127"/>
      <c r="K593"/>
      <c r="L593"/>
      <c r="M593" s="127"/>
      <c r="N593"/>
    </row>
    <row r="594" spans="2:14" ht="14.45">
      <c r="B594"/>
      <c r="C594"/>
      <c r="D594" s="3"/>
      <c r="E594"/>
      <c r="G594"/>
      <c r="H594" s="361"/>
      <c r="I594" s="362"/>
      <c r="J594" s="127"/>
      <c r="K594"/>
      <c r="L594"/>
      <c r="M594" s="127"/>
      <c r="N594"/>
    </row>
    <row r="595" spans="2:14" ht="14.45">
      <c r="B595"/>
      <c r="C595"/>
      <c r="D595" s="3"/>
      <c r="E595"/>
      <c r="G595"/>
      <c r="H595" s="361"/>
      <c r="I595" s="362"/>
      <c r="J595" s="127"/>
      <c r="K595"/>
      <c r="L595"/>
      <c r="M595" s="127"/>
      <c r="N595"/>
    </row>
    <row r="596" spans="2:14" ht="14.45">
      <c r="B596"/>
      <c r="C596"/>
      <c r="D596" s="3"/>
      <c r="E596"/>
      <c r="G596"/>
      <c r="H596" s="361"/>
      <c r="I596" s="362"/>
      <c r="J596" s="127"/>
      <c r="K596"/>
      <c r="L596"/>
      <c r="M596" s="127"/>
      <c r="N596"/>
    </row>
    <row r="597" spans="2:14" ht="14.45">
      <c r="B597"/>
      <c r="C597"/>
      <c r="D597" s="3"/>
      <c r="E597"/>
      <c r="G597"/>
      <c r="H597" s="361"/>
      <c r="I597" s="362"/>
      <c r="J597" s="127"/>
      <c r="K597"/>
      <c r="L597"/>
      <c r="M597" s="127"/>
      <c r="N597"/>
    </row>
    <row r="598" spans="2:14" ht="14.45">
      <c r="B598"/>
      <c r="C598"/>
      <c r="D598" s="3"/>
      <c r="E598"/>
      <c r="G598"/>
      <c r="H598" s="361"/>
      <c r="I598" s="362"/>
      <c r="J598" s="127"/>
      <c r="K598"/>
      <c r="L598"/>
      <c r="M598" s="127"/>
      <c r="N598"/>
    </row>
    <row r="599" spans="2:14" ht="14.45">
      <c r="B599"/>
      <c r="C599"/>
      <c r="D599" s="3"/>
      <c r="E599"/>
      <c r="G599"/>
      <c r="H599" s="361"/>
      <c r="I599" s="362"/>
      <c r="J599" s="127"/>
      <c r="K599"/>
      <c r="L599"/>
      <c r="M599" s="127"/>
      <c r="N599"/>
    </row>
    <row r="600" spans="2:14" ht="14.45">
      <c r="B600"/>
      <c r="C600"/>
      <c r="D600" s="3"/>
      <c r="E600"/>
      <c r="G600"/>
      <c r="H600" s="361"/>
      <c r="I600" s="362"/>
      <c r="J600" s="127"/>
      <c r="K600"/>
      <c r="L600"/>
      <c r="M600" s="127"/>
      <c r="N600"/>
    </row>
    <row r="601" spans="2:14" ht="14.45">
      <c r="B601"/>
      <c r="C601"/>
      <c r="D601" s="3"/>
      <c r="E601"/>
      <c r="G601"/>
      <c r="H601" s="361"/>
      <c r="I601" s="362"/>
      <c r="J601" s="127"/>
      <c r="K601"/>
      <c r="L601"/>
      <c r="M601" s="127"/>
      <c r="N601"/>
    </row>
    <row r="602" spans="2:14" ht="14.45">
      <c r="B602"/>
      <c r="C602"/>
      <c r="D602" s="3"/>
      <c r="E602"/>
      <c r="G602"/>
      <c r="H602" s="361"/>
      <c r="I602" s="362"/>
      <c r="J602" s="127"/>
      <c r="K602"/>
      <c r="L602"/>
      <c r="M602" s="127"/>
      <c r="N602"/>
    </row>
    <row r="603" spans="2:14" ht="14.45">
      <c r="B603"/>
      <c r="C603"/>
      <c r="D603" s="3"/>
      <c r="E603"/>
      <c r="G603"/>
      <c r="H603" s="361"/>
      <c r="I603" s="362"/>
      <c r="J603" s="127"/>
      <c r="K603"/>
      <c r="L603"/>
      <c r="M603" s="127"/>
      <c r="N603"/>
    </row>
    <row r="604" spans="2:14" ht="14.45">
      <c r="B604"/>
      <c r="C604"/>
      <c r="D604" s="3"/>
      <c r="E604"/>
      <c r="G604"/>
      <c r="H604" s="361"/>
      <c r="I604" s="362"/>
      <c r="J604" s="127"/>
      <c r="K604"/>
      <c r="L604"/>
      <c r="M604" s="127"/>
      <c r="N604"/>
    </row>
    <row r="605" spans="2:14" ht="14.45">
      <c r="B605"/>
      <c r="C605"/>
      <c r="D605" s="3"/>
      <c r="E605"/>
      <c r="G605"/>
      <c r="H605" s="361"/>
      <c r="I605" s="362"/>
      <c r="J605" s="127"/>
      <c r="K605"/>
      <c r="L605"/>
      <c r="M605" s="127"/>
      <c r="N605"/>
    </row>
    <row r="606" spans="2:14" ht="14.45">
      <c r="B606"/>
      <c r="C606"/>
      <c r="D606" s="3"/>
      <c r="E606"/>
      <c r="G606"/>
      <c r="H606" s="361"/>
      <c r="I606" s="362"/>
      <c r="J606" s="127"/>
      <c r="K606"/>
      <c r="L606"/>
      <c r="M606" s="127"/>
      <c r="N606"/>
    </row>
    <row r="607" spans="2:14" ht="14.45">
      <c r="B607"/>
      <c r="C607"/>
      <c r="D607" s="3"/>
      <c r="E607"/>
      <c r="G607"/>
      <c r="H607" s="361"/>
      <c r="I607" s="362"/>
      <c r="J607" s="127"/>
      <c r="K607"/>
      <c r="L607"/>
      <c r="M607" s="127"/>
      <c r="N607"/>
    </row>
    <row r="608" spans="2:14" ht="14.45">
      <c r="B608"/>
      <c r="C608"/>
      <c r="D608" s="3"/>
      <c r="E608"/>
      <c r="G608"/>
      <c r="H608" s="361"/>
      <c r="I608" s="362"/>
      <c r="J608" s="127"/>
      <c r="K608"/>
      <c r="L608"/>
      <c r="M608" s="127"/>
      <c r="N608"/>
    </row>
    <row r="609" spans="2:14" ht="14.45">
      <c r="B609"/>
      <c r="C609"/>
      <c r="D609" s="3"/>
      <c r="E609"/>
      <c r="G609"/>
      <c r="H609" s="361"/>
      <c r="I609" s="362"/>
      <c r="J609" s="127"/>
      <c r="K609"/>
      <c r="L609"/>
      <c r="M609" s="127"/>
      <c r="N609"/>
    </row>
    <row r="610" spans="2:14" ht="14.45">
      <c r="B610"/>
      <c r="C610"/>
      <c r="D610" s="3"/>
      <c r="E610"/>
      <c r="G610"/>
      <c r="H610" s="361"/>
      <c r="I610" s="362"/>
      <c r="J610" s="127"/>
      <c r="K610"/>
      <c r="L610"/>
      <c r="M610" s="127"/>
      <c r="N610"/>
    </row>
    <row r="611" spans="2:14" ht="14.45">
      <c r="B611"/>
      <c r="C611"/>
      <c r="D611" s="3"/>
      <c r="E611"/>
      <c r="G611"/>
      <c r="H611" s="361"/>
      <c r="I611" s="362"/>
      <c r="J611" s="127"/>
      <c r="K611"/>
      <c r="L611"/>
      <c r="M611" s="127"/>
      <c r="N611"/>
    </row>
    <row r="612" spans="2:14" ht="14.45">
      <c r="B612"/>
      <c r="C612"/>
      <c r="D612" s="3"/>
      <c r="E612"/>
      <c r="G612"/>
      <c r="H612" s="361"/>
      <c r="I612" s="362"/>
      <c r="J612" s="127"/>
      <c r="K612"/>
      <c r="L612"/>
      <c r="M612" s="127"/>
      <c r="N612"/>
    </row>
    <row r="613" spans="2:14" ht="14.45">
      <c r="B613"/>
      <c r="C613"/>
      <c r="D613" s="3"/>
      <c r="E613"/>
      <c r="G613"/>
      <c r="H613" s="361"/>
      <c r="I613" s="362"/>
      <c r="J613" s="127"/>
      <c r="K613"/>
      <c r="L613"/>
      <c r="M613" s="127"/>
      <c r="N613"/>
    </row>
    <row r="614" spans="2:14" ht="14.45">
      <c r="B614"/>
      <c r="C614"/>
      <c r="D614" s="3"/>
      <c r="E614"/>
      <c r="G614"/>
      <c r="H614" s="361"/>
      <c r="I614" s="362"/>
      <c r="J614" s="127"/>
      <c r="K614"/>
      <c r="L614"/>
      <c r="M614" s="127"/>
      <c r="N614"/>
    </row>
    <row r="615" spans="2:14" ht="14.45">
      <c r="B615"/>
      <c r="C615"/>
      <c r="D615" s="3"/>
      <c r="E615"/>
      <c r="G615"/>
      <c r="H615" s="361"/>
      <c r="I615" s="362"/>
      <c r="J615" s="127"/>
      <c r="K615"/>
      <c r="L615"/>
      <c r="M615" s="127"/>
      <c r="N615"/>
    </row>
    <row r="616" spans="2:14" ht="14.45">
      <c r="B616"/>
      <c r="C616"/>
      <c r="D616" s="3"/>
      <c r="E616"/>
      <c r="G616"/>
      <c r="H616" s="361"/>
      <c r="I616" s="362"/>
      <c r="J616" s="127"/>
      <c r="K616"/>
      <c r="L616"/>
      <c r="M616" s="127"/>
      <c r="N616"/>
    </row>
    <row r="617" spans="2:14" ht="14.45">
      <c r="B617"/>
      <c r="C617"/>
      <c r="D617" s="3"/>
      <c r="E617"/>
      <c r="G617"/>
      <c r="H617" s="361"/>
      <c r="I617" s="362"/>
      <c r="J617" s="127"/>
      <c r="K617"/>
      <c r="L617"/>
      <c r="M617" s="127"/>
      <c r="N617"/>
    </row>
    <row r="618" spans="2:14" ht="14.45">
      <c r="B618"/>
      <c r="C618"/>
      <c r="D618" s="3"/>
      <c r="E618"/>
      <c r="G618"/>
      <c r="H618" s="361"/>
      <c r="I618" s="362"/>
      <c r="J618" s="127"/>
      <c r="K618"/>
      <c r="L618"/>
      <c r="M618" s="127"/>
      <c r="N618"/>
    </row>
    <row r="619" spans="2:14" ht="14.45">
      <c r="B619"/>
      <c r="C619"/>
      <c r="D619" s="3"/>
      <c r="E619"/>
      <c r="G619"/>
      <c r="H619" s="361"/>
      <c r="I619" s="362"/>
      <c r="J619" s="127"/>
      <c r="K619"/>
      <c r="L619"/>
      <c r="M619" s="127"/>
      <c r="N619"/>
    </row>
    <row r="620" spans="2:14" ht="14.45">
      <c r="B620"/>
      <c r="C620"/>
      <c r="D620" s="3"/>
      <c r="E620"/>
      <c r="G620"/>
      <c r="H620" s="361"/>
      <c r="I620" s="362"/>
      <c r="J620" s="127"/>
      <c r="K620"/>
      <c r="L620"/>
      <c r="M620" s="127"/>
      <c r="N620"/>
    </row>
    <row r="621" spans="2:14" ht="14.45">
      <c r="B621"/>
      <c r="C621"/>
      <c r="D621" s="3"/>
      <c r="E621"/>
      <c r="G621"/>
      <c r="H621" s="361"/>
      <c r="I621" s="362"/>
      <c r="J621" s="127"/>
      <c r="K621"/>
      <c r="L621"/>
      <c r="M621" s="127"/>
      <c r="N621"/>
    </row>
    <row r="622" spans="2:14" ht="14.45">
      <c r="B622"/>
      <c r="C622"/>
      <c r="D622" s="3"/>
      <c r="E622"/>
      <c r="G622"/>
      <c r="H622" s="361"/>
      <c r="I622" s="362"/>
      <c r="J622" s="127"/>
      <c r="K622"/>
      <c r="L622"/>
      <c r="M622" s="127"/>
      <c r="N622"/>
    </row>
    <row r="623" spans="2:14" ht="14.45">
      <c r="B623"/>
      <c r="C623"/>
      <c r="D623" s="3"/>
      <c r="E623"/>
      <c r="G623"/>
      <c r="H623" s="361"/>
      <c r="I623" s="362"/>
      <c r="J623" s="127"/>
      <c r="K623"/>
      <c r="L623"/>
      <c r="M623" s="127"/>
      <c r="N623"/>
    </row>
    <row r="624" spans="2:14" ht="14.45">
      <c r="B624"/>
      <c r="C624"/>
      <c r="D624" s="3"/>
      <c r="E624"/>
      <c r="G624"/>
      <c r="H624" s="361"/>
      <c r="I624" s="362"/>
      <c r="J624" s="127"/>
      <c r="K624"/>
      <c r="L624"/>
      <c r="M624" s="127"/>
      <c r="N624"/>
    </row>
    <row r="625" spans="2:14" ht="14.45">
      <c r="B625"/>
      <c r="C625"/>
      <c r="D625" s="3"/>
      <c r="E625"/>
      <c r="G625"/>
      <c r="H625" s="361"/>
      <c r="I625" s="362"/>
      <c r="J625" s="127"/>
      <c r="K625"/>
      <c r="L625"/>
      <c r="M625" s="127"/>
      <c r="N625"/>
    </row>
    <row r="626" spans="2:14" ht="14.45">
      <c r="B626"/>
      <c r="C626"/>
      <c r="D626" s="3"/>
      <c r="E626"/>
      <c r="G626"/>
      <c r="H626" s="361"/>
      <c r="I626" s="362"/>
      <c r="J626" s="127"/>
      <c r="K626"/>
      <c r="L626"/>
      <c r="M626" s="127"/>
      <c r="N626"/>
    </row>
    <row r="627" spans="2:14" ht="14.45">
      <c r="B627"/>
      <c r="C627"/>
      <c r="D627" s="3"/>
      <c r="E627"/>
      <c r="G627"/>
      <c r="H627" s="361"/>
      <c r="I627" s="362"/>
      <c r="J627" s="127"/>
      <c r="K627"/>
      <c r="L627"/>
      <c r="M627" s="127"/>
      <c r="N627"/>
    </row>
    <row r="628" spans="2:14" ht="14.45">
      <c r="B628"/>
      <c r="C628"/>
      <c r="D628" s="3"/>
      <c r="E628"/>
      <c r="G628"/>
      <c r="H628" s="361"/>
      <c r="I628" s="362"/>
      <c r="J628" s="127"/>
      <c r="K628"/>
      <c r="L628"/>
      <c r="M628" s="127"/>
      <c r="N628"/>
    </row>
    <row r="629" spans="2:14" ht="14.45">
      <c r="B629"/>
      <c r="C629"/>
      <c r="D629" s="3"/>
      <c r="E629"/>
      <c r="G629"/>
      <c r="H629" s="361"/>
      <c r="I629" s="362"/>
      <c r="J629" s="127"/>
      <c r="K629"/>
      <c r="L629"/>
      <c r="M629" s="127"/>
      <c r="N629"/>
    </row>
    <row r="630" spans="2:14" ht="14.45">
      <c r="B630"/>
      <c r="C630"/>
      <c r="D630" s="3"/>
      <c r="E630"/>
      <c r="G630"/>
      <c r="H630" s="361"/>
      <c r="I630" s="362"/>
      <c r="J630" s="127"/>
      <c r="K630"/>
      <c r="L630"/>
      <c r="M630" s="127"/>
      <c r="N630"/>
    </row>
    <row r="631" spans="2:14" ht="14.45">
      <c r="B631"/>
      <c r="C631"/>
      <c r="D631" s="3"/>
      <c r="E631"/>
      <c r="G631"/>
      <c r="H631" s="361"/>
      <c r="I631" s="362"/>
      <c r="J631" s="127"/>
      <c r="K631"/>
      <c r="L631"/>
      <c r="M631" s="127"/>
      <c r="N631"/>
    </row>
    <row r="632" spans="2:14" ht="14.45">
      <c r="B632"/>
      <c r="C632"/>
      <c r="D632" s="3"/>
      <c r="E632"/>
      <c r="G632"/>
      <c r="H632" s="361"/>
      <c r="I632" s="362"/>
      <c r="J632" s="127"/>
      <c r="K632"/>
      <c r="L632"/>
      <c r="M632" s="127"/>
      <c r="N632"/>
    </row>
    <row r="633" spans="2:14" ht="14.45">
      <c r="B633"/>
      <c r="C633"/>
      <c r="D633" s="3"/>
      <c r="E633"/>
      <c r="G633"/>
      <c r="H633" s="361"/>
      <c r="I633" s="362"/>
      <c r="J633" s="127"/>
      <c r="K633"/>
      <c r="L633"/>
      <c r="M633" s="127"/>
      <c r="N633"/>
    </row>
    <row r="634" spans="2:14" ht="14.45">
      <c r="B634"/>
      <c r="C634"/>
      <c r="D634" s="3"/>
      <c r="E634"/>
      <c r="G634"/>
      <c r="H634" s="361"/>
      <c r="I634" s="362"/>
      <c r="J634" s="127"/>
      <c r="K634"/>
      <c r="L634"/>
      <c r="M634" s="127"/>
      <c r="N634"/>
    </row>
    <row r="635" spans="2:14" ht="14.45">
      <c r="B635"/>
      <c r="C635"/>
      <c r="D635" s="3"/>
      <c r="E635"/>
      <c r="G635"/>
      <c r="H635" s="361"/>
      <c r="I635" s="362"/>
      <c r="J635" s="127"/>
      <c r="K635"/>
      <c r="L635"/>
      <c r="M635" s="127"/>
      <c r="N635"/>
    </row>
    <row r="636" spans="2:14" ht="14.45">
      <c r="B636"/>
      <c r="C636"/>
      <c r="D636" s="3"/>
      <c r="E636"/>
      <c r="G636"/>
      <c r="H636" s="361"/>
      <c r="I636" s="362"/>
      <c r="J636" s="127"/>
      <c r="K636"/>
      <c r="L636"/>
      <c r="M636" s="127"/>
      <c r="N636"/>
    </row>
    <row r="637" spans="2:14" ht="14.45">
      <c r="B637"/>
      <c r="C637"/>
      <c r="D637" s="3"/>
      <c r="E637"/>
      <c r="G637"/>
      <c r="H637" s="361"/>
      <c r="I637" s="362"/>
      <c r="J637" s="127"/>
      <c r="K637"/>
      <c r="L637"/>
      <c r="M637" s="127"/>
      <c r="N637"/>
    </row>
    <row r="638" spans="2:14" ht="14.45">
      <c r="B638"/>
      <c r="C638"/>
      <c r="D638" s="3"/>
      <c r="E638"/>
      <c r="G638"/>
      <c r="H638" s="361"/>
      <c r="I638" s="362"/>
      <c r="J638" s="127"/>
      <c r="K638"/>
      <c r="L638"/>
      <c r="M638" s="127"/>
      <c r="N638"/>
    </row>
    <row r="639" spans="2:14" ht="14.45">
      <c r="B639"/>
      <c r="C639"/>
      <c r="D639" s="3"/>
      <c r="E639"/>
      <c r="G639"/>
      <c r="H639" s="361"/>
      <c r="I639" s="362"/>
      <c r="J639" s="127"/>
      <c r="K639"/>
      <c r="L639"/>
      <c r="M639" s="127"/>
      <c r="N639"/>
    </row>
    <row r="640" spans="2:14" ht="14.45">
      <c r="B640"/>
      <c r="C640"/>
      <c r="D640" s="3"/>
      <c r="E640"/>
      <c r="G640"/>
      <c r="H640" s="361"/>
      <c r="I640" s="362"/>
      <c r="J640" s="127"/>
      <c r="K640"/>
      <c r="L640"/>
      <c r="M640" s="127"/>
      <c r="N640"/>
    </row>
    <row r="641" spans="2:14" ht="14.45">
      <c r="B641"/>
      <c r="C641"/>
      <c r="D641" s="3"/>
      <c r="E641"/>
      <c r="G641"/>
      <c r="H641" s="361"/>
      <c r="I641" s="362"/>
      <c r="J641" s="127"/>
      <c r="K641"/>
      <c r="L641"/>
      <c r="M641" s="127"/>
      <c r="N641"/>
    </row>
    <row r="642" spans="2:14" ht="14.45">
      <c r="B642"/>
      <c r="C642"/>
      <c r="D642" s="3"/>
      <c r="E642"/>
      <c r="G642"/>
      <c r="H642" s="361"/>
      <c r="I642" s="362"/>
      <c r="J642" s="127"/>
      <c r="K642"/>
      <c r="L642"/>
      <c r="M642" s="127"/>
      <c r="N642"/>
    </row>
    <row r="643" spans="2:14" ht="14.45">
      <c r="B643"/>
      <c r="C643"/>
      <c r="D643" s="3"/>
      <c r="E643"/>
      <c r="G643"/>
      <c r="H643" s="361"/>
      <c r="I643" s="362"/>
      <c r="J643" s="127"/>
      <c r="K643"/>
      <c r="L643"/>
      <c r="M643" s="127"/>
      <c r="N643"/>
    </row>
    <row r="644" spans="2:14" ht="14.45">
      <c r="B644"/>
      <c r="C644"/>
      <c r="D644" s="3"/>
      <c r="E644"/>
      <c r="G644"/>
      <c r="H644" s="361"/>
      <c r="I644" s="362"/>
      <c r="J644" s="127"/>
      <c r="K644"/>
      <c r="L644"/>
      <c r="M644" s="127"/>
      <c r="N644"/>
    </row>
    <row r="645" spans="2:14" ht="14.45">
      <c r="B645"/>
      <c r="C645"/>
      <c r="D645" s="3"/>
      <c r="E645"/>
      <c r="G645"/>
      <c r="H645" s="361"/>
      <c r="I645" s="362"/>
      <c r="J645" s="127"/>
      <c r="K645"/>
      <c r="L645"/>
      <c r="M645" s="127"/>
      <c r="N645"/>
    </row>
    <row r="646" spans="2:14" ht="14.45">
      <c r="B646"/>
      <c r="C646"/>
      <c r="D646" s="3"/>
      <c r="E646"/>
      <c r="G646"/>
      <c r="H646" s="361"/>
      <c r="I646" s="362"/>
      <c r="J646" s="127"/>
      <c r="K646"/>
      <c r="L646"/>
      <c r="M646" s="127"/>
      <c r="N646"/>
    </row>
    <row r="647" spans="2:14" ht="14.45">
      <c r="B647"/>
      <c r="C647"/>
      <c r="D647" s="3"/>
      <c r="E647"/>
      <c r="G647"/>
      <c r="H647" s="361"/>
      <c r="I647" s="362"/>
      <c r="J647" s="127"/>
      <c r="K647"/>
      <c r="L647"/>
      <c r="M647" s="127"/>
      <c r="N647"/>
    </row>
    <row r="648" spans="2:14" ht="14.45">
      <c r="B648"/>
      <c r="C648"/>
      <c r="D648" s="3"/>
      <c r="E648"/>
      <c r="G648"/>
      <c r="H648" s="361"/>
      <c r="I648" s="362"/>
      <c r="J648" s="127"/>
      <c r="K648"/>
      <c r="L648"/>
      <c r="M648" s="127"/>
      <c r="N648"/>
    </row>
    <row r="649" spans="2:14" ht="14.45">
      <c r="B649"/>
      <c r="C649"/>
      <c r="D649" s="3"/>
      <c r="E649"/>
      <c r="G649"/>
      <c r="H649" s="361"/>
      <c r="I649" s="362"/>
      <c r="J649" s="127"/>
      <c r="K649"/>
      <c r="L649"/>
      <c r="M649" s="127"/>
      <c r="N649"/>
    </row>
    <row r="650" spans="2:14" ht="14.45">
      <c r="B650"/>
      <c r="C650"/>
      <c r="D650" s="3"/>
      <c r="E650"/>
      <c r="G650"/>
      <c r="H650" s="361"/>
      <c r="I650" s="362"/>
      <c r="J650" s="127"/>
      <c r="K650"/>
      <c r="L650"/>
      <c r="M650" s="127"/>
      <c r="N650"/>
    </row>
    <row r="651" spans="2:14" ht="14.45">
      <c r="B651"/>
      <c r="C651"/>
      <c r="D651" s="3"/>
      <c r="E651"/>
      <c r="G651"/>
      <c r="H651" s="361"/>
      <c r="I651" s="362"/>
      <c r="J651" s="127"/>
      <c r="K651"/>
      <c r="L651"/>
      <c r="M651" s="127"/>
      <c r="N651"/>
    </row>
    <row r="652" spans="2:14" ht="14.45">
      <c r="B652"/>
      <c r="C652"/>
      <c r="D652" s="3"/>
      <c r="E652"/>
      <c r="G652"/>
      <c r="H652" s="361"/>
      <c r="I652" s="362"/>
      <c r="J652" s="127"/>
      <c r="K652"/>
      <c r="L652"/>
      <c r="M652" s="127"/>
      <c r="N652"/>
    </row>
    <row r="653" spans="2:14" ht="14.45">
      <c r="B653"/>
      <c r="C653"/>
      <c r="D653" s="3"/>
      <c r="E653"/>
      <c r="G653"/>
      <c r="H653" s="361"/>
      <c r="I653" s="362"/>
      <c r="J653" s="127"/>
      <c r="K653"/>
      <c r="L653"/>
      <c r="M653" s="127"/>
      <c r="N653"/>
    </row>
    <row r="654" spans="2:14" ht="14.45">
      <c r="B654"/>
      <c r="C654"/>
      <c r="D654" s="3"/>
      <c r="E654"/>
      <c r="G654"/>
      <c r="H654" s="361"/>
      <c r="I654" s="362"/>
      <c r="J654" s="127"/>
      <c r="K654"/>
      <c r="L654"/>
      <c r="M654" s="127"/>
      <c r="N654"/>
    </row>
    <row r="655" spans="2:14" ht="14.45">
      <c r="B655"/>
      <c r="C655"/>
      <c r="D655" s="3"/>
      <c r="E655"/>
      <c r="G655"/>
      <c r="H655" s="361"/>
      <c r="I655" s="362"/>
      <c r="J655" s="127"/>
      <c r="K655"/>
      <c r="L655"/>
      <c r="M655" s="127"/>
      <c r="N655"/>
    </row>
    <row r="656" spans="2:14" ht="14.45">
      <c r="B656"/>
      <c r="C656"/>
      <c r="D656" s="3"/>
      <c r="E656"/>
      <c r="G656"/>
      <c r="H656" s="361"/>
      <c r="I656" s="362"/>
      <c r="J656" s="127"/>
      <c r="K656"/>
      <c r="L656"/>
      <c r="M656" s="127"/>
      <c r="N656"/>
    </row>
    <row r="657" spans="2:14" ht="14.45">
      <c r="B657"/>
      <c r="C657"/>
      <c r="D657" s="3"/>
      <c r="E657"/>
      <c r="G657"/>
      <c r="H657" s="361"/>
      <c r="I657" s="362"/>
      <c r="J657" s="127"/>
      <c r="K657"/>
      <c r="L657"/>
      <c r="M657" s="127"/>
      <c r="N657"/>
    </row>
    <row r="658" spans="2:14" ht="14.45">
      <c r="B658"/>
      <c r="C658"/>
      <c r="D658" s="3"/>
      <c r="E658"/>
      <c r="G658"/>
      <c r="H658" s="361"/>
      <c r="I658" s="362"/>
      <c r="J658" s="127"/>
      <c r="K658"/>
      <c r="L658"/>
      <c r="M658" s="127"/>
      <c r="N658"/>
    </row>
    <row r="659" spans="2:14" ht="14.45">
      <c r="B659"/>
      <c r="C659"/>
      <c r="D659" s="3"/>
      <c r="E659"/>
      <c r="G659"/>
      <c r="H659" s="361"/>
      <c r="I659" s="362"/>
      <c r="J659" s="127"/>
      <c r="K659"/>
      <c r="L659"/>
      <c r="M659" s="127"/>
      <c r="N659"/>
    </row>
    <row r="660" spans="2:14" ht="14.45">
      <c r="B660"/>
      <c r="C660"/>
      <c r="D660" s="3"/>
      <c r="E660"/>
      <c r="G660"/>
      <c r="H660" s="361"/>
      <c r="I660" s="362"/>
      <c r="J660" s="127"/>
      <c r="K660"/>
      <c r="L660"/>
      <c r="M660" s="127"/>
      <c r="N660"/>
    </row>
    <row r="661" spans="2:14" ht="14.45">
      <c r="B661"/>
      <c r="C661"/>
      <c r="D661" s="3"/>
      <c r="E661"/>
      <c r="G661"/>
      <c r="H661" s="361"/>
      <c r="I661" s="362"/>
      <c r="J661" s="127"/>
      <c r="K661"/>
      <c r="L661"/>
      <c r="M661" s="127"/>
      <c r="N661"/>
    </row>
    <row r="662" spans="2:14" ht="14.45">
      <c r="B662"/>
      <c r="C662"/>
      <c r="D662" s="3"/>
      <c r="E662"/>
      <c r="G662"/>
      <c r="H662" s="361"/>
      <c r="I662" s="362"/>
      <c r="J662" s="127"/>
      <c r="K662"/>
      <c r="L662"/>
      <c r="M662" s="127"/>
      <c r="N662"/>
    </row>
    <row r="663" spans="2:14" ht="14.45">
      <c r="B663"/>
      <c r="C663"/>
      <c r="D663" s="3"/>
      <c r="E663"/>
      <c r="G663"/>
      <c r="H663" s="361"/>
      <c r="I663" s="362"/>
      <c r="J663" s="127"/>
      <c r="K663"/>
      <c r="L663"/>
      <c r="M663" s="127"/>
      <c r="N663"/>
    </row>
    <row r="664" spans="2:14" ht="14.45">
      <c r="B664"/>
      <c r="C664"/>
      <c r="D664" s="3"/>
      <c r="E664"/>
      <c r="G664"/>
      <c r="H664" s="361"/>
      <c r="I664" s="362"/>
      <c r="J664" s="127"/>
      <c r="K664"/>
      <c r="L664"/>
      <c r="M664" s="127"/>
      <c r="N664"/>
    </row>
    <row r="665" spans="2:14" ht="14.45">
      <c r="B665"/>
      <c r="C665"/>
      <c r="D665" s="3"/>
      <c r="E665"/>
      <c r="G665"/>
      <c r="H665" s="361"/>
      <c r="I665" s="362"/>
      <c r="J665" s="127"/>
      <c r="K665"/>
      <c r="L665"/>
      <c r="M665" s="127"/>
      <c r="N665"/>
    </row>
    <row r="666" spans="2:14" ht="14.45">
      <c r="B666"/>
      <c r="C666"/>
      <c r="D666" s="3"/>
      <c r="E666"/>
      <c r="G666"/>
      <c r="H666" s="361"/>
      <c r="I666" s="362"/>
      <c r="J666" s="127"/>
      <c r="K666"/>
      <c r="L666"/>
      <c r="M666" s="127"/>
      <c r="N666"/>
    </row>
    <row r="667" spans="2:14" ht="14.45">
      <c r="B667"/>
      <c r="C667"/>
      <c r="D667" s="3"/>
      <c r="E667"/>
      <c r="G667"/>
      <c r="H667" s="361"/>
      <c r="I667" s="362"/>
      <c r="J667" s="127"/>
      <c r="K667"/>
      <c r="L667"/>
      <c r="M667" s="127"/>
      <c r="N667"/>
    </row>
    <row r="668" spans="2:14" ht="14.45">
      <c r="B668"/>
      <c r="C668"/>
      <c r="D668" s="3"/>
      <c r="E668"/>
      <c r="G668"/>
      <c r="H668" s="361"/>
      <c r="I668" s="362"/>
      <c r="J668" s="127"/>
      <c r="K668"/>
      <c r="L668"/>
      <c r="M668" s="127"/>
      <c r="N668"/>
    </row>
    <row r="669" spans="2:14" ht="14.45">
      <c r="B669"/>
      <c r="C669"/>
      <c r="D669" s="3"/>
      <c r="E669"/>
      <c r="G669"/>
      <c r="H669" s="361"/>
      <c r="I669" s="362"/>
      <c r="J669" s="127"/>
      <c r="K669"/>
      <c r="L669"/>
      <c r="M669" s="127"/>
      <c r="N669"/>
    </row>
    <row r="670" spans="2:14" ht="14.45">
      <c r="B670"/>
      <c r="C670"/>
      <c r="D670" s="3"/>
      <c r="E670"/>
      <c r="G670"/>
      <c r="H670" s="361"/>
      <c r="I670" s="362"/>
      <c r="J670" s="127"/>
      <c r="K670"/>
      <c r="L670"/>
      <c r="M670" s="127"/>
      <c r="N670"/>
    </row>
    <row r="671" spans="2:14" ht="14.45">
      <c r="B671"/>
      <c r="C671"/>
      <c r="D671" s="3"/>
      <c r="E671"/>
      <c r="G671"/>
      <c r="H671" s="361"/>
      <c r="I671" s="362"/>
      <c r="J671" s="127"/>
      <c r="K671"/>
      <c r="L671"/>
      <c r="M671" s="127"/>
      <c r="N671"/>
    </row>
    <row r="672" spans="2:14" ht="14.45">
      <c r="B672"/>
      <c r="C672"/>
      <c r="D672" s="3"/>
      <c r="E672"/>
      <c r="G672"/>
      <c r="H672" s="361"/>
      <c r="I672" s="362"/>
      <c r="J672" s="127"/>
      <c r="K672"/>
      <c r="L672"/>
      <c r="M672" s="127"/>
      <c r="N672"/>
    </row>
    <row r="673" spans="2:14" ht="14.45">
      <c r="B673"/>
      <c r="C673"/>
      <c r="D673" s="3"/>
      <c r="E673"/>
      <c r="G673"/>
      <c r="H673" s="361"/>
      <c r="I673" s="362"/>
      <c r="J673" s="127"/>
      <c r="K673"/>
      <c r="L673"/>
      <c r="M673" s="127"/>
      <c r="N673"/>
    </row>
    <row r="674" spans="2:14" ht="14.45">
      <c r="B674"/>
      <c r="C674"/>
      <c r="D674" s="3"/>
      <c r="E674"/>
      <c r="G674"/>
      <c r="H674" s="361"/>
      <c r="I674" s="362"/>
      <c r="J674" s="127"/>
      <c r="K674"/>
      <c r="L674"/>
      <c r="M674" s="127"/>
      <c r="N674"/>
    </row>
    <row r="675" spans="2:14" ht="14.45">
      <c r="B675"/>
      <c r="C675"/>
      <c r="D675" s="3"/>
      <c r="E675"/>
      <c r="G675"/>
      <c r="H675" s="361"/>
      <c r="I675" s="362"/>
      <c r="J675" s="127"/>
      <c r="K675"/>
      <c r="L675"/>
      <c r="M675" s="127"/>
      <c r="N675"/>
    </row>
    <row r="676" spans="2:14" ht="14.45">
      <c r="B676"/>
      <c r="C676"/>
      <c r="D676" s="3"/>
      <c r="E676"/>
      <c r="G676"/>
      <c r="H676" s="361"/>
      <c r="I676" s="362"/>
      <c r="J676" s="127"/>
      <c r="K676"/>
      <c r="L676"/>
      <c r="M676" s="127"/>
      <c r="N676"/>
    </row>
    <row r="677" spans="2:14" ht="14.45">
      <c r="B677"/>
      <c r="C677"/>
      <c r="D677" s="3"/>
      <c r="E677"/>
      <c r="G677"/>
      <c r="H677" s="361"/>
      <c r="I677" s="362"/>
      <c r="J677" s="127"/>
      <c r="K677"/>
      <c r="L677"/>
      <c r="M677" s="127"/>
      <c r="N677"/>
    </row>
    <row r="678" spans="2:14" ht="14.45">
      <c r="B678"/>
      <c r="C678"/>
      <c r="D678" s="3"/>
      <c r="E678"/>
      <c r="G678"/>
      <c r="H678" s="361"/>
      <c r="I678" s="362"/>
      <c r="J678" s="127"/>
      <c r="K678"/>
      <c r="L678"/>
      <c r="M678" s="127"/>
      <c r="N678"/>
    </row>
    <row r="679" spans="2:14" ht="14.45">
      <c r="B679"/>
      <c r="C679"/>
      <c r="D679" s="3"/>
      <c r="E679"/>
      <c r="G679"/>
      <c r="H679" s="361"/>
      <c r="I679" s="362"/>
      <c r="J679" s="127"/>
      <c r="K679"/>
      <c r="L679"/>
      <c r="M679" s="127"/>
      <c r="N679"/>
    </row>
    <row r="680" spans="2:14" ht="14.45">
      <c r="B680"/>
      <c r="C680"/>
      <c r="D680" s="3"/>
      <c r="E680"/>
      <c r="G680"/>
      <c r="H680" s="361"/>
      <c r="I680" s="362"/>
      <c r="J680" s="127"/>
      <c r="K680"/>
      <c r="L680"/>
      <c r="M680" s="127"/>
      <c r="N680"/>
    </row>
    <row r="681" spans="2:14" ht="14.45">
      <c r="B681"/>
      <c r="C681"/>
      <c r="D681" s="3"/>
      <c r="E681"/>
      <c r="G681"/>
      <c r="H681" s="361"/>
      <c r="I681" s="362"/>
      <c r="J681" s="127"/>
      <c r="K681"/>
      <c r="L681"/>
      <c r="M681" s="127"/>
      <c r="N681"/>
    </row>
    <row r="682" spans="2:14" ht="14.45">
      <c r="B682"/>
      <c r="C682"/>
      <c r="D682" s="3"/>
      <c r="E682"/>
      <c r="G682"/>
      <c r="H682" s="361"/>
      <c r="I682" s="362"/>
      <c r="J682" s="127"/>
      <c r="K682"/>
      <c r="L682"/>
      <c r="M682" s="127"/>
      <c r="N682"/>
    </row>
    <row r="683" spans="2:14" ht="14.45">
      <c r="B683"/>
      <c r="C683"/>
      <c r="D683" s="3"/>
      <c r="E683"/>
      <c r="G683"/>
      <c r="H683" s="361"/>
      <c r="I683" s="362"/>
      <c r="J683" s="127"/>
      <c r="K683"/>
      <c r="L683"/>
      <c r="M683" s="127"/>
      <c r="N683"/>
    </row>
    <row r="684" spans="2:14" ht="14.45">
      <c r="B684"/>
      <c r="C684"/>
      <c r="D684" s="3"/>
      <c r="E684"/>
      <c r="G684"/>
      <c r="H684" s="361"/>
      <c r="I684" s="362"/>
      <c r="J684" s="127"/>
      <c r="K684"/>
      <c r="L684"/>
      <c r="M684" s="127"/>
      <c r="N684"/>
    </row>
    <row r="685" spans="2:14" ht="14.45">
      <c r="B685"/>
      <c r="C685"/>
      <c r="D685" s="3"/>
      <c r="E685"/>
      <c r="G685"/>
      <c r="H685" s="361"/>
      <c r="I685" s="362"/>
      <c r="J685" s="127"/>
      <c r="K685"/>
      <c r="L685"/>
      <c r="M685" s="127"/>
      <c r="N685"/>
    </row>
    <row r="686" spans="2:14" ht="14.45">
      <c r="B686"/>
      <c r="C686"/>
      <c r="D686" s="3"/>
      <c r="E686"/>
      <c r="G686"/>
      <c r="H686" s="361"/>
      <c r="I686" s="362"/>
      <c r="J686" s="127"/>
      <c r="K686"/>
      <c r="L686"/>
      <c r="M686" s="127"/>
      <c r="N686"/>
    </row>
    <row r="687" spans="2:14" ht="14.45">
      <c r="B687"/>
      <c r="C687"/>
      <c r="D687" s="3"/>
      <c r="E687"/>
      <c r="G687"/>
      <c r="H687" s="361"/>
      <c r="I687" s="362"/>
      <c r="J687" s="127"/>
      <c r="K687"/>
      <c r="L687"/>
      <c r="M687" s="127"/>
      <c r="N687"/>
    </row>
    <row r="688" spans="2:14" ht="14.45">
      <c r="B688"/>
      <c r="C688"/>
      <c r="D688" s="3"/>
      <c r="E688"/>
      <c r="G688"/>
      <c r="H688" s="361"/>
      <c r="I688" s="362"/>
      <c r="J688" s="127"/>
      <c r="K688"/>
      <c r="L688"/>
      <c r="M688" s="127"/>
      <c r="N688"/>
    </row>
    <row r="689" spans="2:14" ht="14.45">
      <c r="B689"/>
      <c r="C689"/>
      <c r="D689" s="3"/>
      <c r="E689"/>
      <c r="G689"/>
      <c r="H689" s="361"/>
      <c r="I689" s="362"/>
      <c r="J689" s="127"/>
      <c r="K689"/>
      <c r="L689"/>
      <c r="M689" s="127"/>
      <c r="N689"/>
    </row>
    <row r="690" spans="2:14" ht="14.45">
      <c r="B690"/>
      <c r="C690"/>
      <c r="D690" s="3"/>
      <c r="E690"/>
      <c r="G690"/>
      <c r="H690" s="361"/>
      <c r="I690" s="362"/>
      <c r="J690" s="127"/>
      <c r="K690"/>
      <c r="L690"/>
      <c r="M690" s="127"/>
      <c r="N690"/>
    </row>
    <row r="691" spans="2:14" ht="14.45">
      <c r="B691"/>
      <c r="C691"/>
      <c r="D691" s="3"/>
      <c r="E691"/>
      <c r="G691"/>
      <c r="H691" s="361"/>
      <c r="I691" s="362"/>
      <c r="J691" s="127"/>
      <c r="K691"/>
      <c r="L691"/>
      <c r="M691" s="127"/>
      <c r="N691"/>
    </row>
    <row r="692" spans="2:14" ht="14.45">
      <c r="B692"/>
      <c r="C692"/>
      <c r="D692" s="3"/>
      <c r="E692"/>
      <c r="G692"/>
      <c r="H692" s="361"/>
      <c r="I692" s="362"/>
      <c r="J692" s="127"/>
      <c r="K692"/>
      <c r="L692"/>
      <c r="M692" s="127"/>
      <c r="N692"/>
    </row>
    <row r="693" spans="2:14" ht="14.45">
      <c r="B693"/>
      <c r="C693"/>
      <c r="D693" s="3"/>
      <c r="E693"/>
      <c r="G693"/>
      <c r="H693" s="361"/>
      <c r="I693" s="362"/>
      <c r="J693" s="127"/>
      <c r="K693"/>
      <c r="L693"/>
      <c r="M693" s="127"/>
      <c r="N693"/>
    </row>
    <row r="694" spans="2:14" ht="14.45">
      <c r="B694"/>
      <c r="C694"/>
      <c r="D694" s="3"/>
      <c r="E694"/>
      <c r="G694"/>
      <c r="H694" s="361"/>
      <c r="I694" s="362"/>
      <c r="J694" s="127"/>
      <c r="K694"/>
      <c r="L694"/>
      <c r="M694" s="127"/>
      <c r="N694"/>
    </row>
    <row r="695" spans="2:14" ht="14.45">
      <c r="B695"/>
      <c r="C695"/>
      <c r="D695" s="3"/>
      <c r="E695"/>
      <c r="G695"/>
      <c r="H695" s="361"/>
      <c r="I695" s="362"/>
      <c r="J695" s="127"/>
      <c r="K695"/>
      <c r="L695"/>
      <c r="M695" s="127"/>
      <c r="N695"/>
    </row>
    <row r="696" spans="2:14" ht="14.45">
      <c r="B696"/>
      <c r="C696"/>
      <c r="D696" s="3"/>
      <c r="E696"/>
      <c r="G696"/>
      <c r="H696" s="361"/>
      <c r="I696" s="362"/>
      <c r="J696" s="127"/>
      <c r="K696"/>
      <c r="L696"/>
      <c r="M696" s="127"/>
      <c r="N696"/>
    </row>
    <row r="697" spans="2:14" ht="14.45">
      <c r="B697"/>
      <c r="C697"/>
      <c r="D697" s="3"/>
      <c r="E697"/>
      <c r="G697"/>
      <c r="H697" s="361"/>
      <c r="I697" s="362"/>
      <c r="J697" s="127"/>
      <c r="K697"/>
      <c r="L697"/>
      <c r="M697" s="127"/>
      <c r="N697"/>
    </row>
    <row r="698" spans="2:14" ht="14.45">
      <c r="B698"/>
      <c r="C698"/>
      <c r="D698" s="3"/>
      <c r="E698"/>
      <c r="G698"/>
      <c r="H698" s="361"/>
      <c r="I698" s="362"/>
      <c r="J698" s="127"/>
      <c r="K698"/>
      <c r="L698"/>
      <c r="M698" s="127"/>
      <c r="N698"/>
    </row>
    <row r="699" spans="2:14" ht="14.45">
      <c r="B699"/>
      <c r="C699"/>
      <c r="D699" s="3"/>
      <c r="E699"/>
      <c r="G699"/>
      <c r="H699" s="361"/>
      <c r="I699" s="362"/>
      <c r="J699" s="127"/>
      <c r="K699"/>
      <c r="L699"/>
      <c r="M699" s="127"/>
      <c r="N699"/>
    </row>
    <row r="700" spans="2:14" ht="14.45">
      <c r="B700"/>
      <c r="C700"/>
      <c r="D700" s="3"/>
      <c r="E700"/>
      <c r="G700"/>
      <c r="H700" s="361"/>
      <c r="I700" s="362"/>
      <c r="J700" s="127"/>
      <c r="K700"/>
      <c r="L700"/>
      <c r="M700" s="127"/>
      <c r="N700"/>
    </row>
    <row r="701" spans="2:14" ht="14.45">
      <c r="B701"/>
      <c r="C701"/>
      <c r="D701" s="3"/>
      <c r="E701"/>
      <c r="G701"/>
      <c r="H701" s="361"/>
      <c r="I701" s="362"/>
      <c r="J701" s="127"/>
      <c r="K701"/>
      <c r="L701"/>
      <c r="M701" s="127"/>
      <c r="N701"/>
    </row>
    <row r="702" spans="2:14" ht="14.45">
      <c r="B702"/>
      <c r="C702"/>
      <c r="D702" s="3"/>
      <c r="E702"/>
      <c r="G702"/>
      <c r="H702" s="361"/>
      <c r="I702" s="362"/>
      <c r="J702" s="127"/>
      <c r="K702"/>
      <c r="L702"/>
      <c r="M702" s="127"/>
      <c r="N702"/>
    </row>
    <row r="703" spans="2:14" ht="14.45">
      <c r="B703"/>
      <c r="C703"/>
      <c r="D703" s="3"/>
      <c r="E703"/>
      <c r="G703"/>
      <c r="H703" s="361"/>
      <c r="I703" s="362"/>
      <c r="J703" s="127"/>
      <c r="K703"/>
      <c r="L703"/>
      <c r="M703" s="127"/>
      <c r="N703"/>
    </row>
    <row r="704" spans="2:14" ht="14.45">
      <c r="B704"/>
      <c r="C704"/>
      <c r="D704" s="3"/>
      <c r="E704"/>
      <c r="G704"/>
      <c r="H704" s="361"/>
      <c r="I704" s="362"/>
      <c r="J704" s="127"/>
      <c r="K704"/>
      <c r="L704"/>
      <c r="M704" s="127"/>
      <c r="N704"/>
    </row>
    <row r="705" spans="2:14" ht="14.45">
      <c r="B705"/>
      <c r="C705"/>
      <c r="D705" s="3"/>
      <c r="E705"/>
      <c r="G705"/>
      <c r="H705" s="361"/>
      <c r="I705" s="362"/>
      <c r="J705" s="127"/>
      <c r="K705"/>
      <c r="L705"/>
      <c r="M705" s="127"/>
      <c r="N705"/>
    </row>
    <row r="706" spans="2:14" ht="14.45">
      <c r="B706"/>
      <c r="C706"/>
      <c r="D706" s="3"/>
      <c r="E706"/>
      <c r="G706"/>
      <c r="H706" s="361"/>
      <c r="I706" s="362"/>
      <c r="J706" s="127"/>
      <c r="K706"/>
      <c r="L706"/>
      <c r="M706" s="127"/>
      <c r="N706"/>
    </row>
    <row r="707" spans="2:14" ht="14.45">
      <c r="B707"/>
      <c r="C707"/>
      <c r="D707" s="3"/>
      <c r="E707"/>
      <c r="G707"/>
      <c r="H707" s="361"/>
      <c r="I707" s="362"/>
      <c r="J707" s="127"/>
      <c r="K707"/>
      <c r="L707"/>
      <c r="M707" s="127"/>
      <c r="N707"/>
    </row>
    <row r="708" spans="2:14" ht="14.45">
      <c r="B708"/>
      <c r="C708"/>
      <c r="D708" s="3"/>
      <c r="E708"/>
      <c r="G708"/>
      <c r="H708" s="361"/>
      <c r="I708" s="362"/>
      <c r="J708" s="127"/>
      <c r="K708"/>
      <c r="L708"/>
      <c r="M708" s="127"/>
      <c r="N708"/>
    </row>
    <row r="709" spans="2:14" ht="14.45">
      <c r="B709"/>
      <c r="C709"/>
      <c r="D709" s="3"/>
      <c r="E709"/>
      <c r="G709"/>
      <c r="H709" s="361"/>
      <c r="I709" s="362"/>
      <c r="J709" s="127"/>
      <c r="K709"/>
      <c r="L709"/>
      <c r="M709" s="127"/>
      <c r="N709"/>
    </row>
    <row r="710" spans="2:14" ht="14.45">
      <c r="B710"/>
      <c r="C710"/>
      <c r="D710" s="3"/>
      <c r="E710"/>
      <c r="G710"/>
      <c r="H710" s="361"/>
      <c r="I710" s="362"/>
      <c r="J710" s="127"/>
      <c r="K710"/>
      <c r="L710"/>
      <c r="M710" s="127"/>
      <c r="N710"/>
    </row>
    <row r="711" spans="2:14" ht="14.45">
      <c r="B711"/>
      <c r="C711"/>
      <c r="D711" s="3"/>
      <c r="E711"/>
      <c r="G711"/>
      <c r="H711" s="361"/>
      <c r="I711" s="362"/>
      <c r="J711" s="127"/>
      <c r="K711"/>
      <c r="L711"/>
      <c r="M711" s="127"/>
      <c r="N711"/>
    </row>
    <row r="712" spans="2:14" ht="14.45">
      <c r="B712"/>
      <c r="C712"/>
      <c r="D712" s="3"/>
      <c r="E712"/>
      <c r="G712"/>
      <c r="H712" s="361"/>
      <c r="I712" s="362"/>
      <c r="J712" s="127"/>
      <c r="K712"/>
      <c r="L712"/>
      <c r="M712" s="127"/>
      <c r="N712"/>
    </row>
    <row r="713" spans="2:14" ht="14.45">
      <c r="B713"/>
      <c r="C713"/>
      <c r="D713" s="3"/>
      <c r="E713"/>
      <c r="G713"/>
      <c r="H713" s="361"/>
      <c r="I713" s="362"/>
      <c r="J713" s="127"/>
      <c r="K713"/>
      <c r="L713"/>
      <c r="M713" s="127"/>
      <c r="N713"/>
    </row>
    <row r="714" spans="2:14" ht="14.45">
      <c r="B714"/>
      <c r="C714"/>
      <c r="D714" s="3"/>
      <c r="E714"/>
      <c r="G714"/>
      <c r="H714" s="361"/>
      <c r="I714" s="362"/>
      <c r="J714" s="127"/>
      <c r="K714"/>
      <c r="L714"/>
      <c r="M714" s="127"/>
      <c r="N714"/>
    </row>
    <row r="715" spans="2:14" ht="14.45">
      <c r="B715"/>
      <c r="C715"/>
      <c r="D715" s="3"/>
      <c r="E715"/>
      <c r="G715"/>
      <c r="H715" s="361"/>
      <c r="I715" s="362"/>
      <c r="J715" s="127"/>
      <c r="K715"/>
      <c r="L715"/>
      <c r="M715" s="127"/>
      <c r="N715"/>
    </row>
    <row r="716" spans="2:14" ht="14.45">
      <c r="B716"/>
      <c r="C716"/>
      <c r="D716" s="3"/>
      <c r="E716"/>
      <c r="G716"/>
      <c r="H716" s="361"/>
      <c r="I716" s="362"/>
      <c r="J716" s="127"/>
      <c r="K716"/>
      <c r="L716"/>
      <c r="M716" s="127"/>
      <c r="N716"/>
    </row>
    <row r="717" spans="2:14" ht="14.45">
      <c r="B717"/>
      <c r="C717"/>
      <c r="D717" s="3"/>
      <c r="E717"/>
      <c r="G717"/>
      <c r="H717" s="361"/>
      <c r="I717" s="362"/>
      <c r="J717" s="127"/>
      <c r="K717"/>
      <c r="L717"/>
      <c r="M717" s="127"/>
      <c r="N717"/>
    </row>
    <row r="718" spans="2:14" ht="14.45">
      <c r="B718"/>
      <c r="C718"/>
      <c r="D718" s="3"/>
      <c r="E718"/>
      <c r="G718"/>
      <c r="H718" s="361"/>
      <c r="I718" s="362"/>
      <c r="J718" s="127"/>
      <c r="K718"/>
      <c r="L718"/>
      <c r="M718" s="127"/>
      <c r="N718"/>
    </row>
    <row r="719" spans="2:14" ht="14.45">
      <c r="B719"/>
      <c r="C719"/>
      <c r="D719" s="3"/>
      <c r="E719"/>
      <c r="G719"/>
      <c r="H719" s="361"/>
      <c r="I719" s="362"/>
      <c r="J719" s="127"/>
      <c r="K719"/>
      <c r="L719"/>
      <c r="M719" s="127"/>
      <c r="N719"/>
    </row>
    <row r="720" spans="2:14" ht="14.45">
      <c r="B720"/>
      <c r="C720"/>
      <c r="D720" s="3"/>
      <c r="E720"/>
      <c r="G720"/>
      <c r="H720" s="361"/>
      <c r="I720" s="362"/>
      <c r="J720" s="127"/>
      <c r="K720"/>
      <c r="L720"/>
      <c r="M720" s="127"/>
      <c r="N720"/>
    </row>
    <row r="721" spans="2:14" ht="14.45">
      <c r="B721"/>
      <c r="C721"/>
      <c r="D721" s="3"/>
      <c r="E721"/>
      <c r="G721"/>
      <c r="H721" s="361"/>
      <c r="I721" s="362"/>
      <c r="J721" s="127"/>
      <c r="K721"/>
      <c r="L721"/>
      <c r="M721" s="127"/>
      <c r="N721"/>
    </row>
    <row r="722" spans="2:14" ht="14.45">
      <c r="B722"/>
      <c r="C722"/>
      <c r="D722" s="3"/>
      <c r="E722"/>
      <c r="G722"/>
      <c r="H722" s="361"/>
      <c r="I722" s="362"/>
      <c r="J722" s="127"/>
      <c r="K722"/>
      <c r="L722"/>
      <c r="M722" s="127"/>
      <c r="N722"/>
    </row>
    <row r="723" spans="2:14" ht="14.45">
      <c r="B723"/>
      <c r="C723"/>
      <c r="D723" s="3"/>
      <c r="E723"/>
      <c r="G723"/>
      <c r="H723" s="361"/>
      <c r="I723" s="362"/>
      <c r="J723" s="127"/>
      <c r="K723"/>
      <c r="L723"/>
      <c r="M723" s="127"/>
      <c r="N723"/>
    </row>
    <row r="724" spans="2:14" ht="14.45">
      <c r="B724"/>
      <c r="C724"/>
      <c r="D724" s="3"/>
      <c r="E724"/>
      <c r="G724"/>
      <c r="H724" s="361"/>
      <c r="I724" s="362"/>
      <c r="J724" s="127"/>
      <c r="K724"/>
      <c r="L724"/>
      <c r="M724" s="127"/>
      <c r="N724"/>
    </row>
    <row r="725" spans="2:14" ht="14.45">
      <c r="B725"/>
      <c r="C725"/>
      <c r="D725" s="3"/>
      <c r="E725"/>
      <c r="G725"/>
      <c r="H725" s="361"/>
      <c r="I725" s="362"/>
      <c r="J725" s="127"/>
      <c r="K725"/>
      <c r="L725"/>
      <c r="M725" s="127"/>
      <c r="N725"/>
    </row>
    <row r="726" spans="2:14" ht="14.45">
      <c r="B726"/>
      <c r="C726"/>
      <c r="D726" s="3"/>
      <c r="E726"/>
      <c r="G726"/>
      <c r="H726" s="361"/>
      <c r="I726" s="362"/>
      <c r="J726" s="127"/>
      <c r="K726"/>
      <c r="L726"/>
      <c r="M726" s="127"/>
      <c r="N726"/>
    </row>
    <row r="727" spans="2:14" ht="14.45">
      <c r="B727"/>
      <c r="C727"/>
      <c r="D727" s="3"/>
      <c r="E727"/>
      <c r="G727"/>
      <c r="H727" s="361"/>
      <c r="I727" s="362"/>
      <c r="J727" s="127"/>
      <c r="K727"/>
      <c r="L727"/>
      <c r="M727" s="127"/>
      <c r="N727"/>
    </row>
    <row r="728" spans="2:14" ht="14.45">
      <c r="B728"/>
      <c r="C728"/>
      <c r="D728" s="3"/>
      <c r="E728"/>
      <c r="G728"/>
      <c r="H728" s="361"/>
      <c r="I728" s="362"/>
      <c r="J728" s="127"/>
      <c r="K728"/>
      <c r="L728"/>
      <c r="M728" s="127"/>
      <c r="N728"/>
    </row>
    <row r="729" spans="2:14" ht="14.45">
      <c r="B729"/>
      <c r="C729"/>
      <c r="D729" s="3"/>
      <c r="E729"/>
      <c r="G729"/>
      <c r="H729" s="361"/>
      <c r="I729" s="362"/>
      <c r="J729" s="127"/>
      <c r="K729"/>
      <c r="L729"/>
      <c r="M729" s="127"/>
      <c r="N729"/>
    </row>
    <row r="730" spans="2:14" ht="14.45">
      <c r="B730"/>
      <c r="C730"/>
      <c r="D730" s="3"/>
      <c r="E730"/>
      <c r="G730"/>
      <c r="H730" s="361"/>
      <c r="I730" s="362"/>
      <c r="J730" s="127"/>
      <c r="K730"/>
      <c r="L730"/>
      <c r="M730" s="127"/>
      <c r="N730"/>
    </row>
    <row r="731" spans="2:14" ht="14.45">
      <c r="B731"/>
      <c r="C731"/>
      <c r="D731" s="3"/>
      <c r="E731"/>
      <c r="G731"/>
      <c r="H731" s="361"/>
      <c r="I731" s="362"/>
      <c r="J731" s="127"/>
      <c r="K731"/>
      <c r="L731"/>
      <c r="M731" s="127"/>
      <c r="N731"/>
    </row>
    <row r="732" spans="2:14" ht="14.45">
      <c r="B732"/>
      <c r="C732"/>
      <c r="D732" s="3"/>
      <c r="E732"/>
      <c r="G732"/>
      <c r="H732" s="361"/>
      <c r="I732" s="362"/>
      <c r="J732" s="127"/>
      <c r="K732"/>
      <c r="L732"/>
      <c r="M732" s="127"/>
      <c r="N732"/>
    </row>
    <row r="733" spans="2:14" ht="14.45">
      <c r="B733"/>
      <c r="C733"/>
      <c r="D733" s="3"/>
      <c r="E733"/>
      <c r="G733"/>
      <c r="H733" s="361"/>
      <c r="I733" s="362"/>
      <c r="J733" s="127"/>
      <c r="K733"/>
      <c r="L733"/>
      <c r="M733" s="127"/>
      <c r="N733"/>
    </row>
    <row r="734" spans="2:14" ht="14.45">
      <c r="B734"/>
      <c r="C734"/>
      <c r="D734" s="3"/>
      <c r="E734"/>
      <c r="G734"/>
      <c r="H734" s="361"/>
      <c r="I734" s="362"/>
      <c r="J734" s="127"/>
      <c r="K734"/>
      <c r="L734"/>
      <c r="M734" s="127"/>
      <c r="N734"/>
    </row>
    <row r="735" spans="2:14" ht="14.45">
      <c r="B735"/>
      <c r="C735"/>
      <c r="D735" s="3"/>
      <c r="E735"/>
      <c r="G735"/>
      <c r="H735" s="361"/>
      <c r="I735" s="362"/>
      <c r="J735" s="127"/>
      <c r="K735"/>
      <c r="L735"/>
      <c r="M735" s="127"/>
      <c r="N735"/>
    </row>
    <row r="736" spans="2:14" ht="14.45">
      <c r="B736"/>
      <c r="C736"/>
      <c r="D736" s="3"/>
      <c r="E736"/>
      <c r="G736"/>
      <c r="H736" s="361"/>
      <c r="I736" s="362"/>
      <c r="J736" s="127"/>
      <c r="K736"/>
      <c r="L736"/>
      <c r="M736" s="127"/>
      <c r="N736"/>
    </row>
    <row r="737" spans="2:14" ht="14.45">
      <c r="B737"/>
      <c r="C737"/>
      <c r="D737" s="3"/>
      <c r="E737"/>
      <c r="G737"/>
      <c r="H737" s="361"/>
      <c r="I737" s="362"/>
      <c r="J737" s="127"/>
      <c r="K737"/>
      <c r="L737"/>
      <c r="M737" s="127"/>
      <c r="N737"/>
    </row>
    <row r="738" spans="2:14" ht="14.45">
      <c r="B738"/>
      <c r="C738"/>
      <c r="D738" s="3"/>
      <c r="E738"/>
      <c r="G738"/>
      <c r="H738" s="361"/>
      <c r="I738" s="362"/>
      <c r="J738" s="127"/>
      <c r="K738"/>
      <c r="L738"/>
      <c r="M738" s="127"/>
      <c r="N738"/>
    </row>
    <row r="739" spans="2:14" ht="14.45">
      <c r="B739"/>
      <c r="C739"/>
      <c r="D739" s="3"/>
      <c r="E739"/>
      <c r="G739"/>
      <c r="H739" s="361"/>
      <c r="I739" s="362"/>
      <c r="J739" s="127"/>
      <c r="K739"/>
      <c r="L739"/>
      <c r="M739" s="127"/>
      <c r="N739"/>
    </row>
    <row r="740" spans="2:14" ht="14.45">
      <c r="B740"/>
      <c r="C740"/>
      <c r="D740" s="3"/>
      <c r="E740"/>
      <c r="G740"/>
      <c r="H740" s="361"/>
      <c r="I740" s="362"/>
      <c r="J740" s="127"/>
      <c r="K740"/>
      <c r="L740"/>
      <c r="M740" s="127"/>
      <c r="N740"/>
    </row>
    <row r="741" spans="2:14" ht="14.45">
      <c r="B741"/>
      <c r="C741"/>
      <c r="D741" s="3"/>
      <c r="E741"/>
      <c r="G741"/>
      <c r="H741" s="361"/>
      <c r="I741" s="362"/>
      <c r="J741" s="127"/>
      <c r="K741"/>
      <c r="L741"/>
      <c r="M741" s="127"/>
      <c r="N741"/>
    </row>
    <row r="742" spans="2:14" ht="14.45">
      <c r="B742"/>
      <c r="C742"/>
      <c r="D742" s="3"/>
      <c r="E742"/>
      <c r="G742"/>
      <c r="H742" s="361"/>
      <c r="I742" s="362"/>
      <c r="J742" s="127"/>
      <c r="K742"/>
      <c r="L742"/>
      <c r="M742" s="127"/>
      <c r="N742"/>
    </row>
    <row r="743" spans="2:14" ht="14.45">
      <c r="B743"/>
      <c r="C743"/>
      <c r="D743" s="3"/>
      <c r="E743"/>
      <c r="G743"/>
      <c r="H743" s="361"/>
      <c r="I743" s="362"/>
      <c r="J743" s="127"/>
      <c r="K743"/>
      <c r="L743"/>
      <c r="M743" s="127"/>
      <c r="N743"/>
    </row>
    <row r="744" spans="2:14" ht="14.45">
      <c r="B744"/>
      <c r="C744"/>
      <c r="D744" s="3"/>
      <c r="E744"/>
      <c r="G744"/>
      <c r="H744" s="361"/>
      <c r="I744" s="362"/>
      <c r="J744" s="127"/>
      <c r="K744"/>
      <c r="L744"/>
      <c r="M744" s="127"/>
      <c r="N744"/>
    </row>
    <row r="745" spans="2:14" ht="14.45">
      <c r="B745"/>
      <c r="C745"/>
      <c r="D745" s="3"/>
      <c r="E745"/>
      <c r="G745"/>
      <c r="H745" s="361"/>
      <c r="I745" s="362"/>
      <c r="J745" s="127"/>
      <c r="K745"/>
      <c r="L745"/>
      <c r="M745" s="127"/>
      <c r="N745"/>
    </row>
    <row r="746" spans="2:14" ht="14.45">
      <c r="B746"/>
      <c r="C746"/>
      <c r="D746" s="3"/>
      <c r="E746"/>
      <c r="G746"/>
      <c r="H746" s="361"/>
      <c r="I746" s="362"/>
      <c r="J746" s="127"/>
      <c r="K746"/>
      <c r="L746"/>
      <c r="M746" s="127"/>
      <c r="N746"/>
    </row>
    <row r="747" spans="2:14" ht="14.45">
      <c r="B747"/>
      <c r="C747"/>
      <c r="D747" s="3"/>
      <c r="E747"/>
      <c r="G747"/>
      <c r="H747" s="361"/>
      <c r="I747" s="362"/>
      <c r="J747" s="127"/>
      <c r="K747"/>
      <c r="L747"/>
      <c r="M747" s="127"/>
      <c r="N747"/>
    </row>
    <row r="748" spans="2:14" ht="14.45">
      <c r="B748"/>
      <c r="C748"/>
      <c r="D748" s="3"/>
      <c r="E748"/>
      <c r="G748"/>
      <c r="H748" s="361"/>
      <c r="I748" s="362"/>
      <c r="J748" s="127"/>
      <c r="K748"/>
      <c r="L748"/>
      <c r="M748" s="127"/>
      <c r="N748"/>
    </row>
    <row r="749" spans="2:14" ht="14.45">
      <c r="B749"/>
      <c r="C749"/>
      <c r="D749" s="3"/>
      <c r="E749"/>
      <c r="G749"/>
      <c r="H749" s="361"/>
      <c r="I749" s="362"/>
      <c r="J749" s="127"/>
      <c r="K749"/>
      <c r="L749"/>
      <c r="M749" s="127"/>
      <c r="N749"/>
    </row>
    <row r="750" spans="2:14" ht="14.45">
      <c r="B750"/>
      <c r="C750"/>
      <c r="D750" s="3"/>
      <c r="E750"/>
      <c r="G750"/>
      <c r="H750" s="361"/>
      <c r="I750" s="362"/>
      <c r="J750" s="127"/>
      <c r="K750"/>
      <c r="L750"/>
      <c r="M750" s="127"/>
      <c r="N750"/>
    </row>
  </sheetData>
  <autoFilter ref="A1:O428" xr:uid="{00000000-0009-0000-0000-000007000000}">
    <sortState xmlns:xlrd2="http://schemas.microsoft.com/office/spreadsheetml/2017/richdata2" ref="A2:O428">
      <sortCondition ref="A1:A428"/>
    </sortState>
  </autoFilter>
  <conditionalFormatting sqref="E204">
    <cfRule type="duplicateValues" dxfId="0" priority="1"/>
  </conditionalFormatting>
  <dataValidations count="3">
    <dataValidation type="list" allowBlank="1" showInputMessage="1" showErrorMessage="1" sqref="B138:B184" xr:uid="{00000000-0002-0000-0700-000000000000}">
      <formula1>"Pla Especial ZVG,Estratègia per la gestió del vulcanisme,Estratègia de gestió de la flora i la vegetació,Estratègia agrària,Estratègia de Turisme Sostenible de la Garrotxa,MAP"</formula1>
    </dataValidation>
    <dataValidation type="list" allowBlank="1" showInputMessage="1" showErrorMessage="1" sqref="L2" xr:uid="{00000000-0002-0000-0700-000001000000}">
      <formula1>"SÍ"</formula1>
    </dataValidation>
    <dataValidation type="list" allowBlank="1" showInputMessage="1" showErrorMessage="1" sqref="B751:B1048576 B185:B365 B423:B428 B2:B137" xr:uid="{00000000-0002-0000-0700-000002000000}">
      <formula1>"Pla de protecció,MAP,Programa anual d'actuacions,Pla d'educació ambiental i voluntariat,Estratègia de geoconservació,Pla d'impuls a la ramaderia extensiva,Estratègia de turisme sostenible"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68"/>
  <sheetViews>
    <sheetView topLeftCell="B1" zoomScale="90" zoomScaleNormal="90" workbookViewId="0">
      <pane ySplit="1" topLeftCell="A2" activePane="bottomLeft" state="frozen"/>
      <selection pane="bottomLeft" activeCell="B28" sqref="B28"/>
    </sheetView>
  </sheetViews>
  <sheetFormatPr defaultColWidth="8.7109375" defaultRowHeight="14.45"/>
  <cols>
    <col min="1" max="1" width="33.42578125" style="1" customWidth="1"/>
    <col min="2" max="2" width="46.28515625" style="269" customWidth="1"/>
    <col min="3" max="3" width="57.7109375" style="1" customWidth="1"/>
    <col min="4" max="4" width="32.7109375" style="74" customWidth="1"/>
    <col min="5" max="5" width="51.28515625" style="175" customWidth="1"/>
    <col min="6" max="16384" width="8.7109375" style="74"/>
  </cols>
  <sheetData>
    <row r="1" spans="1:5">
      <c r="A1" s="214" t="s">
        <v>1684</v>
      </c>
      <c r="B1" s="215" t="s">
        <v>1686</v>
      </c>
      <c r="C1" s="214" t="s">
        <v>1688</v>
      </c>
      <c r="D1" s="210" t="s">
        <v>2714</v>
      </c>
      <c r="E1" s="164" t="s">
        <v>2715</v>
      </c>
    </row>
    <row r="2" spans="1:5" ht="44.25" customHeight="1">
      <c r="A2" s="216" t="s">
        <v>1698</v>
      </c>
      <c r="B2" s="217" t="s">
        <v>1699</v>
      </c>
      <c r="C2" s="218" t="s">
        <v>1700</v>
      </c>
      <c r="D2" s="211" t="s">
        <v>2716</v>
      </c>
    </row>
    <row r="3" spans="1:5">
      <c r="A3" s="216" t="s">
        <v>1698</v>
      </c>
      <c r="B3" s="217" t="s">
        <v>1699</v>
      </c>
      <c r="C3" s="218" t="s">
        <v>1702</v>
      </c>
      <c r="D3" s="211" t="s">
        <v>2717</v>
      </c>
      <c r="E3" s="175" t="s">
        <v>1704</v>
      </c>
    </row>
    <row r="4" spans="1:5" ht="29.1">
      <c r="A4" s="216" t="s">
        <v>1698</v>
      </c>
      <c r="B4" s="217" t="s">
        <v>1699</v>
      </c>
      <c r="C4" s="218" t="s">
        <v>1706</v>
      </c>
      <c r="D4" s="211" t="s">
        <v>2716</v>
      </c>
    </row>
    <row r="5" spans="1:5">
      <c r="A5" s="216" t="s">
        <v>1698</v>
      </c>
      <c r="B5" s="217" t="s">
        <v>1699</v>
      </c>
      <c r="C5" s="218" t="s">
        <v>1707</v>
      </c>
      <c r="D5" s="211" t="s">
        <v>2718</v>
      </c>
    </row>
    <row r="6" spans="1:5">
      <c r="A6" s="216" t="s">
        <v>1698</v>
      </c>
      <c r="B6" s="217" t="s">
        <v>1699</v>
      </c>
      <c r="C6" s="218" t="s">
        <v>1708</v>
      </c>
      <c r="D6" s="211" t="s">
        <v>2717</v>
      </c>
    </row>
    <row r="7" spans="1:5">
      <c r="A7" s="216" t="s">
        <v>1698</v>
      </c>
      <c r="B7" s="217" t="s">
        <v>1699</v>
      </c>
      <c r="C7" s="218" t="s">
        <v>1709</v>
      </c>
      <c r="D7" s="211" t="s">
        <v>2717</v>
      </c>
    </row>
    <row r="8" spans="1:5">
      <c r="A8" s="216" t="s">
        <v>1698</v>
      </c>
      <c r="B8" s="217" t="s">
        <v>1699</v>
      </c>
      <c r="C8" s="218" t="s">
        <v>1710</v>
      </c>
      <c r="D8" s="211" t="s">
        <v>2718</v>
      </c>
    </row>
    <row r="9" spans="1:5" ht="29.1">
      <c r="A9" s="216" t="s">
        <v>1698</v>
      </c>
      <c r="B9" s="217" t="s">
        <v>1699</v>
      </c>
      <c r="C9" s="218" t="s">
        <v>1711</v>
      </c>
      <c r="D9" s="211" t="s">
        <v>2718</v>
      </c>
    </row>
    <row r="10" spans="1:5">
      <c r="A10" s="216" t="s">
        <v>1698</v>
      </c>
      <c r="B10" s="217" t="s">
        <v>1699</v>
      </c>
      <c r="C10" s="218" t="s">
        <v>1712</v>
      </c>
      <c r="D10" s="211" t="s">
        <v>2718</v>
      </c>
    </row>
    <row r="11" spans="1:5" ht="29.1">
      <c r="A11" s="216" t="s">
        <v>1698</v>
      </c>
      <c r="B11" s="217" t="s">
        <v>1699</v>
      </c>
      <c r="C11" s="218" t="s">
        <v>1713</v>
      </c>
      <c r="D11" s="211" t="s">
        <v>2718</v>
      </c>
    </row>
    <row r="12" spans="1:5">
      <c r="A12" s="216" t="s">
        <v>1698</v>
      </c>
      <c r="B12" s="217" t="s">
        <v>1699</v>
      </c>
      <c r="C12" s="218" t="s">
        <v>1714</v>
      </c>
      <c r="D12" s="211" t="s">
        <v>1716</v>
      </c>
    </row>
    <row r="13" spans="1:5" ht="29.1">
      <c r="A13" s="216" t="s">
        <v>1698</v>
      </c>
      <c r="B13" s="217" t="s">
        <v>1699</v>
      </c>
      <c r="C13" s="218" t="s">
        <v>1717</v>
      </c>
      <c r="D13" s="211" t="s">
        <v>2718</v>
      </c>
    </row>
    <row r="14" spans="1:5" ht="29.1">
      <c r="A14" s="216" t="s">
        <v>1698</v>
      </c>
      <c r="B14" s="217" t="s">
        <v>1699</v>
      </c>
      <c r="C14" s="218" t="s">
        <v>1718</v>
      </c>
      <c r="D14" s="211" t="s">
        <v>2719</v>
      </c>
    </row>
    <row r="15" spans="1:5" ht="43.5">
      <c r="A15" s="216" t="s">
        <v>1698</v>
      </c>
      <c r="B15" s="217" t="s">
        <v>1699</v>
      </c>
      <c r="C15" s="218" t="s">
        <v>1720</v>
      </c>
      <c r="D15" s="211" t="s">
        <v>1721</v>
      </c>
    </row>
    <row r="16" spans="1:5" ht="29.1">
      <c r="A16" s="216" t="s">
        <v>1698</v>
      </c>
      <c r="B16" s="217" t="s">
        <v>1699</v>
      </c>
      <c r="C16" s="218" t="s">
        <v>1722</v>
      </c>
      <c r="D16" s="211" t="s">
        <v>2718</v>
      </c>
    </row>
    <row r="17" spans="1:4" ht="29.1">
      <c r="A17" s="216" t="s">
        <v>1698</v>
      </c>
      <c r="B17" s="219" t="s">
        <v>1723</v>
      </c>
      <c r="C17" s="218" t="s">
        <v>2720</v>
      </c>
      <c r="D17" s="211" t="s">
        <v>2716</v>
      </c>
    </row>
    <row r="18" spans="1:4" ht="29.1">
      <c r="A18" s="216" t="s">
        <v>1698</v>
      </c>
      <c r="B18" s="219" t="s">
        <v>1723</v>
      </c>
      <c r="C18" s="218" t="s">
        <v>1725</v>
      </c>
      <c r="D18" s="211" t="s">
        <v>1726</v>
      </c>
    </row>
    <row r="19" spans="1:4">
      <c r="A19" s="216" t="s">
        <v>1698</v>
      </c>
      <c r="B19" s="219" t="s">
        <v>1723</v>
      </c>
      <c r="C19" s="218" t="s">
        <v>2721</v>
      </c>
      <c r="D19" s="211" t="s">
        <v>2717</v>
      </c>
    </row>
    <row r="20" spans="1:4" ht="43.5">
      <c r="A20" s="216" t="s">
        <v>1698</v>
      </c>
      <c r="B20" s="219" t="s">
        <v>1723</v>
      </c>
      <c r="C20" s="218" t="s">
        <v>1728</v>
      </c>
      <c r="D20" s="211" t="s">
        <v>2717</v>
      </c>
    </row>
    <row r="21" spans="1:4" ht="29.1">
      <c r="A21" s="216" t="s">
        <v>1698</v>
      </c>
      <c r="B21" s="219" t="s">
        <v>1723</v>
      </c>
      <c r="C21" s="218" t="s">
        <v>1729</v>
      </c>
      <c r="D21" s="211" t="s">
        <v>2722</v>
      </c>
    </row>
    <row r="22" spans="1:4" ht="29.1">
      <c r="A22" s="216" t="s">
        <v>1698</v>
      </c>
      <c r="B22" s="220" t="s">
        <v>1731</v>
      </c>
      <c r="C22" s="218" t="s">
        <v>1732</v>
      </c>
      <c r="D22" s="211" t="s">
        <v>1733</v>
      </c>
    </row>
    <row r="23" spans="1:4" ht="29.1">
      <c r="A23" s="216" t="s">
        <v>1698</v>
      </c>
      <c r="B23" s="220" t="s">
        <v>1731</v>
      </c>
      <c r="C23" s="218" t="s">
        <v>1734</v>
      </c>
      <c r="D23" s="211" t="s">
        <v>1735</v>
      </c>
    </row>
    <row r="24" spans="1:4" ht="29.1">
      <c r="A24" s="216" t="s">
        <v>1698</v>
      </c>
      <c r="B24" s="220" t="s">
        <v>1731</v>
      </c>
      <c r="C24" s="218" t="s">
        <v>1737</v>
      </c>
      <c r="D24" s="211" t="s">
        <v>2723</v>
      </c>
    </row>
    <row r="25" spans="1:4" ht="29.1">
      <c r="A25" s="216" t="s">
        <v>1698</v>
      </c>
      <c r="B25" s="220" t="s">
        <v>1731</v>
      </c>
      <c r="C25" s="218" t="s">
        <v>1740</v>
      </c>
      <c r="D25" s="211" t="s">
        <v>2723</v>
      </c>
    </row>
    <row r="26" spans="1:4" ht="43.5">
      <c r="A26" s="216" t="s">
        <v>1698</v>
      </c>
      <c r="B26" s="220" t="s">
        <v>1731</v>
      </c>
      <c r="C26" s="218" t="s">
        <v>1742</v>
      </c>
      <c r="D26" s="211" t="s">
        <v>2724</v>
      </c>
    </row>
    <row r="27" spans="1:4" ht="43.5">
      <c r="A27" s="216" t="s">
        <v>1698</v>
      </c>
      <c r="B27" s="220" t="s">
        <v>1731</v>
      </c>
      <c r="C27" s="218" t="s">
        <v>1744</v>
      </c>
      <c r="D27" s="211" t="s">
        <v>2724</v>
      </c>
    </row>
    <row r="28" spans="1:4" ht="43.5">
      <c r="A28" s="216" t="s">
        <v>1698</v>
      </c>
      <c r="B28" s="220" t="s">
        <v>1731</v>
      </c>
      <c r="C28" s="218" t="s">
        <v>1745</v>
      </c>
      <c r="D28" s="211" t="s">
        <v>2724</v>
      </c>
    </row>
    <row r="29" spans="1:4" ht="43.5">
      <c r="A29" s="216" t="s">
        <v>1698</v>
      </c>
      <c r="B29" s="220" t="s">
        <v>1731</v>
      </c>
      <c r="C29" s="218" t="s">
        <v>1746</v>
      </c>
      <c r="D29" s="211" t="s">
        <v>2724</v>
      </c>
    </row>
    <row r="30" spans="1:4" ht="43.5">
      <c r="A30" s="216" t="s">
        <v>1698</v>
      </c>
      <c r="B30" s="220" t="s">
        <v>1731</v>
      </c>
      <c r="C30" s="218" t="s">
        <v>1747</v>
      </c>
      <c r="D30" s="211" t="s">
        <v>1748</v>
      </c>
    </row>
    <row r="31" spans="1:4" ht="29.1">
      <c r="A31" s="216" t="s">
        <v>1698</v>
      </c>
      <c r="B31" s="220" t="s">
        <v>1731</v>
      </c>
      <c r="C31" s="218" t="s">
        <v>1749</v>
      </c>
      <c r="D31" s="211" t="s">
        <v>1750</v>
      </c>
    </row>
    <row r="32" spans="1:4" ht="29.1">
      <c r="A32" s="216" t="s">
        <v>1698</v>
      </c>
      <c r="B32" s="220" t="s">
        <v>1731</v>
      </c>
      <c r="C32" s="218" t="s">
        <v>1751</v>
      </c>
      <c r="D32" s="211" t="s">
        <v>2718</v>
      </c>
    </row>
    <row r="33" spans="1:5">
      <c r="A33" s="216" t="s">
        <v>1698</v>
      </c>
      <c r="B33" s="220" t="s">
        <v>1731</v>
      </c>
      <c r="C33" s="218" t="s">
        <v>1753</v>
      </c>
      <c r="D33" s="211" t="s">
        <v>1754</v>
      </c>
    </row>
    <row r="34" spans="1:5">
      <c r="A34" s="216" t="s">
        <v>1698</v>
      </c>
      <c r="B34" s="220" t="s">
        <v>1731</v>
      </c>
      <c r="C34" s="218" t="s">
        <v>1755</v>
      </c>
      <c r="D34" s="211" t="s">
        <v>2718</v>
      </c>
    </row>
    <row r="35" spans="1:5">
      <c r="A35" s="216" t="s">
        <v>1698</v>
      </c>
      <c r="B35" s="220" t="s">
        <v>1731</v>
      </c>
      <c r="C35" s="218" t="s">
        <v>1756</v>
      </c>
      <c r="D35" s="211" t="s">
        <v>2723</v>
      </c>
    </row>
    <row r="36" spans="1:5">
      <c r="A36" s="216" t="s">
        <v>1698</v>
      </c>
      <c r="B36" s="221" t="s">
        <v>1759</v>
      </c>
      <c r="C36" s="218" t="s">
        <v>2725</v>
      </c>
      <c r="D36" s="211" t="s">
        <v>2716</v>
      </c>
    </row>
    <row r="37" spans="1:5">
      <c r="A37" s="216" t="s">
        <v>1698</v>
      </c>
      <c r="B37" s="221" t="s">
        <v>1759</v>
      </c>
      <c r="C37" s="218" t="s">
        <v>2726</v>
      </c>
      <c r="D37" s="211" t="s">
        <v>2717</v>
      </c>
    </row>
    <row r="38" spans="1:5">
      <c r="A38" s="216" t="s">
        <v>1698</v>
      </c>
      <c r="B38" s="221" t="s">
        <v>1759</v>
      </c>
      <c r="C38" s="218" t="s">
        <v>2727</v>
      </c>
      <c r="D38" s="211" t="s">
        <v>2717</v>
      </c>
    </row>
    <row r="39" spans="1:5" ht="29.1">
      <c r="A39" s="222" t="s">
        <v>1761</v>
      </c>
      <c r="B39" s="223" t="s">
        <v>1580</v>
      </c>
      <c r="C39" s="224" t="s">
        <v>1762</v>
      </c>
      <c r="D39" s="211" t="s">
        <v>2728</v>
      </c>
      <c r="E39" s="175" t="s">
        <v>1763</v>
      </c>
    </row>
    <row r="40" spans="1:5">
      <c r="A40" s="222" t="s">
        <v>1761</v>
      </c>
      <c r="B40" s="223" t="s">
        <v>1580</v>
      </c>
      <c r="C40" s="224" t="s">
        <v>1764</v>
      </c>
      <c r="D40" s="211" t="s">
        <v>2729</v>
      </c>
    </row>
    <row r="41" spans="1:5">
      <c r="A41" s="222" t="s">
        <v>1761</v>
      </c>
      <c r="B41" s="223" t="s">
        <v>1580</v>
      </c>
      <c r="C41" s="224" t="s">
        <v>1765</v>
      </c>
      <c r="D41" s="211" t="s">
        <v>2730</v>
      </c>
    </row>
    <row r="42" spans="1:5">
      <c r="A42" s="222" t="s">
        <v>1761</v>
      </c>
      <c r="B42" s="223" t="s">
        <v>1580</v>
      </c>
      <c r="C42" s="224" t="s">
        <v>2731</v>
      </c>
      <c r="D42" s="211">
        <v>2022</v>
      </c>
    </row>
    <row r="43" spans="1:5">
      <c r="A43" s="222" t="s">
        <v>1761</v>
      </c>
      <c r="B43" s="223" t="s">
        <v>1580</v>
      </c>
      <c r="C43" s="224" t="s">
        <v>1767</v>
      </c>
      <c r="D43" s="211" t="s">
        <v>2732</v>
      </c>
    </row>
    <row r="44" spans="1:5">
      <c r="A44" s="222" t="s">
        <v>1761</v>
      </c>
      <c r="B44" s="223" t="s">
        <v>1580</v>
      </c>
      <c r="C44" s="224" t="s">
        <v>2733</v>
      </c>
      <c r="D44" s="285" t="s">
        <v>2734</v>
      </c>
    </row>
    <row r="45" spans="1:5">
      <c r="A45" s="222" t="s">
        <v>1761</v>
      </c>
      <c r="B45" s="223" t="s">
        <v>1580</v>
      </c>
      <c r="C45" s="224" t="s">
        <v>1768</v>
      </c>
      <c r="D45" s="211">
        <v>2023</v>
      </c>
    </row>
    <row r="46" spans="1:5">
      <c r="A46" s="222" t="s">
        <v>1761</v>
      </c>
      <c r="B46" s="223" t="s">
        <v>1580</v>
      </c>
      <c r="C46" s="224" t="s">
        <v>1769</v>
      </c>
      <c r="D46" s="285" t="s">
        <v>2735</v>
      </c>
    </row>
    <row r="47" spans="1:5">
      <c r="A47" s="222" t="s">
        <v>1761</v>
      </c>
      <c r="B47" s="223" t="s">
        <v>1580</v>
      </c>
      <c r="C47" s="224" t="s">
        <v>1770</v>
      </c>
      <c r="D47" s="285" t="s">
        <v>2735</v>
      </c>
    </row>
    <row r="48" spans="1:5">
      <c r="A48" s="222" t="s">
        <v>1761</v>
      </c>
      <c r="B48" s="223" t="s">
        <v>1580</v>
      </c>
      <c r="C48" s="224" t="s">
        <v>1771</v>
      </c>
      <c r="D48" s="285" t="s">
        <v>2735</v>
      </c>
    </row>
    <row r="49" spans="1:5">
      <c r="A49" s="222" t="s">
        <v>1761</v>
      </c>
      <c r="B49" s="223" t="s">
        <v>1580</v>
      </c>
      <c r="C49" s="224" t="s">
        <v>1772</v>
      </c>
      <c r="D49" s="285" t="s">
        <v>2736</v>
      </c>
    </row>
    <row r="50" spans="1:5" ht="29.1">
      <c r="A50" s="222" t="s">
        <v>1761</v>
      </c>
      <c r="B50" s="223" t="s">
        <v>1580</v>
      </c>
      <c r="C50" s="224" t="s">
        <v>1774</v>
      </c>
      <c r="D50" s="211" t="s">
        <v>2737</v>
      </c>
      <c r="E50" s="175" t="s">
        <v>1776</v>
      </c>
    </row>
    <row r="51" spans="1:5">
      <c r="A51" s="222" t="s">
        <v>1761</v>
      </c>
      <c r="B51" s="223" t="s">
        <v>1580</v>
      </c>
      <c r="C51" s="224" t="s">
        <v>1780</v>
      </c>
      <c r="D51" s="211" t="s">
        <v>2738</v>
      </c>
    </row>
    <row r="52" spans="1:5">
      <c r="A52" s="222" t="s">
        <v>1761</v>
      </c>
      <c r="B52" s="223" t="s">
        <v>1580</v>
      </c>
      <c r="C52" s="224" t="s">
        <v>2739</v>
      </c>
      <c r="D52" s="211" t="s">
        <v>2740</v>
      </c>
    </row>
    <row r="53" spans="1:5">
      <c r="A53" s="222" t="s">
        <v>1761</v>
      </c>
      <c r="B53" s="223" t="s">
        <v>1580</v>
      </c>
      <c r="C53" s="224" t="s">
        <v>1785</v>
      </c>
      <c r="D53" s="211" t="s">
        <v>2741</v>
      </c>
    </row>
    <row r="54" spans="1:5">
      <c r="A54" s="222" t="s">
        <v>1761</v>
      </c>
      <c r="B54" s="225" t="s">
        <v>1582</v>
      </c>
      <c r="C54" s="224" t="s">
        <v>1787</v>
      </c>
      <c r="D54" s="211" t="s">
        <v>2742</v>
      </c>
      <c r="E54" s="175" t="s">
        <v>1788</v>
      </c>
    </row>
    <row r="55" spans="1:5" ht="29.1">
      <c r="A55" s="222" t="s">
        <v>1761</v>
      </c>
      <c r="B55" s="226" t="s">
        <v>1584</v>
      </c>
      <c r="C55" s="224" t="s">
        <v>1789</v>
      </c>
      <c r="D55" s="211" t="s">
        <v>2743</v>
      </c>
    </row>
    <row r="56" spans="1:5" ht="29.1">
      <c r="A56" s="222" t="s">
        <v>1761</v>
      </c>
      <c r="B56" s="226" t="s">
        <v>1584</v>
      </c>
      <c r="C56" s="224" t="s">
        <v>2744</v>
      </c>
      <c r="D56" s="211" t="s">
        <v>2745</v>
      </c>
    </row>
    <row r="57" spans="1:5" ht="29.1">
      <c r="A57" s="222" t="s">
        <v>1761</v>
      </c>
      <c r="B57" s="226" t="s">
        <v>1584</v>
      </c>
      <c r="C57" s="224" t="s">
        <v>1790</v>
      </c>
      <c r="D57" s="211" t="s">
        <v>2746</v>
      </c>
      <c r="E57" s="175" t="s">
        <v>1791</v>
      </c>
    </row>
    <row r="58" spans="1:5" ht="29.1">
      <c r="A58" s="222" t="s">
        <v>1761</v>
      </c>
      <c r="B58" s="226" t="s">
        <v>1584</v>
      </c>
      <c r="C58" s="224" t="s">
        <v>1793</v>
      </c>
      <c r="D58" s="211" t="s">
        <v>2745</v>
      </c>
    </row>
    <row r="59" spans="1:5" ht="29.1">
      <c r="A59" s="222" t="s">
        <v>1761</v>
      </c>
      <c r="B59" s="226" t="s">
        <v>1584</v>
      </c>
      <c r="C59" s="224" t="s">
        <v>1795</v>
      </c>
      <c r="D59" s="211" t="s">
        <v>2747</v>
      </c>
    </row>
    <row r="60" spans="1:5" ht="101.45">
      <c r="A60" s="222" t="s">
        <v>1761</v>
      </c>
      <c r="B60" s="226" t="s">
        <v>1584</v>
      </c>
      <c r="C60" s="224" t="s">
        <v>2748</v>
      </c>
      <c r="D60" s="211" t="s">
        <v>2749</v>
      </c>
      <c r="E60" s="175" t="s">
        <v>1782</v>
      </c>
    </row>
    <row r="61" spans="1:5" ht="43.5">
      <c r="A61" s="222" t="s">
        <v>1761</v>
      </c>
      <c r="B61" s="226" t="s">
        <v>1584</v>
      </c>
      <c r="C61" s="224" t="s">
        <v>1797</v>
      </c>
      <c r="D61" s="211" t="s">
        <v>2749</v>
      </c>
      <c r="E61" s="175" t="s">
        <v>1798</v>
      </c>
    </row>
    <row r="62" spans="1:5" ht="29.1">
      <c r="A62" s="222" t="s">
        <v>1761</v>
      </c>
      <c r="B62" s="227" t="s">
        <v>1583</v>
      </c>
      <c r="C62" s="224" t="s">
        <v>1799</v>
      </c>
      <c r="D62" s="211" t="s">
        <v>2750</v>
      </c>
      <c r="E62" s="175" t="s">
        <v>1800</v>
      </c>
    </row>
    <row r="63" spans="1:5" ht="29.1">
      <c r="A63" s="222" t="s">
        <v>1761</v>
      </c>
      <c r="B63" s="228" t="s">
        <v>1801</v>
      </c>
      <c r="C63" s="224" t="s">
        <v>1802</v>
      </c>
      <c r="D63" s="211" t="s">
        <v>2751</v>
      </c>
    </row>
    <row r="64" spans="1:5" customFormat="1" ht="29.1">
      <c r="A64" s="222" t="s">
        <v>1761</v>
      </c>
      <c r="B64" s="229" t="s">
        <v>1801</v>
      </c>
      <c r="C64" s="224" t="s">
        <v>1803</v>
      </c>
      <c r="D64" s="211" t="s">
        <v>2751</v>
      </c>
      <c r="E64" s="195" t="s">
        <v>1804</v>
      </c>
    </row>
    <row r="65" spans="1:5" ht="29.1">
      <c r="A65" s="222" t="s">
        <v>1761</v>
      </c>
      <c r="B65" s="228" t="s">
        <v>1801</v>
      </c>
      <c r="C65" s="224" t="s">
        <v>1805</v>
      </c>
      <c r="D65" s="211" t="s">
        <v>2751</v>
      </c>
      <c r="E65" s="175" t="s">
        <v>1806</v>
      </c>
    </row>
    <row r="66" spans="1:5" ht="29.1">
      <c r="A66" s="222" t="s">
        <v>1761</v>
      </c>
      <c r="B66" s="228" t="s">
        <v>1801</v>
      </c>
      <c r="C66" s="224" t="s">
        <v>1808</v>
      </c>
      <c r="D66" s="211" t="s">
        <v>2751</v>
      </c>
      <c r="E66" s="175" t="s">
        <v>1809</v>
      </c>
    </row>
    <row r="67" spans="1:5" ht="43.5">
      <c r="A67" s="222" t="s">
        <v>1761</v>
      </c>
      <c r="B67" s="228" t="s">
        <v>1801</v>
      </c>
      <c r="C67" s="224" t="s">
        <v>1811</v>
      </c>
      <c r="D67" s="211" t="s">
        <v>2751</v>
      </c>
      <c r="E67" s="175" t="s">
        <v>1812</v>
      </c>
    </row>
    <row r="68" spans="1:5" ht="29.1">
      <c r="A68" s="222" t="s">
        <v>1761</v>
      </c>
      <c r="B68" s="228" t="s">
        <v>1801</v>
      </c>
      <c r="C68" s="224" t="s">
        <v>1814</v>
      </c>
      <c r="D68" s="211" t="s">
        <v>2751</v>
      </c>
      <c r="E68" s="175" t="s">
        <v>1815</v>
      </c>
    </row>
    <row r="69" spans="1:5" ht="29.1">
      <c r="A69" s="222" t="s">
        <v>1761</v>
      </c>
      <c r="B69" s="228" t="s">
        <v>1801</v>
      </c>
      <c r="C69" s="224" t="s">
        <v>1816</v>
      </c>
      <c r="D69" s="211" t="s">
        <v>2751</v>
      </c>
      <c r="E69" s="175" t="s">
        <v>1817</v>
      </c>
    </row>
    <row r="70" spans="1:5" ht="29.1">
      <c r="A70" s="222" t="s">
        <v>1761</v>
      </c>
      <c r="B70" s="228" t="s">
        <v>1801</v>
      </c>
      <c r="C70" s="224" t="s">
        <v>1818</v>
      </c>
      <c r="D70" s="211" t="s">
        <v>2751</v>
      </c>
    </row>
    <row r="71" spans="1:5" ht="29.1">
      <c r="A71" s="222" t="s">
        <v>1761</v>
      </c>
      <c r="B71" s="228" t="s">
        <v>1801</v>
      </c>
      <c r="C71" s="224" t="s">
        <v>1819</v>
      </c>
      <c r="D71" s="211" t="s">
        <v>2751</v>
      </c>
    </row>
    <row r="72" spans="1:5" ht="29.1">
      <c r="A72" s="222" t="s">
        <v>1761</v>
      </c>
      <c r="B72" s="228" t="s">
        <v>1801</v>
      </c>
      <c r="C72" s="224" t="s">
        <v>2752</v>
      </c>
      <c r="D72" s="211" t="s">
        <v>2753</v>
      </c>
    </row>
    <row r="73" spans="1:5" ht="29.1">
      <c r="A73" s="222" t="s">
        <v>1761</v>
      </c>
      <c r="B73" s="230" t="s">
        <v>1822</v>
      </c>
      <c r="C73" s="224" t="s">
        <v>1823</v>
      </c>
      <c r="D73" s="211" t="s">
        <v>2751</v>
      </c>
    </row>
    <row r="74" spans="1:5" ht="29.1">
      <c r="A74" s="222" t="s">
        <v>1761</v>
      </c>
      <c r="B74" s="230" t="s">
        <v>1822</v>
      </c>
      <c r="C74" s="224" t="s">
        <v>1825</v>
      </c>
      <c r="D74" s="211" t="s">
        <v>2751</v>
      </c>
    </row>
    <row r="75" spans="1:5">
      <c r="A75" s="222" t="s">
        <v>1761</v>
      </c>
      <c r="B75" s="230" t="s">
        <v>1822</v>
      </c>
      <c r="C75" s="224" t="s">
        <v>1827</v>
      </c>
      <c r="D75" s="211" t="s">
        <v>1828</v>
      </c>
    </row>
    <row r="76" spans="1:5" ht="43.5">
      <c r="A76" s="222" t="s">
        <v>1761</v>
      </c>
      <c r="B76" s="230" t="s">
        <v>1822</v>
      </c>
      <c r="C76" s="224" t="s">
        <v>1829</v>
      </c>
      <c r="D76" s="211" t="s">
        <v>2754</v>
      </c>
    </row>
    <row r="77" spans="1:5" ht="29.1">
      <c r="A77" s="222" t="s">
        <v>1761</v>
      </c>
      <c r="B77" s="230" t="s">
        <v>1822</v>
      </c>
      <c r="C77" s="224" t="s">
        <v>1831</v>
      </c>
      <c r="D77" s="211" t="s">
        <v>2755</v>
      </c>
    </row>
    <row r="78" spans="1:5" ht="29.1">
      <c r="A78" s="231" t="s">
        <v>1833</v>
      </c>
      <c r="B78" s="232" t="s">
        <v>1834</v>
      </c>
      <c r="C78" s="233" t="s">
        <v>1834</v>
      </c>
      <c r="D78" s="211" t="s">
        <v>2718</v>
      </c>
    </row>
    <row r="79" spans="1:5" ht="29.1">
      <c r="A79" s="231" t="s">
        <v>1833</v>
      </c>
      <c r="B79" s="234" t="s">
        <v>1835</v>
      </c>
      <c r="C79" s="233" t="s">
        <v>1836</v>
      </c>
      <c r="D79" s="211" t="s">
        <v>2756</v>
      </c>
      <c r="E79" s="175" t="s">
        <v>1837</v>
      </c>
    </row>
    <row r="80" spans="1:5" ht="29.1">
      <c r="A80" s="231" t="s">
        <v>1833</v>
      </c>
      <c r="B80" s="235" t="s">
        <v>1835</v>
      </c>
      <c r="C80" s="233" t="s">
        <v>1840</v>
      </c>
      <c r="D80" s="211" t="s">
        <v>1841</v>
      </c>
    </row>
    <row r="81" spans="1:5" ht="29.1">
      <c r="A81" s="231" t="s">
        <v>1833</v>
      </c>
      <c r="B81" s="235" t="s">
        <v>1835</v>
      </c>
      <c r="C81" s="233" t="s">
        <v>1842</v>
      </c>
      <c r="D81" s="211" t="s">
        <v>2757</v>
      </c>
      <c r="E81" s="175" t="s">
        <v>1843</v>
      </c>
    </row>
    <row r="82" spans="1:5" ht="29.1">
      <c r="A82" s="231" t="s">
        <v>1833</v>
      </c>
      <c r="B82" s="235" t="s">
        <v>1835</v>
      </c>
      <c r="C82" s="233" t="s">
        <v>1844</v>
      </c>
      <c r="D82" s="211" t="s">
        <v>2758</v>
      </c>
      <c r="E82" s="175" t="s">
        <v>2759</v>
      </c>
    </row>
    <row r="83" spans="1:5" ht="43.5">
      <c r="A83" s="231" t="s">
        <v>1833</v>
      </c>
      <c r="B83" s="236" t="s">
        <v>1847</v>
      </c>
      <c r="C83" s="233" t="s">
        <v>1848</v>
      </c>
      <c r="D83" s="211" t="s">
        <v>1849</v>
      </c>
      <c r="E83" s="175" t="s">
        <v>1850</v>
      </c>
    </row>
    <row r="84" spans="1:5">
      <c r="A84" s="231" t="s">
        <v>1833</v>
      </c>
      <c r="B84" s="236" t="s">
        <v>1847</v>
      </c>
      <c r="C84" s="233" t="s">
        <v>1852</v>
      </c>
      <c r="D84" s="211" t="s">
        <v>1853</v>
      </c>
      <c r="E84" s="175" t="s">
        <v>1854</v>
      </c>
    </row>
    <row r="85" spans="1:5">
      <c r="A85" s="231" t="s">
        <v>1833</v>
      </c>
      <c r="B85" s="236" t="s">
        <v>1847</v>
      </c>
      <c r="C85" s="233" t="s">
        <v>1856</v>
      </c>
      <c r="D85" s="211" t="s">
        <v>1857</v>
      </c>
    </row>
    <row r="86" spans="1:5">
      <c r="A86" s="231" t="s">
        <v>1833</v>
      </c>
      <c r="B86" s="236" t="s">
        <v>1847</v>
      </c>
      <c r="C86" s="233" t="s">
        <v>1858</v>
      </c>
      <c r="D86" s="211" t="s">
        <v>2760</v>
      </c>
      <c r="E86" s="175" t="s">
        <v>2761</v>
      </c>
    </row>
    <row r="87" spans="1:5" ht="29.1">
      <c r="A87" s="231" t="s">
        <v>1833</v>
      </c>
      <c r="B87" s="237" t="s">
        <v>1860</v>
      </c>
      <c r="C87" s="233" t="s">
        <v>1861</v>
      </c>
      <c r="D87" s="211" t="s">
        <v>2762</v>
      </c>
      <c r="E87" s="175" t="s">
        <v>1862</v>
      </c>
    </row>
    <row r="88" spans="1:5" ht="43.5">
      <c r="A88" s="231" t="s">
        <v>1833</v>
      </c>
      <c r="B88" s="237" t="s">
        <v>1860</v>
      </c>
      <c r="C88" s="233" t="s">
        <v>1865</v>
      </c>
      <c r="D88" s="211" t="s">
        <v>1866</v>
      </c>
      <c r="E88" s="175" t="s">
        <v>1867</v>
      </c>
    </row>
    <row r="89" spans="1:5" ht="29.1">
      <c r="A89" s="231" t="s">
        <v>1833</v>
      </c>
      <c r="B89" s="238" t="s">
        <v>1869</v>
      </c>
      <c r="C89" s="233" t="s">
        <v>1870</v>
      </c>
      <c r="D89" s="211" t="s">
        <v>2756</v>
      </c>
      <c r="E89" s="175" t="s">
        <v>1871</v>
      </c>
    </row>
    <row r="90" spans="1:5" ht="29.1">
      <c r="A90" s="231" t="s">
        <v>1833</v>
      </c>
      <c r="B90" s="239" t="s">
        <v>1872</v>
      </c>
      <c r="C90" s="233" t="s">
        <v>1873</v>
      </c>
      <c r="D90" s="211" t="s">
        <v>2718</v>
      </c>
      <c r="E90" s="175" t="s">
        <v>1874</v>
      </c>
    </row>
    <row r="91" spans="1:5">
      <c r="A91" s="231" t="s">
        <v>1833</v>
      </c>
      <c r="B91" s="240" t="s">
        <v>1875</v>
      </c>
      <c r="C91" s="233" t="s">
        <v>1876</v>
      </c>
      <c r="D91" s="211" t="s">
        <v>2762</v>
      </c>
      <c r="E91" s="175" t="s">
        <v>1877</v>
      </c>
    </row>
    <row r="92" spans="1:5">
      <c r="A92" s="231" t="s">
        <v>1833</v>
      </c>
      <c r="B92" s="240" t="s">
        <v>1875</v>
      </c>
      <c r="C92" s="233" t="s">
        <v>1879</v>
      </c>
      <c r="D92" s="211" t="s">
        <v>2718</v>
      </c>
    </row>
    <row r="93" spans="1:5" ht="43.5">
      <c r="A93" s="231" t="s">
        <v>1833</v>
      </c>
      <c r="B93" s="241" t="s">
        <v>1880</v>
      </c>
      <c r="C93" s="233" t="s">
        <v>1881</v>
      </c>
      <c r="D93" s="211" t="s">
        <v>2718</v>
      </c>
      <c r="E93" s="175" t="s">
        <v>1882</v>
      </c>
    </row>
    <row r="94" spans="1:5" ht="43.5">
      <c r="A94" s="231" t="s">
        <v>1833</v>
      </c>
      <c r="B94" s="241" t="s">
        <v>1880</v>
      </c>
      <c r="C94" s="233" t="s">
        <v>1883</v>
      </c>
      <c r="D94" s="211" t="s">
        <v>2718</v>
      </c>
      <c r="E94" s="175" t="s">
        <v>1882</v>
      </c>
    </row>
    <row r="95" spans="1:5" ht="29.1">
      <c r="A95" s="231" t="s">
        <v>1833</v>
      </c>
      <c r="B95" s="242" t="s">
        <v>1884</v>
      </c>
      <c r="C95" s="233" t="s">
        <v>1885</v>
      </c>
      <c r="D95" s="211" t="s">
        <v>2717</v>
      </c>
      <c r="E95" s="175" t="s">
        <v>1886</v>
      </c>
    </row>
    <row r="96" spans="1:5" ht="29.1">
      <c r="A96" s="231" t="s">
        <v>1833</v>
      </c>
      <c r="B96" s="242" t="s">
        <v>1884</v>
      </c>
      <c r="C96" s="233" t="s">
        <v>1887</v>
      </c>
      <c r="D96" s="211" t="s">
        <v>2717</v>
      </c>
      <c r="E96" s="175" t="s">
        <v>1888</v>
      </c>
    </row>
    <row r="97" spans="1:5">
      <c r="A97" s="231" t="s">
        <v>1833</v>
      </c>
      <c r="B97" s="242" t="s">
        <v>1884</v>
      </c>
      <c r="C97" s="233" t="s">
        <v>1889</v>
      </c>
      <c r="D97" s="211" t="s">
        <v>2718</v>
      </c>
    </row>
    <row r="98" spans="1:5" ht="57.95">
      <c r="A98" s="231" t="s">
        <v>1833</v>
      </c>
      <c r="B98" s="242" t="s">
        <v>1884</v>
      </c>
      <c r="C98" s="233" t="s">
        <v>1890</v>
      </c>
      <c r="D98" s="211" t="s">
        <v>2718</v>
      </c>
      <c r="E98" s="175" t="s">
        <v>1891</v>
      </c>
    </row>
    <row r="99" spans="1:5" ht="29.1">
      <c r="A99" s="231" t="s">
        <v>1833</v>
      </c>
      <c r="B99" s="242" t="s">
        <v>1884</v>
      </c>
      <c r="C99" s="233" t="s">
        <v>1892</v>
      </c>
      <c r="D99" s="211" t="s">
        <v>2717</v>
      </c>
      <c r="E99" s="175" t="s">
        <v>1893</v>
      </c>
    </row>
    <row r="100" spans="1:5" ht="29.1">
      <c r="A100" s="243" t="s">
        <v>1894</v>
      </c>
      <c r="B100" s="244" t="s">
        <v>1895</v>
      </c>
      <c r="C100" s="245" t="s">
        <v>1896</v>
      </c>
      <c r="D100" s="211" t="s">
        <v>2756</v>
      </c>
    </row>
    <row r="101" spans="1:5" ht="29.1">
      <c r="A101" s="243" t="s">
        <v>1894</v>
      </c>
      <c r="B101" s="244" t="s">
        <v>1895</v>
      </c>
      <c r="C101" s="245" t="s">
        <v>1897</v>
      </c>
      <c r="D101" s="211" t="s">
        <v>1898</v>
      </c>
    </row>
    <row r="102" spans="1:5" ht="29.1">
      <c r="A102" s="243" t="s">
        <v>1894</v>
      </c>
      <c r="B102" s="244" t="s">
        <v>1895</v>
      </c>
      <c r="C102" s="245" t="s">
        <v>1899</v>
      </c>
      <c r="D102" s="211" t="s">
        <v>1898</v>
      </c>
    </row>
    <row r="103" spans="1:5" ht="29.1">
      <c r="A103" s="243" t="s">
        <v>1894</v>
      </c>
      <c r="B103" s="244" t="s">
        <v>1895</v>
      </c>
      <c r="C103" s="245" t="s">
        <v>1900</v>
      </c>
      <c r="D103" s="211" t="s">
        <v>1898</v>
      </c>
    </row>
    <row r="104" spans="1:5" ht="29.1">
      <c r="A104" s="243" t="s">
        <v>1894</v>
      </c>
      <c r="B104" s="244" t="s">
        <v>1895</v>
      </c>
      <c r="C104" s="245" t="s">
        <v>1902</v>
      </c>
      <c r="D104" s="211" t="s">
        <v>1898</v>
      </c>
    </row>
    <row r="105" spans="1:5" ht="29.1">
      <c r="A105" s="243" t="s">
        <v>1894</v>
      </c>
      <c r="B105" s="244" t="s">
        <v>1895</v>
      </c>
      <c r="C105" s="245" t="s">
        <v>1904</v>
      </c>
      <c r="D105" s="211" t="s">
        <v>1898</v>
      </c>
    </row>
    <row r="106" spans="1:5" ht="29.1">
      <c r="A106" s="243" t="s">
        <v>1894</v>
      </c>
      <c r="B106" s="244" t="s">
        <v>1895</v>
      </c>
      <c r="C106" s="245" t="s">
        <v>1905</v>
      </c>
      <c r="D106" s="211" t="s">
        <v>1898</v>
      </c>
    </row>
    <row r="107" spans="1:5" ht="43.5">
      <c r="A107" s="243" t="s">
        <v>1894</v>
      </c>
      <c r="B107" s="244" t="s">
        <v>1895</v>
      </c>
      <c r="C107" s="245" t="s">
        <v>1906</v>
      </c>
      <c r="D107" s="211" t="s">
        <v>1898</v>
      </c>
    </row>
    <row r="108" spans="1:5" ht="29.1">
      <c r="A108" s="243" t="s">
        <v>1894</v>
      </c>
      <c r="B108" s="246" t="s">
        <v>1907</v>
      </c>
      <c r="C108" s="245" t="s">
        <v>1908</v>
      </c>
      <c r="D108" s="211" t="s">
        <v>2763</v>
      </c>
      <c r="E108" s="175" t="s">
        <v>1909</v>
      </c>
    </row>
    <row r="109" spans="1:5" ht="29.1">
      <c r="A109" s="243" t="s">
        <v>1894</v>
      </c>
      <c r="B109" s="246" t="s">
        <v>1907</v>
      </c>
      <c r="C109" s="245" t="s">
        <v>1910</v>
      </c>
      <c r="D109" s="211" t="s">
        <v>2718</v>
      </c>
      <c r="E109" s="175" t="s">
        <v>1911</v>
      </c>
    </row>
    <row r="110" spans="1:5" ht="29.1">
      <c r="A110" s="243" t="s">
        <v>1894</v>
      </c>
      <c r="B110" s="246" t="s">
        <v>1907</v>
      </c>
      <c r="C110" s="245" t="s">
        <v>1912</v>
      </c>
      <c r="D110" s="211" t="s">
        <v>2764</v>
      </c>
    </row>
    <row r="111" spans="1:5" ht="29.1">
      <c r="A111" s="243" t="s">
        <v>1894</v>
      </c>
      <c r="B111" s="247" t="s">
        <v>1913</v>
      </c>
      <c r="C111" s="245" t="s">
        <v>1914</v>
      </c>
      <c r="D111" s="211"/>
      <c r="E111" s="175" t="s">
        <v>1915</v>
      </c>
    </row>
    <row r="112" spans="1:5" ht="29.1">
      <c r="A112" s="243" t="s">
        <v>1894</v>
      </c>
      <c r="B112" s="248" t="s">
        <v>1916</v>
      </c>
      <c r="C112" s="245" t="s">
        <v>1917</v>
      </c>
      <c r="D112" s="211" t="s">
        <v>2765</v>
      </c>
      <c r="E112" s="175" t="s">
        <v>2766</v>
      </c>
    </row>
    <row r="113" spans="1:5" ht="43.5">
      <c r="A113" s="249" t="s">
        <v>1920</v>
      </c>
      <c r="B113" s="250" t="s">
        <v>1921</v>
      </c>
      <c r="C113" s="251" t="s">
        <v>1922</v>
      </c>
      <c r="D113" s="211" t="s">
        <v>1923</v>
      </c>
      <c r="E113" s="175" t="s">
        <v>1924</v>
      </c>
    </row>
    <row r="114" spans="1:5" ht="57.95">
      <c r="A114" s="249" t="s">
        <v>1920</v>
      </c>
      <c r="B114" s="250" t="s">
        <v>1921</v>
      </c>
      <c r="C114" s="251" t="s">
        <v>1925</v>
      </c>
      <c r="D114" s="211" t="s">
        <v>2767</v>
      </c>
      <c r="E114" s="175" t="s">
        <v>2768</v>
      </c>
    </row>
    <row r="115" spans="1:5">
      <c r="A115" s="249" t="s">
        <v>1920</v>
      </c>
      <c r="B115" s="250" t="s">
        <v>1921</v>
      </c>
      <c r="C115" s="251" t="s">
        <v>1927</v>
      </c>
      <c r="D115" s="211" t="s">
        <v>1928</v>
      </c>
      <c r="E115" s="175" t="s">
        <v>1929</v>
      </c>
    </row>
    <row r="116" spans="1:5" ht="29.1">
      <c r="A116" s="249" t="s">
        <v>1920</v>
      </c>
      <c r="B116" s="252" t="s">
        <v>1930</v>
      </c>
      <c r="C116" s="251" t="s">
        <v>1931</v>
      </c>
      <c r="D116" s="211">
        <v>2025</v>
      </c>
      <c r="E116" s="175" t="s">
        <v>2769</v>
      </c>
    </row>
    <row r="117" spans="1:5" ht="29.1">
      <c r="A117" s="249" t="s">
        <v>1920</v>
      </c>
      <c r="B117" s="252" t="s">
        <v>1930</v>
      </c>
      <c r="C117" s="251" t="s">
        <v>1933</v>
      </c>
      <c r="D117" s="211" t="s">
        <v>2770</v>
      </c>
      <c r="E117" s="175" t="s">
        <v>1934</v>
      </c>
    </row>
    <row r="118" spans="1:5">
      <c r="A118" s="249" t="s">
        <v>1920</v>
      </c>
      <c r="B118" s="252" t="s">
        <v>1930</v>
      </c>
      <c r="C118" s="251" t="s">
        <v>1935</v>
      </c>
      <c r="D118" s="211" t="s">
        <v>2771</v>
      </c>
      <c r="E118" s="175" t="s">
        <v>2772</v>
      </c>
    </row>
    <row r="119" spans="1:5" ht="29.1">
      <c r="A119" s="249" t="s">
        <v>1920</v>
      </c>
      <c r="B119" s="252" t="s">
        <v>1930</v>
      </c>
      <c r="C119" s="251" t="s">
        <v>1937</v>
      </c>
      <c r="D119" s="211" t="s">
        <v>2773</v>
      </c>
    </row>
    <row r="120" spans="1:5" ht="43.5">
      <c r="A120" s="249" t="s">
        <v>1920</v>
      </c>
      <c r="B120" s="253" t="s">
        <v>1939</v>
      </c>
      <c r="C120" s="251" t="s">
        <v>1940</v>
      </c>
      <c r="D120" s="211"/>
      <c r="E120" s="175" t="s">
        <v>1941</v>
      </c>
    </row>
    <row r="121" spans="1:5" ht="43.5">
      <c r="A121" s="249" t="s">
        <v>1920</v>
      </c>
      <c r="B121" s="253" t="s">
        <v>1939</v>
      </c>
      <c r="C121" s="251" t="s">
        <v>1942</v>
      </c>
      <c r="D121" s="211"/>
      <c r="E121" s="175" t="s">
        <v>1941</v>
      </c>
    </row>
    <row r="122" spans="1:5" ht="43.5">
      <c r="A122" s="249" t="s">
        <v>1920</v>
      </c>
      <c r="B122" s="253" t="s">
        <v>1939</v>
      </c>
      <c r="C122" s="251" t="s">
        <v>1944</v>
      </c>
      <c r="D122" s="211"/>
    </row>
    <row r="123" spans="1:5" ht="43.5">
      <c r="A123" s="249" t="s">
        <v>1920</v>
      </c>
      <c r="B123" s="253" t="s">
        <v>1939</v>
      </c>
      <c r="C123" s="251" t="s">
        <v>1945</v>
      </c>
      <c r="D123" s="211" t="s">
        <v>1730</v>
      </c>
    </row>
    <row r="124" spans="1:5" ht="43.5">
      <c r="A124" s="249" t="s">
        <v>1920</v>
      </c>
      <c r="B124" s="253" t="s">
        <v>1939</v>
      </c>
      <c r="C124" s="251" t="s">
        <v>1947</v>
      </c>
      <c r="D124" s="211"/>
      <c r="E124" s="175" t="s">
        <v>1948</v>
      </c>
    </row>
    <row r="125" spans="1:5" ht="43.5">
      <c r="A125" s="249" t="s">
        <v>1920</v>
      </c>
      <c r="B125" s="253" t="s">
        <v>1939</v>
      </c>
      <c r="C125" s="251" t="s">
        <v>1949</v>
      </c>
      <c r="D125" s="211"/>
      <c r="E125" s="175" t="s">
        <v>1948</v>
      </c>
    </row>
    <row r="126" spans="1:5" ht="43.5">
      <c r="A126" s="249" t="s">
        <v>1920</v>
      </c>
      <c r="B126" s="253" t="s">
        <v>1939</v>
      </c>
      <c r="C126" s="251" t="s">
        <v>1950</v>
      </c>
      <c r="D126" s="211" t="s">
        <v>2774</v>
      </c>
    </row>
    <row r="127" spans="1:5" ht="29.1">
      <c r="A127" s="249" t="s">
        <v>1920</v>
      </c>
      <c r="B127" s="254" t="s">
        <v>1952</v>
      </c>
      <c r="C127" s="251" t="s">
        <v>1953</v>
      </c>
      <c r="D127" s="211" t="s">
        <v>1730</v>
      </c>
      <c r="E127" s="175" t="s">
        <v>1954</v>
      </c>
    </row>
    <row r="128" spans="1:5" ht="29.1">
      <c r="A128" s="249" t="s">
        <v>1920</v>
      </c>
      <c r="B128" s="254" t="s">
        <v>1952</v>
      </c>
      <c r="C128" s="251" t="s">
        <v>1955</v>
      </c>
      <c r="D128" s="211" t="s">
        <v>1730</v>
      </c>
    </row>
    <row r="129" spans="1:5" ht="29.1">
      <c r="A129" s="249" t="s">
        <v>1920</v>
      </c>
      <c r="B129" s="254" t="s">
        <v>1952</v>
      </c>
      <c r="C129" s="251" t="s">
        <v>1956</v>
      </c>
      <c r="D129" s="211" t="s">
        <v>1730</v>
      </c>
    </row>
    <row r="130" spans="1:5" ht="29.1">
      <c r="A130" s="249" t="s">
        <v>1920</v>
      </c>
      <c r="B130" s="254" t="s">
        <v>1952</v>
      </c>
      <c r="C130" s="251" t="s">
        <v>1958</v>
      </c>
      <c r="D130" s="211" t="s">
        <v>2718</v>
      </c>
      <c r="E130" s="175" t="s">
        <v>1959</v>
      </c>
    </row>
    <row r="131" spans="1:5" ht="29.1">
      <c r="A131" s="249" t="s">
        <v>1920</v>
      </c>
      <c r="B131" s="254" t="s">
        <v>1952</v>
      </c>
      <c r="C131" s="251" t="s">
        <v>1960</v>
      </c>
      <c r="D131" s="211" t="s">
        <v>1730</v>
      </c>
    </row>
    <row r="132" spans="1:5">
      <c r="A132" s="249" t="s">
        <v>1920</v>
      </c>
      <c r="B132" s="255" t="s">
        <v>1961</v>
      </c>
      <c r="C132" s="251" t="s">
        <v>1962</v>
      </c>
      <c r="D132" s="211" t="s">
        <v>2775</v>
      </c>
      <c r="E132" s="175" t="s">
        <v>1963</v>
      </c>
    </row>
    <row r="133" spans="1:5" ht="29.1">
      <c r="A133" s="249" t="s">
        <v>1920</v>
      </c>
      <c r="B133" s="255" t="s">
        <v>1961</v>
      </c>
      <c r="C133" s="251" t="s">
        <v>1965</v>
      </c>
      <c r="D133" s="211" t="s">
        <v>1966</v>
      </c>
    </row>
    <row r="134" spans="1:5">
      <c r="A134" s="249" t="s">
        <v>1920</v>
      </c>
      <c r="B134" s="256" t="s">
        <v>1967</v>
      </c>
      <c r="C134" s="251" t="s">
        <v>1968</v>
      </c>
      <c r="D134" s="211" t="s">
        <v>2776</v>
      </c>
      <c r="E134" s="175" t="s">
        <v>1970</v>
      </c>
    </row>
    <row r="135" spans="1:5" ht="29.1">
      <c r="A135" s="249" t="s">
        <v>1920</v>
      </c>
      <c r="B135" s="256" t="s">
        <v>1967</v>
      </c>
      <c r="C135" s="251" t="s">
        <v>1971</v>
      </c>
      <c r="D135" s="211" t="s">
        <v>2777</v>
      </c>
      <c r="E135" s="175" t="s">
        <v>2778</v>
      </c>
    </row>
    <row r="136" spans="1:5">
      <c r="A136" s="249" t="s">
        <v>1920</v>
      </c>
      <c r="B136" s="256" t="s">
        <v>1967</v>
      </c>
      <c r="C136" s="251" t="s">
        <v>1973</v>
      </c>
      <c r="D136" s="211">
        <v>2026</v>
      </c>
    </row>
    <row r="137" spans="1:5">
      <c r="A137" s="249" t="s">
        <v>1920</v>
      </c>
      <c r="B137" s="256" t="s">
        <v>1967</v>
      </c>
      <c r="C137" s="251" t="s">
        <v>1974</v>
      </c>
      <c r="D137" s="211">
        <v>2027</v>
      </c>
    </row>
    <row r="138" spans="1:5" ht="29.1">
      <c r="A138" s="249" t="s">
        <v>1920</v>
      </c>
      <c r="B138" s="257" t="s">
        <v>1975</v>
      </c>
      <c r="C138" s="251" t="s">
        <v>1976</v>
      </c>
      <c r="D138" s="211" t="s">
        <v>2777</v>
      </c>
      <c r="E138" s="175" t="s">
        <v>2779</v>
      </c>
    </row>
    <row r="139" spans="1:5">
      <c r="A139" s="249" t="s">
        <v>1920</v>
      </c>
      <c r="B139" s="257" t="s">
        <v>1975</v>
      </c>
      <c r="C139" s="251" t="s">
        <v>1978</v>
      </c>
      <c r="D139" s="211" t="s">
        <v>2780</v>
      </c>
    </row>
    <row r="140" spans="1:5" ht="43.5">
      <c r="A140" s="249" t="s">
        <v>1920</v>
      </c>
      <c r="B140" s="258" t="s">
        <v>1979</v>
      </c>
      <c r="C140" s="251" t="s">
        <v>1980</v>
      </c>
      <c r="D140" s="211" t="s">
        <v>2776</v>
      </c>
      <c r="E140" s="175" t="s">
        <v>1981</v>
      </c>
    </row>
    <row r="141" spans="1:5">
      <c r="A141" s="249" t="s">
        <v>1920</v>
      </c>
      <c r="B141" s="259" t="s">
        <v>1982</v>
      </c>
      <c r="C141" s="251" t="s">
        <v>1983</v>
      </c>
      <c r="D141" s="211" t="s">
        <v>2781</v>
      </c>
      <c r="E141" s="175" t="s">
        <v>1984</v>
      </c>
    </row>
    <row r="142" spans="1:5">
      <c r="A142" s="249" t="s">
        <v>1920</v>
      </c>
      <c r="B142" s="259" t="s">
        <v>1982</v>
      </c>
      <c r="C142" s="251" t="s">
        <v>1986</v>
      </c>
      <c r="D142" s="211" t="s">
        <v>2718</v>
      </c>
    </row>
    <row r="143" spans="1:5" ht="29.1">
      <c r="A143" s="260" t="s">
        <v>1988</v>
      </c>
      <c r="B143" s="261" t="s">
        <v>1989</v>
      </c>
      <c r="C143" s="218" t="s">
        <v>1991</v>
      </c>
      <c r="D143" s="286" t="s">
        <v>2782</v>
      </c>
    </row>
    <row r="144" spans="1:5" ht="29.1">
      <c r="A144" s="260" t="s">
        <v>1988</v>
      </c>
      <c r="B144" s="261" t="s">
        <v>1989</v>
      </c>
      <c r="C144" s="218" t="s">
        <v>1994</v>
      </c>
      <c r="D144" s="211" t="s">
        <v>315</v>
      </c>
    </row>
    <row r="145" spans="1:4" ht="29.1">
      <c r="A145" s="260" t="s">
        <v>1988</v>
      </c>
      <c r="B145" s="261" t="s">
        <v>1989</v>
      </c>
      <c r="C145" s="218" t="s">
        <v>1997</v>
      </c>
      <c r="D145" s="211" t="s">
        <v>315</v>
      </c>
    </row>
    <row r="146" spans="1:4" ht="29.1">
      <c r="A146" s="260" t="s">
        <v>1988</v>
      </c>
      <c r="B146" s="261" t="s">
        <v>1989</v>
      </c>
      <c r="C146" s="218" t="s">
        <v>2000</v>
      </c>
      <c r="D146" s="211" t="s">
        <v>315</v>
      </c>
    </row>
    <row r="147" spans="1:4" ht="29.1">
      <c r="A147" s="260" t="s">
        <v>1988</v>
      </c>
      <c r="B147" s="261" t="s">
        <v>1989</v>
      </c>
      <c r="C147" s="218" t="s">
        <v>2002</v>
      </c>
      <c r="D147" s="211" t="s">
        <v>315</v>
      </c>
    </row>
    <row r="148" spans="1:4" ht="29.1">
      <c r="A148" s="260" t="s">
        <v>1988</v>
      </c>
      <c r="B148" s="261" t="s">
        <v>1989</v>
      </c>
      <c r="C148" s="218" t="s">
        <v>2005</v>
      </c>
      <c r="D148" s="211" t="s">
        <v>315</v>
      </c>
    </row>
    <row r="149" spans="1:4" ht="29.1">
      <c r="A149" s="260" t="s">
        <v>1988</v>
      </c>
      <c r="B149" s="261" t="s">
        <v>1989</v>
      </c>
      <c r="C149" s="218" t="s">
        <v>2008</v>
      </c>
      <c r="D149" s="211" t="s">
        <v>315</v>
      </c>
    </row>
    <row r="150" spans="1:4" ht="29.1">
      <c r="A150" s="260" t="s">
        <v>1988</v>
      </c>
      <c r="B150" s="261" t="s">
        <v>1989</v>
      </c>
      <c r="C150" s="218" t="s">
        <v>2783</v>
      </c>
      <c r="D150" s="211"/>
    </row>
    <row r="151" spans="1:4" ht="29.1">
      <c r="A151" s="260" t="s">
        <v>1988</v>
      </c>
      <c r="B151" s="261" t="s">
        <v>1989</v>
      </c>
      <c r="C151" s="218" t="s">
        <v>2784</v>
      </c>
      <c r="D151" s="211"/>
    </row>
    <row r="152" spans="1:4" ht="29.1">
      <c r="A152" s="260" t="s">
        <v>1988</v>
      </c>
      <c r="B152" s="261" t="s">
        <v>1989</v>
      </c>
      <c r="C152" s="218" t="s">
        <v>2785</v>
      </c>
      <c r="D152" s="211" t="s">
        <v>315</v>
      </c>
    </row>
    <row r="153" spans="1:4" ht="29.1">
      <c r="A153" s="260" t="s">
        <v>1988</v>
      </c>
      <c r="B153" s="262" t="s">
        <v>2010</v>
      </c>
      <c r="C153" s="218" t="s">
        <v>2012</v>
      </c>
      <c r="D153" s="211"/>
    </row>
    <row r="154" spans="1:4">
      <c r="A154" s="260" t="s">
        <v>1988</v>
      </c>
      <c r="B154" s="262" t="s">
        <v>2010</v>
      </c>
      <c r="C154" s="218" t="s">
        <v>2786</v>
      </c>
      <c r="D154" s="211" t="s">
        <v>315</v>
      </c>
    </row>
    <row r="155" spans="1:4">
      <c r="A155" s="260" t="s">
        <v>1988</v>
      </c>
      <c r="B155" s="262" t="s">
        <v>2010</v>
      </c>
      <c r="C155" s="218" t="s">
        <v>2787</v>
      </c>
      <c r="D155" s="211" t="s">
        <v>315</v>
      </c>
    </row>
    <row r="156" spans="1:4">
      <c r="A156" s="260" t="s">
        <v>1988</v>
      </c>
      <c r="B156" s="262" t="s">
        <v>2010</v>
      </c>
      <c r="C156" s="218" t="s">
        <v>2015</v>
      </c>
      <c r="D156" s="211" t="s">
        <v>315</v>
      </c>
    </row>
    <row r="157" spans="1:4" ht="29.1">
      <c r="A157" s="260" t="s">
        <v>1988</v>
      </c>
      <c r="B157" s="262" t="s">
        <v>2010</v>
      </c>
      <c r="C157" s="218" t="s">
        <v>2017</v>
      </c>
      <c r="D157" s="211"/>
    </row>
    <row r="158" spans="1:4">
      <c r="A158" s="260" t="s">
        <v>1988</v>
      </c>
      <c r="B158" s="263" t="s">
        <v>2018</v>
      </c>
      <c r="C158" s="218" t="s">
        <v>2020</v>
      </c>
      <c r="D158" s="211" t="s">
        <v>315</v>
      </c>
    </row>
    <row r="159" spans="1:4">
      <c r="A159" s="260" t="s">
        <v>1988</v>
      </c>
      <c r="B159" s="263" t="s">
        <v>2018</v>
      </c>
      <c r="C159" s="218" t="s">
        <v>2788</v>
      </c>
      <c r="D159" s="211"/>
    </row>
    <row r="160" spans="1:4">
      <c r="A160" s="260" t="s">
        <v>1988</v>
      </c>
      <c r="B160" s="263" t="s">
        <v>2018</v>
      </c>
      <c r="C160" s="218" t="s">
        <v>2789</v>
      </c>
      <c r="D160" s="211"/>
    </row>
    <row r="161" spans="1:5" ht="29.1">
      <c r="A161" s="260" t="s">
        <v>1988</v>
      </c>
      <c r="B161" s="263" t="s">
        <v>2018</v>
      </c>
      <c r="C161" s="218" t="s">
        <v>2790</v>
      </c>
      <c r="D161" s="211"/>
    </row>
    <row r="162" spans="1:5">
      <c r="A162" s="260" t="s">
        <v>1988</v>
      </c>
      <c r="B162" s="263" t="s">
        <v>2018</v>
      </c>
      <c r="C162" s="218" t="s">
        <v>2791</v>
      </c>
      <c r="D162" s="211" t="s">
        <v>315</v>
      </c>
    </row>
    <row r="163" spans="1:5" ht="29.1">
      <c r="A163" s="260" t="s">
        <v>1988</v>
      </c>
      <c r="B163" s="263" t="s">
        <v>2018</v>
      </c>
      <c r="C163" s="218" t="s">
        <v>2031</v>
      </c>
      <c r="D163" s="211" t="s">
        <v>315</v>
      </c>
    </row>
    <row r="164" spans="1:5" ht="29.1">
      <c r="A164" s="260" t="s">
        <v>1988</v>
      </c>
      <c r="B164" s="263" t="s">
        <v>2018</v>
      </c>
      <c r="C164" s="218" t="s">
        <v>2033</v>
      </c>
      <c r="D164" s="211"/>
    </row>
    <row r="165" spans="1:5">
      <c r="A165" s="260" t="s">
        <v>1988</v>
      </c>
      <c r="B165" s="263" t="s">
        <v>2018</v>
      </c>
      <c r="C165" s="218" t="s">
        <v>2035</v>
      </c>
      <c r="D165" s="211"/>
    </row>
    <row r="166" spans="1:5" ht="29.1">
      <c r="A166" s="260" t="s">
        <v>1988</v>
      </c>
      <c r="B166" s="220" t="s">
        <v>2036</v>
      </c>
      <c r="C166" s="218" t="s">
        <v>2038</v>
      </c>
      <c r="D166" s="211" t="s">
        <v>315</v>
      </c>
    </row>
    <row r="167" spans="1:5" ht="29.1">
      <c r="A167" s="260" t="s">
        <v>1988</v>
      </c>
      <c r="B167" s="220" t="s">
        <v>2036</v>
      </c>
      <c r="C167" s="218" t="s">
        <v>2040</v>
      </c>
      <c r="D167" s="211" t="s">
        <v>315</v>
      </c>
      <c r="E167" s="175" t="s">
        <v>2041</v>
      </c>
    </row>
    <row r="168" spans="1:5" ht="29.1">
      <c r="A168" s="260" t="s">
        <v>1988</v>
      </c>
      <c r="B168" s="220" t="s">
        <v>2036</v>
      </c>
      <c r="C168" s="218" t="s">
        <v>1025</v>
      </c>
      <c r="D168" s="211" t="s">
        <v>315</v>
      </c>
    </row>
    <row r="169" spans="1:5" ht="57.95">
      <c r="A169" s="260" t="s">
        <v>1988</v>
      </c>
      <c r="B169" s="220" t="s">
        <v>2036</v>
      </c>
      <c r="C169" s="218" t="s">
        <v>813</v>
      </c>
      <c r="D169" s="211"/>
    </row>
    <row r="170" spans="1:5">
      <c r="A170" s="260" t="s">
        <v>1988</v>
      </c>
      <c r="B170" s="264" t="s">
        <v>2044</v>
      </c>
      <c r="C170" s="218" t="s">
        <v>2046</v>
      </c>
      <c r="D170" s="211" t="s">
        <v>315</v>
      </c>
    </row>
    <row r="171" spans="1:5">
      <c r="A171" s="260" t="s">
        <v>1988</v>
      </c>
      <c r="B171" s="264" t="s">
        <v>2044</v>
      </c>
      <c r="C171" s="218" t="s">
        <v>2049</v>
      </c>
      <c r="D171" s="211"/>
    </row>
    <row r="172" spans="1:5" ht="29.1">
      <c r="A172" s="260" t="s">
        <v>1988</v>
      </c>
      <c r="B172" s="264" t="s">
        <v>2044</v>
      </c>
      <c r="C172" s="218" t="s">
        <v>2052</v>
      </c>
      <c r="D172" s="211"/>
    </row>
    <row r="173" spans="1:5" ht="29.1">
      <c r="A173" s="260" t="s">
        <v>1988</v>
      </c>
      <c r="B173" s="264" t="s">
        <v>2044</v>
      </c>
      <c r="C173" s="218" t="s">
        <v>2054</v>
      </c>
      <c r="D173" s="211"/>
    </row>
    <row r="174" spans="1:5" ht="29.1">
      <c r="A174" s="260" t="s">
        <v>1988</v>
      </c>
      <c r="B174" s="264" t="s">
        <v>2044</v>
      </c>
      <c r="C174" s="218" t="s">
        <v>2056</v>
      </c>
      <c r="D174" s="211"/>
    </row>
    <row r="175" spans="1:5">
      <c r="A175" s="260" t="s">
        <v>1988</v>
      </c>
      <c r="B175" s="264" t="s">
        <v>2044</v>
      </c>
      <c r="C175" s="218" t="s">
        <v>2058</v>
      </c>
      <c r="D175" s="211" t="s">
        <v>315</v>
      </c>
    </row>
    <row r="176" spans="1:5">
      <c r="A176" s="260" t="s">
        <v>1988</v>
      </c>
      <c r="B176" s="265" t="s">
        <v>2059</v>
      </c>
      <c r="C176" s="218" t="s">
        <v>2792</v>
      </c>
      <c r="D176" s="211"/>
    </row>
    <row r="177" spans="1:4" ht="29.1">
      <c r="A177" s="260" t="s">
        <v>1988</v>
      </c>
      <c r="B177" s="265" t="s">
        <v>2059</v>
      </c>
      <c r="C177" s="218" t="s">
        <v>2063</v>
      </c>
      <c r="D177" s="211"/>
    </row>
    <row r="178" spans="1:4" ht="29.1">
      <c r="A178" s="260" t="s">
        <v>1988</v>
      </c>
      <c r="B178" s="265" t="s">
        <v>2059</v>
      </c>
      <c r="C178" s="218" t="s">
        <v>2066</v>
      </c>
      <c r="D178" s="211"/>
    </row>
    <row r="179" spans="1:4">
      <c r="A179" s="260" t="s">
        <v>1988</v>
      </c>
      <c r="B179" s="265" t="s">
        <v>2059</v>
      </c>
      <c r="C179" s="218" t="s">
        <v>2068</v>
      </c>
      <c r="D179" s="211"/>
    </row>
    <row r="180" spans="1:4">
      <c r="A180" s="260" t="s">
        <v>1988</v>
      </c>
      <c r="B180" s="265" t="s">
        <v>2059</v>
      </c>
      <c r="C180" s="218" t="s">
        <v>2070</v>
      </c>
      <c r="D180" s="211"/>
    </row>
    <row r="181" spans="1:4">
      <c r="A181" s="260" t="s">
        <v>1988</v>
      </c>
      <c r="B181" s="265" t="s">
        <v>2059</v>
      </c>
      <c r="C181" s="218" t="s">
        <v>2073</v>
      </c>
      <c r="D181" s="211"/>
    </row>
    <row r="182" spans="1:4" ht="29.1">
      <c r="A182" s="260" t="s">
        <v>1988</v>
      </c>
      <c r="B182" s="265" t="s">
        <v>2059</v>
      </c>
      <c r="C182" s="218" t="s">
        <v>2075</v>
      </c>
      <c r="D182" s="211" t="s">
        <v>315</v>
      </c>
    </row>
    <row r="183" spans="1:4" ht="29.1">
      <c r="A183" s="260" t="s">
        <v>1988</v>
      </c>
      <c r="B183" s="265" t="s">
        <v>2059</v>
      </c>
      <c r="C183" s="218" t="s">
        <v>2077</v>
      </c>
      <c r="D183" s="211" t="s">
        <v>315</v>
      </c>
    </row>
    <row r="184" spans="1:4">
      <c r="A184" s="260" t="s">
        <v>1988</v>
      </c>
      <c r="B184" s="266" t="s">
        <v>2078</v>
      </c>
      <c r="C184" s="218" t="s">
        <v>2080</v>
      </c>
      <c r="D184" s="211"/>
    </row>
    <row r="185" spans="1:4">
      <c r="A185" s="260" t="s">
        <v>1988</v>
      </c>
      <c r="B185" s="266" t="s">
        <v>2078</v>
      </c>
      <c r="C185" s="218" t="s">
        <v>2083</v>
      </c>
      <c r="D185" s="211"/>
    </row>
    <row r="186" spans="1:4" ht="29.1">
      <c r="A186" s="260" t="s">
        <v>1988</v>
      </c>
      <c r="B186" s="266" t="s">
        <v>2078</v>
      </c>
      <c r="C186" s="218" t="s">
        <v>2086</v>
      </c>
      <c r="D186" s="211" t="s">
        <v>315</v>
      </c>
    </row>
    <row r="187" spans="1:4" ht="29.1">
      <c r="A187" s="260" t="s">
        <v>1988</v>
      </c>
      <c r="B187" s="266" t="s">
        <v>2078</v>
      </c>
      <c r="C187" s="218" t="s">
        <v>2088</v>
      </c>
      <c r="D187" s="211"/>
    </row>
    <row r="188" spans="1:4" ht="29.1">
      <c r="A188" s="260" t="s">
        <v>1988</v>
      </c>
      <c r="B188" s="266" t="s">
        <v>2078</v>
      </c>
      <c r="C188" s="218" t="s">
        <v>2090</v>
      </c>
      <c r="D188" s="211" t="s">
        <v>315</v>
      </c>
    </row>
    <row r="189" spans="1:4">
      <c r="A189" s="260" t="s">
        <v>1988</v>
      </c>
      <c r="B189" s="266" t="s">
        <v>2078</v>
      </c>
      <c r="C189" s="218" t="s">
        <v>2092</v>
      </c>
      <c r="D189" s="211" t="s">
        <v>315</v>
      </c>
    </row>
    <row r="190" spans="1:4" ht="43.5">
      <c r="A190" s="260" t="s">
        <v>1988</v>
      </c>
      <c r="B190" s="266" t="s">
        <v>2078</v>
      </c>
      <c r="C190" s="218" t="s">
        <v>2094</v>
      </c>
      <c r="D190" s="211" t="s">
        <v>315</v>
      </c>
    </row>
    <row r="191" spans="1:4" ht="29.1">
      <c r="A191" s="260" t="s">
        <v>1988</v>
      </c>
      <c r="B191" s="267" t="s">
        <v>2095</v>
      </c>
      <c r="C191" s="218" t="s">
        <v>2097</v>
      </c>
      <c r="D191" s="211"/>
    </row>
    <row r="192" spans="1:4" ht="29.1">
      <c r="A192" s="260" t="s">
        <v>1988</v>
      </c>
      <c r="B192" s="267" t="s">
        <v>2095</v>
      </c>
      <c r="C192" s="218" t="s">
        <v>2099</v>
      </c>
      <c r="D192" s="211"/>
    </row>
    <row r="193" spans="1:5">
      <c r="A193" s="260" t="s">
        <v>1988</v>
      </c>
      <c r="B193" s="267" t="s">
        <v>2095</v>
      </c>
      <c r="C193" s="218" t="s">
        <v>2101</v>
      </c>
      <c r="D193" s="211" t="s">
        <v>315</v>
      </c>
    </row>
    <row r="194" spans="1:5" ht="29.1">
      <c r="A194" s="260" t="s">
        <v>1988</v>
      </c>
      <c r="B194" s="267" t="s">
        <v>2095</v>
      </c>
      <c r="C194" s="218" t="s">
        <v>2103</v>
      </c>
      <c r="D194" s="211" t="s">
        <v>315</v>
      </c>
    </row>
    <row r="195" spans="1:5">
      <c r="A195" s="268" t="s">
        <v>46</v>
      </c>
      <c r="B195" s="269" t="s">
        <v>2104</v>
      </c>
      <c r="C195" s="245" t="s">
        <v>2105</v>
      </c>
      <c r="D195" s="211" t="s">
        <v>2776</v>
      </c>
      <c r="E195" s="175" t="s">
        <v>2106</v>
      </c>
    </row>
    <row r="196" spans="1:5">
      <c r="A196" s="268" t="s">
        <v>46</v>
      </c>
      <c r="B196" s="244" t="s">
        <v>61</v>
      </c>
      <c r="C196" s="245" t="s">
        <v>2107</v>
      </c>
      <c r="D196" s="211" t="s">
        <v>2776</v>
      </c>
    </row>
    <row r="197" spans="1:5" ht="29.1">
      <c r="A197" s="268" t="s">
        <v>46</v>
      </c>
      <c r="B197" s="244" t="s">
        <v>61</v>
      </c>
      <c r="C197" s="245" t="s">
        <v>2109</v>
      </c>
      <c r="D197" s="211" t="s">
        <v>2793</v>
      </c>
      <c r="E197" s="175" t="s">
        <v>2110</v>
      </c>
    </row>
    <row r="198" spans="1:5" ht="29.1">
      <c r="A198" s="268" t="s">
        <v>46</v>
      </c>
      <c r="B198" s="246" t="s">
        <v>2112</v>
      </c>
      <c r="C198" s="245" t="s">
        <v>2113</v>
      </c>
      <c r="D198" s="211" t="s">
        <v>2777</v>
      </c>
      <c r="E198" s="175" t="s">
        <v>2794</v>
      </c>
    </row>
    <row r="199" spans="1:5">
      <c r="A199" s="268" t="s">
        <v>46</v>
      </c>
      <c r="B199" s="247" t="s">
        <v>1580</v>
      </c>
      <c r="C199" s="245" t="s">
        <v>2115</v>
      </c>
      <c r="D199" s="211" t="s">
        <v>2795</v>
      </c>
      <c r="E199" s="175" t="s">
        <v>2116</v>
      </c>
    </row>
    <row r="200" spans="1:5">
      <c r="A200" s="268" t="s">
        <v>46</v>
      </c>
      <c r="B200" s="247" t="s">
        <v>1580</v>
      </c>
      <c r="C200" s="245" t="s">
        <v>2117</v>
      </c>
      <c r="D200" s="211" t="s">
        <v>2796</v>
      </c>
    </row>
    <row r="201" spans="1:5">
      <c r="A201" s="268" t="s">
        <v>46</v>
      </c>
      <c r="B201" s="247" t="s">
        <v>1580</v>
      </c>
      <c r="C201" s="245" t="s">
        <v>2118</v>
      </c>
      <c r="D201" s="211" t="s">
        <v>2795</v>
      </c>
      <c r="E201" s="175" t="s">
        <v>2119</v>
      </c>
    </row>
    <row r="202" spans="1:5">
      <c r="A202" s="268" t="s">
        <v>46</v>
      </c>
      <c r="B202" s="247" t="s">
        <v>1580</v>
      </c>
      <c r="C202" s="245" t="s">
        <v>2120</v>
      </c>
      <c r="D202" s="211" t="s">
        <v>2795</v>
      </c>
      <c r="E202" s="175" t="s">
        <v>2119</v>
      </c>
    </row>
    <row r="203" spans="1:5" ht="29.1">
      <c r="A203" s="268" t="s">
        <v>46</v>
      </c>
      <c r="B203" s="247" t="s">
        <v>1580</v>
      </c>
      <c r="C203" s="245" t="s">
        <v>2122</v>
      </c>
      <c r="D203" s="211" t="s">
        <v>2795</v>
      </c>
      <c r="E203" s="175" t="s">
        <v>2123</v>
      </c>
    </row>
    <row r="204" spans="1:5">
      <c r="A204" s="268" t="s">
        <v>46</v>
      </c>
      <c r="B204" s="247" t="s">
        <v>1580</v>
      </c>
      <c r="C204" s="245" t="s">
        <v>2124</v>
      </c>
      <c r="D204" s="211" t="s">
        <v>2795</v>
      </c>
      <c r="E204" s="175" t="s">
        <v>2797</v>
      </c>
    </row>
    <row r="205" spans="1:5" ht="29.1">
      <c r="A205" s="268" t="s">
        <v>46</v>
      </c>
      <c r="B205" s="270" t="s">
        <v>2125</v>
      </c>
      <c r="C205" s="271" t="s">
        <v>2127</v>
      </c>
      <c r="D205" s="212">
        <v>2026</v>
      </c>
      <c r="E205" s="175" t="s">
        <v>2798</v>
      </c>
    </row>
    <row r="206" spans="1:5" ht="29.1">
      <c r="A206" s="268" t="s">
        <v>46</v>
      </c>
      <c r="B206" s="270" t="s">
        <v>2125</v>
      </c>
      <c r="C206" s="272" t="s">
        <v>2130</v>
      </c>
      <c r="D206" s="212"/>
    </row>
    <row r="207" spans="1:5" ht="29.1">
      <c r="A207" s="268" t="s">
        <v>46</v>
      </c>
      <c r="B207" s="270" t="s">
        <v>2125</v>
      </c>
      <c r="C207" s="272" t="s">
        <v>2134</v>
      </c>
      <c r="D207" t="s">
        <v>2135</v>
      </c>
      <c r="E207" s="74"/>
    </row>
    <row r="208" spans="1:5" ht="43.5">
      <c r="A208" s="268" t="s">
        <v>46</v>
      </c>
      <c r="B208" s="270" t="s">
        <v>2125</v>
      </c>
      <c r="C208" s="272" t="s">
        <v>2138</v>
      </c>
      <c r="D208" t="s">
        <v>2799</v>
      </c>
      <c r="E208" s="74"/>
    </row>
    <row r="209" spans="1:5" ht="43.5">
      <c r="A209" s="268" t="s">
        <v>46</v>
      </c>
      <c r="B209" s="270" t="s">
        <v>2125</v>
      </c>
      <c r="C209" s="273" t="s">
        <v>2140</v>
      </c>
      <c r="D209" s="212"/>
    </row>
    <row r="210" spans="1:5">
      <c r="A210" s="268" t="s">
        <v>46</v>
      </c>
      <c r="B210" s="270" t="s">
        <v>2125</v>
      </c>
      <c r="C210" s="272" t="s">
        <v>2144</v>
      </c>
      <c r="D210" s="212" t="s">
        <v>2135</v>
      </c>
    </row>
    <row r="211" spans="1:5" ht="29.1">
      <c r="A211" s="268" t="s">
        <v>46</v>
      </c>
      <c r="B211" s="270" t="s">
        <v>2125</v>
      </c>
      <c r="C211" s="273" t="s">
        <v>2147</v>
      </c>
      <c r="D211" s="212" t="s">
        <v>2800</v>
      </c>
      <c r="E211" s="175" t="s">
        <v>2801</v>
      </c>
    </row>
    <row r="212" spans="1:5" ht="43.5">
      <c r="A212" s="268" t="s">
        <v>46</v>
      </c>
      <c r="B212" s="270" t="s">
        <v>2125</v>
      </c>
      <c r="C212" s="273" t="s">
        <v>2151</v>
      </c>
      <c r="D212" s="212" t="s">
        <v>2135</v>
      </c>
      <c r="E212" s="74"/>
    </row>
    <row r="213" spans="1:5">
      <c r="A213" s="268" t="s">
        <v>46</v>
      </c>
      <c r="B213" s="270" t="s">
        <v>2125</v>
      </c>
      <c r="C213" s="272" t="s">
        <v>2154</v>
      </c>
      <c r="D213" t="s">
        <v>2135</v>
      </c>
      <c r="E213" s="74"/>
    </row>
    <row r="214" spans="1:5" ht="87">
      <c r="A214" s="268" t="s">
        <v>46</v>
      </c>
      <c r="B214" s="270" t="s">
        <v>2125</v>
      </c>
      <c r="C214" s="272" t="s">
        <v>2158</v>
      </c>
      <c r="D214" s="213" t="s">
        <v>2799</v>
      </c>
      <c r="E214" s="74"/>
    </row>
    <row r="215" spans="1:5" ht="29.1">
      <c r="A215" s="268" t="s">
        <v>46</v>
      </c>
      <c r="B215" s="270" t="s">
        <v>2125</v>
      </c>
      <c r="C215" s="272" t="s">
        <v>2161</v>
      </c>
      <c r="D215" t="s">
        <v>2799</v>
      </c>
      <c r="E215" s="74" t="s">
        <v>2162</v>
      </c>
    </row>
    <row r="216" spans="1:5" ht="43.5">
      <c r="A216" s="268" t="s">
        <v>46</v>
      </c>
      <c r="B216" s="270" t="s">
        <v>2125</v>
      </c>
      <c r="C216" s="272" t="s">
        <v>2164</v>
      </c>
      <c r="D216" s="212" t="s">
        <v>2135</v>
      </c>
      <c r="E216" s="175" t="s">
        <v>2165</v>
      </c>
    </row>
    <row r="217" spans="1:5" ht="43.5">
      <c r="A217" s="268" t="s">
        <v>46</v>
      </c>
      <c r="B217" s="270" t="s">
        <v>2125</v>
      </c>
      <c r="C217" s="272" t="s">
        <v>2167</v>
      </c>
      <c r="D217" s="212" t="s">
        <v>2718</v>
      </c>
    </row>
    <row r="218" spans="1:5" ht="43.5">
      <c r="A218" s="268" t="s">
        <v>46</v>
      </c>
      <c r="B218" s="270" t="s">
        <v>2125</v>
      </c>
      <c r="C218" s="273" t="s">
        <v>2170</v>
      </c>
      <c r="D218" s="212" t="s">
        <v>2799</v>
      </c>
      <c r="E218" s="74" t="s">
        <v>2171</v>
      </c>
    </row>
    <row r="219" spans="1:5" ht="43.5">
      <c r="A219" s="268" t="s">
        <v>46</v>
      </c>
      <c r="B219" s="270" t="s">
        <v>2125</v>
      </c>
      <c r="C219" s="273" t="s">
        <v>2173</v>
      </c>
      <c r="D219" s="212" t="s">
        <v>2802</v>
      </c>
      <c r="E219" s="74"/>
    </row>
    <row r="220" spans="1:5">
      <c r="A220" s="268" t="s">
        <v>46</v>
      </c>
      <c r="B220" s="270" t="s">
        <v>2125</v>
      </c>
      <c r="C220" s="273" t="s">
        <v>2177</v>
      </c>
      <c r="D220" s="213" t="s">
        <v>2135</v>
      </c>
      <c r="E220" s="74"/>
    </row>
    <row r="221" spans="1:5" ht="57.95">
      <c r="A221" s="268" t="s">
        <v>46</v>
      </c>
      <c r="B221" s="270" t="s">
        <v>2125</v>
      </c>
      <c r="C221" s="273" t="s">
        <v>2180</v>
      </c>
      <c r="D221" s="212" t="s">
        <v>2718</v>
      </c>
      <c r="E221" s="175" t="s">
        <v>2803</v>
      </c>
    </row>
    <row r="222" spans="1:5" ht="57.95">
      <c r="A222" s="268" t="s">
        <v>46</v>
      </c>
      <c r="B222" s="270" t="s">
        <v>2125</v>
      </c>
      <c r="C222" s="273" t="s">
        <v>2184</v>
      </c>
      <c r="D222" s="212" t="s">
        <v>2799</v>
      </c>
      <c r="E222" s="74" t="s">
        <v>2185</v>
      </c>
    </row>
    <row r="223" spans="1:5" ht="57.95">
      <c r="A223" s="268" t="s">
        <v>46</v>
      </c>
      <c r="B223" s="270" t="s">
        <v>2125</v>
      </c>
      <c r="C223" s="272" t="s">
        <v>2187</v>
      </c>
      <c r="D223" s="213" t="s">
        <v>2804</v>
      </c>
      <c r="E223" s="74" t="s">
        <v>2188</v>
      </c>
    </row>
    <row r="224" spans="1:5" ht="29.1">
      <c r="A224" s="268" t="s">
        <v>46</v>
      </c>
      <c r="B224" s="270" t="s">
        <v>2125</v>
      </c>
      <c r="C224" s="272" t="s">
        <v>2191</v>
      </c>
      <c r="D224" s="213" t="s">
        <v>2799</v>
      </c>
      <c r="E224" s="74"/>
    </row>
    <row r="225" spans="1:5" ht="43.5">
      <c r="A225" s="268" t="s">
        <v>46</v>
      </c>
      <c r="B225" s="270" t="s">
        <v>2125</v>
      </c>
      <c r="C225" s="272" t="s">
        <v>2195</v>
      </c>
      <c r="D225" s="213" t="s">
        <v>2799</v>
      </c>
      <c r="E225" s="74" t="s">
        <v>2805</v>
      </c>
    </row>
    <row r="226" spans="1:5" ht="29.1">
      <c r="A226" s="268" t="s">
        <v>46</v>
      </c>
      <c r="B226" s="270" t="s">
        <v>2125</v>
      </c>
      <c r="C226" s="272" t="s">
        <v>2198</v>
      </c>
      <c r="D226" s="213" t="s">
        <v>2799</v>
      </c>
      <c r="E226" s="74" t="s">
        <v>2199</v>
      </c>
    </row>
    <row r="227" spans="1:5" ht="43.5">
      <c r="A227" s="268" t="s">
        <v>46</v>
      </c>
      <c r="B227" s="270" t="s">
        <v>2125</v>
      </c>
      <c r="C227" s="272" t="s">
        <v>2201</v>
      </c>
      <c r="D227" s="212" t="s">
        <v>2718</v>
      </c>
    </row>
    <row r="228" spans="1:5" ht="43.5">
      <c r="A228" s="268" t="s">
        <v>46</v>
      </c>
      <c r="B228" s="270" t="s">
        <v>2125</v>
      </c>
      <c r="C228" s="272" t="s">
        <v>2204</v>
      </c>
      <c r="D228" s="213" t="s">
        <v>2135</v>
      </c>
      <c r="E228" s="74" t="s">
        <v>2205</v>
      </c>
    </row>
    <row r="229" spans="1:5" ht="57.95">
      <c r="A229" s="268" t="s">
        <v>46</v>
      </c>
      <c r="B229" s="270" t="s">
        <v>2125</v>
      </c>
      <c r="C229" s="272" t="s">
        <v>2207</v>
      </c>
      <c r="D229" t="s">
        <v>2135</v>
      </c>
      <c r="E229" s="74" t="s">
        <v>2208</v>
      </c>
    </row>
    <row r="230" spans="1:5">
      <c r="A230" s="268" t="s">
        <v>46</v>
      </c>
      <c r="B230" s="270" t="s">
        <v>2125</v>
      </c>
      <c r="C230" s="273" t="s">
        <v>2210</v>
      </c>
      <c r="D230" s="212" t="s">
        <v>2135</v>
      </c>
      <c r="E230" s="74" t="s">
        <v>2211</v>
      </c>
    </row>
    <row r="231" spans="1:5">
      <c r="A231" s="268" t="s">
        <v>46</v>
      </c>
      <c r="B231" s="270" t="s">
        <v>2125</v>
      </c>
      <c r="C231" s="272" t="s">
        <v>2213</v>
      </c>
      <c r="D231" t="s">
        <v>2135</v>
      </c>
      <c r="E231" s="74" t="s">
        <v>2214</v>
      </c>
    </row>
    <row r="232" spans="1:5" ht="29.1">
      <c r="A232" s="268" t="s">
        <v>46</v>
      </c>
      <c r="B232" s="270" t="s">
        <v>2125</v>
      </c>
      <c r="C232" s="273" t="s">
        <v>2216</v>
      </c>
      <c r="D232" s="212" t="s">
        <v>2799</v>
      </c>
      <c r="E232" s="74"/>
    </row>
    <row r="233" spans="1:5" ht="57.95">
      <c r="A233" s="268" t="s">
        <v>46</v>
      </c>
      <c r="B233" s="270" t="s">
        <v>2125</v>
      </c>
      <c r="C233" s="272" t="s">
        <v>2218</v>
      </c>
      <c r="D233" t="s">
        <v>2799</v>
      </c>
      <c r="E233" s="74"/>
    </row>
    <row r="234" spans="1:5" ht="29.1">
      <c r="A234" s="268" t="s">
        <v>46</v>
      </c>
      <c r="B234" s="270" t="s">
        <v>2125</v>
      </c>
      <c r="C234" s="273" t="s">
        <v>2220</v>
      </c>
      <c r="D234" s="212" t="s">
        <v>2799</v>
      </c>
      <c r="E234" s="74"/>
    </row>
    <row r="235" spans="1:5" ht="29.1">
      <c r="A235" s="268" t="s">
        <v>46</v>
      </c>
      <c r="B235" s="270" t="s">
        <v>2125</v>
      </c>
      <c r="C235" s="272" t="s">
        <v>2223</v>
      </c>
      <c r="D235" t="s">
        <v>2135</v>
      </c>
      <c r="E235" s="74" t="s">
        <v>2224</v>
      </c>
    </row>
    <row r="236" spans="1:5" ht="29.1">
      <c r="A236" s="268" t="s">
        <v>46</v>
      </c>
      <c r="B236" s="270" t="s">
        <v>2125</v>
      </c>
      <c r="C236" s="272" t="s">
        <v>2226</v>
      </c>
      <c r="D236" t="s">
        <v>2135</v>
      </c>
      <c r="E236" s="74" t="s">
        <v>2227</v>
      </c>
    </row>
    <row r="237" spans="1:5" ht="29.1">
      <c r="A237" s="268" t="s">
        <v>46</v>
      </c>
      <c r="B237" s="270" t="s">
        <v>2125</v>
      </c>
      <c r="C237" s="272" t="s">
        <v>2229</v>
      </c>
      <c r="D237" s="212" t="s">
        <v>2230</v>
      </c>
    </row>
    <row r="238" spans="1:5" ht="29.1">
      <c r="A238" s="268" t="s">
        <v>46</v>
      </c>
      <c r="B238" s="270" t="s">
        <v>2125</v>
      </c>
      <c r="C238" s="272" t="s">
        <v>2232</v>
      </c>
      <c r="D238" s="212" t="s">
        <v>2230</v>
      </c>
    </row>
    <row r="239" spans="1:5" ht="29.1">
      <c r="A239" s="268" t="s">
        <v>46</v>
      </c>
      <c r="B239" s="270" t="s">
        <v>2125</v>
      </c>
      <c r="C239" s="272" t="s">
        <v>2234</v>
      </c>
      <c r="D239" s="212" t="s">
        <v>2776</v>
      </c>
      <c r="E239" s="175" t="s">
        <v>2235</v>
      </c>
    </row>
    <row r="240" spans="1:5" ht="57.95">
      <c r="A240" s="268" t="s">
        <v>46</v>
      </c>
      <c r="B240" s="270" t="s">
        <v>2125</v>
      </c>
      <c r="C240" s="272" t="s">
        <v>2238</v>
      </c>
      <c r="D240" s="212" t="s">
        <v>2135</v>
      </c>
      <c r="E240" s="175" t="s">
        <v>2239</v>
      </c>
    </row>
    <row r="241" spans="1:5" ht="29.1">
      <c r="A241" s="268" t="s">
        <v>46</v>
      </c>
      <c r="B241" s="270" t="s">
        <v>2125</v>
      </c>
      <c r="C241" s="272" t="s">
        <v>2241</v>
      </c>
      <c r="D241" s="212" t="s">
        <v>2806</v>
      </c>
    </row>
    <row r="242" spans="1:5" ht="29.1">
      <c r="A242" s="268" t="s">
        <v>46</v>
      </c>
      <c r="B242" s="270" t="s">
        <v>2125</v>
      </c>
      <c r="C242" s="272" t="s">
        <v>2243</v>
      </c>
      <c r="D242" s="212" t="s">
        <v>2806</v>
      </c>
    </row>
    <row r="243" spans="1:5" ht="29.1">
      <c r="A243" s="268" t="s">
        <v>46</v>
      </c>
      <c r="B243" s="270" t="s">
        <v>2125</v>
      </c>
      <c r="C243" s="272" t="s">
        <v>2245</v>
      </c>
      <c r="D243" s="213" t="s">
        <v>2799</v>
      </c>
      <c r="E243" s="74" t="s">
        <v>2246</v>
      </c>
    </row>
    <row r="244" spans="1:5" ht="57.95">
      <c r="A244" s="268" t="s">
        <v>46</v>
      </c>
      <c r="B244" s="270" t="s">
        <v>2125</v>
      </c>
      <c r="C244" s="273" t="s">
        <v>2249</v>
      </c>
      <c r="D244" s="212" t="s">
        <v>2807</v>
      </c>
      <c r="E244" s="175" t="s">
        <v>2250</v>
      </c>
    </row>
    <row r="245" spans="1:5" ht="43.5">
      <c r="A245" s="268" t="s">
        <v>46</v>
      </c>
      <c r="B245" s="270" t="s">
        <v>2125</v>
      </c>
      <c r="C245" s="273" t="s">
        <v>2252</v>
      </c>
      <c r="D245" s="212" t="s">
        <v>2135</v>
      </c>
      <c r="E245" s="74" t="s">
        <v>2253</v>
      </c>
    </row>
    <row r="246" spans="1:5" ht="29.1">
      <c r="A246" s="268" t="s">
        <v>46</v>
      </c>
      <c r="B246" s="270" t="s">
        <v>2125</v>
      </c>
      <c r="C246" s="273" t="s">
        <v>2256</v>
      </c>
      <c r="D246" s="212" t="s">
        <v>2135</v>
      </c>
      <c r="E246" s="74" t="s">
        <v>2257</v>
      </c>
    </row>
    <row r="247" spans="1:5" ht="57.95">
      <c r="A247" s="268" t="s">
        <v>46</v>
      </c>
      <c r="B247" s="270" t="s">
        <v>2125</v>
      </c>
      <c r="C247" s="273" t="s">
        <v>2259</v>
      </c>
      <c r="D247" s="212" t="s">
        <v>2135</v>
      </c>
      <c r="E247" s="74" t="s">
        <v>2260</v>
      </c>
    </row>
    <row r="248" spans="1:5" ht="43.5">
      <c r="A248" s="268" t="s">
        <v>46</v>
      </c>
      <c r="B248" s="270" t="s">
        <v>2125</v>
      </c>
      <c r="C248" s="273" t="s">
        <v>2262</v>
      </c>
      <c r="D248" s="212" t="s">
        <v>2808</v>
      </c>
      <c r="E248" s="74"/>
    </row>
    <row r="249" spans="1:5" ht="29.1">
      <c r="A249" s="268" t="s">
        <v>46</v>
      </c>
      <c r="B249" s="270" t="s">
        <v>2125</v>
      </c>
      <c r="C249" s="272" t="s">
        <v>2264</v>
      </c>
      <c r="D249" s="212" t="s">
        <v>81</v>
      </c>
      <c r="E249" s="175" t="s">
        <v>2265</v>
      </c>
    </row>
    <row r="250" spans="1:5" ht="57.95">
      <c r="A250" s="268" t="s">
        <v>46</v>
      </c>
      <c r="B250" s="270" t="s">
        <v>2125</v>
      </c>
      <c r="C250" s="273" t="s">
        <v>2267</v>
      </c>
      <c r="D250" s="212" t="s">
        <v>2135</v>
      </c>
      <c r="E250" s="74" t="s">
        <v>2268</v>
      </c>
    </row>
    <row r="251" spans="1:5" ht="29.1">
      <c r="A251" s="268" t="s">
        <v>46</v>
      </c>
      <c r="B251" s="270" t="s">
        <v>2125</v>
      </c>
      <c r="C251" s="272" t="s">
        <v>2270</v>
      </c>
      <c r="D251" t="s">
        <v>2135</v>
      </c>
      <c r="E251" s="74" t="s">
        <v>2271</v>
      </c>
    </row>
    <row r="252" spans="1:5" ht="29.1">
      <c r="A252" s="268" t="s">
        <v>46</v>
      </c>
      <c r="B252" s="270" t="s">
        <v>2125</v>
      </c>
      <c r="C252" s="273" t="s">
        <v>2273</v>
      </c>
      <c r="D252" s="212" t="s">
        <v>2135</v>
      </c>
      <c r="E252" s="74" t="s">
        <v>2274</v>
      </c>
    </row>
    <row r="253" spans="1:5" ht="43.5">
      <c r="A253" s="268" t="s">
        <v>46</v>
      </c>
      <c r="B253" s="270" t="s">
        <v>2125</v>
      </c>
      <c r="C253" s="272" t="s">
        <v>2276</v>
      </c>
      <c r="D253" s="212" t="s">
        <v>2809</v>
      </c>
      <c r="E253" s="74"/>
    </row>
    <row r="254" spans="1:5" ht="57.95">
      <c r="A254" s="268" t="s">
        <v>46</v>
      </c>
      <c r="B254" s="270" t="s">
        <v>2125</v>
      </c>
      <c r="C254" s="272" t="s">
        <v>2279</v>
      </c>
      <c r="D254" s="213" t="s">
        <v>2810</v>
      </c>
      <c r="E254" s="74"/>
    </row>
    <row r="255" spans="1:5" ht="43.5">
      <c r="A255" s="268" t="s">
        <v>46</v>
      </c>
      <c r="B255" s="270" t="s">
        <v>2125</v>
      </c>
      <c r="C255" s="272" t="s">
        <v>2282</v>
      </c>
      <c r="D255" t="s">
        <v>2135</v>
      </c>
      <c r="E255" s="74" t="s">
        <v>2283</v>
      </c>
    </row>
    <row r="256" spans="1:5" ht="29.1">
      <c r="A256" s="268" t="s">
        <v>46</v>
      </c>
      <c r="B256" s="270" t="s">
        <v>2125</v>
      </c>
      <c r="C256" s="272" t="s">
        <v>2285</v>
      </c>
      <c r="D256" s="212"/>
    </row>
    <row r="257" spans="1:5" ht="29.1">
      <c r="A257" s="268" t="s">
        <v>46</v>
      </c>
      <c r="B257" s="270" t="s">
        <v>2125</v>
      </c>
      <c r="C257" s="272" t="s">
        <v>2287</v>
      </c>
      <c r="D257" s="212" t="s">
        <v>2135</v>
      </c>
      <c r="E257" s="175" t="s">
        <v>2288</v>
      </c>
    </row>
    <row r="258" spans="1:5" ht="29.1">
      <c r="A258" s="268" t="s">
        <v>46</v>
      </c>
      <c r="B258" s="270" t="s">
        <v>2125</v>
      </c>
      <c r="C258" s="272" t="s">
        <v>2290</v>
      </c>
      <c r="D258" s="212"/>
    </row>
    <row r="259" spans="1:5" ht="43.5">
      <c r="A259" s="268" t="s">
        <v>46</v>
      </c>
      <c r="B259" s="270" t="s">
        <v>2125</v>
      </c>
      <c r="C259" s="273" t="s">
        <v>2292</v>
      </c>
      <c r="D259" s="212" t="s">
        <v>2135</v>
      </c>
    </row>
    <row r="260" spans="1:5" ht="43.5">
      <c r="A260" s="268" t="s">
        <v>46</v>
      </c>
      <c r="B260" s="270" t="s">
        <v>2125</v>
      </c>
      <c r="C260" s="272" t="s">
        <v>2294</v>
      </c>
      <c r="D260" s="212" t="s">
        <v>2806</v>
      </c>
    </row>
    <row r="261" spans="1:5" ht="43.5">
      <c r="A261" s="268" t="s">
        <v>46</v>
      </c>
      <c r="B261" s="270" t="s">
        <v>2125</v>
      </c>
      <c r="C261" s="274" t="s">
        <v>2296</v>
      </c>
      <c r="D261" s="212" t="s">
        <v>2806</v>
      </c>
    </row>
    <row r="262" spans="1:5" ht="57.95">
      <c r="A262" s="268" t="s">
        <v>46</v>
      </c>
      <c r="B262" s="270" t="s">
        <v>2125</v>
      </c>
      <c r="C262" s="273" t="s">
        <v>2298</v>
      </c>
      <c r="D262" s="212" t="s">
        <v>2806</v>
      </c>
    </row>
    <row r="263" spans="1:5">
      <c r="A263" s="268" t="s">
        <v>46</v>
      </c>
      <c r="B263" s="270" t="s">
        <v>2125</v>
      </c>
      <c r="C263" s="272" t="s">
        <v>2300</v>
      </c>
      <c r="D263" s="212"/>
      <c r="E263" s="175" t="s">
        <v>2301</v>
      </c>
    </row>
    <row r="264" spans="1:5" ht="29.1">
      <c r="A264" s="268" t="s">
        <v>46</v>
      </c>
      <c r="B264" s="270" t="s">
        <v>2125</v>
      </c>
      <c r="C264" s="272" t="s">
        <v>2303</v>
      </c>
      <c r="D264" t="s">
        <v>2799</v>
      </c>
      <c r="E264" s="74"/>
    </row>
    <row r="265" spans="1:5" ht="57.95">
      <c r="A265" s="268" t="s">
        <v>46</v>
      </c>
      <c r="B265" s="270" t="s">
        <v>2125</v>
      </c>
      <c r="C265" s="272" t="s">
        <v>2305</v>
      </c>
      <c r="D265" t="s">
        <v>2135</v>
      </c>
      <c r="E265" s="74"/>
    </row>
    <row r="266" spans="1:5" ht="29.1">
      <c r="A266" s="268" t="s">
        <v>46</v>
      </c>
      <c r="B266" s="270" t="s">
        <v>2125</v>
      </c>
      <c r="C266" s="272" t="s">
        <v>2308</v>
      </c>
      <c r="D266" t="s">
        <v>2135</v>
      </c>
      <c r="E266" s="74" t="s">
        <v>2309</v>
      </c>
    </row>
    <row r="267" spans="1:5" ht="29.1">
      <c r="A267" s="268" t="s">
        <v>46</v>
      </c>
      <c r="B267" s="270" t="s">
        <v>2125</v>
      </c>
      <c r="C267" s="272" t="s">
        <v>2312</v>
      </c>
      <c r="D267" t="s">
        <v>2135</v>
      </c>
      <c r="E267" s="74" t="s">
        <v>2313</v>
      </c>
    </row>
    <row r="268" spans="1:5" ht="29.1">
      <c r="A268" s="268" t="s">
        <v>46</v>
      </c>
      <c r="B268" s="270" t="s">
        <v>2125</v>
      </c>
      <c r="C268" s="272" t="s">
        <v>2316</v>
      </c>
      <c r="D268" s="213" t="s">
        <v>2135</v>
      </c>
      <c r="E268" s="74" t="s">
        <v>2317</v>
      </c>
    </row>
    <row r="269" spans="1:5" ht="43.5">
      <c r="A269" s="268" t="s">
        <v>46</v>
      </c>
      <c r="B269" s="270" t="s">
        <v>2125</v>
      </c>
      <c r="C269" s="272" t="s">
        <v>2319</v>
      </c>
      <c r="D269" s="213" t="s">
        <v>2799</v>
      </c>
      <c r="E269" s="74"/>
    </row>
    <row r="270" spans="1:5" ht="87">
      <c r="A270" s="268" t="s">
        <v>46</v>
      </c>
      <c r="B270" s="270" t="s">
        <v>2125</v>
      </c>
      <c r="C270" s="275" t="s">
        <v>2811</v>
      </c>
      <c r="D270" s="213" t="s">
        <v>2799</v>
      </c>
      <c r="E270" s="74"/>
    </row>
    <row r="271" spans="1:5">
      <c r="A271" s="268" t="s">
        <v>46</v>
      </c>
      <c r="B271" s="270" t="s">
        <v>2125</v>
      </c>
      <c r="C271" s="272" t="s">
        <v>2322</v>
      </c>
      <c r="D271" t="s">
        <v>2135</v>
      </c>
      <c r="E271" s="74"/>
    </row>
    <row r="272" spans="1:5" ht="29.1">
      <c r="A272" s="268" t="s">
        <v>46</v>
      </c>
      <c r="B272" s="270" t="s">
        <v>2125</v>
      </c>
      <c r="C272" s="273" t="s">
        <v>2324</v>
      </c>
      <c r="D272" s="212" t="s">
        <v>2135</v>
      </c>
      <c r="E272" s="74"/>
    </row>
    <row r="273" spans="1:5" ht="29.1">
      <c r="A273" s="268" t="s">
        <v>46</v>
      </c>
      <c r="B273" s="270" t="s">
        <v>2125</v>
      </c>
      <c r="C273" s="273" t="s">
        <v>2326</v>
      </c>
      <c r="D273" s="212" t="s">
        <v>81</v>
      </c>
      <c r="E273" s="175" t="s">
        <v>2327</v>
      </c>
    </row>
    <row r="274" spans="1:5" ht="29.1">
      <c r="A274" s="268" t="s">
        <v>46</v>
      </c>
      <c r="B274" s="270" t="s">
        <v>2125</v>
      </c>
      <c r="C274" s="272" t="s">
        <v>2329</v>
      </c>
      <c r="D274" t="s">
        <v>2135</v>
      </c>
      <c r="E274" s="74"/>
    </row>
    <row r="275" spans="1:5" ht="29.1">
      <c r="A275" s="268" t="s">
        <v>46</v>
      </c>
      <c r="B275" s="270" t="s">
        <v>2125</v>
      </c>
      <c r="C275" s="272" t="s">
        <v>2331</v>
      </c>
      <c r="D275" s="212"/>
    </row>
    <row r="276" spans="1:5" ht="29.1">
      <c r="A276" s="268" t="s">
        <v>46</v>
      </c>
      <c r="B276" s="270" t="s">
        <v>2125</v>
      </c>
      <c r="C276" s="273" t="s">
        <v>2333</v>
      </c>
      <c r="D276" s="212" t="s">
        <v>81</v>
      </c>
      <c r="E276" s="175" t="s">
        <v>2335</v>
      </c>
    </row>
    <row r="277" spans="1:5" ht="43.5">
      <c r="A277" s="268" t="s">
        <v>46</v>
      </c>
      <c r="B277" s="270" t="s">
        <v>2125</v>
      </c>
      <c r="C277" s="273" t="s">
        <v>2337</v>
      </c>
      <c r="D277" s="212" t="s">
        <v>2338</v>
      </c>
    </row>
    <row r="278" spans="1:5" ht="29.1">
      <c r="A278" s="268" t="s">
        <v>46</v>
      </c>
      <c r="B278" s="270" t="s">
        <v>2125</v>
      </c>
      <c r="C278" s="272" t="s">
        <v>2341</v>
      </c>
      <c r="D278" t="s">
        <v>2812</v>
      </c>
      <c r="E278" s="74" t="s">
        <v>2342</v>
      </c>
    </row>
    <row r="279" spans="1:5" ht="43.5">
      <c r="A279" s="268" t="s">
        <v>46</v>
      </c>
      <c r="B279" s="270" t="s">
        <v>2125</v>
      </c>
      <c r="C279" s="273" t="s">
        <v>2344</v>
      </c>
      <c r="D279" s="212" t="s">
        <v>2135</v>
      </c>
      <c r="E279" s="74" t="s">
        <v>2345</v>
      </c>
    </row>
    <row r="280" spans="1:5" ht="29.1">
      <c r="A280" s="268" t="s">
        <v>46</v>
      </c>
      <c r="B280" s="270" t="s">
        <v>2125</v>
      </c>
      <c r="C280" s="273" t="s">
        <v>2347</v>
      </c>
      <c r="D280" s="212" t="s">
        <v>2135</v>
      </c>
      <c r="E280" s="74"/>
    </row>
    <row r="281" spans="1:5" ht="43.5">
      <c r="A281" s="268" t="s">
        <v>46</v>
      </c>
      <c r="B281" s="270" t="s">
        <v>2125</v>
      </c>
      <c r="C281" s="273" t="s">
        <v>2349</v>
      </c>
      <c r="D281" s="212" t="s">
        <v>81</v>
      </c>
      <c r="E281" s="175" t="s">
        <v>2350</v>
      </c>
    </row>
    <row r="282" spans="1:5" ht="43.5">
      <c r="A282" s="268" t="s">
        <v>46</v>
      </c>
      <c r="B282" s="270" t="s">
        <v>2125</v>
      </c>
      <c r="C282" s="272" t="s">
        <v>2352</v>
      </c>
      <c r="D282" t="s">
        <v>2135</v>
      </c>
      <c r="E282" s="74" t="s">
        <v>2353</v>
      </c>
    </row>
    <row r="283" spans="1:5" ht="43.5">
      <c r="A283" s="268" t="s">
        <v>46</v>
      </c>
      <c r="B283" s="270" t="s">
        <v>2125</v>
      </c>
      <c r="C283" s="273" t="s">
        <v>2356</v>
      </c>
      <c r="D283" s="212" t="s">
        <v>2135</v>
      </c>
      <c r="E283" s="74" t="s">
        <v>2357</v>
      </c>
    </row>
    <row r="284" spans="1:5" ht="29.1">
      <c r="A284" s="268" t="s">
        <v>46</v>
      </c>
      <c r="B284" s="270" t="s">
        <v>2125</v>
      </c>
      <c r="C284" s="273" t="s">
        <v>2359</v>
      </c>
      <c r="D284" s="212" t="s">
        <v>2135</v>
      </c>
      <c r="E284" s="175" t="s">
        <v>2360</v>
      </c>
    </row>
    <row r="285" spans="1:5" ht="29.1">
      <c r="A285" s="268" t="s">
        <v>46</v>
      </c>
      <c r="B285" s="270" t="s">
        <v>2125</v>
      </c>
      <c r="C285" s="272" t="s">
        <v>2362</v>
      </c>
      <c r="D285" t="s">
        <v>2135</v>
      </c>
      <c r="E285" s="74" t="s">
        <v>2363</v>
      </c>
    </row>
    <row r="286" spans="1:5" ht="29.1">
      <c r="A286" s="268" t="s">
        <v>46</v>
      </c>
      <c r="B286" s="270" t="s">
        <v>2125</v>
      </c>
      <c r="C286" s="272" t="s">
        <v>2365</v>
      </c>
      <c r="D286" s="212" t="s">
        <v>2813</v>
      </c>
      <c r="E286" s="175" t="s">
        <v>2366</v>
      </c>
    </row>
    <row r="287" spans="1:5" ht="43.5">
      <c r="A287" s="268" t="s">
        <v>46</v>
      </c>
      <c r="B287" s="270" t="s">
        <v>2125</v>
      </c>
      <c r="C287" s="272" t="s">
        <v>2369</v>
      </c>
      <c r="D287" t="s">
        <v>2135</v>
      </c>
      <c r="E287" s="74" t="s">
        <v>2370</v>
      </c>
    </row>
    <row r="288" spans="1:5" ht="43.5">
      <c r="A288" s="268" t="s">
        <v>46</v>
      </c>
      <c r="B288" s="270" t="s">
        <v>2125</v>
      </c>
      <c r="C288" s="272" t="s">
        <v>2372</v>
      </c>
      <c r="D288" s="212"/>
      <c r="E288" s="175" t="s">
        <v>2373</v>
      </c>
    </row>
    <row r="289" spans="1:5" ht="43.5">
      <c r="A289" s="268" t="s">
        <v>46</v>
      </c>
      <c r="B289" s="270" t="s">
        <v>2125</v>
      </c>
      <c r="C289" s="272" t="s">
        <v>2375</v>
      </c>
      <c r="D289" s="212" t="s">
        <v>2814</v>
      </c>
      <c r="E289" s="175" t="s">
        <v>2815</v>
      </c>
    </row>
    <row r="290" spans="1:5" ht="43.5">
      <c r="A290" s="268" t="s">
        <v>46</v>
      </c>
      <c r="B290" s="270" t="s">
        <v>2125</v>
      </c>
      <c r="C290" s="272" t="s">
        <v>2378</v>
      </c>
      <c r="D290" s="212" t="s">
        <v>2379</v>
      </c>
    </row>
    <row r="291" spans="1:5" ht="29.1">
      <c r="A291" s="268" t="s">
        <v>46</v>
      </c>
      <c r="B291" s="270" t="s">
        <v>2125</v>
      </c>
      <c r="C291" s="272" t="s">
        <v>2381</v>
      </c>
      <c r="D291" s="212" t="s">
        <v>2816</v>
      </c>
    </row>
    <row r="292" spans="1:5" ht="43.5">
      <c r="A292" s="268" t="s">
        <v>46</v>
      </c>
      <c r="B292" s="270" t="s">
        <v>2125</v>
      </c>
      <c r="C292" s="272" t="s">
        <v>2383</v>
      </c>
      <c r="D292" s="212" t="s">
        <v>2384</v>
      </c>
    </row>
    <row r="293" spans="1:5" ht="43.5">
      <c r="A293" s="268" t="s">
        <v>46</v>
      </c>
      <c r="B293" s="270" t="s">
        <v>2125</v>
      </c>
      <c r="C293" s="273" t="s">
        <v>2386</v>
      </c>
      <c r="D293" s="212" t="s">
        <v>2384</v>
      </c>
    </row>
    <row r="294" spans="1:5" ht="43.5">
      <c r="A294" s="268" t="s">
        <v>46</v>
      </c>
      <c r="B294" s="270" t="s">
        <v>2125</v>
      </c>
      <c r="C294" s="272" t="s">
        <v>2388</v>
      </c>
      <c r="D294" s="212" t="s">
        <v>2384</v>
      </c>
    </row>
    <row r="295" spans="1:5" ht="29.1">
      <c r="A295" s="268" t="s">
        <v>46</v>
      </c>
      <c r="B295" s="270" t="s">
        <v>2125</v>
      </c>
      <c r="C295" s="272" t="s">
        <v>2390</v>
      </c>
      <c r="D295" s="212" t="s">
        <v>2384</v>
      </c>
    </row>
    <row r="296" spans="1:5" ht="29.1">
      <c r="A296" s="268" t="s">
        <v>46</v>
      </c>
      <c r="B296" s="270" t="s">
        <v>2125</v>
      </c>
      <c r="C296" s="272" t="s">
        <v>2392</v>
      </c>
      <c r="D296" s="212" t="s">
        <v>2384</v>
      </c>
    </row>
    <row r="297" spans="1:5" ht="29.1">
      <c r="A297" s="268" t="s">
        <v>46</v>
      </c>
      <c r="B297" s="270" t="s">
        <v>2125</v>
      </c>
      <c r="C297" s="272" t="s">
        <v>2394</v>
      </c>
      <c r="D297" s="212" t="s">
        <v>2776</v>
      </c>
      <c r="E297" s="175" t="s">
        <v>2395</v>
      </c>
    </row>
    <row r="298" spans="1:5" ht="29.1">
      <c r="A298" s="268" t="s">
        <v>46</v>
      </c>
      <c r="B298" s="248" t="s">
        <v>2396</v>
      </c>
      <c r="C298" s="272" t="s">
        <v>2398</v>
      </c>
      <c r="D298" t="s">
        <v>2135</v>
      </c>
      <c r="E298" s="74" t="s">
        <v>2399</v>
      </c>
    </row>
    <row r="299" spans="1:5" ht="43.5">
      <c r="A299" s="268" t="s">
        <v>46</v>
      </c>
      <c r="B299" s="248" t="s">
        <v>2396</v>
      </c>
      <c r="C299" s="272" t="s">
        <v>2401</v>
      </c>
      <c r="D299" s="213" t="s">
        <v>2135</v>
      </c>
      <c r="E299" s="74" t="s">
        <v>2402</v>
      </c>
    </row>
    <row r="300" spans="1:5" ht="29.1">
      <c r="A300" s="268" t="s">
        <v>46</v>
      </c>
      <c r="B300" s="248" t="s">
        <v>2396</v>
      </c>
      <c r="C300" s="272" t="s">
        <v>2404</v>
      </c>
      <c r="D300" s="212"/>
      <c r="E300" s="175" t="s">
        <v>2405</v>
      </c>
    </row>
    <row r="301" spans="1:5" ht="57.95">
      <c r="A301" s="268" t="s">
        <v>46</v>
      </c>
      <c r="B301" s="248" t="s">
        <v>2396</v>
      </c>
      <c r="C301" s="272" t="s">
        <v>2407</v>
      </c>
      <c r="D301" t="s">
        <v>2408</v>
      </c>
      <c r="E301" s="74" t="s">
        <v>2409</v>
      </c>
    </row>
    <row r="302" spans="1:5" ht="57.95">
      <c r="A302" s="268" t="s">
        <v>46</v>
      </c>
      <c r="B302" s="248" t="s">
        <v>2396</v>
      </c>
      <c r="C302" s="272" t="s">
        <v>2412</v>
      </c>
      <c r="D302" t="s">
        <v>2408</v>
      </c>
      <c r="E302" s="74" t="s">
        <v>2413</v>
      </c>
    </row>
    <row r="303" spans="1:5" ht="29.1">
      <c r="A303" s="268" t="s">
        <v>46</v>
      </c>
      <c r="B303" s="248" t="s">
        <v>2396</v>
      </c>
      <c r="C303" s="272" t="s">
        <v>2415</v>
      </c>
      <c r="D303" t="s">
        <v>2416</v>
      </c>
      <c r="E303" s="74" t="s">
        <v>2417</v>
      </c>
    </row>
    <row r="304" spans="1:5" ht="29.1">
      <c r="A304" s="268" t="s">
        <v>46</v>
      </c>
      <c r="B304" s="248" t="s">
        <v>2396</v>
      </c>
      <c r="C304" s="272" t="s">
        <v>2419</v>
      </c>
      <c r="D304" t="s">
        <v>2799</v>
      </c>
      <c r="E304" s="74" t="s">
        <v>2420</v>
      </c>
    </row>
    <row r="305" spans="1:5" ht="43.5">
      <c r="A305" s="268" t="s">
        <v>46</v>
      </c>
      <c r="B305" s="248" t="s">
        <v>2396</v>
      </c>
      <c r="C305" s="272" t="s">
        <v>2422</v>
      </c>
      <c r="D305" t="s">
        <v>2799</v>
      </c>
      <c r="E305" s="74" t="s">
        <v>2423</v>
      </c>
    </row>
    <row r="306" spans="1:5" ht="43.5">
      <c r="A306" s="268" t="s">
        <v>46</v>
      </c>
      <c r="B306" s="248" t="s">
        <v>2396</v>
      </c>
      <c r="C306" s="272" t="s">
        <v>2425</v>
      </c>
      <c r="D306" t="s">
        <v>2799</v>
      </c>
      <c r="E306" s="74" t="s">
        <v>2423</v>
      </c>
    </row>
    <row r="307" spans="1:5" ht="29.1">
      <c r="A307" s="268" t="s">
        <v>46</v>
      </c>
      <c r="B307" s="248" t="s">
        <v>2396</v>
      </c>
      <c r="C307" s="272" t="s">
        <v>2427</v>
      </c>
      <c r="D307" t="s">
        <v>2135</v>
      </c>
      <c r="E307" s="74" t="s">
        <v>2428</v>
      </c>
    </row>
    <row r="308" spans="1:5" ht="57.95">
      <c r="A308" s="268" t="s">
        <v>46</v>
      </c>
      <c r="B308" s="248" t="s">
        <v>2396</v>
      </c>
      <c r="C308" s="272" t="s">
        <v>2430</v>
      </c>
      <c r="D308" s="212"/>
      <c r="E308" s="175" t="s">
        <v>2431</v>
      </c>
    </row>
    <row r="309" spans="1:5" ht="43.5">
      <c r="A309" s="268" t="s">
        <v>46</v>
      </c>
      <c r="B309" s="248" t="s">
        <v>2396</v>
      </c>
      <c r="C309" s="272" t="s">
        <v>2433</v>
      </c>
      <c r="D309" s="212"/>
    </row>
    <row r="310" spans="1:5" ht="43.5">
      <c r="A310" s="268" t="s">
        <v>46</v>
      </c>
      <c r="B310" s="248" t="s">
        <v>2396</v>
      </c>
      <c r="C310" s="272" t="s">
        <v>2435</v>
      </c>
      <c r="D310" s="212"/>
      <c r="E310" s="175" t="s">
        <v>2436</v>
      </c>
    </row>
    <row r="311" spans="1:5" ht="43.5">
      <c r="A311" s="268" t="s">
        <v>46</v>
      </c>
      <c r="B311" s="248" t="s">
        <v>2396</v>
      </c>
      <c r="C311" s="272" t="s">
        <v>2438</v>
      </c>
      <c r="D311" t="s">
        <v>2135</v>
      </c>
      <c r="E311" s="74" t="s">
        <v>2439</v>
      </c>
    </row>
    <row r="312" spans="1:5" ht="43.5">
      <c r="A312" s="268" t="s">
        <v>46</v>
      </c>
      <c r="B312" s="248" t="s">
        <v>2396</v>
      </c>
      <c r="C312" s="272" t="s">
        <v>2442</v>
      </c>
      <c r="D312" s="212" t="s">
        <v>2443</v>
      </c>
    </row>
    <row r="313" spans="1:5" ht="43.5">
      <c r="A313" s="268" t="s">
        <v>46</v>
      </c>
      <c r="B313" s="248" t="s">
        <v>2396</v>
      </c>
      <c r="C313" s="272" t="s">
        <v>2445</v>
      </c>
      <c r="D313" s="212" t="s">
        <v>2446</v>
      </c>
    </row>
    <row r="314" spans="1:5" ht="43.5">
      <c r="A314" s="268" t="s">
        <v>46</v>
      </c>
      <c r="B314" s="248" t="s">
        <v>2396</v>
      </c>
      <c r="C314" s="272" t="s">
        <v>2448</v>
      </c>
      <c r="D314" s="212" t="s">
        <v>2817</v>
      </c>
      <c r="E314" s="175" t="s">
        <v>2818</v>
      </c>
    </row>
    <row r="315" spans="1:5" ht="57.95">
      <c r="A315" s="268" t="s">
        <v>46</v>
      </c>
      <c r="B315" s="248" t="s">
        <v>2396</v>
      </c>
      <c r="C315" s="272" t="s">
        <v>2451</v>
      </c>
      <c r="D315" t="s">
        <v>2819</v>
      </c>
      <c r="E315" s="74" t="s">
        <v>2452</v>
      </c>
    </row>
    <row r="316" spans="1:5" ht="43.5">
      <c r="A316" s="268" t="s">
        <v>46</v>
      </c>
      <c r="B316" s="248" t="s">
        <v>2396</v>
      </c>
      <c r="C316" s="272" t="s">
        <v>2454</v>
      </c>
      <c r="D316" s="213" t="s">
        <v>2135</v>
      </c>
      <c r="E316" s="74" t="s">
        <v>2455</v>
      </c>
    </row>
    <row r="317" spans="1:5" ht="57.95">
      <c r="A317" s="268" t="s">
        <v>46</v>
      </c>
      <c r="B317" s="248" t="s">
        <v>2396</v>
      </c>
      <c r="C317" s="272" t="s">
        <v>2457</v>
      </c>
      <c r="D317" t="s">
        <v>2135</v>
      </c>
      <c r="E317" s="74" t="s">
        <v>2820</v>
      </c>
    </row>
    <row r="318" spans="1:5" ht="29.1">
      <c r="A318" s="268" t="s">
        <v>46</v>
      </c>
      <c r="B318" s="248" t="s">
        <v>2396</v>
      </c>
      <c r="C318" s="272" t="s">
        <v>2460</v>
      </c>
      <c r="D318" s="212" t="s">
        <v>2821</v>
      </c>
      <c r="E318" s="175" t="s">
        <v>2461</v>
      </c>
    </row>
    <row r="319" spans="1:5" ht="43.5">
      <c r="A319" s="268" t="s">
        <v>46</v>
      </c>
      <c r="B319" s="248" t="s">
        <v>2396</v>
      </c>
      <c r="C319" s="272" t="s">
        <v>2463</v>
      </c>
      <c r="D319" t="s">
        <v>2822</v>
      </c>
      <c r="E319" s="74"/>
    </row>
    <row r="320" spans="1:5" ht="57.95">
      <c r="A320" s="268" t="s">
        <v>46</v>
      </c>
      <c r="B320" s="248" t="s">
        <v>2396</v>
      </c>
      <c r="C320" s="272" t="s">
        <v>2465</v>
      </c>
      <c r="D320" t="s">
        <v>2823</v>
      </c>
      <c r="E320" s="74" t="s">
        <v>2824</v>
      </c>
    </row>
    <row r="321" spans="1:5" ht="43.5">
      <c r="A321" s="268" t="s">
        <v>46</v>
      </c>
      <c r="B321" s="248" t="s">
        <v>2396</v>
      </c>
      <c r="C321" s="273" t="s">
        <v>2469</v>
      </c>
      <c r="D321" s="212" t="s">
        <v>2135</v>
      </c>
      <c r="E321" s="74"/>
    </row>
    <row r="322" spans="1:5" ht="43.5">
      <c r="A322" s="268" t="s">
        <v>46</v>
      </c>
      <c r="B322" s="248" t="s">
        <v>2396</v>
      </c>
      <c r="C322" s="272" t="s">
        <v>2471</v>
      </c>
      <c r="D322" t="s">
        <v>2799</v>
      </c>
      <c r="E322" s="74" t="s">
        <v>2472</v>
      </c>
    </row>
    <row r="323" spans="1:5" ht="57.95">
      <c r="A323" s="268" t="s">
        <v>46</v>
      </c>
      <c r="B323" s="248" t="s">
        <v>2396</v>
      </c>
      <c r="C323" s="272" t="s">
        <v>2474</v>
      </c>
      <c r="D323" t="s">
        <v>2799</v>
      </c>
      <c r="E323" s="74" t="s">
        <v>2475</v>
      </c>
    </row>
    <row r="324" spans="1:5" ht="29.1">
      <c r="A324" s="268" t="s">
        <v>46</v>
      </c>
      <c r="B324" s="248" t="s">
        <v>2396</v>
      </c>
      <c r="C324" s="272" t="s">
        <v>2477</v>
      </c>
      <c r="D324" t="s">
        <v>2135</v>
      </c>
      <c r="E324" s="74" t="s">
        <v>2478</v>
      </c>
    </row>
    <row r="325" spans="1:5" ht="43.5">
      <c r="A325" s="268" t="s">
        <v>46</v>
      </c>
      <c r="B325" s="248" t="s">
        <v>2396</v>
      </c>
      <c r="C325" s="272" t="s">
        <v>2480</v>
      </c>
      <c r="D325" s="213" t="s">
        <v>2825</v>
      </c>
      <c r="E325" s="74" t="s">
        <v>2826</v>
      </c>
    </row>
    <row r="326" spans="1:5" ht="57.95">
      <c r="A326" s="268" t="s">
        <v>46</v>
      </c>
      <c r="B326" s="248" t="s">
        <v>2396</v>
      </c>
      <c r="C326" s="272" t="s">
        <v>2483</v>
      </c>
      <c r="D326" s="213" t="s">
        <v>2825</v>
      </c>
      <c r="E326" s="74"/>
    </row>
    <row r="327" spans="1:5" ht="29.1">
      <c r="A327" s="268" t="s">
        <v>46</v>
      </c>
      <c r="B327" s="248" t="s">
        <v>2396</v>
      </c>
      <c r="C327" s="272" t="s">
        <v>2486</v>
      </c>
      <c r="D327" t="s">
        <v>2135</v>
      </c>
      <c r="E327" s="74"/>
    </row>
    <row r="328" spans="1:5">
      <c r="A328" s="268" t="s">
        <v>46</v>
      </c>
      <c r="B328" s="248" t="s">
        <v>2396</v>
      </c>
      <c r="C328" s="272" t="s">
        <v>2489</v>
      </c>
      <c r="D328" t="s">
        <v>2799</v>
      </c>
      <c r="E328" s="74" t="s">
        <v>2490</v>
      </c>
    </row>
    <row r="329" spans="1:5">
      <c r="A329" s="268" t="s">
        <v>46</v>
      </c>
      <c r="B329" s="248" t="s">
        <v>2396</v>
      </c>
      <c r="C329" s="272" t="s">
        <v>2492</v>
      </c>
      <c r="D329" s="212"/>
      <c r="E329" s="175" t="s">
        <v>2493</v>
      </c>
    </row>
    <row r="330" spans="1:5" ht="29.1">
      <c r="A330" s="268" t="s">
        <v>46</v>
      </c>
      <c r="B330" s="248" t="s">
        <v>2396</v>
      </c>
      <c r="C330" s="272" t="s">
        <v>2495</v>
      </c>
      <c r="D330" t="s">
        <v>2799</v>
      </c>
      <c r="E330" s="74" t="s">
        <v>2496</v>
      </c>
    </row>
    <row r="331" spans="1:5" ht="57.95">
      <c r="A331" s="268" t="s">
        <v>46</v>
      </c>
      <c r="B331" s="248" t="s">
        <v>2396</v>
      </c>
      <c r="C331" s="272" t="s">
        <v>2499</v>
      </c>
      <c r="D331" t="s">
        <v>2799</v>
      </c>
      <c r="E331" s="74" t="s">
        <v>2500</v>
      </c>
    </row>
    <row r="332" spans="1:5" ht="29.1">
      <c r="A332" s="268" t="s">
        <v>46</v>
      </c>
      <c r="B332" s="248" t="s">
        <v>2396</v>
      </c>
      <c r="C332" s="272" t="s">
        <v>2502</v>
      </c>
      <c r="D332" t="s">
        <v>2135</v>
      </c>
      <c r="E332" s="74" t="s">
        <v>2503</v>
      </c>
    </row>
    <row r="333" spans="1:5" ht="57.95">
      <c r="A333" s="268" t="s">
        <v>46</v>
      </c>
      <c r="B333" s="248" t="s">
        <v>2396</v>
      </c>
      <c r="C333" s="272" t="s">
        <v>2505</v>
      </c>
      <c r="D333" s="212"/>
    </row>
    <row r="334" spans="1:5" ht="43.5">
      <c r="A334" s="268" t="s">
        <v>46</v>
      </c>
      <c r="B334" s="248" t="s">
        <v>2396</v>
      </c>
      <c r="C334" s="272" t="s">
        <v>2507</v>
      </c>
      <c r="D334" t="s">
        <v>2799</v>
      </c>
      <c r="E334" s="74"/>
    </row>
    <row r="335" spans="1:5" ht="43.5">
      <c r="A335" s="268" t="s">
        <v>46</v>
      </c>
      <c r="B335" s="248" t="s">
        <v>2396</v>
      </c>
      <c r="C335" s="272" t="s">
        <v>2509</v>
      </c>
      <c r="D335" t="s">
        <v>2799</v>
      </c>
      <c r="E335" s="74"/>
    </row>
    <row r="336" spans="1:5" ht="29.1">
      <c r="A336" s="268" t="s">
        <v>46</v>
      </c>
      <c r="B336" s="248" t="s">
        <v>2396</v>
      </c>
      <c r="C336" s="272" t="s">
        <v>2511</v>
      </c>
      <c r="D336" s="213" t="s">
        <v>2827</v>
      </c>
      <c r="E336" s="74"/>
    </row>
    <row r="337" spans="1:5" ht="29.1">
      <c r="A337" s="268" t="s">
        <v>46</v>
      </c>
      <c r="B337" s="248" t="s">
        <v>2396</v>
      </c>
      <c r="C337" s="272" t="s">
        <v>2513</v>
      </c>
      <c r="D337" t="s">
        <v>2799</v>
      </c>
      <c r="E337" s="74"/>
    </row>
    <row r="338" spans="1:5" ht="29.1">
      <c r="A338" s="268" t="s">
        <v>46</v>
      </c>
      <c r="B338" s="248" t="s">
        <v>2396</v>
      </c>
      <c r="C338" s="272" t="s">
        <v>2515</v>
      </c>
      <c r="D338" s="212" t="s">
        <v>2135</v>
      </c>
      <c r="E338" s="74" t="s">
        <v>2516</v>
      </c>
    </row>
    <row r="339" spans="1:5" ht="57.95">
      <c r="A339" s="268" t="s">
        <v>46</v>
      </c>
      <c r="B339" s="248" t="s">
        <v>2396</v>
      </c>
      <c r="C339" s="275" t="s">
        <v>2519</v>
      </c>
      <c r="D339" s="213" t="s">
        <v>2799</v>
      </c>
      <c r="E339" s="74"/>
    </row>
    <row r="340" spans="1:5" ht="29.1">
      <c r="A340" s="268" t="s">
        <v>46</v>
      </c>
      <c r="B340" s="248" t="s">
        <v>2396</v>
      </c>
      <c r="C340" s="272" t="s">
        <v>2521</v>
      </c>
      <c r="D340" t="s">
        <v>2799</v>
      </c>
      <c r="E340" s="74" t="s">
        <v>2522</v>
      </c>
    </row>
    <row r="341" spans="1:5" ht="29.1">
      <c r="A341" s="268" t="s">
        <v>46</v>
      </c>
      <c r="B341" s="248" t="s">
        <v>2396</v>
      </c>
      <c r="C341" s="272" t="s">
        <v>2524</v>
      </c>
      <c r="D341" t="s">
        <v>2135</v>
      </c>
      <c r="E341" s="74"/>
    </row>
    <row r="342" spans="1:5" ht="29.1">
      <c r="A342" s="268" t="s">
        <v>46</v>
      </c>
      <c r="B342" s="248" t="s">
        <v>2396</v>
      </c>
      <c r="C342" s="272" t="s">
        <v>2526</v>
      </c>
      <c r="D342" s="212"/>
      <c r="E342" s="175" t="s">
        <v>2527</v>
      </c>
    </row>
    <row r="343" spans="1:5">
      <c r="A343" s="268" t="s">
        <v>46</v>
      </c>
      <c r="B343" s="248" t="s">
        <v>2396</v>
      </c>
      <c r="C343" s="272" t="s">
        <v>2529</v>
      </c>
      <c r="D343" s="212"/>
      <c r="E343" s="175" t="s">
        <v>2530</v>
      </c>
    </row>
    <row r="344" spans="1:5" ht="57.95">
      <c r="A344" s="268" t="s">
        <v>46</v>
      </c>
      <c r="B344" s="248" t="s">
        <v>2396</v>
      </c>
      <c r="C344" s="273" t="s">
        <v>2532</v>
      </c>
      <c r="D344" s="212" t="s">
        <v>2135</v>
      </c>
      <c r="E344" s="74"/>
    </row>
    <row r="345" spans="1:5" ht="43.5">
      <c r="A345" s="268" t="s">
        <v>46</v>
      </c>
      <c r="B345" s="248" t="s">
        <v>2396</v>
      </c>
      <c r="C345" s="272" t="s">
        <v>2534</v>
      </c>
      <c r="D345" s="213" t="s">
        <v>2799</v>
      </c>
      <c r="E345" s="74" t="s">
        <v>2535</v>
      </c>
    </row>
    <row r="346" spans="1:5" ht="43.5">
      <c r="A346" s="268" t="s">
        <v>46</v>
      </c>
      <c r="B346" s="248" t="s">
        <v>2396</v>
      </c>
      <c r="C346" s="272" t="s">
        <v>2538</v>
      </c>
      <c r="D346" s="213" t="s">
        <v>2799</v>
      </c>
      <c r="E346" s="74" t="s">
        <v>2539</v>
      </c>
    </row>
    <row r="347" spans="1:5" ht="43.5">
      <c r="A347" s="268" t="s">
        <v>46</v>
      </c>
      <c r="B347" s="248" t="s">
        <v>2396</v>
      </c>
      <c r="C347" s="272" t="s">
        <v>2541</v>
      </c>
      <c r="D347" t="s">
        <v>2799</v>
      </c>
      <c r="E347" s="74" t="s">
        <v>2535</v>
      </c>
    </row>
    <row r="348" spans="1:5" ht="57.95">
      <c r="A348" s="268" t="s">
        <v>46</v>
      </c>
      <c r="B348" s="248" t="s">
        <v>2396</v>
      </c>
      <c r="C348" s="272" t="s">
        <v>2543</v>
      </c>
      <c r="D348" t="s">
        <v>2799</v>
      </c>
      <c r="E348" s="74" t="s">
        <v>2544</v>
      </c>
    </row>
    <row r="349" spans="1:5" ht="43.5">
      <c r="A349" s="268" t="s">
        <v>46</v>
      </c>
      <c r="B349" s="248" t="s">
        <v>2396</v>
      </c>
      <c r="C349" s="272" t="s">
        <v>2546</v>
      </c>
      <c r="D349" t="s">
        <v>2135</v>
      </c>
      <c r="E349" s="74"/>
    </row>
    <row r="350" spans="1:5" ht="72.599999999999994">
      <c r="A350" s="268" t="s">
        <v>46</v>
      </c>
      <c r="B350" s="248" t="s">
        <v>2396</v>
      </c>
      <c r="C350" s="272" t="s">
        <v>2548</v>
      </c>
      <c r="D350" s="212" t="s">
        <v>2763</v>
      </c>
    </row>
    <row r="351" spans="1:5" ht="43.5">
      <c r="A351" s="268" t="s">
        <v>46</v>
      </c>
      <c r="B351" s="248" t="s">
        <v>2396</v>
      </c>
      <c r="C351" s="272" t="s">
        <v>2550</v>
      </c>
      <c r="D351" s="212"/>
    </row>
    <row r="352" spans="1:5" ht="43.5">
      <c r="A352" s="268" t="s">
        <v>46</v>
      </c>
      <c r="B352" s="248" t="s">
        <v>2396</v>
      </c>
      <c r="C352" s="272" t="s">
        <v>2552</v>
      </c>
      <c r="D352" t="s">
        <v>2799</v>
      </c>
      <c r="E352" s="74"/>
    </row>
    <row r="353" spans="1:5" ht="29.1">
      <c r="A353" s="268" t="s">
        <v>46</v>
      </c>
      <c r="B353" s="248" t="s">
        <v>2396</v>
      </c>
      <c r="C353" s="272" t="s">
        <v>2554</v>
      </c>
      <c r="D353" t="s">
        <v>2828</v>
      </c>
      <c r="E353" s="74"/>
    </row>
    <row r="354" spans="1:5" ht="29.1">
      <c r="A354" s="268" t="s">
        <v>46</v>
      </c>
      <c r="B354" s="248" t="s">
        <v>2396</v>
      </c>
      <c r="C354" s="272" t="s">
        <v>2556</v>
      </c>
      <c r="D354" t="s">
        <v>2799</v>
      </c>
      <c r="E354" s="74" t="s">
        <v>2557</v>
      </c>
    </row>
    <row r="355" spans="1:5" ht="43.5">
      <c r="A355" s="268" t="s">
        <v>46</v>
      </c>
      <c r="B355" s="248" t="s">
        <v>2396</v>
      </c>
      <c r="C355" s="272" t="s">
        <v>2559</v>
      </c>
      <c r="D355" s="212"/>
    </row>
    <row r="356" spans="1:5" ht="43.5">
      <c r="A356" s="268" t="s">
        <v>46</v>
      </c>
      <c r="B356" s="248" t="s">
        <v>2396</v>
      </c>
      <c r="C356" s="272" t="s">
        <v>2561</v>
      </c>
      <c r="D356" s="287" t="s">
        <v>2562</v>
      </c>
    </row>
    <row r="357" spans="1:5">
      <c r="A357" s="268" t="s">
        <v>46</v>
      </c>
      <c r="B357" s="248" t="s">
        <v>2396</v>
      </c>
      <c r="C357" s="272" t="s">
        <v>2564</v>
      </c>
      <c r="D357" t="s">
        <v>2829</v>
      </c>
      <c r="E357" s="74" t="s">
        <v>2565</v>
      </c>
    </row>
    <row r="358" spans="1:5" ht="43.5">
      <c r="A358" s="268" t="s">
        <v>46</v>
      </c>
      <c r="B358" s="248" t="s">
        <v>2396</v>
      </c>
      <c r="C358" s="273" t="s">
        <v>2567</v>
      </c>
      <c r="D358" s="212"/>
      <c r="E358" s="175" t="s">
        <v>2568</v>
      </c>
    </row>
    <row r="359" spans="1:5" ht="43.5">
      <c r="A359" s="268" t="s">
        <v>46</v>
      </c>
      <c r="B359" s="248" t="s">
        <v>2396</v>
      </c>
      <c r="C359" s="272" t="s">
        <v>2570</v>
      </c>
      <c r="D359" s="212" t="s">
        <v>1071</v>
      </c>
    </row>
    <row r="360" spans="1:5" ht="57.95">
      <c r="A360" s="268" t="s">
        <v>46</v>
      </c>
      <c r="B360" s="248" t="s">
        <v>2396</v>
      </c>
      <c r="C360" s="272" t="s">
        <v>2572</v>
      </c>
      <c r="D360" t="s">
        <v>2135</v>
      </c>
      <c r="E360" s="74"/>
    </row>
    <row r="361" spans="1:5" ht="43.5">
      <c r="A361" s="268" t="s">
        <v>46</v>
      </c>
      <c r="B361" s="248" t="s">
        <v>2396</v>
      </c>
      <c r="C361" s="272" t="s">
        <v>2575</v>
      </c>
      <c r="D361" s="213" t="s">
        <v>2135</v>
      </c>
      <c r="E361" s="74"/>
    </row>
    <row r="362" spans="1:5" ht="43.5">
      <c r="A362" s="268" t="s">
        <v>46</v>
      </c>
      <c r="B362" s="248" t="s">
        <v>2396</v>
      </c>
      <c r="C362" s="272" t="s">
        <v>2577</v>
      </c>
      <c r="D362" t="s">
        <v>2135</v>
      </c>
      <c r="E362" s="74" t="s">
        <v>2578</v>
      </c>
    </row>
    <row r="363" spans="1:5" ht="57.95">
      <c r="A363" s="268" t="s">
        <v>46</v>
      </c>
      <c r="B363" s="248" t="s">
        <v>2396</v>
      </c>
      <c r="C363" s="272" t="s">
        <v>2580</v>
      </c>
      <c r="D363" s="213" t="s">
        <v>2135</v>
      </c>
      <c r="E363" s="74" t="s">
        <v>2581</v>
      </c>
    </row>
    <row r="364" spans="1:5" ht="29.1">
      <c r="A364" s="268" t="s">
        <v>46</v>
      </c>
      <c r="B364" s="248" t="s">
        <v>2396</v>
      </c>
      <c r="C364" s="273" t="s">
        <v>2583</v>
      </c>
      <c r="D364" s="212" t="s">
        <v>2135</v>
      </c>
      <c r="E364" s="74" t="s">
        <v>2584</v>
      </c>
    </row>
    <row r="365" spans="1:5" ht="43.5">
      <c r="A365" s="268" t="s">
        <v>46</v>
      </c>
      <c r="B365" s="248" t="s">
        <v>2396</v>
      </c>
      <c r="C365" s="272" t="s">
        <v>2586</v>
      </c>
      <c r="D365" t="s">
        <v>2799</v>
      </c>
      <c r="E365" s="74" t="s">
        <v>2535</v>
      </c>
    </row>
    <row r="366" spans="1:5">
      <c r="A366" s="268" t="s">
        <v>46</v>
      </c>
      <c r="B366" s="248" t="s">
        <v>2396</v>
      </c>
      <c r="C366" s="272" t="s">
        <v>2588</v>
      </c>
      <c r="D366" s="212" t="s">
        <v>2589</v>
      </c>
      <c r="E366" s="175" t="s">
        <v>2535</v>
      </c>
    </row>
    <row r="367" spans="1:5" ht="29.1">
      <c r="A367" s="268" t="s">
        <v>46</v>
      </c>
      <c r="B367" s="248" t="s">
        <v>2396</v>
      </c>
      <c r="C367" s="273" t="s">
        <v>2591</v>
      </c>
      <c r="D367" s="212" t="s">
        <v>2799</v>
      </c>
      <c r="E367" s="175" t="s">
        <v>2592</v>
      </c>
    </row>
    <row r="368" spans="1:5" ht="29.1">
      <c r="A368" s="268" t="s">
        <v>46</v>
      </c>
      <c r="B368" s="248" t="s">
        <v>2396</v>
      </c>
      <c r="C368" s="272" t="s">
        <v>2594</v>
      </c>
      <c r="D368" s="213" t="s">
        <v>2828</v>
      </c>
      <c r="E368" s="74"/>
    </row>
    <row r="369" spans="1:5" ht="29.1">
      <c r="A369" s="268" t="s">
        <v>46</v>
      </c>
      <c r="B369" s="248" t="s">
        <v>2396</v>
      </c>
      <c r="C369" s="273" t="s">
        <v>2597</v>
      </c>
      <c r="D369" s="212" t="s">
        <v>2776</v>
      </c>
      <c r="E369" s="175" t="s">
        <v>2598</v>
      </c>
    </row>
    <row r="370" spans="1:5" ht="57.95">
      <c r="A370" s="268" t="s">
        <v>46</v>
      </c>
      <c r="B370" s="248" t="s">
        <v>2396</v>
      </c>
      <c r="C370" s="272" t="s">
        <v>2600</v>
      </c>
      <c r="D370" t="s">
        <v>2799</v>
      </c>
      <c r="E370" s="74" t="s">
        <v>2601</v>
      </c>
    </row>
    <row r="371" spans="1:5" ht="43.5">
      <c r="A371" s="268" t="s">
        <v>46</v>
      </c>
      <c r="B371" s="248" t="s">
        <v>2396</v>
      </c>
      <c r="C371" s="272" t="s">
        <v>2603</v>
      </c>
      <c r="D371" s="212" t="s">
        <v>2604</v>
      </c>
    </row>
    <row r="372" spans="1:5" ht="43.5">
      <c r="A372" s="268" t="s">
        <v>46</v>
      </c>
      <c r="B372" s="248" t="s">
        <v>2396</v>
      </c>
      <c r="C372" s="273" t="s">
        <v>2606</v>
      </c>
      <c r="D372" s="212"/>
    </row>
    <row r="373" spans="1:5" ht="29.1">
      <c r="A373" s="268" t="s">
        <v>46</v>
      </c>
      <c r="B373" s="248" t="s">
        <v>2396</v>
      </c>
      <c r="C373" s="273" t="s">
        <v>2608</v>
      </c>
      <c r="D373" s="212" t="s">
        <v>2799</v>
      </c>
      <c r="E373" s="74"/>
    </row>
    <row r="374" spans="1:5" ht="29.1">
      <c r="A374" s="268" t="s">
        <v>46</v>
      </c>
      <c r="B374" s="248" t="s">
        <v>2396</v>
      </c>
      <c r="C374" s="273" t="s">
        <v>2610</v>
      </c>
      <c r="D374" s="212" t="s">
        <v>2611</v>
      </c>
    </row>
    <row r="375" spans="1:5" ht="29.1">
      <c r="A375" s="268" t="s">
        <v>46</v>
      </c>
      <c r="B375" s="248" t="s">
        <v>2396</v>
      </c>
      <c r="C375" s="272" t="s">
        <v>2613</v>
      </c>
      <c r="D375" s="213" t="s">
        <v>2799</v>
      </c>
      <c r="E375" s="74" t="s">
        <v>2614</v>
      </c>
    </row>
    <row r="376" spans="1:5" ht="29.1">
      <c r="A376" s="268" t="s">
        <v>46</v>
      </c>
      <c r="B376" s="248" t="s">
        <v>2396</v>
      </c>
      <c r="C376" s="272" t="s">
        <v>2616</v>
      </c>
      <c r="D376" s="213" t="s">
        <v>2799</v>
      </c>
      <c r="E376" s="74" t="s">
        <v>2617</v>
      </c>
    </row>
    <row r="377" spans="1:5" ht="87">
      <c r="A377" s="276" t="s">
        <v>2618</v>
      </c>
      <c r="B377" s="277" t="s">
        <v>2830</v>
      </c>
      <c r="C377" s="224" t="s">
        <v>2620</v>
      </c>
      <c r="D377" t="s">
        <v>2831</v>
      </c>
    </row>
    <row r="378" spans="1:5" ht="87">
      <c r="A378" s="276" t="s">
        <v>2618</v>
      </c>
      <c r="B378" s="277" t="s">
        <v>2830</v>
      </c>
      <c r="C378" s="224" t="s">
        <v>2621</v>
      </c>
      <c r="D378" t="s">
        <v>2819</v>
      </c>
    </row>
    <row r="379" spans="1:5" ht="57.95">
      <c r="A379" s="276" t="s">
        <v>2618</v>
      </c>
      <c r="B379" s="277" t="s">
        <v>2830</v>
      </c>
      <c r="C379" s="224" t="s">
        <v>2622</v>
      </c>
      <c r="D379" t="s">
        <v>2831</v>
      </c>
    </row>
    <row r="380" spans="1:5" ht="57.95">
      <c r="A380" s="276" t="s">
        <v>2618</v>
      </c>
      <c r="B380" s="277" t="s">
        <v>2830</v>
      </c>
      <c r="C380" s="224" t="s">
        <v>2623</v>
      </c>
      <c r="D380" t="s">
        <v>2831</v>
      </c>
    </row>
    <row r="381" spans="1:5" ht="57.95">
      <c r="A381" s="276" t="s">
        <v>2618</v>
      </c>
      <c r="B381" s="277" t="s">
        <v>2830</v>
      </c>
      <c r="C381" s="224" t="s">
        <v>2625</v>
      </c>
      <c r="D381" t="s">
        <v>2831</v>
      </c>
    </row>
    <row r="382" spans="1:5" ht="57.95">
      <c r="A382" s="276" t="s">
        <v>2618</v>
      </c>
      <c r="B382" s="277" t="s">
        <v>2830</v>
      </c>
      <c r="C382" s="224" t="s">
        <v>2627</v>
      </c>
      <c r="D382" t="s">
        <v>2831</v>
      </c>
    </row>
    <row r="383" spans="1:5" ht="57.95">
      <c r="A383" s="276" t="s">
        <v>2618</v>
      </c>
      <c r="B383" s="277" t="s">
        <v>2830</v>
      </c>
      <c r="C383" s="224" t="s">
        <v>2628</v>
      </c>
      <c r="D383" t="s">
        <v>2831</v>
      </c>
    </row>
    <row r="384" spans="1:5" ht="57.95">
      <c r="A384" s="276" t="s">
        <v>2618</v>
      </c>
      <c r="B384" s="277" t="s">
        <v>2830</v>
      </c>
      <c r="C384" s="224" t="s">
        <v>2629</v>
      </c>
      <c r="D384" t="s">
        <v>2831</v>
      </c>
    </row>
    <row r="385" spans="1:4" ht="57.95">
      <c r="A385" s="276" t="s">
        <v>2618</v>
      </c>
      <c r="B385" s="277" t="s">
        <v>2830</v>
      </c>
      <c r="C385" s="278" t="s">
        <v>2630</v>
      </c>
      <c r="D385" t="s">
        <v>2831</v>
      </c>
    </row>
    <row r="386" spans="1:4" ht="57.95">
      <c r="A386" s="276" t="s">
        <v>2618</v>
      </c>
      <c r="B386" s="223" t="s">
        <v>2631</v>
      </c>
      <c r="C386" s="224" t="s">
        <v>2631</v>
      </c>
      <c r="D386" t="s">
        <v>2831</v>
      </c>
    </row>
    <row r="387" spans="1:4" ht="29.1">
      <c r="A387" s="276" t="s">
        <v>2618</v>
      </c>
      <c r="B387" s="279" t="s">
        <v>2632</v>
      </c>
      <c r="C387" s="224" t="s">
        <v>2633</v>
      </c>
      <c r="D387" t="s">
        <v>2831</v>
      </c>
    </row>
    <row r="388" spans="1:4" ht="29.1">
      <c r="A388" s="276" t="s">
        <v>2618</v>
      </c>
      <c r="B388" s="279" t="s">
        <v>2632</v>
      </c>
      <c r="C388" s="224" t="s">
        <v>2634</v>
      </c>
      <c r="D388" t="s">
        <v>2831</v>
      </c>
    </row>
    <row r="389" spans="1:4" ht="43.5">
      <c r="A389" s="276" t="s">
        <v>2618</v>
      </c>
      <c r="B389" s="279" t="s">
        <v>2632</v>
      </c>
      <c r="C389" s="224" t="s">
        <v>2635</v>
      </c>
      <c r="D389" t="s">
        <v>2831</v>
      </c>
    </row>
    <row r="390" spans="1:4" ht="29.1">
      <c r="A390" s="276" t="s">
        <v>2618</v>
      </c>
      <c r="B390" s="279" t="s">
        <v>2632</v>
      </c>
      <c r="C390" s="224" t="s">
        <v>2637</v>
      </c>
      <c r="D390" t="s">
        <v>2831</v>
      </c>
    </row>
    <row r="391" spans="1:4" ht="43.5">
      <c r="A391" s="276" t="s">
        <v>2618</v>
      </c>
      <c r="B391" s="279" t="s">
        <v>2632</v>
      </c>
      <c r="C391" s="224" t="s">
        <v>2638</v>
      </c>
      <c r="D391" t="s">
        <v>2831</v>
      </c>
    </row>
    <row r="392" spans="1:4" ht="57.95">
      <c r="A392" s="276" t="s">
        <v>2618</v>
      </c>
      <c r="B392" s="280" t="s">
        <v>2639</v>
      </c>
      <c r="C392" s="224" t="s">
        <v>2640</v>
      </c>
      <c r="D392" t="s">
        <v>2831</v>
      </c>
    </row>
    <row r="393" spans="1:4" ht="43.5">
      <c r="A393" s="276" t="s">
        <v>2618</v>
      </c>
      <c r="B393" s="280" t="s">
        <v>2639</v>
      </c>
      <c r="C393" s="224" t="s">
        <v>2641</v>
      </c>
      <c r="D393" t="s">
        <v>2831</v>
      </c>
    </row>
    <row r="394" spans="1:4" ht="29.1">
      <c r="A394" s="276" t="s">
        <v>2618</v>
      </c>
      <c r="B394" s="280" t="s">
        <v>2639</v>
      </c>
      <c r="C394" s="224" t="s">
        <v>2643</v>
      </c>
      <c r="D394" t="s">
        <v>2831</v>
      </c>
    </row>
    <row r="395" spans="1:4" ht="29.1">
      <c r="A395" s="276" t="s">
        <v>2618</v>
      </c>
      <c r="B395" s="280" t="s">
        <v>2639</v>
      </c>
      <c r="C395" s="224" t="s">
        <v>2832</v>
      </c>
      <c r="D395" t="s">
        <v>2831</v>
      </c>
    </row>
    <row r="396" spans="1:4">
      <c r="A396" s="276" t="s">
        <v>2618</v>
      </c>
      <c r="B396" s="280" t="s">
        <v>2639</v>
      </c>
      <c r="C396" s="224" t="s">
        <v>2833</v>
      </c>
      <c r="D396" t="s">
        <v>2831</v>
      </c>
    </row>
    <row r="397" spans="1:4" ht="43.5">
      <c r="A397" s="276" t="s">
        <v>2618</v>
      </c>
      <c r="B397" s="280" t="s">
        <v>2639</v>
      </c>
      <c r="C397" s="224" t="s">
        <v>2644</v>
      </c>
      <c r="D397" t="s">
        <v>2831</v>
      </c>
    </row>
    <row r="398" spans="1:4" ht="29.1">
      <c r="A398" s="276" t="s">
        <v>2618</v>
      </c>
      <c r="B398" s="281" t="s">
        <v>2645</v>
      </c>
      <c r="C398" s="224" t="s">
        <v>2646</v>
      </c>
      <c r="D398" t="s">
        <v>2831</v>
      </c>
    </row>
    <row r="399" spans="1:4" ht="72.599999999999994">
      <c r="A399" s="276" t="s">
        <v>2618</v>
      </c>
      <c r="B399" s="281" t="s">
        <v>2645</v>
      </c>
      <c r="C399" s="224" t="s">
        <v>2647</v>
      </c>
      <c r="D399" t="s">
        <v>2831</v>
      </c>
    </row>
    <row r="400" spans="1:4" ht="29.1">
      <c r="A400" s="276" t="s">
        <v>2618</v>
      </c>
      <c r="B400" s="282" t="s">
        <v>2648</v>
      </c>
      <c r="C400" s="224" t="s">
        <v>2649</v>
      </c>
      <c r="D400" t="s">
        <v>2831</v>
      </c>
    </row>
    <row r="401" spans="1:5" ht="57.95">
      <c r="A401" s="276" t="s">
        <v>2618</v>
      </c>
      <c r="B401" s="282" t="s">
        <v>2648</v>
      </c>
      <c r="C401" s="224" t="s">
        <v>2651</v>
      </c>
      <c r="D401" t="s">
        <v>2831</v>
      </c>
      <c r="E401" s="175" t="s">
        <v>2652</v>
      </c>
    </row>
    <row r="402" spans="1:5" ht="29.1">
      <c r="A402" s="276" t="s">
        <v>2618</v>
      </c>
      <c r="B402" s="282" t="s">
        <v>2648</v>
      </c>
      <c r="C402" s="224" t="s">
        <v>2653</v>
      </c>
      <c r="D402" t="s">
        <v>2831</v>
      </c>
    </row>
    <row r="403" spans="1:5" ht="29.1">
      <c r="A403" s="276" t="s">
        <v>2618</v>
      </c>
      <c r="B403" s="282" t="s">
        <v>2648</v>
      </c>
      <c r="C403" s="224" t="s">
        <v>2655</v>
      </c>
      <c r="D403" t="s">
        <v>2831</v>
      </c>
    </row>
    <row r="404" spans="1:5" ht="29.1">
      <c r="A404" s="276" t="s">
        <v>2618</v>
      </c>
      <c r="B404" s="282" t="s">
        <v>2648</v>
      </c>
      <c r="C404" s="224" t="s">
        <v>2656</v>
      </c>
      <c r="D404" t="s">
        <v>2831</v>
      </c>
    </row>
    <row r="405" spans="1:5" ht="29.1">
      <c r="A405" s="276" t="s">
        <v>2618</v>
      </c>
      <c r="B405" s="282" t="s">
        <v>2648</v>
      </c>
      <c r="C405" s="224" t="s">
        <v>2658</v>
      </c>
      <c r="D405" t="s">
        <v>2831</v>
      </c>
    </row>
    <row r="406" spans="1:5" ht="29.1">
      <c r="A406" s="276" t="s">
        <v>2618</v>
      </c>
      <c r="B406" s="282" t="s">
        <v>2648</v>
      </c>
      <c r="C406" s="224" t="s">
        <v>2660</v>
      </c>
      <c r="D406" t="s">
        <v>2831</v>
      </c>
    </row>
    <row r="407" spans="1:5" ht="29.1">
      <c r="A407" s="276" t="s">
        <v>2618</v>
      </c>
      <c r="B407" s="282" t="s">
        <v>2648</v>
      </c>
      <c r="C407" s="224" t="s">
        <v>2661</v>
      </c>
      <c r="D407" t="s">
        <v>2831</v>
      </c>
    </row>
    <row r="408" spans="1:5">
      <c r="A408" s="276" t="s">
        <v>2618</v>
      </c>
      <c r="B408" s="283" t="s">
        <v>2662</v>
      </c>
      <c r="C408" s="224" t="s">
        <v>2663</v>
      </c>
      <c r="D408" t="s">
        <v>2831</v>
      </c>
    </row>
    <row r="409" spans="1:5" ht="57.95">
      <c r="A409" s="276" t="s">
        <v>2618</v>
      </c>
      <c r="B409" s="283" t="s">
        <v>2662</v>
      </c>
      <c r="C409" s="224" t="s">
        <v>2664</v>
      </c>
      <c r="D409" t="s">
        <v>2831</v>
      </c>
    </row>
    <row r="410" spans="1:5" ht="57.95">
      <c r="A410" s="276" t="s">
        <v>2618</v>
      </c>
      <c r="B410" s="283" t="s">
        <v>2662</v>
      </c>
      <c r="C410" s="224" t="s">
        <v>2665</v>
      </c>
      <c r="D410" t="s">
        <v>2831</v>
      </c>
    </row>
    <row r="411" spans="1:5">
      <c r="A411" s="276" t="s">
        <v>2618</v>
      </c>
      <c r="B411" s="283" t="s">
        <v>2662</v>
      </c>
      <c r="C411" s="224" t="s">
        <v>2666</v>
      </c>
      <c r="D411" t="s">
        <v>2831</v>
      </c>
    </row>
    <row r="412" spans="1:5" ht="43.5">
      <c r="A412" s="276" t="s">
        <v>2618</v>
      </c>
      <c r="B412" s="283" t="s">
        <v>2662</v>
      </c>
      <c r="C412" s="224" t="s">
        <v>2667</v>
      </c>
      <c r="D412" t="s">
        <v>2831</v>
      </c>
    </row>
    <row r="413" spans="1:5" ht="101.45">
      <c r="A413" s="276" t="s">
        <v>2618</v>
      </c>
      <c r="B413" s="283" t="s">
        <v>2662</v>
      </c>
      <c r="C413" s="224" t="s">
        <v>2668</v>
      </c>
      <c r="D413" t="s">
        <v>2831</v>
      </c>
    </row>
    <row r="414" spans="1:5" ht="43.5">
      <c r="A414" s="276" t="s">
        <v>2618</v>
      </c>
      <c r="B414" s="283" t="s">
        <v>2662</v>
      </c>
      <c r="C414" s="224" t="s">
        <v>2669</v>
      </c>
      <c r="D414" t="s">
        <v>2831</v>
      </c>
    </row>
    <row r="415" spans="1:5">
      <c r="A415" s="276" t="s">
        <v>2618</v>
      </c>
      <c r="B415" s="283" t="s">
        <v>2662</v>
      </c>
      <c r="C415" s="224" t="s">
        <v>2670</v>
      </c>
      <c r="D415" t="s">
        <v>2831</v>
      </c>
    </row>
    <row r="416" spans="1:5">
      <c r="A416" s="3"/>
      <c r="B416" s="284"/>
      <c r="D416"/>
    </row>
    <row r="417" spans="1:4">
      <c r="A417" s="3"/>
      <c r="B417" s="284"/>
      <c r="D417"/>
    </row>
    <row r="418" spans="1:4">
      <c r="A418" s="3"/>
      <c r="B418" s="284"/>
      <c r="D418"/>
    </row>
    <row r="419" spans="1:4">
      <c r="A419" s="3"/>
      <c r="B419" s="284"/>
      <c r="D419"/>
    </row>
    <row r="420" spans="1:4">
      <c r="A420" s="3"/>
      <c r="B420" s="284"/>
      <c r="D420"/>
    </row>
    <row r="421" spans="1:4">
      <c r="A421" s="3"/>
      <c r="B421" s="284"/>
      <c r="D421"/>
    </row>
    <row r="422" spans="1:4">
      <c r="A422" s="3"/>
      <c r="B422" s="284"/>
      <c r="D422"/>
    </row>
    <row r="423" spans="1:4">
      <c r="A423" s="3"/>
      <c r="B423" s="284"/>
      <c r="D423"/>
    </row>
    <row r="424" spans="1:4">
      <c r="A424" s="3"/>
      <c r="B424" s="284"/>
      <c r="D424"/>
    </row>
    <row r="425" spans="1:4">
      <c r="A425" s="3"/>
      <c r="B425" s="284"/>
      <c r="D425"/>
    </row>
    <row r="426" spans="1:4">
      <c r="A426" s="3"/>
      <c r="B426" s="284"/>
      <c r="D426"/>
    </row>
    <row r="427" spans="1:4">
      <c r="A427" s="3"/>
      <c r="B427" s="284"/>
      <c r="D427"/>
    </row>
    <row r="428" spans="1:4">
      <c r="A428" s="3"/>
      <c r="B428" s="284"/>
      <c r="D428"/>
    </row>
    <row r="429" spans="1:4">
      <c r="A429" s="3"/>
      <c r="B429" s="284"/>
      <c r="D429"/>
    </row>
    <row r="430" spans="1:4">
      <c r="A430" s="3"/>
      <c r="B430" s="284"/>
      <c r="D430"/>
    </row>
    <row r="431" spans="1:4">
      <c r="A431" s="3"/>
      <c r="B431" s="284"/>
      <c r="D431"/>
    </row>
    <row r="432" spans="1:4">
      <c r="A432" s="3"/>
      <c r="B432" s="284"/>
      <c r="D432"/>
    </row>
    <row r="433" spans="1:4">
      <c r="A433" s="3"/>
      <c r="B433" s="284"/>
      <c r="D433"/>
    </row>
    <row r="434" spans="1:4">
      <c r="A434" s="3"/>
      <c r="B434" s="284"/>
      <c r="D434"/>
    </row>
    <row r="435" spans="1:4">
      <c r="A435" s="3"/>
      <c r="B435" s="284"/>
      <c r="D435"/>
    </row>
    <row r="436" spans="1:4">
      <c r="A436" s="3"/>
      <c r="B436" s="284"/>
      <c r="D436"/>
    </row>
    <row r="437" spans="1:4">
      <c r="A437" s="3"/>
      <c r="B437" s="284"/>
      <c r="D437"/>
    </row>
    <row r="438" spans="1:4">
      <c r="A438" s="3"/>
      <c r="B438" s="284"/>
      <c r="D438"/>
    </row>
    <row r="439" spans="1:4">
      <c r="A439" s="3"/>
      <c r="B439" s="284"/>
      <c r="D439"/>
    </row>
    <row r="440" spans="1:4">
      <c r="A440" s="3"/>
      <c r="B440" s="284"/>
      <c r="D440"/>
    </row>
    <row r="441" spans="1:4">
      <c r="A441" s="3"/>
      <c r="B441" s="284"/>
      <c r="D441"/>
    </row>
    <row r="442" spans="1:4">
      <c r="A442" s="3"/>
      <c r="B442" s="284"/>
      <c r="D442"/>
    </row>
    <row r="443" spans="1:4">
      <c r="A443" s="3"/>
      <c r="B443" s="284"/>
      <c r="D443"/>
    </row>
    <row r="444" spans="1:4">
      <c r="A444" s="3"/>
      <c r="B444" s="284"/>
      <c r="D444"/>
    </row>
    <row r="445" spans="1:4">
      <c r="A445" s="3"/>
      <c r="B445" s="284"/>
      <c r="D445"/>
    </row>
    <row r="446" spans="1:4">
      <c r="A446" s="3"/>
      <c r="B446" s="284"/>
      <c r="D446"/>
    </row>
    <row r="447" spans="1:4">
      <c r="A447" s="3"/>
      <c r="B447" s="284"/>
      <c r="D447"/>
    </row>
    <row r="448" spans="1:4">
      <c r="A448" s="3"/>
      <c r="B448" s="284"/>
      <c r="D448"/>
    </row>
    <row r="449" spans="1:4">
      <c r="A449" s="3"/>
      <c r="B449" s="284"/>
      <c r="D449"/>
    </row>
    <row r="450" spans="1:4">
      <c r="A450" s="3"/>
      <c r="B450" s="284"/>
      <c r="D450"/>
    </row>
    <row r="451" spans="1:4">
      <c r="A451" s="3"/>
      <c r="B451" s="284"/>
      <c r="D451"/>
    </row>
    <row r="452" spans="1:4">
      <c r="A452" s="3"/>
      <c r="B452" s="284"/>
      <c r="D452"/>
    </row>
    <row r="453" spans="1:4">
      <c r="A453" s="3"/>
      <c r="B453" s="284"/>
      <c r="D453"/>
    </row>
    <row r="454" spans="1:4">
      <c r="A454" s="3"/>
      <c r="B454" s="284"/>
      <c r="D454"/>
    </row>
    <row r="455" spans="1:4">
      <c r="A455" s="3"/>
      <c r="B455" s="284"/>
      <c r="D455"/>
    </row>
    <row r="456" spans="1:4">
      <c r="A456" s="3"/>
      <c r="B456" s="284"/>
      <c r="D456"/>
    </row>
    <row r="457" spans="1:4">
      <c r="A457" s="3"/>
      <c r="B457" s="284"/>
      <c r="D457"/>
    </row>
    <row r="458" spans="1:4">
      <c r="A458" s="3"/>
      <c r="B458" s="284"/>
      <c r="D458"/>
    </row>
    <row r="459" spans="1:4">
      <c r="A459" s="3"/>
      <c r="B459" s="284"/>
      <c r="D459"/>
    </row>
    <row r="460" spans="1:4">
      <c r="A460" s="3"/>
      <c r="B460" s="284"/>
      <c r="D460"/>
    </row>
    <row r="461" spans="1:4">
      <c r="A461" s="3"/>
      <c r="B461" s="284"/>
      <c r="D461"/>
    </row>
    <row r="462" spans="1:4">
      <c r="A462" s="3"/>
      <c r="B462" s="284"/>
      <c r="D462"/>
    </row>
    <row r="463" spans="1:4">
      <c r="A463" s="3"/>
      <c r="B463" s="284"/>
      <c r="D463"/>
    </row>
    <row r="464" spans="1:4">
      <c r="A464" s="3"/>
      <c r="B464" s="284"/>
      <c r="D464"/>
    </row>
    <row r="465" spans="1:4">
      <c r="A465" s="3"/>
      <c r="B465" s="284"/>
      <c r="D465"/>
    </row>
    <row r="466" spans="1:4">
      <c r="A466" s="3"/>
      <c r="B466" s="284"/>
      <c r="D466"/>
    </row>
    <row r="467" spans="1:4">
      <c r="A467" s="3"/>
      <c r="B467" s="284"/>
      <c r="D467"/>
    </row>
    <row r="468" spans="1:4">
      <c r="A468" s="3"/>
      <c r="B468" s="284"/>
      <c r="D468"/>
    </row>
    <row r="469" spans="1:4">
      <c r="A469" s="3"/>
      <c r="B469" s="284"/>
      <c r="D469"/>
    </row>
    <row r="470" spans="1:4">
      <c r="A470" s="3"/>
      <c r="B470" s="284"/>
      <c r="D470"/>
    </row>
    <row r="471" spans="1:4">
      <c r="A471" s="3"/>
      <c r="B471" s="284"/>
      <c r="D471"/>
    </row>
    <row r="472" spans="1:4">
      <c r="A472" s="3"/>
      <c r="B472" s="284"/>
      <c r="D472"/>
    </row>
    <row r="473" spans="1:4">
      <c r="A473" s="3"/>
      <c r="B473" s="284"/>
      <c r="D473"/>
    </row>
    <row r="474" spans="1:4">
      <c r="A474" s="3"/>
      <c r="B474" s="284"/>
      <c r="D474"/>
    </row>
    <row r="475" spans="1:4">
      <c r="A475" s="3"/>
      <c r="B475" s="284"/>
      <c r="D475"/>
    </row>
    <row r="476" spans="1:4">
      <c r="A476" s="3"/>
      <c r="B476" s="284"/>
      <c r="D476"/>
    </row>
    <row r="477" spans="1:4">
      <c r="A477" s="3"/>
      <c r="B477" s="284"/>
      <c r="D477"/>
    </row>
    <row r="478" spans="1:4">
      <c r="A478" s="3"/>
      <c r="B478" s="284"/>
      <c r="D478"/>
    </row>
    <row r="479" spans="1:4">
      <c r="A479" s="3"/>
      <c r="B479" s="284"/>
      <c r="D479"/>
    </row>
    <row r="480" spans="1:4">
      <c r="A480" s="3"/>
      <c r="B480" s="284"/>
      <c r="D480"/>
    </row>
    <row r="481" spans="1:4">
      <c r="A481" s="3"/>
      <c r="B481" s="284"/>
      <c r="D481"/>
    </row>
    <row r="482" spans="1:4">
      <c r="A482" s="3"/>
      <c r="B482" s="284"/>
      <c r="D482"/>
    </row>
    <row r="483" spans="1:4">
      <c r="A483" s="3"/>
      <c r="B483" s="284"/>
      <c r="D483"/>
    </row>
    <row r="484" spans="1:4">
      <c r="A484" s="3"/>
      <c r="B484" s="284"/>
      <c r="D484"/>
    </row>
    <row r="485" spans="1:4">
      <c r="A485" s="3"/>
      <c r="B485" s="284"/>
      <c r="D485"/>
    </row>
    <row r="486" spans="1:4">
      <c r="A486" s="3"/>
      <c r="B486" s="284"/>
      <c r="D486"/>
    </row>
    <row r="487" spans="1:4">
      <c r="A487" s="3"/>
      <c r="B487" s="284"/>
      <c r="D487"/>
    </row>
    <row r="488" spans="1:4">
      <c r="A488" s="3"/>
      <c r="B488" s="284"/>
      <c r="D488"/>
    </row>
    <row r="489" spans="1:4">
      <c r="A489" s="3"/>
      <c r="B489" s="284"/>
      <c r="D489"/>
    </row>
    <row r="490" spans="1:4">
      <c r="A490" s="3"/>
      <c r="B490" s="284"/>
      <c r="D490"/>
    </row>
    <row r="491" spans="1:4">
      <c r="A491" s="3"/>
      <c r="B491" s="284"/>
      <c r="D491"/>
    </row>
    <row r="492" spans="1:4">
      <c r="A492" s="3"/>
      <c r="B492" s="284"/>
      <c r="D492"/>
    </row>
    <row r="493" spans="1:4">
      <c r="A493" s="3"/>
      <c r="B493" s="284"/>
      <c r="D493"/>
    </row>
    <row r="494" spans="1:4">
      <c r="A494" s="3"/>
      <c r="B494" s="284"/>
      <c r="D494"/>
    </row>
    <row r="495" spans="1:4">
      <c r="A495" s="3"/>
      <c r="B495" s="284"/>
      <c r="D495"/>
    </row>
    <row r="496" spans="1:4">
      <c r="A496" s="3"/>
      <c r="B496" s="284"/>
      <c r="D496"/>
    </row>
    <row r="497" spans="1:4">
      <c r="A497" s="3"/>
      <c r="B497" s="284"/>
      <c r="D497"/>
    </row>
    <row r="498" spans="1:4">
      <c r="A498" s="3"/>
      <c r="B498" s="284"/>
      <c r="D498"/>
    </row>
    <row r="499" spans="1:4">
      <c r="A499" s="3"/>
      <c r="B499" s="284"/>
      <c r="D499"/>
    </row>
    <row r="500" spans="1:4">
      <c r="A500" s="3"/>
      <c r="B500" s="284"/>
      <c r="D500"/>
    </row>
    <row r="501" spans="1:4">
      <c r="A501" s="3"/>
      <c r="B501" s="284"/>
      <c r="D501"/>
    </row>
    <row r="502" spans="1:4">
      <c r="A502" s="3"/>
      <c r="B502" s="284"/>
      <c r="D502"/>
    </row>
    <row r="503" spans="1:4">
      <c r="A503" s="3"/>
      <c r="B503" s="284"/>
      <c r="D503"/>
    </row>
    <row r="504" spans="1:4">
      <c r="A504" s="3"/>
      <c r="B504" s="284"/>
      <c r="D504"/>
    </row>
    <row r="505" spans="1:4">
      <c r="A505" s="3"/>
      <c r="B505" s="284"/>
      <c r="D505"/>
    </row>
    <row r="506" spans="1:4">
      <c r="A506" s="3"/>
      <c r="B506" s="284"/>
      <c r="D506"/>
    </row>
    <row r="507" spans="1:4">
      <c r="A507" s="3"/>
      <c r="B507" s="284"/>
      <c r="D507"/>
    </row>
    <row r="508" spans="1:4">
      <c r="A508" s="3"/>
      <c r="B508" s="284"/>
      <c r="D508"/>
    </row>
    <row r="509" spans="1:4">
      <c r="A509" s="3"/>
      <c r="B509" s="284"/>
      <c r="D509"/>
    </row>
    <row r="510" spans="1:4">
      <c r="A510" s="3"/>
      <c r="B510" s="284"/>
      <c r="D510"/>
    </row>
    <row r="511" spans="1:4">
      <c r="A511" s="3"/>
      <c r="B511" s="284"/>
      <c r="D511"/>
    </row>
    <row r="512" spans="1:4">
      <c r="A512" s="3"/>
      <c r="B512" s="284"/>
      <c r="D512"/>
    </row>
    <row r="513" spans="1:4">
      <c r="A513" s="3"/>
      <c r="B513" s="284"/>
      <c r="D513"/>
    </row>
    <row r="514" spans="1:4">
      <c r="A514" s="3"/>
      <c r="B514" s="284"/>
      <c r="D514"/>
    </row>
    <row r="515" spans="1:4">
      <c r="A515" s="3"/>
      <c r="B515" s="284"/>
      <c r="D515"/>
    </row>
    <row r="516" spans="1:4">
      <c r="A516" s="3"/>
      <c r="B516" s="284"/>
      <c r="D516"/>
    </row>
    <row r="517" spans="1:4">
      <c r="A517" s="3"/>
      <c r="B517" s="284"/>
      <c r="D517"/>
    </row>
    <row r="518" spans="1:4">
      <c r="A518" s="3"/>
      <c r="B518" s="284"/>
      <c r="D518"/>
    </row>
    <row r="519" spans="1:4">
      <c r="A519" s="3"/>
      <c r="B519" s="284"/>
      <c r="D519"/>
    </row>
    <row r="520" spans="1:4">
      <c r="A520" s="3"/>
      <c r="B520" s="284"/>
      <c r="D520"/>
    </row>
    <row r="521" spans="1:4">
      <c r="A521" s="3"/>
      <c r="B521" s="284"/>
      <c r="D521"/>
    </row>
    <row r="522" spans="1:4">
      <c r="A522" s="3"/>
      <c r="B522" s="284"/>
      <c r="D522"/>
    </row>
    <row r="523" spans="1:4">
      <c r="A523" s="3"/>
      <c r="B523" s="284"/>
      <c r="D523"/>
    </row>
    <row r="524" spans="1:4">
      <c r="A524" s="3"/>
      <c r="B524" s="284"/>
      <c r="D524"/>
    </row>
    <row r="525" spans="1:4">
      <c r="A525" s="3"/>
      <c r="B525" s="284"/>
      <c r="D525"/>
    </row>
    <row r="526" spans="1:4">
      <c r="A526" s="3"/>
      <c r="B526" s="284"/>
      <c r="D526"/>
    </row>
    <row r="527" spans="1:4">
      <c r="A527" s="3"/>
      <c r="B527" s="284"/>
      <c r="D527"/>
    </row>
    <row r="528" spans="1:4">
      <c r="A528" s="3"/>
      <c r="B528" s="284"/>
      <c r="D528"/>
    </row>
    <row r="529" spans="1:4">
      <c r="A529" s="3"/>
      <c r="B529" s="284"/>
      <c r="D529"/>
    </row>
    <row r="530" spans="1:4">
      <c r="A530" s="3"/>
      <c r="B530" s="284"/>
      <c r="D530"/>
    </row>
    <row r="531" spans="1:4">
      <c r="A531" s="3"/>
      <c r="B531" s="284"/>
      <c r="D531"/>
    </row>
    <row r="532" spans="1:4">
      <c r="A532" s="3"/>
      <c r="B532" s="284"/>
      <c r="D532"/>
    </row>
    <row r="533" spans="1:4">
      <c r="A533" s="3"/>
      <c r="B533" s="284"/>
      <c r="D533"/>
    </row>
    <row r="534" spans="1:4">
      <c r="A534" s="3"/>
      <c r="B534" s="284"/>
      <c r="D534"/>
    </row>
    <row r="535" spans="1:4">
      <c r="A535" s="3"/>
      <c r="B535" s="284"/>
      <c r="D535"/>
    </row>
    <row r="536" spans="1:4">
      <c r="A536" s="3"/>
      <c r="B536" s="284"/>
      <c r="D536"/>
    </row>
    <row r="537" spans="1:4">
      <c r="A537" s="3"/>
      <c r="B537" s="284"/>
      <c r="D537"/>
    </row>
    <row r="538" spans="1:4">
      <c r="A538" s="3"/>
      <c r="B538" s="284"/>
      <c r="D538"/>
    </row>
    <row r="539" spans="1:4">
      <c r="A539" s="3"/>
      <c r="B539" s="284"/>
      <c r="D539"/>
    </row>
    <row r="540" spans="1:4">
      <c r="A540" s="3"/>
      <c r="B540" s="284"/>
      <c r="D540"/>
    </row>
    <row r="541" spans="1:4">
      <c r="A541" s="3"/>
      <c r="B541" s="284"/>
      <c r="D541"/>
    </row>
    <row r="542" spans="1:4">
      <c r="A542" s="3"/>
      <c r="B542" s="284"/>
      <c r="D542"/>
    </row>
    <row r="543" spans="1:4">
      <c r="A543" s="3"/>
      <c r="B543" s="284"/>
      <c r="D543"/>
    </row>
    <row r="544" spans="1:4">
      <c r="A544" s="3"/>
      <c r="B544" s="284"/>
      <c r="D544"/>
    </row>
    <row r="545" spans="1:4">
      <c r="A545" s="3"/>
      <c r="B545" s="284"/>
      <c r="D545"/>
    </row>
    <row r="546" spans="1:4">
      <c r="A546" s="3"/>
      <c r="B546" s="284"/>
      <c r="D546"/>
    </row>
    <row r="547" spans="1:4">
      <c r="A547" s="3"/>
      <c r="B547" s="284"/>
      <c r="D547"/>
    </row>
    <row r="548" spans="1:4">
      <c r="A548" s="3"/>
      <c r="B548" s="284"/>
      <c r="D548"/>
    </row>
    <row r="549" spans="1:4">
      <c r="A549" s="3"/>
      <c r="B549" s="284"/>
      <c r="D549"/>
    </row>
    <row r="550" spans="1:4">
      <c r="A550" s="3"/>
      <c r="B550" s="284"/>
      <c r="D550"/>
    </row>
    <row r="551" spans="1:4">
      <c r="A551" s="3"/>
      <c r="B551" s="284"/>
      <c r="D551"/>
    </row>
    <row r="552" spans="1:4">
      <c r="A552" s="3"/>
      <c r="B552" s="284"/>
      <c r="D552"/>
    </row>
    <row r="553" spans="1:4">
      <c r="A553" s="3"/>
      <c r="B553" s="284"/>
      <c r="D553"/>
    </row>
    <row r="554" spans="1:4">
      <c r="A554" s="3"/>
      <c r="B554" s="284"/>
      <c r="D554"/>
    </row>
    <row r="555" spans="1:4">
      <c r="A555" s="3"/>
      <c r="B555" s="284"/>
      <c r="D555"/>
    </row>
    <row r="556" spans="1:4">
      <c r="A556" s="3"/>
      <c r="B556" s="284"/>
      <c r="D556"/>
    </row>
    <row r="557" spans="1:4">
      <c r="A557" s="3"/>
      <c r="B557" s="284"/>
      <c r="D557"/>
    </row>
    <row r="558" spans="1:4">
      <c r="A558" s="3"/>
      <c r="B558" s="284"/>
      <c r="D558"/>
    </row>
    <row r="559" spans="1:4">
      <c r="A559" s="3"/>
      <c r="B559" s="284"/>
      <c r="D559"/>
    </row>
    <row r="560" spans="1:4">
      <c r="A560" s="3"/>
      <c r="B560" s="284"/>
      <c r="D560"/>
    </row>
    <row r="561" spans="1:4">
      <c r="A561" s="3"/>
      <c r="B561" s="284"/>
      <c r="D561"/>
    </row>
    <row r="562" spans="1:4">
      <c r="A562" s="3"/>
      <c r="B562" s="284"/>
      <c r="D562"/>
    </row>
    <row r="563" spans="1:4">
      <c r="A563" s="3"/>
      <c r="B563" s="284"/>
      <c r="D563"/>
    </row>
    <row r="564" spans="1:4">
      <c r="A564" s="3"/>
      <c r="B564" s="284"/>
      <c r="D564"/>
    </row>
    <row r="565" spans="1:4">
      <c r="A565" s="3"/>
      <c r="B565" s="284"/>
      <c r="D565"/>
    </row>
    <row r="566" spans="1:4">
      <c r="A566" s="3"/>
      <c r="B566" s="284"/>
      <c r="D566"/>
    </row>
    <row r="567" spans="1:4">
      <c r="A567" s="3"/>
      <c r="B567" s="284"/>
      <c r="D567"/>
    </row>
    <row r="568" spans="1:4">
      <c r="A568" s="3"/>
      <c r="B568" s="284"/>
      <c r="D568"/>
    </row>
    <row r="569" spans="1:4">
      <c r="A569" s="3"/>
      <c r="B569" s="284"/>
      <c r="D569"/>
    </row>
    <row r="570" spans="1:4">
      <c r="A570" s="3"/>
      <c r="B570" s="284"/>
      <c r="D570"/>
    </row>
    <row r="571" spans="1:4">
      <c r="A571" s="3"/>
      <c r="B571" s="284"/>
      <c r="D571"/>
    </row>
    <row r="572" spans="1:4">
      <c r="A572" s="3"/>
      <c r="B572" s="284"/>
      <c r="D572"/>
    </row>
    <row r="573" spans="1:4">
      <c r="A573" s="3"/>
      <c r="B573" s="284"/>
      <c r="D573"/>
    </row>
    <row r="574" spans="1:4">
      <c r="A574" s="3"/>
      <c r="B574" s="284"/>
      <c r="D574"/>
    </row>
    <row r="575" spans="1:4">
      <c r="A575" s="3"/>
      <c r="B575" s="284"/>
      <c r="D575"/>
    </row>
    <row r="576" spans="1:4">
      <c r="A576" s="3"/>
      <c r="B576" s="284"/>
      <c r="D576"/>
    </row>
    <row r="577" spans="1:4">
      <c r="A577" s="3"/>
      <c r="B577" s="284"/>
      <c r="D577"/>
    </row>
    <row r="578" spans="1:4">
      <c r="A578" s="3"/>
      <c r="B578" s="284"/>
      <c r="D578"/>
    </row>
    <row r="579" spans="1:4">
      <c r="A579" s="3"/>
      <c r="B579" s="284"/>
      <c r="D579"/>
    </row>
    <row r="580" spans="1:4">
      <c r="A580" s="3"/>
      <c r="B580" s="284"/>
      <c r="D580"/>
    </row>
    <row r="581" spans="1:4">
      <c r="A581" s="3"/>
      <c r="B581" s="284"/>
      <c r="D581"/>
    </row>
    <row r="582" spans="1:4">
      <c r="A582" s="3"/>
      <c r="B582" s="284"/>
      <c r="D582"/>
    </row>
    <row r="583" spans="1:4">
      <c r="A583" s="3"/>
      <c r="B583" s="284"/>
      <c r="D583"/>
    </row>
    <row r="584" spans="1:4">
      <c r="A584" s="3"/>
      <c r="B584" s="284"/>
      <c r="D584"/>
    </row>
    <row r="585" spans="1:4">
      <c r="A585" s="3"/>
      <c r="B585" s="284"/>
      <c r="D585"/>
    </row>
    <row r="586" spans="1:4">
      <c r="A586" s="3"/>
      <c r="B586" s="284"/>
      <c r="D586"/>
    </row>
    <row r="587" spans="1:4">
      <c r="A587" s="3"/>
      <c r="B587" s="284"/>
      <c r="D587"/>
    </row>
    <row r="588" spans="1:4">
      <c r="A588" s="3"/>
      <c r="B588" s="284"/>
      <c r="D588"/>
    </row>
    <row r="589" spans="1:4">
      <c r="A589" s="3"/>
      <c r="B589" s="284"/>
      <c r="D589"/>
    </row>
    <row r="590" spans="1:4">
      <c r="A590" s="3"/>
      <c r="B590" s="284"/>
      <c r="D590"/>
    </row>
    <row r="591" spans="1:4">
      <c r="A591" s="3"/>
      <c r="B591" s="284"/>
      <c r="D591"/>
    </row>
    <row r="592" spans="1:4">
      <c r="A592" s="3"/>
      <c r="B592" s="284"/>
      <c r="D592"/>
    </row>
    <row r="593" spans="1:4">
      <c r="A593" s="3"/>
      <c r="B593" s="284"/>
      <c r="D593"/>
    </row>
    <row r="594" spans="1:4">
      <c r="A594" s="3"/>
      <c r="B594" s="284"/>
      <c r="D594"/>
    </row>
    <row r="595" spans="1:4">
      <c r="A595" s="3"/>
      <c r="B595" s="284"/>
      <c r="D595"/>
    </row>
    <row r="596" spans="1:4">
      <c r="A596" s="3"/>
      <c r="B596" s="284"/>
      <c r="D596"/>
    </row>
    <row r="597" spans="1:4">
      <c r="A597" s="3"/>
      <c r="B597" s="284"/>
      <c r="D597"/>
    </row>
    <row r="598" spans="1:4">
      <c r="A598" s="3"/>
      <c r="B598" s="284"/>
      <c r="D598"/>
    </row>
    <row r="599" spans="1:4">
      <c r="A599" s="3"/>
      <c r="B599" s="284"/>
      <c r="D599"/>
    </row>
    <row r="600" spans="1:4">
      <c r="A600" s="3"/>
      <c r="B600" s="284"/>
      <c r="D600"/>
    </row>
    <row r="601" spans="1:4">
      <c r="A601" s="3"/>
      <c r="B601" s="284"/>
      <c r="D601"/>
    </row>
    <row r="602" spans="1:4">
      <c r="A602" s="3"/>
      <c r="B602" s="284"/>
      <c r="D602"/>
    </row>
    <row r="603" spans="1:4">
      <c r="A603" s="3"/>
      <c r="B603" s="284"/>
      <c r="D603"/>
    </row>
    <row r="604" spans="1:4">
      <c r="A604" s="3"/>
      <c r="B604" s="284"/>
      <c r="D604"/>
    </row>
    <row r="605" spans="1:4">
      <c r="A605" s="3"/>
      <c r="B605" s="284"/>
      <c r="D605"/>
    </row>
    <row r="606" spans="1:4">
      <c r="A606" s="3"/>
      <c r="B606" s="284"/>
      <c r="D606"/>
    </row>
    <row r="607" spans="1:4">
      <c r="A607" s="3"/>
      <c r="B607" s="284"/>
      <c r="D607"/>
    </row>
    <row r="608" spans="1:4">
      <c r="A608" s="3"/>
      <c r="B608" s="284"/>
      <c r="D608"/>
    </row>
    <row r="609" spans="1:4">
      <c r="A609" s="3"/>
      <c r="B609" s="284"/>
      <c r="D609"/>
    </row>
    <row r="610" spans="1:4">
      <c r="A610" s="3"/>
      <c r="B610" s="284"/>
      <c r="D610"/>
    </row>
    <row r="611" spans="1:4">
      <c r="A611" s="3"/>
      <c r="B611" s="284"/>
      <c r="D611"/>
    </row>
    <row r="612" spans="1:4">
      <c r="A612" s="3"/>
      <c r="B612" s="284"/>
      <c r="D612"/>
    </row>
    <row r="613" spans="1:4">
      <c r="A613" s="3"/>
      <c r="B613" s="284"/>
      <c r="D613"/>
    </row>
    <row r="614" spans="1:4">
      <c r="A614" s="3"/>
      <c r="B614" s="284"/>
      <c r="D614"/>
    </row>
    <row r="615" spans="1:4">
      <c r="A615" s="3"/>
      <c r="B615" s="284"/>
      <c r="D615"/>
    </row>
    <row r="616" spans="1:4">
      <c r="A616" s="3"/>
      <c r="B616" s="284"/>
      <c r="D616"/>
    </row>
    <row r="617" spans="1:4">
      <c r="A617" s="3"/>
      <c r="B617" s="284"/>
      <c r="D617"/>
    </row>
    <row r="618" spans="1:4">
      <c r="A618" s="3"/>
      <c r="B618" s="284"/>
      <c r="D618"/>
    </row>
    <row r="619" spans="1:4">
      <c r="A619" s="3"/>
      <c r="B619" s="284"/>
      <c r="D619"/>
    </row>
    <row r="620" spans="1:4">
      <c r="A620" s="3"/>
      <c r="B620" s="284"/>
      <c r="D620"/>
    </row>
    <row r="621" spans="1:4">
      <c r="A621" s="3"/>
      <c r="B621" s="284"/>
      <c r="D621"/>
    </row>
    <row r="622" spans="1:4">
      <c r="A622" s="3"/>
      <c r="B622" s="284"/>
      <c r="D622"/>
    </row>
    <row r="623" spans="1:4">
      <c r="A623" s="3"/>
      <c r="B623" s="284"/>
      <c r="D623"/>
    </row>
    <row r="624" spans="1:4">
      <c r="A624" s="3"/>
      <c r="B624" s="284"/>
      <c r="D624"/>
    </row>
    <row r="625" spans="1:4">
      <c r="A625" s="3"/>
      <c r="B625" s="284"/>
      <c r="D625"/>
    </row>
    <row r="626" spans="1:4">
      <c r="A626" s="3"/>
      <c r="B626" s="284"/>
      <c r="D626"/>
    </row>
    <row r="627" spans="1:4">
      <c r="A627" s="3"/>
      <c r="B627" s="284"/>
      <c r="D627"/>
    </row>
    <row r="628" spans="1:4">
      <c r="A628" s="3"/>
      <c r="B628" s="284"/>
      <c r="D628"/>
    </row>
    <row r="629" spans="1:4">
      <c r="A629" s="3"/>
      <c r="B629" s="284"/>
      <c r="D629"/>
    </row>
    <row r="630" spans="1:4">
      <c r="A630" s="3"/>
      <c r="B630" s="284"/>
      <c r="D630"/>
    </row>
    <row r="631" spans="1:4">
      <c r="A631" s="3"/>
      <c r="B631" s="284"/>
      <c r="D631"/>
    </row>
    <row r="632" spans="1:4">
      <c r="A632" s="3"/>
      <c r="B632" s="284"/>
      <c r="D632"/>
    </row>
    <row r="633" spans="1:4">
      <c r="A633" s="3"/>
      <c r="B633" s="284"/>
      <c r="D633"/>
    </row>
    <row r="634" spans="1:4">
      <c r="A634" s="3"/>
      <c r="B634" s="284"/>
      <c r="D634"/>
    </row>
    <row r="635" spans="1:4">
      <c r="A635" s="3"/>
      <c r="B635" s="284"/>
      <c r="D635"/>
    </row>
    <row r="636" spans="1:4">
      <c r="A636" s="3"/>
      <c r="B636" s="284"/>
      <c r="D636"/>
    </row>
    <row r="637" spans="1:4">
      <c r="A637" s="3"/>
      <c r="B637" s="284"/>
      <c r="D637"/>
    </row>
    <row r="638" spans="1:4">
      <c r="A638" s="3"/>
      <c r="B638" s="284"/>
      <c r="D638"/>
    </row>
    <row r="639" spans="1:4">
      <c r="A639" s="3"/>
      <c r="B639" s="284"/>
      <c r="D639"/>
    </row>
    <row r="640" spans="1:4">
      <c r="A640" s="3"/>
      <c r="B640" s="284"/>
      <c r="D640"/>
    </row>
    <row r="641" spans="1:4">
      <c r="A641" s="3"/>
      <c r="B641" s="284"/>
      <c r="D641"/>
    </row>
    <row r="642" spans="1:4">
      <c r="A642" s="3"/>
      <c r="B642" s="284"/>
      <c r="D642"/>
    </row>
    <row r="643" spans="1:4">
      <c r="A643" s="3"/>
      <c r="B643" s="284"/>
      <c r="D643"/>
    </row>
    <row r="644" spans="1:4">
      <c r="A644" s="3"/>
      <c r="B644" s="284"/>
      <c r="D644"/>
    </row>
    <row r="645" spans="1:4">
      <c r="A645" s="3"/>
      <c r="B645" s="284"/>
      <c r="D645"/>
    </row>
    <row r="646" spans="1:4">
      <c r="A646" s="3"/>
      <c r="B646" s="284"/>
      <c r="D646"/>
    </row>
    <row r="647" spans="1:4">
      <c r="A647" s="3"/>
      <c r="B647" s="284"/>
      <c r="D647"/>
    </row>
    <row r="648" spans="1:4">
      <c r="A648" s="3"/>
      <c r="B648" s="284"/>
      <c r="D648"/>
    </row>
    <row r="649" spans="1:4">
      <c r="A649" s="3"/>
      <c r="B649" s="284"/>
      <c r="D649"/>
    </row>
    <row r="650" spans="1:4">
      <c r="A650" s="3"/>
      <c r="B650" s="284"/>
      <c r="D650"/>
    </row>
    <row r="651" spans="1:4">
      <c r="A651" s="3"/>
      <c r="B651" s="284"/>
      <c r="D651"/>
    </row>
    <row r="652" spans="1:4">
      <c r="A652" s="3"/>
      <c r="B652" s="284"/>
      <c r="D652"/>
    </row>
    <row r="653" spans="1:4">
      <c r="A653" s="3"/>
      <c r="B653" s="284"/>
      <c r="D653"/>
    </row>
    <row r="654" spans="1:4">
      <c r="A654" s="3"/>
      <c r="B654" s="284"/>
      <c r="D654"/>
    </row>
    <row r="655" spans="1:4">
      <c r="A655" s="3"/>
      <c r="B655" s="284"/>
      <c r="D655"/>
    </row>
    <row r="656" spans="1:4">
      <c r="A656" s="3"/>
      <c r="B656" s="284"/>
      <c r="D656"/>
    </row>
    <row r="657" spans="1:4">
      <c r="A657" s="3"/>
      <c r="B657" s="284"/>
      <c r="D657"/>
    </row>
    <row r="658" spans="1:4">
      <c r="A658" s="3"/>
      <c r="B658" s="284"/>
      <c r="D658"/>
    </row>
    <row r="659" spans="1:4">
      <c r="A659" s="3"/>
      <c r="B659" s="284"/>
      <c r="D659"/>
    </row>
    <row r="660" spans="1:4">
      <c r="A660" s="3"/>
      <c r="B660" s="284"/>
      <c r="D660"/>
    </row>
    <row r="661" spans="1:4">
      <c r="A661" s="3"/>
      <c r="B661" s="284"/>
      <c r="D661"/>
    </row>
    <row r="662" spans="1:4">
      <c r="A662" s="3"/>
      <c r="B662" s="284"/>
      <c r="D662"/>
    </row>
    <row r="663" spans="1:4">
      <c r="A663" s="3"/>
      <c r="B663" s="284"/>
      <c r="D663"/>
    </row>
    <row r="664" spans="1:4">
      <c r="A664" s="3"/>
      <c r="B664" s="284"/>
      <c r="D664"/>
    </row>
    <row r="665" spans="1:4">
      <c r="A665" s="3"/>
      <c r="B665" s="284"/>
      <c r="D665"/>
    </row>
    <row r="666" spans="1:4">
      <c r="A666" s="3"/>
      <c r="B666" s="284"/>
      <c r="D666"/>
    </row>
    <row r="667" spans="1:4">
      <c r="A667" s="3"/>
      <c r="B667" s="284"/>
      <c r="D667"/>
    </row>
    <row r="668" spans="1:4">
      <c r="A668" s="3"/>
      <c r="B668" s="284"/>
      <c r="D668"/>
    </row>
    <row r="669" spans="1:4">
      <c r="A669" s="3"/>
      <c r="B669" s="284"/>
      <c r="D669"/>
    </row>
    <row r="670" spans="1:4">
      <c r="A670" s="3"/>
      <c r="B670" s="284"/>
      <c r="D670"/>
    </row>
    <row r="671" spans="1:4">
      <c r="A671" s="3"/>
      <c r="B671" s="284"/>
      <c r="D671"/>
    </row>
    <row r="672" spans="1:4">
      <c r="A672" s="3"/>
      <c r="B672" s="284"/>
      <c r="D672"/>
    </row>
    <row r="673" spans="1:4">
      <c r="A673" s="3"/>
      <c r="B673" s="284"/>
      <c r="D673"/>
    </row>
    <row r="674" spans="1:4">
      <c r="A674" s="3"/>
      <c r="B674" s="284"/>
      <c r="D674"/>
    </row>
    <row r="675" spans="1:4">
      <c r="A675" s="3"/>
      <c r="B675" s="284"/>
      <c r="D675"/>
    </row>
    <row r="676" spans="1:4">
      <c r="A676" s="3"/>
      <c r="B676" s="284"/>
      <c r="D676"/>
    </row>
    <row r="677" spans="1:4">
      <c r="A677" s="3"/>
      <c r="B677" s="284"/>
      <c r="D677"/>
    </row>
    <row r="678" spans="1:4">
      <c r="A678" s="3"/>
      <c r="B678" s="284"/>
      <c r="D678"/>
    </row>
    <row r="679" spans="1:4">
      <c r="A679" s="3"/>
      <c r="B679" s="284"/>
      <c r="D679"/>
    </row>
    <row r="680" spans="1:4">
      <c r="A680" s="3"/>
      <c r="B680" s="284"/>
      <c r="D680"/>
    </row>
    <row r="681" spans="1:4">
      <c r="A681" s="3"/>
      <c r="B681" s="284"/>
      <c r="D681"/>
    </row>
    <row r="682" spans="1:4">
      <c r="A682" s="3"/>
      <c r="B682" s="284"/>
      <c r="D682"/>
    </row>
    <row r="683" spans="1:4">
      <c r="A683" s="3"/>
      <c r="B683" s="284"/>
      <c r="D683"/>
    </row>
    <row r="684" spans="1:4">
      <c r="A684" s="3"/>
      <c r="B684" s="284"/>
      <c r="D684"/>
    </row>
    <row r="685" spans="1:4">
      <c r="A685" s="3"/>
      <c r="B685" s="284"/>
      <c r="D685"/>
    </row>
    <row r="686" spans="1:4">
      <c r="A686" s="3"/>
      <c r="B686" s="284"/>
      <c r="D686"/>
    </row>
    <row r="687" spans="1:4">
      <c r="A687" s="3"/>
      <c r="B687" s="284"/>
      <c r="D687"/>
    </row>
    <row r="688" spans="1:4">
      <c r="A688" s="3"/>
      <c r="B688" s="284"/>
      <c r="D688"/>
    </row>
    <row r="689" spans="1:4">
      <c r="A689" s="3"/>
      <c r="B689" s="284"/>
      <c r="D689"/>
    </row>
    <row r="690" spans="1:4">
      <c r="A690" s="3"/>
      <c r="B690" s="284"/>
      <c r="D690"/>
    </row>
    <row r="691" spans="1:4">
      <c r="A691" s="3"/>
      <c r="B691" s="284"/>
      <c r="D691"/>
    </row>
    <row r="692" spans="1:4">
      <c r="A692" s="3"/>
      <c r="B692" s="284"/>
      <c r="D692"/>
    </row>
    <row r="693" spans="1:4">
      <c r="A693" s="3"/>
      <c r="B693" s="284"/>
      <c r="D693"/>
    </row>
    <row r="694" spans="1:4">
      <c r="A694" s="3"/>
      <c r="B694" s="284"/>
      <c r="D694"/>
    </row>
    <row r="695" spans="1:4">
      <c r="A695" s="3"/>
      <c r="B695" s="284"/>
      <c r="D695"/>
    </row>
    <row r="696" spans="1:4">
      <c r="A696" s="3"/>
      <c r="B696" s="284"/>
      <c r="D696"/>
    </row>
    <row r="697" spans="1:4">
      <c r="A697" s="3"/>
      <c r="B697" s="284"/>
      <c r="D697"/>
    </row>
    <row r="698" spans="1:4">
      <c r="A698" s="3"/>
      <c r="B698" s="284"/>
      <c r="D698"/>
    </row>
    <row r="699" spans="1:4">
      <c r="A699" s="3"/>
      <c r="B699" s="284"/>
      <c r="D699"/>
    </row>
    <row r="700" spans="1:4">
      <c r="A700" s="3"/>
      <c r="B700" s="284"/>
      <c r="D700"/>
    </row>
    <row r="701" spans="1:4">
      <c r="A701" s="3"/>
      <c r="B701" s="284"/>
      <c r="D701"/>
    </row>
    <row r="702" spans="1:4">
      <c r="A702" s="3"/>
      <c r="B702" s="284"/>
      <c r="D702"/>
    </row>
    <row r="703" spans="1:4">
      <c r="A703" s="3"/>
      <c r="B703" s="284"/>
      <c r="D703"/>
    </row>
    <row r="704" spans="1:4">
      <c r="A704" s="3"/>
      <c r="B704" s="284"/>
      <c r="D704"/>
    </row>
    <row r="705" spans="1:4">
      <c r="A705" s="3"/>
      <c r="B705" s="284"/>
      <c r="D705"/>
    </row>
    <row r="706" spans="1:4">
      <c r="A706" s="3"/>
      <c r="B706" s="284"/>
      <c r="D706"/>
    </row>
    <row r="707" spans="1:4">
      <c r="A707" s="3"/>
      <c r="B707" s="284"/>
      <c r="D707"/>
    </row>
    <row r="708" spans="1:4">
      <c r="A708" s="3"/>
      <c r="B708" s="284"/>
      <c r="D708"/>
    </row>
    <row r="709" spans="1:4">
      <c r="A709" s="3"/>
      <c r="B709" s="284"/>
      <c r="D709"/>
    </row>
    <row r="710" spans="1:4">
      <c r="A710" s="3"/>
      <c r="B710" s="284"/>
      <c r="D710"/>
    </row>
    <row r="711" spans="1:4">
      <c r="A711" s="3"/>
      <c r="B711" s="284"/>
      <c r="D711"/>
    </row>
    <row r="712" spans="1:4">
      <c r="A712" s="3"/>
      <c r="B712" s="284"/>
      <c r="D712"/>
    </row>
    <row r="713" spans="1:4">
      <c r="A713" s="3"/>
      <c r="B713" s="284"/>
      <c r="D713"/>
    </row>
    <row r="714" spans="1:4">
      <c r="A714" s="3"/>
      <c r="B714" s="284"/>
      <c r="D714"/>
    </row>
    <row r="715" spans="1:4">
      <c r="A715" s="3"/>
      <c r="B715" s="284"/>
      <c r="D715"/>
    </row>
    <row r="716" spans="1:4">
      <c r="A716" s="3"/>
      <c r="B716" s="284"/>
      <c r="D716"/>
    </row>
    <row r="717" spans="1:4">
      <c r="A717" s="3"/>
      <c r="B717" s="284"/>
      <c r="D717"/>
    </row>
    <row r="718" spans="1:4">
      <c r="A718" s="3"/>
      <c r="B718" s="284"/>
      <c r="D718"/>
    </row>
    <row r="719" spans="1:4">
      <c r="A719" s="3"/>
      <c r="B719" s="284"/>
      <c r="D719"/>
    </row>
    <row r="720" spans="1:4">
      <c r="A720" s="3"/>
      <c r="B720" s="284"/>
      <c r="D720"/>
    </row>
    <row r="721" spans="1:4">
      <c r="A721" s="3"/>
      <c r="B721" s="284"/>
      <c r="D721"/>
    </row>
    <row r="722" spans="1:4">
      <c r="A722" s="3"/>
      <c r="B722" s="284"/>
      <c r="D722"/>
    </row>
    <row r="723" spans="1:4">
      <c r="A723" s="3"/>
      <c r="B723" s="284"/>
      <c r="D723"/>
    </row>
    <row r="724" spans="1:4">
      <c r="A724" s="3"/>
      <c r="B724" s="284"/>
      <c r="D724"/>
    </row>
    <row r="725" spans="1:4">
      <c r="A725" s="3"/>
      <c r="B725" s="284"/>
      <c r="D725"/>
    </row>
    <row r="726" spans="1:4">
      <c r="A726" s="3"/>
      <c r="B726" s="284"/>
      <c r="D726"/>
    </row>
    <row r="727" spans="1:4">
      <c r="A727" s="3"/>
      <c r="B727" s="284"/>
      <c r="D727"/>
    </row>
    <row r="728" spans="1:4">
      <c r="A728" s="3"/>
      <c r="B728" s="284"/>
      <c r="D728"/>
    </row>
    <row r="729" spans="1:4">
      <c r="A729" s="3"/>
      <c r="B729" s="284"/>
      <c r="D729"/>
    </row>
    <row r="730" spans="1:4">
      <c r="A730" s="3"/>
      <c r="B730" s="284"/>
      <c r="D730"/>
    </row>
    <row r="731" spans="1:4">
      <c r="A731" s="3"/>
      <c r="B731" s="284"/>
      <c r="D731"/>
    </row>
    <row r="732" spans="1:4">
      <c r="A732" s="3"/>
      <c r="B732" s="284"/>
      <c r="D732"/>
    </row>
    <row r="733" spans="1:4">
      <c r="A733" s="3"/>
      <c r="B733" s="284"/>
      <c r="D733"/>
    </row>
    <row r="734" spans="1:4">
      <c r="A734" s="3"/>
      <c r="B734" s="284"/>
      <c r="D734"/>
    </row>
    <row r="735" spans="1:4">
      <c r="A735" s="3"/>
      <c r="B735" s="284"/>
      <c r="D735"/>
    </row>
    <row r="736" spans="1:4">
      <c r="A736" s="3"/>
      <c r="B736" s="284"/>
      <c r="D736"/>
    </row>
    <row r="737" spans="1:4">
      <c r="A737" s="3"/>
      <c r="B737" s="284"/>
      <c r="D737"/>
    </row>
    <row r="738" spans="1:4">
      <c r="A738" s="3"/>
      <c r="B738" s="284"/>
      <c r="D738"/>
    </row>
    <row r="739" spans="1:4">
      <c r="A739" s="3"/>
      <c r="B739" s="284"/>
      <c r="D739"/>
    </row>
    <row r="740" spans="1:4">
      <c r="A740" s="3"/>
      <c r="B740" s="284"/>
      <c r="D740"/>
    </row>
    <row r="741" spans="1:4">
      <c r="A741" s="3"/>
      <c r="B741" s="284"/>
      <c r="D741"/>
    </row>
    <row r="742" spans="1:4">
      <c r="A742" s="3"/>
      <c r="B742" s="284"/>
      <c r="D742"/>
    </row>
    <row r="743" spans="1:4">
      <c r="A743" s="3"/>
      <c r="B743" s="284"/>
      <c r="D743"/>
    </row>
    <row r="744" spans="1:4">
      <c r="A744" s="3"/>
      <c r="B744" s="284"/>
      <c r="D744"/>
    </row>
    <row r="745" spans="1:4">
      <c r="A745" s="3"/>
      <c r="B745" s="284"/>
      <c r="D745"/>
    </row>
    <row r="746" spans="1:4">
      <c r="A746" s="3"/>
      <c r="B746" s="284"/>
      <c r="D746"/>
    </row>
    <row r="747" spans="1:4">
      <c r="A747" s="3"/>
      <c r="B747" s="284"/>
      <c r="D747"/>
    </row>
    <row r="748" spans="1:4">
      <c r="A748" s="3"/>
      <c r="B748" s="284"/>
      <c r="D748"/>
    </row>
    <row r="749" spans="1:4">
      <c r="A749" s="3"/>
      <c r="B749" s="284"/>
      <c r="D749"/>
    </row>
    <row r="750" spans="1:4">
      <c r="A750" s="3"/>
      <c r="B750" s="284"/>
      <c r="D750"/>
    </row>
    <row r="751" spans="1:4">
      <c r="A751" s="3"/>
      <c r="B751" s="284"/>
      <c r="D751"/>
    </row>
    <row r="752" spans="1:4">
      <c r="A752" s="3"/>
      <c r="B752" s="284"/>
      <c r="D752"/>
    </row>
    <row r="753" spans="1:4">
      <c r="A753" s="3"/>
      <c r="B753" s="284"/>
      <c r="D753"/>
    </row>
    <row r="754" spans="1:4">
      <c r="A754" s="3"/>
      <c r="B754" s="284"/>
      <c r="D754"/>
    </row>
    <row r="755" spans="1:4">
      <c r="A755" s="3"/>
      <c r="B755" s="284"/>
      <c r="D755"/>
    </row>
    <row r="756" spans="1:4">
      <c r="A756" s="3"/>
      <c r="B756" s="284"/>
      <c r="D756"/>
    </row>
    <row r="757" spans="1:4">
      <c r="A757" s="3"/>
      <c r="B757" s="284"/>
      <c r="D757"/>
    </row>
    <row r="758" spans="1:4">
      <c r="A758" s="3"/>
      <c r="B758" s="284"/>
      <c r="D758"/>
    </row>
    <row r="759" spans="1:4">
      <c r="A759" s="3"/>
      <c r="B759" s="284"/>
      <c r="D759"/>
    </row>
    <row r="760" spans="1:4">
      <c r="A760" s="3"/>
      <c r="B760" s="284"/>
      <c r="D760"/>
    </row>
    <row r="761" spans="1:4">
      <c r="A761" s="3"/>
      <c r="B761" s="284"/>
      <c r="D761"/>
    </row>
    <row r="762" spans="1:4">
      <c r="A762" s="3"/>
      <c r="B762" s="284"/>
      <c r="D762"/>
    </row>
    <row r="763" spans="1:4">
      <c r="A763" s="3"/>
      <c r="B763" s="284"/>
      <c r="D763"/>
    </row>
    <row r="764" spans="1:4">
      <c r="A764" s="3"/>
      <c r="B764" s="284"/>
      <c r="D764"/>
    </row>
    <row r="765" spans="1:4">
      <c r="A765" s="3"/>
      <c r="B765" s="284"/>
      <c r="D765"/>
    </row>
    <row r="766" spans="1:4">
      <c r="A766" s="3"/>
      <c r="B766" s="284"/>
      <c r="D766"/>
    </row>
    <row r="767" spans="1:4">
      <c r="A767" s="3"/>
      <c r="B767" s="284"/>
      <c r="D767"/>
    </row>
    <row r="768" spans="1:4">
      <c r="A768" s="3"/>
      <c r="B768" s="284"/>
      <c r="D768"/>
    </row>
  </sheetData>
  <autoFilter ref="A1:D415" xr:uid="{00000000-0009-0000-0000-000008000000}"/>
  <dataValidations count="2">
    <dataValidation type="list" allowBlank="1" showInputMessage="1" showErrorMessage="1" sqref="A143:A194" xr:uid="{00000000-0002-0000-0800-000000000000}">
      <formula1>"Pla Especial ZVG,Estratègia per la gestió del vulcanisme,Estratègia de gestió de la flora i la vegetació,Estratègia agrària,Estratègia de Turisme Sostenible de la Garrotxa,MAP"</formula1>
    </dataValidation>
    <dataValidation type="list" allowBlank="1" showInputMessage="1" showErrorMessage="1" sqref="A769:A1048576 A195:A376 A2:A142" xr:uid="{00000000-0002-0000-0800-000001000000}">
      <formula1>"Pla de protecció,MAP,Programa anual d'actuacions,Pla d'educació ambiental i voluntariat,Estratègia de geoconservació,Pla d'impuls a la ramaderia extensiva,Estratègia de turisme sostenible"</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6"/>
  <sheetViews>
    <sheetView topLeftCell="A2" workbookViewId="0">
      <selection activeCell="D9" sqref="D9"/>
    </sheetView>
  </sheetViews>
  <sheetFormatPr defaultColWidth="8.5703125" defaultRowHeight="14.45"/>
  <cols>
    <col min="1" max="1" width="13.28515625" customWidth="1"/>
    <col min="2" max="2" width="16" customWidth="1"/>
  </cols>
  <sheetData>
    <row r="1" spans="1:5" ht="29.1">
      <c r="A1" s="4" t="s">
        <v>270</v>
      </c>
      <c r="B1" s="4" t="s">
        <v>271</v>
      </c>
      <c r="C1" s="2" t="s">
        <v>278</v>
      </c>
      <c r="E1" t="s">
        <v>2834</v>
      </c>
    </row>
    <row r="2" spans="1:5">
      <c r="A2" t="s">
        <v>301</v>
      </c>
      <c r="B2" t="s">
        <v>332</v>
      </c>
      <c r="C2" t="s">
        <v>492</v>
      </c>
      <c r="E2" t="s">
        <v>57</v>
      </c>
    </row>
    <row r="3" spans="1:5">
      <c r="A3" t="s">
        <v>364</v>
      </c>
      <c r="B3" t="s">
        <v>483</v>
      </c>
      <c r="C3" t="s">
        <v>306</v>
      </c>
      <c r="E3" t="s">
        <v>81</v>
      </c>
    </row>
    <row r="4" spans="1:5">
      <c r="C4" t="s">
        <v>320</v>
      </c>
    </row>
    <row r="5" spans="1:5">
      <c r="C5" t="s">
        <v>421</v>
      </c>
    </row>
    <row r="6" spans="1:5">
      <c r="C6" t="s">
        <v>773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7019833AC320D428A293A03A49FABD8" ma:contentTypeVersion="5" ma:contentTypeDescription="Create a new document." ma:contentTypeScope="" ma:versionID="c7c3eb2773817d7d2064c864f5a86d73">
  <xsd:schema xmlns:xsd="http://www.w3.org/2001/XMLSchema" xmlns:xs="http://www.w3.org/2001/XMLSchema" xmlns:p="http://schemas.microsoft.com/office/2006/metadata/properties" xmlns:ns2="9e7c3cc8-3d95-4863-a840-d0763af4cdf3" xmlns:ns3="690babf8-d717-4ca8-b6c6-03a5796b841d" targetNamespace="http://schemas.microsoft.com/office/2006/metadata/properties" ma:root="true" ma:fieldsID="e93f2e9b51188098db70213e25ce9194" ns2:_="" ns3:_="">
    <xsd:import namespace="9e7c3cc8-3d95-4863-a840-d0763af4cdf3"/>
    <xsd:import namespace="690babf8-d717-4ca8-b6c6-03a5796b841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7c3cc8-3d95-4863-a840-d0763af4cdf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90babf8-d717-4ca8-b6c6-03a5796b841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C36CAB-25CB-4BD5-9D74-9DBB0B56FBD3}"/>
</file>

<file path=customXml/itemProps2.xml><?xml version="1.0" encoding="utf-8"?>
<ds:datastoreItem xmlns:ds="http://schemas.openxmlformats.org/officeDocument/2006/customXml" ds:itemID="{9C3BBD1B-D8EB-4F55-AA85-1B39798B5B8A}"/>
</file>

<file path=customXml/itemProps3.xml><?xml version="1.0" encoding="utf-8"?>
<ds:datastoreItem xmlns:ds="http://schemas.openxmlformats.org/officeDocument/2006/customXml" ds:itemID="{F0687FF4-492A-4708-A78D-9596ABEEFD47}"/>
</file>

<file path=customXml/itemProps4.xml><?xml version="1.0" encoding="utf-8"?>
<ds:datastoreItem xmlns:ds="http://schemas.openxmlformats.org/officeDocument/2006/customXml" ds:itemID="{F55CCAEA-5A82-4523-B743-F088AD5488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Cristina Terraza Rovira</cp:lastModifiedBy>
  <cp:revision/>
  <dcterms:created xsi:type="dcterms:W3CDTF">2015-06-05T18:17:20Z</dcterms:created>
  <dcterms:modified xsi:type="dcterms:W3CDTF">2025-09-12T09:26:09Z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47bbf2c7-2d49-4148-8195-e59e509efdda</vt:lpwstr>
  </property>
  <property fmtid="{D5CDD505-2E9C-101B-9397-08002B2CF9AE}" pid="4" name="MediaServiceImageTags">
    <vt:lpwstr/>
  </property>
  <property fmtid="{D5CDD505-2E9C-101B-9397-08002B2CF9AE}" pid="5" name="Order">
    <vt:r8>6700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