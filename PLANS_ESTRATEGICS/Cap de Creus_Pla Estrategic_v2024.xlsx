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9"/>
  <workbookPr/>
  <mc:AlternateContent xmlns:mc="http://schemas.openxmlformats.org/markup-compatibility/2006">
    <mc:Choice Requires="x15">
      <x15ac:absPath xmlns:x15ac="http://schemas.microsoft.com/office/spreadsheetml/2010/11/ac" url="d:\36981662P\OneDrive - Generalitat de Catalunya\Plans estratègics\Cap de Creus\"/>
    </mc:Choice>
  </mc:AlternateContent>
  <xr:revisionPtr revIDLastSave="50" documentId="11_5794AC3F57FEB630D2A5906DDACA5EC66B70C0E8" xr6:coauthVersionLast="47" xr6:coauthVersionMax="47" xr10:uidLastSave="{D20FE661-519E-4D11-AB7A-7A07DDA2DC1F}"/>
  <bookViews>
    <workbookView xWindow="-28920" yWindow="-120" windowWidth="29040" windowHeight="9870" firstSheet="3" activeTab="3" xr2:uid="{00000000-000D-0000-FFFF-FFFF00000000}"/>
  </bookViews>
  <sheets>
    <sheet name="ESTRATÈGIA" sheetId="8" r:id="rId1"/>
    <sheet name="INSTRUCCIONS" sheetId="6" r:id="rId2"/>
    <sheet name="PRIORITZACIÓ" sheetId="7" r:id="rId3"/>
    <sheet name="PLA" sheetId="3" r:id="rId4"/>
    <sheet name="VINCLE AMENAÇA_OBJ. OPERATIU" sheetId="9" r:id="rId5"/>
    <sheet name="Taxonomia Amenaces" sheetId="10" r:id="rId6"/>
    <sheet name="Llistes" sheetId="11" r:id="rId7"/>
    <sheet name="Full1" sheetId="5" state="hidden" r:id="rId8"/>
  </sheets>
  <definedNames>
    <definedName name="_xlnm._FilterDatabase" localSheetId="3" hidden="1">PLA!$A$4:$V$4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9" l="1"/>
  <c r="B6" i="9" l="1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J52" i="3"/>
  <c r="J193" i="3"/>
  <c r="J19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Parpal Servole, Jordi</author>
  </authors>
  <commentList>
    <comment ref="G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Parpal Servole, Jordi:</t>
        </r>
        <r>
          <rPr>
            <sz val="9"/>
            <color indexed="81"/>
            <rFont val="Tahoma"/>
            <family val="2"/>
          </rPr>
          <t xml:space="preserve">
Els Parcs haurien d'optar per suprimir o modificar els objectius operatius que no es consideren obligats per a tots els Parcs (columna I)</t>
        </r>
      </text>
    </comment>
  </commentList>
</comments>
</file>

<file path=xl/sharedStrings.xml><?xml version="1.0" encoding="utf-8"?>
<sst xmlns="http://schemas.openxmlformats.org/spreadsheetml/2006/main" count="2697" uniqueCount="1130">
  <si>
    <t xml:space="preserve">ESQUEMA CONCEPTUAL PER A LA ELABORACIÓ DEL PLA ESTRATÈGIC EN EL MARC </t>
  </si>
  <si>
    <t>DELS ESTÀNDARDS OBERTS PER A LA GESTIÓ ADAPTATIVA A CATALUNYA</t>
  </si>
  <si>
    <t>PESTANYA DE PRIORITZACIÓ</t>
  </si>
  <si>
    <t>Llistat elements:</t>
  </si>
  <si>
    <t>Tasca 1: Revisar el llistat d'elements prioritzats per tal d'avaluar si cal afegir-ne algun o treure'n algun. A la columna comentaris cal argumentar, breument, el perquè de la decisió.</t>
  </si>
  <si>
    <t>Llistat amenaces:</t>
  </si>
  <si>
    <t>Tasca 2: A partir de la taxonomia d'amenaces que es troba a la pestanya final, cal omplir les tres columnes (E, F i G) amb les tres principals amenaces per a la conservació de l'element. S'afegeixi una darrera columna per si hi ha amenaces que no es troben incloses a la taxonomia.</t>
  </si>
  <si>
    <t>PESTANYA DEL PLA</t>
  </si>
  <si>
    <t>Explicacions:</t>
  </si>
  <si>
    <t>7 Eixos temàtics</t>
  </si>
  <si>
    <t>Els objectius generals estan directament associats als objectius generals dels Plans de Protecció del medi naatural i del paisatge. NO ES PODEN RETOCAR</t>
  </si>
  <si>
    <t>Objectius estratègics: definits en un grup de treball intern de serveis Centrals i dels Parcs durant l'any 2023. NO ES PODEN RETOCAR</t>
  </si>
  <si>
    <t>Objectius operacionals: definits en un grup de treball intern de serveis Centrals i dels Parcs durant l'any 2023</t>
  </si>
  <si>
    <t>Tasques a realitzar:</t>
  </si>
  <si>
    <t>Objectius operacionals:</t>
  </si>
  <si>
    <t xml:space="preserve">El llistat d'objectius operacionals té una columna al costa (columna I) on s'indica si l'objectiu és obligatori de mantenir al Pla estratègic o no. </t>
  </si>
  <si>
    <t>Tasca 1: Columna I. Revisar els que es posa com a obligatoris per veure si són realment aplicables a l'espai o no.</t>
  </si>
  <si>
    <t>Tasca 2: Columna I. Revisar els que posa "Opcional" per identificar els que són aplicables o no a l'espai. O, també, determinar si algun d'ells seria aplicable o es pot concretar millor el redactat de l'objectiu.</t>
  </si>
  <si>
    <t xml:space="preserve">Tasca 3: Columna J. En ambdós casos, cal posar a la columna J, el redactat final de l'objectiu concretat a l'espai. En el cas de que l'objectiu s'elimina, posar "NA". Ara es reprodueix el redactat dels objectius operacionals derivats del grup de treball esmentat </t>
  </si>
  <si>
    <t>Tasca 4: Columna K. Per tots els casos en que hi ha modificació respecte al redactat original de l'objectiu operatiu -i, també, en el cas que es consideri que s'ha d'eliminar-, a la columna K cal redactar molt breument el motiu pel qual es prèn la decisió.</t>
  </si>
  <si>
    <t>Tasca 5: Columna L. Incloure un Si/No avaluant si l'objectiu operatiu podria tenir mesures a incorporar a la programació d'actuacions de l'espai (Si) o, per altra banda, el seu assoliment depèn d'altres òrgans, com l'ACA o altres serveis dins la DGPAMN (No).</t>
  </si>
  <si>
    <t>Tasca 6: Columna M. Definir la prioritat que hauria de tenir l'assoliment de l'objectiu (màxima, si cal assolir en els propers 4 anys, o altrament alta, mitja o baixa). També hi ha l'opció de prioritat a assolir a més llarg termini.</t>
  </si>
  <si>
    <t>Propostes genèriques d'accions:</t>
  </si>
  <si>
    <t xml:space="preserve">Tasca 7: Columna N. En aquest columna cal introduir les accions, de manera genèrica, que caldria aplicar a l'espai per tal d'assolir l'objectiu operatiu. No es tracta d'un llistat d'accions concretes si no, més aviat, accions generals que acabarien concretant-se en la programació anual. PER A INICIAR AMB LA TAULA US PODEU BASAR MOLT EN LA FEINA JA FETA DE PRIORITZACIÓ DE MESURES PEL MAP  </t>
  </si>
  <si>
    <t xml:space="preserve">En el cas dels objectius operatius que s'ha considerat que no són aplicables a l'espai, cal avaluar si podrien tenir alguna acció que sí tindria sentit d'incloure al Pla estratègic tot i que l'objectiu de manera global no hi ´seria d'aplicació. </t>
  </si>
  <si>
    <t>Indicadors:</t>
  </si>
  <si>
    <t>Tasca 8: Columna Q. Posar un indicar SMART per avaluar el compliment de la mesura proposada a la columna N</t>
  </si>
  <si>
    <t>Fites a assolir en 4 anys:</t>
  </si>
  <si>
    <t>Tasca 9: Posar un valor de l'indicador a asolir: valor mínim necessari (columna R) o valor desitjable (columna S).</t>
  </si>
  <si>
    <t>Hores de dedicació:</t>
  </si>
  <si>
    <t xml:space="preserve">Tasca 10: Columna T. Realitzar una aproximació el més acurada que es pugui de les hores del personal de gestió de l'espai que cal destinar per a la realització de l'acció. </t>
  </si>
  <si>
    <t>Àrea responsable:</t>
  </si>
  <si>
    <t>Tasca 11: Columna U. Indicar quina àrea de l'equip de gestió és responsable de coordinar l'execució de l'acció.</t>
  </si>
  <si>
    <t>Persona responsable:</t>
  </si>
  <si>
    <t>Tasca 12: Columna V. Indicar quina persona dins l'àrea seria l'encarregada.</t>
  </si>
  <si>
    <t>PESTANYA DEL VINCLE</t>
  </si>
  <si>
    <t>Definir vincle amenaça vs. Obj. Operatiu</t>
  </si>
  <si>
    <t xml:space="preserve">Tasca 1: Establir / Revisar el vincle entre les amenaces identificades a la pestanya de priorització i els objectius operatius definits a la columna J de la pestanya Pla. La columna B conté el llistat dels objectius operatius tal i com quedaran definits després de la vostra revisió. </t>
  </si>
  <si>
    <t xml:space="preserve">Tasca 2: En cas que es pugui, definir l'amenaça / factor / causa concret a la que atén l'objectiu definit al Pla. Poden ser més d'una. </t>
  </si>
  <si>
    <t xml:space="preserve"> És important que es visualitzi a quina amenaça es dirigeix l'objectiu operatiu que es proposa al Pla, tot i que, no sempre hi ha d'haver un vincle clar. Pot haver algun objectiu sense amenaça vinculada.</t>
  </si>
  <si>
    <t>Llistats corresponent a l'espai de Natura 2000 ES512007"Cap de Creus"</t>
  </si>
  <si>
    <t>Nota: Poso només els elements prioritzats per la UIC a l'exercici dels índexs de rellevància</t>
  </si>
  <si>
    <t>LLISTAT D'ELEMENTS PRESENT A L'ESPAI</t>
  </si>
  <si>
    <t>AMENACES PER A CADA ELEMENT</t>
  </si>
  <si>
    <t>Hàbitats d'interès comunitari</t>
  </si>
  <si>
    <t>Prioritzat</t>
  </si>
  <si>
    <t>Puntuació índex rellevància</t>
  </si>
  <si>
    <t>Comentaris en cas de canvi en la priorització</t>
  </si>
  <si>
    <t>Amenaça 1 segons taxonomia</t>
  </si>
  <si>
    <t>Amenaça 2 segons taxonomia</t>
  </si>
  <si>
    <t>Amenaça 3 segons taxonomia</t>
  </si>
  <si>
    <t>Altres amenaces</t>
  </si>
  <si>
    <t>Si</t>
  </si>
  <si>
    <t>Inclou el primer quartil de l'exercici de la UIC per prioritzar els elements present a cada espai de Natura 2000, és a dir, el 25% dels</t>
  </si>
  <si>
    <t>elements amb major índex de rellevància a l'espai. Veure document metodològic aquí:</t>
  </si>
  <si>
    <t>92D0</t>
  </si>
  <si>
    <t>https://gencat.sharepoint.com/sites/Informaciiconeixementpatrimoninatural2/Documents%20compartits/Forms/AllItems.aspx?csf=1&amp;web=1&amp;e=3x4ZkK&amp;ovuser=3b9427dc%2Dd30e%2D43bc%2D8c06%2Dff7253676fec%2Cjordiparpal%40gencat%2Ecat&amp;OR=Teams%2DHL&amp;CT=1713942253212&amp;clic</t>
  </si>
  <si>
    <t>Espècies presents a l'espai</t>
  </si>
  <si>
    <t>Saga pedo</t>
  </si>
  <si>
    <t>Testudo hermanni</t>
  </si>
  <si>
    <t>Oenanthe hispanica</t>
  </si>
  <si>
    <t>Alectoris rufa</t>
  </si>
  <si>
    <t>Emberiza hortulana</t>
  </si>
  <si>
    <t>Myotis blythii</t>
  </si>
  <si>
    <t>Rhinolophus ferrumequinum</t>
  </si>
  <si>
    <t>Spiranthes aestivalis</t>
  </si>
  <si>
    <t>Aquila fasciata</t>
  </si>
  <si>
    <t>Phalacrocorax aristotelis</t>
  </si>
  <si>
    <t>Miniopterus schreibersii</t>
  </si>
  <si>
    <t>Sylvia undata</t>
  </si>
  <si>
    <t>Tursiops truncatus</t>
  </si>
  <si>
    <t>Galerida theklae</t>
  </si>
  <si>
    <t>Apus pallidus</t>
  </si>
  <si>
    <t>Falco peregrinus</t>
  </si>
  <si>
    <t>Lanius senator</t>
  </si>
  <si>
    <t>Muscicapa striata</t>
  </si>
  <si>
    <t>Saxicola torquatus</t>
  </si>
  <si>
    <t>Anthus campestris</t>
  </si>
  <si>
    <t>Asplenium marinum</t>
  </si>
  <si>
    <t>Seseli farrenyii</t>
  </si>
  <si>
    <t>Reseda jacquinii litigiosa</t>
  </si>
  <si>
    <t>Bunium bulbocastanum</t>
  </si>
  <si>
    <t>Erodium foetidum</t>
  </si>
  <si>
    <t>MODEL DE PLA ESTRATÈGIC PELS ENP</t>
  </si>
  <si>
    <t>Espai natural protegit:</t>
  </si>
  <si>
    <t>Cap de Creus</t>
  </si>
  <si>
    <t>Fita a assolir en 4 anys</t>
  </si>
  <si>
    <t>Gestió interna</t>
  </si>
  <si>
    <t>EIXOS</t>
  </si>
  <si>
    <t>OBJECTIUS Generals (PP)</t>
  </si>
  <si>
    <t>OBJECTIUS Estratègics</t>
  </si>
  <si>
    <t>Codi OP comú</t>
  </si>
  <si>
    <t>OBJECTIUS operatius / Línia estratègica</t>
  </si>
  <si>
    <t>Comú / Específic</t>
  </si>
  <si>
    <t>Obligatori / Optatiu</t>
  </si>
  <si>
    <t>Objectiu operatiu concret a l'espai</t>
  </si>
  <si>
    <t>Explicació de la decisió presa en el cas de canvis respecte al llistat inicial (columna G)</t>
  </si>
  <si>
    <t>Objectiu amb mesures incorporables a la planificació anual de la gestió de l'espai?</t>
  </si>
  <si>
    <t>Prioritat</t>
  </si>
  <si>
    <t>Propostes genèriques d'accions</t>
  </si>
  <si>
    <t>indicadors</t>
  </si>
  <si>
    <t>Mínima</t>
  </si>
  <si>
    <t>Màxim (Desitjable)</t>
  </si>
  <si>
    <t>Hores de dedicació</t>
  </si>
  <si>
    <t>Àrea responsable</t>
  </si>
  <si>
    <t>Persona responsable</t>
  </si>
  <si>
    <t>responsable 2</t>
  </si>
  <si>
    <t>NATURA</t>
  </si>
  <si>
    <t>CONSERVAR LA NATURA i restaurar els ecosistemes, els processos naturals i seminaturals, la biodiversitat i la geodiversitat associada.</t>
  </si>
  <si>
    <t>01.1</t>
  </si>
  <si>
    <t>Adequar i fer eficient la conservació dels elements objecte de gestió prioritària marcats per la DG a l'ENP</t>
  </si>
  <si>
    <t>01.1.1</t>
  </si>
  <si>
    <t>Implementar i executar plans de gestió específics per a hàbitats i espècies de conservació prioritària dins l'ENP</t>
  </si>
  <si>
    <t>Comú</t>
  </si>
  <si>
    <t xml:space="preserve">Obligatori </t>
  </si>
  <si>
    <t>Pel cas del Cap de Creus no cal</t>
  </si>
  <si>
    <t>ALTA</t>
  </si>
  <si>
    <t>Realitzar actuacions de millora de les poblacions d’espècies clau, especialment perdiu i conill, i dels seus hàbitats</t>
  </si>
  <si>
    <t>Nombre d'hectàrees gestionades + nombre de perdius + conills alliberats</t>
  </si>
  <si>
    <t>200 + 500 + 100</t>
  </si>
  <si>
    <t xml:space="preserve">400 + 1000 + 200 </t>
  </si>
  <si>
    <t>JB</t>
  </si>
  <si>
    <t>Patrimoni Natural</t>
  </si>
  <si>
    <t>01.1.2</t>
  </si>
  <si>
    <t>Adaptar i executar plans de gestió específics per a elements geològics de conservació prioritària dins l'ENP</t>
  </si>
  <si>
    <t xml:space="preserve">Adaptar i executar plans de gestió específics per a elements geològics de conservació prioritària dins l'ENP. </t>
  </si>
  <si>
    <t>MITJANA</t>
  </si>
  <si>
    <t>Preservar els elements geològics d’interès de l'espai i, particularment, els afloraments característics de Cap de Creus.</t>
  </si>
  <si>
    <t>Realització de l'inventari i registre de l'estat de conservació</t>
  </si>
  <si>
    <t>OP</t>
  </si>
  <si>
    <t>01.1.3</t>
  </si>
  <si>
    <t>01.2</t>
  </si>
  <si>
    <t>Executar les mesures de gestió directa previstes en els intruments de planificació per la conservació i la gestió adaptativa dels elements clau de l'ENP</t>
  </si>
  <si>
    <t>01.2.1</t>
  </si>
  <si>
    <t>Implementar la metodologia de gestió adaptativa (Estàndards Oberts de Gestió Adaptativa a Catalunya) en tots els processos de l'ENP</t>
  </si>
  <si>
    <t>Obligatori</t>
  </si>
  <si>
    <t>Utilitzar el mètode OS als projectes de l'ENP</t>
  </si>
  <si>
    <t>Utilització</t>
  </si>
  <si>
    <t xml:space="preserve">Tots </t>
  </si>
  <si>
    <t xml:space="preserve">PF </t>
  </si>
  <si>
    <t>01.2.2</t>
  </si>
  <si>
    <t>Executar les mesures previstes en els plans de conservació o recuperació d'espècies amenaçades de forma coordinada amb el Servei de Flora i Fauna en l'àmbit de l'ENP</t>
  </si>
  <si>
    <r>
      <rPr>
        <sz val="11"/>
        <color theme="1"/>
        <rFont val="Calibri"/>
        <family val="2"/>
      </rPr>
      <t xml:space="preserve">Executar les mesures previstes en els plans de conservació o recuperació d'espècies amenaçades de forma coordinada amb el Servei de Flora i Fauna en l'àmbit de l'ENP. </t>
    </r>
    <r>
      <rPr>
        <sz val="11"/>
        <color theme="1"/>
        <rFont val="Calibri"/>
        <family val="2"/>
      </rPr>
      <t>Participar en l’execució del Pla de recuperació de Seseli farrenyi, planta endèmica del Parc.</t>
    </r>
  </si>
  <si>
    <t>Execució de les mesures de gestió previstes en les espècies que compten amb plans de conservació o recuperació presents al parc</t>
  </si>
  <si>
    <t>Nombre d'actuacions realitzades</t>
  </si>
  <si>
    <t>01.2.3</t>
  </si>
  <si>
    <t>Executar les mesures de gestió previstes en els plans de control i erradicació d'espècies exòtiques de forma coordinada amb el Servei de Flora i Fauna en l'àmbit de l'ENP</t>
  </si>
  <si>
    <r>
      <rPr>
        <sz val="11"/>
        <color theme="1"/>
        <rFont val="Calibri"/>
        <family val="2"/>
      </rPr>
      <t xml:space="preserve">Executar les mesures de gestió previstes en els plans de control i erradicació d'espècies exòtiques de forma coordinada amb el Servei de Flora i Fauna en l'àmbit de l'ENP. </t>
    </r>
    <r>
      <rPr>
        <sz val="11"/>
        <color theme="1"/>
        <rFont val="Calibri"/>
        <family val="2"/>
      </rPr>
      <t>Millorar els hàbitats d'interès comunitari litorals i de ribera mitjançant l'eliminació de flora exòtica invasora.</t>
    </r>
  </si>
  <si>
    <t>MOLT ALTA</t>
  </si>
  <si>
    <t>Fer el manteniment de les espècies exòtiques invasores a la RNI de Cap de Creus, de Cap Norfeu i altres zones priortàries del Parc</t>
  </si>
  <si>
    <t>Nombre d'hectàrees on s'ha actuat</t>
  </si>
  <si>
    <t xml:space="preserve">JB </t>
  </si>
  <si>
    <t>XT</t>
  </si>
  <si>
    <t>01.2.4</t>
  </si>
  <si>
    <t xml:space="preserve">Desplegar els objectius i tasques recollits en els instruments de referència i compromisos internacionals  </t>
  </si>
  <si>
    <t>Específic</t>
  </si>
  <si>
    <t xml:space="preserve">Optatiu </t>
  </si>
  <si>
    <t>01.2.5</t>
  </si>
  <si>
    <t>Tenir un bon estat de conservació i gestió dels hàbitats d’interès comunitari del Parc</t>
  </si>
  <si>
    <t>Aplicació del document tècnic per a la gestió dels hàbitats d’interès comunitari del Parc.</t>
  </si>
  <si>
    <t>Aplicació d'un mínim d'una acció cada any de les contemplades al Pla</t>
  </si>
  <si>
    <t>01.2.6</t>
  </si>
  <si>
    <t xml:space="preserve">Garantir el bon estat dels hàbitats marins del Parc 
</t>
  </si>
  <si>
    <t>Realitzar actuacions que evitin malmetre els hàbitats litorals i marins i millorin la seguretat amb el fondeig, mitjançant el manteniment de la instal·lació de boies per a les activitats d'immersió i creuers turístics.</t>
  </si>
  <si>
    <t xml:space="preserve">Nombre de boies que eviten malmetre els herbassars de posidònia </t>
  </si>
  <si>
    <t>AP</t>
  </si>
  <si>
    <t>01.3</t>
  </si>
  <si>
    <t>Crear ecosistemes complexes, resilients, i d'alta biodiversitat per garantir la recuperació dels processos ecosistèmics</t>
  </si>
  <si>
    <t>01.3.1</t>
  </si>
  <si>
    <t>Identificar espais pel foment de la dinàmica natural i l'aprofitament no extractiu</t>
  </si>
  <si>
    <t>01.3.2</t>
  </si>
  <si>
    <t>Afavorir la maduresa dels sistemes forestals</t>
  </si>
  <si>
    <t>01.3.3</t>
  </si>
  <si>
    <t>Generar pertorbacions controlades</t>
  </si>
  <si>
    <t>01.3.4</t>
  </si>
  <si>
    <t xml:space="preserve">Restaurar la dinàmica natural dels rius </t>
  </si>
  <si>
    <t>01.3.5</t>
  </si>
  <si>
    <t>Fomentar el paisatge en mosaïc</t>
  </si>
  <si>
    <t>Fomentar el paisatge en mosaïc a través de la millora dels hàbitats oberts i potenciar les poblacions de fauna que hi viu, especialment aquelles d'interès comunitari i espècies clau de l'ecosistema.</t>
  </si>
  <si>
    <t>Impulsar cremes controlades a 35ha d'espais arbustius</t>
  </si>
  <si>
    <t>Nº hectàrees cremades al final del pla</t>
  </si>
  <si>
    <t>XV</t>
  </si>
  <si>
    <t>Millora Rural</t>
  </si>
  <si>
    <t>01.3.6</t>
  </si>
  <si>
    <t>Gestionar i intervenir en la dinàmica de poblacions de fauna que no tenen depredador natural</t>
  </si>
  <si>
    <t>01.3.7</t>
  </si>
  <si>
    <t>Col·laborar i promoure l'activitat ramadera gestionada per a contribuir a la potenciació dels hàbitats oberts</t>
  </si>
  <si>
    <t>Millorar els abeuradors, passos canadencs, pastors elèctrics, corral nou a Mas Margall i altres elements per als ramats i altres espècies en zones de pastura i de prevenció d’incendis.</t>
  </si>
  <si>
    <t>Nombre d'activitats a les quals s'ha donat suport amb elements (abeuradors, passos canadencs, etc,)</t>
  </si>
  <si>
    <t>01.4</t>
  </si>
  <si>
    <t>Alinear l'activitat de propietaris i gestors del territori amb la conservació, millora i restauració dels valors de l'ENP</t>
  </si>
  <si>
    <t>01.4.1</t>
  </si>
  <si>
    <t>Fomentar acords de custòdia en espais d'alt valor dins l'ENP per a la gestió dels elements prioritaris</t>
  </si>
  <si>
    <t>01.4.2</t>
  </si>
  <si>
    <t>Fomentar bones pràctiques entre els col·lectius de propietaris i gestors del territori</t>
  </si>
  <si>
    <t>01.4.3</t>
  </si>
  <si>
    <t>Impulsar la coordinació amb els ens locals en la gestió finques públiques situades dins d’ENP</t>
  </si>
  <si>
    <t>Gestionar les barraques i edificacions públiques situades dins de la ZMT</t>
  </si>
  <si>
    <t>Continuar amb l’acord de la gestió compartida de la barraca de cala Taballera i incorporar la de cala Prona i cala Galladera amb les confraries del Port de la Selva i Llançà gràcies a aconseguir la concessió de les barraques i també del mas de Rabassers. Iniciar els tràmits per a les barraques i elements de la mar d'Avall</t>
  </si>
  <si>
    <t>Aprovació de la concessió de Costes per a la mar d'Amunt i mar d'Avall</t>
  </si>
  <si>
    <t>ADAPTAR ELS ECOSISTEMES AL CANVI CLIMÀTIC i millorar-ne la resiliència en front dels riscos associats.</t>
  </si>
  <si>
    <t>02.1</t>
  </si>
  <si>
    <t>Planificar l'adaptació dels sistemes naturals al canvi climàtic</t>
  </si>
  <si>
    <t>02.1.1</t>
  </si>
  <si>
    <t>Adaptar i implementar el Pla d'adaptació de l'ENP al canvi climàtic</t>
  </si>
  <si>
    <t>02.1.2</t>
  </si>
  <si>
    <t>Gestionar i planificar els recursos hídrics de l'ENP</t>
  </si>
  <si>
    <t>Gestionar i planificar els recursos hídrics de l'ENP i implementar actuacions de millora i protecció dels principals punts d'aigua</t>
  </si>
  <si>
    <t>Instal·lar dipòsit recollida d’aigua pluvial i instal·lació dipòsit reg als edificis del Parc</t>
  </si>
  <si>
    <t>Realització de la instal·lació dels dipòsits d'aigua a Mas Ventós</t>
  </si>
  <si>
    <t>02.1.3</t>
  </si>
  <si>
    <t>Participar en la redacció i execució dels instruments d'ordenació forestal sostenible i per la conservació en finques públiques</t>
  </si>
  <si>
    <t>02.1.4</t>
  </si>
  <si>
    <t>Promoure la redacció d'instruments d'ordenació forestal per reduir la sensibilitat i vulnerabilitat dels boscos al canvi climàtic en finques privades</t>
  </si>
  <si>
    <t>Optatiu</t>
  </si>
  <si>
    <t>Disposar de Plans d'Ordenació Forestal a finques públiques del Parc</t>
  </si>
  <si>
    <t>Nombre de finques amb Pla aprovat</t>
  </si>
  <si>
    <t>02.1.5</t>
  </si>
  <si>
    <t>Mantenir en bon estat les zones humides del Parc Natural</t>
  </si>
  <si>
    <t>Actuar en les basses, fonts i punts d'aigua per a mantenir-los en bon estat, evitant la seva eutrofització o altres danys que les puguin alterar</t>
  </si>
  <si>
    <t>Actuació sobre un nombre de basses i punts d'aigua</t>
  </si>
  <si>
    <t>02.2</t>
  </si>
  <si>
    <t xml:space="preserve">Planificar la prevenció i extinció d’incendis forestals i la gestió del foc de forma coordinada amb els diferents agents del territori </t>
  </si>
  <si>
    <t>02.2.1</t>
  </si>
  <si>
    <t xml:space="preserve">Redactar i implementar el Pla de Prevenció d'Incendis </t>
  </si>
  <si>
    <t>Aprovar el nou Projecte d’infraestructures estratègiques de  Prevenció d’incendis forestals</t>
  </si>
  <si>
    <t>Comptar amb un Pla per a una millor coordinació amb el Cos de Bombers</t>
  </si>
  <si>
    <t>Disposició del Pla</t>
  </si>
  <si>
    <t>02.2.2</t>
  </si>
  <si>
    <t>Definir i planificar la gestió del foc per a la millora de l'ENP</t>
  </si>
  <si>
    <t>Disposar d'un Pla de Focs per al Parc Natural per a poder gestionar actuacions pre, post i durant incendis forestals</t>
  </si>
  <si>
    <t>Disposició del Pla de Focs</t>
  </si>
  <si>
    <t>02.2.3</t>
  </si>
  <si>
    <t>Treballar per a la prevenció d'incendis juntament amb els propietaris, ajuntaments, protecció civil, ADF i bombers.</t>
  </si>
  <si>
    <t>Coordinació de les actuacions entre administracions responsables</t>
  </si>
  <si>
    <t>Coordinar actuacions i plans amb els SSTT, Cos de Bombers, GEPIF i altres administracions</t>
  </si>
  <si>
    <t>Reunions transversals realitzades</t>
  </si>
  <si>
    <t>PF</t>
  </si>
  <si>
    <t>PROTEGIR LA BIODIVERSITAT, i especialment els elements fràgils i amenaçats, d’interès comunitari o de major interès natural.</t>
  </si>
  <si>
    <t>03.1</t>
  </si>
  <si>
    <t>Prevenir, minimitzar i compensar els impactes ambientals dels usos i activitats que es desenvolupin en l'àmbit de l'ENP</t>
  </si>
  <si>
    <t>03.1.1</t>
  </si>
  <si>
    <t>Participar en les consultes dels procesos d'Avaluació Ambiental que afectin directament o indirectament l’espai del ENP</t>
  </si>
  <si>
    <t>03.1.2</t>
  </si>
  <si>
    <t>Exercir un seguiment efectiu de les obres al Parc juntament amb les Oficines Territorials d'Acció i Avaluació Ambiental als efectes d'assegurar la correcta translació de la tutela administrativa.</t>
  </si>
  <si>
    <t>03.1.3</t>
  </si>
  <si>
    <t>Participar en la compensació d'impactes residuals durant els processos d'avaluació ambiental mitjançant la identificació de necessitats d'actuació prioritària dins i fora dels límits de l’ENP</t>
  </si>
  <si>
    <t>03.1.4</t>
  </si>
  <si>
    <t>Exercir un seguiment efectiu de les obres i actuacions que tenen lloc dins al Parc juntament amb les Oficines Territorials d'Acció i Avaluació Ambiental als efectes d'assegurar la correcta translació de la tutela administrativa.</t>
  </si>
  <si>
    <t>Tenir coneixement i control de les actuacions, projectes i obres que es porten a terme al Parc. Elaborar informes preceptius de les diferents actuacions i àmbits d’acord amb la normativa vigent.</t>
  </si>
  <si>
    <t>Percentatge d'obres, actuacions i projectes informats per part del Parc</t>
  </si>
  <si>
    <t>03.1.5</t>
  </si>
  <si>
    <t>Evitar la presència d'arts de pesca perduts</t>
  </si>
  <si>
    <t>Retirar arts i ormeigs de pesca perduts, en col·laboració amb altres entitats i organitzacions.</t>
  </si>
  <si>
    <t>Temps transcorregut des del coneixement de la presència de l'art de pesca perdut i la gestió de la seva retirada (dies)</t>
  </si>
  <si>
    <t>03.2</t>
  </si>
  <si>
    <t>Garantir el compliment dels objectius de conservació dotant l'ENP de la planificació adequada segons estableix la normativa vigent (Pla de Protecció, PRUG, plans específics...)</t>
  </si>
  <si>
    <t>03.2.1</t>
  </si>
  <si>
    <t>Participar en l'elaboració dels instruments de planificació de l'ENP</t>
  </si>
  <si>
    <t>Participar en l'elaboració dels instruments de planificació de l'ENP. Dotar l'espai marí amb una planificació d'usos i activitats ben regulada i acordada amb el territori</t>
  </si>
  <si>
    <t>Disposar del Pla Rector d’Ús i Gestió (PRUG) de l’àmbit marí.</t>
  </si>
  <si>
    <t>Diposició del Pla</t>
  </si>
  <si>
    <t xml:space="preserve">AP </t>
  </si>
  <si>
    <t>Direcció</t>
  </si>
  <si>
    <t>Disposar de 2 tècnics addicionals per al desplegament del PRUG</t>
  </si>
  <si>
    <t>Disposició dels tècnics</t>
  </si>
  <si>
    <t>03.2.2</t>
  </si>
  <si>
    <t>Desplegar el Programa d’Actuacions del Pla Especial de protecció del medi natural i del paisatge del Parc Natural de Cap de Creus.</t>
  </si>
  <si>
    <t>BAIXA</t>
  </si>
  <si>
    <t>Modificació del Pla Especial per a la incorporació de nous apartats necessaris per a la correcta gestió de l'espai</t>
  </si>
  <si>
    <t>Aprovació de modificacions del Pla Especial</t>
  </si>
  <si>
    <t>03.3</t>
  </si>
  <si>
    <t>Vetllar pel manteniment dels cabals ecològics i la bona qualitat dels cursos fluvials de l'ENP de forma coordinada amb l'administració competent</t>
  </si>
  <si>
    <t>03.3.1</t>
  </si>
  <si>
    <t>Vetllar pel manteniment del cabal ecològic dels rius definit al Pla sectorial corresponent</t>
  </si>
  <si>
    <t>03.3.2</t>
  </si>
  <si>
    <t>Vetllar per la regulació dels dragatges, canalitzacions o implantació d'activitats extractives que puguin modificar la llera i el cabal dels rius</t>
  </si>
  <si>
    <t>03.3.3</t>
  </si>
  <si>
    <t>Avaluar i controlar les actuacions que produeixin drenatges, captacions o que puguin impedir l’arribada d’aigua tant superficial com freàtica</t>
  </si>
  <si>
    <t>03.3.4</t>
  </si>
  <si>
    <t>Vetllar pel compliment de la normativa de depuració dels efluents agroramaders, urbans i industrials que s'aboquen als cursos fluvials</t>
  </si>
  <si>
    <t>03.4</t>
  </si>
  <si>
    <t>Incrementar el patrimoni públic destinat a la conservació i millora del patrimoni natural</t>
  </si>
  <si>
    <t>03.4.1</t>
  </si>
  <si>
    <t xml:space="preserve">Identificar espais prioritaris per a la compra de terrenys de més valor dins l'ENP </t>
  </si>
  <si>
    <t>Revisar i consensuar l’estudi previ per a la gestió integral de la finca Muntanya de Sant Pere de Rodes (medi ambient, cultura, agricultura, etc.) i adquirir la finca per a la seva futura gestió.</t>
  </si>
  <si>
    <t>Redacció de l’Estudi Previ Gestió integral de la finca Muntanya de Sant Pere de Rodes i adquisició de la finca</t>
  </si>
  <si>
    <t>Realització</t>
  </si>
  <si>
    <t>03.4.2</t>
  </si>
  <si>
    <t>Identificar espais prioritaris per a la gestió directa</t>
  </si>
  <si>
    <t>Gestionar de forma integral la finca de la Muntanya de Sant Pere de Rodes</t>
  </si>
  <si>
    <t>Facilitar tota la documentació al Departament de Patrimoni de la GdC per a l'adquisició  de la finca de la Muntanya de Sant Pere de Rodes</t>
  </si>
  <si>
    <t xml:space="preserve">Disposició de la documentació, estudis i procés participatiu </t>
  </si>
  <si>
    <t>Gestionar de forma eficient les Reserves Naturals Integrals</t>
  </si>
  <si>
    <t>Adquisició de la RNI de Cap de Creus i la RNI de Cap Norfeu</t>
  </si>
  <si>
    <t>Adquisició de les RNI</t>
  </si>
  <si>
    <t xml:space="preserve">XV </t>
  </si>
  <si>
    <t xml:space="preserve"> CULTURA</t>
  </si>
  <si>
    <t>CONSERVAR ELS ELEMENTS CULTURALS materials i immaterials vinculats a la natura</t>
  </si>
  <si>
    <t>04.1</t>
  </si>
  <si>
    <t>Millorar el coneixement disponible sobre el patrimoni arquitectònic i cultural (material i immaterial) vinculat al patrimoni natural, el seu estat de conservació i els estils propis dels territoris de l'ENP</t>
  </si>
  <si>
    <t>04.1.1</t>
  </si>
  <si>
    <t>Elaborar l'inventari i cartografia de patrimoni cultural de l'ENP, que també inclogui el patrimoni etnològic i immaterial</t>
  </si>
  <si>
    <t>Disposar d'un inventari i cartografia del patrimoni cultural</t>
  </si>
  <si>
    <t>Disposició de l'inventari</t>
  </si>
  <si>
    <t>04.1.2</t>
  </si>
  <si>
    <t>Elaborar el catàleg lingüístic (localismes) de patrimoni natural, geografia popular, festes i activitats tradicionals de l'ENP</t>
  </si>
  <si>
    <t>Disposar del/s catàleg/s del patrimoni, geografia, activitats i altres aspectes etnològics</t>
  </si>
  <si>
    <t>04.1.3</t>
  </si>
  <si>
    <t>Elaborar la cartografia de la xarxa de camins ramaders i senders tradicionals de l'ENP</t>
  </si>
  <si>
    <t>Disposar de la cartografia de detall de carrerades i camins ramaders</t>
  </si>
  <si>
    <t>Disposició de la cartografia</t>
  </si>
  <si>
    <t>04.2</t>
  </si>
  <si>
    <t>Conservar i gestionar el patrimoni cultural de l'ENP de forma coordinada amb els agents responsables i entitats de referència</t>
  </si>
  <si>
    <t>04.2.1</t>
  </si>
  <si>
    <t>Identificar els ens de referència en patrimoni cultural (entitats, associacions, museus i ecomuseus, etc.) en l'àmbit de l'ENP</t>
  </si>
  <si>
    <t>Conèixer les entitats i actors locals qe treballin en patrimoni cultural relatiu al Parc per a teixir xarxa de coneixement i actuació</t>
  </si>
  <si>
    <t>Elaboració de l'inventari d'entitats i actors locals</t>
  </si>
  <si>
    <t>04.2.2</t>
  </si>
  <si>
    <t>Articular treballs conjunts entre l'ENP i representants, gestors o custodis del patrimoni cultural per a la seva protecció i millora</t>
  </si>
  <si>
    <t>Aconseguir la recuperació i restauració d'un mínim d'elements representatius del Parc (barraques de pedra seca, carrerades, etc.)</t>
  </si>
  <si>
    <t>Nombre d'elements de patrimoni restaurats</t>
  </si>
  <si>
    <t>04.2.3</t>
  </si>
  <si>
    <t>Coordinar i participar dels treballs de restauració arquitectònica i del patrimoni cultural</t>
  </si>
  <si>
    <t>Disposar d'un protocol amb el Departament de Cultura per a la restauració del patrimoni</t>
  </si>
  <si>
    <t>Disposar del protocol</t>
  </si>
  <si>
    <t>04.2.4</t>
  </si>
  <si>
    <t>Disposar de personal especialitzat en patrimoni cultural</t>
  </si>
  <si>
    <t>04.3</t>
  </si>
  <si>
    <t>Potenciar la conservació i recuperació del patrimoni cultural material i immaterial de l'ENP</t>
  </si>
  <si>
    <t>04.3.1</t>
  </si>
  <si>
    <t xml:space="preserve">Recuperar i conservar el patrimoni cultural rural immaterial associat a les activitats i aprofitaments tradicionals </t>
  </si>
  <si>
    <t xml:space="preserve">Comptar amb un catàleg del patrimoni cultural rural immaterial associat a les activitats i aprofitaments tradicionals </t>
  </si>
  <si>
    <t>Disposició del catàleg</t>
  </si>
  <si>
    <t>04.3.2</t>
  </si>
  <si>
    <t>Recuperar i conservar el patrimoni cultural rural vinculat específicament a construccions de pedra en sec</t>
  </si>
  <si>
    <t>Integrar el patrimoni cultural als itineraris i cartelleria de l'ENP.</t>
  </si>
  <si>
    <t>Donar a conèixer el patrimoni cultural a través de la cartelleria, plafons i senyalització</t>
  </si>
  <si>
    <t>Cartelleria instal·lada amb informació sobre patrimoni cultural</t>
  </si>
  <si>
    <t>04.3.3</t>
  </si>
  <si>
    <t xml:space="preserve">Fomentar la recuperació i conservació de l'arquitectura tradicional d'intrès de les edificacions i construccions </t>
  </si>
  <si>
    <t>Incorporar el patrimoni cultural en els plans d’ús públic i educació ambiental per fomentar-ne la seva conservació i divulgació.</t>
  </si>
  <si>
    <t>Editar material educatiu i divulgatiu en relació el patrimoni cultural, sigui des del Parc o donant suport a altres iniciatives</t>
  </si>
  <si>
    <t>Material educatiu editat en relació el patrimoni cultural</t>
  </si>
  <si>
    <t>04.3.4</t>
  </si>
  <si>
    <t>Identificar i conservar la diversitat domesticada de varietats agrícoles i ramaderes locals</t>
  </si>
  <si>
    <t>Formar el personal dels punts d’informació en els valors culturals de l'ENP</t>
  </si>
  <si>
    <t>Comptar amb tot el personal informador format sobre els valors culturals</t>
  </si>
  <si>
    <t>Inclusió d'unes classes específiques en els cursos de Bons/es Coneixedors/es i Informadors/es</t>
  </si>
  <si>
    <t>MP</t>
  </si>
  <si>
    <t>04.4</t>
  </si>
  <si>
    <t xml:space="preserve">Donar a conèixer els elements culturals com a valors del paisatge de l'ENP en les activitats d'ús públic </t>
  </si>
  <si>
    <t>04.4.1</t>
  </si>
  <si>
    <t>04.4.2</t>
  </si>
  <si>
    <t>04.4.3</t>
  </si>
  <si>
    <t>PROTEGIR EL PAISATGE i la qualitat de l'ambient visual, sonor i lumínic.</t>
  </si>
  <si>
    <t>05.1</t>
  </si>
  <si>
    <t>Identificar els elements d'interès paisatgístic de l'espai</t>
  </si>
  <si>
    <t>05.1.1</t>
  </si>
  <si>
    <t xml:space="preserve">Elaborar un inventari d'elements d'interès paisatgístic de l'ENP d'acord amb el Catàleg de paisatge de la zona </t>
  </si>
  <si>
    <t xml:space="preserve">Elaborar un inventari d'elements d'interès paisatgístic de l'ENP d'acord amb el Catàleg de paisatge </t>
  </si>
  <si>
    <t>Comptar el Catàleg d'elements d'interès paisatgístic</t>
  </si>
  <si>
    <t>05.2</t>
  </si>
  <si>
    <t>Millorar la qualitat paisatgística</t>
  </si>
  <si>
    <t>05.2.1</t>
  </si>
  <si>
    <t>Desplegar actuacions de restauració dels elements d'interès paisatgístic degradats</t>
  </si>
  <si>
    <t>Restaurar elements existents malmesos</t>
  </si>
  <si>
    <t>Nombre d'elements malmesos recuperats, netejats o restaurats</t>
  </si>
  <si>
    <t>Manteniment</t>
  </si>
  <si>
    <t>05.2.2</t>
  </si>
  <si>
    <t>Gestionar l'abandonament d'infraestructures i instal·lacions amb inpactes sobre els valors de l'espai</t>
  </si>
  <si>
    <t>Eliminació dels residus i abocaments a Taballera, Far de Cap de Creus i cales de la RNI</t>
  </si>
  <si>
    <t>Realització de neteges/mes per part de la brigada del Parc</t>
  </si>
  <si>
    <t>05.2.3</t>
  </si>
  <si>
    <t>Minimitzar la brutícia, deixalles, vandalisme i males praxis dins l'ENP</t>
  </si>
  <si>
    <t>Absència de residus i abocaments arreu del Parc</t>
  </si>
  <si>
    <t>Temps transcorregut (setmanes) des de la comunicació de l'abocament fins a la gestió de la seva recollida</t>
  </si>
  <si>
    <t>05.3</t>
  </si>
  <si>
    <t>Protegir la qualitat acústica i lumínica de l'ENP</t>
  </si>
  <si>
    <t>05.3.1</t>
  </si>
  <si>
    <t>Promoure la certificació de qualitat del cel nocturn</t>
  </si>
  <si>
    <t>Col·laborar en la redacció i aprovació de plans municipals per a un cel nocturn de qualitat  dotar el Parc d'un punt de control.</t>
  </si>
  <si>
    <t>Instal·lar un sensor de mesura continua de contaminació lumínica al monestir de Sant Pere de Rodes integrat a la xarxa de mesurament a nivell de Catalunya.</t>
  </si>
  <si>
    <t>Dotar l'espai d'una figura de protecció del cel nocturn</t>
  </si>
  <si>
    <t>Existència del punt</t>
  </si>
  <si>
    <t>05.3.2</t>
  </si>
  <si>
    <t>Promoure la certificació de zones d'especial protecció de la qualitat acústica</t>
  </si>
  <si>
    <t>Treballar per a aprovar la ZEPQA (Zona d’Especial Protecció de la Qualitat Acústica).</t>
  </si>
  <si>
    <t>Aprovació de la declaració de ZEPQA.</t>
  </si>
  <si>
    <t xml:space="preserve">CONEIXEMENT </t>
  </si>
  <si>
    <t>MILLORAR EL CONEIXEMENT DE L'ENTORN, del patrimoni natural, cultural i social.</t>
  </si>
  <si>
    <t>06.1</t>
  </si>
  <si>
    <t>Identificar els objectes de gestió prioritària de l'ENP en el marc dels objectius de govern</t>
  </si>
  <si>
    <t>06.1.1</t>
  </si>
  <si>
    <t>Identificar i prioritzar els elements clau i d'interès per la gestió de la biodiversitat i geodiversitat de Catalunya es troben dins l'ENP (especies amenaçades, espècies exòtiques invasores,.. )</t>
  </si>
  <si>
    <t>Participar en la definició dels elements clau</t>
  </si>
  <si>
    <t>Disposició dels elements clau</t>
  </si>
  <si>
    <t>06.1.2</t>
  </si>
  <si>
    <t>Definir espais fràgils i zones d'especial atenció</t>
  </si>
  <si>
    <t>06.2</t>
  </si>
  <si>
    <t>Conèixer l'estat de conservació i la seva tendència dels hàbitats, les espècies els elements de la gea i els processos ecològics com a eina per avaluar i optimitzar la gestió</t>
  </si>
  <si>
    <t>06.2.1</t>
  </si>
  <si>
    <t>Participar en l'elaboració de la cartografia que elabora la UIC</t>
  </si>
  <si>
    <t>Comptar amb la cartografia de base del Parc Natural en relació als elements clau, elaborada per la UIC</t>
  </si>
  <si>
    <t>Percentatge de la informació de base del Parc de tots els estudis de forma anual aportada des del Parc a la UIC</t>
  </si>
  <si>
    <t>06.2.2</t>
  </si>
  <si>
    <t>Conèixer i estudiar els processos naturals propis de l’espai, la seva funcionalitat, i ecologia en referència als ecosistemes</t>
  </si>
  <si>
    <t>Conèixer i estudiar els processos naturals propis de l’espai, la seva funcionalitat, i ecologia en referència als ecosistemes, així com els hàbitats i espècies</t>
  </si>
  <si>
    <t>Disposar d'informació sobre el seguiment dels diferents grups d'hàbitats i espècies de forma anual</t>
  </si>
  <si>
    <t xml:space="preserve">Percentatge de disposició de resultats dels estudis encarregats abans del 15 de desembre </t>
  </si>
  <si>
    <t xml:space="preserve">Millorar el coneixement dels hàbitats d’alimentació dels ratpenats del Parc. 
Millorar el coneixement dels ocells del Parc, especialment de les espècies d'interès comunitari, i dissenyar actuacions per millorar les seves poblacions. 
Realitzar i mantenir els 8 SOCCs existents i els censos d’hivernants i nidificants. 
Realitzar i mantenir els SACCs, per al seguiment d’amfibis. 
Realitzar i mantenir els BMS, per al seguiment dels ropalòcers. 
Realitzar el seguiment de les poblacions de les espècies i hàbitats marins com a indicadors de l'estat de conservació 
Realitzar el seguiment anual de les poblacions i les espècies de micromamífers. 
Realitzar el seguiment anual de les poblacions de flora amenaçada (Seseli farrenyi i Erodium foetidum), i participar en l’execució del seu pla de recuperació. 
Realitzar el seguiment de les espècies cinegètiques al Parc, especialment les de caça menor. 
Conservar i conèixer les espècies d’hàbits cavernícoles presents a l’àmbit del Parc (cens cada cinc anys com a mínim). </t>
  </si>
  <si>
    <t xml:space="preserve">Realització dels estudis anuals de seguiment de fauna i flora (nombre de seguiments anuals + nombre de seguiments de nous grups cada any) </t>
  </si>
  <si>
    <t>9 + 0</t>
  </si>
  <si>
    <t xml:space="preserve">9 +1 </t>
  </si>
  <si>
    <t>Realitzar una jornada anual sobre el medi natural i paisatge per a donar a conèixer tots els estudis i seguiments tècnics que es realitzen a l’espai.</t>
  </si>
  <si>
    <t>Realització d'una jornada anual</t>
  </si>
  <si>
    <t>06.2.3</t>
  </si>
  <si>
    <t>Conèixer els usos i factors de canvi rellevants en l'evolució dels elements de conservació, i avaluar els efectes que generen en l’espai (pressions i amenaces)</t>
  </si>
  <si>
    <t>06.2.4</t>
  </si>
  <si>
    <t>Conèixer l'impacte de les gestió de l'aigua, sobre la biodiversitat.</t>
  </si>
  <si>
    <t>06.2.5</t>
  </si>
  <si>
    <t>Participar en el coneixement de la tendència d'espècies plaga amb afectacions sobre ecosistemes o activitats econòmiques dins l'ENP</t>
  </si>
  <si>
    <t>Disposar d'informació sobre les espècies plaga al Parc</t>
  </si>
  <si>
    <t>Disposició d'un estudi sobre les espècies plaga al Parc</t>
  </si>
  <si>
    <t>06.2.6</t>
  </si>
  <si>
    <t>Conèixer la tendència d'espècies exòtiques invasores amb afectacions sobre ecosistemes o activitats econòmiques dins l'ENP</t>
  </si>
  <si>
    <t xml:space="preserve">Comptar amb un estudi sobre el conjunt d'espècies invasores de fauna i flora, i la seva afectació </t>
  </si>
  <si>
    <t>Disposició d'un estudi global sobre les espècies invasores al Parc</t>
  </si>
  <si>
    <t>06.2.7</t>
  </si>
  <si>
    <t>Coneixer com millorar la connectivitat de forma coordinada amb altres ENP</t>
  </si>
  <si>
    <t>Garantir la correcta gestió del Parc en relació a la connectivitat amb altres ENPEs</t>
  </si>
  <si>
    <t>Elaboració de l'estudi sobre connectivitat</t>
  </si>
  <si>
    <t>06.3</t>
  </si>
  <si>
    <t xml:space="preserve">Estandaritzar els seguiments periòdics dels grups clau </t>
  </si>
  <si>
    <t>06.3.1</t>
  </si>
  <si>
    <t>Participar en la definició del sistema estàndard de seguiment de flora, fauna i hàbitats de la DG</t>
  </si>
  <si>
    <t>Utilitzar el sistema estàndard de seguiment de flora, fauna i hàbitats de la DG per unificar dades i seguiments</t>
  </si>
  <si>
    <t>Percentatge d'utilització del sistema estàndard de seguiment en els encàrrecs realitzats des del Parc</t>
  </si>
  <si>
    <t>06.3.2</t>
  </si>
  <si>
    <t>Adequar i executar el sistema de seguiment periòdic dels grups clau de l'ENP al sistema estàndard de seguiment</t>
  </si>
  <si>
    <t>06.3.3</t>
  </si>
  <si>
    <t xml:space="preserve">Mantenir una base de dades de seguiment de patrimoni natural de l'ENP actualitzada i ordenada </t>
  </si>
  <si>
    <t>06.3.4</t>
  </si>
  <si>
    <t>Participar en el grups de treball per a la definició i organització del SINATCAT</t>
  </si>
  <si>
    <t>Comptar amb el mètode i organització del SINATCAT com a eina de treball comuna</t>
  </si>
  <si>
    <t>Percentatge d'utilització del sistema estàndard del SINATCAT en els encàrrecs realitzats des del Parc</t>
  </si>
  <si>
    <t>06.4</t>
  </si>
  <si>
    <t>Incrementar el coneixement de qualitat mitjançant l’establiment de marcs de col·laboració, assessorament i suport amb centres de recerca, museus i entitats naturalistes per al desenvolupament de part de la seva activitat en l’ENP</t>
  </si>
  <si>
    <t>06.4.1</t>
  </si>
  <si>
    <t>Crear sinèrgies i col·laborar amb museus i equipaments de referència per definir línies d'actuació conjunta entre patrimoni cultural i natural</t>
  </si>
  <si>
    <t>Col·laborar amb museus i equipaments de referència per definir línies d'actuació conjunta entre patrimoni cultural i natural</t>
  </si>
  <si>
    <t>Nombre de reunions amb altres centres per a aquesta finalitat</t>
  </si>
  <si>
    <t>06.4.2</t>
  </si>
  <si>
    <t>Establir acords amb les institucions de recerca i naturalistes per al desenvolupament d'estudis i inventaris dins l'ENP en el marc de les seves línies de recerca</t>
  </si>
  <si>
    <t>Col·laborar amb institucions i centres de recerca i naturalistes per al desenvolupament d'estudis i inventaris dins l'ENP</t>
  </si>
  <si>
    <t>Nombre d'estudis portats a terme al Parc</t>
  </si>
  <si>
    <t>06.4.3</t>
  </si>
  <si>
    <t xml:space="preserve">Potenciar la ciència ciutadana en l’ENP com a eina per generar coneixement </t>
  </si>
  <si>
    <t>Realitzar activitats o comptar amb eestudis puntuals o seguiments continuats de ciència ciutadana al Parc</t>
  </si>
  <si>
    <t>Nombre d'activitats  o estudis de ciència ciutdana al Parc</t>
  </si>
  <si>
    <t xml:space="preserve">Garantir la realització de SOCC al Parc </t>
  </si>
  <si>
    <t>Nombre de SOCC realitzats</t>
  </si>
  <si>
    <t>06.4.4</t>
  </si>
  <si>
    <t xml:space="preserve">Crear i desenvolupar jornades de recerca de l'ENP de forma anual on els diferents centres mostrin els estudis realizats en l'ENP </t>
  </si>
  <si>
    <t>06.4.5</t>
  </si>
  <si>
    <t>Posar a disposició de la recerca, equipaments i serveis de l'ENP</t>
  </si>
  <si>
    <t>Acollir científics/es als equipaments del Parc Natural</t>
  </si>
  <si>
    <t>Posar a disposició de la recerca, l'equipament de Mas des Caials</t>
  </si>
  <si>
    <t>Percentatge de sol·licituds ateses de pernoctacions a Mas Caials</t>
  </si>
  <si>
    <t>PH</t>
  </si>
  <si>
    <t>Administració</t>
  </si>
  <si>
    <t>06.4.6</t>
  </si>
  <si>
    <t xml:space="preserve">Crear l'Observatori de recerca de l'ENP vinculat a l'Observatori del Patrimoni natural i la biodiversitat </t>
  </si>
  <si>
    <t>06.5</t>
  </si>
  <si>
    <t>Millorar el coneixement global de les dinàmiques d'usos antròpics de l’ENP</t>
  </si>
  <si>
    <t>06.5.1</t>
  </si>
  <si>
    <t>Participar en la definició del sistema estándard de seguiment de l'ús públic amb el SENP</t>
  </si>
  <si>
    <t>Tenir coneixement i realitzar un seguiment de l'ús públic amb el SENP</t>
  </si>
  <si>
    <t>Disposició d'un document d'avaluació del seguiment de l'ús públic al Parc</t>
  </si>
  <si>
    <t>06.5.2</t>
  </si>
  <si>
    <t xml:space="preserve">Disposar de dades de freqüentació i perfil d'usuari en l'ENP i en especial en equipaments i en zones d'alta freqüentació segons el model de DG </t>
  </si>
  <si>
    <t>Disposar de dades de freqüentació i perfil d'usuari en l'ENP i en especial en equipaments i en zones d'alta freqüentació</t>
  </si>
  <si>
    <t>Disposició de les dades anuals de visitants</t>
  </si>
  <si>
    <t>Ús Públic</t>
  </si>
  <si>
    <t>Instal·lar comptadors de vehicles i persones</t>
  </si>
  <si>
    <t>Nombre de comptadors de vehicles i persones</t>
  </si>
  <si>
    <t>06.5.3</t>
  </si>
  <si>
    <t>Identificar les activitats i actors de l’espai.</t>
  </si>
  <si>
    <t>06.5.4</t>
  </si>
  <si>
    <t>Identificar en cartografia les males praxis i punts de massificació</t>
  </si>
  <si>
    <t>06.5.5</t>
  </si>
  <si>
    <t>Adaptar i mantenir un registre d'activitats, actors i inciències en ús públic (curses, conflictes, queixes, etc)</t>
  </si>
  <si>
    <t>Adaptar i mantenir un registre d'activitats, actors i incidiències en ús públic (curses, conflictes, queixes, etc)</t>
  </si>
  <si>
    <t>Disposició d'un registre anual d'activitats al Parc</t>
  </si>
  <si>
    <t>OF</t>
  </si>
  <si>
    <t>06.5.6</t>
  </si>
  <si>
    <t>Identificar els impactes (positius i negatius) que generen les activitats d'ús públic dins l'ENP</t>
  </si>
  <si>
    <t xml:space="preserve">DESENVOLUPAMENT LOCAL </t>
  </si>
  <si>
    <t>FIXAR LA POBLACIÓ AL TERRITORI d'acord amb les oportunitats que generen els objectius de l'espai.</t>
  </si>
  <si>
    <t>07.1</t>
  </si>
  <si>
    <t xml:space="preserve">Fomentar i donar suport tècnic als Plans de desenvolupament socioecòmonic local sostenible dels municipis </t>
  </si>
  <si>
    <t>07.1.1</t>
  </si>
  <si>
    <t xml:space="preserve">Promoure i col·laborar en l'aplicació de Plans de Desenvolupament Local Sostenible </t>
  </si>
  <si>
    <t xml:space="preserve">Promoció i col·laboració en l'aplicació de Plans de Desenvolupament Local Sostenible </t>
  </si>
  <si>
    <t>Col·laboració en Plans Locals de Desenvolupament</t>
  </si>
  <si>
    <t xml:space="preserve">APROFITAR ELS RECURSOS NATURALS DE FORMA SOSTENIBLE mitjançant desenvolupament dels aprofitaments tradicionals de forma compatible amb la conservació de l'espai </t>
  </si>
  <si>
    <t>08.1</t>
  </si>
  <si>
    <t>Impulsar models productius agraris i forestals per tal d'afavorir la conservació dels hàbitats i els paisatges modelats per aquestes, i contribuir a la millora socioeconòmica de les persones que la fan possible</t>
  </si>
  <si>
    <t>08.1.1</t>
  </si>
  <si>
    <t xml:space="preserve">Acompanyar i assessorar els productors agraris per millorar les tècniques productives agràries i afavorir la conservació dels hàbitats i paisatges </t>
  </si>
  <si>
    <t xml:space="preserve">Acompanyar i assessorar els productors agraris per millorar les tècniques productives agràries i afavorir la conservació dels hàbitats i paisatges i desenvolupar l’estratègia agropecuària del Parc amb especial incidència a la promoció de l’agricultura ecològica de vinya i olivera, ramaderia i promoció de la conservació de la biodiversitat cultivada. </t>
  </si>
  <si>
    <t xml:space="preserve">Assessorar i donar suport al sector agrícola i ramader; transformació a producció ecològica.  implementar el projecte “Parcs de Tramuntana”   </t>
  </si>
  <si>
    <t>Inici del projecte "Parcs de Tramuntana" amb impuls de la cistella amb un mínim de productes del Parc</t>
  </si>
  <si>
    <t>Promoure l’entitat “Ceps de Cap de Creus” i</t>
  </si>
  <si>
    <t>Consolidació del projecte "Ceps de Tramuntana" amb un mínim de reunions a l'any</t>
  </si>
  <si>
    <t>08.1.2</t>
  </si>
  <si>
    <t xml:space="preserve">Oferir formació als productors agraris per millorar el seu coneixement sobre tècniques eficients i respectuoses amb la conservació del patrimoni natural i cultural </t>
  </si>
  <si>
    <t>08.1.3</t>
  </si>
  <si>
    <t>Promoure la recuperació i conservació de marges i punts d'aigua associats a la ramaderia i l'agricultura i d'interès per la biodiversitat</t>
  </si>
  <si>
    <t>Millorar els punts d'aigua associats a l'agricultura i ramadera</t>
  </si>
  <si>
    <t>Millora d'un mínim de punts d'aigua gestionats per part d'agricultors o ramaders</t>
  </si>
  <si>
    <t>08.2</t>
  </si>
  <si>
    <t>Promoure la coordinació amb els agents socioeconòmics del territori pel foment del desenvolupament sostenible de l'espai (sector primari i secundari)</t>
  </si>
  <si>
    <t>08.2.1</t>
  </si>
  <si>
    <t>Establir una relació contínua amb agents socioeconòmics del territori, i si s'escau, crear una Taula de desenvolupament local</t>
  </si>
  <si>
    <t>Treballar amb l'autoritat competent per garantir objectius de conservació d’espècies i hàbitats en la revisió dels Plans de Gestió Cinegètica</t>
  </si>
  <si>
    <t>Comptar amb un seguiment cinegètic al Parc Natural, acordat amb les colles de caçadors</t>
  </si>
  <si>
    <t>Disposició del Pla Anual de seguiment cinegètic</t>
  </si>
  <si>
    <t>Col·laborar en la regulació i ordenació de la caça i la pesca en zones sensibles o amb risc d'afectació d'elements clau objecte de conservació</t>
  </si>
  <si>
    <t>Disposar de documents tècnics de gestió de la caça al Parc Natural, en col·laboració amb les Colles de caçadors</t>
  </si>
  <si>
    <t>Reunions amb el sector cinegètic + reunions sector pesca</t>
  </si>
  <si>
    <t>5 + 30</t>
  </si>
  <si>
    <t>10 + 60</t>
  </si>
  <si>
    <t>Donar suport en la gestió de poblacions que generen danys a les activitats econòmiques de l'ENP</t>
  </si>
  <si>
    <t>Donar resposta amb actuacions per a minimitzar els danys de senglars o altra fauna cinegètica</t>
  </si>
  <si>
    <t>Temps (setmanes) transcorregut des de tenir coneixement dels danys fins a l'actuació</t>
  </si>
  <si>
    <t>08.3</t>
  </si>
  <si>
    <t>Millorar la valorització i comercialització dels productes generats a l'ENP que contribueixen al desenvolupament socioeconòmic i la conservació del patrimoni de l'ENP</t>
  </si>
  <si>
    <t>08.3.1</t>
  </si>
  <si>
    <t>Implantar un distintiu de qualitat i compatibilitat amb la conservació dels productes de la Xarxa d'ENP o criteris de qualitat propis de l'ENP</t>
  </si>
  <si>
    <t>08.3.2</t>
  </si>
  <si>
    <t>Integrar els productes i activitats locals de qualitat en l'oferta d'activitats d'informació i turístiques de l'ENP</t>
  </si>
  <si>
    <t>08.3.3</t>
  </si>
  <si>
    <t>Promoure fires d'artesania i productes locals de l'ENP</t>
  </si>
  <si>
    <t>08.3.4</t>
  </si>
  <si>
    <t xml:space="preserve">Generar aliances entre el sector primari, el turisme, la restauració i altres per fomentar la gastronomia local </t>
  </si>
  <si>
    <t>08.3.5</t>
  </si>
  <si>
    <t>Elaborar una diagnòsi del teixit productiu local i un pla d’acció amb línies de treball i actuacions concretes per donar-li suport</t>
  </si>
  <si>
    <t>08.3.6</t>
  </si>
  <si>
    <t>Elaborar una guia per promocionar els agents del territori que potencien i difonen els productes alimentaris locals i de qualitat (allotjaments, restaurants, cellers, establiments, elaboradors i productors)</t>
  </si>
  <si>
    <t>08.4</t>
  </si>
  <si>
    <t>Contribuir a una correcta planificació i gestió dels recursos cinegètics i piscícoles de forma compatible amb els valors de l'ENP</t>
  </si>
  <si>
    <t>08.4.1</t>
  </si>
  <si>
    <t>08.4.2</t>
  </si>
  <si>
    <t>08.4.3</t>
  </si>
  <si>
    <t xml:space="preserve">FOMENTAR UN TURISME SOSTENIBLE compatible amb la conservació de l'espai </t>
  </si>
  <si>
    <t>09.1</t>
  </si>
  <si>
    <t xml:space="preserve">Fomentar un model de turisme que promogui els valors dels espais naturals protegits d'acord amb els agents turístics del territori </t>
  </si>
  <si>
    <t>09.1.1</t>
  </si>
  <si>
    <t>Desplegar la Carta Europea de Turisme Sostenible (CETS)</t>
  </si>
  <si>
    <t>Desplegar la Carta Europea de Turisme Sostenible (CETS) un cop aprovada la Fase 1 a través d'accelerar la Fase 2</t>
  </si>
  <si>
    <t>Aconseguir implicació d'empreses i entitats locals a través de la Fase 2</t>
  </si>
  <si>
    <t>Nombre d'empreses i entitats adherides a la Fase 2</t>
  </si>
  <si>
    <t>IB</t>
  </si>
  <si>
    <t>CETS</t>
  </si>
  <si>
    <t>Redactar i desplegar del Pla d’Actuacions de la CETS 2024-2028.</t>
  </si>
  <si>
    <t>Renovació de l’acreditació de la CETS Cap de Creus fase 1; consolidació de la Fase 2 amb les empreses locals, iniciar la Fase 3, manteniment dels Grups de Treball, Fòrum Permanent i iniciar el desenvolupament del Programa d’Actuacions dels propers anys.</t>
  </si>
  <si>
    <t>Percentatge d'assoliment de les actuacions previstes a la CETS</t>
  </si>
  <si>
    <t>09.1.2</t>
  </si>
  <si>
    <t>Tramitar la certificació Biosphere</t>
  </si>
  <si>
    <t>09.2</t>
  </si>
  <si>
    <t>Promoure la coordinació amb els agents turístics del territori (empreses, industries, administració).</t>
  </si>
  <si>
    <t>09.2.1</t>
  </si>
  <si>
    <t xml:space="preserve">Treballar amb les empreses turístiques per trobar eines de canvi cap a un model de turisme sostenible i de qualitat </t>
  </si>
  <si>
    <t>Crear xarxa a través de la CETS i altres projectes del territori per a un turisme sostenible</t>
  </si>
  <si>
    <t>Percentatge d’assistència dels membres del Fòrum Permanent de la CETS</t>
  </si>
  <si>
    <t>09.2.2</t>
  </si>
  <si>
    <t>Crear productes i paquets turístics amb associacions d’empreses turístiques i operadors turístics</t>
  </si>
  <si>
    <t>ÚS PÚBLIC I SOCIAL</t>
  </si>
  <si>
    <t>ORDENAR ELS USOS I APROFITAMENTS per garantir l'equilibri de les activitats humanes amb la conservació de la biodiversitat</t>
  </si>
  <si>
    <t>10.1</t>
  </si>
  <si>
    <t>Estandarditzar de regulació d'usos i aprofitaments  en base al model de Pla de protecció</t>
  </si>
  <si>
    <t>10.1.1</t>
  </si>
  <si>
    <t>Establir un model de construcció a l'ENP en base al model de Pla de protecció</t>
  </si>
  <si>
    <t>Aplicació del Pla Especial en informes i autoritzacions</t>
  </si>
  <si>
    <t>Percentatge d'autoritzacions i informes relatius al Pla Especial atesos amb temps</t>
  </si>
  <si>
    <t>Tot l'equip</t>
  </si>
  <si>
    <t>ORDENAR L'ÚS PÚBLIC I SOCIAL per a la protecció dels hàbitats, espècies i elements geològics</t>
  </si>
  <si>
    <t>11.1</t>
  </si>
  <si>
    <t>Estandaritzar regulació de l’ús públic i social en base al model acordat per govern</t>
  </si>
  <si>
    <t>11.1.1</t>
  </si>
  <si>
    <t>Regular l'acampada i pernoctació  en base al model de Pla de protecció</t>
  </si>
  <si>
    <t>Controlar les pernoctacions irregulars i dotar d'algun espai amb acampada controlada i gestionada</t>
  </si>
  <si>
    <t>Garantir l'existència d'algun espai d'acampada i pernoctació controlada amb reserva en els municipis del Parc als voltants dels nuclis urbans</t>
  </si>
  <si>
    <t>Nombre d'espais amb acampada controlada</t>
  </si>
  <si>
    <t>11.1.2</t>
  </si>
  <si>
    <t>Regular la circulació rodada no motoritzada en base al model de Pla de protecció</t>
  </si>
  <si>
    <t>Evitar la circulació en pistes restringides o en èpoques de no accés, i minimitzar la circulació fora de pistes</t>
  </si>
  <si>
    <t>Manteniment de la regulació de la circulació rodada no motoritzada en base al model de Pla Especial</t>
  </si>
  <si>
    <t xml:space="preserve">Nombre de pistes sense senyalització i tanques </t>
  </si>
  <si>
    <t>11.1.3</t>
  </si>
  <si>
    <t>Regular l'escalada i alpinisme, barranquisme, i espeleologia  en base al model de Pla de protecció</t>
  </si>
  <si>
    <t>Redacció d'un pla de regulació de l'escalada, barranquisme i espeologia al Parc</t>
  </si>
  <si>
    <t>Comptar amb el Pla</t>
  </si>
  <si>
    <t>11.1.4</t>
  </si>
  <si>
    <t>Regular les curses i altres activitats esportives organitzades en base al model de Pla de protecció</t>
  </si>
  <si>
    <t>Regular les curses i altres activitats esportives organitzades en base al Pla Especial, tot regulant un nombre màxim de curses organitzades al Parc anualment</t>
  </si>
  <si>
    <t>Redacció i aplicació d'un concurs anual per a autoritzar un nombre màxim de curses al Parc Natural en cadascuna de les modalitats</t>
  </si>
  <si>
    <t>Redacció i aplicació del plec</t>
  </si>
  <si>
    <t xml:space="preserve">OF </t>
  </si>
  <si>
    <t>11.1.5</t>
  </si>
  <si>
    <t>Regular els enregistraments i l'observació de fauna i natura en base al model de Pla de protecció</t>
  </si>
  <si>
    <t>Regular els enregistraments i l'observació de fauna i natura en base al model de Pla Especial</t>
  </si>
  <si>
    <t>Autorització explíctica de totes les filmacions de medi natural que tenen lloc al Parc</t>
  </si>
  <si>
    <t>Percentatge de filmacions de medi natural al Parc Natural sense autorització</t>
  </si>
  <si>
    <t xml:space="preserve">OF  </t>
  </si>
  <si>
    <t>11.1.6</t>
  </si>
  <si>
    <t>Regular les activitats científiques en base al model de Pla de protecció</t>
  </si>
  <si>
    <t>11.1.7</t>
  </si>
  <si>
    <t>Regular les zones de bany</t>
  </si>
  <si>
    <t>11.1.8</t>
  </si>
  <si>
    <t>Regular l'enlairament i aterratge sense motor</t>
  </si>
  <si>
    <t>11.1.9</t>
  </si>
  <si>
    <t>Regular el submarinisme i l'snorkel</t>
  </si>
  <si>
    <t>Millora del seguiment de les pràctiques i activitats esportives i/o de lleure que tenen lloc dins l’espai protegit.</t>
  </si>
  <si>
    <t>Aprovació del PRUG marí amb un apartat específic</t>
  </si>
  <si>
    <t>11.1.10</t>
  </si>
  <si>
    <t>Regular les activitats aquàtiques i nàutiques i zones de fondeig</t>
  </si>
  <si>
    <t>Increment la capacitat de vigilància, especialment en l’àmbit marí.</t>
  </si>
  <si>
    <t>Dotar dels mitjans adequats per a realitzar aquesta viglància</t>
  </si>
  <si>
    <t>Disposició de l'embarcació</t>
  </si>
  <si>
    <t>11.1.11</t>
  </si>
  <si>
    <t>Regular la presència d'animals de companyia</t>
  </si>
  <si>
    <t>11.1.12</t>
  </si>
  <si>
    <t>Regular lels activitats d'educació ambiental i el lleure educatiu</t>
  </si>
  <si>
    <t>11.2</t>
  </si>
  <si>
    <t>Disposar de la xarxa viària i itineraris oficials de l'ENP</t>
  </si>
  <si>
    <t>11.2.1</t>
  </si>
  <si>
    <t xml:space="preserve">Identificar i classificar la xarxa viària bàsica, secundària, senders i itineraris senyalitzats d'acord amb els ajuntaments </t>
  </si>
  <si>
    <t>Comptar amb una xarxa d'itineraris del Parc adequadament mantinguda i senyalitzada</t>
  </si>
  <si>
    <t>Dotació d'una xarxa d'itineraris per a la visita i el gaudi del Parc</t>
  </si>
  <si>
    <t>Percentatge d'itineraris anualment revisats (o reposats si estan malmesos)</t>
  </si>
  <si>
    <t>11.2.2</t>
  </si>
  <si>
    <t>Treballar conjuntament amb els principals canals d’informació de rutes  per prioritzar itineraris oficials dins l’ENP</t>
  </si>
  <si>
    <t>Manteniment i repàs de tota la senyalització de pistes (cartells del Pla Alfa, restricció d'accessos, no pernoctació, etc.)</t>
  </si>
  <si>
    <t>Percentatge de cartelleria anualment revisada o reposada si està malmesa</t>
  </si>
  <si>
    <t>11.2.3</t>
  </si>
  <si>
    <t>Garantir un ús públic ordenat als accessos a les cales de Roses i a la RNI de Cap de Creus</t>
  </si>
  <si>
    <t>Coordinació amb els Ajuntaments de Cadaqués i Roses en relació a la gestió de les restriccions al trànsit rodat a les carreteres del Far de Cap de Creus i de les cales meridionals del Parc.</t>
  </si>
  <si>
    <t>Dies de gestió conjunta de regulació d'accessos amb els Ajuntaments afectats</t>
  </si>
  <si>
    <t>11.3</t>
  </si>
  <si>
    <t>Implementar el protocol estandarditzat basat en el pla per la regulació al accés, circulació i ús de la xarxa viària</t>
  </si>
  <si>
    <t>11.3.1</t>
  </si>
  <si>
    <t>Regular l'accés i la circulació</t>
  </si>
  <si>
    <t>Regular l'accés i la circulació per a activitats organitzades no motoritzades</t>
  </si>
  <si>
    <t>Dotació d'una Xarxa Ciclable i una Xarxa Senderista per a activitats organitzades, acordada amb el territori</t>
  </si>
  <si>
    <t>Disposició dels 2 Plans</t>
  </si>
  <si>
    <t>11.3.2</t>
  </si>
  <si>
    <t>Regular la xarxa viària principal, secundària i restringida</t>
  </si>
  <si>
    <t>11.3.3</t>
  </si>
  <si>
    <t>Regular l'ús de drons, l'enlairament i l'aterratge</t>
  </si>
  <si>
    <t>11.3.4</t>
  </si>
  <si>
    <t>Aplicar limitacions temporals d'accés o circulació</t>
  </si>
  <si>
    <t>11.3.5</t>
  </si>
  <si>
    <t>Regular l'aparcament de vehícles</t>
  </si>
  <si>
    <t>Regular l'aparcament i pernoctació de vehicles</t>
  </si>
  <si>
    <t>Minimització de la pernoctació amb vehicles dins del Parc</t>
  </si>
  <si>
    <t>Nombre d'espais i pistes a l'interior del Parc sense senyalització de no pernoctació</t>
  </si>
  <si>
    <t>11.4</t>
  </si>
  <si>
    <t>Enfortir la col·laboració i coordinació amb els agents d'ús públic (empreses, entitats i ajuntaments)</t>
  </si>
  <si>
    <t>11.4.1</t>
  </si>
  <si>
    <t>Implementar l'ordenació de l'ús públic en col·laboració amb els agents del territori</t>
  </si>
  <si>
    <t>Incrementar el control i informació en l'àmbit marí, de forma coordinada amb els cossos de seguretat marins</t>
  </si>
  <si>
    <t>Disposició d’un servei d’informació i vigilància amb personal de reforç a l’àmbit marí durant un mínim de 9 mesos a l’any, i treballar per a aconseguir el servei tot l’any.</t>
  </si>
  <si>
    <t>Nombre de mesos de presència d'informadors/es marins/es</t>
  </si>
  <si>
    <t>11.4.2</t>
  </si>
  <si>
    <t>Promoció i acompanyament en l'ordenació de l'ús públic de l'ENP des de l'àmbit municipal</t>
  </si>
  <si>
    <t>Incrementar el control i informació en l'àmbit terrestre de forma coordinada amb els cossos de seguretat de vigilància, locals, autonòmics o estatals</t>
  </si>
  <si>
    <t>Disposició d’un servei d’informació i vigilància amb personal de reforç, extern o intern, a l'àmbit terrestre del Parc</t>
  </si>
  <si>
    <t>Nombre de mesos de presència d'informadors/es terrestres</t>
  </si>
  <si>
    <t>11.5</t>
  </si>
  <si>
    <t>Mantenir i millorar la senyalització de l'ENP</t>
  </si>
  <si>
    <t>11.5.1</t>
  </si>
  <si>
    <t>Realitzar l'inventari de senyalètica de l'ENP</t>
  </si>
  <si>
    <t>Realitzar l'inventari de senyalètica del Parc Natural</t>
  </si>
  <si>
    <t>Disposició de l'inventari actualitzat de senyalització del Parc Natural</t>
  </si>
  <si>
    <t>Actualització de l'inventari</t>
  </si>
  <si>
    <t>11.5.2</t>
  </si>
  <si>
    <t xml:space="preserve">Implantar el programa de senyalització i manteniment </t>
  </si>
  <si>
    <t xml:space="preserve">Aplicar el Protocol de Senyalització del Parc realitzat l’any 2020. </t>
  </si>
  <si>
    <t>Instal·lació de nova cartelleria informativa dels valors del Parc</t>
  </si>
  <si>
    <t>Nombre de cartells nous instal·lats</t>
  </si>
  <si>
    <t>11.5.3</t>
  </si>
  <si>
    <t>Millorar l’experiència dels usuaris del medi marí del Parc en la seva visita mitjançant el manteniment de la instal·lació de boies d’abalisament de banyistes i de fondeig per a centres d’immersió i creuers turístics.</t>
  </si>
  <si>
    <t>Instal·lació de boies de busseig i creuers temporal, de forma anual</t>
  </si>
  <si>
    <t>Mesos de temporada alta sense presència de les boies</t>
  </si>
  <si>
    <t>11.5.4</t>
  </si>
  <si>
    <t>Aconseguir que les dues RNI siguin espais d'excel·lència en la compatibilització d'ús públic i conservació</t>
  </si>
  <si>
    <t>Dotar les dues RNI amb senyalització, informació i cartelleria específica per a la visita sense afectació a l'espai</t>
  </si>
  <si>
    <t>Actuacions de regulació d'ús públics a les dues RNI</t>
  </si>
  <si>
    <t>11.6</t>
  </si>
  <si>
    <t>Prevenir i gestionar els impactes derivats de la sobrefreqüentació</t>
  </si>
  <si>
    <t>11.6.1</t>
  </si>
  <si>
    <t xml:space="preserve">Potenciar la visita a espais alternatius dins de l'àmbit d'influència de l'espai natural per reduir la pressió en zones sensibles </t>
  </si>
  <si>
    <t>Potenciació dels itineraris locals al voltant dels municipis, en coordinació amb els diferents Ajuntaments del Parc</t>
  </si>
  <si>
    <t>Nombre d'itineraris locals mantinguts (desbrossats, senyalitzats) des del Parc</t>
  </si>
  <si>
    <t>11.6.2</t>
  </si>
  <si>
    <t xml:space="preserve">Implementar les mesures extraordinàries de regulació de l'ús públic </t>
  </si>
  <si>
    <t>Implementar ordenació d'accessos a àmbits sensibles</t>
  </si>
  <si>
    <t>Realització del projecte de millora mirador cova de s’Infern i desenvolupar el projecte d’ordenació de la Punta de Cap de Creus</t>
  </si>
  <si>
    <t>11.7</t>
  </si>
  <si>
    <t>Ordenar i estandaritzar els espais d'acollida de visitants i equipaments d'ús públic, i garantir un correcte servei d'atenció i acollida dels visitants</t>
  </si>
  <si>
    <t>11.7.1</t>
  </si>
  <si>
    <t>Adequar els principals accessos, aparcaments i centres d'interès amb un ús elevat</t>
  </si>
  <si>
    <t>11.7.2</t>
  </si>
  <si>
    <t>Disposar dels equipaments i infraestructures necessàries i accessibles per acollir, informar, facilitar la visita i garantir la seguretat dels visitants i la protecció de l'entorn</t>
  </si>
  <si>
    <t>Mantenir i potenciar els punts d'informació actuals</t>
  </si>
  <si>
    <t xml:space="preserve">Manteniment i potenciació del Servei d’informació i educació ambiental de Vilajuïga (seu del Parc Natural), Paratge de Tudela, Espai Cap de Creus (ECC), Punta Falconera, Corral d’en Morell (i futur centre de S’Alqueria) i Àrea Recreativa de Mas Ventós, així com també informadors itinerants o puntuals en llocs que per restriccions de pas o massa afluència ho requereixin com la Torre del Sastre, etc. </t>
  </si>
  <si>
    <t>Nombre d'informadors/es (fixos o itinerants) del Parc als diferents P.I. Durant temporada alta</t>
  </si>
  <si>
    <t>11.7.3</t>
  </si>
  <si>
    <t>Desenvolupar el Pla d'acollida als visitants en base al model de la DG</t>
  </si>
  <si>
    <t>11.7.4</t>
  </si>
  <si>
    <t>Adaptar els missatges a donar des d'oficines d’informació, pròpies i alienes, d'acord amb el model de la DG</t>
  </si>
  <si>
    <t>11.7.5</t>
  </si>
  <si>
    <t>Dotar-se de nous equipaments en cas que sigui necessari</t>
  </si>
  <si>
    <t>Construcció d'un nou centre d'informació a S'Alqueria i d'un nou Punt d'Informació a Mas Ventós</t>
  </si>
  <si>
    <t>Construcció de 2 nous centres/punts d'informació</t>
  </si>
  <si>
    <t>11.7.6</t>
  </si>
  <si>
    <t>Mantenir en bon estat els equipaments del Parc Natural</t>
  </si>
  <si>
    <t>Manteniment Àrea Recreativa Mas Ventós: tractament fusta (taules i tanques), neteja de l’interior, etc.</t>
  </si>
  <si>
    <t>Realització del manteniment anual</t>
  </si>
  <si>
    <t>Manteniment Àrea Recreativa Mas Ventós: reparació rampa d’accés</t>
  </si>
  <si>
    <t>Instal·lació WC sec a Gentils</t>
  </si>
  <si>
    <t>Instal·lació de l'element</t>
  </si>
  <si>
    <t>Neteja i retirada de residus Paratge Tudela</t>
  </si>
  <si>
    <t>Freqüència (vegades al mes) de retirada dels residus</t>
  </si>
  <si>
    <t>Neteges i manteniments WCs Tudela</t>
  </si>
  <si>
    <t>Manteniment anual</t>
  </si>
  <si>
    <t>Manteniment Mas de la Mata</t>
  </si>
  <si>
    <t>Manteniment estructures ferro i altres elements a Tudela</t>
  </si>
  <si>
    <t>Manteniment fusta Tudela (caseta informació, WCs, tanques, pals senyalització i voral accés) i, si s’escau, instal·lació elements Corral d’en Morell</t>
  </si>
  <si>
    <t>Manteniment edifici Mas Caials</t>
  </si>
  <si>
    <t>Manteniment i reforç de passos canadencs i adquisició d’un nou pas canadenc</t>
  </si>
  <si>
    <t>Manteniment anual i adquisició de nous passos canadencs</t>
  </si>
  <si>
    <t>Disposar d'un nou magatzem</t>
  </si>
  <si>
    <t>Disposició d'un nou magatzem</t>
  </si>
  <si>
    <t>11.7.7</t>
  </si>
  <si>
    <t>Adequar al compliment de la normativa per a allotjaments a l'equipament de Mas des Caials</t>
  </si>
  <si>
    <t>Disposar d'aquesta normativa</t>
  </si>
  <si>
    <t>Disposició del pla</t>
  </si>
  <si>
    <t>11.8</t>
  </si>
  <si>
    <t>Garantir el compliment de la normativa dins els ENP, especialment en l'accés motoritzat, zones amb hiperfrequentació i elements amb aprofitament comercial</t>
  </si>
  <si>
    <t>11.8.1</t>
  </si>
  <si>
    <t>Elaborar i executar el Pla de vigilància de l’espai d'acord amb els cossos d’inspecció i seguretat</t>
  </si>
  <si>
    <t>11.8.2</t>
  </si>
  <si>
    <t>Millorar la coordinació amb els cossos de seguretat per efectuar accions de control i vigilància</t>
  </si>
  <si>
    <t>Mantenir la coordinació amb tots els cossos de vigilància i seguretat per tal d'augmentar la seva presència al territori.</t>
  </si>
  <si>
    <t>Increment de la vigilància i optimització dels recursos aportats pels diferents cossos de seguretat</t>
  </si>
  <si>
    <t>Realització d'un nombre mínim de reunions a la seu del Parc amb els diferents cossos de seguretat</t>
  </si>
  <si>
    <t>11.8.3</t>
  </si>
  <si>
    <t>Vetllar pel compliment d'informes i la vigilància tècnica de l'espai</t>
  </si>
  <si>
    <t>GESTIONAR ELS RISCOS NATURALS per a l'autoprotecció de la població local</t>
  </si>
  <si>
    <t>12.1</t>
  </si>
  <si>
    <t>Col·laborar amb les autoritats competents per a la gestió de riscos dins l’ENP</t>
  </si>
  <si>
    <t>12.1.1</t>
  </si>
  <si>
    <t>Ordenar el pla d’emergències</t>
  </si>
  <si>
    <t>Dotar-se d'un Pla d’emergències</t>
  </si>
  <si>
    <t>Disposició d'un Pla d'Emergències per al Parc Natural</t>
  </si>
  <si>
    <t>12.1.2</t>
  </si>
  <si>
    <t>Contribuir a la protecció dels assentaments humans respecte dels riscos naturals</t>
  </si>
  <si>
    <t xml:space="preserve">EDUCACIÓ, VOLUNTARIAT I COMUNICACIÓ </t>
  </si>
  <si>
    <t>FORMAR I SENSIBILITZAR la població incrementant la valoració i estima social de l'ENP</t>
  </si>
  <si>
    <t>13.1</t>
  </si>
  <si>
    <t xml:space="preserve">Afavorir la vinculació entre la comunitat educativa de l'entorn i l'ENP </t>
  </si>
  <si>
    <t>13.1.1</t>
  </si>
  <si>
    <t>Definir el model de Xarxa d'Escoles de l'Espai Natural (XEEN) a l'ENP amb els agents educatius del territori</t>
  </si>
  <si>
    <t>Consolidar la Xarxa d'Escoles de Cap de Creus</t>
  </si>
  <si>
    <t>Creació d'un sentiment de pertinença entre els/les escolars del Parc a través de l'edició anual de l'agenda escolar i el pòster per a tots els centres</t>
  </si>
  <si>
    <t>Edició anual de l'Agenda Escolar i el pòster</t>
  </si>
  <si>
    <t xml:space="preserve">MP </t>
  </si>
  <si>
    <t>Educació Ambiental</t>
  </si>
  <si>
    <t>13.1.2</t>
  </si>
  <si>
    <t>Desplegar el model de Xarxa d'Escoles de l'Espai Natural (XEEN) a l'ENP d'acord amb el model general</t>
  </si>
  <si>
    <t>Creació de vincles i xarxa entre els centres escolars a través de la realització de la jornada SomParc</t>
  </si>
  <si>
    <t>Realització de la jornada anual SomParcC</t>
  </si>
  <si>
    <t>Coordinació amb les escoles i instituts del Parc a través de la consolidació de la Xarxa d'Escoles i Instituts del Parc</t>
  </si>
  <si>
    <t>Nombre de reunions anuals amb els centres</t>
  </si>
  <si>
    <t>13.1.3</t>
  </si>
  <si>
    <t xml:space="preserve">Formar i capacitar al professorat de la XEEN </t>
  </si>
  <si>
    <t>Formar i capacitar al professorat de la Xarxa d'Escoles i Instituts de Cap de Creus</t>
  </si>
  <si>
    <t>Formació el professorat amb coneixements sobre el Parc</t>
  </si>
  <si>
    <t>Nombre de cursos realitzats per a professorat</t>
  </si>
  <si>
    <t>13.2</t>
  </si>
  <si>
    <t>Promoure una oferta pedagògica basada en metodologies innovadores i actives que estiguin alineades amb el currículum educatiu del Departament d'Educació</t>
  </si>
  <si>
    <t>13.2.1</t>
  </si>
  <si>
    <t>Adaptar i millorar l'oferta pedagògica de l'ENP generant situacions d'aprenentatge i treballs per projecte</t>
  </si>
  <si>
    <t>Adaptar i millorar l'oferta pedagògica del Parc generant situacions d'aprenentatge i treballs per projecte</t>
  </si>
  <si>
    <t>Potenciació dels Serveis d’Educació Ambiental mitjançant sortides de natura, tallers educatius, xerrades, conferències, cursos, etc.</t>
  </si>
  <si>
    <t xml:space="preserve">Nombre d'activitats anuals amb escoles </t>
  </si>
  <si>
    <t>13.2.2</t>
  </si>
  <si>
    <t>Dissenyar projectes d'ApS ambiental i Ciència ciutadana i projectes compartits amb entitats del territori que s'incloguin dins de l'oferta pedagògica.</t>
  </si>
  <si>
    <t>13.2.3</t>
  </si>
  <si>
    <t>Elaborar recursos educatius sobre l’espai (que tinguin en compte les problemàtiques singulars del seu espai) i posar-los a disposició dels centres educatius</t>
  </si>
  <si>
    <t>Elaborar nous recursos educatius sobre l’espai (que tinguin en compte les problemàtiques singulars del seu espai) i posar-los a disposició dels centres educatius</t>
  </si>
  <si>
    <t>Disposició de nous recursos educatius per als centres</t>
  </si>
  <si>
    <t>Nombre de nous recursos educatius</t>
  </si>
  <si>
    <t>13.2.4</t>
  </si>
  <si>
    <t>Oferir projectes de recerca vinculats a l'espai natural per a l'alumnat universitari i de la XEEN</t>
  </si>
  <si>
    <t>Oferir projectes de recerca vinculats a l'espai natural per a l'alumnat de la Xarxa d'Escoles i Instituts del Parc</t>
  </si>
  <si>
    <t>Realització de Treballs de Recerca d'estudiants de Batxillerat a l'àmbit del Parc</t>
  </si>
  <si>
    <t>Nombre de TdR fets al Parc</t>
  </si>
  <si>
    <t>Oferir projectes de recerca vinculats a l'espai natural per a l'alumnat universitari</t>
  </si>
  <si>
    <t>Tutorització d'estudiants per potenciar la realització d'estudis científics al Parc</t>
  </si>
  <si>
    <t>Nombre d'estudis de final de Grau</t>
  </si>
  <si>
    <t>Acollir estudiants de final de grau i pràctiques en empreses, de diferents centres universitaris i de recerca per a promoure el coneixement i donar suport al món acadèmic</t>
  </si>
  <si>
    <t>Tutoritzar treballs de final de grau i pràctiques en empreses d’estudiants de diferents centres universitaris i de recerca.</t>
  </si>
  <si>
    <t>Acollida d'un mínim de estudiants al Parc</t>
  </si>
  <si>
    <t>13.3</t>
  </si>
  <si>
    <t>Establir mecanismes estables de formació, treball i coordinació amb els col·lectius implicats en la sensibilització i l'educació dins el ENP</t>
  </si>
  <si>
    <t>13.3.1</t>
  </si>
  <si>
    <t>Establir un model de coordinació territorial amb agents clau de l'educació ambiental</t>
  </si>
  <si>
    <t>13.3.2</t>
  </si>
  <si>
    <t>Cercar i establir col·laboracions i projectes conjunts amb agents clau del territori</t>
  </si>
  <si>
    <t>13.3.3</t>
  </si>
  <si>
    <t>Elaborar formacions dirigides als informadors, educadors i altres prescriptors del territori</t>
  </si>
  <si>
    <t>Realització dels Cursos de Formació bianuals (Bons Coneixedors/es terrestres, Immersió lleugera, Guies Subaquàtis, Informadors/es)</t>
  </si>
  <si>
    <t>Nombre de cursos anuals fets</t>
  </si>
  <si>
    <t>13.4</t>
  </si>
  <si>
    <t>Desplegar un programa de divulgació i sensibilització per a visitants</t>
  </si>
  <si>
    <t>13.4.1</t>
  </si>
  <si>
    <t>Desplegar en el territori les campanyes de sensibilització i bones pràctiques que s'impulsin des de la DG</t>
  </si>
  <si>
    <t>Desenvolupar el Pla Estratègic d'Educació i Voluntariat Ambiental (PEEVA)</t>
  </si>
  <si>
    <t xml:space="preserve">Desplegament del PEEVA (Pla Estratègic d’Educació i Voluntariat Ambiental) en voluntariat ambiental (taula de voluntariat, actuacions de neteges amb entitats del territori, establir xarxa entre entitats, etc.).
</t>
  </si>
  <si>
    <t>Nombre de reunions + nombre d'activitats anuals realitzades</t>
  </si>
  <si>
    <t xml:space="preserve">1 + 5 </t>
  </si>
  <si>
    <t>2 + 10</t>
  </si>
  <si>
    <t>13.4.2</t>
  </si>
  <si>
    <t xml:space="preserve">Adaptar el programa de divulgació i sensibilització de l'ENP perquè incorpori una oferta d’activitats adequada per a famílies </t>
  </si>
  <si>
    <t>13.4.3</t>
  </si>
  <si>
    <t xml:space="preserve">Adaptar el programa de divulgació i sensibilització de l'ENP perquè incorpori una oferta d’activitats adequada per a altres perfils </t>
  </si>
  <si>
    <t>13.4.4</t>
  </si>
  <si>
    <t xml:space="preserve">Adaptar el programa de divulgació i sensibilització de l'ENP perquè incorpori una oferta d’activitats dirigida al lleure educatiu </t>
  </si>
  <si>
    <t>13.5</t>
  </si>
  <si>
    <t>Desplegar un programa de sensibilització i formació per als col·lectius del territori estratègics en la conservació de la natura</t>
  </si>
  <si>
    <t>13.5.1</t>
  </si>
  <si>
    <t>Identificar col·lectius estratègics implicats en la gestió i l'ús del territori</t>
  </si>
  <si>
    <t>13.5.2</t>
  </si>
  <si>
    <t>Executar els projectes de sensibilització i formació dirigits al sector turístic, esportiu i de lleure</t>
  </si>
  <si>
    <t>13.5.3</t>
  </si>
  <si>
    <t xml:space="preserve">Executar els projectes de sensibilització i formació dirigits als agents de lleure educatiu </t>
  </si>
  <si>
    <t>13.5.4</t>
  </si>
  <si>
    <t xml:space="preserve">Executar els projectes de sensibilització i formació dirigits als agents del sector primari </t>
  </si>
  <si>
    <t>13.5.5</t>
  </si>
  <si>
    <t>Elaborar i renovar periòdicament un programa d’educació ambiental adreçat a la població local que contribueixi a fomentar el sentiment de pertinença i la implicació en la conservació de l'ENP.</t>
  </si>
  <si>
    <t>Elaborar i renovar periòdicament un programa d’educació ambiental adreçat a la població local que contribueixi a fomentar el sentiment de pertinença i la implicació en la conservació del Parc</t>
  </si>
  <si>
    <t>Realització de jornades tècniques i de formació (Pla Anual de Transferència Tecnològica): Models ramaders de gestió de pastures; Mestres de pedra seca; Sòls i geologia del Cap de Creus; CETS Cap de Creus; estudis realitzats al Parc, etc.</t>
  </si>
  <si>
    <t>Realització de jornades temàtiques i formatives al Parc</t>
  </si>
  <si>
    <t>13.6</t>
  </si>
  <si>
    <t xml:space="preserve">Fomentar accions de voluntariat per conservar el patrimoni natural i cultural </t>
  </si>
  <si>
    <t>13.6.1</t>
  </si>
  <si>
    <t>Identificar els programes, projectes i accions en marxa o previstos a l’ENP que poden rebre el suport del voluntariat</t>
  </si>
  <si>
    <t>13.6.2</t>
  </si>
  <si>
    <t>Establir un model de coordinació territorial amb agents clau del voluntariat ambiental</t>
  </si>
  <si>
    <t>13.7</t>
  </si>
  <si>
    <t xml:space="preserve">Treballar per a la universalitat de les accions d’educació, sensibilització i voluntariat ambiental </t>
  </si>
  <si>
    <t>13.7.1</t>
  </si>
  <si>
    <t>Dissenyar i adaptar activitats inclusives per a persones amb necessitats específiques</t>
  </si>
  <si>
    <t>Dotació de l'espai de recursos específics per a persones amb necessitats específiques</t>
  </si>
  <si>
    <t>Nombre de nous recursos (itineraris, plafons, llibres)</t>
  </si>
  <si>
    <t>13.7.2</t>
  </si>
  <si>
    <t>Formar el personal de l'ENP (informadors i personal que treballa de cara al públic) en accessibilitat, diversitat funcional i diversitat de gènere</t>
  </si>
  <si>
    <t>13.7.3</t>
  </si>
  <si>
    <t>Incorporar la perspectiva de gènere als continguts i activitats de l'ENP</t>
  </si>
  <si>
    <t>Incorporació de la perspectiva de gènere als elements, publicacions i material editat des del Parc</t>
  </si>
  <si>
    <t>Percentatge del material editat que incorpora la perspectiva de gènere</t>
  </si>
  <si>
    <t>Tot l'Equip</t>
  </si>
  <si>
    <t>13.8</t>
  </si>
  <si>
    <t>Desplegar i adaptar el programa Salut i Natura de la DG en l'àmbit de l'ENP</t>
  </si>
  <si>
    <t>13.8.1</t>
  </si>
  <si>
    <t>Dissenyar, implementar i fomentar itineraris saludables dins dels itineraris oficials dels ENP i en la zona d'influència</t>
  </si>
  <si>
    <t>Incorporació dels itineraris del Parc a la xarxa d'itineraris saludables de la DG</t>
  </si>
  <si>
    <t>Nombre dels itineraris incorporats a la xarxa</t>
  </si>
  <si>
    <t>13.8.2</t>
  </si>
  <si>
    <t>Identificar els agents clau i els àmbits de col·laboració per implementar el binomi salut i natura</t>
  </si>
  <si>
    <t>13.8.3</t>
  </si>
  <si>
    <t xml:space="preserve">Incloure el concepte de salut i natura en els missatges educatius i comunicatius de l'ENP </t>
  </si>
  <si>
    <t>Realitzar activitats que incorporin el binomi salut i natura</t>
  </si>
  <si>
    <t>Realització d'activitats obertes en relació a la salut i Natura als ENPEs</t>
  </si>
  <si>
    <t>Nombre d'activitats realitzades</t>
  </si>
  <si>
    <t>13.8.4</t>
  </si>
  <si>
    <t>Participar a les Taules territorials de Salut i Natura</t>
  </si>
  <si>
    <t>Participació del Parc a les reunions de les taules</t>
  </si>
  <si>
    <t>Percentatge d'assistència a les taules</t>
  </si>
  <si>
    <t>COMUNICAR I DIFONDRE ELS VALORS DE L'ENP, contribuint a l'educació ambiental de la societat</t>
  </si>
  <si>
    <t>14.1</t>
  </si>
  <si>
    <t>Augmentar el coneixement de l'ENP entre la població</t>
  </si>
  <si>
    <t>14.1.1</t>
  </si>
  <si>
    <t>Informar periòdicament sobre les tasques, projectes i actuacions que duu a terme l'ENP a la població</t>
  </si>
  <si>
    <t xml:space="preserve">Promoció de la difusió de les activitats, projectes i actes organitzats pel Parc mitjançant l'dició del Butlletí Mensual
</t>
  </si>
  <si>
    <t>Nombre de butlletins mensuals publicats al llarg dels 4 anys</t>
  </si>
  <si>
    <t>14.1.2</t>
  </si>
  <si>
    <t>Garantir l'accessibilitat i gestió del coneixement disponible sobre l'ENP</t>
  </si>
  <si>
    <t>Millora i reedició dels materials informatius i divulgatius del Parc a través de l'edició de fulletons</t>
  </si>
  <si>
    <t>Nombre de fulletons</t>
  </si>
  <si>
    <t>14.2</t>
  </si>
  <si>
    <t>Conscienciar sobre els valors de l'ENP als diferents públics objectiu</t>
  </si>
  <si>
    <t>14.2.1</t>
  </si>
  <si>
    <t>Sensibilitzar als diferents agents sobre els valors de l'ENP</t>
  </si>
  <si>
    <t>Divulgar els valors, activitats i propostes del Parc, així com les visites responsables a través de les XXSS</t>
  </si>
  <si>
    <t>Manteniment les Xarxes Socials existents en l’actualitat i incrementar el nombre de seguidors</t>
  </si>
  <si>
    <t>Percentatge d'increment anual de seguidors/es a les XXSS</t>
  </si>
  <si>
    <t>14.3</t>
  </si>
  <si>
    <t xml:space="preserve">Disposar d'una comunicació ordenada efectiva, positiva i coordinada que arribi a la ciutadania i aquesta pugui reconèixer fàcilment </t>
  </si>
  <si>
    <t>14.3.1</t>
  </si>
  <si>
    <t>Optimitzar els canals de comunicació</t>
  </si>
  <si>
    <t>Posar a disposició material de difusió del Parc</t>
  </si>
  <si>
    <t>Promoció del Parc a través de material de merchandising en el Parc</t>
  </si>
  <si>
    <t>Nombre d'elements i productes de promoció del Parc als Punts d'Informació</t>
  </si>
  <si>
    <t>MP I PF</t>
  </si>
  <si>
    <t>14.3.2</t>
  </si>
  <si>
    <t>Garantir l'harmonització de la comunicació com a Parc, Xarxa i Generalitat.</t>
  </si>
  <si>
    <t>GESTIÓ I ADMINISTRACIÓ</t>
  </si>
  <si>
    <t>ESTABLIR EL MARC PER A LA GOVERNANÇA i la gestió eficient de l'espai i la xarxa d'ENP</t>
  </si>
  <si>
    <t>15.1</t>
  </si>
  <si>
    <t>Disposar d'espais per a la participació de personal expert i agents del territori en la governança de l'ENP</t>
  </si>
  <si>
    <t>15.1.1</t>
  </si>
  <si>
    <t>Crear una taula de treball amb els agents prioritaris per a la gestió de l'ENP i els grups de treball temàtics necessaris</t>
  </si>
  <si>
    <t xml:space="preserve">Mantenir els òrgans de gestió actuals </t>
  </si>
  <si>
    <t>Realització dels òrgans rectors i gestor del Parc: Consell de Cooperació, Comissió Permanent i Junta Rectora</t>
  </si>
  <si>
    <t>Nombre de reunions anuals de la JR, CP i CC</t>
  </si>
  <si>
    <t>2 + 2 + 1</t>
  </si>
  <si>
    <t>15.1.2</t>
  </si>
  <si>
    <t>Disposar d'assessorament científic en l'ENP</t>
  </si>
  <si>
    <t>Disposar d'assessorament científic marí en l'ENP</t>
  </si>
  <si>
    <t>Disposició d'un Comitè d'assessorament científic al Parc, en relació al medi marí, a través del desenvolupament del PRUG</t>
  </si>
  <si>
    <t>Nombre de reunions del comitè científic marí del PRUG</t>
  </si>
  <si>
    <t>15.1.3</t>
  </si>
  <si>
    <t>Incloure entitats i organismes científics i culturals de referència en els mecanismes de presa de decisions de l'ENP</t>
  </si>
  <si>
    <t>15.1.4</t>
  </si>
  <si>
    <t>Adaptar i desplegar el model de governança dels espais naturals protegits</t>
  </si>
  <si>
    <t>15.1.5</t>
  </si>
  <si>
    <t>Participar en els programes europeus existents i altres que puguin sorgir en el futur.</t>
  </si>
  <si>
    <t>Participació en les actuacions vinculades amb projectes europeus per a la millora de la gestió dels Parcs i de les àrees marines protegides</t>
  </si>
  <si>
    <t>Nombre de projectes europeus</t>
  </si>
  <si>
    <t>MILLORAR L'EFICIÈNCIA de la gestió administrativa</t>
  </si>
  <si>
    <t>16.1</t>
  </si>
  <si>
    <t>Optimitzar l'aplicació pressupostaria</t>
  </si>
  <si>
    <t>16.1.1</t>
  </si>
  <si>
    <t>Millorar el sistema de control de l'execució del pressupost, d'acord amb les indicacions de Serveis Centrals</t>
  </si>
  <si>
    <t>Introducció de nous elements per a la gestió eficient del pressupost</t>
  </si>
  <si>
    <t>Introducció dels nous programes</t>
  </si>
  <si>
    <t>DG</t>
  </si>
  <si>
    <t>16.2</t>
  </si>
  <si>
    <t>Planificar i optimitzar els processos de contractació, concessió d'ajuts, i les col·laboracions amb ens públics i privats</t>
  </si>
  <si>
    <t>16.2.1</t>
  </si>
  <si>
    <t>Planificar i detectar les necessitats de contractació del l'ENP per a l'optimització dels contractes a nivell de Xarxa</t>
  </si>
  <si>
    <t>16.2.2</t>
  </si>
  <si>
    <t>Planificar i detectar les tasques de convocatòries d'ajuts de l'ENP</t>
  </si>
  <si>
    <t>Disposar d'una línia d'ajuts per a aquesta finalitat</t>
  </si>
  <si>
    <t>Desplegament de les subvencions al Parc Natural</t>
  </si>
  <si>
    <t>Nombre d'expedients gestionats per línia d'ajut</t>
  </si>
  <si>
    <t>16.2.3</t>
  </si>
  <si>
    <t>Establir i renovar en temps i forma convenis de col·laboració, convenis marc, acords, protocols i altres instruments de col·laboració.</t>
  </si>
  <si>
    <t>Actualització de tots els convenis vigents o caducats</t>
  </si>
  <si>
    <t>Percentatge de convenis actualitzats</t>
  </si>
  <si>
    <t>16.3</t>
  </si>
  <si>
    <t>Agilitzar, incrementar l'eficiència  i incrementar l’assoliment dels procediments administratius</t>
  </si>
  <si>
    <t>16.3.1</t>
  </si>
  <si>
    <t>Optimitzar l'elaboració d'informes</t>
  </si>
  <si>
    <t>Gestió eficient i ràpida dels informes que cal elaborar</t>
  </si>
  <si>
    <t>Mitjana de dies en atendre informes i sol·licituds</t>
  </si>
  <si>
    <t>16.3.2</t>
  </si>
  <si>
    <t>Adequar i actualitzar els procediments i tramitacions realitzats des de l'ENP als nous processos i eines conjuntes proposades des de Serveis Centrals</t>
  </si>
  <si>
    <t>Adopció del nou sistema creat des de la DG</t>
  </si>
  <si>
    <t>Creació d'un tràmit per al registre de sol·licituds per a la pernoctació a Mas Caials</t>
  </si>
  <si>
    <t>Existència del tràmit</t>
  </si>
  <si>
    <t>Creaació de nous tràmits per a la gestió del PRUG amb disposició de nou personal</t>
  </si>
  <si>
    <t xml:space="preserve">Existència dels tràmits </t>
  </si>
  <si>
    <t>16.3.3</t>
  </si>
  <si>
    <t>Augmentar el coneixement de l'equip de treball en matèria de procediment administratiu</t>
  </si>
  <si>
    <t>16.3.4</t>
  </si>
  <si>
    <t>Garantir la transparència administrativa</t>
  </si>
  <si>
    <t>16.3.5</t>
  </si>
  <si>
    <t>Millorar i mantenir el material i infraestructures de gestió</t>
  </si>
  <si>
    <t>Dotació de les eines necessàries per a un correcte treball i funcionament</t>
  </si>
  <si>
    <t>Incorporació de nous materials i aparells disponibles</t>
  </si>
  <si>
    <t>16.4</t>
  </si>
  <si>
    <t>Ordenar l'estat dels béns patrimonials</t>
  </si>
  <si>
    <t>16.4.1</t>
  </si>
  <si>
    <t>Revisar l’estat dels béns patrimonials i la situació administrativa-legal dels equipaments del parc</t>
  </si>
  <si>
    <t>Regulació dels béns patrimonials a través d'un inventari actualitzat</t>
  </si>
  <si>
    <t>Existència de l'inventari</t>
  </si>
  <si>
    <t>16.4.2</t>
  </si>
  <si>
    <t>Tenir cobertes les pèrdues o danys materials del patrimoni de la Direcció General que hi ha a l'àmbit territorial del Parc, com a conseqüència de la materialització de qualsevol dels riscs emparats en el plec de prescripcions tècniques de la pòlissa.</t>
  </si>
  <si>
    <t>Cobertura de danys i pèrdues mitjançant la pòlissa corresponent</t>
  </si>
  <si>
    <t>Existència de la pòlissa</t>
  </si>
  <si>
    <t>16.5</t>
  </si>
  <si>
    <t>Estructurar la gestió documental</t>
  </si>
  <si>
    <t>16.5.1</t>
  </si>
  <si>
    <t>Millorar l'accessibilitat i la gestió documental del centre o punt de documentació de l'ENP</t>
  </si>
  <si>
    <t>Dotació de punt de gestió documental compartida amb altres ENPEs</t>
  </si>
  <si>
    <t>Dotació del centre de documentació compartit amb altres ENPES</t>
  </si>
  <si>
    <t>Creació d'un arxiu en paper i digital vinculat a la contractació de personal</t>
  </si>
  <si>
    <t>Disposar d'una persona de la categoria arxiver/a</t>
  </si>
  <si>
    <t>16.6</t>
  </si>
  <si>
    <t>Gestionar recursos humans</t>
  </si>
  <si>
    <t>16.6.1</t>
  </si>
  <si>
    <t>Gestió de la brigada de manteniment</t>
  </si>
  <si>
    <t>Gestionar un brigada de manteniment</t>
  </si>
  <si>
    <t>Incorporació d’una brigada pròpia per al Parc Natural durant tot l'any d'un mínim de 4 persones</t>
  </si>
  <si>
    <t>Nombre de persones de la brigada pròpia</t>
  </si>
  <si>
    <t>16.6.2</t>
  </si>
  <si>
    <t>Gestió de personal</t>
  </si>
  <si>
    <t>Comptar amb la dotació de personal necessària per a una correcta gestió</t>
  </si>
  <si>
    <t>Dotació de personal suficient per a la gestió del Parc de 20 persones</t>
  </si>
  <si>
    <t>Nombre de persones que compoen l'equip tècnic del Parc</t>
  </si>
  <si>
    <t>TAULA DE VINCLE ENTRE LES AMENACES I ELS OBJECTIUS OPERATIUS DE L'EIX DEL PATRIMONI NATURAL</t>
  </si>
  <si>
    <t>Eix 1. Natura</t>
  </si>
  <si>
    <t>Codi</t>
  </si>
  <si>
    <t>Objectius operatius</t>
  </si>
  <si>
    <t>Tipologia amenaça</t>
  </si>
  <si>
    <t>Amenaça concreta</t>
  </si>
  <si>
    <t>No especificada</t>
  </si>
  <si>
    <t>Espècies invasores i patògens</t>
  </si>
  <si>
    <t>Gestió i modificació de sistemes naturals</t>
  </si>
  <si>
    <t>Canvi global i/o climàtic</t>
  </si>
  <si>
    <t>Extracció de recursos naturals</t>
  </si>
  <si>
    <t>Producció primària</t>
  </si>
  <si>
    <t>Grans pertorbacions naturals</t>
  </si>
  <si>
    <t>Infrastructures de transport i serveis</t>
  </si>
  <si>
    <t>Polució</t>
  </si>
  <si>
    <t>AFEGIR LES FILES QUE S'HAGIN INCORPORAT A LA TAULA DEL PLA</t>
  </si>
  <si>
    <t xml:space="preserve">Taxonomia d'Amenaces  - Xarxa d'ENP Catalunya </t>
  </si>
  <si>
    <t>Versió 1_revisada pels equips del PNAT Cap de Creus, PNAT Montgrí-Medes, PNAT els Ports, PNIN Poblet, PNAT Delta de l'Ebre, PNAT Alt Pirineu i PNAT Capçaleres del Ter i Freser</t>
  </si>
  <si>
    <r>
      <t xml:space="preserve">Font de dades 1: </t>
    </r>
    <r>
      <rPr>
        <u/>
        <sz val="10"/>
        <color rgb="FF1155CC"/>
        <rFont val="Arial"/>
        <family val="2"/>
      </rPr>
      <t xml:space="preserve">List of pressures and threats for reporting 2019-2024 v1.1 </t>
    </r>
    <r>
      <rPr>
        <sz val="10"/>
        <color rgb="FF000000"/>
        <rFont val="Calibri"/>
        <family val="2"/>
        <scheme val="minor"/>
      </rPr>
      <t>(Comissió Europea)</t>
    </r>
  </si>
  <si>
    <t>Font de dades 2: Llistat de pressions i amenaces del Pla de Protecció del Cadí-Moixeró, inspirat en el llistat de la Comissió Europea</t>
  </si>
  <si>
    <r>
      <t xml:space="preserve">Font de dades 3: </t>
    </r>
    <r>
      <rPr>
        <u/>
        <sz val="10"/>
        <color rgb="FF1155CC"/>
        <rFont val="Arial"/>
        <family val="2"/>
      </rPr>
      <t>IUCN/CMP Threats Classification v 3.3 (2016)</t>
    </r>
    <r>
      <rPr>
        <sz val="10"/>
        <color rgb="FF000000"/>
        <rFont val="Calibri"/>
        <family val="2"/>
        <scheme val="minor"/>
      </rPr>
      <t xml:space="preserve"> i v4.0 draft (2023)</t>
    </r>
  </si>
  <si>
    <t>Codi Amenaça</t>
  </si>
  <si>
    <t>Tipologia d'amenaça</t>
  </si>
  <si>
    <t>Nom Amenaça</t>
  </si>
  <si>
    <t>Exemples i descripció del grup</t>
  </si>
  <si>
    <t>Urbanització i edificació</t>
  </si>
  <si>
    <t>Urbanització residencial</t>
  </si>
  <si>
    <t>Construccions relacionades amb àrees residencials. Tot i que la normativa no permet noves construccions, existeixen edificacions fóra d'ordenació. També casos de remodelacions, reconstruccions o ampliacions d'edificis rurals per usos agrícoles, forestals, ramaders, recreatius, residencials, etc). Restauracions de cabanes i bordes que no deixen forats per ratpenats. cases forestals. Bordes que es canvien d'ús per hosteleria</t>
  </si>
  <si>
    <t>Urbanització comercial o industrial</t>
  </si>
  <si>
    <t>Àrees recretives i turístiques</t>
  </si>
  <si>
    <t>Refugis de muntanya que es remodelen, impacten etc</t>
  </si>
  <si>
    <t>Activitat agrícola</t>
  </si>
  <si>
    <t>Cultius annuals i perennes. Canvis de tipus de cultiu, secà a regadiu o al revés. Canvi d'usos del sòl com cultius de vinya a muntanya, Inclosos el cultiu de l'arròs amb substàncies biocides. Inclòs el cultiu de marihuana</t>
  </si>
  <si>
    <t>Plantacions forestals</t>
  </si>
  <si>
    <t>Ramaderia</t>
  </si>
  <si>
    <t>Ramaderia tan intensiva com extensiva i semi-intensiva (pastura de dia i nit en corral)</t>
  </si>
  <si>
    <t>Aqüicultura</t>
  </si>
  <si>
    <t>Aquicultura marina i d'aigua dolça, a l'interior o als voltants del parc</t>
  </si>
  <si>
    <t>Producció d'energia i mineria</t>
  </si>
  <si>
    <t xml:space="preserve">Activitats de la mineria </t>
  </si>
  <si>
    <t>Mineria de qualsevol tipus (a cel obert, marina, al·luvial com extracció d'àrids i còdols, subterrània), a l'interior o als voltants del parc. Extracció de torba i salines. Si aplica, extracció d'hidrocarburs terrestres o marins</t>
  </si>
  <si>
    <t>Producció d'energia renovable</t>
  </si>
  <si>
    <t>Centrals de producció d'energia renovable (molins eòlics terrestres o marins, instal·lacions solars, hidroelèctriques, geotèrmia inclosos els impactes de fauna contra les instal·lacions). A dins del parc o afectant connectors entre parcs</t>
  </si>
  <si>
    <t>Vials de transport</t>
  </si>
  <si>
    <t>Carreteres, pistes forestals, línies fèrries i cremalleres</t>
  </si>
  <si>
    <t>Conduccions</t>
  </si>
  <si>
    <t>Conduccions elèctriques, aqueductes, canals de rec, estacions de bombament, conduccions d'aigua o gas</t>
  </si>
  <si>
    <t>Infrastructures marines</t>
  </si>
  <si>
    <t>Rutes marines, canals, impactes de vaixells sobre balenes i infrastructura associada. Ports, pantalans, etc</t>
  </si>
  <si>
    <t>Tancaments i vallats</t>
  </si>
  <si>
    <t>Tancaments, valles perimetrals i parets de tota mena, en carreteres, per bestiar, estètiques, etc</t>
  </si>
  <si>
    <t>Caça i recol·lecció d'animals</t>
  </si>
  <si>
    <t>Caça i recolecció d'animals, ous, mel silvestre, etc ja sigui per subsistència, esport, tradició, comerç o de forma accidental</t>
  </si>
  <si>
    <t>Recol·lecció de vegetals</t>
  </si>
  <si>
    <t>Recolecció de plantes, bolets, resines, líquens, etc</t>
  </si>
  <si>
    <t xml:space="preserve">Treballs forestals </t>
  </si>
  <si>
    <t>Treball forestals de tota mena (arreu, selectiva, carboneig, aclarides, etc)</t>
  </si>
  <si>
    <t>Pesca i semblants</t>
  </si>
  <si>
    <t>Pesca i recollida de recursos aquàtics de tota mena i amb qualsevol tècnica (artesanal, xarxa, marisqueig, recollida de corall, pesca accidental, recreativa, etc)</t>
  </si>
  <si>
    <t>Molèsties</t>
  </si>
  <si>
    <t>Molèsties per activitats recreatives</t>
  </si>
  <si>
    <t>Per activitats recreatives al medi natural de qualsevol tipus (excursionisme, bicicleta, cavall, vehicles a motor, escalada, esquí de muntanya, acampada temporal, pernoctació, ornitòlegs, fotografs, esports nàutics, pesca turisme, àrees recreatives, drons, globus, parapents, buggy-kite, sobrevol amb helicòpters, amb ultralleugers, motos de neu, etc) i tan sigui esporàdica com recurrent</t>
  </si>
  <si>
    <t>Molèsties per activitats militars</t>
  </si>
  <si>
    <t>Activitats militars de qualsevol mena (camps militars, assajos amb artilleria, etc)</t>
  </si>
  <si>
    <t>Altres tipus de molèsties</t>
  </si>
  <si>
    <t>Qualsevol altra molèstia (per bany en rius i tolles, passeig de gossos, peregrinatges, aplecs, recerca sobre espècies, extraccions arqueològiques, vandalisme, tràfic de drogues, etc)</t>
  </si>
  <si>
    <t>Molèsties per activitats multitudinàries</t>
  </si>
  <si>
    <t>Activitats organitzades i multitudinàries, per exemple curses de muntanya, festivals, esdeveniments, filmacions, fins i tot enterraments</t>
  </si>
  <si>
    <t>Foc</t>
  </si>
  <si>
    <t>Foc, grans incendis forestals i supressió del foc, incloses activitats de restauració post-foc</t>
  </si>
  <si>
    <t>Gestió de l'aigua</t>
  </si>
  <si>
    <t xml:space="preserve">Construcció i utilització de preses, canals, captacions, pous, dics, etc de qualsevol mena. Extracció / captacions d'aigua per rec, etc.  Construcció de basses per fer neu artificial. Dessaladores, potabilitzadores, depuradores, conduccions, trasvassaments, emissaris de salmorres, alteració de cabals, gestió de cabals en rius  </t>
  </si>
  <si>
    <t>Moviments de terres i sediments</t>
  </si>
  <si>
    <t>Gestió i estabilització de terrenys i sediments (estabilització de dunes, construccions en litorals, remediació de sòls, restauració de mines, dragatges, moviments de sorres, etc)</t>
  </si>
  <si>
    <t>Modificació del clima</t>
  </si>
  <si>
    <t>Activitats per modificar el clima o processos naturals (prevenció de gelades, fertilització amb ferro a l'oceà, captura de carboni, etc)</t>
  </si>
  <si>
    <t>Gestió d'hàbitats</t>
  </si>
  <si>
    <t>Gestió d'hàbitats: gestió d'aigua dolça de rec i arrossars (que pot afectar a llacunes, etc), retirada de fustes en rius, desbrossades, creació d'esculls artificials, alimentació d'ocells, tancament de coves, barreres elèctriques</t>
  </si>
  <si>
    <t>Desaparició d'activitats tradicionals</t>
  </si>
  <si>
    <t>Desaparició de pràctiques tradicionals com pastura extensiva, canvi en el maneig de la pastura, la tipologia de bestiar, caça per control de predadors, etc</t>
  </si>
  <si>
    <t>Espècies invasores</t>
  </si>
  <si>
    <t>Espècies invasores com rates en illes, animals domèstics assilvestrats, musclo zebra, bambú, peixos introduïts com Phoxinus en estanys d'alta muntanya, etc</t>
  </si>
  <si>
    <t>Espècies desestabilitzades</t>
  </si>
  <si>
    <t>Espècies natives desestabilitzades com superpoblació de cèrvids, porcs senglars, manca de carnívors, blooms d'algues, plagues d'insectes, o amb impactes puntuals com predadors sobre espècies sensibles com colònies d'ocells, gall fer, etc</t>
  </si>
  <si>
    <t>Introducció de genotips aliens</t>
  </si>
  <si>
    <t>Material genètic introduït com cultius resistents a plagues, creuament de gat domèstic amb gat fer, restauracions d'hàbitats fetes amb varietats alienes, arbres o instectes modificats genèticament, aquicultura amb espècies no natives, etc</t>
  </si>
  <si>
    <t>Plagues i patògens</t>
  </si>
  <si>
    <t>Malalties que afecten conills, grip aviar, botulisme, castanyers, oliveres, cítrics, amfibis, etc</t>
  </si>
  <si>
    <t>Polució aquàtica</t>
  </si>
  <si>
    <t xml:space="preserve">Polució dissolta en aigua (aigües sèptiques, efluents industrials, pesticides, fertilitzants, efluents de la mineria, excès de nutrients en activitats de l'aquicultura, purins, potasses per desfer la neu en pistes i carreteres, etc </t>
  </si>
  <si>
    <t>Residus sòlids</t>
  </si>
  <si>
    <t>Residus sòlids de qualsevol orígen i en medi terrestre o marí, inclosos de la caça, pesca, agricultura, aqüicultura, del turisme, construcció, transport, xarxes fantasma i elements abandonats al medi</t>
  </si>
  <si>
    <t>Polució aèria</t>
  </si>
  <si>
    <t>Residus en medi aeri com partícules, gasos, o partícules radioactives</t>
  </si>
  <si>
    <t>Contaminació acústica, llumínica o per radiació</t>
  </si>
  <si>
    <t>Contaminació lumínica, tèrmica com efluents de centrals elèctriques en rius, acústica com soroll en aeroports o zones industrials o per escoles de formació de pilots d'helicòpters al Pirineu, camps electromagnètics en cables, sonars submarins, soroll i onades causades per embarcacions recreatives,  llums de les maquinàries a pistes d'esquí, il·luminació nocturna en estacions d'esquí, il·luminació de monuments, etc</t>
  </si>
  <si>
    <t>Pertorbacions d'origen geològic</t>
  </si>
  <si>
    <t>De tipus geològic com terratrèmols, esllavissades, allaus, erupcions volcàniques</t>
  </si>
  <si>
    <t>Pertorbacions d'origen metereològic</t>
  </si>
  <si>
    <t>Per fenòmens extrems com inundacions, temporals, pedregades, etc</t>
  </si>
  <si>
    <t>Impactes del canvi climàtic en sistemes físics i químics</t>
  </si>
  <si>
    <t>Canvis en sistemes físics i químics com acidificació d'oceans, augment del CO2 atmosfèric, pèrdua de sediments, colmatació de basses i llacunes, canvis en corrents marins, regressió de la línia de costa, subsidència del Delta, canvis en la cobertura de núvols, etc</t>
  </si>
  <si>
    <t>Impactes del canvi climàtic relatius a l'alteració del règim de temperatures</t>
  </si>
  <si>
    <t>Canvis en règims de temperatures: onades de calor o de fred, canvis en la temperatura del mar, fusió de glaceres, etc</t>
  </si>
  <si>
    <t>Impactes del canvi climàtic relatius a l'alteració del règim de precipitació i sequera</t>
  </si>
  <si>
    <t>Canvis en règims de precipitació i règims hidrològics com patrons de pluja, d'innivació, generant sequeres, increment de la severitat d'inundacions, reducció de la superfície de llacs i estanys, etc</t>
  </si>
  <si>
    <t>Pujada del nivell del mar</t>
  </si>
  <si>
    <t>Llista d'amenaces OS</t>
  </si>
  <si>
    <t>Si/No</t>
  </si>
  <si>
    <t>No</t>
  </si>
  <si>
    <t>Dubtós</t>
  </si>
  <si>
    <t>Pel POA</t>
  </si>
  <si>
    <t>MÀXIMA</t>
  </si>
  <si>
    <t>FORA DEL TERMINI DEL 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</si>
</sst>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trike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9"/>
      <color rgb="FF1F1F1F"/>
      <name val="&quot;Google Sans&quot;"/>
    </font>
    <font>
      <u/>
      <sz val="11"/>
      <color theme="10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trike/>
      <sz val="11"/>
      <color theme="1"/>
      <name val="Calibri"/>
      <family val="2"/>
    </font>
    <font>
      <sz val="11"/>
      <color rgb="FFFF0000"/>
      <name val="Calibri"/>
      <family val="2"/>
    </font>
    <font>
      <i/>
      <sz val="10"/>
      <color rgb="FF000000"/>
      <name val="Calibri Light"/>
      <family val="2"/>
    </font>
    <font>
      <sz val="11"/>
      <color rgb="FF000000"/>
      <name val="Calibri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3D9B35"/>
        <bgColor indexed="64"/>
      </patternFill>
    </fill>
    <fill>
      <patternFill patternType="solid">
        <fgColor rgb="FFBCBF00"/>
        <bgColor indexed="64"/>
      </patternFill>
    </fill>
    <fill>
      <patternFill patternType="solid">
        <fgColor rgb="FF00ABD4"/>
        <bgColor indexed="64"/>
      </patternFill>
    </fill>
    <fill>
      <patternFill patternType="solid">
        <fgColor rgb="FFF85C26"/>
        <bgColor indexed="64"/>
      </patternFill>
    </fill>
    <fill>
      <patternFill patternType="solid">
        <fgColor rgb="FFFABC2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094A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CFF7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2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theme="8"/>
      </left>
      <right/>
      <top style="thin">
        <color rgb="FF00B0F0"/>
      </top>
      <bottom/>
      <diagonal/>
    </border>
    <border>
      <left/>
      <right style="thin">
        <color theme="8"/>
      </right>
      <top style="thin">
        <color rgb="FF00B0F0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rgb="FF8497B0"/>
      </right>
      <top/>
      <bottom/>
      <diagonal/>
    </border>
    <border>
      <left style="thin">
        <color rgb="FF8497B0"/>
      </left>
      <right/>
      <top style="thin">
        <color rgb="FF8497B0"/>
      </top>
      <bottom/>
      <diagonal/>
    </border>
    <border>
      <left style="thin">
        <color rgb="FF8497B0"/>
      </left>
      <right/>
      <top style="thin">
        <color rgb="FF8497B0"/>
      </top>
      <bottom style="thin">
        <color rgb="FF8497B0"/>
      </bottom>
      <diagonal/>
    </border>
    <border>
      <left/>
      <right style="thin">
        <color rgb="FF8497B0"/>
      </right>
      <top style="thin">
        <color theme="3" tint="0.39994506668294322"/>
      </top>
      <bottom/>
      <diagonal/>
    </border>
    <border>
      <left style="thin">
        <color rgb="FF8497B0"/>
      </left>
      <right/>
      <top style="thin">
        <color theme="3" tint="0.39994506668294322"/>
      </top>
      <bottom/>
      <diagonal/>
    </border>
    <border>
      <left/>
      <right/>
      <top style="thin">
        <color theme="3" tint="0.39994506668294322"/>
      </top>
      <bottom/>
      <diagonal/>
    </border>
    <border>
      <left/>
      <right style="thin">
        <color theme="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5"/>
      </top>
      <bottom/>
      <diagonal/>
    </border>
    <border>
      <left style="thin">
        <color theme="4"/>
      </left>
      <right/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6"/>
      </bottom>
      <diagonal/>
    </border>
    <border>
      <left style="thin">
        <color theme="4"/>
      </left>
      <right/>
      <top style="thin">
        <color theme="5"/>
      </top>
      <bottom style="thin">
        <color theme="4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 style="thin">
        <color theme="8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/>
      <right style="thin">
        <color theme="8"/>
      </right>
      <top/>
      <bottom style="thin">
        <color theme="8" tint="-0.24994659260841701"/>
      </bottom>
      <diagonal/>
    </border>
    <border>
      <left/>
      <right/>
      <top/>
      <bottom style="thin">
        <color theme="9"/>
      </bottom>
      <diagonal/>
    </border>
    <border>
      <left style="thin">
        <color rgb="FF8497B0"/>
      </left>
      <right/>
      <top/>
      <bottom style="thin">
        <color rgb="FF8497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/>
      <top/>
      <bottom style="thin">
        <color theme="5"/>
      </bottom>
      <diagonal/>
    </border>
    <border>
      <left/>
      <right/>
      <top style="thin">
        <color rgb="FF00B0F0"/>
      </top>
      <bottom/>
      <diagonal/>
    </border>
    <border>
      <left/>
      <right/>
      <top style="thin">
        <color theme="9"/>
      </top>
      <bottom/>
      <diagonal/>
    </border>
    <border>
      <left/>
      <right/>
      <top style="thin">
        <color rgb="FF8497B0"/>
      </top>
      <bottom/>
      <diagonal/>
    </border>
    <border>
      <left/>
      <right/>
      <top style="thin">
        <color rgb="FF8497B0"/>
      </top>
      <bottom style="thin">
        <color rgb="FF8497B0"/>
      </bottom>
      <diagonal/>
    </border>
    <border>
      <left/>
      <right/>
      <top/>
      <bottom style="thin">
        <color rgb="FF8497B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9" fillId="0" borderId="0"/>
    <xf numFmtId="0" fontId="27" fillId="0" borderId="0" applyNumberFormat="0" applyFill="0" applyBorder="0" applyAlignment="0" applyProtection="0"/>
    <xf numFmtId="0" fontId="30" fillId="0" borderId="0"/>
  </cellStyleXfs>
  <cellXfs count="298"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12" borderId="2" xfId="0" applyNumberFormat="1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top" wrapText="1"/>
    </xf>
    <xf numFmtId="49" fontId="2" fillId="15" borderId="21" xfId="0" applyNumberFormat="1" applyFont="1" applyFill="1" applyBorder="1" applyAlignment="1">
      <alignment horizontal="center" vertical="center" wrapText="1"/>
    </xf>
    <xf numFmtId="49" fontId="2" fillId="19" borderId="3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3" borderId="40" xfId="0" applyFont="1" applyFill="1" applyBorder="1" applyAlignment="1">
      <alignment vertical="center" wrapText="1"/>
    </xf>
    <xf numFmtId="49" fontId="2" fillId="23" borderId="40" xfId="0" applyNumberFormat="1" applyFont="1" applyFill="1" applyBorder="1" applyAlignment="1">
      <alignment horizontal="center" vertical="center" wrapText="1"/>
    </xf>
    <xf numFmtId="0" fontId="2" fillId="25" borderId="45" xfId="0" applyFont="1" applyFill="1" applyBorder="1" applyAlignment="1">
      <alignment horizontal="center" vertical="center" wrapText="1"/>
    </xf>
    <xf numFmtId="0" fontId="2" fillId="25" borderId="43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3" fillId="7" borderId="1" xfId="0" applyNumberFormat="1" applyFont="1" applyFill="1" applyBorder="1" applyAlignment="1">
      <alignment horizontal="center" vertical="top" wrapText="1"/>
    </xf>
    <xf numFmtId="49" fontId="3" fillId="3" borderId="0" xfId="0" applyNumberFormat="1" applyFont="1" applyFill="1" applyAlignment="1">
      <alignment horizontal="center" vertical="top" wrapText="1"/>
    </xf>
    <xf numFmtId="49" fontId="3" fillId="4" borderId="0" xfId="0" applyNumberFormat="1" applyFont="1" applyFill="1" applyAlignment="1">
      <alignment horizontal="center" vertical="top" wrapText="1"/>
    </xf>
    <xf numFmtId="49" fontId="3" fillId="5" borderId="0" xfId="0" applyNumberFormat="1" applyFont="1" applyFill="1" applyAlignment="1">
      <alignment horizontal="center" vertical="top" wrapText="1"/>
    </xf>
    <xf numFmtId="49" fontId="3" fillId="6" borderId="0" xfId="0" applyNumberFormat="1" applyFont="1" applyFill="1" applyAlignment="1">
      <alignment horizontal="center" vertical="top" wrapText="1"/>
    </xf>
    <xf numFmtId="49" fontId="3" fillId="9" borderId="0" xfId="0" applyNumberFormat="1" applyFont="1" applyFill="1" applyAlignment="1">
      <alignment horizontal="center" vertical="top" wrapText="1"/>
    </xf>
    <xf numFmtId="0" fontId="2" fillId="17" borderId="27" xfId="0" applyFont="1" applyFill="1" applyBorder="1" applyAlignment="1">
      <alignment horizontal="center" vertical="top" wrapText="1"/>
    </xf>
    <xf numFmtId="0" fontId="2" fillId="17" borderId="29" xfId="0" applyFont="1" applyFill="1" applyBorder="1" applyAlignment="1">
      <alignment horizontal="center" vertical="top"/>
    </xf>
    <xf numFmtId="0" fontId="2" fillId="17" borderId="26" xfId="0" applyFont="1" applyFill="1" applyBorder="1" applyAlignment="1">
      <alignment horizontal="center" vertical="top"/>
    </xf>
    <xf numFmtId="0" fontId="2" fillId="11" borderId="7" xfId="0" applyFont="1" applyFill="1" applyBorder="1" applyAlignment="1">
      <alignment horizontal="center" vertical="top"/>
    </xf>
    <xf numFmtId="0" fontId="2" fillId="11" borderId="8" xfId="0" applyFont="1" applyFill="1" applyBorder="1" applyAlignment="1">
      <alignment horizontal="center" vertical="top"/>
    </xf>
    <xf numFmtId="0" fontId="2" fillId="16" borderId="15" xfId="0" applyFont="1" applyFill="1" applyBorder="1" applyAlignment="1">
      <alignment horizontal="center" vertical="top"/>
    </xf>
    <xf numFmtId="0" fontId="2" fillId="16" borderId="16" xfId="0" applyFont="1" applyFill="1" applyBorder="1" applyAlignment="1">
      <alignment horizontal="left" vertical="top" wrapText="1"/>
    </xf>
    <xf numFmtId="0" fontId="2" fillId="13" borderId="11" xfId="0" applyFont="1" applyFill="1" applyBorder="1" applyAlignment="1">
      <alignment horizontal="left" vertical="top" wrapText="1"/>
    </xf>
    <xf numFmtId="0" fontId="2" fillId="13" borderId="12" xfId="0" applyFont="1" applyFill="1" applyBorder="1" applyAlignment="1">
      <alignment horizontal="center" vertical="top"/>
    </xf>
    <xf numFmtId="0" fontId="2" fillId="11" borderId="4" xfId="0" applyFont="1" applyFill="1" applyBorder="1" applyAlignment="1">
      <alignment vertical="top" wrapText="1"/>
    </xf>
    <xf numFmtId="0" fontId="2" fillId="11" borderId="5" xfId="0" applyFont="1" applyFill="1" applyBorder="1" applyAlignment="1">
      <alignment vertical="top" wrapText="1"/>
    </xf>
    <xf numFmtId="49" fontId="3" fillId="8" borderId="52" xfId="0" applyNumberFormat="1" applyFont="1" applyFill="1" applyBorder="1" applyAlignment="1">
      <alignment horizontal="center" vertical="top" wrapText="1"/>
    </xf>
    <xf numFmtId="0" fontId="2" fillId="16" borderId="15" xfId="0" applyFont="1" applyFill="1" applyBorder="1" applyAlignment="1">
      <alignment vertical="top"/>
    </xf>
    <xf numFmtId="0" fontId="2" fillId="16" borderId="17" xfId="0" applyFont="1" applyFill="1" applyBorder="1" applyAlignment="1">
      <alignment vertical="top"/>
    </xf>
    <xf numFmtId="49" fontId="3" fillId="4" borderId="0" xfId="0" applyNumberFormat="1" applyFont="1" applyFill="1" applyAlignment="1">
      <alignment vertical="top" wrapText="1"/>
    </xf>
    <xf numFmtId="0" fontId="2" fillId="17" borderId="27" xfId="0" applyFont="1" applyFill="1" applyBorder="1" applyAlignment="1">
      <alignment vertical="top" wrapText="1"/>
    </xf>
    <xf numFmtId="0" fontId="2" fillId="17" borderId="26" xfId="0" applyFont="1" applyFill="1" applyBorder="1" applyAlignment="1">
      <alignment vertical="top"/>
    </xf>
    <xf numFmtId="0" fontId="2" fillId="17" borderId="28" xfId="0" applyFont="1" applyFill="1" applyBorder="1" applyAlignment="1">
      <alignment vertical="top"/>
    </xf>
    <xf numFmtId="49" fontId="2" fillId="18" borderId="24" xfId="0" applyNumberFormat="1" applyFont="1" applyFill="1" applyBorder="1" applyAlignment="1">
      <alignment horizontal="center" vertical="center" wrapText="1"/>
    </xf>
    <xf numFmtId="0" fontId="2" fillId="16" borderId="16" xfId="0" applyFont="1" applyFill="1" applyBorder="1" applyAlignment="1">
      <alignment vertical="top" wrapText="1"/>
    </xf>
    <xf numFmtId="0" fontId="2" fillId="16" borderId="18" xfId="0" applyFont="1" applyFill="1" applyBorder="1" applyAlignment="1">
      <alignment vertical="top" wrapText="1"/>
    </xf>
    <xf numFmtId="0" fontId="2" fillId="13" borderId="11" xfId="0" applyFont="1" applyFill="1" applyBorder="1" applyAlignment="1">
      <alignment vertical="top" wrapText="1"/>
    </xf>
    <xf numFmtId="0" fontId="2" fillId="13" borderId="10" xfId="0" applyFont="1" applyFill="1" applyBorder="1" applyAlignment="1">
      <alignment vertical="top"/>
    </xf>
    <xf numFmtId="49" fontId="3" fillId="3" borderId="0" xfId="0" applyNumberFormat="1" applyFont="1" applyFill="1" applyAlignment="1">
      <alignment vertical="top" wrapText="1"/>
    </xf>
    <xf numFmtId="0" fontId="2" fillId="17" borderId="25" xfId="0" applyFont="1" applyFill="1" applyBorder="1" applyAlignment="1">
      <alignment vertical="top" wrapText="1"/>
    </xf>
    <xf numFmtId="0" fontId="2" fillId="22" borderId="47" xfId="0" applyFont="1" applyFill="1" applyBorder="1" applyAlignment="1">
      <alignment vertical="top" wrapText="1"/>
    </xf>
    <xf numFmtId="0" fontId="2" fillId="22" borderId="48" xfId="0" applyFont="1" applyFill="1" applyBorder="1" applyAlignment="1">
      <alignment vertical="top" wrapText="1"/>
    </xf>
    <xf numFmtId="0" fontId="2" fillId="22" borderId="50" xfId="0" applyFont="1" applyFill="1" applyBorder="1" applyAlignment="1">
      <alignment vertical="top"/>
    </xf>
    <xf numFmtId="0" fontId="2" fillId="22" borderId="51" xfId="0" applyFont="1" applyFill="1" applyBorder="1" applyAlignment="1">
      <alignment vertical="top"/>
    </xf>
    <xf numFmtId="0" fontId="2" fillId="17" borderId="57" xfId="0" applyFont="1" applyFill="1" applyBorder="1" applyAlignment="1">
      <alignment horizontal="center" vertical="top" wrapText="1"/>
    </xf>
    <xf numFmtId="0" fontId="2" fillId="17" borderId="58" xfId="0" applyFont="1" applyFill="1" applyBorder="1" applyAlignment="1">
      <alignment horizontal="center" vertical="top" wrapText="1"/>
    </xf>
    <xf numFmtId="0" fontId="2" fillId="17" borderId="59" xfId="0" applyFont="1" applyFill="1" applyBorder="1" applyAlignment="1">
      <alignment horizontal="center" vertical="top" wrapText="1"/>
    </xf>
    <xf numFmtId="0" fontId="2" fillId="17" borderId="60" xfId="0" applyFont="1" applyFill="1" applyBorder="1" applyAlignment="1">
      <alignment horizontal="center" vertical="top" wrapText="1"/>
    </xf>
    <xf numFmtId="0" fontId="2" fillId="25" borderId="42" xfId="0" applyFont="1" applyFill="1" applyBorder="1" applyAlignment="1">
      <alignment vertical="center" wrapText="1"/>
    </xf>
    <xf numFmtId="0" fontId="2" fillId="24" borderId="44" xfId="0" applyFont="1" applyFill="1" applyBorder="1" applyAlignment="1">
      <alignment vertical="top" wrapText="1"/>
    </xf>
    <xf numFmtId="0" fontId="2" fillId="24" borderId="41" xfId="0" applyFont="1" applyFill="1" applyBorder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2" fillId="21" borderId="46" xfId="0" applyFont="1" applyFill="1" applyBorder="1" applyAlignment="1">
      <alignment vertical="top"/>
    </xf>
    <xf numFmtId="0" fontId="2" fillId="21" borderId="0" xfId="0" applyFont="1" applyFill="1" applyAlignment="1">
      <alignment vertical="top"/>
    </xf>
    <xf numFmtId="0" fontId="0" fillId="0" borderId="0" xfId="0" applyAlignment="1">
      <alignment wrapText="1"/>
    </xf>
    <xf numFmtId="0" fontId="2" fillId="0" borderId="63" xfId="0" applyFont="1" applyBorder="1" applyAlignment="1">
      <alignment vertical="top" wrapText="1"/>
    </xf>
    <xf numFmtId="49" fontId="14" fillId="0" borderId="0" xfId="0" applyNumberFormat="1" applyFont="1" applyAlignment="1">
      <alignment horizontal="left"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49" fontId="14" fillId="0" borderId="0" xfId="0" applyNumberFormat="1" applyFont="1" applyAlignment="1">
      <alignment horizontal="center" vertical="top" wrapText="1"/>
    </xf>
    <xf numFmtId="49" fontId="14" fillId="0" borderId="0" xfId="0" applyNumberFormat="1" applyFont="1" applyAlignment="1">
      <alignment horizontal="right" vertical="top"/>
    </xf>
    <xf numFmtId="0" fontId="1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12" borderId="9" xfId="0" applyFont="1" applyFill="1" applyBorder="1" applyAlignment="1">
      <alignment vertical="center" wrapText="1"/>
    </xf>
    <xf numFmtId="0" fontId="2" fillId="15" borderId="23" xfId="0" applyFont="1" applyFill="1" applyBorder="1" applyAlignment="1">
      <alignment vertical="center" wrapText="1"/>
    </xf>
    <xf numFmtId="0" fontId="5" fillId="18" borderId="66" xfId="0" applyFont="1" applyFill="1" applyBorder="1" applyAlignment="1">
      <alignment vertical="center" wrapText="1"/>
    </xf>
    <xf numFmtId="0" fontId="2" fillId="19" borderId="39" xfId="0" applyFont="1" applyFill="1" applyBorder="1" applyAlignment="1">
      <alignment horizontal="left" vertical="center" wrapText="1"/>
    </xf>
    <xf numFmtId="0" fontId="2" fillId="25" borderId="46" xfId="0" applyFont="1" applyFill="1" applyBorder="1" applyAlignment="1">
      <alignment horizontal="left" vertical="center" wrapText="1"/>
    </xf>
    <xf numFmtId="0" fontId="2" fillId="25" borderId="68" xfId="0" applyFont="1" applyFill="1" applyBorder="1" applyAlignment="1">
      <alignment vertical="center" wrapText="1"/>
    </xf>
    <xf numFmtId="0" fontId="2" fillId="25" borderId="69" xfId="0" applyFont="1" applyFill="1" applyBorder="1" applyAlignment="1">
      <alignment vertical="center" wrapText="1"/>
    </xf>
    <xf numFmtId="0" fontId="4" fillId="20" borderId="63" xfId="0" applyFont="1" applyFill="1" applyBorder="1" applyAlignment="1">
      <alignment horizontal="center" vertical="center" wrapText="1"/>
    </xf>
    <xf numFmtId="0" fontId="4" fillId="20" borderId="63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 wrapText="1"/>
    </xf>
    <xf numFmtId="0" fontId="4" fillId="0" borderId="63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/>
    </xf>
    <xf numFmtId="0" fontId="3" fillId="20" borderId="63" xfId="0" applyFont="1" applyFill="1" applyBorder="1" applyAlignment="1">
      <alignment horizontal="center" vertical="center" wrapText="1"/>
    </xf>
    <xf numFmtId="0" fontId="2" fillId="20" borderId="63" xfId="0" applyFont="1" applyFill="1" applyBorder="1" applyAlignment="1">
      <alignment horizontal="center" vertical="center" wrapText="1"/>
    </xf>
    <xf numFmtId="0" fontId="2" fillId="20" borderId="63" xfId="0" applyFont="1" applyFill="1" applyBorder="1" applyAlignment="1">
      <alignment horizontal="left" vertical="center" wrapText="1"/>
    </xf>
    <xf numFmtId="0" fontId="2" fillId="20" borderId="63" xfId="0" applyFont="1" applyFill="1" applyBorder="1" applyAlignment="1">
      <alignment horizontal="center" vertical="center"/>
    </xf>
    <xf numFmtId="0" fontId="2" fillId="0" borderId="63" xfId="0" applyFont="1" applyBorder="1" applyAlignment="1">
      <alignment horizontal="left" vertical="center" wrapText="1"/>
    </xf>
    <xf numFmtId="0" fontId="2" fillId="0" borderId="63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20" borderId="63" xfId="0" applyFill="1" applyBorder="1" applyAlignment="1">
      <alignment horizontal="center" vertical="center"/>
    </xf>
    <xf numFmtId="0" fontId="0" fillId="0" borderId="63" xfId="0" applyBorder="1" applyAlignment="1">
      <alignment vertical="top"/>
    </xf>
    <xf numFmtId="0" fontId="2" fillId="0" borderId="63" xfId="0" applyFont="1" applyBorder="1" applyAlignment="1">
      <alignment vertical="top"/>
    </xf>
    <xf numFmtId="0" fontId="9" fillId="20" borderId="63" xfId="0" applyFont="1" applyFill="1" applyBorder="1" applyAlignment="1">
      <alignment horizontal="left" vertical="center" wrapText="1"/>
    </xf>
    <xf numFmtId="0" fontId="2" fillId="0" borderId="63" xfId="0" applyFont="1" applyBorder="1" applyAlignment="1">
      <alignment horizontal="left" vertical="top" wrapText="1"/>
    </xf>
    <xf numFmtId="0" fontId="7" fillId="0" borderId="63" xfId="0" applyFont="1" applyBorder="1" applyAlignment="1">
      <alignment vertical="top" wrapText="1"/>
    </xf>
    <xf numFmtId="0" fontId="9" fillId="20" borderId="63" xfId="0" applyFont="1" applyFill="1" applyBorder="1" applyAlignment="1">
      <alignment horizontal="center" vertical="center" wrapText="1"/>
    </xf>
    <xf numFmtId="0" fontId="9" fillId="0" borderId="63" xfId="0" applyFont="1" applyBorder="1" applyAlignment="1">
      <alignment vertical="top" wrapText="1"/>
    </xf>
    <xf numFmtId="0" fontId="8" fillId="0" borderId="63" xfId="0" applyFont="1" applyBorder="1" applyAlignment="1">
      <alignment vertical="top" wrapText="1"/>
    </xf>
    <xf numFmtId="0" fontId="9" fillId="20" borderId="63" xfId="0" applyFont="1" applyFill="1" applyBorder="1" applyAlignment="1">
      <alignment horizontal="center" vertical="center"/>
    </xf>
    <xf numFmtId="0" fontId="5" fillId="20" borderId="63" xfId="0" applyFont="1" applyFill="1" applyBorder="1" applyAlignment="1">
      <alignment horizontal="left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26" borderId="0" xfId="0" applyFont="1" applyFill="1" applyAlignment="1">
      <alignment wrapText="1"/>
    </xf>
    <xf numFmtId="0" fontId="0" fillId="26" borderId="0" xfId="0" applyFill="1" applyAlignment="1">
      <alignment wrapText="1"/>
    </xf>
    <xf numFmtId="0" fontId="3" fillId="26" borderId="0" xfId="0" applyFont="1" applyFill="1"/>
    <xf numFmtId="0" fontId="17" fillId="0" borderId="0" xfId="0" applyFont="1"/>
    <xf numFmtId="0" fontId="18" fillId="0" borderId="0" xfId="0" applyFont="1"/>
    <xf numFmtId="0" fontId="3" fillId="0" borderId="0" xfId="0" applyFont="1"/>
    <xf numFmtId="0" fontId="13" fillId="0" borderId="0" xfId="0" applyFont="1"/>
    <xf numFmtId="0" fontId="0" fillId="0" borderId="63" xfId="0" applyBorder="1"/>
    <xf numFmtId="0" fontId="0" fillId="0" borderId="63" xfId="0" applyBorder="1" applyAlignment="1">
      <alignment wrapText="1"/>
    </xf>
    <xf numFmtId="0" fontId="13" fillId="0" borderId="74" xfId="0" applyFont="1" applyBorder="1" applyAlignment="1">
      <alignment horizontal="center"/>
    </xf>
    <xf numFmtId="0" fontId="13" fillId="0" borderId="75" xfId="0" applyFont="1" applyBorder="1" applyAlignment="1">
      <alignment horizontal="center"/>
    </xf>
    <xf numFmtId="0" fontId="13" fillId="0" borderId="76" xfId="0" applyFont="1" applyBorder="1" applyAlignment="1">
      <alignment horizontal="center" wrapText="1"/>
    </xf>
    <xf numFmtId="0" fontId="20" fillId="0" borderId="0" xfId="1" applyFont="1" applyAlignment="1">
      <alignment vertical="center"/>
    </xf>
    <xf numFmtId="0" fontId="21" fillId="0" borderId="0" xfId="1" applyFont="1" applyAlignment="1">
      <alignment horizontal="left" vertical="center"/>
    </xf>
    <xf numFmtId="0" fontId="21" fillId="0" borderId="0" xfId="1" applyFont="1" applyAlignment="1">
      <alignment vertical="center"/>
    </xf>
    <xf numFmtId="0" fontId="21" fillId="0" borderId="0" xfId="1" applyFont="1" applyAlignment="1">
      <alignment vertical="center" wrapText="1"/>
    </xf>
    <xf numFmtId="0" fontId="19" fillId="0" borderId="0" xfId="1"/>
    <xf numFmtId="0" fontId="22" fillId="0" borderId="0" xfId="1" applyFont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6" fillId="27" borderId="0" xfId="1" applyFont="1" applyFill="1" applyAlignment="1">
      <alignment horizontal="center" vertical="top" wrapText="1"/>
    </xf>
    <xf numFmtId="0" fontId="6" fillId="27" borderId="0" xfId="1" applyFont="1" applyFill="1" applyAlignment="1">
      <alignment horizontal="left" vertical="top" wrapText="1"/>
    </xf>
    <xf numFmtId="0" fontId="6" fillId="27" borderId="0" xfId="1" applyFont="1" applyFill="1" applyAlignment="1">
      <alignment vertical="top" wrapText="1"/>
    </xf>
    <xf numFmtId="0" fontId="21" fillId="0" borderId="0" xfId="1" applyFont="1" applyAlignment="1">
      <alignment horizontal="center" vertical="top" wrapText="1"/>
    </xf>
    <xf numFmtId="0" fontId="21" fillId="0" borderId="0" xfId="1" applyFont="1" applyAlignment="1">
      <alignment vertical="top" wrapText="1"/>
    </xf>
    <xf numFmtId="0" fontId="21" fillId="0" borderId="0" xfId="1" applyFont="1" applyAlignment="1">
      <alignment vertical="top"/>
    </xf>
    <xf numFmtId="0" fontId="25" fillId="28" borderId="0" xfId="1" applyFont="1" applyFill="1" applyAlignment="1">
      <alignment horizontal="center" vertical="top" wrapText="1"/>
    </xf>
    <xf numFmtId="0" fontId="21" fillId="0" borderId="0" xfId="1" applyFont="1" applyAlignment="1">
      <alignment horizontal="left" vertical="top" wrapText="1"/>
    </xf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left" vertical="center" wrapText="1"/>
    </xf>
    <xf numFmtId="0" fontId="21" fillId="0" borderId="0" xfId="1" applyFont="1" applyAlignment="1">
      <alignment horizontal="center" vertical="center" wrapText="1"/>
    </xf>
    <xf numFmtId="0" fontId="26" fillId="28" borderId="0" xfId="1" applyFont="1" applyFill="1" applyAlignment="1">
      <alignment horizontal="center" vertical="center" wrapText="1"/>
    </xf>
    <xf numFmtId="0" fontId="0" fillId="0" borderId="73" xfId="0" applyBorder="1" applyAlignment="1">
      <alignment wrapText="1"/>
    </xf>
    <xf numFmtId="0" fontId="13" fillId="0" borderId="75" xfId="0" applyFont="1" applyBorder="1" applyAlignment="1">
      <alignment horizontal="center" wrapText="1"/>
    </xf>
    <xf numFmtId="0" fontId="0" fillId="29" borderId="0" xfId="0" applyFill="1"/>
    <xf numFmtId="0" fontId="2" fillId="0" borderId="63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81" xfId="0" applyBorder="1"/>
    <xf numFmtId="0" fontId="0" fillId="0" borderId="80" xfId="0" applyBorder="1"/>
    <xf numFmtId="0" fontId="0" fillId="0" borderId="86" xfId="0" applyBorder="1"/>
    <xf numFmtId="0" fontId="0" fillId="0" borderId="87" xfId="0" applyBorder="1"/>
    <xf numFmtId="0" fontId="3" fillId="0" borderId="82" xfId="0" applyFont="1" applyBorder="1"/>
    <xf numFmtId="0" fontId="0" fillId="0" borderId="83" xfId="0" applyBorder="1"/>
    <xf numFmtId="0" fontId="0" fillId="0" borderId="84" xfId="0" applyBorder="1"/>
    <xf numFmtId="0" fontId="27" fillId="0" borderId="0" xfId="2"/>
    <xf numFmtId="0" fontId="3" fillId="18" borderId="77" xfId="0" applyFont="1" applyFill="1" applyBorder="1"/>
    <xf numFmtId="0" fontId="3" fillId="18" borderId="79" xfId="0" applyFont="1" applyFill="1" applyBorder="1"/>
    <xf numFmtId="0" fontId="3" fillId="18" borderId="78" xfId="0" applyFont="1" applyFill="1" applyBorder="1"/>
    <xf numFmtId="0" fontId="10" fillId="0" borderId="80" xfId="0" applyFont="1" applyBorder="1" applyAlignment="1">
      <alignment wrapText="1"/>
    </xf>
    <xf numFmtId="0" fontId="10" fillId="0" borderId="90" xfId="0" applyFont="1" applyBorder="1" applyAlignment="1">
      <alignment wrapText="1"/>
    </xf>
    <xf numFmtId="0" fontId="0" fillId="0" borderId="91" xfId="0" applyBorder="1"/>
    <xf numFmtId="0" fontId="0" fillId="0" borderId="92" xfId="0" applyBorder="1"/>
    <xf numFmtId="0" fontId="28" fillId="0" borderId="80" xfId="0" applyFont="1" applyBorder="1"/>
    <xf numFmtId="0" fontId="0" fillId="0" borderId="85" xfId="0" applyBorder="1"/>
    <xf numFmtId="49" fontId="3" fillId="2" borderId="95" xfId="0" applyNumberFormat="1" applyFont="1" applyFill="1" applyBorder="1" applyAlignment="1">
      <alignment horizontal="center" vertical="top" wrapText="1"/>
    </xf>
    <xf numFmtId="0" fontId="9" fillId="11" borderId="4" xfId="0" applyFont="1" applyFill="1" applyBorder="1" applyAlignment="1">
      <alignment vertical="top" wrapText="1"/>
    </xf>
    <xf numFmtId="0" fontId="4" fillId="20" borderId="71" xfId="0" applyFont="1" applyFill="1" applyBorder="1" applyAlignment="1">
      <alignment horizontal="center" vertical="center"/>
    </xf>
    <xf numFmtId="0" fontId="4" fillId="20" borderId="72" xfId="0" applyFont="1" applyFill="1" applyBorder="1" applyAlignment="1">
      <alignment horizontal="center" vertical="center" wrapText="1"/>
    </xf>
    <xf numFmtId="49" fontId="4" fillId="20" borderId="71" xfId="0" applyNumberFormat="1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vertical="center" wrapText="1"/>
    </xf>
    <xf numFmtId="0" fontId="2" fillId="23" borderId="64" xfId="0" applyFont="1" applyFill="1" applyBorder="1" applyAlignment="1">
      <alignment vertical="center" wrapText="1"/>
    </xf>
    <xf numFmtId="0" fontId="2" fillId="23" borderId="0" xfId="0" applyFont="1" applyFill="1" applyAlignment="1">
      <alignment vertical="center" wrapText="1"/>
    </xf>
    <xf numFmtId="0" fontId="2" fillId="12" borderId="65" xfId="0" applyFont="1" applyFill="1" applyBorder="1" applyAlignment="1">
      <alignment vertical="center" wrapText="1"/>
    </xf>
    <xf numFmtId="0" fontId="2" fillId="25" borderId="42" xfId="0" applyFont="1" applyFill="1" applyBorder="1" applyAlignment="1">
      <alignment horizontal="center" vertical="center" wrapText="1"/>
    </xf>
    <xf numFmtId="0" fontId="2" fillId="21" borderId="0" xfId="0" applyFont="1" applyFill="1" applyAlignment="1">
      <alignment horizontal="center" vertical="top"/>
    </xf>
    <xf numFmtId="0" fontId="2" fillId="21" borderId="0" xfId="0" applyFont="1" applyFill="1" applyAlignment="1">
      <alignment horizontal="left" vertical="top" wrapText="1"/>
    </xf>
    <xf numFmtId="0" fontId="31" fillId="0" borderId="96" xfId="0" applyFont="1" applyBorder="1" applyAlignment="1">
      <alignment horizontal="left" wrapText="1"/>
    </xf>
    <xf numFmtId="0" fontId="2" fillId="12" borderId="64" xfId="0" applyFont="1" applyFill="1" applyBorder="1" applyAlignment="1">
      <alignment vertical="center" wrapText="1"/>
    </xf>
    <xf numFmtId="49" fontId="2" fillId="12" borderId="8" xfId="0" applyNumberFormat="1" applyFont="1" applyFill="1" applyBorder="1" applyAlignment="1">
      <alignment vertical="center" wrapText="1"/>
    </xf>
    <xf numFmtId="49" fontId="2" fillId="12" borderId="2" xfId="0" applyNumberFormat="1" applyFont="1" applyFill="1" applyBorder="1" applyAlignment="1">
      <alignment vertical="center" wrapText="1"/>
    </xf>
    <xf numFmtId="0" fontId="31" fillId="0" borderId="63" xfId="0" applyFont="1" applyBorder="1" applyAlignment="1">
      <alignment horizontal="left" vertical="top" wrapText="1"/>
    </xf>
    <xf numFmtId="49" fontId="2" fillId="12" borderId="6" xfId="0" applyNumberFormat="1" applyFont="1" applyFill="1" applyBorder="1" applyAlignment="1">
      <alignment vertical="center" wrapText="1"/>
    </xf>
    <xf numFmtId="49" fontId="3" fillId="7" borderId="0" xfId="0" applyNumberFormat="1" applyFont="1" applyFill="1" applyAlignment="1">
      <alignment horizontal="center" vertical="top" wrapText="1"/>
    </xf>
    <xf numFmtId="0" fontId="2" fillId="11" borderId="0" xfId="0" applyFont="1" applyFill="1" applyAlignment="1">
      <alignment horizontal="center" vertical="top"/>
    </xf>
    <xf numFmtId="0" fontId="2" fillId="11" borderId="0" xfId="0" applyFont="1" applyFill="1" applyAlignment="1">
      <alignment horizontal="left" vertical="top" wrapText="1"/>
    </xf>
    <xf numFmtId="0" fontId="2" fillId="23" borderId="56" xfId="0" applyFont="1" applyFill="1" applyBorder="1" applyAlignment="1">
      <alignment vertical="center"/>
    </xf>
    <xf numFmtId="49" fontId="2" fillId="23" borderId="51" xfId="0" applyNumberFormat="1" applyFont="1" applyFill="1" applyBorder="1" applyAlignment="1">
      <alignment vertical="center" wrapText="1"/>
    </xf>
    <xf numFmtId="0" fontId="2" fillId="23" borderId="40" xfId="0" applyFont="1" applyFill="1" applyBorder="1" applyAlignment="1">
      <alignment vertical="center"/>
    </xf>
    <xf numFmtId="49" fontId="2" fillId="23" borderId="54" xfId="0" applyNumberFormat="1" applyFont="1" applyFill="1" applyBorder="1" applyAlignment="1">
      <alignment vertical="center" wrapText="1"/>
    </xf>
    <xf numFmtId="0" fontId="2" fillId="23" borderId="54" xfId="0" applyFont="1" applyFill="1" applyBorder="1" applyAlignment="1">
      <alignment vertical="center" wrapText="1"/>
    </xf>
    <xf numFmtId="49" fontId="2" fillId="23" borderId="22" xfId="0" applyNumberFormat="1" applyFont="1" applyFill="1" applyBorder="1" applyAlignment="1">
      <alignment vertical="center" wrapText="1"/>
    </xf>
    <xf numFmtId="49" fontId="2" fillId="14" borderId="13" xfId="0" applyNumberFormat="1" applyFont="1" applyFill="1" applyBorder="1" applyAlignment="1">
      <alignment vertical="center" wrapText="1"/>
    </xf>
    <xf numFmtId="0" fontId="2" fillId="15" borderId="66" xfId="0" applyFont="1" applyFill="1" applyBorder="1" applyAlignment="1">
      <alignment vertical="center" wrapText="1"/>
    </xf>
    <xf numFmtId="49" fontId="2" fillId="15" borderId="15" xfId="0" applyNumberFormat="1" applyFont="1" applyFill="1" applyBorder="1" applyAlignment="1">
      <alignment vertical="center" wrapText="1"/>
    </xf>
    <xf numFmtId="49" fontId="2" fillId="15" borderId="21" xfId="0" applyNumberFormat="1" applyFont="1" applyFill="1" applyBorder="1" applyAlignment="1">
      <alignment vertical="center" wrapText="1"/>
    </xf>
    <xf numFmtId="0" fontId="2" fillId="18" borderId="30" xfId="0" applyFont="1" applyFill="1" applyBorder="1" applyAlignment="1">
      <alignment vertical="center" wrapText="1"/>
    </xf>
    <xf numFmtId="49" fontId="2" fillId="18" borderId="29" xfId="0" applyNumberFormat="1" applyFont="1" applyFill="1" applyBorder="1" applyAlignment="1">
      <alignment vertical="center" wrapText="1"/>
    </xf>
    <xf numFmtId="0" fontId="2" fillId="18" borderId="30" xfId="0" applyFont="1" applyFill="1" applyBorder="1" applyAlignment="1">
      <alignment vertical="center"/>
    </xf>
    <xf numFmtId="0" fontId="2" fillId="19" borderId="0" xfId="0" applyFont="1" applyFill="1" applyAlignment="1">
      <alignment vertical="center" wrapText="1"/>
    </xf>
    <xf numFmtId="49" fontId="2" fillId="19" borderId="33" xfId="0" applyNumberFormat="1" applyFont="1" applyFill="1" applyBorder="1" applyAlignment="1">
      <alignment vertical="center" wrapText="1"/>
    </xf>
    <xf numFmtId="49" fontId="2" fillId="19" borderId="32" xfId="0" applyNumberFormat="1" applyFont="1" applyFill="1" applyBorder="1" applyAlignment="1">
      <alignment vertical="center" wrapText="1"/>
    </xf>
    <xf numFmtId="0" fontId="2" fillId="19" borderId="67" xfId="0" applyFont="1" applyFill="1" applyBorder="1" applyAlignment="1">
      <alignment vertical="center" wrapText="1"/>
    </xf>
    <xf numFmtId="0" fontId="5" fillId="19" borderId="67" xfId="0" applyFont="1" applyFill="1" applyBorder="1" applyAlignment="1">
      <alignment vertical="center" wrapText="1"/>
    </xf>
    <xf numFmtId="0" fontId="10" fillId="19" borderId="67" xfId="0" applyFont="1" applyFill="1" applyBorder="1" applyAlignment="1">
      <alignment vertical="center" wrapText="1"/>
    </xf>
    <xf numFmtId="0" fontId="2" fillId="19" borderId="32" xfId="0" applyFont="1" applyFill="1" applyBorder="1" applyAlignment="1">
      <alignment vertical="center"/>
    </xf>
    <xf numFmtId="0" fontId="9" fillId="19" borderId="67" xfId="0" applyFont="1" applyFill="1" applyBorder="1" applyAlignment="1">
      <alignment vertical="center" wrapText="1"/>
    </xf>
    <xf numFmtId="49" fontId="2" fillId="19" borderId="37" xfId="0" applyNumberFormat="1" applyFont="1" applyFill="1" applyBorder="1" applyAlignment="1">
      <alignment vertical="center" wrapText="1"/>
    </xf>
    <xf numFmtId="0" fontId="2" fillId="25" borderId="46" xfId="0" applyFont="1" applyFill="1" applyBorder="1" applyAlignment="1">
      <alignment vertical="center" wrapText="1"/>
    </xf>
    <xf numFmtId="0" fontId="2" fillId="25" borderId="45" xfId="0" applyFont="1" applyFill="1" applyBorder="1" applyAlignment="1">
      <alignment vertical="center" wrapText="1"/>
    </xf>
    <xf numFmtId="0" fontId="2" fillId="25" borderId="62" xfId="0" applyFont="1" applyFill="1" applyBorder="1" applyAlignment="1">
      <alignment vertical="center" wrapText="1"/>
    </xf>
    <xf numFmtId="0" fontId="2" fillId="25" borderId="70" xfId="0" applyFont="1" applyFill="1" applyBorder="1" applyAlignment="1">
      <alignment vertical="center" wrapText="1"/>
    </xf>
    <xf numFmtId="0" fontId="31" fillId="0" borderId="63" xfId="0" applyFont="1" applyBorder="1" applyAlignment="1">
      <alignment horizontal="left" wrapText="1"/>
    </xf>
    <xf numFmtId="0" fontId="10" fillId="0" borderId="63" xfId="0" applyFont="1" applyBorder="1" applyAlignment="1">
      <alignment horizontal="left" wrapText="1"/>
    </xf>
    <xf numFmtId="0" fontId="29" fillId="0" borderId="63" xfId="0" applyFont="1" applyBorder="1" applyAlignment="1">
      <alignment horizontal="left" wrapText="1"/>
    </xf>
    <xf numFmtId="0" fontId="9" fillId="0" borderId="63" xfId="0" applyFont="1" applyBorder="1" applyAlignment="1">
      <alignment horizontal="left" wrapText="1"/>
    </xf>
    <xf numFmtId="0" fontId="31" fillId="30" borderId="63" xfId="0" applyFont="1" applyFill="1" applyBorder="1" applyAlignment="1">
      <alignment horizontal="left" wrapText="1"/>
    </xf>
    <xf numFmtId="0" fontId="0" fillId="0" borderId="63" xfId="0" applyBorder="1" applyAlignment="1">
      <alignment horizontal="left" vertical="top" wrapText="1"/>
    </xf>
    <xf numFmtId="0" fontId="0" fillId="0" borderId="63" xfId="0" applyBorder="1" applyAlignment="1">
      <alignment horizontal="left" wrapText="1"/>
    </xf>
    <xf numFmtId="0" fontId="31" fillId="31" borderId="63" xfId="0" applyFont="1" applyFill="1" applyBorder="1" applyAlignment="1">
      <alignment horizontal="left" vertical="top" wrapText="1"/>
    </xf>
    <xf numFmtId="9" fontId="31" fillId="0" borderId="63" xfId="0" applyNumberFormat="1" applyFont="1" applyBorder="1" applyAlignment="1">
      <alignment horizontal="left" wrapText="1"/>
    </xf>
    <xf numFmtId="0" fontId="31" fillId="31" borderId="63" xfId="0" applyFont="1" applyFill="1" applyBorder="1" applyAlignment="1">
      <alignment horizontal="left" wrapText="1"/>
    </xf>
    <xf numFmtId="0" fontId="2" fillId="0" borderId="63" xfId="0" applyFont="1" applyBorder="1" applyAlignment="1">
      <alignment horizontal="left" wrapText="1"/>
    </xf>
    <xf numFmtId="0" fontId="32" fillId="0" borderId="63" xfId="0" applyFont="1" applyBorder="1" applyAlignment="1">
      <alignment horizontal="left" wrapText="1"/>
    </xf>
    <xf numFmtId="1" fontId="29" fillId="0" borderId="63" xfId="0" applyNumberFormat="1" applyFont="1" applyBorder="1" applyAlignment="1">
      <alignment horizontal="left" wrapText="1"/>
    </xf>
    <xf numFmtId="3" fontId="29" fillId="0" borderId="63" xfId="0" applyNumberFormat="1" applyFont="1" applyBorder="1" applyAlignment="1">
      <alignment horizontal="left" wrapText="1"/>
    </xf>
    <xf numFmtId="0" fontId="33" fillId="0" borderId="63" xfId="0" applyFont="1" applyBorder="1" applyAlignment="1">
      <alignment horizontal="left" vertical="top" wrapText="1"/>
    </xf>
    <xf numFmtId="0" fontId="0" fillId="0" borderId="72" xfId="0" applyBorder="1"/>
    <xf numFmtId="0" fontId="10" fillId="0" borderId="63" xfId="0" applyFont="1" applyBorder="1" applyAlignment="1">
      <alignment wrapText="1"/>
    </xf>
    <xf numFmtId="0" fontId="35" fillId="32" borderId="63" xfId="0" applyFont="1" applyFill="1" applyBorder="1" applyAlignment="1">
      <alignment horizontal="right" vertical="center"/>
    </xf>
    <xf numFmtId="0" fontId="35" fillId="32" borderId="0" xfId="0" applyFont="1" applyFill="1" applyAlignment="1">
      <alignment horizontal="right" vertical="center"/>
    </xf>
    <xf numFmtId="0" fontId="28" fillId="0" borderId="101" xfId="0" applyFont="1" applyBorder="1"/>
    <xf numFmtId="0" fontId="34" fillId="32" borderId="63" xfId="0" applyFont="1" applyFill="1" applyBorder="1" applyAlignment="1">
      <alignment horizontal="right" vertical="center"/>
    </xf>
    <xf numFmtId="9" fontId="29" fillId="0" borderId="63" xfId="0" applyNumberFormat="1" applyFont="1" applyBorder="1" applyAlignment="1">
      <alignment horizontal="left" wrapText="1"/>
    </xf>
    <xf numFmtId="3" fontId="31" fillId="0" borderId="63" xfId="0" applyNumberFormat="1" applyFont="1" applyBorder="1" applyAlignment="1">
      <alignment horizontal="left" wrapText="1"/>
    </xf>
    <xf numFmtId="0" fontId="3" fillId="0" borderId="82" xfId="0" applyFont="1" applyBorder="1" applyAlignment="1">
      <alignment horizontal="center"/>
    </xf>
    <xf numFmtId="0" fontId="3" fillId="0" borderId="88" xfId="0" applyFont="1" applyBorder="1" applyAlignment="1">
      <alignment horizontal="center"/>
    </xf>
    <xf numFmtId="0" fontId="3" fillId="0" borderId="89" xfId="0" applyFont="1" applyBorder="1" applyAlignment="1">
      <alignment horizontal="center"/>
    </xf>
    <xf numFmtId="0" fontId="16" fillId="26" borderId="93" xfId="0" applyFont="1" applyFill="1" applyBorder="1" applyAlignment="1">
      <alignment horizontal="center" vertical="top" wrapText="1"/>
    </xf>
    <xf numFmtId="0" fontId="16" fillId="26" borderId="94" xfId="0" applyFont="1" applyFill="1" applyBorder="1" applyAlignment="1">
      <alignment horizontal="center" vertical="top" wrapText="1"/>
    </xf>
    <xf numFmtId="0" fontId="2" fillId="21" borderId="46" xfId="0" applyFont="1" applyFill="1" applyBorder="1" applyAlignment="1">
      <alignment horizontal="center" vertical="top"/>
    </xf>
    <xf numFmtId="0" fontId="2" fillId="21" borderId="0" xfId="0" applyFont="1" applyFill="1" applyAlignment="1">
      <alignment horizontal="center" vertical="top"/>
    </xf>
    <xf numFmtId="0" fontId="2" fillId="20" borderId="37" xfId="0" applyFont="1" applyFill="1" applyBorder="1" applyAlignment="1">
      <alignment horizontal="center" vertical="top"/>
    </xf>
    <xf numFmtId="0" fontId="2" fillId="20" borderId="33" xfId="0" applyFont="1" applyFill="1" applyBorder="1" applyAlignment="1">
      <alignment horizontal="center" vertical="top"/>
    </xf>
    <xf numFmtId="0" fontId="2" fillId="20" borderId="35" xfId="0" applyFont="1" applyFill="1" applyBorder="1" applyAlignment="1">
      <alignment horizontal="center" vertical="top"/>
    </xf>
    <xf numFmtId="49" fontId="2" fillId="19" borderId="37" xfId="0" applyNumberFormat="1" applyFont="1" applyFill="1" applyBorder="1" applyAlignment="1">
      <alignment horizontal="center" vertical="center" wrapText="1"/>
    </xf>
    <xf numFmtId="0" fontId="2" fillId="21" borderId="46" xfId="0" applyFont="1" applyFill="1" applyBorder="1" applyAlignment="1">
      <alignment horizontal="left" vertical="top" wrapText="1"/>
    </xf>
    <xf numFmtId="0" fontId="2" fillId="21" borderId="0" xfId="0" applyFont="1" applyFill="1" applyAlignment="1">
      <alignment horizontal="left" vertical="top" wrapText="1"/>
    </xf>
    <xf numFmtId="0" fontId="2" fillId="19" borderId="39" xfId="0" applyFont="1" applyFill="1" applyBorder="1" applyAlignment="1">
      <alignment horizontal="left" vertical="center" wrapText="1"/>
    </xf>
    <xf numFmtId="0" fontId="2" fillId="19" borderId="32" xfId="0" applyFont="1" applyFill="1" applyBorder="1" applyAlignment="1">
      <alignment horizontal="center" vertical="center"/>
    </xf>
    <xf numFmtId="0" fontId="2" fillId="19" borderId="33" xfId="0" applyFont="1" applyFill="1" applyBorder="1" applyAlignment="1">
      <alignment horizontal="center" vertical="center"/>
    </xf>
    <xf numFmtId="0" fontId="2" fillId="19" borderId="35" xfId="0" applyFont="1" applyFill="1" applyBorder="1" applyAlignment="1">
      <alignment horizontal="center" vertical="center"/>
    </xf>
    <xf numFmtId="0" fontId="9" fillId="19" borderId="67" xfId="0" applyFont="1" applyFill="1" applyBorder="1" applyAlignment="1">
      <alignment horizontal="left" vertical="center" wrapText="1"/>
    </xf>
    <xf numFmtId="0" fontId="2" fillId="19" borderId="0" xfId="0" applyFont="1" applyFill="1" applyAlignment="1">
      <alignment horizontal="left" vertical="center" wrapText="1"/>
    </xf>
    <xf numFmtId="0" fontId="2" fillId="19" borderId="61" xfId="0" applyFont="1" applyFill="1" applyBorder="1" applyAlignment="1">
      <alignment horizontal="left" vertical="center" wrapText="1"/>
    </xf>
    <xf numFmtId="0" fontId="2" fillId="20" borderId="38" xfId="0" applyFont="1" applyFill="1" applyBorder="1" applyAlignment="1">
      <alignment horizontal="left" vertical="top" wrapText="1"/>
    </xf>
    <xf numFmtId="0" fontId="2" fillId="22" borderId="54" xfId="0" applyFont="1" applyFill="1" applyBorder="1" applyAlignment="1">
      <alignment horizontal="center" vertical="top"/>
    </xf>
    <xf numFmtId="0" fontId="2" fillId="22" borderId="0" xfId="0" applyFont="1" applyFill="1" applyAlignment="1">
      <alignment horizontal="center" vertical="top"/>
    </xf>
    <xf numFmtId="0" fontId="2" fillId="22" borderId="55" xfId="0" applyFont="1" applyFill="1" applyBorder="1" applyAlignment="1">
      <alignment horizontal="center" vertical="top"/>
    </xf>
    <xf numFmtId="0" fontId="2" fillId="22" borderId="53" xfId="0" applyFont="1" applyFill="1" applyBorder="1" applyAlignment="1">
      <alignment horizontal="left" vertical="top" wrapText="1"/>
    </xf>
    <xf numFmtId="0" fontId="2" fillId="22" borderId="48" xfId="0" applyFont="1" applyFill="1" applyBorder="1" applyAlignment="1">
      <alignment horizontal="left" vertical="top" wrapText="1"/>
    </xf>
    <xf numFmtId="0" fontId="2" fillId="22" borderId="49" xfId="0" applyFont="1" applyFill="1" applyBorder="1" applyAlignment="1">
      <alignment horizontal="left" vertical="top" wrapText="1"/>
    </xf>
    <xf numFmtId="0" fontId="2" fillId="17" borderId="31" xfId="0" applyFont="1" applyFill="1" applyBorder="1" applyAlignment="1">
      <alignment horizontal="left" vertical="top" wrapText="1"/>
    </xf>
    <xf numFmtId="0" fontId="2" fillId="17" borderId="27" xfId="0" applyFont="1" applyFill="1" applyBorder="1" applyAlignment="1">
      <alignment horizontal="left" vertical="top" wrapText="1"/>
    </xf>
    <xf numFmtId="0" fontId="2" fillId="20" borderId="34" xfId="0" applyFont="1" applyFill="1" applyBorder="1" applyAlignment="1">
      <alignment horizontal="left" vertical="top" wrapText="1"/>
    </xf>
    <xf numFmtId="0" fontId="2" fillId="20" borderId="36" xfId="0" applyFont="1" applyFill="1" applyBorder="1" applyAlignment="1">
      <alignment horizontal="left" vertical="top" wrapText="1"/>
    </xf>
    <xf numFmtId="49" fontId="3" fillId="4" borderId="0" xfId="0" applyNumberFormat="1" applyFont="1" applyFill="1" applyAlignment="1">
      <alignment horizontal="center" vertical="top" wrapText="1"/>
    </xf>
    <xf numFmtId="0" fontId="2" fillId="16" borderId="15" xfId="0" applyFont="1" applyFill="1" applyBorder="1" applyAlignment="1">
      <alignment horizontal="center" vertical="top"/>
    </xf>
    <xf numFmtId="0" fontId="2" fillId="16" borderId="17" xfId="0" applyFont="1" applyFill="1" applyBorder="1" applyAlignment="1">
      <alignment horizontal="center" vertical="top"/>
    </xf>
    <xf numFmtId="0" fontId="2" fillId="16" borderId="19" xfId="0" applyFont="1" applyFill="1" applyBorder="1" applyAlignment="1">
      <alignment horizontal="center" vertical="top"/>
    </xf>
    <xf numFmtId="0" fontId="2" fillId="11" borderId="3" xfId="0" applyFont="1" applyFill="1" applyBorder="1" applyAlignment="1">
      <alignment horizontal="left" vertical="top" wrapText="1"/>
    </xf>
    <xf numFmtId="0" fontId="2" fillId="11" borderId="4" xfId="0" applyFont="1" applyFill="1" applyBorder="1" applyAlignment="1">
      <alignment horizontal="left" vertical="top" wrapText="1"/>
    </xf>
    <xf numFmtId="0" fontId="2" fillId="11" borderId="5" xfId="0" applyFont="1" applyFill="1" applyBorder="1" applyAlignment="1">
      <alignment horizontal="left" vertical="top" wrapText="1"/>
    </xf>
    <xf numFmtId="0" fontId="2" fillId="16" borderId="16" xfId="0" applyFont="1" applyFill="1" applyBorder="1" applyAlignment="1">
      <alignment horizontal="left" vertical="top" wrapText="1"/>
    </xf>
    <xf numFmtId="0" fontId="2" fillId="16" borderId="18" xfId="0" applyFont="1" applyFill="1" applyBorder="1" applyAlignment="1">
      <alignment horizontal="left" vertical="top" wrapText="1"/>
    </xf>
    <xf numFmtId="0" fontId="2" fillId="16" borderId="20" xfId="0" applyFont="1" applyFill="1" applyBorder="1" applyAlignment="1">
      <alignment horizontal="left" vertical="top" wrapText="1"/>
    </xf>
    <xf numFmtId="0" fontId="2" fillId="11" borderId="6" xfId="0" applyFont="1" applyFill="1" applyBorder="1" applyAlignment="1">
      <alignment horizontal="center" vertical="top"/>
    </xf>
    <xf numFmtId="0" fontId="2" fillId="11" borderId="7" xfId="0" applyFont="1" applyFill="1" applyBorder="1" applyAlignment="1">
      <alignment horizontal="center" vertical="top"/>
    </xf>
    <xf numFmtId="0" fontId="2" fillId="11" borderId="8" xfId="0" applyFont="1" applyFill="1" applyBorder="1" applyAlignment="1">
      <alignment horizontal="center" vertical="top"/>
    </xf>
    <xf numFmtId="49" fontId="2" fillId="12" borderId="2" xfId="0" applyNumberFormat="1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vertical="center" wrapText="1"/>
    </xf>
    <xf numFmtId="0" fontId="21" fillId="0" borderId="0" xfId="1" applyFont="1" applyAlignment="1">
      <alignment horizontal="center" vertical="top"/>
    </xf>
    <xf numFmtId="0" fontId="21" fillId="0" borderId="0" xfId="1" applyFont="1" applyAlignment="1">
      <alignment horizontal="left" vertical="top" wrapText="1"/>
    </xf>
    <xf numFmtId="49" fontId="14" fillId="0" borderId="0" xfId="0" applyNumberFormat="1" applyFont="1" applyFill="1" applyAlignment="1">
      <alignment horizontal="center" vertical="top" wrapText="1"/>
    </xf>
    <xf numFmtId="49" fontId="14" fillId="0" borderId="0" xfId="0" applyNumberFormat="1" applyFont="1" applyFill="1" applyAlignment="1">
      <alignment horizontal="right" vertical="top"/>
    </xf>
    <xf numFmtId="0" fontId="16" fillId="0" borderId="0" xfId="0" applyFont="1" applyFill="1" applyAlignment="1">
      <alignment vertical="top" wrapText="1"/>
    </xf>
    <xf numFmtId="49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top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vertical="top" wrapText="1"/>
    </xf>
    <xf numFmtId="0" fontId="0" fillId="0" borderId="0" xfId="0" applyFill="1" applyAlignment="1">
      <alignment vertical="top"/>
    </xf>
    <xf numFmtId="0" fontId="3" fillId="0" borderId="97" xfId="0" applyFont="1" applyFill="1" applyBorder="1" applyAlignment="1">
      <alignment horizontal="center" vertical="top"/>
    </xf>
    <xf numFmtId="0" fontId="3" fillId="0" borderId="98" xfId="0" applyFont="1" applyFill="1" applyBorder="1" applyAlignment="1">
      <alignment horizontal="center" vertical="top"/>
    </xf>
    <xf numFmtId="0" fontId="3" fillId="0" borderId="99" xfId="0" applyFont="1" applyFill="1" applyBorder="1" applyAlignment="1">
      <alignment horizontal="center" vertical="top"/>
    </xf>
    <xf numFmtId="0" fontId="3" fillId="0" borderId="100" xfId="0" applyFont="1" applyFill="1" applyBorder="1" applyAlignment="1">
      <alignment horizontal="center" vertical="top"/>
    </xf>
    <xf numFmtId="0" fontId="19" fillId="0" borderId="0" xfId="1" applyAlignment="1"/>
  </cellXfs>
  <cellStyles count="4">
    <cellStyle name="Hyperlink" xfId="2" builtinId="8"/>
    <cellStyle name="Normal" xfId="0" builtinId="0"/>
    <cellStyle name="Normal 2" xfId="1" xr:uid="{00000000-0005-0000-0000-000002000000}"/>
    <cellStyle name="Normal 3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E8055"/>
      <color rgb="FFDCC8B6"/>
      <color rgb="FFC5A385"/>
      <color rgb="FF3D9B35"/>
      <color rgb="FFFABC20"/>
      <color rgb="FFF85C26"/>
      <color rgb="FF00ABD4"/>
      <color rgb="FFBCBF00"/>
      <color rgb="FF99CC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14</xdr:col>
      <xdr:colOff>20159</xdr:colOff>
      <xdr:row>34</xdr:row>
      <xdr:rowOff>45176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7944959" cy="5201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eneralita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A8CB33"/>
      </a:accent1>
      <a:accent2>
        <a:srgbClr val="3D9B35"/>
      </a:accent2>
      <a:accent3>
        <a:srgbClr val="BCBF00"/>
      </a:accent3>
      <a:accent4>
        <a:srgbClr val="60A9D1"/>
      </a:accent4>
      <a:accent5>
        <a:srgbClr val="F85C26"/>
      </a:accent5>
      <a:accent6>
        <a:srgbClr val="FABC20"/>
      </a:accent6>
      <a:hlink>
        <a:srgbClr val="AE8055"/>
      </a:hlink>
      <a:folHlink>
        <a:srgbClr val="C0CEC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encat.sharepoint.com/sites/Informaciiconeixementpatrimoninatural2/Documents%20compartits/Forms/AllItems.aspx?csf=1&amp;web=1&amp;e=3x4ZkK&amp;ovuser=3b9427dc%2Dd30e%2D43bc%2D8c06%2Dff7253676fec%2Cjordiparpal%40gencat%2Ecat&amp;OR=Teams%2DHL&amp;CT=1713942253212&amp;clic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conservationstandards.org/library-item/threats-and-actions-taxonomies/" TargetMode="External"/><Relationship Id="rId1" Type="http://schemas.openxmlformats.org/officeDocument/2006/relationships/hyperlink" Target="https://cdr.eionet.europa.eu/help/habitats_art17/Reporting2025/List%20of%20pressures%20and%20threats%20for%20reporting%202019-2024%20v1.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C4"/>
  <sheetViews>
    <sheetView topLeftCell="A4" workbookViewId="0">
      <selection activeCell="A4" sqref="A4"/>
    </sheetView>
  </sheetViews>
  <sheetFormatPr defaultRowHeight="14.45"/>
  <sheetData>
    <row r="3" spans="3:3" ht="26.1">
      <c r="C3" s="113" t="s">
        <v>0</v>
      </c>
    </row>
    <row r="4" spans="3:3" ht="26.1">
      <c r="C4" s="113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/>
  </sheetViews>
  <sheetFormatPr defaultRowHeight="14.45"/>
  <cols>
    <col min="1" max="1" width="23.42578125" style="69" customWidth="1"/>
    <col min="2" max="2" width="95.140625" style="69" customWidth="1"/>
  </cols>
  <sheetData>
    <row r="1" spans="1:2">
      <c r="A1" s="111" t="s">
        <v>2</v>
      </c>
      <c r="B1" s="110"/>
    </row>
    <row r="2" spans="1:2" ht="29.1">
      <c r="A2" s="144" t="s">
        <v>3</v>
      </c>
      <c r="B2" s="145" t="s">
        <v>4</v>
      </c>
    </row>
    <row r="3" spans="1:2">
      <c r="A3" s="145"/>
      <c r="B3" s="145"/>
    </row>
    <row r="4" spans="1:2" ht="43.5">
      <c r="A4" s="144" t="s">
        <v>5</v>
      </c>
      <c r="B4" s="145" t="s">
        <v>6</v>
      </c>
    </row>
    <row r="5" spans="1:2">
      <c r="A5" s="145"/>
      <c r="B5" s="145"/>
    </row>
    <row r="6" spans="1:2">
      <c r="A6" s="109" t="s">
        <v>7</v>
      </c>
      <c r="B6" s="110"/>
    </row>
    <row r="7" spans="1:2" ht="15.6">
      <c r="A7" s="76" t="s">
        <v>8</v>
      </c>
    </row>
    <row r="8" spans="1:2">
      <c r="B8" s="69" t="s">
        <v>9</v>
      </c>
    </row>
    <row r="9" spans="1:2" ht="29.1">
      <c r="B9" s="69" t="s">
        <v>10</v>
      </c>
    </row>
    <row r="10" spans="1:2" ht="29.1">
      <c r="B10" s="69" t="s">
        <v>11</v>
      </c>
    </row>
    <row r="11" spans="1:2">
      <c r="B11" s="69" t="s">
        <v>12</v>
      </c>
    </row>
    <row r="14" spans="1:2" ht="15.6">
      <c r="A14" s="76" t="s">
        <v>13</v>
      </c>
    </row>
    <row r="15" spans="1:2" ht="29.1">
      <c r="A15" s="77" t="s">
        <v>14</v>
      </c>
      <c r="B15" s="69" t="s">
        <v>15</v>
      </c>
    </row>
    <row r="16" spans="1:2">
      <c r="B16" s="69" t="s">
        <v>16</v>
      </c>
    </row>
    <row r="17" spans="1:2" ht="29.1">
      <c r="B17" s="69" t="s">
        <v>17</v>
      </c>
    </row>
    <row r="18" spans="1:2" ht="43.5">
      <c r="B18" s="69" t="s">
        <v>18</v>
      </c>
    </row>
    <row r="19" spans="1:2" ht="43.5">
      <c r="B19" s="69" t="s">
        <v>19</v>
      </c>
    </row>
    <row r="20" spans="1:2" ht="43.5">
      <c r="B20" s="69" t="s">
        <v>20</v>
      </c>
    </row>
    <row r="21" spans="1:2" ht="29.1">
      <c r="B21" s="69" t="s">
        <v>21</v>
      </c>
    </row>
    <row r="22" spans="1:2" ht="57.95">
      <c r="A22" s="77" t="s">
        <v>22</v>
      </c>
      <c r="B22" s="69" t="s">
        <v>23</v>
      </c>
    </row>
    <row r="23" spans="1:2" ht="43.5">
      <c r="B23" s="69" t="s">
        <v>24</v>
      </c>
    </row>
    <row r="24" spans="1:2" ht="47.45" customHeight="1">
      <c r="A24" s="77" t="s">
        <v>25</v>
      </c>
      <c r="B24" s="69" t="s">
        <v>26</v>
      </c>
    </row>
    <row r="25" spans="1:2">
      <c r="A25" s="77" t="s">
        <v>27</v>
      </c>
      <c r="B25" s="69" t="s">
        <v>28</v>
      </c>
    </row>
    <row r="26" spans="1:2" ht="29.1">
      <c r="A26" s="77" t="s">
        <v>29</v>
      </c>
      <c r="B26" s="69" t="s">
        <v>30</v>
      </c>
    </row>
    <row r="27" spans="1:2">
      <c r="A27" s="77" t="s">
        <v>31</v>
      </c>
      <c r="B27" s="69" t="s">
        <v>32</v>
      </c>
    </row>
    <row r="28" spans="1:2">
      <c r="A28" s="77" t="s">
        <v>33</v>
      </c>
      <c r="B28" s="69" t="s">
        <v>34</v>
      </c>
    </row>
    <row r="30" spans="1:2">
      <c r="A30" s="109" t="s">
        <v>35</v>
      </c>
      <c r="B30" s="110"/>
    </row>
    <row r="31" spans="1:2" ht="43.5">
      <c r="A31" s="69" t="s">
        <v>36</v>
      </c>
      <c r="B31" s="69" t="s">
        <v>37</v>
      </c>
    </row>
    <row r="32" spans="1:2" ht="29.1">
      <c r="B32" s="69" t="s">
        <v>38</v>
      </c>
    </row>
    <row r="33" spans="2:2" ht="29.1">
      <c r="B33" s="69" t="s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1"/>
  <sheetViews>
    <sheetView workbookViewId="0">
      <selection activeCell="A29" sqref="A29"/>
    </sheetView>
  </sheetViews>
  <sheetFormatPr defaultRowHeight="14.45"/>
  <cols>
    <col min="1" max="1" width="45.42578125" customWidth="1"/>
    <col min="2" max="2" width="8.7109375" customWidth="1"/>
    <col min="3" max="3" width="25.5703125" customWidth="1"/>
    <col min="4" max="4" width="33.5703125" customWidth="1"/>
    <col min="5" max="5" width="26.28515625" customWidth="1"/>
    <col min="6" max="6" width="23.140625" customWidth="1"/>
    <col min="7" max="7" width="22.140625" customWidth="1"/>
    <col min="8" max="8" width="22" customWidth="1"/>
  </cols>
  <sheetData>
    <row r="1" spans="1:10">
      <c r="A1" s="112"/>
    </row>
    <row r="2" spans="1:10" ht="15" thickBot="1">
      <c r="A2" t="s">
        <v>40</v>
      </c>
      <c r="D2" t="s">
        <v>41</v>
      </c>
    </row>
    <row r="3" spans="1:10" ht="15" thickBot="1">
      <c r="A3" s="150" t="s">
        <v>42</v>
      </c>
      <c r="B3" s="151"/>
      <c r="C3" s="151"/>
      <c r="D3" s="152"/>
      <c r="E3" s="233" t="s">
        <v>43</v>
      </c>
      <c r="F3" s="234"/>
      <c r="G3" s="234"/>
      <c r="H3" s="235"/>
    </row>
    <row r="4" spans="1:10">
      <c r="A4" s="154" t="s">
        <v>44</v>
      </c>
      <c r="B4" s="155" t="s">
        <v>45</v>
      </c>
      <c r="C4" s="155" t="s">
        <v>46</v>
      </c>
      <c r="D4" s="155" t="s">
        <v>47</v>
      </c>
      <c r="E4" s="155" t="s">
        <v>48</v>
      </c>
      <c r="F4" s="155" t="s">
        <v>49</v>
      </c>
      <c r="G4" s="155" t="s">
        <v>50</v>
      </c>
      <c r="H4" s="156" t="s">
        <v>51</v>
      </c>
    </row>
    <row r="5" spans="1:10">
      <c r="A5" s="228">
        <v>5410</v>
      </c>
      <c r="B5" s="116" t="s">
        <v>52</v>
      </c>
      <c r="C5" s="116"/>
      <c r="D5" s="116"/>
      <c r="E5" s="116"/>
      <c r="F5" s="116"/>
      <c r="G5" s="116"/>
      <c r="H5" s="146"/>
    </row>
    <row r="6" spans="1:10">
      <c r="A6" s="227">
        <v>1240</v>
      </c>
      <c r="B6" s="225" t="s">
        <v>52</v>
      </c>
      <c r="C6" s="116"/>
      <c r="D6" s="116"/>
      <c r="E6" s="116"/>
      <c r="F6" s="116"/>
      <c r="G6" s="116"/>
      <c r="H6" s="146"/>
      <c r="J6" t="s">
        <v>53</v>
      </c>
    </row>
    <row r="7" spans="1:10">
      <c r="A7" s="227">
        <v>1170</v>
      </c>
      <c r="B7" s="225" t="s">
        <v>52</v>
      </c>
      <c r="C7" s="116"/>
      <c r="D7" s="116"/>
      <c r="E7" s="116"/>
      <c r="F7" s="116"/>
      <c r="G7" s="116"/>
      <c r="H7" s="146"/>
      <c r="J7" t="s">
        <v>54</v>
      </c>
    </row>
    <row r="8" spans="1:10">
      <c r="A8" s="227" t="s">
        <v>55</v>
      </c>
      <c r="B8" s="225" t="s">
        <v>52</v>
      </c>
      <c r="C8" s="116"/>
      <c r="D8" s="116"/>
      <c r="E8" s="116"/>
      <c r="F8" s="116"/>
      <c r="G8" s="116"/>
      <c r="H8" s="146"/>
    </row>
    <row r="9" spans="1:10">
      <c r="A9" s="227">
        <v>9340</v>
      </c>
      <c r="B9" s="225" t="s">
        <v>52</v>
      </c>
      <c r="C9" s="116"/>
      <c r="D9" s="116"/>
      <c r="E9" s="116"/>
      <c r="F9" s="116"/>
      <c r="G9" s="116"/>
      <c r="H9" s="146"/>
      <c r="J9" s="153" t="s">
        <v>56</v>
      </c>
    </row>
    <row r="10" spans="1:10">
      <c r="A10" s="227">
        <v>9540</v>
      </c>
      <c r="B10" s="225" t="s">
        <v>52</v>
      </c>
      <c r="C10" s="116"/>
      <c r="D10" s="116"/>
      <c r="E10" s="116"/>
      <c r="F10" s="116"/>
      <c r="G10" s="116"/>
      <c r="H10" s="146"/>
    </row>
    <row r="11" spans="1:10">
      <c r="A11" s="227">
        <v>1120</v>
      </c>
      <c r="B11" s="225" t="s">
        <v>52</v>
      </c>
      <c r="C11" s="116"/>
      <c r="D11" s="116"/>
      <c r="E11" s="116"/>
      <c r="F11" s="116"/>
      <c r="G11" s="116"/>
      <c r="H11" s="146"/>
    </row>
    <row r="12" spans="1:10">
      <c r="A12" s="226"/>
      <c r="B12" s="225"/>
      <c r="C12" s="116"/>
      <c r="D12" s="116"/>
      <c r="E12" s="116"/>
      <c r="F12" s="116"/>
      <c r="G12" s="116"/>
      <c r="H12" s="146"/>
    </row>
    <row r="13" spans="1:10">
      <c r="A13" s="226"/>
      <c r="B13" s="225"/>
      <c r="C13" s="116"/>
      <c r="D13" s="116"/>
      <c r="E13" s="116"/>
      <c r="F13" s="116"/>
      <c r="G13" s="116"/>
      <c r="H13" s="146"/>
    </row>
    <row r="14" spans="1:10">
      <c r="A14" s="226"/>
      <c r="B14" s="225"/>
      <c r="C14" s="116"/>
      <c r="D14" s="116"/>
      <c r="E14" s="116"/>
      <c r="F14" s="116"/>
      <c r="G14" s="116"/>
      <c r="H14" s="146"/>
    </row>
    <row r="15" spans="1:10">
      <c r="A15" s="226"/>
      <c r="B15" s="225"/>
      <c r="C15" s="116"/>
      <c r="D15" s="116"/>
      <c r="E15" s="116"/>
      <c r="F15" s="116"/>
      <c r="G15" s="116"/>
      <c r="H15" s="146"/>
    </row>
    <row r="16" spans="1:10">
      <c r="A16" s="226"/>
      <c r="B16" s="225"/>
      <c r="C16" s="116"/>
      <c r="D16" s="116"/>
      <c r="E16" s="116"/>
      <c r="F16" s="116"/>
      <c r="G16" s="116"/>
      <c r="H16" s="146"/>
    </row>
    <row r="17" spans="1:8">
      <c r="A17" s="157"/>
      <c r="B17" s="116"/>
      <c r="C17" s="116"/>
      <c r="D17" s="116"/>
      <c r="E17" s="116"/>
      <c r="F17" s="116"/>
      <c r="G17" s="116"/>
      <c r="H17" s="146"/>
    </row>
    <row r="18" spans="1:8">
      <c r="A18" s="157"/>
      <c r="B18" s="116"/>
      <c r="C18" s="116"/>
      <c r="D18" s="116"/>
      <c r="E18" s="116"/>
      <c r="F18" s="116"/>
      <c r="G18" s="116"/>
      <c r="H18" s="146"/>
    </row>
    <row r="19" spans="1:8">
      <c r="A19" s="157"/>
      <c r="B19" s="116"/>
      <c r="C19" s="116"/>
      <c r="D19" s="116"/>
      <c r="E19" s="116"/>
      <c r="F19" s="116"/>
      <c r="G19" s="116"/>
      <c r="H19" s="146"/>
    </row>
    <row r="20" spans="1:8">
      <c r="A20" s="157"/>
      <c r="B20" s="116"/>
      <c r="C20" s="116"/>
      <c r="D20" s="116"/>
      <c r="E20" s="116"/>
      <c r="F20" s="116"/>
      <c r="G20" s="116"/>
      <c r="H20" s="146"/>
    </row>
    <row r="21" spans="1:8">
      <c r="A21" s="157"/>
      <c r="B21" s="116"/>
      <c r="C21" s="116"/>
      <c r="D21" s="116"/>
      <c r="E21" s="116"/>
      <c r="F21" s="116"/>
      <c r="G21" s="116"/>
      <c r="H21" s="146"/>
    </row>
    <row r="22" spans="1:8">
      <c r="A22" s="157"/>
      <c r="B22" s="116"/>
      <c r="C22" s="116"/>
      <c r="D22" s="116"/>
      <c r="E22" s="116"/>
      <c r="F22" s="116"/>
      <c r="G22" s="116"/>
      <c r="H22" s="146"/>
    </row>
    <row r="23" spans="1:8">
      <c r="A23" s="157"/>
      <c r="B23" s="116"/>
      <c r="C23" s="116"/>
      <c r="D23" s="116"/>
      <c r="E23" s="116"/>
      <c r="F23" s="116"/>
      <c r="G23" s="116"/>
      <c r="H23" s="146"/>
    </row>
    <row r="24" spans="1:8">
      <c r="A24" s="157"/>
      <c r="B24" s="116"/>
      <c r="C24" s="116"/>
      <c r="D24" s="116"/>
      <c r="E24" s="116"/>
      <c r="F24" s="116"/>
      <c r="G24" s="116"/>
      <c r="H24" s="146"/>
    </row>
    <row r="25" spans="1:8">
      <c r="A25" s="157"/>
      <c r="B25" s="116"/>
      <c r="C25" s="116"/>
      <c r="D25" s="116"/>
      <c r="E25" s="116"/>
      <c r="F25" s="116"/>
      <c r="G25" s="116"/>
      <c r="H25" s="146"/>
    </row>
    <row r="26" spans="1:8">
      <c r="A26" s="157"/>
      <c r="B26" s="116"/>
      <c r="C26" s="116"/>
      <c r="D26" s="116"/>
      <c r="E26" s="116"/>
      <c r="F26" s="116"/>
      <c r="G26" s="116"/>
      <c r="H26" s="146"/>
    </row>
    <row r="27" spans="1:8" ht="15" thickBot="1">
      <c r="A27" s="158"/>
      <c r="B27" s="159"/>
      <c r="C27" s="159"/>
      <c r="D27" s="159"/>
      <c r="E27" s="159"/>
      <c r="F27" s="159"/>
      <c r="G27" s="159"/>
      <c r="H27" s="160"/>
    </row>
    <row r="28" spans="1:8">
      <c r="A28" s="154" t="s">
        <v>57</v>
      </c>
      <c r="B28" s="155" t="s">
        <v>45</v>
      </c>
      <c r="C28" s="155" t="s">
        <v>46</v>
      </c>
      <c r="D28" s="155" t="s">
        <v>47</v>
      </c>
      <c r="E28" s="155" t="s">
        <v>48</v>
      </c>
      <c r="F28" s="155" t="s">
        <v>49</v>
      </c>
      <c r="G28" s="155" t="s">
        <v>50</v>
      </c>
      <c r="H28" s="156" t="s">
        <v>51</v>
      </c>
    </row>
    <row r="29" spans="1:8">
      <c r="A29" s="230" t="s">
        <v>58</v>
      </c>
      <c r="B29" s="225" t="s">
        <v>52</v>
      </c>
      <c r="C29" s="116"/>
      <c r="D29" s="116"/>
      <c r="E29" s="116"/>
      <c r="F29" s="116"/>
      <c r="G29" s="116"/>
      <c r="H29" s="146"/>
    </row>
    <row r="30" spans="1:8">
      <c r="A30" s="230" t="s">
        <v>59</v>
      </c>
      <c r="B30" s="225" t="s">
        <v>52</v>
      </c>
      <c r="C30" s="116"/>
      <c r="D30" s="116"/>
      <c r="E30" s="116"/>
      <c r="F30" s="116"/>
      <c r="G30" s="116"/>
      <c r="H30" s="146"/>
    </row>
    <row r="31" spans="1:8">
      <c r="A31" s="230" t="s">
        <v>60</v>
      </c>
      <c r="B31" s="225" t="s">
        <v>52</v>
      </c>
      <c r="C31" s="116"/>
      <c r="D31" s="116"/>
      <c r="E31" s="116"/>
      <c r="F31" s="116"/>
      <c r="G31" s="116"/>
      <c r="H31" s="146"/>
    </row>
    <row r="32" spans="1:8">
      <c r="A32" s="230" t="s">
        <v>61</v>
      </c>
      <c r="B32" s="225" t="s">
        <v>52</v>
      </c>
      <c r="C32" s="116"/>
      <c r="D32" s="116"/>
      <c r="E32" s="116"/>
      <c r="F32" s="116"/>
      <c r="G32" s="116"/>
      <c r="H32" s="146"/>
    </row>
    <row r="33" spans="1:8">
      <c r="A33" s="230" t="s">
        <v>62</v>
      </c>
      <c r="B33" s="225" t="s">
        <v>52</v>
      </c>
      <c r="C33" s="116"/>
      <c r="D33" s="116"/>
      <c r="E33" s="116"/>
      <c r="F33" s="116"/>
      <c r="G33" s="116"/>
      <c r="H33" s="146"/>
    </row>
    <row r="34" spans="1:8">
      <c r="A34" s="230" t="s">
        <v>63</v>
      </c>
      <c r="B34" s="225" t="s">
        <v>52</v>
      </c>
      <c r="C34" s="116"/>
      <c r="D34" s="116"/>
      <c r="E34" s="116"/>
      <c r="F34" s="116"/>
      <c r="G34" s="116"/>
      <c r="H34" s="146"/>
    </row>
    <row r="35" spans="1:8">
      <c r="A35" s="230" t="s">
        <v>64</v>
      </c>
      <c r="B35" s="225" t="s">
        <v>52</v>
      </c>
      <c r="C35" s="116"/>
      <c r="D35" s="116"/>
      <c r="E35" s="116"/>
      <c r="F35" s="116"/>
      <c r="G35" s="116"/>
      <c r="H35" s="146"/>
    </row>
    <row r="36" spans="1:8">
      <c r="A36" s="230" t="s">
        <v>65</v>
      </c>
      <c r="B36" s="225" t="s">
        <v>52</v>
      </c>
      <c r="C36" s="116"/>
      <c r="D36" s="116"/>
      <c r="E36" s="116"/>
      <c r="F36" s="116"/>
      <c r="G36" s="116"/>
      <c r="H36" s="146"/>
    </row>
    <row r="37" spans="1:8">
      <c r="A37" s="230" t="s">
        <v>66</v>
      </c>
      <c r="B37" s="225" t="s">
        <v>52</v>
      </c>
      <c r="C37" s="116"/>
      <c r="D37" s="116"/>
      <c r="E37" s="116"/>
      <c r="F37" s="116"/>
      <c r="G37" s="116"/>
      <c r="H37" s="146"/>
    </row>
    <row r="38" spans="1:8">
      <c r="A38" s="230" t="s">
        <v>67</v>
      </c>
      <c r="B38" s="225" t="s">
        <v>52</v>
      </c>
      <c r="C38" s="116"/>
      <c r="D38" s="116"/>
      <c r="E38" s="116"/>
      <c r="F38" s="116"/>
      <c r="G38" s="116"/>
      <c r="H38" s="146"/>
    </row>
    <row r="39" spans="1:8">
      <c r="A39" s="230" t="s">
        <v>68</v>
      </c>
      <c r="B39" s="225" t="s">
        <v>52</v>
      </c>
      <c r="C39" s="116"/>
      <c r="D39" s="116"/>
      <c r="E39" s="116"/>
      <c r="F39" s="116"/>
      <c r="G39" s="116"/>
      <c r="H39" s="146"/>
    </row>
    <row r="40" spans="1:8">
      <c r="A40" s="230" t="s">
        <v>69</v>
      </c>
      <c r="B40" s="225" t="s">
        <v>52</v>
      </c>
      <c r="C40" s="116"/>
      <c r="D40" s="116"/>
      <c r="E40" s="116"/>
      <c r="F40" s="116"/>
      <c r="G40" s="116"/>
      <c r="H40" s="146"/>
    </row>
    <row r="41" spans="1:8">
      <c r="A41" s="230" t="s">
        <v>70</v>
      </c>
      <c r="B41" s="225" t="s">
        <v>52</v>
      </c>
      <c r="C41" s="116"/>
      <c r="D41" s="116"/>
      <c r="E41" s="116"/>
      <c r="F41" s="116"/>
      <c r="G41" s="116"/>
      <c r="H41" s="146"/>
    </row>
    <row r="42" spans="1:8">
      <c r="A42" s="230" t="s">
        <v>71</v>
      </c>
      <c r="B42" s="225" t="s">
        <v>52</v>
      </c>
      <c r="C42" s="116"/>
      <c r="D42" s="116"/>
      <c r="E42" s="116"/>
      <c r="F42" s="116"/>
      <c r="G42" s="116"/>
      <c r="H42" s="146"/>
    </row>
    <row r="43" spans="1:8">
      <c r="A43" s="230" t="s">
        <v>72</v>
      </c>
      <c r="B43" s="225" t="s">
        <v>52</v>
      </c>
      <c r="C43" s="116"/>
      <c r="D43" s="116"/>
      <c r="E43" s="116"/>
      <c r="F43" s="116"/>
      <c r="G43" s="116"/>
      <c r="H43" s="146"/>
    </row>
    <row r="44" spans="1:8">
      <c r="A44" s="230" t="s">
        <v>73</v>
      </c>
      <c r="B44" s="225" t="s">
        <v>52</v>
      </c>
      <c r="C44" s="116"/>
      <c r="D44" s="116"/>
      <c r="E44" s="116"/>
      <c r="F44" s="116"/>
      <c r="G44" s="116"/>
      <c r="H44" s="146"/>
    </row>
    <row r="45" spans="1:8">
      <c r="A45" s="230" t="s">
        <v>74</v>
      </c>
      <c r="B45" s="225" t="s">
        <v>52</v>
      </c>
      <c r="C45" s="116"/>
      <c r="D45" s="116"/>
      <c r="E45" s="116"/>
      <c r="F45" s="116"/>
      <c r="G45" s="116"/>
      <c r="H45" s="146"/>
    </row>
    <row r="46" spans="1:8">
      <c r="A46" s="230" t="s">
        <v>75</v>
      </c>
      <c r="B46" s="225" t="s">
        <v>52</v>
      </c>
      <c r="C46" s="116"/>
      <c r="D46" s="116"/>
      <c r="E46" s="116"/>
      <c r="F46" s="116"/>
      <c r="G46" s="116"/>
      <c r="H46" s="146"/>
    </row>
    <row r="47" spans="1:8">
      <c r="A47" s="230" t="s">
        <v>76</v>
      </c>
      <c r="B47" s="225" t="s">
        <v>52</v>
      </c>
      <c r="C47" s="116"/>
      <c r="D47" s="116"/>
      <c r="E47" s="116"/>
      <c r="F47" s="116"/>
      <c r="G47" s="116"/>
      <c r="H47" s="146"/>
    </row>
    <row r="48" spans="1:8">
      <c r="A48" s="230" t="s">
        <v>77</v>
      </c>
      <c r="B48" s="225" t="s">
        <v>52</v>
      </c>
      <c r="C48" s="116"/>
      <c r="D48" s="116"/>
      <c r="E48" s="116"/>
      <c r="F48" s="116"/>
      <c r="G48" s="116"/>
      <c r="H48" s="146"/>
    </row>
    <row r="49" spans="1:8">
      <c r="A49" s="230" t="s">
        <v>78</v>
      </c>
      <c r="B49" s="225" t="s">
        <v>52</v>
      </c>
      <c r="C49" s="116"/>
      <c r="D49" s="116"/>
      <c r="E49" s="116"/>
      <c r="F49" s="116"/>
      <c r="G49" s="116"/>
      <c r="H49" s="146"/>
    </row>
    <row r="50" spans="1:8">
      <c r="A50" s="230" t="s">
        <v>79</v>
      </c>
      <c r="B50" s="225" t="s">
        <v>52</v>
      </c>
      <c r="C50" s="116"/>
      <c r="D50" s="116"/>
      <c r="E50" s="116"/>
      <c r="F50" s="116"/>
      <c r="G50" s="116"/>
      <c r="H50" s="146"/>
    </row>
    <row r="51" spans="1:8">
      <c r="A51" s="230" t="s">
        <v>80</v>
      </c>
      <c r="B51" s="225" t="s">
        <v>52</v>
      </c>
      <c r="C51" s="116"/>
      <c r="D51" s="116"/>
      <c r="E51" s="116"/>
      <c r="F51" s="116"/>
      <c r="G51" s="116"/>
      <c r="H51" s="146"/>
    </row>
    <row r="52" spans="1:8">
      <c r="A52" s="230" t="s">
        <v>81</v>
      </c>
      <c r="B52" s="225" t="s">
        <v>52</v>
      </c>
      <c r="C52" s="116"/>
      <c r="D52" s="116"/>
      <c r="E52" s="116"/>
      <c r="F52" s="116"/>
      <c r="G52" s="116"/>
      <c r="H52" s="146"/>
    </row>
    <row r="53" spans="1:8">
      <c r="A53" s="230" t="s">
        <v>82</v>
      </c>
      <c r="B53" s="225" t="s">
        <v>52</v>
      </c>
      <c r="C53" s="116"/>
      <c r="D53" s="116"/>
      <c r="E53" s="116"/>
      <c r="F53" s="116"/>
      <c r="G53" s="116"/>
      <c r="H53" s="146"/>
    </row>
    <row r="54" spans="1:8">
      <c r="A54" s="229"/>
      <c r="B54" s="116"/>
      <c r="C54" s="116"/>
      <c r="D54" s="116"/>
      <c r="E54" s="116"/>
      <c r="F54" s="116"/>
      <c r="G54" s="116"/>
      <c r="H54" s="146"/>
    </row>
    <row r="55" spans="1:8">
      <c r="A55" s="161"/>
      <c r="B55" s="116"/>
      <c r="C55" s="116"/>
      <c r="D55" s="116"/>
      <c r="E55" s="116"/>
      <c r="F55" s="116"/>
      <c r="G55" s="116"/>
      <c r="H55" s="146"/>
    </row>
    <row r="56" spans="1:8">
      <c r="A56" s="161"/>
      <c r="B56" s="116"/>
      <c r="C56" s="116"/>
      <c r="D56" s="116"/>
      <c r="E56" s="116"/>
      <c r="F56" s="116"/>
      <c r="G56" s="116"/>
      <c r="H56" s="146"/>
    </row>
    <row r="57" spans="1:8">
      <c r="A57" s="161"/>
      <c r="B57" s="116"/>
      <c r="C57" s="116"/>
      <c r="D57" s="116"/>
      <c r="E57" s="116"/>
      <c r="F57" s="116"/>
      <c r="G57" s="116"/>
      <c r="H57" s="146"/>
    </row>
    <row r="58" spans="1:8">
      <c r="A58" s="161"/>
      <c r="B58" s="116"/>
      <c r="C58" s="116"/>
      <c r="D58" s="116"/>
      <c r="E58" s="116"/>
      <c r="F58" s="116"/>
      <c r="G58" s="116"/>
      <c r="H58" s="146"/>
    </row>
    <row r="59" spans="1:8">
      <c r="A59" s="161"/>
      <c r="B59" s="116"/>
      <c r="C59" s="116"/>
      <c r="D59" s="116"/>
      <c r="E59" s="116"/>
      <c r="F59" s="116"/>
      <c r="G59" s="116"/>
      <c r="H59" s="146"/>
    </row>
    <row r="60" spans="1:8">
      <c r="A60" s="161"/>
      <c r="B60" s="116"/>
      <c r="C60" s="116"/>
      <c r="D60" s="116"/>
      <c r="E60" s="116"/>
      <c r="F60" s="116"/>
      <c r="G60" s="116"/>
      <c r="H60" s="146"/>
    </row>
    <row r="61" spans="1:8">
      <c r="A61" s="161"/>
      <c r="B61" s="116"/>
      <c r="C61" s="116"/>
      <c r="D61" s="116"/>
      <c r="E61" s="116"/>
      <c r="F61" s="116"/>
      <c r="G61" s="116"/>
      <c r="H61" s="146"/>
    </row>
    <row r="62" spans="1:8">
      <c r="A62" s="161"/>
      <c r="B62" s="116"/>
      <c r="C62" s="116"/>
      <c r="D62" s="116"/>
      <c r="E62" s="116"/>
      <c r="F62" s="116"/>
      <c r="G62" s="116"/>
      <c r="H62" s="146"/>
    </row>
    <row r="63" spans="1:8">
      <c r="A63" s="161"/>
      <c r="B63" s="116"/>
      <c r="C63" s="116"/>
      <c r="D63" s="116"/>
      <c r="E63" s="116"/>
      <c r="F63" s="116"/>
      <c r="G63" s="116"/>
      <c r="H63" s="146"/>
    </row>
    <row r="64" spans="1:8">
      <c r="A64" s="161"/>
      <c r="B64" s="116"/>
      <c r="C64" s="116"/>
      <c r="D64" s="116"/>
      <c r="E64" s="116"/>
      <c r="F64" s="116"/>
      <c r="G64" s="116"/>
      <c r="H64" s="146"/>
    </row>
    <row r="65" spans="1:8">
      <c r="A65" s="161"/>
      <c r="B65" s="116"/>
      <c r="C65" s="116"/>
      <c r="D65" s="116"/>
      <c r="E65" s="116"/>
      <c r="F65" s="116"/>
      <c r="G65" s="116"/>
      <c r="H65" s="146"/>
    </row>
    <row r="66" spans="1:8">
      <c r="A66" s="161"/>
      <c r="B66" s="116"/>
      <c r="C66" s="116"/>
      <c r="D66" s="116"/>
      <c r="E66" s="116"/>
      <c r="F66" s="116"/>
      <c r="G66" s="116"/>
      <c r="H66" s="146"/>
    </row>
    <row r="67" spans="1:8">
      <c r="A67" s="161"/>
      <c r="B67" s="116"/>
      <c r="C67" s="116"/>
      <c r="D67" s="116"/>
      <c r="E67" s="116"/>
      <c r="F67" s="116"/>
      <c r="G67" s="116"/>
      <c r="H67" s="146"/>
    </row>
    <row r="68" spans="1:8">
      <c r="A68" s="161"/>
      <c r="B68" s="116"/>
      <c r="C68" s="116"/>
      <c r="D68" s="116"/>
      <c r="E68" s="116"/>
      <c r="F68" s="116"/>
      <c r="G68" s="116"/>
      <c r="H68" s="146"/>
    </row>
    <row r="69" spans="1:8">
      <c r="A69" s="161"/>
      <c r="B69" s="116"/>
      <c r="C69" s="116"/>
      <c r="D69" s="116"/>
      <c r="E69" s="116"/>
      <c r="F69" s="116"/>
      <c r="G69" s="116"/>
      <c r="H69" s="146"/>
    </row>
    <row r="70" spans="1:8">
      <c r="A70" s="161"/>
      <c r="B70" s="116"/>
      <c r="C70" s="116"/>
      <c r="D70" s="116"/>
      <c r="E70" s="116"/>
      <c r="F70" s="116"/>
      <c r="G70" s="116"/>
      <c r="H70" s="146"/>
    </row>
    <row r="71" spans="1:8">
      <c r="A71" s="161"/>
      <c r="B71" s="116"/>
      <c r="C71" s="116"/>
      <c r="D71" s="116"/>
      <c r="E71" s="116"/>
      <c r="F71" s="116"/>
      <c r="G71" s="116"/>
      <c r="H71" s="146"/>
    </row>
    <row r="72" spans="1:8">
      <c r="A72" s="161"/>
      <c r="B72" s="116"/>
      <c r="C72" s="116"/>
      <c r="D72" s="116"/>
      <c r="E72" s="116"/>
      <c r="F72" s="116"/>
      <c r="G72" s="116"/>
      <c r="H72" s="146"/>
    </row>
    <row r="73" spans="1:8">
      <c r="A73" s="161"/>
      <c r="B73" s="116"/>
      <c r="C73" s="116"/>
      <c r="D73" s="116"/>
      <c r="E73" s="116"/>
      <c r="F73" s="116"/>
      <c r="G73" s="116"/>
      <c r="H73" s="146"/>
    </row>
    <row r="74" spans="1:8">
      <c r="A74" s="161"/>
      <c r="B74" s="116"/>
      <c r="C74" s="116"/>
      <c r="D74" s="116"/>
      <c r="E74" s="116"/>
      <c r="F74" s="116"/>
      <c r="G74" s="116"/>
      <c r="H74" s="146"/>
    </row>
    <row r="75" spans="1:8">
      <c r="A75" s="161"/>
      <c r="B75" s="116"/>
      <c r="C75" s="116"/>
      <c r="D75" s="116"/>
      <c r="E75" s="116"/>
      <c r="F75" s="116"/>
      <c r="G75" s="116"/>
      <c r="H75" s="146"/>
    </row>
    <row r="76" spans="1:8">
      <c r="A76" s="161"/>
      <c r="B76" s="116"/>
      <c r="C76" s="116"/>
      <c r="D76" s="116"/>
      <c r="E76" s="116"/>
      <c r="F76" s="116"/>
      <c r="G76" s="116"/>
      <c r="H76" s="146"/>
    </row>
    <row r="77" spans="1:8">
      <c r="A77" s="161"/>
      <c r="B77" s="116"/>
      <c r="C77" s="116"/>
      <c r="D77" s="116"/>
      <c r="E77" s="116"/>
      <c r="F77" s="116"/>
      <c r="G77" s="116"/>
      <c r="H77" s="146"/>
    </row>
    <row r="78" spans="1:8">
      <c r="A78" s="161"/>
      <c r="B78" s="116"/>
      <c r="C78" s="116"/>
      <c r="D78" s="116"/>
      <c r="E78" s="116"/>
      <c r="F78" s="116"/>
      <c r="G78" s="116"/>
      <c r="H78" s="146"/>
    </row>
    <row r="79" spans="1:8">
      <c r="A79" s="161"/>
      <c r="B79" s="116"/>
      <c r="C79" s="116"/>
      <c r="D79" s="116"/>
      <c r="E79" s="116"/>
      <c r="F79" s="116"/>
      <c r="G79" s="116"/>
      <c r="H79" s="146"/>
    </row>
    <row r="80" spans="1:8">
      <c r="A80" s="147"/>
      <c r="B80" s="116"/>
      <c r="C80" s="116"/>
      <c r="D80" s="116"/>
      <c r="E80" s="116"/>
      <c r="F80" s="116"/>
      <c r="G80" s="116"/>
      <c r="H80" s="146"/>
    </row>
    <row r="81" spans="1:8">
      <c r="A81" s="147"/>
      <c r="B81" s="116"/>
      <c r="C81" s="116"/>
      <c r="D81" s="116"/>
      <c r="E81" s="116"/>
      <c r="F81" s="116"/>
      <c r="G81" s="116"/>
      <c r="H81" s="146"/>
    </row>
    <row r="82" spans="1:8">
      <c r="A82" s="147"/>
      <c r="B82" s="116"/>
      <c r="C82" s="116"/>
      <c r="D82" s="116"/>
      <c r="E82" s="116"/>
      <c r="F82" s="116"/>
      <c r="G82" s="116"/>
      <c r="H82" s="146"/>
    </row>
    <row r="83" spans="1:8">
      <c r="A83" s="147"/>
      <c r="B83" s="116"/>
      <c r="C83" s="116"/>
      <c r="D83" s="116"/>
      <c r="E83" s="116"/>
      <c r="F83" s="116"/>
      <c r="G83" s="116"/>
      <c r="H83" s="146"/>
    </row>
    <row r="84" spans="1:8">
      <c r="A84" s="147"/>
      <c r="B84" s="116"/>
      <c r="C84" s="116"/>
      <c r="D84" s="116"/>
      <c r="E84" s="116"/>
      <c r="F84" s="116"/>
      <c r="G84" s="116"/>
      <c r="H84" s="146"/>
    </row>
    <row r="85" spans="1:8">
      <c r="A85" s="147"/>
      <c r="B85" s="116"/>
      <c r="C85" s="116"/>
      <c r="D85" s="116"/>
      <c r="E85" s="116"/>
      <c r="F85" s="116"/>
      <c r="G85" s="116"/>
      <c r="H85" s="146"/>
    </row>
    <row r="86" spans="1:8">
      <c r="A86" s="147"/>
      <c r="B86" s="116"/>
      <c r="C86" s="116"/>
      <c r="D86" s="116"/>
      <c r="E86" s="116"/>
      <c r="F86" s="116"/>
      <c r="G86" s="116"/>
      <c r="H86" s="146"/>
    </row>
    <row r="87" spans="1:8">
      <c r="A87" s="147"/>
      <c r="B87" s="116"/>
      <c r="C87" s="116"/>
      <c r="D87" s="116"/>
      <c r="E87" s="116"/>
      <c r="F87" s="116"/>
      <c r="G87" s="116"/>
      <c r="H87" s="146"/>
    </row>
    <row r="88" spans="1:8">
      <c r="A88" s="147"/>
      <c r="B88" s="116"/>
      <c r="C88" s="116"/>
      <c r="D88" s="116"/>
      <c r="E88" s="116"/>
      <c r="F88" s="116"/>
      <c r="G88" s="116"/>
      <c r="H88" s="146"/>
    </row>
    <row r="89" spans="1:8">
      <c r="A89" s="147"/>
      <c r="B89" s="116"/>
      <c r="C89" s="116"/>
      <c r="D89" s="116"/>
      <c r="E89" s="116"/>
      <c r="F89" s="116"/>
      <c r="G89" s="116"/>
      <c r="H89" s="146"/>
    </row>
    <row r="90" spans="1:8">
      <c r="A90" s="147"/>
      <c r="B90" s="116"/>
      <c r="C90" s="116"/>
      <c r="D90" s="116"/>
      <c r="E90" s="116"/>
      <c r="F90" s="116"/>
      <c r="G90" s="116"/>
      <c r="H90" s="146"/>
    </row>
    <row r="91" spans="1:8">
      <c r="A91" s="147"/>
      <c r="B91" s="116"/>
      <c r="C91" s="116"/>
      <c r="D91" s="116"/>
      <c r="E91" s="116"/>
      <c r="F91" s="116"/>
      <c r="G91" s="116"/>
      <c r="H91" s="146"/>
    </row>
    <row r="92" spans="1:8">
      <c r="A92" s="147"/>
      <c r="B92" s="116"/>
      <c r="C92" s="116"/>
      <c r="D92" s="116"/>
      <c r="E92" s="116"/>
      <c r="F92" s="116"/>
      <c r="G92" s="116"/>
      <c r="H92" s="146"/>
    </row>
    <row r="93" spans="1:8">
      <c r="A93" s="147"/>
      <c r="B93" s="116"/>
      <c r="C93" s="116"/>
      <c r="D93" s="116"/>
      <c r="E93" s="116"/>
      <c r="F93" s="116"/>
      <c r="G93" s="116"/>
      <c r="H93" s="146"/>
    </row>
    <row r="94" spans="1:8">
      <c r="A94" s="147"/>
      <c r="B94" s="116"/>
      <c r="C94" s="116"/>
      <c r="D94" s="116"/>
      <c r="E94" s="116"/>
      <c r="F94" s="116"/>
      <c r="G94" s="116"/>
      <c r="H94" s="146"/>
    </row>
    <row r="95" spans="1:8">
      <c r="A95" s="147"/>
      <c r="B95" s="116"/>
      <c r="C95" s="116"/>
      <c r="D95" s="116"/>
      <c r="E95" s="116"/>
      <c r="F95" s="116"/>
      <c r="G95" s="116"/>
      <c r="H95" s="146"/>
    </row>
    <row r="96" spans="1:8">
      <c r="A96" s="147"/>
      <c r="B96" s="116"/>
      <c r="C96" s="116"/>
      <c r="D96" s="116"/>
      <c r="E96" s="116"/>
      <c r="F96" s="116"/>
      <c r="G96" s="116"/>
      <c r="H96" s="146"/>
    </row>
    <row r="97" spans="1:8">
      <c r="A97" s="147"/>
      <c r="B97" s="116"/>
      <c r="C97" s="116"/>
      <c r="D97" s="116"/>
      <c r="E97" s="116"/>
      <c r="F97" s="116"/>
      <c r="G97" s="116"/>
      <c r="H97" s="146"/>
    </row>
    <row r="98" spans="1:8">
      <c r="A98" s="147"/>
      <c r="B98" s="116"/>
      <c r="C98" s="116"/>
      <c r="D98" s="116"/>
      <c r="E98" s="116"/>
      <c r="F98" s="116"/>
      <c r="G98" s="116"/>
      <c r="H98" s="146"/>
    </row>
    <row r="99" spans="1:8">
      <c r="A99" s="147"/>
      <c r="B99" s="116"/>
      <c r="C99" s="116"/>
      <c r="D99" s="116"/>
      <c r="E99" s="116"/>
      <c r="F99" s="116"/>
      <c r="G99" s="116"/>
      <c r="H99" s="146"/>
    </row>
    <row r="100" spans="1:8">
      <c r="A100" s="147"/>
      <c r="B100" s="116"/>
      <c r="C100" s="116"/>
      <c r="D100" s="116"/>
      <c r="E100" s="116"/>
      <c r="F100" s="116"/>
      <c r="G100" s="116"/>
      <c r="H100" s="146"/>
    </row>
    <row r="101" spans="1:8">
      <c r="A101" s="147"/>
      <c r="B101" s="116"/>
      <c r="C101" s="116"/>
      <c r="D101" s="116"/>
      <c r="E101" s="116"/>
      <c r="F101" s="116"/>
      <c r="G101" s="116"/>
      <c r="H101" s="146"/>
    </row>
    <row r="102" spans="1:8">
      <c r="A102" s="147"/>
      <c r="B102" s="116"/>
      <c r="C102" s="116"/>
      <c r="D102" s="116"/>
      <c r="E102" s="116"/>
      <c r="F102" s="116"/>
      <c r="G102" s="116"/>
      <c r="H102" s="146"/>
    </row>
    <row r="103" spans="1:8">
      <c r="A103" s="147"/>
      <c r="B103" s="116"/>
      <c r="C103" s="116"/>
      <c r="D103" s="116"/>
      <c r="E103" s="116"/>
      <c r="F103" s="116"/>
      <c r="G103" s="116"/>
      <c r="H103" s="146"/>
    </row>
    <row r="104" spans="1:8">
      <c r="A104" s="147"/>
      <c r="B104" s="116"/>
      <c r="C104" s="116"/>
      <c r="D104" s="116"/>
      <c r="E104" s="116"/>
      <c r="F104" s="116"/>
      <c r="G104" s="116"/>
      <c r="H104" s="146"/>
    </row>
    <row r="105" spans="1:8">
      <c r="A105" s="147"/>
      <c r="B105" s="116"/>
      <c r="C105" s="116"/>
      <c r="D105" s="116"/>
      <c r="E105" s="116"/>
      <c r="F105" s="116"/>
      <c r="G105" s="116"/>
      <c r="H105" s="146"/>
    </row>
    <row r="106" spans="1:8">
      <c r="A106" s="147"/>
      <c r="B106" s="116"/>
      <c r="C106" s="116"/>
      <c r="D106" s="116"/>
      <c r="E106" s="116"/>
      <c r="F106" s="116"/>
      <c r="G106" s="116"/>
      <c r="H106" s="146"/>
    </row>
    <row r="107" spans="1:8">
      <c r="A107" s="147"/>
      <c r="B107" s="116"/>
      <c r="C107" s="116"/>
      <c r="D107" s="116"/>
      <c r="E107" s="116"/>
      <c r="F107" s="116"/>
      <c r="G107" s="116"/>
      <c r="H107" s="146"/>
    </row>
    <row r="108" spans="1:8">
      <c r="A108" s="147"/>
      <c r="B108" s="116"/>
      <c r="C108" s="116"/>
      <c r="D108" s="116"/>
      <c r="E108" s="116"/>
      <c r="F108" s="116"/>
      <c r="G108" s="116"/>
      <c r="H108" s="146"/>
    </row>
    <row r="109" spans="1:8">
      <c r="A109" s="147"/>
      <c r="B109" s="116"/>
      <c r="C109" s="116"/>
      <c r="D109" s="116"/>
      <c r="E109" s="116"/>
      <c r="F109" s="116"/>
      <c r="G109" s="116"/>
      <c r="H109" s="146"/>
    </row>
    <row r="110" spans="1:8">
      <c r="A110" s="147"/>
      <c r="B110" s="116"/>
      <c r="C110" s="116"/>
      <c r="D110" s="116"/>
      <c r="E110" s="116"/>
      <c r="F110" s="116"/>
      <c r="G110" s="116"/>
      <c r="H110" s="146"/>
    </row>
    <row r="111" spans="1:8">
      <c r="A111" s="147"/>
      <c r="B111" s="116"/>
      <c r="C111" s="116"/>
      <c r="D111" s="116"/>
      <c r="E111" s="116"/>
      <c r="F111" s="116"/>
      <c r="G111" s="116"/>
      <c r="H111" s="146"/>
    </row>
    <row r="112" spans="1:8">
      <c r="A112" s="147"/>
      <c r="B112" s="116"/>
      <c r="C112" s="116"/>
      <c r="D112" s="116"/>
      <c r="E112" s="116"/>
      <c r="F112" s="116"/>
      <c r="G112" s="116"/>
      <c r="H112" s="146"/>
    </row>
    <row r="113" spans="1:8">
      <c r="A113" s="147"/>
      <c r="B113" s="116"/>
      <c r="C113" s="116"/>
      <c r="D113" s="116"/>
      <c r="E113" s="116"/>
      <c r="F113" s="116"/>
      <c r="G113" s="116"/>
      <c r="H113" s="146"/>
    </row>
    <row r="114" spans="1:8">
      <c r="A114" s="147"/>
      <c r="B114" s="116"/>
      <c r="C114" s="116"/>
      <c r="D114" s="116"/>
      <c r="E114" s="116"/>
      <c r="F114" s="116"/>
      <c r="G114" s="116"/>
      <c r="H114" s="146"/>
    </row>
    <row r="115" spans="1:8">
      <c r="A115" s="147"/>
      <c r="B115" s="116"/>
      <c r="C115" s="116"/>
      <c r="D115" s="116"/>
      <c r="E115" s="116"/>
      <c r="F115" s="116"/>
      <c r="G115" s="116"/>
      <c r="H115" s="146"/>
    </row>
    <row r="116" spans="1:8">
      <c r="A116" s="147"/>
      <c r="B116" s="116"/>
      <c r="C116" s="116"/>
      <c r="D116" s="116"/>
      <c r="E116" s="116"/>
      <c r="F116" s="116"/>
      <c r="G116" s="116"/>
      <c r="H116" s="146"/>
    </row>
    <row r="117" spans="1:8">
      <c r="A117" s="147"/>
      <c r="B117" s="116"/>
      <c r="C117" s="116"/>
      <c r="D117" s="116"/>
      <c r="E117" s="116"/>
      <c r="F117" s="116"/>
      <c r="G117" s="116"/>
      <c r="H117" s="146"/>
    </row>
    <row r="118" spans="1:8">
      <c r="A118" s="147"/>
      <c r="B118" s="116"/>
      <c r="C118" s="116"/>
      <c r="D118" s="116"/>
      <c r="E118" s="116"/>
      <c r="F118" s="116"/>
      <c r="G118" s="116"/>
      <c r="H118" s="146"/>
    </row>
    <row r="119" spans="1:8">
      <c r="A119" s="147"/>
      <c r="B119" s="116"/>
      <c r="C119" s="116"/>
      <c r="D119" s="116"/>
      <c r="E119" s="116"/>
      <c r="F119" s="116"/>
      <c r="G119" s="116"/>
      <c r="H119" s="146"/>
    </row>
    <row r="120" spans="1:8">
      <c r="A120" s="147"/>
      <c r="B120" s="116"/>
      <c r="C120" s="116"/>
      <c r="D120" s="116"/>
      <c r="E120" s="116"/>
      <c r="F120" s="116"/>
      <c r="G120" s="116"/>
      <c r="H120" s="146"/>
    </row>
    <row r="121" spans="1:8">
      <c r="A121" s="147"/>
      <c r="B121" s="116"/>
      <c r="C121" s="116"/>
      <c r="D121" s="116"/>
      <c r="E121" s="116"/>
      <c r="F121" s="116"/>
      <c r="G121" s="116"/>
      <c r="H121" s="146"/>
    </row>
    <row r="122" spans="1:8">
      <c r="A122" s="147"/>
      <c r="B122" s="116"/>
      <c r="C122" s="116"/>
      <c r="D122" s="116"/>
      <c r="E122" s="116"/>
      <c r="F122" s="116"/>
      <c r="G122" s="116"/>
      <c r="H122" s="146"/>
    </row>
    <row r="123" spans="1:8">
      <c r="A123" s="147"/>
      <c r="B123" s="116"/>
      <c r="C123" s="116"/>
      <c r="D123" s="116"/>
      <c r="E123" s="116"/>
      <c r="F123" s="116"/>
      <c r="G123" s="116"/>
      <c r="H123" s="146"/>
    </row>
    <row r="124" spans="1:8">
      <c r="A124" s="147"/>
      <c r="B124" s="116"/>
      <c r="C124" s="116"/>
      <c r="D124" s="116"/>
      <c r="E124" s="116"/>
      <c r="F124" s="116"/>
      <c r="G124" s="116"/>
      <c r="H124" s="146"/>
    </row>
    <row r="125" spans="1:8">
      <c r="A125" s="147"/>
      <c r="B125" s="116"/>
      <c r="C125" s="116"/>
      <c r="D125" s="116"/>
      <c r="E125" s="116"/>
      <c r="F125" s="116"/>
      <c r="G125" s="116"/>
      <c r="H125" s="146"/>
    </row>
    <row r="126" spans="1:8">
      <c r="A126" s="147"/>
      <c r="B126" s="116"/>
      <c r="C126" s="116"/>
      <c r="D126" s="116"/>
      <c r="E126" s="116"/>
      <c r="F126" s="116"/>
      <c r="G126" s="116"/>
      <c r="H126" s="146"/>
    </row>
    <row r="127" spans="1:8">
      <c r="A127" s="147"/>
      <c r="B127" s="116"/>
      <c r="C127" s="116"/>
      <c r="D127" s="116"/>
      <c r="E127" s="116"/>
      <c r="F127" s="116"/>
      <c r="G127" s="116"/>
      <c r="H127" s="146"/>
    </row>
    <row r="128" spans="1:8">
      <c r="A128" s="147"/>
      <c r="B128" s="116"/>
      <c r="C128" s="116"/>
      <c r="D128" s="116"/>
      <c r="E128" s="116"/>
      <c r="F128" s="116"/>
      <c r="G128" s="116"/>
      <c r="H128" s="146"/>
    </row>
    <row r="129" spans="1:8">
      <c r="A129" s="147"/>
      <c r="B129" s="116"/>
      <c r="C129" s="116"/>
      <c r="D129" s="116"/>
      <c r="E129" s="116"/>
      <c r="F129" s="116"/>
      <c r="G129" s="116"/>
      <c r="H129" s="146"/>
    </row>
    <row r="130" spans="1:8">
      <c r="A130" s="147"/>
      <c r="B130" s="116"/>
      <c r="C130" s="116"/>
      <c r="D130" s="116"/>
      <c r="E130" s="116"/>
      <c r="F130" s="116"/>
      <c r="G130" s="116"/>
      <c r="H130" s="146"/>
    </row>
    <row r="131" spans="1:8" ht="15" thickBot="1">
      <c r="A131" s="162"/>
      <c r="B131" s="148"/>
      <c r="C131" s="148"/>
      <c r="D131" s="148"/>
      <c r="E131" s="148"/>
      <c r="F131" s="148"/>
      <c r="G131" s="148"/>
      <c r="H131" s="149"/>
    </row>
  </sheetData>
  <mergeCells count="1">
    <mergeCell ref="E3:H3"/>
  </mergeCells>
  <hyperlinks>
    <hyperlink ref="J9" r:id="rId1" xr:uid="{00000000-0004-0000-0200-000000000000}"/>
  </hyperlinks>
  <pageMargins left="0.7" right="0.7" top="0.75" bottom="0.75" header="0.3" footer="0.3"/>
  <pageSetup paperSize="9" orientation="portrait" horizontalDpi="200" verticalDpi="200"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200-000000000000}">
          <x14:formula1>
            <xm:f>Llistes!$D$2:$D$4</xm:f>
          </x14:formula1>
          <xm:sqref>B29:B131 B5:B23</xm:sqref>
        </x14:dataValidation>
        <x14:dataValidation type="list" allowBlank="1" showInputMessage="1" showErrorMessage="1" xr:uid="{00000000-0002-0000-0200-000001000000}">
          <x14:formula1>
            <xm:f>Llistes!$G$2:$G$43</xm:f>
          </x14:formula1>
          <xm:sqref>E5:G131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V229"/>
  <sheetViews>
    <sheetView showGridLines="0" tabSelected="1" topLeftCell="J1" zoomScaleNormal="100" workbookViewId="0">
      <pane ySplit="4" topLeftCell="A5" activePane="bottomLeft" state="frozen"/>
      <selection pane="bottomLeft" activeCell="E3" sqref="E3"/>
    </sheetView>
  </sheetViews>
  <sheetFormatPr defaultColWidth="8.5703125" defaultRowHeight="15" customHeight="1"/>
  <cols>
    <col min="1" max="1" width="22.85546875" style="23" customWidth="1"/>
    <col min="2" max="2" width="4" style="5" customWidth="1"/>
    <col min="3" max="3" width="29.85546875" style="6" customWidth="1"/>
    <col min="4" max="4" width="7.42578125" style="11" customWidth="1"/>
    <col min="5" max="5" width="50" style="7" customWidth="1"/>
    <col min="6" max="6" width="7.85546875" style="9" customWidth="1"/>
    <col min="7" max="7" width="54.85546875" style="8" customWidth="1"/>
    <col min="8" max="8" width="15.42578125" style="10" customWidth="1"/>
    <col min="9" max="9" width="18.140625" style="10" customWidth="1"/>
    <col min="10" max="10" width="48.5703125" style="8" customWidth="1"/>
    <col min="11" max="11" width="41.42578125" style="10" hidden="1" customWidth="1"/>
    <col min="12" max="12" width="28.140625" style="5" hidden="1" customWidth="1"/>
    <col min="13" max="13" width="10.5703125" style="16" customWidth="1"/>
    <col min="14" max="14" width="56" style="6" customWidth="1"/>
    <col min="15" max="15" width="23.5703125" style="3" customWidth="1"/>
    <col min="16" max="16" width="9.5703125" style="3" customWidth="1"/>
    <col min="17" max="17" width="11.42578125" style="3" customWidth="1"/>
    <col min="18" max="18" width="9.42578125" style="3" customWidth="1"/>
    <col min="19" max="19" width="12.42578125" style="3" customWidth="1"/>
    <col min="20" max="20" width="11.85546875" style="3" customWidth="1"/>
    <col min="21" max="21" width="13.85546875" style="3" customWidth="1"/>
    <col min="22" max="16384" width="8.5703125" style="3"/>
  </cols>
  <sheetData>
    <row r="1" spans="1:21" ht="18.75">
      <c r="A1" s="71" t="s">
        <v>83</v>
      </c>
      <c r="B1" s="72"/>
      <c r="C1" s="73"/>
    </row>
    <row r="2" spans="1:21" ht="21" customHeight="1" thickBot="1">
      <c r="A2" s="74"/>
      <c r="B2" s="75" t="s">
        <v>84</v>
      </c>
      <c r="C2" s="236" t="s">
        <v>85</v>
      </c>
      <c r="D2" s="237"/>
    </row>
    <row r="3" spans="1:21" s="292" customFormat="1" ht="18.75">
      <c r="A3" s="281"/>
      <c r="B3" s="282"/>
      <c r="C3" s="283"/>
      <c r="D3" s="284"/>
      <c r="E3" s="285"/>
      <c r="F3" s="286"/>
      <c r="G3" s="287"/>
      <c r="H3" s="288"/>
      <c r="I3" s="288"/>
      <c r="J3" s="287"/>
      <c r="K3" s="288"/>
      <c r="L3" s="289"/>
      <c r="M3" s="290"/>
      <c r="N3" s="291"/>
      <c r="P3" s="293" t="s">
        <v>86</v>
      </c>
      <c r="Q3" s="294"/>
      <c r="R3" s="295" t="s">
        <v>87</v>
      </c>
      <c r="S3" s="296"/>
      <c r="T3" s="296"/>
      <c r="U3" s="296"/>
    </row>
    <row r="4" spans="1:21" s="17" customFormat="1" ht="45.75">
      <c r="A4" s="90" t="s">
        <v>88</v>
      </c>
      <c r="B4" s="165"/>
      <c r="C4" s="166" t="s">
        <v>89</v>
      </c>
      <c r="D4" s="167"/>
      <c r="E4" s="166" t="s">
        <v>90</v>
      </c>
      <c r="F4" s="85" t="s">
        <v>91</v>
      </c>
      <c r="G4" s="85" t="s">
        <v>92</v>
      </c>
      <c r="H4" s="85" t="s">
        <v>93</v>
      </c>
      <c r="I4" s="86" t="s">
        <v>94</v>
      </c>
      <c r="J4" s="87" t="s">
        <v>95</v>
      </c>
      <c r="K4" s="88" t="s">
        <v>96</v>
      </c>
      <c r="L4" s="88" t="s">
        <v>97</v>
      </c>
      <c r="M4" s="89" t="s">
        <v>98</v>
      </c>
      <c r="N4" s="88" t="s">
        <v>99</v>
      </c>
      <c r="O4" s="108" t="s">
        <v>100</v>
      </c>
      <c r="P4" s="108" t="s">
        <v>101</v>
      </c>
      <c r="Q4" s="108" t="s">
        <v>102</v>
      </c>
      <c r="R4" s="108" t="s">
        <v>103</v>
      </c>
      <c r="S4" s="108" t="s">
        <v>104</v>
      </c>
      <c r="T4" s="108" t="s">
        <v>105</v>
      </c>
      <c r="U4" s="89" t="s">
        <v>106</v>
      </c>
    </row>
    <row r="5" spans="1:21" ht="76.5">
      <c r="A5" s="163" t="s">
        <v>107</v>
      </c>
      <c r="B5" s="33">
        <v>1</v>
      </c>
      <c r="C5" s="164" t="s">
        <v>108</v>
      </c>
      <c r="D5" s="177" t="s">
        <v>109</v>
      </c>
      <c r="E5" s="171" t="s">
        <v>110</v>
      </c>
      <c r="F5" s="91" t="s">
        <v>111</v>
      </c>
      <c r="G5" s="92" t="s">
        <v>112</v>
      </c>
      <c r="H5" s="93" t="s">
        <v>113</v>
      </c>
      <c r="I5" s="93" t="s">
        <v>114</v>
      </c>
      <c r="J5" s="179" t="s">
        <v>112</v>
      </c>
      <c r="K5" s="224" t="s">
        <v>115</v>
      </c>
      <c r="L5" s="179"/>
      <c r="M5" s="210" t="s">
        <v>116</v>
      </c>
      <c r="N5" s="210" t="s">
        <v>117</v>
      </c>
      <c r="O5" s="211" t="s">
        <v>118</v>
      </c>
      <c r="P5" s="212" t="s">
        <v>119</v>
      </c>
      <c r="Q5" s="210" t="s">
        <v>120</v>
      </c>
      <c r="R5" s="210">
        <v>200</v>
      </c>
      <c r="S5" s="210" t="s">
        <v>121</v>
      </c>
      <c r="T5" s="210" t="s">
        <v>122</v>
      </c>
      <c r="U5" s="210" t="s">
        <v>121</v>
      </c>
    </row>
    <row r="6" spans="1:21" ht="45.75">
      <c r="A6" s="24"/>
      <c r="B6" s="33"/>
      <c r="C6" s="39"/>
      <c r="D6" s="177" t="s">
        <v>109</v>
      </c>
      <c r="E6" s="171" t="s">
        <v>110</v>
      </c>
      <c r="F6" s="91" t="s">
        <v>123</v>
      </c>
      <c r="G6" s="92" t="s">
        <v>124</v>
      </c>
      <c r="H6" s="93" t="s">
        <v>113</v>
      </c>
      <c r="I6" s="93" t="s">
        <v>114</v>
      </c>
      <c r="J6" s="179" t="s">
        <v>125</v>
      </c>
      <c r="K6" s="179"/>
      <c r="L6" s="179"/>
      <c r="M6" s="210" t="s">
        <v>126</v>
      </c>
      <c r="N6" s="210" t="s">
        <v>127</v>
      </c>
      <c r="O6" s="210" t="s">
        <v>128</v>
      </c>
      <c r="P6" s="212">
        <v>1</v>
      </c>
      <c r="Q6" s="213">
        <v>1</v>
      </c>
      <c r="R6" s="213">
        <v>40</v>
      </c>
      <c r="S6" s="210" t="s">
        <v>129</v>
      </c>
      <c r="T6" s="210" t="s">
        <v>122</v>
      </c>
      <c r="U6" s="210" t="s">
        <v>129</v>
      </c>
    </row>
    <row r="7" spans="1:21" ht="45.75">
      <c r="A7" s="24"/>
      <c r="B7" s="33"/>
      <c r="C7" s="39"/>
      <c r="D7" s="177" t="s">
        <v>109</v>
      </c>
      <c r="E7" s="171" t="s">
        <v>110</v>
      </c>
      <c r="F7" s="91" t="s">
        <v>130</v>
      </c>
      <c r="G7" s="92"/>
      <c r="H7" s="93"/>
      <c r="I7" s="93"/>
      <c r="J7" s="179" t="s">
        <v>125</v>
      </c>
      <c r="K7" s="179"/>
      <c r="L7" s="179"/>
      <c r="M7" s="210" t="s">
        <v>126</v>
      </c>
      <c r="N7" s="210" t="s">
        <v>127</v>
      </c>
      <c r="O7" s="210" t="s">
        <v>128</v>
      </c>
      <c r="P7" s="212">
        <v>1</v>
      </c>
      <c r="Q7" s="213">
        <v>1</v>
      </c>
      <c r="R7" s="213">
        <v>40</v>
      </c>
      <c r="S7" s="210" t="s">
        <v>129</v>
      </c>
      <c r="T7" s="210" t="s">
        <v>122</v>
      </c>
      <c r="U7" s="210" t="s">
        <v>129</v>
      </c>
    </row>
    <row r="8" spans="1:21" ht="45.75">
      <c r="A8" s="24"/>
      <c r="B8" s="33"/>
      <c r="C8" s="39"/>
      <c r="D8" s="180" t="s">
        <v>131</v>
      </c>
      <c r="E8" s="176" t="s">
        <v>132</v>
      </c>
      <c r="F8" s="93" t="s">
        <v>133</v>
      </c>
      <c r="G8" s="92" t="s">
        <v>134</v>
      </c>
      <c r="H8" s="93" t="s">
        <v>113</v>
      </c>
      <c r="I8" s="93" t="s">
        <v>135</v>
      </c>
      <c r="J8" s="179" t="s">
        <v>134</v>
      </c>
      <c r="K8" s="179"/>
      <c r="L8" s="179"/>
      <c r="M8" s="210" t="s">
        <v>126</v>
      </c>
      <c r="N8" s="210" t="s">
        <v>136</v>
      </c>
      <c r="O8" s="210" t="s">
        <v>137</v>
      </c>
      <c r="P8" s="212">
        <v>5</v>
      </c>
      <c r="Q8" s="210" t="s">
        <v>138</v>
      </c>
      <c r="R8" s="210">
        <v>80</v>
      </c>
      <c r="S8" s="210" t="s">
        <v>139</v>
      </c>
      <c r="T8" s="210" t="s">
        <v>122</v>
      </c>
      <c r="U8" s="210" t="s">
        <v>139</v>
      </c>
    </row>
    <row r="9" spans="1:21" ht="91.5">
      <c r="A9" s="24"/>
      <c r="B9" s="33"/>
      <c r="C9" s="39"/>
      <c r="D9" s="180" t="s">
        <v>131</v>
      </c>
      <c r="E9" s="176" t="s">
        <v>132</v>
      </c>
      <c r="F9" s="93" t="s">
        <v>140</v>
      </c>
      <c r="G9" s="92" t="s">
        <v>141</v>
      </c>
      <c r="H9" s="93" t="s">
        <v>113</v>
      </c>
      <c r="I9" s="93" t="s">
        <v>114</v>
      </c>
      <c r="J9" s="179" t="s">
        <v>142</v>
      </c>
      <c r="K9" s="179"/>
      <c r="L9" s="179"/>
      <c r="M9" s="210" t="s">
        <v>116</v>
      </c>
      <c r="N9" s="210" t="s">
        <v>143</v>
      </c>
      <c r="O9" s="211" t="s">
        <v>144</v>
      </c>
      <c r="P9" s="212">
        <v>4</v>
      </c>
      <c r="Q9" s="210">
        <v>10</v>
      </c>
      <c r="R9" s="210">
        <v>80</v>
      </c>
      <c r="S9" s="210" t="s">
        <v>121</v>
      </c>
      <c r="T9" s="210" t="s">
        <v>122</v>
      </c>
      <c r="U9" s="210" t="s">
        <v>121</v>
      </c>
    </row>
    <row r="10" spans="1:21" ht="91.5">
      <c r="A10" s="24"/>
      <c r="B10" s="33"/>
      <c r="C10" s="39"/>
      <c r="D10" s="180" t="s">
        <v>131</v>
      </c>
      <c r="E10" s="176" t="s">
        <v>132</v>
      </c>
      <c r="F10" s="93" t="s">
        <v>145</v>
      </c>
      <c r="G10" s="92" t="s">
        <v>146</v>
      </c>
      <c r="H10" s="93" t="s">
        <v>113</v>
      </c>
      <c r="I10" s="93" t="s">
        <v>114</v>
      </c>
      <c r="J10" s="179" t="s">
        <v>147</v>
      </c>
      <c r="K10" s="179"/>
      <c r="L10" s="179"/>
      <c r="M10" s="210" t="s">
        <v>148</v>
      </c>
      <c r="N10" s="210" t="s">
        <v>149</v>
      </c>
      <c r="O10" s="211" t="s">
        <v>150</v>
      </c>
      <c r="P10" s="212">
        <v>20</v>
      </c>
      <c r="Q10" s="210">
        <v>200</v>
      </c>
      <c r="R10" s="210">
        <v>400</v>
      </c>
      <c r="S10" s="210" t="s">
        <v>151</v>
      </c>
      <c r="T10" s="210" t="s">
        <v>122</v>
      </c>
      <c r="U10" s="210" t="s">
        <v>152</v>
      </c>
    </row>
    <row r="11" spans="1:21" ht="45.75">
      <c r="A11" s="24"/>
      <c r="B11" s="33"/>
      <c r="C11" s="39"/>
      <c r="D11" s="180" t="s">
        <v>131</v>
      </c>
      <c r="E11" s="176" t="s">
        <v>132</v>
      </c>
      <c r="F11" s="93" t="s">
        <v>153</v>
      </c>
      <c r="G11" s="92" t="s">
        <v>154</v>
      </c>
      <c r="H11" s="93" t="s">
        <v>155</v>
      </c>
      <c r="I11" s="93" t="s">
        <v>156</v>
      </c>
      <c r="J11" s="94"/>
      <c r="K11" s="95"/>
      <c r="L11" s="70"/>
      <c r="M11" s="96"/>
      <c r="N11" s="70"/>
      <c r="O11" s="98"/>
      <c r="P11" s="98"/>
      <c r="Q11" s="98"/>
      <c r="R11" s="98"/>
      <c r="S11" s="98"/>
      <c r="T11" s="98"/>
      <c r="U11" s="98"/>
    </row>
    <row r="12" spans="1:21" ht="45.75">
      <c r="A12" s="24"/>
      <c r="B12" s="33"/>
      <c r="C12" s="39"/>
      <c r="D12" s="180" t="s">
        <v>131</v>
      </c>
      <c r="E12" s="176" t="s">
        <v>132</v>
      </c>
      <c r="F12" s="93" t="s">
        <v>157</v>
      </c>
      <c r="G12" s="92"/>
      <c r="H12" s="93"/>
      <c r="I12" s="93"/>
      <c r="J12" s="179" t="s">
        <v>158</v>
      </c>
      <c r="K12" s="179"/>
      <c r="L12" s="179"/>
      <c r="M12" s="210" t="s">
        <v>126</v>
      </c>
      <c r="N12" s="210" t="s">
        <v>159</v>
      </c>
      <c r="O12" s="210" t="s">
        <v>160</v>
      </c>
      <c r="P12" s="212">
        <v>1</v>
      </c>
      <c r="Q12" s="210">
        <v>4</v>
      </c>
      <c r="R12" s="210">
        <v>80</v>
      </c>
      <c r="S12" s="210" t="s">
        <v>121</v>
      </c>
      <c r="T12" s="210" t="s">
        <v>122</v>
      </c>
      <c r="U12" s="210" t="s">
        <v>121</v>
      </c>
    </row>
    <row r="13" spans="1:21" ht="60.75">
      <c r="A13" s="24"/>
      <c r="B13" s="33"/>
      <c r="C13" s="39"/>
      <c r="D13" s="180" t="s">
        <v>131</v>
      </c>
      <c r="E13" s="176" t="s">
        <v>132</v>
      </c>
      <c r="F13" s="93" t="s">
        <v>161</v>
      </c>
      <c r="G13" s="92"/>
      <c r="H13" s="93"/>
      <c r="I13" s="93"/>
      <c r="J13" s="179" t="s">
        <v>162</v>
      </c>
      <c r="K13" s="179"/>
      <c r="L13" s="179"/>
      <c r="M13" s="210" t="s">
        <v>148</v>
      </c>
      <c r="N13" s="210" t="s">
        <v>163</v>
      </c>
      <c r="O13" s="210" t="s">
        <v>164</v>
      </c>
      <c r="P13" s="212">
        <v>41</v>
      </c>
      <c r="Q13" s="210">
        <v>100</v>
      </c>
      <c r="R13" s="210">
        <v>1000</v>
      </c>
      <c r="S13" s="210" t="s">
        <v>165</v>
      </c>
      <c r="T13" s="210" t="s">
        <v>122</v>
      </c>
      <c r="U13" s="210" t="s">
        <v>165</v>
      </c>
    </row>
    <row r="14" spans="1:21" ht="45.75">
      <c r="A14" s="24"/>
      <c r="B14" s="33"/>
      <c r="C14" s="39"/>
      <c r="D14" s="178" t="s">
        <v>166</v>
      </c>
      <c r="E14" s="78" t="s">
        <v>167</v>
      </c>
      <c r="F14" s="91" t="s">
        <v>168</v>
      </c>
      <c r="G14" s="92" t="s">
        <v>169</v>
      </c>
      <c r="H14" s="93" t="s">
        <v>113</v>
      </c>
      <c r="I14" s="93" t="s">
        <v>114</v>
      </c>
      <c r="J14" s="94"/>
      <c r="K14" s="95"/>
      <c r="L14" s="70"/>
      <c r="M14" s="96"/>
      <c r="N14" s="70"/>
      <c r="O14" s="98"/>
      <c r="P14" s="98"/>
      <c r="Q14" s="98"/>
      <c r="R14" s="98"/>
      <c r="S14" s="98"/>
      <c r="T14" s="98"/>
      <c r="U14" s="98"/>
    </row>
    <row r="15" spans="1:21" ht="45.75">
      <c r="A15" s="24"/>
      <c r="B15" s="33"/>
      <c r="C15" s="39"/>
      <c r="D15" s="178" t="s">
        <v>166</v>
      </c>
      <c r="E15" s="78" t="s">
        <v>167</v>
      </c>
      <c r="F15" s="91" t="s">
        <v>170</v>
      </c>
      <c r="G15" s="92" t="s">
        <v>171</v>
      </c>
      <c r="H15" s="93" t="s">
        <v>155</v>
      </c>
      <c r="I15" s="93" t="s">
        <v>156</v>
      </c>
      <c r="J15" s="94"/>
      <c r="K15" s="95"/>
      <c r="L15" s="70"/>
      <c r="M15" s="96"/>
      <c r="N15" s="70"/>
      <c r="O15" s="98"/>
      <c r="P15" s="98"/>
      <c r="Q15" s="98"/>
      <c r="R15" s="98"/>
      <c r="S15" s="98"/>
      <c r="T15" s="98"/>
      <c r="U15" s="98"/>
    </row>
    <row r="16" spans="1:21" ht="45.75">
      <c r="A16" s="24"/>
      <c r="B16" s="33"/>
      <c r="C16" s="39"/>
      <c r="D16" s="178" t="s">
        <v>166</v>
      </c>
      <c r="E16" s="78" t="s">
        <v>167</v>
      </c>
      <c r="F16" s="91" t="s">
        <v>172</v>
      </c>
      <c r="G16" s="92" t="s">
        <v>173</v>
      </c>
      <c r="H16" s="93" t="s">
        <v>155</v>
      </c>
      <c r="I16" s="93" t="s">
        <v>156</v>
      </c>
      <c r="J16" s="94"/>
      <c r="K16" s="95"/>
      <c r="L16" s="70"/>
      <c r="M16" s="96"/>
      <c r="N16" s="70"/>
      <c r="O16" s="98"/>
      <c r="P16" s="98"/>
      <c r="Q16" s="98"/>
      <c r="R16" s="98"/>
      <c r="S16" s="98"/>
      <c r="T16" s="98"/>
      <c r="U16" s="98"/>
    </row>
    <row r="17" spans="1:21" ht="45.75">
      <c r="A17" s="24"/>
      <c r="B17" s="33"/>
      <c r="C17" s="39"/>
      <c r="D17" s="178" t="s">
        <v>166</v>
      </c>
      <c r="E17" s="78" t="s">
        <v>167</v>
      </c>
      <c r="F17" s="91" t="s">
        <v>174</v>
      </c>
      <c r="G17" s="92" t="s">
        <v>175</v>
      </c>
      <c r="H17" s="93" t="s">
        <v>155</v>
      </c>
      <c r="I17" s="93" t="s">
        <v>156</v>
      </c>
      <c r="J17" s="94"/>
      <c r="K17" s="95"/>
      <c r="L17" s="70"/>
      <c r="M17" s="96"/>
      <c r="N17" s="70"/>
      <c r="O17" s="98"/>
      <c r="P17" s="98"/>
      <c r="Q17" s="98"/>
      <c r="R17" s="98"/>
      <c r="S17" s="98"/>
      <c r="T17" s="98"/>
      <c r="U17" s="98"/>
    </row>
    <row r="18" spans="1:21" ht="60.75">
      <c r="A18" s="24"/>
      <c r="B18" s="33"/>
      <c r="C18" s="39"/>
      <c r="D18" s="178" t="s">
        <v>166</v>
      </c>
      <c r="E18" s="78" t="s">
        <v>167</v>
      </c>
      <c r="F18" s="91" t="s">
        <v>176</v>
      </c>
      <c r="G18" s="92" t="s">
        <v>177</v>
      </c>
      <c r="H18" s="93" t="s">
        <v>155</v>
      </c>
      <c r="I18" s="93" t="s">
        <v>156</v>
      </c>
      <c r="J18" s="179" t="s">
        <v>178</v>
      </c>
      <c r="K18" s="179"/>
      <c r="L18" s="179"/>
      <c r="M18" s="214" t="s">
        <v>126</v>
      </c>
      <c r="N18" s="214" t="s">
        <v>179</v>
      </c>
      <c r="O18" s="214" t="s">
        <v>180</v>
      </c>
      <c r="P18" s="214">
        <v>20</v>
      </c>
      <c r="Q18" s="214">
        <v>35</v>
      </c>
      <c r="R18" s="214">
        <v>400</v>
      </c>
      <c r="S18" s="214" t="s">
        <v>181</v>
      </c>
      <c r="T18" s="214" t="s">
        <v>182</v>
      </c>
      <c r="U18" s="214" t="s">
        <v>181</v>
      </c>
    </row>
    <row r="19" spans="1:21" ht="45.75">
      <c r="A19" s="24"/>
      <c r="B19" s="33"/>
      <c r="C19" s="39"/>
      <c r="D19" s="178" t="s">
        <v>166</v>
      </c>
      <c r="E19" s="78" t="s">
        <v>167</v>
      </c>
      <c r="F19" s="91" t="s">
        <v>183</v>
      </c>
      <c r="G19" s="92" t="s">
        <v>184</v>
      </c>
      <c r="H19" s="93" t="s">
        <v>155</v>
      </c>
      <c r="I19" s="93" t="s">
        <v>156</v>
      </c>
      <c r="J19" s="94"/>
      <c r="K19" s="95"/>
      <c r="L19" s="70"/>
      <c r="M19" s="96"/>
      <c r="N19" s="70"/>
      <c r="O19" s="98"/>
      <c r="P19" s="98"/>
      <c r="Q19" s="98"/>
      <c r="R19" s="98"/>
      <c r="S19" s="98"/>
      <c r="T19" s="98"/>
      <c r="U19" s="98"/>
    </row>
    <row r="20" spans="1:21" ht="76.5">
      <c r="A20" s="24"/>
      <c r="B20" s="33"/>
      <c r="C20" s="39"/>
      <c r="D20" s="178" t="s">
        <v>166</v>
      </c>
      <c r="E20" s="78" t="s">
        <v>167</v>
      </c>
      <c r="F20" s="91" t="s">
        <v>185</v>
      </c>
      <c r="G20" s="92"/>
      <c r="H20" s="93"/>
      <c r="I20" s="93"/>
      <c r="J20" s="215" t="s">
        <v>186</v>
      </c>
      <c r="K20" s="215"/>
      <c r="L20" s="215"/>
      <c r="M20" s="210" t="s">
        <v>126</v>
      </c>
      <c r="N20" s="210" t="s">
        <v>187</v>
      </c>
      <c r="O20" s="210" t="s">
        <v>188</v>
      </c>
      <c r="P20" s="212">
        <v>6</v>
      </c>
      <c r="Q20" s="210">
        <v>8</v>
      </c>
      <c r="R20" s="210">
        <v>1000</v>
      </c>
      <c r="S20" s="210" t="s">
        <v>181</v>
      </c>
      <c r="T20" s="210" t="s">
        <v>182</v>
      </c>
      <c r="U20" s="210" t="s">
        <v>181</v>
      </c>
    </row>
    <row r="21" spans="1:21" ht="30.75">
      <c r="A21" s="24"/>
      <c r="B21" s="33"/>
      <c r="C21" s="39"/>
      <c r="D21" s="277" t="s">
        <v>189</v>
      </c>
      <c r="E21" s="278" t="s">
        <v>190</v>
      </c>
      <c r="F21" s="91" t="s">
        <v>191</v>
      </c>
      <c r="G21" s="92" t="s">
        <v>192</v>
      </c>
      <c r="H21" s="93" t="s">
        <v>113</v>
      </c>
      <c r="I21" s="93" t="s">
        <v>156</v>
      </c>
      <c r="J21" s="94"/>
      <c r="K21" s="95"/>
      <c r="L21" s="70"/>
      <c r="M21" s="96"/>
      <c r="N21" s="70"/>
      <c r="O21" s="98"/>
      <c r="P21" s="98"/>
      <c r="Q21" s="98"/>
      <c r="R21" s="98"/>
      <c r="S21" s="98"/>
      <c r="T21" s="98"/>
      <c r="U21" s="98"/>
    </row>
    <row r="22" spans="1:21" ht="30.75">
      <c r="A22" s="24"/>
      <c r="B22" s="33"/>
      <c r="C22" s="39"/>
      <c r="D22" s="277"/>
      <c r="E22" s="278"/>
      <c r="F22" s="91" t="s">
        <v>193</v>
      </c>
      <c r="G22" s="92" t="s">
        <v>194</v>
      </c>
      <c r="H22" s="93" t="s">
        <v>113</v>
      </c>
      <c r="I22" s="93" t="s">
        <v>156</v>
      </c>
      <c r="J22" s="94"/>
      <c r="K22" s="95"/>
      <c r="L22" s="70"/>
      <c r="M22" s="96"/>
      <c r="N22" s="70"/>
      <c r="O22" s="98"/>
      <c r="P22" s="98"/>
      <c r="Q22" s="98"/>
      <c r="R22" s="98"/>
      <c r="S22" s="98"/>
      <c r="T22" s="98"/>
      <c r="U22" s="98"/>
    </row>
    <row r="23" spans="1:21" ht="91.5">
      <c r="A23" s="24"/>
      <c r="B23" s="34"/>
      <c r="C23" s="40"/>
      <c r="D23" s="277"/>
      <c r="E23" s="278"/>
      <c r="F23" s="91" t="s">
        <v>195</v>
      </c>
      <c r="G23" s="92" t="s">
        <v>196</v>
      </c>
      <c r="H23" s="93" t="s">
        <v>155</v>
      </c>
      <c r="I23" s="93" t="s">
        <v>156</v>
      </c>
      <c r="J23" s="179" t="s">
        <v>197</v>
      </c>
      <c r="K23" s="179"/>
      <c r="L23" s="179"/>
      <c r="M23" s="210" t="s">
        <v>126</v>
      </c>
      <c r="N23" s="210" t="s">
        <v>198</v>
      </c>
      <c r="O23" s="210" t="s">
        <v>199</v>
      </c>
      <c r="P23" s="212">
        <v>1</v>
      </c>
      <c r="Q23" s="210">
        <v>2</v>
      </c>
      <c r="R23" s="210">
        <v>40</v>
      </c>
      <c r="S23" s="210" t="s">
        <v>181</v>
      </c>
      <c r="T23" s="210" t="s">
        <v>182</v>
      </c>
      <c r="U23" s="210" t="s">
        <v>181</v>
      </c>
    </row>
    <row r="24" spans="1:21" ht="30.75">
      <c r="A24" s="24"/>
      <c r="B24" s="274">
        <v>2</v>
      </c>
      <c r="C24" s="268" t="s">
        <v>200</v>
      </c>
      <c r="D24" s="180" t="s">
        <v>201</v>
      </c>
      <c r="E24" s="176" t="s">
        <v>202</v>
      </c>
      <c r="F24" s="91" t="s">
        <v>203</v>
      </c>
      <c r="G24" s="92" t="s">
        <v>204</v>
      </c>
      <c r="H24" s="93" t="s">
        <v>113</v>
      </c>
      <c r="I24" s="93" t="s">
        <v>114</v>
      </c>
      <c r="J24" s="94"/>
      <c r="K24" s="95"/>
      <c r="L24" s="70"/>
      <c r="M24" s="96"/>
      <c r="N24" s="70"/>
      <c r="O24" s="98"/>
      <c r="P24" s="98"/>
      <c r="Q24" s="98"/>
      <c r="R24" s="98"/>
      <c r="S24" s="98"/>
      <c r="T24" s="98"/>
      <c r="U24" s="98"/>
    </row>
    <row r="25" spans="1:21" ht="45.75">
      <c r="A25" s="24"/>
      <c r="B25" s="275"/>
      <c r="C25" s="269"/>
      <c r="D25" s="180" t="s">
        <v>201</v>
      </c>
      <c r="E25" s="176" t="s">
        <v>202</v>
      </c>
      <c r="F25" s="91" t="s">
        <v>205</v>
      </c>
      <c r="G25" s="92" t="s">
        <v>206</v>
      </c>
      <c r="H25" s="93" t="s">
        <v>113</v>
      </c>
      <c r="I25" s="93" t="s">
        <v>135</v>
      </c>
      <c r="J25" s="179" t="s">
        <v>207</v>
      </c>
      <c r="K25" s="179"/>
      <c r="L25" s="179"/>
      <c r="M25" s="210" t="s">
        <v>126</v>
      </c>
      <c r="N25" s="210" t="s">
        <v>208</v>
      </c>
      <c r="O25" s="211" t="s">
        <v>209</v>
      </c>
      <c r="P25" s="212">
        <v>1</v>
      </c>
      <c r="Q25" s="210">
        <v>1</v>
      </c>
      <c r="R25" s="210">
        <v>80</v>
      </c>
      <c r="S25" s="210" t="s">
        <v>152</v>
      </c>
      <c r="T25" s="210" t="s">
        <v>182</v>
      </c>
      <c r="U25" s="210" t="s">
        <v>152</v>
      </c>
    </row>
    <row r="26" spans="1:21" ht="45.75">
      <c r="A26" s="24"/>
      <c r="B26" s="275"/>
      <c r="C26" s="269"/>
      <c r="D26" s="180" t="s">
        <v>201</v>
      </c>
      <c r="E26" s="176" t="s">
        <v>202</v>
      </c>
      <c r="F26" s="91" t="s">
        <v>210</v>
      </c>
      <c r="G26" s="92" t="s">
        <v>211</v>
      </c>
      <c r="H26" s="93" t="s">
        <v>155</v>
      </c>
      <c r="I26" s="93" t="s">
        <v>156</v>
      </c>
      <c r="J26" s="94"/>
      <c r="K26" s="95"/>
      <c r="L26" s="70"/>
      <c r="M26" s="96"/>
      <c r="N26" s="70"/>
      <c r="O26" s="98"/>
      <c r="P26" s="98"/>
      <c r="Q26" s="98"/>
      <c r="R26" s="98"/>
      <c r="S26" s="98"/>
      <c r="T26" s="98"/>
      <c r="U26" s="98"/>
    </row>
    <row r="27" spans="1:21" ht="45.75">
      <c r="A27" s="24"/>
      <c r="B27" s="275"/>
      <c r="C27" s="269"/>
      <c r="D27" s="180" t="s">
        <v>201</v>
      </c>
      <c r="E27" s="176" t="s">
        <v>202</v>
      </c>
      <c r="F27" s="91" t="s">
        <v>212</v>
      </c>
      <c r="G27" s="92" t="s">
        <v>213</v>
      </c>
      <c r="H27" s="93" t="s">
        <v>155</v>
      </c>
      <c r="I27" s="93" t="s">
        <v>214</v>
      </c>
      <c r="J27" s="179" t="s">
        <v>213</v>
      </c>
      <c r="K27" s="179"/>
      <c r="L27" s="179"/>
      <c r="M27" s="210" t="s">
        <v>126</v>
      </c>
      <c r="N27" s="210" t="s">
        <v>215</v>
      </c>
      <c r="O27" s="210" t="s">
        <v>216</v>
      </c>
      <c r="P27" s="212">
        <v>4</v>
      </c>
      <c r="Q27" s="210">
        <v>10</v>
      </c>
      <c r="R27" s="210">
        <v>80</v>
      </c>
      <c r="S27" s="210" t="s">
        <v>181</v>
      </c>
      <c r="T27" s="210" t="s">
        <v>182</v>
      </c>
      <c r="U27" s="210" t="s">
        <v>181</v>
      </c>
    </row>
    <row r="28" spans="1:21" ht="45.75">
      <c r="A28" s="24"/>
      <c r="B28" s="275"/>
      <c r="C28" s="269"/>
      <c r="D28" s="180" t="s">
        <v>201</v>
      </c>
      <c r="E28" s="176" t="s">
        <v>202</v>
      </c>
      <c r="F28" s="91" t="s">
        <v>217</v>
      </c>
      <c r="G28" s="92"/>
      <c r="H28" s="93"/>
      <c r="I28" s="93"/>
      <c r="J28" s="179" t="s">
        <v>218</v>
      </c>
      <c r="K28" s="179"/>
      <c r="L28" s="179"/>
      <c r="M28" s="210" t="s">
        <v>126</v>
      </c>
      <c r="N28" s="210" t="s">
        <v>219</v>
      </c>
      <c r="O28" s="211" t="s">
        <v>220</v>
      </c>
      <c r="P28" s="212">
        <v>4</v>
      </c>
      <c r="Q28" s="210">
        <v>8</v>
      </c>
      <c r="R28" s="210">
        <v>40</v>
      </c>
      <c r="S28" s="210" t="s">
        <v>151</v>
      </c>
      <c r="T28" s="210" t="s">
        <v>182</v>
      </c>
      <c r="U28" s="210" t="s">
        <v>152</v>
      </c>
    </row>
    <row r="29" spans="1:21" ht="29.1" customHeight="1">
      <c r="A29" s="24"/>
      <c r="B29" s="275"/>
      <c r="C29" s="269"/>
      <c r="D29" s="178" t="s">
        <v>221</v>
      </c>
      <c r="E29" s="78" t="s">
        <v>222</v>
      </c>
      <c r="F29" s="91" t="s">
        <v>223</v>
      </c>
      <c r="G29" s="92" t="s">
        <v>224</v>
      </c>
      <c r="H29" s="93" t="s">
        <v>113</v>
      </c>
      <c r="I29" s="93" t="s">
        <v>114</v>
      </c>
      <c r="J29" s="179" t="s">
        <v>225</v>
      </c>
      <c r="K29" s="179"/>
      <c r="L29" s="179"/>
      <c r="M29" s="210" t="s">
        <v>116</v>
      </c>
      <c r="N29" s="210" t="s">
        <v>226</v>
      </c>
      <c r="O29" s="210" t="s">
        <v>227</v>
      </c>
      <c r="P29" s="212">
        <v>1</v>
      </c>
      <c r="Q29" s="210">
        <v>1</v>
      </c>
      <c r="R29" s="210">
        <v>40</v>
      </c>
      <c r="S29" s="210" t="s">
        <v>181</v>
      </c>
      <c r="T29" s="210" t="s">
        <v>182</v>
      </c>
      <c r="U29" s="210" t="s">
        <v>181</v>
      </c>
    </row>
    <row r="30" spans="1:21" ht="45.75">
      <c r="A30" s="24"/>
      <c r="B30" s="275"/>
      <c r="C30" s="269"/>
      <c r="D30" s="178" t="s">
        <v>221</v>
      </c>
      <c r="E30" s="78" t="s">
        <v>222</v>
      </c>
      <c r="F30" s="91" t="s">
        <v>228</v>
      </c>
      <c r="G30" s="92" t="s">
        <v>229</v>
      </c>
      <c r="H30" s="93" t="s">
        <v>155</v>
      </c>
      <c r="I30" s="93" t="s">
        <v>156</v>
      </c>
      <c r="J30" s="179" t="s">
        <v>229</v>
      </c>
      <c r="K30" s="179"/>
      <c r="L30" s="179"/>
      <c r="M30" s="210" t="s">
        <v>116</v>
      </c>
      <c r="N30" s="210" t="s">
        <v>230</v>
      </c>
      <c r="O30" s="210" t="s">
        <v>231</v>
      </c>
      <c r="P30" s="212">
        <v>1</v>
      </c>
      <c r="Q30" s="210">
        <v>1</v>
      </c>
      <c r="R30" s="210">
        <v>80</v>
      </c>
      <c r="S30" s="210" t="s">
        <v>181</v>
      </c>
      <c r="T30" s="210" t="s">
        <v>182</v>
      </c>
      <c r="U30" s="210" t="s">
        <v>181</v>
      </c>
    </row>
    <row r="31" spans="1:21" ht="45.75">
      <c r="A31" s="24"/>
      <c r="B31" s="275"/>
      <c r="C31" s="269"/>
      <c r="D31" s="178" t="s">
        <v>221</v>
      </c>
      <c r="E31" s="78" t="s">
        <v>222</v>
      </c>
      <c r="F31" s="91" t="s">
        <v>232</v>
      </c>
      <c r="G31" s="92" t="s">
        <v>233</v>
      </c>
      <c r="H31" s="93" t="s">
        <v>113</v>
      </c>
      <c r="I31" s="93" t="s">
        <v>114</v>
      </c>
      <c r="J31" s="179" t="s">
        <v>234</v>
      </c>
      <c r="K31" s="179"/>
      <c r="L31" s="179"/>
      <c r="M31" s="210" t="s">
        <v>148</v>
      </c>
      <c r="N31" s="210" t="s">
        <v>235</v>
      </c>
      <c r="O31" s="210" t="s">
        <v>236</v>
      </c>
      <c r="P31" s="212">
        <v>4</v>
      </c>
      <c r="Q31" s="210">
        <v>8</v>
      </c>
      <c r="R31" s="210">
        <v>40</v>
      </c>
      <c r="S31" s="210" t="s">
        <v>181</v>
      </c>
      <c r="T31" s="210" t="s">
        <v>182</v>
      </c>
      <c r="U31" s="210" t="s">
        <v>237</v>
      </c>
    </row>
    <row r="32" spans="1:21" ht="45.75">
      <c r="A32" s="24"/>
      <c r="B32" s="274">
        <v>3</v>
      </c>
      <c r="C32" s="268" t="s">
        <v>238</v>
      </c>
      <c r="D32" s="178" t="s">
        <v>239</v>
      </c>
      <c r="E32" s="78" t="s">
        <v>240</v>
      </c>
      <c r="F32" s="91" t="s">
        <v>241</v>
      </c>
      <c r="G32" s="92" t="s">
        <v>242</v>
      </c>
      <c r="H32" s="93" t="s">
        <v>113</v>
      </c>
      <c r="I32" s="93" t="s">
        <v>135</v>
      </c>
      <c r="J32" s="94"/>
      <c r="K32" s="95"/>
      <c r="L32" s="99"/>
      <c r="M32" s="96"/>
      <c r="N32" s="70"/>
      <c r="O32" s="98"/>
      <c r="P32" s="98"/>
      <c r="Q32" s="98"/>
      <c r="R32" s="98"/>
      <c r="S32" s="98"/>
      <c r="T32" s="98"/>
      <c r="U32" s="98"/>
    </row>
    <row r="33" spans="1:21" ht="60.75">
      <c r="A33" s="24"/>
      <c r="B33" s="275"/>
      <c r="C33" s="269"/>
      <c r="D33" s="178" t="s">
        <v>239</v>
      </c>
      <c r="E33" s="78" t="s">
        <v>240</v>
      </c>
      <c r="F33" s="91" t="s">
        <v>243</v>
      </c>
      <c r="G33" s="92" t="s">
        <v>244</v>
      </c>
      <c r="H33" s="93" t="s">
        <v>113</v>
      </c>
      <c r="I33" s="93" t="s">
        <v>135</v>
      </c>
      <c r="J33" s="94"/>
      <c r="K33" s="95"/>
      <c r="L33" s="70"/>
      <c r="M33" s="96"/>
      <c r="N33" s="70"/>
      <c r="O33" s="98"/>
      <c r="P33" s="98"/>
      <c r="Q33" s="98"/>
      <c r="R33" s="98"/>
      <c r="S33" s="98"/>
      <c r="T33" s="98"/>
      <c r="U33" s="98"/>
    </row>
    <row r="34" spans="1:21" ht="60.75">
      <c r="A34" s="24"/>
      <c r="B34" s="275"/>
      <c r="C34" s="269"/>
      <c r="D34" s="178" t="s">
        <v>239</v>
      </c>
      <c r="E34" s="78" t="s">
        <v>240</v>
      </c>
      <c r="F34" s="91" t="s">
        <v>245</v>
      </c>
      <c r="G34" s="92" t="s">
        <v>246</v>
      </c>
      <c r="H34" s="93" t="s">
        <v>113</v>
      </c>
      <c r="I34" s="93" t="s">
        <v>156</v>
      </c>
      <c r="J34" s="94"/>
      <c r="K34" s="95"/>
      <c r="L34" s="70"/>
      <c r="M34" s="96"/>
      <c r="N34" s="70"/>
      <c r="O34" s="98"/>
      <c r="P34" s="98"/>
      <c r="Q34" s="98"/>
      <c r="R34" s="98"/>
      <c r="S34" s="98"/>
      <c r="T34" s="98"/>
      <c r="U34" s="98"/>
    </row>
    <row r="35" spans="1:21" ht="76.5">
      <c r="A35" s="24"/>
      <c r="B35" s="275"/>
      <c r="C35" s="269"/>
      <c r="D35" s="178" t="s">
        <v>239</v>
      </c>
      <c r="E35" s="78" t="s">
        <v>240</v>
      </c>
      <c r="F35" s="91" t="s">
        <v>247</v>
      </c>
      <c r="G35" s="92"/>
      <c r="H35" s="93"/>
      <c r="I35" s="93"/>
      <c r="J35" s="179" t="s">
        <v>248</v>
      </c>
      <c r="K35" s="179"/>
      <c r="L35" s="179"/>
      <c r="M35" s="210" t="s">
        <v>148</v>
      </c>
      <c r="N35" s="179" t="s">
        <v>249</v>
      </c>
      <c r="O35" s="210" t="s">
        <v>250</v>
      </c>
      <c r="P35" s="212">
        <v>90</v>
      </c>
      <c r="Q35" s="212">
        <v>100</v>
      </c>
      <c r="R35" s="210">
        <v>1000</v>
      </c>
      <c r="S35" s="210" t="s">
        <v>181</v>
      </c>
      <c r="T35" s="210" t="s">
        <v>182</v>
      </c>
      <c r="U35" s="210" t="s">
        <v>181</v>
      </c>
    </row>
    <row r="36" spans="1:21" ht="76.5">
      <c r="A36" s="24"/>
      <c r="B36" s="275"/>
      <c r="C36" s="269"/>
      <c r="D36" s="178" t="s">
        <v>239</v>
      </c>
      <c r="E36" s="78" t="s">
        <v>240</v>
      </c>
      <c r="F36" s="91" t="s">
        <v>251</v>
      </c>
      <c r="G36" s="92"/>
      <c r="H36" s="93"/>
      <c r="I36" s="93"/>
      <c r="J36" s="179" t="s">
        <v>252</v>
      </c>
      <c r="K36" s="179"/>
      <c r="L36" s="179"/>
      <c r="M36" s="210" t="s">
        <v>116</v>
      </c>
      <c r="N36" s="179" t="s">
        <v>253</v>
      </c>
      <c r="O36" s="210" t="s">
        <v>254</v>
      </c>
      <c r="P36" s="216">
        <v>30</v>
      </c>
      <c r="Q36" s="210">
        <v>7</v>
      </c>
      <c r="R36" s="210">
        <v>80</v>
      </c>
      <c r="S36" s="210" t="s">
        <v>165</v>
      </c>
      <c r="T36" s="210" t="s">
        <v>122</v>
      </c>
      <c r="U36" s="210" t="s">
        <v>165</v>
      </c>
    </row>
    <row r="37" spans="1:21" ht="60.75">
      <c r="A37" s="24"/>
      <c r="B37" s="275"/>
      <c r="C37" s="269"/>
      <c r="D37" s="12" t="s">
        <v>255</v>
      </c>
      <c r="E37" s="78" t="s">
        <v>256</v>
      </c>
      <c r="F37" s="91" t="s">
        <v>257</v>
      </c>
      <c r="G37" s="92" t="s">
        <v>258</v>
      </c>
      <c r="H37" s="93" t="s">
        <v>113</v>
      </c>
      <c r="I37" s="91" t="s">
        <v>135</v>
      </c>
      <c r="J37" s="179" t="s">
        <v>259</v>
      </c>
      <c r="K37" s="179"/>
      <c r="L37" s="179"/>
      <c r="M37" s="210" t="s">
        <v>148</v>
      </c>
      <c r="N37" s="210" t="s">
        <v>260</v>
      </c>
      <c r="O37" s="212" t="s">
        <v>261</v>
      </c>
      <c r="P37" s="212">
        <v>1</v>
      </c>
      <c r="Q37" s="210">
        <v>1</v>
      </c>
      <c r="R37" s="213">
        <v>1600</v>
      </c>
      <c r="S37" s="210" t="s">
        <v>262</v>
      </c>
      <c r="T37" s="210" t="s">
        <v>263</v>
      </c>
      <c r="U37" s="210" t="s">
        <v>237</v>
      </c>
    </row>
    <row r="38" spans="1:21" ht="60.75">
      <c r="A38" s="24"/>
      <c r="B38" s="275"/>
      <c r="C38" s="269"/>
      <c r="D38" s="12" t="s">
        <v>255</v>
      </c>
      <c r="E38" s="78" t="s">
        <v>256</v>
      </c>
      <c r="F38" s="91" t="s">
        <v>257</v>
      </c>
      <c r="G38" s="92" t="s">
        <v>258</v>
      </c>
      <c r="H38" s="93" t="s">
        <v>113</v>
      </c>
      <c r="I38" s="91" t="s">
        <v>135</v>
      </c>
      <c r="J38" s="179" t="s">
        <v>259</v>
      </c>
      <c r="K38" s="179"/>
      <c r="L38" s="179"/>
      <c r="M38" s="210" t="s">
        <v>116</v>
      </c>
      <c r="N38" s="210" t="s">
        <v>264</v>
      </c>
      <c r="O38" s="212" t="s">
        <v>265</v>
      </c>
      <c r="P38" s="212">
        <v>2</v>
      </c>
      <c r="Q38" s="210">
        <v>2</v>
      </c>
      <c r="R38" s="210">
        <v>40</v>
      </c>
      <c r="S38" s="210" t="s">
        <v>237</v>
      </c>
      <c r="T38" s="210" t="s">
        <v>263</v>
      </c>
      <c r="U38" s="210" t="s">
        <v>237</v>
      </c>
    </row>
    <row r="39" spans="1:21" ht="60.75">
      <c r="A39" s="24"/>
      <c r="B39" s="275"/>
      <c r="C39" s="269"/>
      <c r="D39" s="12" t="s">
        <v>255</v>
      </c>
      <c r="E39" s="78" t="s">
        <v>256</v>
      </c>
      <c r="F39" s="91" t="s">
        <v>266</v>
      </c>
      <c r="G39" s="92"/>
      <c r="H39" s="93"/>
      <c r="I39" s="91"/>
      <c r="J39" s="179" t="s">
        <v>267</v>
      </c>
      <c r="K39" s="179"/>
      <c r="L39" s="179"/>
      <c r="M39" s="210" t="s">
        <v>268</v>
      </c>
      <c r="N39" s="210" t="s">
        <v>269</v>
      </c>
      <c r="O39" s="213" t="s">
        <v>270</v>
      </c>
      <c r="P39" s="212">
        <v>1</v>
      </c>
      <c r="Q39" s="210">
        <v>1</v>
      </c>
      <c r="R39" s="213">
        <v>400</v>
      </c>
      <c r="S39" s="210" t="s">
        <v>237</v>
      </c>
      <c r="T39" s="210" t="s">
        <v>263</v>
      </c>
      <c r="U39" s="210" t="s">
        <v>181</v>
      </c>
    </row>
    <row r="40" spans="1:21" ht="45.75">
      <c r="A40" s="24"/>
      <c r="B40" s="275"/>
      <c r="C40" s="269"/>
      <c r="D40" s="178" t="s">
        <v>271</v>
      </c>
      <c r="E40" s="78" t="s">
        <v>272</v>
      </c>
      <c r="F40" s="91" t="s">
        <v>273</v>
      </c>
      <c r="G40" s="92" t="s">
        <v>274</v>
      </c>
      <c r="H40" s="93" t="s">
        <v>155</v>
      </c>
      <c r="I40" s="93" t="s">
        <v>214</v>
      </c>
      <c r="J40" s="94"/>
      <c r="K40" s="95"/>
      <c r="L40" s="70"/>
      <c r="M40" s="96"/>
      <c r="N40" s="70"/>
      <c r="O40" s="98"/>
      <c r="P40" s="98"/>
      <c r="Q40" s="98"/>
      <c r="R40" s="98"/>
      <c r="S40" s="98"/>
      <c r="T40" s="98"/>
      <c r="U40" s="98"/>
    </row>
    <row r="41" spans="1:21" ht="45.75">
      <c r="A41" s="24"/>
      <c r="B41" s="275"/>
      <c r="C41" s="269"/>
      <c r="D41" s="178" t="s">
        <v>271</v>
      </c>
      <c r="E41" s="78" t="s">
        <v>272</v>
      </c>
      <c r="F41" s="91" t="s">
        <v>275</v>
      </c>
      <c r="G41" s="92" t="s">
        <v>276</v>
      </c>
      <c r="H41" s="93" t="s">
        <v>155</v>
      </c>
      <c r="I41" s="93" t="s">
        <v>156</v>
      </c>
      <c r="J41" s="94"/>
      <c r="K41" s="95"/>
      <c r="L41" s="70"/>
      <c r="M41" s="96"/>
      <c r="N41" s="70"/>
      <c r="O41" s="98"/>
      <c r="P41" s="98"/>
      <c r="Q41" s="98"/>
      <c r="R41" s="98"/>
      <c r="S41" s="98"/>
      <c r="T41" s="98"/>
      <c r="U41" s="98"/>
    </row>
    <row r="42" spans="1:21" ht="45.75">
      <c r="A42" s="24"/>
      <c r="B42" s="275"/>
      <c r="C42" s="269"/>
      <c r="D42" s="178" t="s">
        <v>271</v>
      </c>
      <c r="E42" s="78" t="s">
        <v>272</v>
      </c>
      <c r="F42" s="91" t="s">
        <v>277</v>
      </c>
      <c r="G42" s="92" t="s">
        <v>278</v>
      </c>
      <c r="H42" s="93" t="s">
        <v>155</v>
      </c>
      <c r="I42" s="93" t="s">
        <v>156</v>
      </c>
      <c r="J42" s="94"/>
      <c r="K42" s="95"/>
      <c r="L42" s="70"/>
      <c r="M42" s="96"/>
      <c r="N42" s="70"/>
      <c r="O42" s="98"/>
      <c r="P42" s="98"/>
      <c r="Q42" s="98"/>
      <c r="R42" s="98"/>
      <c r="S42" s="98"/>
      <c r="T42" s="98"/>
      <c r="U42" s="98"/>
    </row>
    <row r="43" spans="1:21" ht="45.75">
      <c r="A43" s="24"/>
      <c r="B43" s="275"/>
      <c r="C43" s="269"/>
      <c r="D43" s="178" t="s">
        <v>271</v>
      </c>
      <c r="E43" s="78" t="s">
        <v>272</v>
      </c>
      <c r="F43" s="91" t="s">
        <v>279</v>
      </c>
      <c r="G43" s="92" t="s">
        <v>280</v>
      </c>
      <c r="H43" s="93" t="s">
        <v>155</v>
      </c>
      <c r="I43" s="93" t="s">
        <v>156</v>
      </c>
      <c r="J43" s="94"/>
      <c r="K43" s="95"/>
      <c r="L43" s="70"/>
      <c r="M43" s="96"/>
      <c r="N43" s="70"/>
      <c r="O43" s="98"/>
      <c r="P43" s="98"/>
      <c r="Q43" s="98"/>
      <c r="R43" s="98"/>
      <c r="S43" s="98"/>
      <c r="T43" s="98"/>
      <c r="U43" s="98"/>
    </row>
    <row r="44" spans="1:21" ht="60.75">
      <c r="A44" s="24"/>
      <c r="B44" s="275"/>
      <c r="C44" s="269"/>
      <c r="D44" s="178" t="s">
        <v>281</v>
      </c>
      <c r="E44" s="78" t="s">
        <v>282</v>
      </c>
      <c r="F44" s="91" t="s">
        <v>283</v>
      </c>
      <c r="G44" s="92" t="s">
        <v>284</v>
      </c>
      <c r="H44" s="93" t="s">
        <v>113</v>
      </c>
      <c r="I44" s="93" t="s">
        <v>156</v>
      </c>
      <c r="J44" s="179" t="s">
        <v>285</v>
      </c>
      <c r="K44" s="179"/>
      <c r="L44" s="179"/>
      <c r="M44" s="210" t="s">
        <v>126</v>
      </c>
      <c r="N44" s="210" t="s">
        <v>286</v>
      </c>
      <c r="O44" s="211" t="s">
        <v>287</v>
      </c>
      <c r="P44" s="212">
        <v>1</v>
      </c>
      <c r="Q44" s="210">
        <v>1</v>
      </c>
      <c r="R44" s="213">
        <v>400</v>
      </c>
      <c r="S44" s="210" t="s">
        <v>129</v>
      </c>
      <c r="T44" s="210" t="s">
        <v>182</v>
      </c>
      <c r="U44" s="210" t="s">
        <v>181</v>
      </c>
    </row>
    <row r="45" spans="1:21" ht="45.75">
      <c r="A45" s="24"/>
      <c r="B45" s="276"/>
      <c r="C45" s="270"/>
      <c r="D45" s="178" t="s">
        <v>281</v>
      </c>
      <c r="E45" s="78" t="s">
        <v>282</v>
      </c>
      <c r="F45" s="91" t="s">
        <v>288</v>
      </c>
      <c r="G45" s="92" t="s">
        <v>289</v>
      </c>
      <c r="H45" s="93" t="s">
        <v>113</v>
      </c>
      <c r="I45" s="93" t="s">
        <v>214</v>
      </c>
      <c r="J45" s="179" t="s">
        <v>290</v>
      </c>
      <c r="K45" s="179"/>
      <c r="L45" s="179"/>
      <c r="M45" s="210" t="s">
        <v>116</v>
      </c>
      <c r="N45" s="179" t="s">
        <v>291</v>
      </c>
      <c r="O45" s="210" t="s">
        <v>292</v>
      </c>
      <c r="P45" s="212">
        <v>1</v>
      </c>
      <c r="Q45" s="210">
        <v>1</v>
      </c>
      <c r="R45" s="210">
        <v>40</v>
      </c>
      <c r="S45" s="210" t="s">
        <v>237</v>
      </c>
      <c r="T45" s="210" t="s">
        <v>182</v>
      </c>
      <c r="U45" s="210" t="s">
        <v>237</v>
      </c>
    </row>
    <row r="46" spans="1:21" ht="30.75">
      <c r="A46" s="181"/>
      <c r="B46" s="182"/>
      <c r="C46" s="183"/>
      <c r="D46" s="178" t="s">
        <v>281</v>
      </c>
      <c r="E46" s="78" t="s">
        <v>282</v>
      </c>
      <c r="F46" s="91" t="s">
        <v>288</v>
      </c>
      <c r="G46" s="92" t="s">
        <v>289</v>
      </c>
      <c r="H46" s="93" t="s">
        <v>113</v>
      </c>
      <c r="I46" s="93" t="s">
        <v>214</v>
      </c>
      <c r="J46" s="179" t="s">
        <v>293</v>
      </c>
      <c r="K46" s="179"/>
      <c r="L46" s="179"/>
      <c r="M46" s="210" t="s">
        <v>126</v>
      </c>
      <c r="N46" s="210" t="s">
        <v>294</v>
      </c>
      <c r="O46" s="211" t="s">
        <v>295</v>
      </c>
      <c r="P46" s="212">
        <v>1</v>
      </c>
      <c r="Q46" s="210">
        <v>2</v>
      </c>
      <c r="R46" s="213">
        <v>80</v>
      </c>
      <c r="S46" s="210" t="s">
        <v>296</v>
      </c>
      <c r="T46" s="210" t="s">
        <v>182</v>
      </c>
      <c r="U46" s="210" t="s">
        <v>237</v>
      </c>
    </row>
    <row r="47" spans="1:21" ht="43.5" customHeight="1">
      <c r="A47" s="13" t="s">
        <v>297</v>
      </c>
      <c r="B47" s="57">
        <v>4</v>
      </c>
      <c r="C47" s="55" t="s">
        <v>298</v>
      </c>
      <c r="D47" s="184" t="s">
        <v>299</v>
      </c>
      <c r="E47" s="169" t="s">
        <v>300</v>
      </c>
      <c r="F47" s="91" t="s">
        <v>301</v>
      </c>
      <c r="G47" s="92" t="s">
        <v>302</v>
      </c>
      <c r="H47" s="93" t="s">
        <v>113</v>
      </c>
      <c r="I47" s="93" t="s">
        <v>214</v>
      </c>
      <c r="J47" s="179" t="s">
        <v>302</v>
      </c>
      <c r="K47" s="179"/>
      <c r="L47" s="179"/>
      <c r="M47" s="210" t="s">
        <v>126</v>
      </c>
      <c r="N47" s="210" t="s">
        <v>303</v>
      </c>
      <c r="O47" s="210" t="s">
        <v>304</v>
      </c>
      <c r="P47" s="212">
        <v>1</v>
      </c>
      <c r="Q47" s="210">
        <v>1</v>
      </c>
      <c r="R47" s="210">
        <v>40</v>
      </c>
      <c r="S47" s="210" t="s">
        <v>181</v>
      </c>
      <c r="T47" s="210" t="s">
        <v>182</v>
      </c>
      <c r="U47" s="210" t="s">
        <v>181</v>
      </c>
    </row>
    <row r="48" spans="1:21" ht="60.75">
      <c r="A48" s="13"/>
      <c r="B48" s="58"/>
      <c r="C48" s="56"/>
      <c r="D48" s="184" t="s">
        <v>299</v>
      </c>
      <c r="E48" s="169" t="s">
        <v>300</v>
      </c>
      <c r="F48" s="91" t="s">
        <v>305</v>
      </c>
      <c r="G48" s="92" t="s">
        <v>306</v>
      </c>
      <c r="H48" s="93" t="s">
        <v>113</v>
      </c>
      <c r="I48" s="93" t="s">
        <v>214</v>
      </c>
      <c r="J48" s="179" t="s">
        <v>306</v>
      </c>
      <c r="K48" s="179"/>
      <c r="L48" s="179"/>
      <c r="M48" s="210" t="s">
        <v>126</v>
      </c>
      <c r="N48" s="210" t="s">
        <v>307</v>
      </c>
      <c r="O48" s="210" t="s">
        <v>304</v>
      </c>
      <c r="P48" s="212">
        <v>1</v>
      </c>
      <c r="Q48" s="210">
        <v>1</v>
      </c>
      <c r="R48" s="210">
        <v>40</v>
      </c>
      <c r="S48" s="210" t="s">
        <v>181</v>
      </c>
      <c r="T48" s="210" t="s">
        <v>182</v>
      </c>
      <c r="U48" s="210" t="s">
        <v>181</v>
      </c>
    </row>
    <row r="49" spans="1:22" ht="60.75">
      <c r="A49" s="13"/>
      <c r="B49" s="58"/>
      <c r="C49" s="56"/>
      <c r="D49" s="184" t="s">
        <v>299</v>
      </c>
      <c r="E49" s="169" t="s">
        <v>300</v>
      </c>
      <c r="F49" s="91" t="s">
        <v>308</v>
      </c>
      <c r="G49" s="92" t="s">
        <v>309</v>
      </c>
      <c r="H49" s="93" t="s">
        <v>113</v>
      </c>
      <c r="I49" s="93" t="s">
        <v>214</v>
      </c>
      <c r="J49" s="179" t="s">
        <v>309</v>
      </c>
      <c r="K49" s="179"/>
      <c r="L49" s="179"/>
      <c r="M49" s="210" t="s">
        <v>268</v>
      </c>
      <c r="N49" s="210" t="s">
        <v>310</v>
      </c>
      <c r="O49" s="210" t="s">
        <v>311</v>
      </c>
      <c r="P49" s="212">
        <v>1</v>
      </c>
      <c r="Q49" s="210">
        <v>1</v>
      </c>
      <c r="R49" s="210">
        <v>40</v>
      </c>
      <c r="S49" s="210" t="s">
        <v>181</v>
      </c>
      <c r="T49" s="210" t="s">
        <v>182</v>
      </c>
      <c r="U49" s="210" t="s">
        <v>181</v>
      </c>
    </row>
    <row r="50" spans="1:22" ht="45.75">
      <c r="A50" s="13"/>
      <c r="B50" s="58"/>
      <c r="C50" s="56"/>
      <c r="D50" s="185" t="s">
        <v>312</v>
      </c>
      <c r="E50" s="170" t="s">
        <v>313</v>
      </c>
      <c r="F50" s="91" t="s">
        <v>314</v>
      </c>
      <c r="G50" s="92" t="s">
        <v>315</v>
      </c>
      <c r="H50" s="93" t="s">
        <v>113</v>
      </c>
      <c r="I50" s="93" t="s">
        <v>135</v>
      </c>
      <c r="J50" s="179" t="s">
        <v>315</v>
      </c>
      <c r="K50" s="179"/>
      <c r="L50" s="179"/>
      <c r="M50" s="210" t="s">
        <v>268</v>
      </c>
      <c r="N50" s="210" t="s">
        <v>316</v>
      </c>
      <c r="O50" s="210" t="s">
        <v>317</v>
      </c>
      <c r="P50" s="212">
        <v>1</v>
      </c>
      <c r="Q50" s="210">
        <v>1</v>
      </c>
      <c r="R50" s="210">
        <v>25</v>
      </c>
      <c r="S50" s="210" t="s">
        <v>181</v>
      </c>
      <c r="T50" s="210" t="s">
        <v>182</v>
      </c>
      <c r="U50" s="210" t="s">
        <v>181</v>
      </c>
    </row>
    <row r="51" spans="1:22" ht="45.75">
      <c r="A51" s="41"/>
      <c r="B51" s="58"/>
      <c r="C51" s="56"/>
      <c r="D51" s="185" t="s">
        <v>312</v>
      </c>
      <c r="E51" s="170" t="s">
        <v>313</v>
      </c>
      <c r="F51" s="91" t="s">
        <v>318</v>
      </c>
      <c r="G51" s="92" t="s">
        <v>319</v>
      </c>
      <c r="H51" s="93" t="s">
        <v>113</v>
      </c>
      <c r="I51" s="93" t="s">
        <v>214</v>
      </c>
      <c r="J51" s="94" t="s">
        <v>319</v>
      </c>
      <c r="K51" s="95"/>
      <c r="L51" s="70"/>
      <c r="M51" s="210" t="s">
        <v>268</v>
      </c>
      <c r="N51" s="210" t="s">
        <v>320</v>
      </c>
      <c r="O51" s="210" t="s">
        <v>321</v>
      </c>
      <c r="P51" s="212">
        <v>4</v>
      </c>
      <c r="Q51" s="210">
        <v>12</v>
      </c>
      <c r="R51" s="210">
        <v>40</v>
      </c>
      <c r="S51" s="210" t="s">
        <v>181</v>
      </c>
      <c r="T51" s="210" t="s">
        <v>182</v>
      </c>
      <c r="U51" s="210" t="s">
        <v>181</v>
      </c>
    </row>
    <row r="52" spans="1:22" ht="45.75">
      <c r="A52" s="41"/>
      <c r="B52" s="58"/>
      <c r="C52" s="56"/>
      <c r="D52" s="185" t="s">
        <v>312</v>
      </c>
      <c r="E52" s="170" t="s">
        <v>313</v>
      </c>
      <c r="F52" s="91" t="s">
        <v>322</v>
      </c>
      <c r="G52" s="92" t="s">
        <v>323</v>
      </c>
      <c r="H52" s="93" t="s">
        <v>113</v>
      </c>
      <c r="I52" s="93" t="s">
        <v>214</v>
      </c>
      <c r="J52" s="94" t="str">
        <f t="shared" ref="J52" si="0">G52</f>
        <v>Coordinar i participar dels treballs de restauració arquitectònica i del patrimoni cultural</v>
      </c>
      <c r="K52" s="179"/>
      <c r="L52" s="179"/>
      <c r="M52" s="210" t="s">
        <v>126</v>
      </c>
      <c r="N52" s="210" t="s">
        <v>324</v>
      </c>
      <c r="O52" s="210" t="s">
        <v>325</v>
      </c>
      <c r="P52" s="212">
        <v>1</v>
      </c>
      <c r="Q52" s="210">
        <v>1</v>
      </c>
      <c r="R52" s="210">
        <v>40</v>
      </c>
      <c r="S52" s="210" t="s">
        <v>181</v>
      </c>
      <c r="T52" s="210" t="s">
        <v>182</v>
      </c>
      <c r="U52" s="210" t="s">
        <v>181</v>
      </c>
    </row>
    <row r="53" spans="1:22" ht="45.75">
      <c r="A53" s="13"/>
      <c r="B53" s="58"/>
      <c r="C53" s="56"/>
      <c r="D53" s="185" t="s">
        <v>312</v>
      </c>
      <c r="E53" s="170" t="s">
        <v>313</v>
      </c>
      <c r="F53" s="91" t="s">
        <v>326</v>
      </c>
      <c r="G53" s="92" t="s">
        <v>327</v>
      </c>
      <c r="H53" s="93" t="s">
        <v>113</v>
      </c>
      <c r="I53" s="93" t="s">
        <v>114</v>
      </c>
      <c r="J53" s="94"/>
      <c r="K53" s="95"/>
      <c r="L53" s="70"/>
      <c r="M53" s="96"/>
      <c r="N53" s="70"/>
      <c r="O53" s="98"/>
      <c r="P53" s="98"/>
      <c r="Q53" s="98"/>
      <c r="R53" s="98"/>
      <c r="S53" s="98"/>
      <c r="T53" s="98"/>
      <c r="U53" s="98"/>
    </row>
    <row r="54" spans="1:22" ht="45.75">
      <c r="A54" s="13"/>
      <c r="B54" s="58"/>
      <c r="C54" s="56"/>
      <c r="D54" s="186" t="s">
        <v>328</v>
      </c>
      <c r="E54" s="18" t="s">
        <v>329</v>
      </c>
      <c r="F54" s="91" t="s">
        <v>330</v>
      </c>
      <c r="G54" s="92" t="s">
        <v>331</v>
      </c>
      <c r="H54" s="93" t="s">
        <v>113</v>
      </c>
      <c r="I54" s="93" t="s">
        <v>114</v>
      </c>
      <c r="J54" s="179" t="s">
        <v>331</v>
      </c>
      <c r="K54" s="179"/>
      <c r="L54" s="179"/>
      <c r="M54" s="210" t="s">
        <v>268</v>
      </c>
      <c r="N54" s="210" t="s">
        <v>332</v>
      </c>
      <c r="O54" s="210" t="s">
        <v>333</v>
      </c>
      <c r="P54" s="212">
        <v>1</v>
      </c>
      <c r="Q54" s="210">
        <v>1</v>
      </c>
      <c r="R54" s="210">
        <v>40</v>
      </c>
      <c r="S54" s="210" t="s">
        <v>181</v>
      </c>
      <c r="T54" s="210" t="s">
        <v>182</v>
      </c>
      <c r="U54" s="210" t="s">
        <v>181</v>
      </c>
    </row>
    <row r="55" spans="1:22" ht="45.75">
      <c r="A55" s="13"/>
      <c r="B55" s="58"/>
      <c r="C55" s="56"/>
      <c r="D55" s="186" t="s">
        <v>328</v>
      </c>
      <c r="E55" s="18" t="s">
        <v>329</v>
      </c>
      <c r="F55" s="91" t="s">
        <v>334</v>
      </c>
      <c r="G55" s="92" t="s">
        <v>335</v>
      </c>
      <c r="H55" s="93" t="s">
        <v>155</v>
      </c>
      <c r="I55" s="93" t="s">
        <v>114</v>
      </c>
      <c r="J55" s="179" t="s">
        <v>336</v>
      </c>
      <c r="K55" s="179"/>
      <c r="L55" s="179"/>
      <c r="M55" s="210" t="s">
        <v>126</v>
      </c>
      <c r="N55" s="210" t="s">
        <v>337</v>
      </c>
      <c r="O55" s="210" t="s">
        <v>338</v>
      </c>
      <c r="P55" s="212">
        <v>4</v>
      </c>
      <c r="Q55" s="210">
        <v>12</v>
      </c>
      <c r="R55" s="210">
        <v>30</v>
      </c>
      <c r="S55" s="210" t="s">
        <v>181</v>
      </c>
      <c r="T55" s="210" t="s">
        <v>182</v>
      </c>
      <c r="U55" s="210" t="s">
        <v>181</v>
      </c>
    </row>
    <row r="56" spans="1:22" ht="45.75">
      <c r="A56" s="13"/>
      <c r="B56" s="58"/>
      <c r="C56" s="56"/>
      <c r="D56" s="186" t="s">
        <v>328</v>
      </c>
      <c r="E56" s="18" t="s">
        <v>329</v>
      </c>
      <c r="F56" s="91" t="s">
        <v>339</v>
      </c>
      <c r="G56" s="92" t="s">
        <v>340</v>
      </c>
      <c r="H56" s="93" t="s">
        <v>113</v>
      </c>
      <c r="I56" s="93" t="s">
        <v>156</v>
      </c>
      <c r="J56" s="179" t="s">
        <v>341</v>
      </c>
      <c r="K56" s="179"/>
      <c r="L56" s="179"/>
      <c r="M56" s="210" t="s">
        <v>126</v>
      </c>
      <c r="N56" s="210" t="s">
        <v>342</v>
      </c>
      <c r="O56" s="210" t="s">
        <v>343</v>
      </c>
      <c r="P56" s="212">
        <v>4</v>
      </c>
      <c r="Q56" s="210">
        <v>8</v>
      </c>
      <c r="R56" s="210">
        <v>30</v>
      </c>
      <c r="S56" s="210" t="s">
        <v>181</v>
      </c>
      <c r="T56" s="210" t="s">
        <v>182</v>
      </c>
      <c r="U56" s="210" t="s">
        <v>181</v>
      </c>
    </row>
    <row r="57" spans="1:22" ht="60.75">
      <c r="A57" s="13"/>
      <c r="B57" s="58"/>
      <c r="C57" s="56"/>
      <c r="D57" s="186" t="s">
        <v>328</v>
      </c>
      <c r="E57" s="18" t="s">
        <v>329</v>
      </c>
      <c r="F57" s="91" t="s">
        <v>344</v>
      </c>
      <c r="G57" s="92" t="s">
        <v>345</v>
      </c>
      <c r="H57" s="93" t="s">
        <v>113</v>
      </c>
      <c r="I57" s="93" t="s">
        <v>135</v>
      </c>
      <c r="J57" s="179" t="s">
        <v>346</v>
      </c>
      <c r="K57" s="179"/>
      <c r="L57" s="179"/>
      <c r="M57" s="210" t="s">
        <v>116</v>
      </c>
      <c r="N57" s="210" t="s">
        <v>347</v>
      </c>
      <c r="O57" s="210" t="s">
        <v>348</v>
      </c>
      <c r="P57" s="212">
        <v>2</v>
      </c>
      <c r="Q57" s="210">
        <v>4</v>
      </c>
      <c r="R57" s="210">
        <v>40</v>
      </c>
      <c r="S57" s="210" t="s">
        <v>349</v>
      </c>
      <c r="T57" s="210" t="s">
        <v>182</v>
      </c>
      <c r="U57" s="210" t="s">
        <v>349</v>
      </c>
    </row>
    <row r="58" spans="1:22" ht="30.75">
      <c r="A58" s="13"/>
      <c r="B58" s="58"/>
      <c r="C58" s="56"/>
      <c r="D58" s="186" t="s">
        <v>350</v>
      </c>
      <c r="E58" s="18" t="s">
        <v>351</v>
      </c>
      <c r="F58" s="93" t="s">
        <v>352</v>
      </c>
      <c r="G58" s="92" t="s">
        <v>336</v>
      </c>
      <c r="H58" s="93" t="s">
        <v>113</v>
      </c>
      <c r="I58" s="93" t="s">
        <v>114</v>
      </c>
      <c r="J58" s="94"/>
      <c r="K58" s="95"/>
      <c r="L58" s="70"/>
      <c r="M58" s="96"/>
      <c r="N58" s="70"/>
      <c r="O58" s="98"/>
      <c r="P58" s="98"/>
      <c r="Q58" s="98"/>
      <c r="R58" s="98"/>
      <c r="S58" s="98"/>
      <c r="T58" s="98"/>
      <c r="U58" s="98"/>
    </row>
    <row r="59" spans="1:22" ht="45.75">
      <c r="A59" s="13"/>
      <c r="B59" s="58"/>
      <c r="C59" s="56"/>
      <c r="D59" s="186" t="s">
        <v>350</v>
      </c>
      <c r="E59" s="18" t="s">
        <v>351</v>
      </c>
      <c r="F59" s="93" t="s">
        <v>353</v>
      </c>
      <c r="G59" s="92" t="s">
        <v>341</v>
      </c>
      <c r="H59" s="93" t="s">
        <v>113</v>
      </c>
      <c r="I59" s="93" t="s">
        <v>114</v>
      </c>
      <c r="J59" s="94"/>
      <c r="K59" s="95"/>
      <c r="L59" s="70"/>
      <c r="M59" s="96"/>
      <c r="N59" s="70"/>
      <c r="O59" s="98"/>
      <c r="P59" s="98"/>
      <c r="Q59" s="98"/>
      <c r="R59" s="98"/>
      <c r="S59" s="98"/>
      <c r="T59" s="98"/>
      <c r="U59" s="98"/>
    </row>
    <row r="60" spans="1:22" ht="30.75">
      <c r="A60" s="13"/>
      <c r="B60" s="58"/>
      <c r="C60" s="56"/>
      <c r="D60" s="186" t="s">
        <v>350</v>
      </c>
      <c r="E60" s="18" t="s">
        <v>351</v>
      </c>
      <c r="F60" s="93" t="s">
        <v>354</v>
      </c>
      <c r="G60" s="92" t="s">
        <v>346</v>
      </c>
      <c r="H60" s="93" t="s">
        <v>113</v>
      </c>
      <c r="I60" s="93" t="s">
        <v>114</v>
      </c>
      <c r="J60" s="94"/>
      <c r="K60" s="95"/>
      <c r="L60" s="70"/>
      <c r="M60" s="96"/>
      <c r="N60" s="70"/>
      <c r="O60" s="98"/>
      <c r="P60" s="98"/>
      <c r="Q60" s="98"/>
      <c r="R60" s="98"/>
      <c r="S60" s="98"/>
      <c r="T60" s="98"/>
      <c r="U60" s="98"/>
    </row>
    <row r="61" spans="1:22" ht="30.75">
      <c r="A61" s="13"/>
      <c r="B61" s="254">
        <v>5</v>
      </c>
      <c r="C61" s="257" t="s">
        <v>355</v>
      </c>
      <c r="D61" s="19" t="s">
        <v>356</v>
      </c>
      <c r="E61" s="18" t="s">
        <v>357</v>
      </c>
      <c r="F61" s="93" t="s">
        <v>358</v>
      </c>
      <c r="G61" s="92" t="s">
        <v>359</v>
      </c>
      <c r="H61" s="93" t="s">
        <v>113</v>
      </c>
      <c r="I61" s="93" t="s">
        <v>214</v>
      </c>
      <c r="J61" s="179" t="s">
        <v>360</v>
      </c>
      <c r="K61" s="179"/>
      <c r="L61" s="179"/>
      <c r="M61" s="210" t="s">
        <v>268</v>
      </c>
      <c r="N61" s="210" t="s">
        <v>361</v>
      </c>
      <c r="O61" s="210" t="s">
        <v>333</v>
      </c>
      <c r="P61" s="212">
        <v>1</v>
      </c>
      <c r="Q61" s="210">
        <v>1</v>
      </c>
      <c r="R61" s="210">
        <v>40</v>
      </c>
      <c r="S61" s="210" t="s">
        <v>181</v>
      </c>
      <c r="T61" s="210" t="s">
        <v>182</v>
      </c>
      <c r="U61" s="210" t="s">
        <v>181</v>
      </c>
      <c r="V61" s="175"/>
    </row>
    <row r="62" spans="1:22" ht="45.75">
      <c r="A62" s="13"/>
      <c r="B62" s="255"/>
      <c r="C62" s="258"/>
      <c r="D62" s="187" t="s">
        <v>362</v>
      </c>
      <c r="E62" s="188" t="s">
        <v>363</v>
      </c>
      <c r="F62" s="91" t="s">
        <v>364</v>
      </c>
      <c r="G62" s="92" t="s">
        <v>365</v>
      </c>
      <c r="H62" s="93" t="s">
        <v>113</v>
      </c>
      <c r="I62" s="93" t="s">
        <v>214</v>
      </c>
      <c r="J62" s="179" t="s">
        <v>365</v>
      </c>
      <c r="K62" s="179"/>
      <c r="L62" s="179"/>
      <c r="M62" s="210" t="s">
        <v>126</v>
      </c>
      <c r="N62" s="210" t="s">
        <v>366</v>
      </c>
      <c r="O62" s="210" t="s">
        <v>367</v>
      </c>
      <c r="P62" s="212">
        <v>4</v>
      </c>
      <c r="Q62" s="210">
        <v>10</v>
      </c>
      <c r="R62" s="210">
        <v>80</v>
      </c>
      <c r="S62" s="210" t="s">
        <v>152</v>
      </c>
      <c r="T62" s="210" t="s">
        <v>368</v>
      </c>
      <c r="U62" s="210" t="s">
        <v>152</v>
      </c>
      <c r="V62" s="175"/>
    </row>
    <row r="63" spans="1:22" ht="45.75">
      <c r="A63" s="13"/>
      <c r="B63" s="255"/>
      <c r="C63" s="258"/>
      <c r="D63" s="187" t="s">
        <v>362</v>
      </c>
      <c r="E63" s="188" t="s">
        <v>363</v>
      </c>
      <c r="F63" s="91" t="s">
        <v>369</v>
      </c>
      <c r="G63" s="92" t="s">
        <v>370</v>
      </c>
      <c r="H63" s="93"/>
      <c r="I63" s="93"/>
      <c r="J63" s="94" t="s">
        <v>370</v>
      </c>
      <c r="K63" s="179"/>
      <c r="L63" s="179"/>
      <c r="M63" s="210" t="s">
        <v>116</v>
      </c>
      <c r="N63" s="210" t="s">
        <v>371</v>
      </c>
      <c r="O63" s="211" t="s">
        <v>372</v>
      </c>
      <c r="P63" s="212">
        <v>48</v>
      </c>
      <c r="Q63" s="210">
        <v>100</v>
      </c>
      <c r="R63" s="210">
        <v>2000</v>
      </c>
      <c r="S63" s="210" t="s">
        <v>152</v>
      </c>
      <c r="T63" s="210" t="s">
        <v>368</v>
      </c>
      <c r="U63" s="210" t="s">
        <v>152</v>
      </c>
    </row>
    <row r="64" spans="1:22" ht="76.5">
      <c r="A64" s="13"/>
      <c r="B64" s="255"/>
      <c r="C64" s="258"/>
      <c r="D64" s="187" t="s">
        <v>362</v>
      </c>
      <c r="E64" s="188" t="s">
        <v>363</v>
      </c>
      <c r="F64" s="91" t="s">
        <v>373</v>
      </c>
      <c r="G64" s="92" t="s">
        <v>374</v>
      </c>
      <c r="H64" s="93" t="s">
        <v>113</v>
      </c>
      <c r="I64" s="93" t="s">
        <v>135</v>
      </c>
      <c r="J64" s="179" t="s">
        <v>374</v>
      </c>
      <c r="K64" s="179"/>
      <c r="L64" s="179"/>
      <c r="M64" s="210" t="s">
        <v>116</v>
      </c>
      <c r="N64" s="210" t="s">
        <v>375</v>
      </c>
      <c r="O64" s="211" t="s">
        <v>376</v>
      </c>
      <c r="P64" s="216">
        <v>4</v>
      </c>
      <c r="Q64" s="210">
        <v>1</v>
      </c>
      <c r="R64" s="210">
        <v>400</v>
      </c>
      <c r="S64" s="210" t="s">
        <v>152</v>
      </c>
      <c r="T64" s="210" t="s">
        <v>368</v>
      </c>
      <c r="U64" s="210" t="s">
        <v>152</v>
      </c>
      <c r="V64" s="175"/>
    </row>
    <row r="65" spans="1:21" ht="106.5">
      <c r="A65" s="13"/>
      <c r="B65" s="255"/>
      <c r="C65" s="258"/>
      <c r="D65" s="189" t="s">
        <v>377</v>
      </c>
      <c r="E65" s="188" t="s">
        <v>378</v>
      </c>
      <c r="F65" s="91" t="s">
        <v>379</v>
      </c>
      <c r="G65" s="92" t="s">
        <v>380</v>
      </c>
      <c r="H65" s="93" t="s">
        <v>155</v>
      </c>
      <c r="I65" s="93" t="s">
        <v>214</v>
      </c>
      <c r="J65" s="179" t="s">
        <v>380</v>
      </c>
      <c r="K65" s="179"/>
      <c r="L65" s="179"/>
      <c r="M65" s="210" t="s">
        <v>126</v>
      </c>
      <c r="N65" s="211" t="s">
        <v>381</v>
      </c>
      <c r="O65" s="210" t="s">
        <v>382</v>
      </c>
      <c r="P65" s="212">
        <v>1</v>
      </c>
      <c r="Q65" s="210">
        <v>1</v>
      </c>
      <c r="R65" s="210">
        <v>40</v>
      </c>
      <c r="S65" s="210" t="s">
        <v>121</v>
      </c>
      <c r="T65" s="210" t="s">
        <v>122</v>
      </c>
      <c r="U65" s="210" t="s">
        <v>121</v>
      </c>
    </row>
    <row r="66" spans="1:21" ht="30.75">
      <c r="A66" s="13"/>
      <c r="B66" s="255"/>
      <c r="C66" s="258"/>
      <c r="D66" s="189" t="s">
        <v>377</v>
      </c>
      <c r="E66" s="188" t="s">
        <v>378</v>
      </c>
      <c r="F66" s="91" t="s">
        <v>379</v>
      </c>
      <c r="G66" s="92" t="s">
        <v>380</v>
      </c>
      <c r="H66" s="93" t="s">
        <v>155</v>
      </c>
      <c r="I66" s="93" t="s">
        <v>214</v>
      </c>
      <c r="J66" s="179" t="s">
        <v>380</v>
      </c>
      <c r="K66" s="179"/>
      <c r="L66" s="179"/>
      <c r="M66" s="210" t="s">
        <v>126</v>
      </c>
      <c r="N66" s="211" t="s">
        <v>383</v>
      </c>
      <c r="O66" s="210" t="s">
        <v>384</v>
      </c>
      <c r="P66" s="212">
        <v>1</v>
      </c>
      <c r="Q66" s="210">
        <v>1</v>
      </c>
      <c r="R66" s="210">
        <v>40</v>
      </c>
      <c r="S66" s="210" t="s">
        <v>121</v>
      </c>
      <c r="T66" s="210" t="s">
        <v>122</v>
      </c>
      <c r="U66" s="210" t="s">
        <v>121</v>
      </c>
    </row>
    <row r="67" spans="1:21" ht="30.75">
      <c r="A67" s="13"/>
      <c r="B67" s="256"/>
      <c r="C67" s="259"/>
      <c r="D67" s="189" t="s">
        <v>377</v>
      </c>
      <c r="E67" s="188" t="s">
        <v>378</v>
      </c>
      <c r="F67" s="91" t="s">
        <v>385</v>
      </c>
      <c r="G67" s="92" t="s">
        <v>386</v>
      </c>
      <c r="H67" s="93" t="s">
        <v>155</v>
      </c>
      <c r="I67" s="93" t="s">
        <v>214</v>
      </c>
      <c r="J67" s="179" t="s">
        <v>386</v>
      </c>
      <c r="K67" s="179"/>
      <c r="L67" s="179"/>
      <c r="M67" s="210" t="s">
        <v>126</v>
      </c>
      <c r="N67" s="211" t="s">
        <v>387</v>
      </c>
      <c r="O67" s="210" t="s">
        <v>388</v>
      </c>
      <c r="P67" s="212">
        <v>1</v>
      </c>
      <c r="Q67" s="210">
        <v>1</v>
      </c>
      <c r="R67" s="210">
        <v>80</v>
      </c>
      <c r="S67" s="210" t="s">
        <v>121</v>
      </c>
      <c r="T67" s="210" t="s">
        <v>122</v>
      </c>
      <c r="U67" s="210" t="s">
        <v>121</v>
      </c>
    </row>
    <row r="68" spans="1:21" ht="60.75">
      <c r="A68" s="25" t="s">
        <v>389</v>
      </c>
      <c r="B68" s="38">
        <v>6</v>
      </c>
      <c r="C68" s="37" t="s">
        <v>390</v>
      </c>
      <c r="D68" s="190" t="s">
        <v>391</v>
      </c>
      <c r="E68" s="168" t="s">
        <v>392</v>
      </c>
      <c r="F68" s="91" t="s">
        <v>393</v>
      </c>
      <c r="G68" s="100" t="s">
        <v>394</v>
      </c>
      <c r="H68" s="93" t="s">
        <v>113</v>
      </c>
      <c r="I68" s="93" t="s">
        <v>135</v>
      </c>
      <c r="J68" s="217" t="s">
        <v>394</v>
      </c>
      <c r="K68" s="217"/>
      <c r="L68" s="217"/>
      <c r="M68" s="210" t="s">
        <v>116</v>
      </c>
      <c r="N68" s="210" t="s">
        <v>395</v>
      </c>
      <c r="O68" s="210" t="s">
        <v>396</v>
      </c>
      <c r="P68" s="212">
        <v>1</v>
      </c>
      <c r="Q68" s="210">
        <v>1</v>
      </c>
      <c r="R68" s="210">
        <v>40</v>
      </c>
      <c r="S68" s="210" t="s">
        <v>121</v>
      </c>
      <c r="T68" s="210" t="s">
        <v>122</v>
      </c>
      <c r="U68" s="210" t="s">
        <v>121</v>
      </c>
    </row>
    <row r="69" spans="1:21" ht="30.75">
      <c r="A69" s="25"/>
      <c r="B69" s="52"/>
      <c r="C69" s="37"/>
      <c r="D69" s="190" t="s">
        <v>391</v>
      </c>
      <c r="E69" s="168" t="s">
        <v>392</v>
      </c>
      <c r="F69" s="91" t="s">
        <v>397</v>
      </c>
      <c r="G69" s="92" t="s">
        <v>398</v>
      </c>
      <c r="H69" s="93" t="s">
        <v>113</v>
      </c>
      <c r="I69" s="93" t="s">
        <v>135</v>
      </c>
      <c r="J69" s="94"/>
      <c r="K69" s="95"/>
      <c r="L69" s="70"/>
      <c r="M69" s="96"/>
      <c r="N69" s="70"/>
      <c r="O69" s="98"/>
      <c r="P69" s="98"/>
      <c r="Q69" s="98"/>
      <c r="R69" s="98"/>
      <c r="S69" s="98"/>
      <c r="T69" s="98"/>
      <c r="U69" s="98"/>
    </row>
    <row r="70" spans="1:21" ht="76.5">
      <c r="A70" s="25"/>
      <c r="B70" s="52"/>
      <c r="C70" s="51"/>
      <c r="D70" s="190" t="s">
        <v>399</v>
      </c>
      <c r="E70" s="168" t="s">
        <v>400</v>
      </c>
      <c r="F70" s="91" t="s">
        <v>401</v>
      </c>
      <c r="G70" s="92" t="s">
        <v>402</v>
      </c>
      <c r="H70" s="93" t="s">
        <v>113</v>
      </c>
      <c r="I70" s="93" t="s">
        <v>135</v>
      </c>
      <c r="J70" s="179" t="s">
        <v>402</v>
      </c>
      <c r="K70" s="179"/>
      <c r="L70" s="179"/>
      <c r="M70" s="210" t="s">
        <v>116</v>
      </c>
      <c r="N70" s="210" t="s">
        <v>403</v>
      </c>
      <c r="O70" s="210" t="s">
        <v>404</v>
      </c>
      <c r="P70" s="231">
        <v>0.8</v>
      </c>
      <c r="Q70" s="218">
        <v>1</v>
      </c>
      <c r="R70" s="210">
        <v>80</v>
      </c>
      <c r="S70" s="210" t="s">
        <v>121</v>
      </c>
      <c r="T70" s="210" t="s">
        <v>122</v>
      </c>
      <c r="U70" s="210" t="s">
        <v>121</v>
      </c>
    </row>
    <row r="71" spans="1:21" ht="60.75">
      <c r="A71" s="53"/>
      <c r="B71" s="52"/>
      <c r="C71" s="51"/>
      <c r="D71" s="190" t="s">
        <v>399</v>
      </c>
      <c r="E71" s="168" t="s">
        <v>400</v>
      </c>
      <c r="F71" s="91" t="s">
        <v>405</v>
      </c>
      <c r="G71" s="92" t="s">
        <v>406</v>
      </c>
      <c r="H71" s="93" t="s">
        <v>113</v>
      </c>
      <c r="I71" s="93" t="s">
        <v>135</v>
      </c>
      <c r="J71" s="179" t="s">
        <v>407</v>
      </c>
      <c r="K71" s="179"/>
      <c r="L71" s="179"/>
      <c r="M71" s="210" t="s">
        <v>148</v>
      </c>
      <c r="N71" s="210" t="s">
        <v>408</v>
      </c>
      <c r="O71" s="210" t="s">
        <v>409</v>
      </c>
      <c r="P71" s="231">
        <v>0.8</v>
      </c>
      <c r="Q71" s="218">
        <v>1</v>
      </c>
      <c r="R71" s="210">
        <v>40</v>
      </c>
      <c r="S71" s="210" t="s">
        <v>121</v>
      </c>
      <c r="T71" s="210" t="s">
        <v>122</v>
      </c>
      <c r="U71" s="210" t="s">
        <v>121</v>
      </c>
    </row>
    <row r="72" spans="1:21" ht="305.25">
      <c r="A72" s="53"/>
      <c r="B72" s="52"/>
      <c r="C72" s="51"/>
      <c r="D72" s="190" t="s">
        <v>399</v>
      </c>
      <c r="E72" s="168" t="s">
        <v>400</v>
      </c>
      <c r="F72" s="91" t="s">
        <v>405</v>
      </c>
      <c r="G72" s="92" t="s">
        <v>406</v>
      </c>
      <c r="H72" s="93" t="s">
        <v>113</v>
      </c>
      <c r="I72" s="93" t="s">
        <v>135</v>
      </c>
      <c r="J72" s="179" t="s">
        <v>407</v>
      </c>
      <c r="K72" s="179"/>
      <c r="L72" s="179"/>
      <c r="M72" s="210" t="s">
        <v>148</v>
      </c>
      <c r="N72" s="219" t="s">
        <v>410</v>
      </c>
      <c r="O72" s="213" t="s">
        <v>411</v>
      </c>
      <c r="P72" s="220" t="s">
        <v>412</v>
      </c>
      <c r="Q72" s="213" t="s">
        <v>413</v>
      </c>
      <c r="R72" s="210">
        <v>2240</v>
      </c>
      <c r="S72" s="210" t="s">
        <v>121</v>
      </c>
      <c r="T72" s="210" t="s">
        <v>122</v>
      </c>
      <c r="U72" s="210" t="s">
        <v>121</v>
      </c>
    </row>
    <row r="73" spans="1:21" ht="60.75">
      <c r="A73" s="53"/>
      <c r="B73" s="52"/>
      <c r="C73" s="51"/>
      <c r="D73" s="190" t="s">
        <v>399</v>
      </c>
      <c r="E73" s="168" t="s">
        <v>400</v>
      </c>
      <c r="F73" s="91" t="s">
        <v>405</v>
      </c>
      <c r="G73" s="92" t="s">
        <v>406</v>
      </c>
      <c r="H73" s="93" t="s">
        <v>113</v>
      </c>
      <c r="I73" s="93" t="s">
        <v>135</v>
      </c>
      <c r="J73" s="179" t="s">
        <v>407</v>
      </c>
      <c r="K73" s="179"/>
      <c r="L73" s="179"/>
      <c r="M73" s="210" t="s">
        <v>148</v>
      </c>
      <c r="N73" s="210" t="s">
        <v>414</v>
      </c>
      <c r="O73" s="213" t="s">
        <v>415</v>
      </c>
      <c r="P73" s="212">
        <v>1</v>
      </c>
      <c r="Q73" s="210">
        <v>1</v>
      </c>
      <c r="R73" s="210">
        <v>20</v>
      </c>
      <c r="S73" s="210" t="s">
        <v>121</v>
      </c>
      <c r="T73" s="210" t="s">
        <v>122</v>
      </c>
      <c r="U73" s="210" t="s">
        <v>121</v>
      </c>
    </row>
    <row r="74" spans="1:21" ht="60.75">
      <c r="A74" s="53"/>
      <c r="B74" s="52"/>
      <c r="C74" s="51"/>
      <c r="D74" s="190" t="s">
        <v>399</v>
      </c>
      <c r="E74" s="168" t="s">
        <v>400</v>
      </c>
      <c r="F74" s="91" t="s">
        <v>416</v>
      </c>
      <c r="G74" s="92" t="s">
        <v>417</v>
      </c>
      <c r="H74" s="93" t="s">
        <v>113</v>
      </c>
      <c r="I74" s="93" t="s">
        <v>135</v>
      </c>
      <c r="J74" s="94"/>
      <c r="K74" s="95"/>
      <c r="L74" s="70"/>
      <c r="M74" s="96"/>
      <c r="N74" s="70"/>
      <c r="O74" s="98"/>
      <c r="P74" s="98"/>
      <c r="Q74" s="98"/>
      <c r="R74" s="98"/>
      <c r="S74" s="98"/>
      <c r="T74" s="98"/>
      <c r="U74" s="98"/>
    </row>
    <row r="75" spans="1:21" ht="60.75">
      <c r="A75" s="53"/>
      <c r="B75" s="52"/>
      <c r="C75" s="51"/>
      <c r="D75" s="190" t="s">
        <v>399</v>
      </c>
      <c r="E75" s="168" t="s">
        <v>400</v>
      </c>
      <c r="F75" s="91" t="s">
        <v>418</v>
      </c>
      <c r="G75" s="92" t="s">
        <v>419</v>
      </c>
      <c r="H75" s="93" t="s">
        <v>113</v>
      </c>
      <c r="I75" s="93" t="s">
        <v>214</v>
      </c>
      <c r="J75" s="94"/>
      <c r="K75" s="95"/>
      <c r="L75" s="70"/>
      <c r="M75" s="96"/>
      <c r="N75" s="70"/>
      <c r="O75" s="98"/>
      <c r="P75" s="98"/>
      <c r="Q75" s="98"/>
      <c r="R75" s="98"/>
      <c r="S75" s="98"/>
      <c r="T75" s="98"/>
      <c r="U75" s="98"/>
    </row>
    <row r="76" spans="1:21" ht="60.75">
      <c r="A76" s="53"/>
      <c r="B76" s="52"/>
      <c r="C76" s="51"/>
      <c r="D76" s="190" t="s">
        <v>399</v>
      </c>
      <c r="E76" s="168" t="s">
        <v>400</v>
      </c>
      <c r="F76" s="91" t="s">
        <v>420</v>
      </c>
      <c r="G76" s="92" t="s">
        <v>421</v>
      </c>
      <c r="H76" s="93" t="s">
        <v>113</v>
      </c>
      <c r="I76" s="93" t="s">
        <v>214</v>
      </c>
      <c r="J76" s="179" t="s">
        <v>421</v>
      </c>
      <c r="K76" s="179"/>
      <c r="L76" s="179"/>
      <c r="M76" s="210" t="s">
        <v>126</v>
      </c>
      <c r="N76" s="210" t="s">
        <v>422</v>
      </c>
      <c r="O76" s="210" t="s">
        <v>423</v>
      </c>
      <c r="P76" s="212">
        <v>1</v>
      </c>
      <c r="Q76" s="210">
        <v>1</v>
      </c>
      <c r="R76" s="210">
        <v>20</v>
      </c>
      <c r="S76" s="210" t="s">
        <v>121</v>
      </c>
      <c r="T76" s="210" t="s">
        <v>122</v>
      </c>
      <c r="U76" s="210" t="s">
        <v>121</v>
      </c>
    </row>
    <row r="77" spans="1:21" ht="60.75">
      <c r="A77" s="53"/>
      <c r="B77" s="52"/>
      <c r="C77" s="51"/>
      <c r="D77" s="190" t="s">
        <v>399</v>
      </c>
      <c r="E77" s="168" t="s">
        <v>400</v>
      </c>
      <c r="F77" s="91" t="s">
        <v>424</v>
      </c>
      <c r="G77" s="92" t="s">
        <v>425</v>
      </c>
      <c r="H77" s="93" t="s">
        <v>113</v>
      </c>
      <c r="I77" s="93" t="s">
        <v>135</v>
      </c>
      <c r="J77" s="179" t="s">
        <v>425</v>
      </c>
      <c r="K77" s="179"/>
      <c r="L77" s="179"/>
      <c r="M77" s="210" t="s">
        <v>116</v>
      </c>
      <c r="N77" s="210" t="s">
        <v>426</v>
      </c>
      <c r="O77" s="210" t="s">
        <v>427</v>
      </c>
      <c r="P77" s="212">
        <v>1</v>
      </c>
      <c r="Q77" s="210">
        <v>1</v>
      </c>
      <c r="R77" s="210">
        <v>20</v>
      </c>
      <c r="S77" s="210" t="s">
        <v>121</v>
      </c>
      <c r="T77" s="210" t="s">
        <v>122</v>
      </c>
      <c r="U77" s="210" t="s">
        <v>121</v>
      </c>
    </row>
    <row r="78" spans="1:21" ht="60.75">
      <c r="A78" s="53"/>
      <c r="B78" s="52"/>
      <c r="C78" s="51"/>
      <c r="D78" s="190" t="s">
        <v>399</v>
      </c>
      <c r="E78" s="168" t="s">
        <v>400</v>
      </c>
      <c r="F78" s="91" t="s">
        <v>428</v>
      </c>
      <c r="G78" s="92" t="s">
        <v>429</v>
      </c>
      <c r="H78" s="93" t="s">
        <v>113</v>
      </c>
      <c r="I78" s="93" t="s">
        <v>214</v>
      </c>
      <c r="J78" s="179" t="s">
        <v>429</v>
      </c>
      <c r="K78" s="179"/>
      <c r="L78" s="179"/>
      <c r="M78" s="210" t="s">
        <v>116</v>
      </c>
      <c r="N78" s="210" t="s">
        <v>430</v>
      </c>
      <c r="O78" s="210" t="s">
        <v>431</v>
      </c>
      <c r="P78" s="212">
        <v>1</v>
      </c>
      <c r="Q78" s="210">
        <v>1</v>
      </c>
      <c r="R78" s="210">
        <v>20</v>
      </c>
      <c r="S78" s="210" t="s">
        <v>121</v>
      </c>
      <c r="T78" s="210" t="s">
        <v>122</v>
      </c>
      <c r="U78" s="210" t="s">
        <v>121</v>
      </c>
    </row>
    <row r="79" spans="1:21" ht="76.5">
      <c r="A79" s="53"/>
      <c r="B79" s="52"/>
      <c r="C79" s="51"/>
      <c r="D79" s="190" t="s">
        <v>432</v>
      </c>
      <c r="E79" s="168" t="s">
        <v>433</v>
      </c>
      <c r="F79" s="91" t="s">
        <v>434</v>
      </c>
      <c r="G79" s="92" t="s">
        <v>435</v>
      </c>
      <c r="H79" s="93" t="s">
        <v>113</v>
      </c>
      <c r="I79" s="93" t="s">
        <v>135</v>
      </c>
      <c r="J79" s="179" t="s">
        <v>436</v>
      </c>
      <c r="K79" s="179"/>
      <c r="L79" s="179"/>
      <c r="M79" s="210" t="s">
        <v>116</v>
      </c>
      <c r="N79" s="210" t="s">
        <v>435</v>
      </c>
      <c r="O79" s="210" t="s">
        <v>437</v>
      </c>
      <c r="P79" s="212">
        <v>80</v>
      </c>
      <c r="Q79" s="210">
        <v>100</v>
      </c>
      <c r="R79" s="210">
        <v>80</v>
      </c>
      <c r="S79" s="210" t="s">
        <v>121</v>
      </c>
      <c r="T79" s="210" t="s">
        <v>122</v>
      </c>
      <c r="U79" s="210" t="s">
        <v>121</v>
      </c>
    </row>
    <row r="80" spans="1:21" ht="30.75">
      <c r="A80" s="53"/>
      <c r="B80" s="52"/>
      <c r="C80" s="51"/>
      <c r="D80" s="190" t="s">
        <v>432</v>
      </c>
      <c r="E80" s="168" t="s">
        <v>433</v>
      </c>
      <c r="F80" s="91" t="s">
        <v>438</v>
      </c>
      <c r="G80" s="92" t="s">
        <v>439</v>
      </c>
      <c r="H80" s="93" t="s">
        <v>113</v>
      </c>
      <c r="I80" s="93" t="s">
        <v>135</v>
      </c>
      <c r="J80" s="94"/>
      <c r="K80" s="95"/>
      <c r="L80" s="70"/>
      <c r="M80" s="96"/>
      <c r="N80" s="70"/>
      <c r="O80" s="98"/>
      <c r="P80" s="98"/>
      <c r="Q80" s="98"/>
      <c r="R80" s="98"/>
      <c r="S80" s="98"/>
      <c r="T80" s="98"/>
      <c r="U80" s="98"/>
    </row>
    <row r="81" spans="1:21" ht="30.75">
      <c r="A81" s="53"/>
      <c r="B81" s="52"/>
      <c r="C81" s="51"/>
      <c r="D81" s="190" t="s">
        <v>432</v>
      </c>
      <c r="E81" s="168" t="s">
        <v>433</v>
      </c>
      <c r="F81" s="91" t="s">
        <v>440</v>
      </c>
      <c r="G81" s="92" t="s">
        <v>441</v>
      </c>
      <c r="H81" s="93" t="s">
        <v>113</v>
      </c>
      <c r="I81" s="93" t="s">
        <v>135</v>
      </c>
      <c r="J81" s="94"/>
      <c r="K81" s="95"/>
      <c r="L81" s="70"/>
      <c r="M81" s="96"/>
      <c r="N81" s="70"/>
      <c r="O81" s="98"/>
      <c r="P81" s="98"/>
      <c r="Q81" s="98"/>
      <c r="R81" s="98"/>
      <c r="S81" s="98"/>
      <c r="T81" s="98"/>
      <c r="U81" s="98"/>
    </row>
    <row r="82" spans="1:21" ht="60.75">
      <c r="A82" s="53"/>
      <c r="B82" s="52"/>
      <c r="C82" s="51"/>
      <c r="D82" s="190" t="s">
        <v>432</v>
      </c>
      <c r="E82" s="168" t="s">
        <v>433</v>
      </c>
      <c r="F82" s="91" t="s">
        <v>442</v>
      </c>
      <c r="G82" s="92" t="s">
        <v>443</v>
      </c>
      <c r="H82" s="93" t="s">
        <v>113</v>
      </c>
      <c r="I82" s="93" t="s">
        <v>135</v>
      </c>
      <c r="J82" s="179" t="s">
        <v>444</v>
      </c>
      <c r="K82" s="179"/>
      <c r="L82" s="179"/>
      <c r="M82" s="210" t="s">
        <v>116</v>
      </c>
      <c r="N82" s="210" t="s">
        <v>443</v>
      </c>
      <c r="O82" s="210" t="s">
        <v>445</v>
      </c>
      <c r="P82" s="212">
        <v>80</v>
      </c>
      <c r="Q82" s="210">
        <v>100</v>
      </c>
      <c r="R82" s="210">
        <v>80</v>
      </c>
      <c r="S82" s="210" t="s">
        <v>121</v>
      </c>
      <c r="T82" s="210" t="s">
        <v>122</v>
      </c>
      <c r="U82" s="210" t="s">
        <v>121</v>
      </c>
    </row>
    <row r="83" spans="1:21" ht="43.5" customHeight="1">
      <c r="A83" s="53"/>
      <c r="B83" s="52"/>
      <c r="C83" s="51"/>
      <c r="D83" s="190" t="s">
        <v>446</v>
      </c>
      <c r="E83" s="168" t="s">
        <v>447</v>
      </c>
      <c r="F83" s="91" t="s">
        <v>448</v>
      </c>
      <c r="G83" s="92" t="s">
        <v>449</v>
      </c>
      <c r="H83" s="93" t="s">
        <v>113</v>
      </c>
      <c r="I83" s="93" t="s">
        <v>214</v>
      </c>
      <c r="J83" s="179" t="s">
        <v>450</v>
      </c>
      <c r="K83" s="179"/>
      <c r="L83" s="179"/>
      <c r="M83" s="210" t="s">
        <v>126</v>
      </c>
      <c r="N83" s="210" t="s">
        <v>449</v>
      </c>
      <c r="O83" s="210" t="s">
        <v>451</v>
      </c>
      <c r="P83" s="212">
        <v>4</v>
      </c>
      <c r="Q83" s="210">
        <v>8</v>
      </c>
      <c r="R83" s="210">
        <v>30</v>
      </c>
      <c r="S83" s="210" t="s">
        <v>237</v>
      </c>
      <c r="T83" s="210" t="s">
        <v>263</v>
      </c>
      <c r="U83" s="210" t="s">
        <v>237</v>
      </c>
    </row>
    <row r="84" spans="1:21" ht="76.5">
      <c r="A84" s="53"/>
      <c r="B84" s="52"/>
      <c r="C84" s="51"/>
      <c r="D84" s="190" t="s">
        <v>446</v>
      </c>
      <c r="E84" s="168" t="s">
        <v>447</v>
      </c>
      <c r="F84" s="91" t="s">
        <v>452</v>
      </c>
      <c r="G84" s="92" t="s">
        <v>453</v>
      </c>
      <c r="H84" s="93" t="s">
        <v>113</v>
      </c>
      <c r="I84" s="93" t="s">
        <v>214</v>
      </c>
      <c r="J84" s="179" t="s">
        <v>454</v>
      </c>
      <c r="K84" s="179"/>
      <c r="L84" s="179"/>
      <c r="M84" s="210" t="s">
        <v>126</v>
      </c>
      <c r="N84" s="210" t="s">
        <v>453</v>
      </c>
      <c r="O84" s="210" t="s">
        <v>455</v>
      </c>
      <c r="P84" s="212">
        <v>4</v>
      </c>
      <c r="Q84" s="210">
        <v>8</v>
      </c>
      <c r="R84" s="210">
        <v>30</v>
      </c>
      <c r="S84" s="210" t="s">
        <v>237</v>
      </c>
      <c r="T84" s="210" t="s">
        <v>263</v>
      </c>
      <c r="U84" s="210" t="s">
        <v>237</v>
      </c>
    </row>
    <row r="85" spans="1:21" ht="76.5">
      <c r="A85" s="53"/>
      <c r="B85" s="52"/>
      <c r="C85" s="51"/>
      <c r="D85" s="190" t="s">
        <v>446</v>
      </c>
      <c r="E85" s="168" t="s">
        <v>447</v>
      </c>
      <c r="F85" s="91" t="s">
        <v>456</v>
      </c>
      <c r="G85" s="92" t="s">
        <v>457</v>
      </c>
      <c r="H85" s="93" t="s">
        <v>113</v>
      </c>
      <c r="I85" s="93" t="s">
        <v>214</v>
      </c>
      <c r="J85" s="179" t="s">
        <v>457</v>
      </c>
      <c r="K85" s="179"/>
      <c r="L85" s="179"/>
      <c r="M85" s="210" t="s">
        <v>126</v>
      </c>
      <c r="N85" s="210" t="s">
        <v>458</v>
      </c>
      <c r="O85" s="210" t="s">
        <v>459</v>
      </c>
      <c r="P85" s="212">
        <v>8</v>
      </c>
      <c r="Q85" s="210">
        <v>16</v>
      </c>
      <c r="R85" s="210">
        <v>200</v>
      </c>
      <c r="S85" s="210" t="s">
        <v>121</v>
      </c>
      <c r="T85" s="210" t="s">
        <v>263</v>
      </c>
      <c r="U85" s="210" t="s">
        <v>121</v>
      </c>
    </row>
    <row r="86" spans="1:21" ht="76.5">
      <c r="A86" s="53"/>
      <c r="B86" s="52"/>
      <c r="C86" s="51"/>
      <c r="D86" s="190" t="s">
        <v>446</v>
      </c>
      <c r="E86" s="168" t="s">
        <v>447</v>
      </c>
      <c r="F86" s="91" t="s">
        <v>456</v>
      </c>
      <c r="G86" s="92" t="s">
        <v>457</v>
      </c>
      <c r="H86" s="93" t="s">
        <v>113</v>
      </c>
      <c r="I86" s="93" t="s">
        <v>214</v>
      </c>
      <c r="J86" s="179" t="s">
        <v>457</v>
      </c>
      <c r="K86" s="179"/>
      <c r="L86" s="179"/>
      <c r="M86" s="210" t="s">
        <v>116</v>
      </c>
      <c r="N86" s="210" t="s">
        <v>460</v>
      </c>
      <c r="O86" s="210" t="s">
        <v>461</v>
      </c>
      <c r="P86" s="212">
        <v>8</v>
      </c>
      <c r="Q86" s="210">
        <v>10</v>
      </c>
      <c r="R86" s="210">
        <v>200</v>
      </c>
      <c r="S86" s="210" t="s">
        <v>121</v>
      </c>
      <c r="T86" s="210" t="s">
        <v>122</v>
      </c>
      <c r="U86" s="210" t="s">
        <v>237</v>
      </c>
    </row>
    <row r="87" spans="1:21" ht="76.5">
      <c r="A87" s="53"/>
      <c r="B87" s="52"/>
      <c r="C87" s="51"/>
      <c r="D87" s="190" t="s">
        <v>446</v>
      </c>
      <c r="E87" s="168" t="s">
        <v>447</v>
      </c>
      <c r="F87" s="91" t="s">
        <v>462</v>
      </c>
      <c r="G87" s="92" t="s">
        <v>463</v>
      </c>
      <c r="H87" s="93" t="s">
        <v>113</v>
      </c>
      <c r="I87" s="93" t="s">
        <v>214</v>
      </c>
      <c r="J87" s="94"/>
      <c r="K87" s="95"/>
      <c r="L87" s="70"/>
      <c r="M87" s="96"/>
      <c r="N87" s="70"/>
      <c r="O87" s="98"/>
      <c r="P87" s="98"/>
      <c r="Q87" s="98"/>
      <c r="R87" s="98"/>
      <c r="S87" s="98"/>
      <c r="T87" s="98"/>
      <c r="U87" s="98"/>
    </row>
    <row r="88" spans="1:21" ht="76.5">
      <c r="A88" s="53"/>
      <c r="B88" s="52"/>
      <c r="C88" s="51"/>
      <c r="D88" s="190" t="s">
        <v>446</v>
      </c>
      <c r="E88" s="168" t="s">
        <v>447</v>
      </c>
      <c r="F88" s="91" t="s">
        <v>464</v>
      </c>
      <c r="G88" s="92" t="s">
        <v>465</v>
      </c>
      <c r="H88" s="93" t="s">
        <v>113</v>
      </c>
      <c r="I88" s="93" t="s">
        <v>214</v>
      </c>
      <c r="J88" s="179" t="s">
        <v>466</v>
      </c>
      <c r="K88" s="179"/>
      <c r="L88" s="179"/>
      <c r="M88" s="210" t="s">
        <v>126</v>
      </c>
      <c r="N88" s="210" t="s">
        <v>467</v>
      </c>
      <c r="O88" s="210" t="s">
        <v>468</v>
      </c>
      <c r="P88" s="212">
        <v>80</v>
      </c>
      <c r="Q88" s="210">
        <v>100</v>
      </c>
      <c r="R88" s="210">
        <v>400</v>
      </c>
      <c r="S88" s="210" t="s">
        <v>469</v>
      </c>
      <c r="T88" s="210" t="s">
        <v>470</v>
      </c>
      <c r="U88" s="210" t="s">
        <v>237</v>
      </c>
    </row>
    <row r="89" spans="1:21" ht="76.5">
      <c r="A89" s="53"/>
      <c r="B89" s="52"/>
      <c r="C89" s="51"/>
      <c r="D89" s="190" t="s">
        <v>446</v>
      </c>
      <c r="E89" s="168" t="s">
        <v>447</v>
      </c>
      <c r="F89" s="91" t="s">
        <v>471</v>
      </c>
      <c r="G89" s="92" t="s">
        <v>472</v>
      </c>
      <c r="H89" s="93" t="s">
        <v>113</v>
      </c>
      <c r="I89" s="93" t="s">
        <v>214</v>
      </c>
      <c r="J89" s="94"/>
      <c r="K89" s="95"/>
      <c r="L89" s="70"/>
      <c r="M89" s="96"/>
      <c r="N89" s="70"/>
      <c r="O89" s="98"/>
      <c r="P89" s="98"/>
      <c r="Q89" s="98"/>
      <c r="R89" s="98"/>
      <c r="S89" s="98"/>
      <c r="T89" s="98"/>
      <c r="U89" s="98"/>
    </row>
    <row r="90" spans="1:21" ht="45.75">
      <c r="A90" s="53"/>
      <c r="B90" s="52"/>
      <c r="C90" s="51"/>
      <c r="D90" s="190" t="s">
        <v>473</v>
      </c>
      <c r="E90" s="168" t="s">
        <v>474</v>
      </c>
      <c r="F90" s="91" t="s">
        <v>475</v>
      </c>
      <c r="G90" s="92" t="s">
        <v>476</v>
      </c>
      <c r="H90" s="93" t="s">
        <v>113</v>
      </c>
      <c r="I90" s="93" t="s">
        <v>135</v>
      </c>
      <c r="J90" s="179" t="s">
        <v>477</v>
      </c>
      <c r="K90" s="179"/>
      <c r="L90" s="179"/>
      <c r="M90" s="210" t="s">
        <v>116</v>
      </c>
      <c r="N90" s="210" t="s">
        <v>476</v>
      </c>
      <c r="O90" s="210" t="s">
        <v>478</v>
      </c>
      <c r="P90" s="212">
        <v>1</v>
      </c>
      <c r="Q90" s="210">
        <v>1</v>
      </c>
      <c r="R90" s="210">
        <v>20</v>
      </c>
      <c r="S90" s="210" t="s">
        <v>237</v>
      </c>
      <c r="T90" s="210" t="s">
        <v>263</v>
      </c>
      <c r="U90" s="210" t="s">
        <v>237</v>
      </c>
    </row>
    <row r="91" spans="1:21" ht="45.75">
      <c r="A91" s="53"/>
      <c r="B91" s="52"/>
      <c r="C91" s="51"/>
      <c r="D91" s="190" t="s">
        <v>473</v>
      </c>
      <c r="E91" s="168" t="s">
        <v>474</v>
      </c>
      <c r="F91" s="91" t="s">
        <v>479</v>
      </c>
      <c r="G91" s="92" t="s">
        <v>480</v>
      </c>
      <c r="H91" s="93" t="s">
        <v>113</v>
      </c>
      <c r="I91" s="93" t="s">
        <v>135</v>
      </c>
      <c r="J91" s="179" t="s">
        <v>480</v>
      </c>
      <c r="K91" s="179"/>
      <c r="L91" s="179"/>
      <c r="M91" s="210" t="s">
        <v>148</v>
      </c>
      <c r="N91" s="210" t="s">
        <v>481</v>
      </c>
      <c r="O91" s="210" t="s">
        <v>482</v>
      </c>
      <c r="P91" s="212">
        <v>1</v>
      </c>
      <c r="Q91" s="210">
        <v>1</v>
      </c>
      <c r="R91" s="210">
        <v>200</v>
      </c>
      <c r="S91" s="210" t="s">
        <v>349</v>
      </c>
      <c r="T91" s="210" t="s">
        <v>483</v>
      </c>
      <c r="U91" s="210" t="s">
        <v>349</v>
      </c>
    </row>
    <row r="92" spans="1:21" ht="45.75">
      <c r="A92" s="53"/>
      <c r="B92" s="52"/>
      <c r="C92" s="51"/>
      <c r="D92" s="190" t="s">
        <v>473</v>
      </c>
      <c r="E92" s="168" t="s">
        <v>474</v>
      </c>
      <c r="F92" s="91" t="s">
        <v>479</v>
      </c>
      <c r="G92" s="92" t="s">
        <v>480</v>
      </c>
      <c r="H92" s="93" t="s">
        <v>113</v>
      </c>
      <c r="I92" s="93" t="s">
        <v>135</v>
      </c>
      <c r="J92" s="179" t="s">
        <v>480</v>
      </c>
      <c r="K92" s="179"/>
      <c r="L92" s="179"/>
      <c r="M92" s="210" t="s">
        <v>116</v>
      </c>
      <c r="N92" s="210" t="s">
        <v>484</v>
      </c>
      <c r="O92" s="212" t="s">
        <v>485</v>
      </c>
      <c r="P92" s="212">
        <v>4</v>
      </c>
      <c r="Q92" s="210">
        <v>6</v>
      </c>
      <c r="R92" s="210">
        <v>80</v>
      </c>
      <c r="S92" s="210" t="s">
        <v>152</v>
      </c>
      <c r="T92" s="210" t="s">
        <v>368</v>
      </c>
      <c r="U92" s="210" t="s">
        <v>152</v>
      </c>
    </row>
    <row r="93" spans="1:21" ht="30.75">
      <c r="A93" s="53"/>
      <c r="B93" s="52"/>
      <c r="C93" s="51"/>
      <c r="D93" s="190" t="s">
        <v>473</v>
      </c>
      <c r="E93" s="168" t="s">
        <v>474</v>
      </c>
      <c r="F93" s="91" t="s">
        <v>486</v>
      </c>
      <c r="G93" s="92" t="s">
        <v>487</v>
      </c>
      <c r="H93" s="93" t="s">
        <v>113</v>
      </c>
      <c r="I93" s="93" t="s">
        <v>135</v>
      </c>
      <c r="J93" s="94"/>
      <c r="K93" s="95"/>
      <c r="L93" s="70"/>
      <c r="M93" s="96"/>
      <c r="N93" s="70"/>
      <c r="O93" s="98"/>
      <c r="P93" s="98"/>
      <c r="Q93" s="98"/>
      <c r="R93" s="98"/>
      <c r="S93" s="98"/>
      <c r="T93" s="98"/>
      <c r="U93" s="98"/>
    </row>
    <row r="94" spans="1:21" ht="30.75">
      <c r="A94" s="53"/>
      <c r="B94" s="52"/>
      <c r="C94" s="51"/>
      <c r="D94" s="190" t="s">
        <v>473</v>
      </c>
      <c r="E94" s="168" t="s">
        <v>474</v>
      </c>
      <c r="F94" s="91" t="s">
        <v>488</v>
      </c>
      <c r="G94" s="92" t="s">
        <v>489</v>
      </c>
      <c r="H94" s="93"/>
      <c r="I94" s="93"/>
      <c r="J94" s="94"/>
      <c r="K94" s="95"/>
      <c r="L94" s="70"/>
      <c r="M94" s="96"/>
      <c r="N94" s="70"/>
      <c r="O94" s="98"/>
      <c r="P94" s="98"/>
      <c r="Q94" s="98"/>
      <c r="R94" s="98"/>
      <c r="S94" s="98"/>
      <c r="T94" s="98"/>
      <c r="U94" s="98"/>
    </row>
    <row r="95" spans="1:21" ht="30.75">
      <c r="A95" s="53"/>
      <c r="B95" s="52"/>
      <c r="C95" s="51"/>
      <c r="D95" s="190" t="s">
        <v>473</v>
      </c>
      <c r="E95" s="168" t="s">
        <v>474</v>
      </c>
      <c r="F95" s="91" t="s">
        <v>490</v>
      </c>
      <c r="G95" s="92" t="s">
        <v>491</v>
      </c>
      <c r="H95" s="93" t="s">
        <v>113</v>
      </c>
      <c r="I95" s="93" t="s">
        <v>135</v>
      </c>
      <c r="J95" s="179" t="s">
        <v>491</v>
      </c>
      <c r="K95" s="179"/>
      <c r="L95" s="179"/>
      <c r="M95" s="210" t="s">
        <v>116</v>
      </c>
      <c r="N95" s="210" t="s">
        <v>492</v>
      </c>
      <c r="O95" s="210" t="s">
        <v>493</v>
      </c>
      <c r="P95" s="212">
        <v>1</v>
      </c>
      <c r="Q95" s="210">
        <v>1</v>
      </c>
      <c r="R95" s="210">
        <v>200</v>
      </c>
      <c r="S95" s="210" t="s">
        <v>494</v>
      </c>
      <c r="T95" s="210" t="s">
        <v>483</v>
      </c>
      <c r="U95" s="210" t="s">
        <v>494</v>
      </c>
    </row>
    <row r="96" spans="1:21" ht="30.75">
      <c r="A96" s="53"/>
      <c r="B96" s="52"/>
      <c r="C96" s="51"/>
      <c r="D96" s="190" t="s">
        <v>473</v>
      </c>
      <c r="E96" s="168" t="s">
        <v>474</v>
      </c>
      <c r="F96" s="91" t="s">
        <v>495</v>
      </c>
      <c r="G96" s="92" t="s">
        <v>496</v>
      </c>
      <c r="H96" s="93" t="s">
        <v>113</v>
      </c>
      <c r="I96" s="93" t="s">
        <v>135</v>
      </c>
      <c r="J96" s="94"/>
      <c r="K96" s="95"/>
      <c r="L96" s="99"/>
      <c r="M96" s="96"/>
      <c r="N96" s="70"/>
      <c r="O96" s="98"/>
      <c r="P96" s="98"/>
      <c r="Q96" s="98"/>
      <c r="R96" s="98"/>
      <c r="S96" s="98"/>
      <c r="T96" s="98"/>
      <c r="U96" s="98"/>
    </row>
    <row r="97" spans="1:21" ht="60.75">
      <c r="A97" s="26" t="s">
        <v>497</v>
      </c>
      <c r="B97" s="35">
        <v>7</v>
      </c>
      <c r="C97" s="36" t="s">
        <v>498</v>
      </c>
      <c r="D97" s="14" t="s">
        <v>499</v>
      </c>
      <c r="E97" s="79" t="s">
        <v>500</v>
      </c>
      <c r="F97" s="91" t="s">
        <v>501</v>
      </c>
      <c r="G97" s="92" t="s">
        <v>502</v>
      </c>
      <c r="H97" s="93" t="s">
        <v>113</v>
      </c>
      <c r="I97" s="93" t="s">
        <v>114</v>
      </c>
      <c r="J97" s="179" t="s">
        <v>503</v>
      </c>
      <c r="K97" s="179"/>
      <c r="L97" s="179"/>
      <c r="M97" s="210" t="s">
        <v>126</v>
      </c>
      <c r="N97" s="210" t="s">
        <v>502</v>
      </c>
      <c r="O97" s="210" t="s">
        <v>504</v>
      </c>
      <c r="P97" s="212">
        <v>1</v>
      </c>
      <c r="Q97" s="210">
        <v>8</v>
      </c>
      <c r="R97" s="210">
        <v>40</v>
      </c>
      <c r="S97" s="210" t="s">
        <v>237</v>
      </c>
      <c r="T97" s="210" t="s">
        <v>263</v>
      </c>
      <c r="U97" s="210" t="s">
        <v>237</v>
      </c>
    </row>
    <row r="98" spans="1:21" ht="106.5">
      <c r="A98" s="26"/>
      <c r="B98" s="265">
        <v>8</v>
      </c>
      <c r="C98" s="271" t="s">
        <v>505</v>
      </c>
      <c r="D98" s="192" t="s">
        <v>506</v>
      </c>
      <c r="E98" s="191" t="s">
        <v>507</v>
      </c>
      <c r="F98" s="91" t="s">
        <v>508</v>
      </c>
      <c r="G98" s="92" t="s">
        <v>509</v>
      </c>
      <c r="H98" s="93" t="s">
        <v>113</v>
      </c>
      <c r="I98" s="93" t="s">
        <v>114</v>
      </c>
      <c r="J98" s="179" t="s">
        <v>510</v>
      </c>
      <c r="K98" s="179"/>
      <c r="L98" s="179"/>
      <c r="M98" s="210" t="s">
        <v>116</v>
      </c>
      <c r="N98" s="210" t="s">
        <v>511</v>
      </c>
      <c r="O98" s="210" t="s">
        <v>512</v>
      </c>
      <c r="P98" s="212">
        <v>5</v>
      </c>
      <c r="Q98" s="210">
        <v>15</v>
      </c>
      <c r="R98" s="210">
        <v>400</v>
      </c>
      <c r="S98" s="210" t="s">
        <v>129</v>
      </c>
      <c r="T98" s="210" t="s">
        <v>182</v>
      </c>
      <c r="U98" s="210" t="s">
        <v>129</v>
      </c>
    </row>
    <row r="99" spans="1:21" ht="60.75">
      <c r="A99" s="26"/>
      <c r="B99" s="266"/>
      <c r="C99" s="272"/>
      <c r="D99" s="192" t="s">
        <v>506</v>
      </c>
      <c r="E99" s="191" t="s">
        <v>507</v>
      </c>
      <c r="F99" s="91" t="s">
        <v>508</v>
      </c>
      <c r="G99" s="92" t="s">
        <v>509</v>
      </c>
      <c r="H99" s="93" t="s">
        <v>113</v>
      </c>
      <c r="I99" s="93" t="s">
        <v>114</v>
      </c>
      <c r="J99" s="179"/>
      <c r="K99" s="179"/>
      <c r="L99" s="179"/>
      <c r="M99" s="210" t="s">
        <v>268</v>
      </c>
      <c r="N99" s="210" t="s">
        <v>513</v>
      </c>
      <c r="O99" s="210" t="s">
        <v>514</v>
      </c>
      <c r="P99" s="212">
        <v>5</v>
      </c>
      <c r="Q99" s="210">
        <v>10</v>
      </c>
      <c r="R99" s="210">
        <v>80</v>
      </c>
      <c r="S99" s="210" t="s">
        <v>129</v>
      </c>
      <c r="T99" s="210" t="s">
        <v>182</v>
      </c>
      <c r="U99" s="210" t="s">
        <v>129</v>
      </c>
    </row>
    <row r="100" spans="1:21" ht="60.75">
      <c r="A100" s="26"/>
      <c r="B100" s="266"/>
      <c r="C100" s="272"/>
      <c r="D100" s="192" t="s">
        <v>506</v>
      </c>
      <c r="E100" s="191" t="s">
        <v>507</v>
      </c>
      <c r="F100" s="91" t="s">
        <v>515</v>
      </c>
      <c r="G100" s="92" t="s">
        <v>516</v>
      </c>
      <c r="H100" s="93" t="s">
        <v>113</v>
      </c>
      <c r="I100" s="93" t="s">
        <v>114</v>
      </c>
      <c r="J100" s="94"/>
      <c r="K100" s="95"/>
      <c r="L100" s="70"/>
      <c r="M100" s="96"/>
      <c r="N100" s="70"/>
      <c r="O100" s="98"/>
      <c r="P100" s="98"/>
      <c r="Q100" s="98"/>
      <c r="R100" s="98"/>
      <c r="S100" s="98"/>
      <c r="T100" s="98"/>
      <c r="U100" s="98"/>
    </row>
    <row r="101" spans="1:21" ht="60.75">
      <c r="A101" s="26"/>
      <c r="B101" s="266"/>
      <c r="C101" s="272"/>
      <c r="D101" s="192" t="s">
        <v>506</v>
      </c>
      <c r="E101" s="191" t="s">
        <v>507</v>
      </c>
      <c r="F101" s="91" t="s">
        <v>517</v>
      </c>
      <c r="G101" s="92" t="s">
        <v>518</v>
      </c>
      <c r="H101" s="93" t="s">
        <v>155</v>
      </c>
      <c r="I101" s="93" t="s">
        <v>214</v>
      </c>
      <c r="J101" s="179" t="s">
        <v>518</v>
      </c>
      <c r="K101" s="179"/>
      <c r="L101" s="179"/>
      <c r="M101" s="210" t="s">
        <v>116</v>
      </c>
      <c r="N101" s="210" t="s">
        <v>519</v>
      </c>
      <c r="O101" s="210" t="s">
        <v>520</v>
      </c>
      <c r="P101" s="212">
        <v>1</v>
      </c>
      <c r="Q101" s="210">
        <v>4</v>
      </c>
      <c r="R101" s="210">
        <v>30</v>
      </c>
      <c r="S101" s="210" t="s">
        <v>129</v>
      </c>
      <c r="T101" s="210" t="s">
        <v>182</v>
      </c>
      <c r="U101" s="210" t="s">
        <v>129</v>
      </c>
    </row>
    <row r="102" spans="1:21" ht="45.75">
      <c r="A102" s="264"/>
      <c r="B102" s="266"/>
      <c r="C102" s="272"/>
      <c r="D102" s="14" t="s">
        <v>521</v>
      </c>
      <c r="E102" s="79" t="s">
        <v>522</v>
      </c>
      <c r="F102" s="93" t="s">
        <v>523</v>
      </c>
      <c r="G102" s="92" t="s">
        <v>524</v>
      </c>
      <c r="H102" s="97"/>
      <c r="I102" s="97"/>
      <c r="J102" s="179" t="s">
        <v>525</v>
      </c>
      <c r="K102" s="179"/>
      <c r="L102" s="179"/>
      <c r="M102" s="210" t="s">
        <v>116</v>
      </c>
      <c r="N102" s="210" t="s">
        <v>526</v>
      </c>
      <c r="O102" s="210" t="s">
        <v>527</v>
      </c>
      <c r="P102" s="212">
        <v>1</v>
      </c>
      <c r="Q102" s="210">
        <v>1</v>
      </c>
      <c r="R102" s="210">
        <v>40</v>
      </c>
      <c r="S102" s="210" t="s">
        <v>121</v>
      </c>
      <c r="T102" s="210" t="s">
        <v>122</v>
      </c>
      <c r="U102" s="210" t="s">
        <v>121</v>
      </c>
    </row>
    <row r="103" spans="1:21" ht="45.75">
      <c r="A103" s="264"/>
      <c r="B103" s="266"/>
      <c r="C103" s="272"/>
      <c r="D103" s="14" t="s">
        <v>521</v>
      </c>
      <c r="E103" s="79" t="s">
        <v>522</v>
      </c>
      <c r="F103" s="93"/>
      <c r="G103" s="92"/>
      <c r="H103" s="97"/>
      <c r="I103" s="97"/>
      <c r="J103" s="179" t="s">
        <v>528</v>
      </c>
      <c r="K103" s="179"/>
      <c r="L103" s="179"/>
      <c r="M103" s="210" t="s">
        <v>148</v>
      </c>
      <c r="N103" s="210" t="s">
        <v>529</v>
      </c>
      <c r="O103" s="210" t="s">
        <v>530</v>
      </c>
      <c r="P103" s="212" t="s">
        <v>531</v>
      </c>
      <c r="Q103" s="210" t="s">
        <v>532</v>
      </c>
      <c r="R103" s="210">
        <v>300</v>
      </c>
      <c r="S103" s="210" t="s">
        <v>151</v>
      </c>
      <c r="T103" s="210" t="s">
        <v>263</v>
      </c>
      <c r="U103" s="210" t="s">
        <v>237</v>
      </c>
    </row>
    <row r="104" spans="1:21" ht="60.75">
      <c r="A104" s="264"/>
      <c r="B104" s="266"/>
      <c r="C104" s="272"/>
      <c r="D104" s="14" t="s">
        <v>521</v>
      </c>
      <c r="E104" s="79" t="s">
        <v>522</v>
      </c>
      <c r="F104" s="93"/>
      <c r="G104" s="92"/>
      <c r="H104" s="97"/>
      <c r="I104" s="97"/>
      <c r="J104" s="217" t="s">
        <v>533</v>
      </c>
      <c r="K104" s="217"/>
      <c r="L104" s="217"/>
      <c r="M104" s="210" t="s">
        <v>116</v>
      </c>
      <c r="N104" s="210" t="s">
        <v>534</v>
      </c>
      <c r="O104" s="210" t="s">
        <v>535</v>
      </c>
      <c r="P104" s="212">
        <v>4</v>
      </c>
      <c r="Q104" s="210">
        <v>1</v>
      </c>
      <c r="R104" s="210">
        <v>400</v>
      </c>
      <c r="S104" s="210" t="s">
        <v>121</v>
      </c>
      <c r="T104" s="210" t="s">
        <v>122</v>
      </c>
      <c r="U104" s="210" t="s">
        <v>237</v>
      </c>
    </row>
    <row r="105" spans="1:21" ht="45.75">
      <c r="A105" s="264"/>
      <c r="B105" s="266"/>
      <c r="C105" s="272"/>
      <c r="D105" s="193" t="s">
        <v>536</v>
      </c>
      <c r="E105" s="79" t="s">
        <v>537</v>
      </c>
      <c r="F105" s="91" t="s">
        <v>538</v>
      </c>
      <c r="G105" s="92" t="s">
        <v>539</v>
      </c>
      <c r="H105" s="93" t="s">
        <v>113</v>
      </c>
      <c r="I105" s="93" t="s">
        <v>214</v>
      </c>
      <c r="J105" s="94"/>
      <c r="K105" s="95"/>
      <c r="L105" s="70"/>
      <c r="M105" s="96"/>
      <c r="N105" s="70"/>
      <c r="O105" s="98"/>
      <c r="P105" s="98"/>
      <c r="Q105" s="98"/>
      <c r="R105" s="98"/>
      <c r="S105" s="98"/>
      <c r="T105" s="98"/>
      <c r="U105" s="98"/>
    </row>
    <row r="106" spans="1:21" ht="45.75">
      <c r="A106" s="264"/>
      <c r="B106" s="266"/>
      <c r="C106" s="272"/>
      <c r="D106" s="193" t="s">
        <v>536</v>
      </c>
      <c r="E106" s="79" t="s">
        <v>537</v>
      </c>
      <c r="F106" s="91" t="s">
        <v>540</v>
      </c>
      <c r="G106" s="92" t="s">
        <v>541</v>
      </c>
      <c r="H106" s="93" t="s">
        <v>113</v>
      </c>
      <c r="I106" s="93" t="s">
        <v>135</v>
      </c>
      <c r="J106" s="94"/>
      <c r="K106" s="95"/>
      <c r="L106" s="70"/>
      <c r="M106" s="96"/>
      <c r="N106" s="70"/>
      <c r="O106" s="98"/>
      <c r="P106" s="98"/>
      <c r="Q106" s="98"/>
      <c r="R106" s="98"/>
      <c r="S106" s="98"/>
      <c r="T106" s="98"/>
      <c r="U106" s="98"/>
    </row>
    <row r="107" spans="1:21" ht="45.75">
      <c r="A107" s="264"/>
      <c r="B107" s="266"/>
      <c r="C107" s="272"/>
      <c r="D107" s="193" t="s">
        <v>536</v>
      </c>
      <c r="E107" s="79" t="s">
        <v>537</v>
      </c>
      <c r="F107" s="91" t="s">
        <v>542</v>
      </c>
      <c r="G107" s="92" t="s">
        <v>543</v>
      </c>
      <c r="H107" s="93" t="s">
        <v>113</v>
      </c>
      <c r="I107" s="93" t="s">
        <v>214</v>
      </c>
      <c r="J107" s="94"/>
      <c r="K107" s="95"/>
      <c r="L107" s="99"/>
      <c r="M107" s="96"/>
      <c r="N107" s="70"/>
      <c r="O107" s="98"/>
      <c r="P107" s="98"/>
      <c r="Q107" s="98"/>
      <c r="R107" s="98"/>
      <c r="S107" s="98"/>
      <c r="T107" s="98"/>
      <c r="U107" s="98"/>
    </row>
    <row r="108" spans="1:21" ht="45.75">
      <c r="A108" s="264"/>
      <c r="B108" s="266"/>
      <c r="C108" s="272"/>
      <c r="D108" s="193" t="s">
        <v>536</v>
      </c>
      <c r="E108" s="79" t="s">
        <v>537</v>
      </c>
      <c r="F108" s="91" t="s">
        <v>544</v>
      </c>
      <c r="G108" s="92" t="s">
        <v>545</v>
      </c>
      <c r="H108" s="93" t="s">
        <v>113</v>
      </c>
      <c r="I108" s="93" t="s">
        <v>214</v>
      </c>
      <c r="J108" s="94"/>
      <c r="K108" s="95"/>
      <c r="L108" s="70"/>
      <c r="M108" s="96"/>
      <c r="N108" s="70"/>
      <c r="O108" s="98"/>
      <c r="P108" s="98"/>
      <c r="Q108" s="98"/>
      <c r="R108" s="98"/>
      <c r="S108" s="98"/>
      <c r="T108" s="98"/>
      <c r="U108" s="98"/>
    </row>
    <row r="109" spans="1:21" ht="45.75">
      <c r="A109" s="264"/>
      <c r="B109" s="266"/>
      <c r="C109" s="272"/>
      <c r="D109" s="193" t="s">
        <v>536</v>
      </c>
      <c r="E109" s="79" t="s">
        <v>537</v>
      </c>
      <c r="F109" s="91" t="s">
        <v>546</v>
      </c>
      <c r="G109" s="92" t="s">
        <v>547</v>
      </c>
      <c r="H109" s="93" t="s">
        <v>113</v>
      </c>
      <c r="I109" s="93" t="s">
        <v>214</v>
      </c>
      <c r="J109" s="94"/>
      <c r="K109" s="95"/>
      <c r="L109" s="70"/>
      <c r="M109" s="96"/>
      <c r="N109" s="70"/>
      <c r="O109" s="98"/>
      <c r="P109" s="98"/>
      <c r="Q109" s="98"/>
      <c r="R109" s="98"/>
      <c r="S109" s="98"/>
      <c r="T109" s="98"/>
      <c r="U109" s="98"/>
    </row>
    <row r="110" spans="1:21" ht="60.75">
      <c r="A110" s="264"/>
      <c r="B110" s="266"/>
      <c r="C110" s="272"/>
      <c r="D110" s="193" t="s">
        <v>536</v>
      </c>
      <c r="E110" s="79" t="s">
        <v>537</v>
      </c>
      <c r="F110" s="91" t="s">
        <v>548</v>
      </c>
      <c r="G110" s="92" t="s">
        <v>549</v>
      </c>
      <c r="H110" s="93" t="s">
        <v>113</v>
      </c>
      <c r="I110" s="93" t="s">
        <v>214</v>
      </c>
      <c r="J110" s="94"/>
      <c r="K110" s="95"/>
      <c r="L110" s="99"/>
      <c r="M110" s="96"/>
      <c r="N110" s="70"/>
      <c r="O110" s="98"/>
      <c r="P110" s="98"/>
      <c r="Q110" s="98"/>
      <c r="R110" s="98"/>
      <c r="S110" s="98"/>
      <c r="T110" s="98"/>
      <c r="U110" s="98"/>
    </row>
    <row r="111" spans="1:21" ht="45.75">
      <c r="A111" s="264"/>
      <c r="B111" s="266"/>
      <c r="C111" s="272"/>
      <c r="D111" s="193" t="s">
        <v>550</v>
      </c>
      <c r="E111" s="79" t="s">
        <v>551</v>
      </c>
      <c r="F111" s="91" t="s">
        <v>552</v>
      </c>
      <c r="G111" s="92" t="s">
        <v>525</v>
      </c>
      <c r="H111" s="93" t="s">
        <v>113</v>
      </c>
      <c r="I111" s="93" t="s">
        <v>135</v>
      </c>
      <c r="J111" s="94"/>
      <c r="K111" s="95"/>
      <c r="L111" s="70"/>
      <c r="M111" s="96"/>
      <c r="N111" s="70"/>
      <c r="O111" s="98"/>
      <c r="P111" s="98"/>
      <c r="Q111" s="98"/>
      <c r="R111" s="98"/>
      <c r="S111" s="98"/>
      <c r="T111" s="98"/>
      <c r="U111" s="98"/>
    </row>
    <row r="112" spans="1:21" ht="45.75">
      <c r="A112" s="264"/>
      <c r="B112" s="266"/>
      <c r="C112" s="272"/>
      <c r="D112" s="193" t="s">
        <v>550</v>
      </c>
      <c r="E112" s="79" t="s">
        <v>551</v>
      </c>
      <c r="F112" s="91" t="s">
        <v>553</v>
      </c>
      <c r="G112" s="92" t="s">
        <v>528</v>
      </c>
      <c r="H112" s="93" t="s">
        <v>113</v>
      </c>
      <c r="I112" s="93" t="s">
        <v>135</v>
      </c>
      <c r="J112" s="94"/>
      <c r="K112" s="95"/>
      <c r="L112" s="70"/>
      <c r="M112" s="96"/>
      <c r="N112" s="70"/>
      <c r="O112" s="98"/>
      <c r="P112" s="98"/>
      <c r="Q112" s="98"/>
      <c r="R112" s="98"/>
      <c r="S112" s="98"/>
      <c r="T112" s="98"/>
      <c r="U112" s="98"/>
    </row>
    <row r="113" spans="1:21" ht="45.75">
      <c r="A113" s="264"/>
      <c r="B113" s="267"/>
      <c r="C113" s="273"/>
      <c r="D113" s="193" t="s">
        <v>550</v>
      </c>
      <c r="E113" s="79" t="s">
        <v>551</v>
      </c>
      <c r="F113" s="91" t="s">
        <v>554</v>
      </c>
      <c r="G113" s="92" t="s">
        <v>533</v>
      </c>
      <c r="H113" s="93" t="s">
        <v>113</v>
      </c>
      <c r="I113" s="93" t="s">
        <v>135</v>
      </c>
      <c r="J113" s="94"/>
      <c r="K113" s="95"/>
      <c r="L113" s="70"/>
      <c r="M113" s="96"/>
      <c r="N113" s="70"/>
      <c r="O113" s="98"/>
      <c r="P113" s="98"/>
      <c r="Q113" s="98"/>
      <c r="R113" s="98"/>
      <c r="S113" s="98"/>
      <c r="T113" s="98"/>
      <c r="U113" s="98"/>
    </row>
    <row r="114" spans="1:21" ht="45.75">
      <c r="A114" s="26"/>
      <c r="B114" s="42">
        <v>9</v>
      </c>
      <c r="C114" s="49" t="s">
        <v>555</v>
      </c>
      <c r="D114" s="192" t="s">
        <v>556</v>
      </c>
      <c r="E114" s="191" t="s">
        <v>557</v>
      </c>
      <c r="F114" s="91" t="s">
        <v>558</v>
      </c>
      <c r="G114" s="92" t="s">
        <v>559</v>
      </c>
      <c r="H114" s="93" t="s">
        <v>113</v>
      </c>
      <c r="I114" s="93" t="s">
        <v>214</v>
      </c>
      <c r="J114" s="179" t="s">
        <v>560</v>
      </c>
      <c r="K114" s="179"/>
      <c r="L114" s="179"/>
      <c r="M114" s="210" t="s">
        <v>116</v>
      </c>
      <c r="N114" s="210" t="s">
        <v>561</v>
      </c>
      <c r="O114" s="213" t="s">
        <v>562</v>
      </c>
      <c r="P114" s="212">
        <v>25</v>
      </c>
      <c r="Q114" s="210">
        <v>50</v>
      </c>
      <c r="R114" s="210">
        <v>2000</v>
      </c>
      <c r="S114" s="210" t="s">
        <v>563</v>
      </c>
      <c r="T114" s="210" t="s">
        <v>564</v>
      </c>
      <c r="U114" s="210" t="s">
        <v>237</v>
      </c>
    </row>
    <row r="115" spans="1:21" ht="76.5">
      <c r="A115" s="26"/>
      <c r="B115" s="43"/>
      <c r="C115" s="50"/>
      <c r="D115" s="192" t="s">
        <v>556</v>
      </c>
      <c r="E115" s="191" t="s">
        <v>557</v>
      </c>
      <c r="F115" s="91" t="s">
        <v>558</v>
      </c>
      <c r="G115" s="92" t="s">
        <v>559</v>
      </c>
      <c r="H115" s="93" t="s">
        <v>113</v>
      </c>
      <c r="I115" s="93" t="s">
        <v>214</v>
      </c>
      <c r="J115" s="179" t="s">
        <v>565</v>
      </c>
      <c r="K115" s="179"/>
      <c r="L115" s="179"/>
      <c r="M115" s="210" t="s">
        <v>116</v>
      </c>
      <c r="N115" s="210" t="s">
        <v>566</v>
      </c>
      <c r="O115" s="211" t="s">
        <v>567</v>
      </c>
      <c r="P115" s="231">
        <v>0.75</v>
      </c>
      <c r="Q115" s="218">
        <v>1</v>
      </c>
      <c r="R115" s="213">
        <v>1000</v>
      </c>
      <c r="S115" s="210" t="s">
        <v>563</v>
      </c>
      <c r="T115" s="210" t="s">
        <v>564</v>
      </c>
      <c r="U115" s="210" t="s">
        <v>237</v>
      </c>
    </row>
    <row r="116" spans="1:21" ht="45.75">
      <c r="A116" s="26"/>
      <c r="B116" s="43"/>
      <c r="C116" s="50"/>
      <c r="D116" s="192" t="s">
        <v>556</v>
      </c>
      <c r="E116" s="191" t="s">
        <v>557</v>
      </c>
      <c r="F116" s="91" t="s">
        <v>568</v>
      </c>
      <c r="G116" s="92" t="s">
        <v>569</v>
      </c>
      <c r="H116" s="93" t="s">
        <v>113</v>
      </c>
      <c r="I116" s="93" t="s">
        <v>214</v>
      </c>
      <c r="J116" s="94"/>
      <c r="K116" s="95"/>
      <c r="L116" s="99"/>
      <c r="M116" s="96"/>
      <c r="N116" s="70"/>
      <c r="O116" s="98"/>
      <c r="P116" s="98"/>
      <c r="Q116" s="98"/>
      <c r="R116" s="98"/>
      <c r="S116" s="98"/>
      <c r="T116" s="98"/>
      <c r="U116" s="98"/>
    </row>
    <row r="117" spans="1:21" ht="45.75">
      <c r="A117" s="44"/>
      <c r="B117" s="43"/>
      <c r="C117" s="50"/>
      <c r="D117" s="192" t="s">
        <v>570</v>
      </c>
      <c r="E117" s="191" t="s">
        <v>571</v>
      </c>
      <c r="F117" s="91" t="s">
        <v>572</v>
      </c>
      <c r="G117" s="92" t="s">
        <v>573</v>
      </c>
      <c r="H117" s="93" t="s">
        <v>113</v>
      </c>
      <c r="I117" s="93" t="s">
        <v>214</v>
      </c>
      <c r="J117" s="179" t="s">
        <v>573</v>
      </c>
      <c r="K117" s="179"/>
      <c r="L117" s="179"/>
      <c r="M117" s="210" t="s">
        <v>116</v>
      </c>
      <c r="N117" s="210" t="s">
        <v>574</v>
      </c>
      <c r="O117" s="210" t="s">
        <v>575</v>
      </c>
      <c r="P117" s="231">
        <v>0.75</v>
      </c>
      <c r="Q117" s="218">
        <v>1</v>
      </c>
      <c r="R117" s="210"/>
      <c r="S117" s="210" t="s">
        <v>563</v>
      </c>
      <c r="T117" s="210" t="s">
        <v>564</v>
      </c>
      <c r="U117" s="210" t="s">
        <v>237</v>
      </c>
    </row>
    <row r="118" spans="1:21" ht="30.75">
      <c r="A118" s="44"/>
      <c r="B118" s="43"/>
      <c r="C118" s="50"/>
      <c r="D118" s="192" t="s">
        <v>570</v>
      </c>
      <c r="E118" s="191" t="s">
        <v>571</v>
      </c>
      <c r="F118" s="91" t="s">
        <v>576</v>
      </c>
      <c r="G118" s="92" t="s">
        <v>577</v>
      </c>
      <c r="H118" s="93" t="s">
        <v>113</v>
      </c>
      <c r="I118" s="93" t="s">
        <v>214</v>
      </c>
      <c r="J118" s="94"/>
      <c r="K118" s="95"/>
      <c r="L118" s="70"/>
      <c r="M118" s="96" t="s">
        <v>126</v>
      </c>
      <c r="N118" s="70"/>
      <c r="O118" s="98"/>
      <c r="P118" s="98"/>
      <c r="Q118" s="98"/>
      <c r="R118" s="98"/>
      <c r="S118" s="98"/>
      <c r="T118" s="98"/>
      <c r="U118" s="98"/>
    </row>
    <row r="119" spans="1:21" ht="76.5">
      <c r="A119" s="27" t="s">
        <v>578</v>
      </c>
      <c r="B119" s="47">
        <v>10</v>
      </c>
      <c r="C119" s="54" t="s">
        <v>579</v>
      </c>
      <c r="D119" s="48" t="s">
        <v>580</v>
      </c>
      <c r="E119" s="80" t="s">
        <v>581</v>
      </c>
      <c r="F119" s="91" t="s">
        <v>582</v>
      </c>
      <c r="G119" s="92" t="s">
        <v>583</v>
      </c>
      <c r="H119" s="93" t="s">
        <v>113</v>
      </c>
      <c r="I119" s="93" t="s">
        <v>135</v>
      </c>
      <c r="J119" s="179" t="s">
        <v>583</v>
      </c>
      <c r="K119" s="179"/>
      <c r="L119" s="179"/>
      <c r="M119" s="210" t="s">
        <v>148</v>
      </c>
      <c r="N119" s="210" t="s">
        <v>584</v>
      </c>
      <c r="O119" s="211" t="s">
        <v>585</v>
      </c>
      <c r="P119" s="212">
        <v>90</v>
      </c>
      <c r="Q119" s="210">
        <v>100</v>
      </c>
      <c r="R119" s="210">
        <v>4000</v>
      </c>
      <c r="S119" s="210" t="s">
        <v>586</v>
      </c>
      <c r="T119" s="210" t="s">
        <v>263</v>
      </c>
      <c r="U119" s="210" t="s">
        <v>586</v>
      </c>
    </row>
    <row r="120" spans="1:21" ht="45.75">
      <c r="A120" s="27"/>
      <c r="B120" s="31">
        <v>11</v>
      </c>
      <c r="C120" s="260" t="s">
        <v>587</v>
      </c>
      <c r="D120" s="195" t="s">
        <v>588</v>
      </c>
      <c r="E120" s="194" t="s">
        <v>589</v>
      </c>
      <c r="F120" s="91" t="s">
        <v>590</v>
      </c>
      <c r="G120" s="92" t="s">
        <v>591</v>
      </c>
      <c r="H120" s="93" t="s">
        <v>113</v>
      </c>
      <c r="I120" s="93" t="s">
        <v>135</v>
      </c>
      <c r="J120" s="179" t="s">
        <v>592</v>
      </c>
      <c r="K120" s="179"/>
      <c r="L120" s="179"/>
      <c r="M120" s="210" t="s">
        <v>268</v>
      </c>
      <c r="N120" s="213" t="s">
        <v>593</v>
      </c>
      <c r="O120" s="210" t="s">
        <v>594</v>
      </c>
      <c r="P120" s="212">
        <v>1</v>
      </c>
      <c r="Q120" s="210">
        <v>4</v>
      </c>
      <c r="R120" s="210">
        <v>80</v>
      </c>
      <c r="S120" s="210" t="s">
        <v>237</v>
      </c>
      <c r="T120" s="210" t="s">
        <v>263</v>
      </c>
      <c r="U120" s="210" t="s">
        <v>181</v>
      </c>
    </row>
    <row r="121" spans="1:21" ht="30.75">
      <c r="A121" s="27"/>
      <c r="B121" s="32"/>
      <c r="C121" s="261"/>
      <c r="D121" s="195" t="s">
        <v>588</v>
      </c>
      <c r="E121" s="194" t="s">
        <v>589</v>
      </c>
      <c r="F121" s="91" t="s">
        <v>595</v>
      </c>
      <c r="G121" s="92" t="s">
        <v>596</v>
      </c>
      <c r="H121" s="93" t="s">
        <v>113</v>
      </c>
      <c r="I121" s="93" t="s">
        <v>135</v>
      </c>
      <c r="J121" s="215" t="s">
        <v>597</v>
      </c>
      <c r="K121" s="215"/>
      <c r="L121" s="215"/>
      <c r="M121" s="210" t="s">
        <v>148</v>
      </c>
      <c r="N121" s="210" t="s">
        <v>598</v>
      </c>
      <c r="O121" s="210" t="s">
        <v>599</v>
      </c>
      <c r="P121" s="212">
        <v>5</v>
      </c>
      <c r="Q121" s="210">
        <v>0</v>
      </c>
      <c r="R121" s="210">
        <v>40</v>
      </c>
      <c r="S121" s="210" t="s">
        <v>139</v>
      </c>
      <c r="T121" s="210" t="s">
        <v>263</v>
      </c>
      <c r="U121" s="210" t="s">
        <v>181</v>
      </c>
    </row>
    <row r="122" spans="1:21" ht="30.75">
      <c r="A122" s="27"/>
      <c r="B122" s="32"/>
      <c r="C122" s="261"/>
      <c r="D122" s="195" t="s">
        <v>588</v>
      </c>
      <c r="E122" s="194" t="s">
        <v>589</v>
      </c>
      <c r="F122" s="91" t="s">
        <v>600</v>
      </c>
      <c r="G122" s="92" t="s">
        <v>601</v>
      </c>
      <c r="H122" s="93" t="s">
        <v>155</v>
      </c>
      <c r="I122" s="93" t="s">
        <v>135</v>
      </c>
      <c r="J122" s="179" t="s">
        <v>601</v>
      </c>
      <c r="K122" s="179"/>
      <c r="L122" s="179"/>
      <c r="M122" s="210" t="s">
        <v>126</v>
      </c>
      <c r="N122" s="210" t="s">
        <v>602</v>
      </c>
      <c r="O122" s="210" t="s">
        <v>603</v>
      </c>
      <c r="P122" s="212">
        <v>1</v>
      </c>
      <c r="Q122" s="210">
        <v>1</v>
      </c>
      <c r="R122" s="210">
        <v>200</v>
      </c>
      <c r="S122" s="210" t="s">
        <v>296</v>
      </c>
      <c r="T122" s="210" t="s">
        <v>182</v>
      </c>
      <c r="U122" s="210" t="s">
        <v>121</v>
      </c>
    </row>
    <row r="123" spans="1:21" ht="60.75">
      <c r="A123" s="27"/>
      <c r="B123" s="32"/>
      <c r="C123" s="30"/>
      <c r="D123" s="195" t="s">
        <v>588</v>
      </c>
      <c r="E123" s="194" t="s">
        <v>589</v>
      </c>
      <c r="F123" s="91" t="s">
        <v>604</v>
      </c>
      <c r="G123" s="92" t="s">
        <v>605</v>
      </c>
      <c r="H123" s="93" t="s">
        <v>113</v>
      </c>
      <c r="I123" s="93" t="s">
        <v>135</v>
      </c>
      <c r="J123" s="179" t="s">
        <v>606</v>
      </c>
      <c r="K123" s="179"/>
      <c r="L123" s="179"/>
      <c r="M123" s="210" t="s">
        <v>126</v>
      </c>
      <c r="N123" s="213" t="s">
        <v>607</v>
      </c>
      <c r="O123" s="210" t="s">
        <v>608</v>
      </c>
      <c r="P123" s="212">
        <v>1</v>
      </c>
      <c r="Q123" s="210">
        <v>1</v>
      </c>
      <c r="R123" s="210">
        <v>400</v>
      </c>
      <c r="S123" s="210" t="s">
        <v>609</v>
      </c>
      <c r="T123" s="210" t="s">
        <v>483</v>
      </c>
      <c r="U123" s="210" t="s">
        <v>237</v>
      </c>
    </row>
    <row r="124" spans="1:21" ht="45.75">
      <c r="A124" s="27"/>
      <c r="B124" s="46"/>
      <c r="C124" s="45"/>
      <c r="D124" s="195" t="s">
        <v>588</v>
      </c>
      <c r="E124" s="194" t="s">
        <v>589</v>
      </c>
      <c r="F124" s="91" t="s">
        <v>610</v>
      </c>
      <c r="G124" s="92" t="s">
        <v>611</v>
      </c>
      <c r="H124" s="93" t="s">
        <v>113</v>
      </c>
      <c r="I124" s="93" t="s">
        <v>135</v>
      </c>
      <c r="J124" s="179" t="s">
        <v>612</v>
      </c>
      <c r="K124" s="179"/>
      <c r="L124" s="179"/>
      <c r="M124" s="210" t="s">
        <v>148</v>
      </c>
      <c r="N124" s="210" t="s">
        <v>613</v>
      </c>
      <c r="O124" s="210" t="s">
        <v>614</v>
      </c>
      <c r="P124" s="212">
        <v>0</v>
      </c>
      <c r="Q124" s="210">
        <v>0</v>
      </c>
      <c r="R124" s="210">
        <v>80</v>
      </c>
      <c r="S124" s="210" t="s">
        <v>615</v>
      </c>
      <c r="T124" s="210" t="s">
        <v>483</v>
      </c>
      <c r="U124" s="210" t="s">
        <v>615</v>
      </c>
    </row>
    <row r="125" spans="1:21" ht="30.75">
      <c r="A125" s="27"/>
      <c r="B125" s="46"/>
      <c r="C125" s="45"/>
      <c r="D125" s="195" t="s">
        <v>588</v>
      </c>
      <c r="E125" s="194" t="s">
        <v>589</v>
      </c>
      <c r="F125" s="91" t="s">
        <v>616</v>
      </c>
      <c r="G125" s="92" t="s">
        <v>617</v>
      </c>
      <c r="H125" s="93" t="s">
        <v>113</v>
      </c>
      <c r="I125" s="93" t="s">
        <v>135</v>
      </c>
      <c r="J125" s="94"/>
      <c r="K125" s="95"/>
      <c r="L125" s="94"/>
      <c r="M125" s="96"/>
      <c r="N125" s="94"/>
      <c r="O125" s="98"/>
      <c r="P125" s="98"/>
      <c r="Q125" s="98"/>
      <c r="R125" s="98"/>
      <c r="S125" s="98"/>
      <c r="T125" s="98"/>
      <c r="U125" s="98"/>
    </row>
    <row r="126" spans="1:21" ht="30.75">
      <c r="A126" s="27"/>
      <c r="B126" s="32"/>
      <c r="C126" s="30"/>
      <c r="D126" s="195" t="s">
        <v>588</v>
      </c>
      <c r="E126" s="194" t="s">
        <v>589</v>
      </c>
      <c r="F126" s="91" t="s">
        <v>618</v>
      </c>
      <c r="G126" s="92" t="s">
        <v>619</v>
      </c>
      <c r="H126" s="93" t="s">
        <v>155</v>
      </c>
      <c r="I126" s="93" t="s">
        <v>135</v>
      </c>
      <c r="J126" s="94"/>
      <c r="K126" s="95"/>
      <c r="L126" s="94"/>
      <c r="M126" s="96"/>
      <c r="N126" s="94"/>
      <c r="O126" s="98"/>
      <c r="P126" s="98"/>
      <c r="Q126" s="98"/>
      <c r="R126" s="98"/>
      <c r="S126" s="98"/>
      <c r="T126" s="98"/>
      <c r="U126" s="98"/>
    </row>
    <row r="127" spans="1:21" ht="30.75">
      <c r="A127" s="27"/>
      <c r="B127" s="32"/>
      <c r="C127" s="30"/>
      <c r="D127" s="195" t="s">
        <v>588</v>
      </c>
      <c r="E127" s="194" t="s">
        <v>589</v>
      </c>
      <c r="F127" s="91" t="s">
        <v>620</v>
      </c>
      <c r="G127" s="92" t="s">
        <v>621</v>
      </c>
      <c r="H127" s="93" t="s">
        <v>155</v>
      </c>
      <c r="I127" s="93" t="s">
        <v>135</v>
      </c>
      <c r="J127" s="94"/>
      <c r="K127" s="95"/>
      <c r="L127" s="94"/>
      <c r="M127" s="96"/>
      <c r="N127" s="94"/>
      <c r="O127" s="98"/>
      <c r="P127" s="98"/>
      <c r="Q127" s="98"/>
      <c r="R127" s="98"/>
      <c r="S127" s="98"/>
      <c r="T127" s="98"/>
      <c r="U127" s="98"/>
    </row>
    <row r="128" spans="1:21" ht="30.75">
      <c r="A128" s="27"/>
      <c r="B128" s="32"/>
      <c r="C128" s="30"/>
      <c r="D128" s="195" t="s">
        <v>588</v>
      </c>
      <c r="E128" s="194" t="s">
        <v>589</v>
      </c>
      <c r="F128" s="91" t="s">
        <v>622</v>
      </c>
      <c r="G128" s="92" t="s">
        <v>623</v>
      </c>
      <c r="H128" s="93" t="s">
        <v>155</v>
      </c>
      <c r="I128" s="93" t="s">
        <v>135</v>
      </c>
      <c r="J128" s="179" t="s">
        <v>623</v>
      </c>
      <c r="K128" s="179"/>
      <c r="L128" s="179"/>
      <c r="M128" s="210" t="s">
        <v>116</v>
      </c>
      <c r="N128" s="210" t="s">
        <v>624</v>
      </c>
      <c r="O128" s="210" t="s">
        <v>625</v>
      </c>
      <c r="P128" s="212">
        <v>1</v>
      </c>
      <c r="Q128" s="210">
        <v>1</v>
      </c>
      <c r="R128" s="210">
        <v>40</v>
      </c>
      <c r="S128" s="210" t="s">
        <v>165</v>
      </c>
      <c r="T128" s="210" t="s">
        <v>122</v>
      </c>
      <c r="U128" s="210" t="s">
        <v>165</v>
      </c>
    </row>
    <row r="129" spans="1:21" ht="30.75">
      <c r="A129" s="27"/>
      <c r="B129" s="32"/>
      <c r="C129" s="30"/>
      <c r="D129" s="195" t="s">
        <v>588</v>
      </c>
      <c r="E129" s="194" t="s">
        <v>589</v>
      </c>
      <c r="F129" s="91" t="s">
        <v>626</v>
      </c>
      <c r="G129" s="92" t="s">
        <v>627</v>
      </c>
      <c r="H129" s="93" t="s">
        <v>155</v>
      </c>
      <c r="I129" s="93" t="s">
        <v>135</v>
      </c>
      <c r="J129" s="179" t="s">
        <v>627</v>
      </c>
      <c r="K129" s="179"/>
      <c r="L129" s="179"/>
      <c r="M129" s="210" t="s">
        <v>116</v>
      </c>
      <c r="N129" s="210" t="s">
        <v>628</v>
      </c>
      <c r="O129" s="210" t="s">
        <v>625</v>
      </c>
      <c r="P129" s="212">
        <v>1</v>
      </c>
      <c r="Q129" s="210">
        <v>1</v>
      </c>
      <c r="R129" s="210">
        <v>40</v>
      </c>
      <c r="S129" s="210" t="s">
        <v>165</v>
      </c>
      <c r="T129" s="210" t="s">
        <v>122</v>
      </c>
      <c r="U129" s="210" t="s">
        <v>165</v>
      </c>
    </row>
    <row r="130" spans="1:21" ht="30.75">
      <c r="A130" s="27"/>
      <c r="B130" s="32"/>
      <c r="C130" s="30"/>
      <c r="D130" s="195" t="s">
        <v>588</v>
      </c>
      <c r="E130" s="194" t="s">
        <v>589</v>
      </c>
      <c r="F130" s="91" t="s">
        <v>626</v>
      </c>
      <c r="G130" s="92" t="s">
        <v>627</v>
      </c>
      <c r="H130" s="93" t="s">
        <v>155</v>
      </c>
      <c r="I130" s="93" t="s">
        <v>135</v>
      </c>
      <c r="J130" s="179"/>
      <c r="K130" s="179"/>
      <c r="L130" s="179"/>
      <c r="M130" s="210" t="s">
        <v>148</v>
      </c>
      <c r="N130" s="210" t="s">
        <v>629</v>
      </c>
      <c r="O130" s="210" t="s">
        <v>630</v>
      </c>
      <c r="P130" s="212">
        <v>1</v>
      </c>
      <c r="Q130" s="210">
        <v>2</v>
      </c>
      <c r="R130" s="210"/>
      <c r="S130" s="210" t="s">
        <v>237</v>
      </c>
      <c r="T130" s="210" t="s">
        <v>263</v>
      </c>
      <c r="U130" s="210" t="s">
        <v>165</v>
      </c>
    </row>
    <row r="131" spans="1:21" ht="30.75">
      <c r="A131" s="27"/>
      <c r="B131" s="32"/>
      <c r="C131" s="30"/>
      <c r="D131" s="195" t="s">
        <v>588</v>
      </c>
      <c r="E131" s="194" t="s">
        <v>589</v>
      </c>
      <c r="F131" s="91" t="s">
        <v>631</v>
      </c>
      <c r="G131" s="92" t="s">
        <v>632</v>
      </c>
      <c r="H131" s="93" t="s">
        <v>113</v>
      </c>
      <c r="I131" s="93" t="s">
        <v>135</v>
      </c>
      <c r="J131" s="94"/>
      <c r="K131" s="95"/>
      <c r="L131" s="94"/>
      <c r="M131" s="96"/>
      <c r="N131" s="94"/>
      <c r="O131" s="98"/>
      <c r="P131" s="98"/>
      <c r="Q131" s="98"/>
      <c r="R131" s="98"/>
      <c r="S131" s="98"/>
      <c r="T131" s="98"/>
      <c r="U131" s="98"/>
    </row>
    <row r="132" spans="1:21" ht="30.75">
      <c r="A132" s="27"/>
      <c r="B132" s="32"/>
      <c r="C132" s="30"/>
      <c r="D132" s="195" t="s">
        <v>588</v>
      </c>
      <c r="E132" s="194" t="s">
        <v>589</v>
      </c>
      <c r="F132" s="91" t="s">
        <v>633</v>
      </c>
      <c r="G132" s="92" t="s">
        <v>634</v>
      </c>
      <c r="H132" s="93" t="s">
        <v>113</v>
      </c>
      <c r="I132" s="93" t="s">
        <v>135</v>
      </c>
      <c r="J132" s="94"/>
      <c r="K132" s="95"/>
      <c r="L132" s="94"/>
      <c r="M132" s="96"/>
      <c r="N132" s="94"/>
      <c r="O132" s="98"/>
      <c r="P132" s="98"/>
      <c r="Q132" s="98"/>
      <c r="R132" s="98"/>
      <c r="S132" s="98"/>
      <c r="T132" s="98"/>
      <c r="U132" s="98"/>
    </row>
    <row r="133" spans="1:21" ht="60.75">
      <c r="A133" s="27"/>
      <c r="B133" s="32"/>
      <c r="C133" s="30"/>
      <c r="D133" s="195" t="s">
        <v>635</v>
      </c>
      <c r="E133" s="196" t="s">
        <v>636</v>
      </c>
      <c r="F133" s="93" t="s">
        <v>637</v>
      </c>
      <c r="G133" s="92" t="s">
        <v>638</v>
      </c>
      <c r="H133" s="93" t="s">
        <v>113</v>
      </c>
      <c r="I133" s="93" t="s">
        <v>135</v>
      </c>
      <c r="J133" s="179" t="s">
        <v>639</v>
      </c>
      <c r="K133" s="179"/>
      <c r="L133" s="179"/>
      <c r="M133" s="210" t="s">
        <v>116</v>
      </c>
      <c r="N133" s="210" t="s">
        <v>640</v>
      </c>
      <c r="O133" s="211" t="s">
        <v>641</v>
      </c>
      <c r="P133" s="212">
        <v>90</v>
      </c>
      <c r="Q133" s="210">
        <v>100</v>
      </c>
      <c r="R133" s="210">
        <v>400</v>
      </c>
      <c r="S133" s="210" t="s">
        <v>152</v>
      </c>
      <c r="T133" s="210" t="s">
        <v>368</v>
      </c>
      <c r="U133" s="210" t="s">
        <v>152</v>
      </c>
    </row>
    <row r="134" spans="1:21" ht="45.75">
      <c r="A134" s="27"/>
      <c r="B134" s="32"/>
      <c r="C134" s="30"/>
      <c r="D134" s="195" t="s">
        <v>635</v>
      </c>
      <c r="E134" s="196" t="s">
        <v>636</v>
      </c>
      <c r="F134" s="93" t="s">
        <v>642</v>
      </c>
      <c r="G134" s="92" t="s">
        <v>643</v>
      </c>
      <c r="H134" s="93" t="s">
        <v>113</v>
      </c>
      <c r="I134" s="93" t="s">
        <v>135</v>
      </c>
      <c r="J134" s="179" t="s">
        <v>643</v>
      </c>
      <c r="K134" s="179"/>
      <c r="L134" s="179"/>
      <c r="M134" s="210" t="s">
        <v>116</v>
      </c>
      <c r="N134" s="210" t="s">
        <v>644</v>
      </c>
      <c r="O134" s="211" t="s">
        <v>645</v>
      </c>
      <c r="P134" s="212">
        <v>90</v>
      </c>
      <c r="Q134" s="210">
        <v>100</v>
      </c>
      <c r="R134" s="210">
        <v>400</v>
      </c>
      <c r="S134" s="210" t="s">
        <v>152</v>
      </c>
      <c r="T134" s="210" t="s">
        <v>368</v>
      </c>
      <c r="U134" s="210" t="s">
        <v>152</v>
      </c>
    </row>
    <row r="135" spans="1:21" ht="60.75">
      <c r="A135" s="27"/>
      <c r="B135" s="32"/>
      <c r="C135" s="30"/>
      <c r="D135" s="195" t="s">
        <v>635</v>
      </c>
      <c r="E135" s="196" t="s">
        <v>636</v>
      </c>
      <c r="F135" s="93" t="s">
        <v>646</v>
      </c>
      <c r="G135" s="92"/>
      <c r="H135" s="93"/>
      <c r="I135" s="93"/>
      <c r="J135" s="179" t="s">
        <v>647</v>
      </c>
      <c r="K135" s="179"/>
      <c r="L135" s="179"/>
      <c r="M135" s="210" t="s">
        <v>148</v>
      </c>
      <c r="N135" s="210" t="s">
        <v>648</v>
      </c>
      <c r="O135" s="211" t="s">
        <v>649</v>
      </c>
      <c r="P135" s="212">
        <v>100</v>
      </c>
      <c r="Q135" s="210">
        <v>200</v>
      </c>
      <c r="R135" s="210">
        <v>1000</v>
      </c>
      <c r="S135" s="210" t="s">
        <v>237</v>
      </c>
      <c r="T135" s="210" t="s">
        <v>263</v>
      </c>
      <c r="U135" s="210" t="s">
        <v>237</v>
      </c>
    </row>
    <row r="136" spans="1:21" ht="30.75">
      <c r="A136" s="27"/>
      <c r="B136" s="32"/>
      <c r="C136" s="30"/>
      <c r="D136" s="195" t="s">
        <v>650</v>
      </c>
      <c r="E136" s="194" t="s">
        <v>651</v>
      </c>
      <c r="F136" s="91" t="s">
        <v>652</v>
      </c>
      <c r="G136" s="92" t="s">
        <v>653</v>
      </c>
      <c r="H136" s="93" t="s">
        <v>113</v>
      </c>
      <c r="I136" s="93" t="s">
        <v>135</v>
      </c>
      <c r="J136" s="179" t="s">
        <v>654</v>
      </c>
      <c r="K136" s="179"/>
      <c r="L136" s="179"/>
      <c r="M136" s="210" t="s">
        <v>116</v>
      </c>
      <c r="N136" s="210" t="s">
        <v>655</v>
      </c>
      <c r="O136" s="211" t="s">
        <v>656</v>
      </c>
      <c r="P136" s="212">
        <v>2</v>
      </c>
      <c r="Q136" s="210">
        <v>2</v>
      </c>
      <c r="R136" s="210">
        <v>400</v>
      </c>
      <c r="S136" s="210" t="s">
        <v>609</v>
      </c>
      <c r="T136" s="210" t="s">
        <v>483</v>
      </c>
      <c r="U136" s="210" t="s">
        <v>237</v>
      </c>
    </row>
    <row r="137" spans="1:21" ht="30.75">
      <c r="A137" s="27"/>
      <c r="B137" s="32"/>
      <c r="C137" s="30"/>
      <c r="D137" s="195" t="s">
        <v>650</v>
      </c>
      <c r="E137" s="194" t="s">
        <v>651</v>
      </c>
      <c r="F137" s="91" t="s">
        <v>657</v>
      </c>
      <c r="G137" s="92" t="s">
        <v>658</v>
      </c>
      <c r="H137" s="93" t="s">
        <v>113</v>
      </c>
      <c r="I137" s="93" t="s">
        <v>135</v>
      </c>
      <c r="J137" s="94"/>
      <c r="K137" s="95"/>
      <c r="L137" s="94"/>
      <c r="M137" s="96"/>
      <c r="N137" s="94"/>
      <c r="O137" s="98"/>
      <c r="P137" s="98"/>
      <c r="Q137" s="98"/>
      <c r="R137" s="98"/>
      <c r="S137" s="98"/>
      <c r="T137" s="98"/>
      <c r="U137" s="98"/>
    </row>
    <row r="138" spans="1:21" ht="30.75">
      <c r="A138" s="27"/>
      <c r="B138" s="32"/>
      <c r="C138" s="30"/>
      <c r="D138" s="195" t="s">
        <v>650</v>
      </c>
      <c r="E138" s="194" t="s">
        <v>651</v>
      </c>
      <c r="F138" s="91" t="s">
        <v>659</v>
      </c>
      <c r="G138" s="92" t="s">
        <v>660</v>
      </c>
      <c r="H138" s="93" t="s">
        <v>155</v>
      </c>
      <c r="I138" s="93" t="s">
        <v>135</v>
      </c>
      <c r="J138" s="94"/>
      <c r="K138" s="95"/>
      <c r="L138" s="94"/>
      <c r="M138" s="96"/>
      <c r="N138" s="94"/>
      <c r="O138" s="98"/>
      <c r="P138" s="98"/>
      <c r="Q138" s="98"/>
      <c r="R138" s="98"/>
      <c r="S138" s="98"/>
      <c r="T138" s="98"/>
      <c r="U138" s="98"/>
    </row>
    <row r="139" spans="1:21" ht="30.75">
      <c r="A139" s="27"/>
      <c r="B139" s="32"/>
      <c r="C139" s="30"/>
      <c r="D139" s="195" t="s">
        <v>650</v>
      </c>
      <c r="E139" s="194" t="s">
        <v>651</v>
      </c>
      <c r="F139" s="91" t="s">
        <v>661</v>
      </c>
      <c r="G139" s="92" t="s">
        <v>662</v>
      </c>
      <c r="H139" s="93" t="s">
        <v>113</v>
      </c>
      <c r="I139" s="93" t="s">
        <v>135</v>
      </c>
      <c r="J139" s="94"/>
      <c r="K139" s="95"/>
      <c r="L139" s="94"/>
      <c r="M139" s="96"/>
      <c r="N139" s="94"/>
      <c r="O139" s="98"/>
      <c r="P139" s="98"/>
      <c r="Q139" s="98"/>
      <c r="R139" s="98"/>
      <c r="S139" s="98"/>
      <c r="T139" s="98"/>
      <c r="U139" s="98"/>
    </row>
    <row r="140" spans="1:21" ht="60.75">
      <c r="A140" s="27"/>
      <c r="B140" s="32"/>
      <c r="C140" s="30"/>
      <c r="D140" s="195" t="s">
        <v>650</v>
      </c>
      <c r="E140" s="194" t="s">
        <v>651</v>
      </c>
      <c r="F140" s="91" t="s">
        <v>663</v>
      </c>
      <c r="G140" s="92" t="s">
        <v>664</v>
      </c>
      <c r="H140" s="93" t="s">
        <v>113</v>
      </c>
      <c r="I140" s="93" t="s">
        <v>135</v>
      </c>
      <c r="J140" s="179" t="s">
        <v>665</v>
      </c>
      <c r="K140" s="179"/>
      <c r="L140" s="179"/>
      <c r="M140" s="210" t="s">
        <v>148</v>
      </c>
      <c r="N140" s="210" t="s">
        <v>666</v>
      </c>
      <c r="O140" s="210" t="s">
        <v>667</v>
      </c>
      <c r="P140" s="212">
        <v>5</v>
      </c>
      <c r="Q140" s="210">
        <v>0</v>
      </c>
      <c r="R140" s="210">
        <v>200</v>
      </c>
      <c r="S140" s="210" t="s">
        <v>609</v>
      </c>
      <c r="T140" s="210" t="s">
        <v>483</v>
      </c>
      <c r="U140" s="210" t="s">
        <v>152</v>
      </c>
    </row>
    <row r="141" spans="1:21" ht="45.75">
      <c r="A141" s="27"/>
      <c r="B141" s="32"/>
      <c r="C141" s="30"/>
      <c r="D141" s="195" t="s">
        <v>668</v>
      </c>
      <c r="E141" s="194" t="s">
        <v>669</v>
      </c>
      <c r="F141" s="91" t="s">
        <v>670</v>
      </c>
      <c r="G141" s="92" t="s">
        <v>671</v>
      </c>
      <c r="H141" s="93" t="s">
        <v>113</v>
      </c>
      <c r="I141" s="93" t="s">
        <v>135</v>
      </c>
      <c r="J141" s="179" t="s">
        <v>672</v>
      </c>
      <c r="K141" s="179"/>
      <c r="L141" s="179"/>
      <c r="M141" s="210" t="s">
        <v>148</v>
      </c>
      <c r="N141" s="210" t="s">
        <v>673</v>
      </c>
      <c r="O141" s="210" t="s">
        <v>674</v>
      </c>
      <c r="P141" s="212">
        <v>9</v>
      </c>
      <c r="Q141" s="210">
        <v>12</v>
      </c>
      <c r="R141" s="210">
        <v>40</v>
      </c>
      <c r="S141" s="210" t="s">
        <v>237</v>
      </c>
      <c r="T141" s="210" t="s">
        <v>263</v>
      </c>
      <c r="U141" s="210" t="s">
        <v>237</v>
      </c>
    </row>
    <row r="142" spans="1:21" ht="45.75">
      <c r="A142" s="27"/>
      <c r="B142" s="32"/>
      <c r="C142" s="30"/>
      <c r="D142" s="195" t="s">
        <v>668</v>
      </c>
      <c r="E142" s="194" t="s">
        <v>669</v>
      </c>
      <c r="F142" s="91" t="s">
        <v>675</v>
      </c>
      <c r="G142" s="92" t="s">
        <v>676</v>
      </c>
      <c r="H142" s="93" t="s">
        <v>113</v>
      </c>
      <c r="I142" s="93" t="s">
        <v>135</v>
      </c>
      <c r="J142" s="179" t="s">
        <v>677</v>
      </c>
      <c r="K142" s="179"/>
      <c r="L142" s="179"/>
      <c r="M142" s="210" t="s">
        <v>148</v>
      </c>
      <c r="N142" s="210" t="s">
        <v>678</v>
      </c>
      <c r="O142" s="210" t="s">
        <v>679</v>
      </c>
      <c r="P142" s="212">
        <v>12</v>
      </c>
      <c r="Q142" s="210">
        <v>12</v>
      </c>
      <c r="R142" s="210">
        <v>40</v>
      </c>
      <c r="S142" s="210" t="s">
        <v>237</v>
      </c>
      <c r="T142" s="210" t="s">
        <v>263</v>
      </c>
      <c r="U142" s="210" t="s">
        <v>237</v>
      </c>
    </row>
    <row r="143" spans="1:21" ht="30.75">
      <c r="A143" s="27"/>
      <c r="B143" s="32"/>
      <c r="C143" s="30"/>
      <c r="D143" s="195" t="s">
        <v>680</v>
      </c>
      <c r="E143" s="194" t="s">
        <v>681</v>
      </c>
      <c r="F143" s="91" t="s">
        <v>682</v>
      </c>
      <c r="G143" s="92" t="s">
        <v>683</v>
      </c>
      <c r="H143" s="93" t="s">
        <v>113</v>
      </c>
      <c r="I143" s="93" t="s">
        <v>135</v>
      </c>
      <c r="J143" s="179" t="s">
        <v>684</v>
      </c>
      <c r="K143" s="179"/>
      <c r="L143" s="179"/>
      <c r="M143" s="210" t="s">
        <v>126</v>
      </c>
      <c r="N143" s="210" t="s">
        <v>685</v>
      </c>
      <c r="O143" s="210" t="s">
        <v>686</v>
      </c>
      <c r="P143" s="212">
        <v>1</v>
      </c>
      <c r="Q143" s="210">
        <v>1</v>
      </c>
      <c r="R143" s="210">
        <v>40</v>
      </c>
      <c r="S143" s="210" t="s">
        <v>494</v>
      </c>
      <c r="T143" s="210" t="s">
        <v>483</v>
      </c>
      <c r="U143" s="210" t="s">
        <v>494</v>
      </c>
    </row>
    <row r="144" spans="1:21" ht="30.75">
      <c r="A144" s="27"/>
      <c r="B144" s="32"/>
      <c r="C144" s="30"/>
      <c r="D144" s="195" t="s">
        <v>680</v>
      </c>
      <c r="E144" s="194" t="s">
        <v>681</v>
      </c>
      <c r="F144" s="91" t="s">
        <v>687</v>
      </c>
      <c r="G144" s="92" t="s">
        <v>688</v>
      </c>
      <c r="H144" s="93" t="s">
        <v>113</v>
      </c>
      <c r="I144" s="93" t="s">
        <v>135</v>
      </c>
      <c r="J144" s="179" t="s">
        <v>689</v>
      </c>
      <c r="K144" s="179"/>
      <c r="L144" s="179"/>
      <c r="M144" s="210" t="s">
        <v>126</v>
      </c>
      <c r="N144" s="210" t="s">
        <v>690</v>
      </c>
      <c r="O144" s="211" t="s">
        <v>691</v>
      </c>
      <c r="P144" s="212">
        <v>8</v>
      </c>
      <c r="Q144" s="210">
        <v>40</v>
      </c>
      <c r="R144" s="210">
        <v>200</v>
      </c>
      <c r="S144" s="210" t="s">
        <v>494</v>
      </c>
      <c r="T144" s="210" t="s">
        <v>483</v>
      </c>
      <c r="U144" s="210" t="s">
        <v>494</v>
      </c>
    </row>
    <row r="145" spans="1:21" ht="60.75">
      <c r="A145" s="27"/>
      <c r="B145" s="32"/>
      <c r="C145" s="30"/>
      <c r="D145" s="195" t="s">
        <v>680</v>
      </c>
      <c r="E145" s="194" t="s">
        <v>681</v>
      </c>
      <c r="F145" s="91" t="s">
        <v>692</v>
      </c>
      <c r="G145" s="92"/>
      <c r="H145" s="93"/>
      <c r="I145" s="93"/>
      <c r="J145" s="179" t="s">
        <v>693</v>
      </c>
      <c r="K145" s="179"/>
      <c r="L145" s="179"/>
      <c r="M145" s="210" t="s">
        <v>148</v>
      </c>
      <c r="N145" s="210" t="s">
        <v>694</v>
      </c>
      <c r="O145" s="211" t="s">
        <v>695</v>
      </c>
      <c r="P145" s="212">
        <v>0</v>
      </c>
      <c r="Q145" s="210">
        <v>0</v>
      </c>
      <c r="R145" s="210">
        <v>200</v>
      </c>
      <c r="S145" s="210" t="s">
        <v>165</v>
      </c>
      <c r="T145" s="210" t="s">
        <v>122</v>
      </c>
      <c r="U145" s="210" t="s">
        <v>165</v>
      </c>
    </row>
    <row r="146" spans="1:21" ht="45.75">
      <c r="A146" s="27"/>
      <c r="B146" s="32"/>
      <c r="C146" s="30"/>
      <c r="D146" s="195" t="s">
        <v>680</v>
      </c>
      <c r="E146" s="194" t="s">
        <v>681</v>
      </c>
      <c r="F146" s="91" t="s">
        <v>696</v>
      </c>
      <c r="G146" s="92"/>
      <c r="H146" s="93"/>
      <c r="I146" s="93"/>
      <c r="J146" s="179" t="s">
        <v>697</v>
      </c>
      <c r="K146" s="179"/>
      <c r="L146" s="179"/>
      <c r="M146" s="210" t="s">
        <v>116</v>
      </c>
      <c r="N146" s="210" t="s">
        <v>698</v>
      </c>
      <c r="O146" s="210" t="s">
        <v>699</v>
      </c>
      <c r="P146" s="212">
        <v>1</v>
      </c>
      <c r="Q146" s="210">
        <v>2</v>
      </c>
      <c r="R146" s="210">
        <v>80</v>
      </c>
      <c r="S146" s="210" t="s">
        <v>494</v>
      </c>
      <c r="T146" s="210" t="s">
        <v>483</v>
      </c>
      <c r="U146" s="210" t="s">
        <v>237</v>
      </c>
    </row>
    <row r="147" spans="1:21" ht="45.75">
      <c r="A147" s="27"/>
      <c r="B147" s="32"/>
      <c r="C147" s="30"/>
      <c r="D147" s="195" t="s">
        <v>700</v>
      </c>
      <c r="E147" s="194" t="s">
        <v>701</v>
      </c>
      <c r="F147" s="91" t="s">
        <v>702</v>
      </c>
      <c r="G147" s="92" t="s">
        <v>703</v>
      </c>
      <c r="H147" s="93" t="s">
        <v>113</v>
      </c>
      <c r="I147" s="93" t="s">
        <v>214</v>
      </c>
      <c r="J147" s="179" t="s">
        <v>703</v>
      </c>
      <c r="K147" s="179"/>
      <c r="L147" s="179"/>
      <c r="M147" s="210" t="s">
        <v>116</v>
      </c>
      <c r="N147" s="210" t="s">
        <v>704</v>
      </c>
      <c r="O147" s="210" t="s">
        <v>705</v>
      </c>
      <c r="P147" s="212">
        <v>4</v>
      </c>
      <c r="Q147" s="210">
        <v>8</v>
      </c>
      <c r="R147" s="210">
        <v>80</v>
      </c>
      <c r="S147" s="210" t="s">
        <v>152</v>
      </c>
      <c r="T147" s="210" t="s">
        <v>368</v>
      </c>
      <c r="U147" s="210" t="s">
        <v>152</v>
      </c>
    </row>
    <row r="148" spans="1:21" ht="45.75">
      <c r="A148" s="27"/>
      <c r="B148" s="32"/>
      <c r="C148" s="30"/>
      <c r="D148" s="195" t="s">
        <v>700</v>
      </c>
      <c r="E148" s="194" t="s">
        <v>701</v>
      </c>
      <c r="F148" s="91" t="s">
        <v>706</v>
      </c>
      <c r="G148" s="100" t="s">
        <v>707</v>
      </c>
      <c r="H148" s="93" t="s">
        <v>113</v>
      </c>
      <c r="I148" s="93" t="s">
        <v>214</v>
      </c>
      <c r="J148" s="179" t="s">
        <v>708</v>
      </c>
      <c r="K148" s="179"/>
      <c r="L148" s="179"/>
      <c r="M148" s="210" t="s">
        <v>116</v>
      </c>
      <c r="N148" s="210" t="s">
        <v>709</v>
      </c>
      <c r="O148" s="211" t="s">
        <v>287</v>
      </c>
      <c r="P148" s="212">
        <v>1</v>
      </c>
      <c r="Q148" s="210">
        <v>1</v>
      </c>
      <c r="R148" s="210">
        <v>40</v>
      </c>
      <c r="S148" s="210" t="s">
        <v>181</v>
      </c>
      <c r="T148" s="210" t="s">
        <v>182</v>
      </c>
      <c r="U148" s="210" t="s">
        <v>181</v>
      </c>
    </row>
    <row r="149" spans="1:21" ht="29.1" customHeight="1">
      <c r="A149" s="27"/>
      <c r="B149" s="32"/>
      <c r="C149" s="30"/>
      <c r="D149" s="195" t="s">
        <v>710</v>
      </c>
      <c r="E149" s="194" t="s">
        <v>711</v>
      </c>
      <c r="F149" s="91" t="s">
        <v>712</v>
      </c>
      <c r="G149" s="92" t="s">
        <v>713</v>
      </c>
      <c r="H149" s="93" t="s">
        <v>113</v>
      </c>
      <c r="I149" s="93" t="s">
        <v>135</v>
      </c>
      <c r="J149" s="94"/>
      <c r="K149" s="95"/>
      <c r="L149" s="70"/>
      <c r="M149" s="96"/>
      <c r="N149" s="70"/>
      <c r="O149" s="98"/>
      <c r="P149" s="98"/>
      <c r="Q149" s="98"/>
      <c r="R149" s="98"/>
      <c r="S149" s="98"/>
      <c r="T149" s="98"/>
      <c r="U149" s="98"/>
    </row>
    <row r="150" spans="1:21" ht="106.5">
      <c r="A150" s="27"/>
      <c r="B150" s="32"/>
      <c r="C150" s="30"/>
      <c r="D150" s="195" t="s">
        <v>710</v>
      </c>
      <c r="E150" s="194" t="s">
        <v>711</v>
      </c>
      <c r="F150" s="91" t="s">
        <v>714</v>
      </c>
      <c r="G150" s="100" t="s">
        <v>715</v>
      </c>
      <c r="H150" s="93" t="s">
        <v>113</v>
      </c>
      <c r="I150" s="93" t="s">
        <v>135</v>
      </c>
      <c r="J150" s="179" t="s">
        <v>716</v>
      </c>
      <c r="K150" s="179"/>
      <c r="L150" s="179"/>
      <c r="M150" s="210" t="s">
        <v>148</v>
      </c>
      <c r="N150" s="210" t="s">
        <v>717</v>
      </c>
      <c r="O150" s="210" t="s">
        <v>718</v>
      </c>
      <c r="P150" s="212">
        <v>8</v>
      </c>
      <c r="Q150" s="210">
        <v>12</v>
      </c>
      <c r="R150" s="210">
        <v>2000</v>
      </c>
      <c r="S150" s="210" t="s">
        <v>349</v>
      </c>
      <c r="T150" s="210" t="s">
        <v>483</v>
      </c>
      <c r="U150" s="210" t="s">
        <v>349</v>
      </c>
    </row>
    <row r="151" spans="1:21" ht="45.75">
      <c r="A151" s="27"/>
      <c r="B151" s="32"/>
      <c r="C151" s="30"/>
      <c r="D151" s="195" t="s">
        <v>710</v>
      </c>
      <c r="E151" s="194" t="s">
        <v>711</v>
      </c>
      <c r="F151" s="91" t="s">
        <v>719</v>
      </c>
      <c r="G151" s="100" t="s">
        <v>720</v>
      </c>
      <c r="H151" s="93" t="s">
        <v>113</v>
      </c>
      <c r="I151" s="93" t="s">
        <v>135</v>
      </c>
      <c r="J151" s="94"/>
      <c r="K151" s="95"/>
      <c r="L151" s="102"/>
      <c r="M151" s="96"/>
      <c r="N151" s="102"/>
      <c r="O151" s="98"/>
      <c r="P151" s="98"/>
      <c r="Q151" s="98"/>
      <c r="R151" s="98"/>
      <c r="S151" s="98"/>
      <c r="T151" s="98"/>
      <c r="U151" s="98"/>
    </row>
    <row r="152" spans="1:21" ht="45.75">
      <c r="A152" s="27"/>
      <c r="B152" s="32"/>
      <c r="C152" s="30"/>
      <c r="D152" s="195" t="s">
        <v>710</v>
      </c>
      <c r="E152" s="194" t="s">
        <v>711</v>
      </c>
      <c r="F152" s="91" t="s">
        <v>721</v>
      </c>
      <c r="G152" s="100" t="s">
        <v>722</v>
      </c>
      <c r="H152" s="93" t="s">
        <v>113</v>
      </c>
      <c r="I152" s="93" t="s">
        <v>135</v>
      </c>
      <c r="J152" s="94"/>
      <c r="K152" s="95"/>
      <c r="L152" s="70"/>
      <c r="M152" s="96"/>
      <c r="N152" s="70"/>
      <c r="O152" s="98"/>
      <c r="P152" s="98"/>
      <c r="Q152" s="98"/>
      <c r="R152" s="98"/>
      <c r="S152" s="98"/>
      <c r="T152" s="98"/>
      <c r="U152" s="98"/>
    </row>
    <row r="153" spans="1:21" ht="45.75">
      <c r="A153" s="27"/>
      <c r="B153" s="32"/>
      <c r="C153" s="30"/>
      <c r="D153" s="195" t="s">
        <v>710</v>
      </c>
      <c r="E153" s="194" t="s">
        <v>711</v>
      </c>
      <c r="F153" s="91" t="s">
        <v>723</v>
      </c>
      <c r="G153" s="100"/>
      <c r="H153" s="93"/>
      <c r="I153" s="93"/>
      <c r="J153" s="179" t="s">
        <v>724</v>
      </c>
      <c r="K153" s="179"/>
      <c r="L153" s="179"/>
      <c r="M153" s="210" t="s">
        <v>116</v>
      </c>
      <c r="N153" s="210" t="s">
        <v>725</v>
      </c>
      <c r="O153" s="211" t="s">
        <v>726</v>
      </c>
      <c r="P153" s="212">
        <v>2</v>
      </c>
      <c r="Q153" s="210">
        <v>2</v>
      </c>
      <c r="R153" s="210">
        <v>200</v>
      </c>
      <c r="S153" s="210" t="s">
        <v>296</v>
      </c>
      <c r="T153" s="210" t="s">
        <v>182</v>
      </c>
      <c r="U153" s="210" t="s">
        <v>237</v>
      </c>
    </row>
    <row r="154" spans="1:21" ht="45.75">
      <c r="A154" s="27"/>
      <c r="B154" s="32"/>
      <c r="C154" s="30"/>
      <c r="D154" s="195" t="s">
        <v>710</v>
      </c>
      <c r="E154" s="194" t="s">
        <v>711</v>
      </c>
      <c r="F154" s="91" t="s">
        <v>727</v>
      </c>
      <c r="G154" s="100"/>
      <c r="H154" s="93"/>
      <c r="I154" s="93"/>
      <c r="J154" s="179" t="s">
        <v>728</v>
      </c>
      <c r="K154" s="179"/>
      <c r="L154" s="179"/>
      <c r="M154" s="210" t="s">
        <v>116</v>
      </c>
      <c r="N154" s="210" t="s">
        <v>729</v>
      </c>
      <c r="O154" s="211" t="s">
        <v>730</v>
      </c>
      <c r="P154" s="212">
        <v>1</v>
      </c>
      <c r="Q154" s="210">
        <v>1</v>
      </c>
      <c r="R154" s="210">
        <v>80</v>
      </c>
      <c r="S154" s="210" t="s">
        <v>152</v>
      </c>
      <c r="T154" s="210" t="s">
        <v>368</v>
      </c>
      <c r="U154" s="210" t="s">
        <v>152</v>
      </c>
    </row>
    <row r="155" spans="1:21" ht="45.75">
      <c r="A155" s="27"/>
      <c r="B155" s="32"/>
      <c r="C155" s="30"/>
      <c r="D155" s="195" t="s">
        <v>710</v>
      </c>
      <c r="E155" s="194" t="s">
        <v>711</v>
      </c>
      <c r="F155" s="91" t="s">
        <v>727</v>
      </c>
      <c r="G155" s="100"/>
      <c r="H155" s="93"/>
      <c r="I155" s="93"/>
      <c r="J155" s="179" t="s">
        <v>728</v>
      </c>
      <c r="K155" s="179"/>
      <c r="L155" s="179"/>
      <c r="M155" s="210" t="s">
        <v>116</v>
      </c>
      <c r="N155" s="210" t="s">
        <v>731</v>
      </c>
      <c r="O155" s="211" t="s">
        <v>730</v>
      </c>
      <c r="P155" s="212">
        <v>1</v>
      </c>
      <c r="Q155" s="210">
        <v>1</v>
      </c>
      <c r="R155" s="210">
        <v>80</v>
      </c>
      <c r="S155" s="210" t="s">
        <v>152</v>
      </c>
      <c r="T155" s="210" t="s">
        <v>368</v>
      </c>
      <c r="U155" s="210" t="s">
        <v>152</v>
      </c>
    </row>
    <row r="156" spans="1:21" ht="45.75">
      <c r="A156" s="27"/>
      <c r="B156" s="32"/>
      <c r="C156" s="30"/>
      <c r="D156" s="195" t="s">
        <v>710</v>
      </c>
      <c r="E156" s="194" t="s">
        <v>711</v>
      </c>
      <c r="F156" s="91" t="s">
        <v>727</v>
      </c>
      <c r="G156" s="100"/>
      <c r="H156" s="93"/>
      <c r="I156" s="93"/>
      <c r="J156" s="179" t="s">
        <v>728</v>
      </c>
      <c r="K156" s="179"/>
      <c r="L156" s="179"/>
      <c r="M156" s="210" t="s">
        <v>126</v>
      </c>
      <c r="N156" s="210" t="s">
        <v>732</v>
      </c>
      <c r="O156" s="211" t="s">
        <v>733</v>
      </c>
      <c r="P156" s="212">
        <v>1</v>
      </c>
      <c r="Q156" s="210">
        <v>1</v>
      </c>
      <c r="R156" s="210">
        <v>80</v>
      </c>
      <c r="S156" s="210" t="s">
        <v>152</v>
      </c>
      <c r="T156" s="210" t="s">
        <v>368</v>
      </c>
      <c r="U156" s="210" t="s">
        <v>152</v>
      </c>
    </row>
    <row r="157" spans="1:21" ht="45.75">
      <c r="A157" s="27"/>
      <c r="B157" s="32"/>
      <c r="C157" s="30"/>
      <c r="D157" s="195" t="s">
        <v>710</v>
      </c>
      <c r="E157" s="194" t="s">
        <v>711</v>
      </c>
      <c r="F157" s="91" t="s">
        <v>727</v>
      </c>
      <c r="G157" s="100"/>
      <c r="H157" s="93"/>
      <c r="I157" s="93"/>
      <c r="J157" s="179" t="s">
        <v>728</v>
      </c>
      <c r="K157" s="179"/>
      <c r="L157" s="179"/>
      <c r="M157" s="210" t="s">
        <v>116</v>
      </c>
      <c r="N157" s="210" t="s">
        <v>734</v>
      </c>
      <c r="O157" s="211" t="s">
        <v>735</v>
      </c>
      <c r="P157" s="212">
        <v>2</v>
      </c>
      <c r="Q157" s="210">
        <v>4</v>
      </c>
      <c r="R157" s="210">
        <v>400</v>
      </c>
      <c r="S157" s="210" t="s">
        <v>152</v>
      </c>
      <c r="T157" s="210" t="s">
        <v>368</v>
      </c>
      <c r="U157" s="210" t="s">
        <v>152</v>
      </c>
    </row>
    <row r="158" spans="1:21" ht="45.75">
      <c r="A158" s="27"/>
      <c r="B158" s="32"/>
      <c r="C158" s="30"/>
      <c r="D158" s="195" t="s">
        <v>710</v>
      </c>
      <c r="E158" s="194" t="s">
        <v>711</v>
      </c>
      <c r="F158" s="91" t="s">
        <v>727</v>
      </c>
      <c r="G158" s="100"/>
      <c r="H158" s="93"/>
      <c r="I158" s="93"/>
      <c r="J158" s="179" t="s">
        <v>728</v>
      </c>
      <c r="K158" s="179"/>
      <c r="L158" s="179"/>
      <c r="M158" s="210" t="s">
        <v>116</v>
      </c>
      <c r="N158" s="210" t="s">
        <v>736</v>
      </c>
      <c r="O158" s="211" t="s">
        <v>737</v>
      </c>
      <c r="P158" s="212">
        <v>1</v>
      </c>
      <c r="Q158" s="210">
        <v>2</v>
      </c>
      <c r="R158" s="210">
        <v>80</v>
      </c>
      <c r="S158" s="210" t="s">
        <v>152</v>
      </c>
      <c r="T158" s="210" t="s">
        <v>368</v>
      </c>
      <c r="U158" s="210" t="s">
        <v>152</v>
      </c>
    </row>
    <row r="159" spans="1:21" ht="45.75">
      <c r="A159" s="27"/>
      <c r="B159" s="32"/>
      <c r="C159" s="30"/>
      <c r="D159" s="195" t="s">
        <v>710</v>
      </c>
      <c r="E159" s="194" t="s">
        <v>711</v>
      </c>
      <c r="F159" s="91" t="s">
        <v>727</v>
      </c>
      <c r="G159" s="100"/>
      <c r="H159" s="93"/>
      <c r="I159" s="93"/>
      <c r="J159" s="179" t="s">
        <v>728</v>
      </c>
      <c r="K159" s="179"/>
      <c r="L159" s="179"/>
      <c r="M159" s="210" t="s">
        <v>126</v>
      </c>
      <c r="N159" s="210" t="s">
        <v>738</v>
      </c>
      <c r="O159" s="211" t="s">
        <v>737</v>
      </c>
      <c r="P159" s="212">
        <v>1</v>
      </c>
      <c r="Q159" s="210">
        <v>1</v>
      </c>
      <c r="R159" s="210">
        <v>80</v>
      </c>
      <c r="S159" s="210" t="s">
        <v>152</v>
      </c>
      <c r="T159" s="210" t="s">
        <v>368</v>
      </c>
      <c r="U159" s="210" t="s">
        <v>152</v>
      </c>
    </row>
    <row r="160" spans="1:21" ht="45.75">
      <c r="A160" s="27"/>
      <c r="B160" s="32"/>
      <c r="C160" s="30"/>
      <c r="D160" s="195" t="s">
        <v>710</v>
      </c>
      <c r="E160" s="194" t="s">
        <v>711</v>
      </c>
      <c r="F160" s="91" t="s">
        <v>727</v>
      </c>
      <c r="G160" s="100"/>
      <c r="H160" s="93"/>
      <c r="I160" s="93"/>
      <c r="J160" s="179" t="s">
        <v>728</v>
      </c>
      <c r="K160" s="179"/>
      <c r="L160" s="179"/>
      <c r="M160" s="210" t="s">
        <v>126</v>
      </c>
      <c r="N160" s="210" t="s">
        <v>739</v>
      </c>
      <c r="O160" s="211" t="s">
        <v>737</v>
      </c>
      <c r="P160" s="212">
        <v>1</v>
      </c>
      <c r="Q160" s="210">
        <v>1</v>
      </c>
      <c r="R160" s="210">
        <v>80</v>
      </c>
      <c r="S160" s="210" t="s">
        <v>152</v>
      </c>
      <c r="T160" s="210" t="s">
        <v>368</v>
      </c>
      <c r="U160" s="210" t="s">
        <v>152</v>
      </c>
    </row>
    <row r="161" spans="1:21" ht="45.75">
      <c r="A161" s="27"/>
      <c r="B161" s="32"/>
      <c r="C161" s="30"/>
      <c r="D161" s="195" t="s">
        <v>710</v>
      </c>
      <c r="E161" s="194" t="s">
        <v>711</v>
      </c>
      <c r="F161" s="91" t="s">
        <v>727</v>
      </c>
      <c r="G161" s="100"/>
      <c r="H161" s="93"/>
      <c r="I161" s="93"/>
      <c r="J161" s="179" t="s">
        <v>728</v>
      </c>
      <c r="K161" s="179"/>
      <c r="L161" s="179"/>
      <c r="M161" s="210" t="s">
        <v>116</v>
      </c>
      <c r="N161" s="210" t="s">
        <v>740</v>
      </c>
      <c r="O161" s="211" t="s">
        <v>737</v>
      </c>
      <c r="P161" s="212">
        <v>1</v>
      </c>
      <c r="Q161" s="210">
        <v>1</v>
      </c>
      <c r="R161" s="210">
        <v>400</v>
      </c>
      <c r="S161" s="210" t="s">
        <v>152</v>
      </c>
      <c r="T161" s="210" t="s">
        <v>368</v>
      </c>
      <c r="U161" s="210" t="s">
        <v>152</v>
      </c>
    </row>
    <row r="162" spans="1:21" ht="45.75">
      <c r="A162" s="27"/>
      <c r="B162" s="32"/>
      <c r="C162" s="30"/>
      <c r="D162" s="195" t="s">
        <v>710</v>
      </c>
      <c r="E162" s="194" t="s">
        <v>711</v>
      </c>
      <c r="F162" s="91" t="s">
        <v>727</v>
      </c>
      <c r="G162" s="100"/>
      <c r="H162" s="93"/>
      <c r="I162" s="93"/>
      <c r="J162" s="179" t="s">
        <v>728</v>
      </c>
      <c r="K162" s="179"/>
      <c r="L162" s="179"/>
      <c r="M162" s="210" t="s">
        <v>116</v>
      </c>
      <c r="N162" s="210" t="s">
        <v>741</v>
      </c>
      <c r="O162" s="211" t="s">
        <v>737</v>
      </c>
      <c r="P162" s="212">
        <v>1</v>
      </c>
      <c r="Q162" s="210">
        <v>1</v>
      </c>
      <c r="R162" s="210">
        <v>400</v>
      </c>
      <c r="S162" s="210" t="s">
        <v>152</v>
      </c>
      <c r="T162" s="210" t="s">
        <v>368</v>
      </c>
      <c r="U162" s="210" t="s">
        <v>152</v>
      </c>
    </row>
    <row r="163" spans="1:21" ht="45.75">
      <c r="A163" s="27"/>
      <c r="B163" s="32"/>
      <c r="C163" s="30"/>
      <c r="D163" s="195" t="s">
        <v>710</v>
      </c>
      <c r="E163" s="194" t="s">
        <v>711</v>
      </c>
      <c r="F163" s="91" t="s">
        <v>727</v>
      </c>
      <c r="G163" s="100"/>
      <c r="H163" s="93"/>
      <c r="I163" s="93"/>
      <c r="J163" s="179" t="s">
        <v>728</v>
      </c>
      <c r="K163" s="179"/>
      <c r="L163" s="179"/>
      <c r="M163" s="210" t="s">
        <v>126</v>
      </c>
      <c r="N163" s="210" t="s">
        <v>742</v>
      </c>
      <c r="O163" s="211" t="s">
        <v>743</v>
      </c>
      <c r="P163" s="212">
        <v>2</v>
      </c>
      <c r="Q163" s="210">
        <v>4</v>
      </c>
      <c r="R163" s="210">
        <v>80</v>
      </c>
      <c r="S163" s="210" t="s">
        <v>152</v>
      </c>
      <c r="T163" s="210" t="s">
        <v>368</v>
      </c>
      <c r="U163" s="210" t="s">
        <v>152</v>
      </c>
    </row>
    <row r="164" spans="1:21" ht="45.75">
      <c r="A164" s="27"/>
      <c r="B164" s="32"/>
      <c r="C164" s="30"/>
      <c r="D164" s="195" t="s">
        <v>710</v>
      </c>
      <c r="E164" s="194" t="s">
        <v>711</v>
      </c>
      <c r="F164" s="91" t="s">
        <v>723</v>
      </c>
      <c r="G164" s="100"/>
      <c r="H164" s="93"/>
      <c r="I164" s="93"/>
      <c r="J164" s="179" t="s">
        <v>724</v>
      </c>
      <c r="K164" s="179"/>
      <c r="L164" s="179"/>
      <c r="M164" s="210" t="s">
        <v>148</v>
      </c>
      <c r="N164" s="210" t="s">
        <v>744</v>
      </c>
      <c r="O164" s="210" t="s">
        <v>745</v>
      </c>
      <c r="P164" s="212">
        <v>1</v>
      </c>
      <c r="Q164" s="210">
        <v>1</v>
      </c>
      <c r="R164" s="210"/>
      <c r="S164" s="210" t="s">
        <v>237</v>
      </c>
      <c r="T164" s="210" t="s">
        <v>263</v>
      </c>
      <c r="U164" s="210" t="s">
        <v>181</v>
      </c>
    </row>
    <row r="165" spans="1:21" ht="45.75">
      <c r="A165" s="27"/>
      <c r="B165" s="32"/>
      <c r="C165" s="30"/>
      <c r="D165" s="195" t="s">
        <v>710</v>
      </c>
      <c r="E165" s="194" t="s">
        <v>711</v>
      </c>
      <c r="F165" s="91" t="s">
        <v>746</v>
      </c>
      <c r="G165" s="100"/>
      <c r="H165" s="93"/>
      <c r="I165" s="93"/>
      <c r="J165" s="179" t="s">
        <v>747</v>
      </c>
      <c r="K165" s="179"/>
      <c r="L165" s="179"/>
      <c r="M165" s="210" t="s">
        <v>116</v>
      </c>
      <c r="N165" s="210" t="s">
        <v>748</v>
      </c>
      <c r="O165" s="211" t="s">
        <v>749</v>
      </c>
      <c r="P165" s="212">
        <v>1</v>
      </c>
      <c r="Q165" s="210">
        <v>1</v>
      </c>
      <c r="R165" s="210">
        <v>40</v>
      </c>
      <c r="S165" s="210" t="s">
        <v>237</v>
      </c>
      <c r="T165" s="210" t="s">
        <v>263</v>
      </c>
      <c r="U165" s="210" t="s">
        <v>181</v>
      </c>
    </row>
    <row r="166" spans="1:21" ht="60.75">
      <c r="A166" s="27"/>
      <c r="B166" s="32"/>
      <c r="C166" s="30"/>
      <c r="D166" s="195" t="s">
        <v>750</v>
      </c>
      <c r="E166" s="194" t="s">
        <v>751</v>
      </c>
      <c r="F166" s="91" t="s">
        <v>752</v>
      </c>
      <c r="G166" s="92" t="s">
        <v>753</v>
      </c>
      <c r="H166" s="93" t="s">
        <v>113</v>
      </c>
      <c r="I166" s="93" t="s">
        <v>214</v>
      </c>
      <c r="J166" s="94"/>
      <c r="K166" s="95"/>
      <c r="L166" s="70"/>
      <c r="M166" s="96"/>
      <c r="N166" s="70"/>
      <c r="O166" s="98"/>
      <c r="P166" s="98"/>
      <c r="Q166" s="98"/>
      <c r="R166" s="98"/>
      <c r="S166" s="98"/>
      <c r="T166" s="98"/>
      <c r="U166" s="98"/>
    </row>
    <row r="167" spans="1:21" ht="76.5">
      <c r="A167" s="27"/>
      <c r="B167" s="32"/>
      <c r="C167" s="30"/>
      <c r="D167" s="195" t="s">
        <v>750</v>
      </c>
      <c r="E167" s="194" t="s">
        <v>751</v>
      </c>
      <c r="F167" s="91" t="s">
        <v>754</v>
      </c>
      <c r="G167" s="92" t="s">
        <v>755</v>
      </c>
      <c r="H167" s="93" t="s">
        <v>113</v>
      </c>
      <c r="I167" s="93" t="s">
        <v>135</v>
      </c>
      <c r="J167" s="179" t="s">
        <v>756</v>
      </c>
      <c r="K167" s="179"/>
      <c r="L167" s="179"/>
      <c r="M167" s="210" t="s">
        <v>148</v>
      </c>
      <c r="N167" s="210" t="s">
        <v>757</v>
      </c>
      <c r="O167" s="211" t="s">
        <v>758</v>
      </c>
      <c r="P167" s="212">
        <v>10</v>
      </c>
      <c r="Q167" s="210">
        <v>40</v>
      </c>
      <c r="R167" s="210">
        <v>80</v>
      </c>
      <c r="S167" s="210" t="s">
        <v>237</v>
      </c>
      <c r="T167" s="210" t="s">
        <v>263</v>
      </c>
      <c r="U167" s="210" t="s">
        <v>237</v>
      </c>
    </row>
    <row r="168" spans="1:21" ht="60.75">
      <c r="A168" s="27"/>
      <c r="B168" s="32"/>
      <c r="C168" s="30"/>
      <c r="D168" s="195" t="s">
        <v>750</v>
      </c>
      <c r="E168" s="194" t="s">
        <v>751</v>
      </c>
      <c r="F168" s="91" t="s">
        <v>759</v>
      </c>
      <c r="G168" s="92" t="s">
        <v>760</v>
      </c>
      <c r="H168" s="93" t="s">
        <v>113</v>
      </c>
      <c r="I168" s="93" t="s">
        <v>135</v>
      </c>
      <c r="J168" s="94"/>
      <c r="K168" s="95"/>
      <c r="L168" s="70"/>
      <c r="M168" s="96"/>
      <c r="N168" s="70"/>
      <c r="O168" s="98"/>
      <c r="P168" s="98"/>
      <c r="Q168" s="98"/>
      <c r="R168" s="98"/>
      <c r="S168" s="98"/>
      <c r="T168" s="98"/>
      <c r="U168" s="98"/>
    </row>
    <row r="169" spans="1:21" ht="45.75">
      <c r="A169" s="27"/>
      <c r="B169" s="59">
        <v>12</v>
      </c>
      <c r="C169" s="60" t="s">
        <v>761</v>
      </c>
      <c r="D169" s="195" t="s">
        <v>762</v>
      </c>
      <c r="E169" s="194" t="s">
        <v>763</v>
      </c>
      <c r="F169" s="91" t="s">
        <v>764</v>
      </c>
      <c r="G169" s="92" t="s">
        <v>765</v>
      </c>
      <c r="H169" s="93" t="s">
        <v>113</v>
      </c>
      <c r="I169" s="93" t="s">
        <v>135</v>
      </c>
      <c r="J169" s="179" t="s">
        <v>766</v>
      </c>
      <c r="K169" s="179"/>
      <c r="L169" s="179"/>
      <c r="M169" s="210" t="s">
        <v>116</v>
      </c>
      <c r="N169" s="210" t="s">
        <v>767</v>
      </c>
      <c r="O169" s="210" t="s">
        <v>227</v>
      </c>
      <c r="P169" s="212">
        <v>1</v>
      </c>
      <c r="Q169" s="210">
        <v>1</v>
      </c>
      <c r="R169" s="210">
        <v>40</v>
      </c>
      <c r="S169" s="210" t="s">
        <v>181</v>
      </c>
      <c r="T169" s="210" t="s">
        <v>182</v>
      </c>
      <c r="U169" s="210" t="s">
        <v>181</v>
      </c>
    </row>
    <row r="170" spans="1:21" ht="30.75">
      <c r="A170" s="27"/>
      <c r="B170" s="61"/>
      <c r="C170" s="62"/>
      <c r="D170" s="195" t="s">
        <v>762</v>
      </c>
      <c r="E170" s="194" t="s">
        <v>763</v>
      </c>
      <c r="F170" s="91" t="s">
        <v>768</v>
      </c>
      <c r="G170" s="92" t="s">
        <v>769</v>
      </c>
      <c r="H170" s="93" t="s">
        <v>113</v>
      </c>
      <c r="I170" s="93" t="s">
        <v>135</v>
      </c>
      <c r="J170" s="94"/>
      <c r="K170" s="95"/>
      <c r="L170" s="70"/>
      <c r="M170" s="96"/>
      <c r="N170" s="70"/>
      <c r="O170" s="98"/>
      <c r="P170" s="98"/>
      <c r="Q170" s="98"/>
      <c r="R170" s="98"/>
      <c r="S170" s="98"/>
      <c r="T170" s="98"/>
      <c r="U170" s="98"/>
    </row>
    <row r="171" spans="1:21" ht="45.75">
      <c r="A171" s="28" t="s">
        <v>770</v>
      </c>
      <c r="B171" s="241">
        <v>13</v>
      </c>
      <c r="C171" s="262" t="s">
        <v>771</v>
      </c>
      <c r="D171" s="198" t="s">
        <v>772</v>
      </c>
      <c r="E171" s="197" t="s">
        <v>773</v>
      </c>
      <c r="F171" s="103" t="s">
        <v>774</v>
      </c>
      <c r="G171" s="92" t="s">
        <v>775</v>
      </c>
      <c r="H171" s="93" t="s">
        <v>113</v>
      </c>
      <c r="I171" s="93" t="s">
        <v>135</v>
      </c>
      <c r="J171" s="179" t="s">
        <v>776</v>
      </c>
      <c r="K171" s="179"/>
      <c r="L171" s="179"/>
      <c r="M171" s="210" t="s">
        <v>116</v>
      </c>
      <c r="N171" s="210" t="s">
        <v>777</v>
      </c>
      <c r="O171" s="210" t="s">
        <v>778</v>
      </c>
      <c r="P171" s="212">
        <v>1</v>
      </c>
      <c r="Q171" s="210">
        <v>1</v>
      </c>
      <c r="R171" s="210">
        <v>200</v>
      </c>
      <c r="S171" s="210" t="s">
        <v>779</v>
      </c>
      <c r="T171" s="210" t="s">
        <v>780</v>
      </c>
      <c r="U171" s="210" t="s">
        <v>237</v>
      </c>
    </row>
    <row r="172" spans="1:21" ht="30.75">
      <c r="A172" s="28"/>
      <c r="B172" s="241"/>
      <c r="C172" s="262"/>
      <c r="D172" s="198" t="s">
        <v>772</v>
      </c>
      <c r="E172" s="197" t="s">
        <v>773</v>
      </c>
      <c r="F172" s="103" t="s">
        <v>781</v>
      </c>
      <c r="G172" s="100" t="s">
        <v>782</v>
      </c>
      <c r="H172" s="93" t="s">
        <v>113</v>
      </c>
      <c r="I172" s="93" t="s">
        <v>135</v>
      </c>
      <c r="J172" s="94" t="s">
        <v>782</v>
      </c>
      <c r="K172" s="95"/>
      <c r="L172" s="104"/>
      <c r="M172" s="210" t="s">
        <v>116</v>
      </c>
      <c r="N172" s="210" t="s">
        <v>783</v>
      </c>
      <c r="O172" s="210" t="s">
        <v>784</v>
      </c>
      <c r="P172" s="212">
        <v>1</v>
      </c>
      <c r="Q172" s="210">
        <v>1</v>
      </c>
      <c r="R172" s="210">
        <v>200</v>
      </c>
      <c r="S172" s="210" t="s">
        <v>349</v>
      </c>
      <c r="T172" s="210" t="s">
        <v>780</v>
      </c>
      <c r="U172" s="210" t="s">
        <v>349</v>
      </c>
    </row>
    <row r="173" spans="1:21" ht="30.75">
      <c r="A173" s="28"/>
      <c r="B173" s="241"/>
      <c r="C173" s="262"/>
      <c r="D173" s="198" t="s">
        <v>772</v>
      </c>
      <c r="E173" s="197" t="s">
        <v>773</v>
      </c>
      <c r="F173" s="103" t="s">
        <v>781</v>
      </c>
      <c r="G173" s="100" t="s">
        <v>782</v>
      </c>
      <c r="H173" s="93" t="s">
        <v>113</v>
      </c>
      <c r="I173" s="93" t="s">
        <v>135</v>
      </c>
      <c r="J173" s="94" t="s">
        <v>782</v>
      </c>
      <c r="K173" s="95"/>
      <c r="L173" s="104"/>
      <c r="M173" s="210" t="s">
        <v>116</v>
      </c>
      <c r="N173" s="210" t="s">
        <v>785</v>
      </c>
      <c r="O173" s="210" t="s">
        <v>786</v>
      </c>
      <c r="P173" s="212">
        <v>4</v>
      </c>
      <c r="Q173" s="210">
        <v>6</v>
      </c>
      <c r="R173" s="210">
        <v>40</v>
      </c>
      <c r="S173" s="210" t="s">
        <v>779</v>
      </c>
      <c r="T173" s="210" t="s">
        <v>780</v>
      </c>
      <c r="U173" s="210" t="s">
        <v>237</v>
      </c>
    </row>
    <row r="174" spans="1:21" ht="45.75">
      <c r="A174" s="28"/>
      <c r="B174" s="241"/>
      <c r="C174" s="262"/>
      <c r="D174" s="198" t="s">
        <v>772</v>
      </c>
      <c r="E174" s="197" t="s">
        <v>773</v>
      </c>
      <c r="F174" s="103" t="s">
        <v>787</v>
      </c>
      <c r="G174" s="92" t="s">
        <v>788</v>
      </c>
      <c r="H174" s="93" t="s">
        <v>113</v>
      </c>
      <c r="I174" s="93" t="s">
        <v>135</v>
      </c>
      <c r="J174" s="179" t="s">
        <v>789</v>
      </c>
      <c r="K174" s="179"/>
      <c r="L174" s="179"/>
      <c r="M174" s="210" t="s">
        <v>126</v>
      </c>
      <c r="N174" s="210" t="s">
        <v>790</v>
      </c>
      <c r="O174" s="210" t="s">
        <v>791</v>
      </c>
      <c r="P174" s="212">
        <v>3</v>
      </c>
      <c r="Q174" s="210">
        <v>5</v>
      </c>
      <c r="R174" s="210">
        <v>200</v>
      </c>
      <c r="S174" s="210" t="s">
        <v>349</v>
      </c>
      <c r="T174" s="210" t="s">
        <v>780</v>
      </c>
      <c r="U174" s="210" t="s">
        <v>349</v>
      </c>
    </row>
    <row r="175" spans="1:21" ht="60.75">
      <c r="A175" s="28"/>
      <c r="B175" s="241"/>
      <c r="C175" s="262"/>
      <c r="D175" s="199" t="s">
        <v>792</v>
      </c>
      <c r="E175" s="200" t="s">
        <v>793</v>
      </c>
      <c r="F175" s="91" t="s">
        <v>794</v>
      </c>
      <c r="G175" s="92" t="s">
        <v>795</v>
      </c>
      <c r="H175" s="93" t="s">
        <v>113</v>
      </c>
      <c r="I175" s="93" t="s">
        <v>135</v>
      </c>
      <c r="J175" s="179" t="s">
        <v>796</v>
      </c>
      <c r="K175" s="179"/>
      <c r="L175" s="179"/>
      <c r="M175" s="210" t="s">
        <v>116</v>
      </c>
      <c r="N175" s="210" t="s">
        <v>797</v>
      </c>
      <c r="O175" s="211" t="s">
        <v>798</v>
      </c>
      <c r="P175" s="212">
        <v>50</v>
      </c>
      <c r="Q175" s="210">
        <v>80</v>
      </c>
      <c r="R175" s="210">
        <v>80</v>
      </c>
      <c r="S175" s="210" t="s">
        <v>349</v>
      </c>
      <c r="T175" s="210" t="s">
        <v>780</v>
      </c>
      <c r="U175" s="210" t="s">
        <v>349</v>
      </c>
    </row>
    <row r="176" spans="1:21" ht="60.75">
      <c r="A176" s="28"/>
      <c r="B176" s="241"/>
      <c r="C176" s="262"/>
      <c r="D176" s="199" t="s">
        <v>792</v>
      </c>
      <c r="E176" s="200" t="s">
        <v>793</v>
      </c>
      <c r="F176" s="91" t="s">
        <v>799</v>
      </c>
      <c r="G176" s="92" t="s">
        <v>800</v>
      </c>
      <c r="H176" s="93" t="s">
        <v>113</v>
      </c>
      <c r="I176" s="93" t="s">
        <v>214</v>
      </c>
      <c r="J176" s="94"/>
      <c r="K176" s="95"/>
      <c r="L176" s="70"/>
      <c r="M176" s="96"/>
      <c r="N176" s="70"/>
      <c r="O176" s="98"/>
      <c r="P176" s="98"/>
      <c r="Q176" s="98"/>
      <c r="R176" s="98"/>
      <c r="S176" s="98"/>
      <c r="T176" s="98"/>
      <c r="U176" s="98"/>
    </row>
    <row r="177" spans="1:21" ht="60.75">
      <c r="A177" s="28"/>
      <c r="B177" s="241"/>
      <c r="C177" s="262"/>
      <c r="D177" s="199" t="s">
        <v>792</v>
      </c>
      <c r="E177" s="200" t="s">
        <v>793</v>
      </c>
      <c r="F177" s="91" t="s">
        <v>801</v>
      </c>
      <c r="G177" s="92" t="s">
        <v>802</v>
      </c>
      <c r="H177" s="93" t="s">
        <v>113</v>
      </c>
      <c r="I177" s="93" t="s">
        <v>214</v>
      </c>
      <c r="J177" s="179" t="s">
        <v>803</v>
      </c>
      <c r="K177" s="179"/>
      <c r="L177" s="179"/>
      <c r="M177" s="210" t="s">
        <v>126</v>
      </c>
      <c r="N177" s="210" t="s">
        <v>804</v>
      </c>
      <c r="O177" s="210" t="s">
        <v>805</v>
      </c>
      <c r="P177" s="212">
        <v>5</v>
      </c>
      <c r="Q177" s="210">
        <v>10</v>
      </c>
      <c r="R177" s="210">
        <v>40</v>
      </c>
      <c r="S177" s="210" t="s">
        <v>349</v>
      </c>
      <c r="T177" s="210" t="s">
        <v>780</v>
      </c>
      <c r="U177" s="210" t="s">
        <v>349</v>
      </c>
    </row>
    <row r="178" spans="1:21" ht="60.75">
      <c r="A178" s="28"/>
      <c r="B178" s="241"/>
      <c r="C178" s="262"/>
      <c r="D178" s="199" t="s">
        <v>792</v>
      </c>
      <c r="E178" s="200" t="s">
        <v>793</v>
      </c>
      <c r="F178" s="91" t="s">
        <v>806</v>
      </c>
      <c r="G178" s="92" t="s">
        <v>807</v>
      </c>
      <c r="H178" s="93" t="s">
        <v>113</v>
      </c>
      <c r="I178" s="93" t="s">
        <v>214</v>
      </c>
      <c r="J178" s="179" t="s">
        <v>808</v>
      </c>
      <c r="K178" s="179"/>
      <c r="L178" s="179"/>
      <c r="M178" s="210" t="s">
        <v>126</v>
      </c>
      <c r="N178" s="210" t="s">
        <v>809</v>
      </c>
      <c r="O178" s="210" t="s">
        <v>810</v>
      </c>
      <c r="P178" s="212">
        <v>5</v>
      </c>
      <c r="Q178" s="210">
        <v>10</v>
      </c>
      <c r="R178" s="210">
        <v>40</v>
      </c>
      <c r="S178" s="210" t="s">
        <v>779</v>
      </c>
      <c r="T178" s="210" t="s">
        <v>780</v>
      </c>
      <c r="U178" s="210" t="s">
        <v>237</v>
      </c>
    </row>
    <row r="179" spans="1:21" ht="60.75">
      <c r="A179" s="28"/>
      <c r="B179" s="241"/>
      <c r="C179" s="262"/>
      <c r="D179" s="199" t="s">
        <v>792</v>
      </c>
      <c r="E179" s="200" t="s">
        <v>793</v>
      </c>
      <c r="F179" s="91" t="s">
        <v>806</v>
      </c>
      <c r="G179" s="92" t="s">
        <v>807</v>
      </c>
      <c r="H179" s="93" t="s">
        <v>113</v>
      </c>
      <c r="I179" s="93" t="s">
        <v>214</v>
      </c>
      <c r="J179" s="179" t="s">
        <v>811</v>
      </c>
      <c r="K179" s="179"/>
      <c r="L179" s="179"/>
      <c r="M179" s="210" t="s">
        <v>126</v>
      </c>
      <c r="N179" s="210" t="s">
        <v>812</v>
      </c>
      <c r="O179" s="210" t="s">
        <v>813</v>
      </c>
      <c r="P179" s="212">
        <v>3</v>
      </c>
      <c r="Q179" s="210">
        <v>5</v>
      </c>
      <c r="R179" s="210">
        <v>40</v>
      </c>
      <c r="S179" s="210" t="s">
        <v>237</v>
      </c>
      <c r="T179" s="210" t="s">
        <v>263</v>
      </c>
      <c r="U179" s="210" t="s">
        <v>237</v>
      </c>
    </row>
    <row r="180" spans="1:21" ht="60.75">
      <c r="A180" s="28"/>
      <c r="B180" s="241"/>
      <c r="C180" s="262"/>
      <c r="D180" s="199" t="s">
        <v>792</v>
      </c>
      <c r="E180" s="200" t="s">
        <v>793</v>
      </c>
      <c r="F180" s="91" t="s">
        <v>806</v>
      </c>
      <c r="G180" s="92" t="s">
        <v>807</v>
      </c>
      <c r="H180" s="93" t="s">
        <v>113</v>
      </c>
      <c r="I180" s="93" t="s">
        <v>214</v>
      </c>
      <c r="J180" s="179" t="s">
        <v>814</v>
      </c>
      <c r="K180" s="179"/>
      <c r="L180" s="179"/>
      <c r="M180" s="210" t="s">
        <v>126</v>
      </c>
      <c r="N180" s="210" t="s">
        <v>815</v>
      </c>
      <c r="O180" s="213" t="s">
        <v>816</v>
      </c>
      <c r="P180" s="212">
        <v>4</v>
      </c>
      <c r="Q180" s="210">
        <v>8</v>
      </c>
      <c r="R180" s="210">
        <v>40</v>
      </c>
      <c r="S180" s="210" t="s">
        <v>237</v>
      </c>
      <c r="T180" s="210" t="s">
        <v>263</v>
      </c>
      <c r="U180" s="210" t="s">
        <v>237</v>
      </c>
    </row>
    <row r="181" spans="1:21" ht="45.75">
      <c r="A181" s="28"/>
      <c r="B181" s="241"/>
      <c r="C181" s="262"/>
      <c r="D181" s="199" t="s">
        <v>817</v>
      </c>
      <c r="E181" s="200" t="s">
        <v>818</v>
      </c>
      <c r="F181" s="91" t="s">
        <v>819</v>
      </c>
      <c r="G181" s="92" t="s">
        <v>820</v>
      </c>
      <c r="H181" s="93" t="s">
        <v>113</v>
      </c>
      <c r="I181" s="93" t="s">
        <v>135</v>
      </c>
      <c r="J181" s="94"/>
      <c r="K181" s="95"/>
      <c r="L181" s="70"/>
      <c r="M181" s="96"/>
      <c r="N181" s="70"/>
      <c r="O181" s="98"/>
      <c r="P181" s="98"/>
      <c r="Q181" s="98"/>
      <c r="R181" s="98"/>
      <c r="S181" s="98"/>
      <c r="T181" s="98"/>
      <c r="U181" s="98"/>
    </row>
    <row r="182" spans="1:21" ht="45.75">
      <c r="A182" s="28"/>
      <c r="B182" s="241"/>
      <c r="C182" s="262"/>
      <c r="D182" s="199" t="s">
        <v>817</v>
      </c>
      <c r="E182" s="200" t="s">
        <v>818</v>
      </c>
      <c r="F182" s="91" t="s">
        <v>821</v>
      </c>
      <c r="G182" s="92" t="s">
        <v>822</v>
      </c>
      <c r="H182" s="93" t="s">
        <v>113</v>
      </c>
      <c r="I182" s="93" t="s">
        <v>135</v>
      </c>
      <c r="J182" s="94"/>
      <c r="K182" s="95"/>
      <c r="L182" s="70"/>
      <c r="M182" s="96"/>
      <c r="N182" s="70"/>
      <c r="O182" s="98"/>
      <c r="P182" s="98"/>
      <c r="Q182" s="98"/>
      <c r="R182" s="98"/>
      <c r="S182" s="98"/>
      <c r="T182" s="98"/>
      <c r="U182" s="98"/>
    </row>
    <row r="183" spans="1:21" ht="45.75">
      <c r="A183" s="28"/>
      <c r="B183" s="241"/>
      <c r="C183" s="262"/>
      <c r="D183" s="199" t="s">
        <v>817</v>
      </c>
      <c r="E183" s="200" t="s">
        <v>818</v>
      </c>
      <c r="F183" s="91" t="s">
        <v>823</v>
      </c>
      <c r="G183" s="92" t="s">
        <v>824</v>
      </c>
      <c r="H183" s="93" t="s">
        <v>113</v>
      </c>
      <c r="I183" s="93" t="s">
        <v>135</v>
      </c>
      <c r="J183" s="179"/>
      <c r="K183" s="179"/>
      <c r="L183" s="179"/>
      <c r="M183" s="210" t="s">
        <v>148</v>
      </c>
      <c r="N183" s="210" t="s">
        <v>825</v>
      </c>
      <c r="O183" s="210" t="s">
        <v>826</v>
      </c>
      <c r="P183" s="212">
        <v>1</v>
      </c>
      <c r="Q183" s="210">
        <v>2</v>
      </c>
      <c r="R183" s="210">
        <v>1000</v>
      </c>
      <c r="S183" s="210" t="s">
        <v>494</v>
      </c>
      <c r="T183" s="210" t="s">
        <v>483</v>
      </c>
      <c r="U183" s="210" t="s">
        <v>349</v>
      </c>
    </row>
    <row r="184" spans="1:21" ht="76.5">
      <c r="A184" s="28"/>
      <c r="B184" s="241"/>
      <c r="C184" s="262"/>
      <c r="D184" s="199" t="s">
        <v>827</v>
      </c>
      <c r="E184" s="201" t="s">
        <v>828</v>
      </c>
      <c r="F184" s="91" t="s">
        <v>829</v>
      </c>
      <c r="G184" s="92" t="s">
        <v>830</v>
      </c>
      <c r="H184" s="93" t="s">
        <v>113</v>
      </c>
      <c r="I184" s="93" t="s">
        <v>135</v>
      </c>
      <c r="J184" s="179" t="s">
        <v>831</v>
      </c>
      <c r="K184" s="179"/>
      <c r="L184" s="179"/>
      <c r="M184" s="210" t="s">
        <v>126</v>
      </c>
      <c r="N184" s="210" t="s">
        <v>832</v>
      </c>
      <c r="O184" s="211" t="s">
        <v>833</v>
      </c>
      <c r="P184" s="212" t="s">
        <v>834</v>
      </c>
      <c r="Q184" s="210" t="s">
        <v>835</v>
      </c>
      <c r="R184" s="210">
        <v>150</v>
      </c>
      <c r="S184" s="210" t="s">
        <v>139</v>
      </c>
      <c r="T184" s="210" t="s">
        <v>263</v>
      </c>
      <c r="U184" s="210" t="s">
        <v>563</v>
      </c>
    </row>
    <row r="185" spans="1:21" ht="45.75">
      <c r="A185" s="28"/>
      <c r="B185" s="241"/>
      <c r="C185" s="262"/>
      <c r="D185" s="199" t="s">
        <v>827</v>
      </c>
      <c r="E185" s="201" t="s">
        <v>828</v>
      </c>
      <c r="F185" s="91" t="s">
        <v>836</v>
      </c>
      <c r="G185" s="92" t="s">
        <v>837</v>
      </c>
      <c r="H185" s="93" t="s">
        <v>113</v>
      </c>
      <c r="I185" s="93" t="s">
        <v>214</v>
      </c>
      <c r="J185" s="94"/>
      <c r="K185" s="95"/>
      <c r="L185" s="70"/>
      <c r="M185" s="96"/>
      <c r="N185" s="70"/>
      <c r="O185" s="98"/>
      <c r="P185" s="98"/>
      <c r="Q185" s="98"/>
      <c r="R185" s="98"/>
      <c r="S185" s="98"/>
      <c r="T185" s="98"/>
      <c r="U185" s="98"/>
    </row>
    <row r="186" spans="1:21" ht="45.75">
      <c r="A186" s="28"/>
      <c r="B186" s="241"/>
      <c r="C186" s="262"/>
      <c r="D186" s="199" t="s">
        <v>827</v>
      </c>
      <c r="E186" s="201" t="s">
        <v>828</v>
      </c>
      <c r="F186" s="91" t="s">
        <v>838</v>
      </c>
      <c r="G186" s="100" t="s">
        <v>839</v>
      </c>
      <c r="H186" s="93" t="s">
        <v>113</v>
      </c>
      <c r="I186" s="93" t="s">
        <v>214</v>
      </c>
      <c r="J186" s="94"/>
      <c r="K186" s="95"/>
      <c r="L186" s="99"/>
      <c r="M186" s="96"/>
      <c r="N186" s="70"/>
      <c r="O186" s="98"/>
      <c r="P186" s="98"/>
      <c r="Q186" s="98"/>
      <c r="R186" s="98"/>
      <c r="S186" s="98"/>
      <c r="T186" s="98"/>
      <c r="U186" s="98"/>
    </row>
    <row r="187" spans="1:21" ht="45.75">
      <c r="A187" s="28"/>
      <c r="B187" s="241"/>
      <c r="C187" s="262"/>
      <c r="D187" s="199" t="s">
        <v>827</v>
      </c>
      <c r="E187" s="201" t="s">
        <v>828</v>
      </c>
      <c r="F187" s="91" t="s">
        <v>840</v>
      </c>
      <c r="G187" s="92" t="s">
        <v>841</v>
      </c>
      <c r="H187" s="93" t="s">
        <v>113</v>
      </c>
      <c r="I187" s="93" t="s">
        <v>214</v>
      </c>
      <c r="J187" s="94"/>
      <c r="K187" s="95"/>
      <c r="L187" s="70"/>
      <c r="M187" s="96"/>
      <c r="N187" s="70"/>
      <c r="O187" s="98"/>
      <c r="P187" s="98"/>
      <c r="Q187" s="98"/>
      <c r="R187" s="98"/>
      <c r="S187" s="98"/>
      <c r="T187" s="98"/>
      <c r="U187" s="98"/>
    </row>
    <row r="188" spans="1:21" ht="29.1" customHeight="1">
      <c r="A188" s="28"/>
      <c r="B188" s="241"/>
      <c r="C188" s="262"/>
      <c r="D188" s="199" t="s">
        <v>842</v>
      </c>
      <c r="E188" s="200" t="s">
        <v>843</v>
      </c>
      <c r="F188" s="91" t="s">
        <v>844</v>
      </c>
      <c r="G188" s="100" t="s">
        <v>845</v>
      </c>
      <c r="H188" s="93" t="s">
        <v>113</v>
      </c>
      <c r="I188" s="93" t="s">
        <v>135</v>
      </c>
      <c r="J188" s="94"/>
      <c r="K188" s="95"/>
      <c r="L188" s="105"/>
      <c r="M188" s="96"/>
      <c r="N188" s="105"/>
      <c r="O188" s="98"/>
      <c r="P188" s="98"/>
      <c r="Q188" s="98"/>
      <c r="R188" s="98"/>
      <c r="S188" s="98"/>
      <c r="T188" s="98"/>
      <c r="U188" s="98"/>
    </row>
    <row r="189" spans="1:21" ht="45.75">
      <c r="A189" s="28"/>
      <c r="B189" s="241"/>
      <c r="C189" s="262"/>
      <c r="D189" s="199" t="s">
        <v>842</v>
      </c>
      <c r="E189" s="200" t="s">
        <v>843</v>
      </c>
      <c r="F189" s="91" t="s">
        <v>846</v>
      </c>
      <c r="G189" s="92" t="s">
        <v>847</v>
      </c>
      <c r="H189" s="93" t="s">
        <v>113</v>
      </c>
      <c r="I189" s="93" t="s">
        <v>214</v>
      </c>
      <c r="J189" s="94"/>
      <c r="K189" s="95"/>
      <c r="L189" s="70"/>
      <c r="M189" s="96"/>
      <c r="N189" s="70"/>
      <c r="O189" s="98"/>
      <c r="P189" s="98"/>
      <c r="Q189" s="98"/>
      <c r="R189" s="98"/>
      <c r="S189" s="98"/>
      <c r="T189" s="98"/>
      <c r="U189" s="98"/>
    </row>
    <row r="190" spans="1:21" ht="45.75">
      <c r="A190" s="28"/>
      <c r="B190" s="241"/>
      <c r="C190" s="262"/>
      <c r="D190" s="199" t="s">
        <v>842</v>
      </c>
      <c r="E190" s="200" t="s">
        <v>843</v>
      </c>
      <c r="F190" s="91" t="s">
        <v>848</v>
      </c>
      <c r="G190" s="92" t="s">
        <v>849</v>
      </c>
      <c r="H190" s="93" t="s">
        <v>113</v>
      </c>
      <c r="I190" s="93" t="s">
        <v>214</v>
      </c>
      <c r="J190" s="94"/>
      <c r="K190" s="95"/>
      <c r="L190" s="70"/>
      <c r="M190" s="96"/>
      <c r="N190" s="70"/>
      <c r="O190" s="98"/>
      <c r="P190" s="98"/>
      <c r="Q190" s="98"/>
      <c r="R190" s="98"/>
      <c r="S190" s="98"/>
      <c r="T190" s="98"/>
      <c r="U190" s="98"/>
    </row>
    <row r="191" spans="1:21" ht="45.75">
      <c r="A191" s="28"/>
      <c r="B191" s="241"/>
      <c r="C191" s="262"/>
      <c r="D191" s="199" t="s">
        <v>842</v>
      </c>
      <c r="E191" s="200" t="s">
        <v>843</v>
      </c>
      <c r="F191" s="91" t="s">
        <v>850</v>
      </c>
      <c r="G191" s="92" t="s">
        <v>851</v>
      </c>
      <c r="H191" s="93" t="s">
        <v>113</v>
      </c>
      <c r="I191" s="93" t="s">
        <v>214</v>
      </c>
      <c r="J191" s="94"/>
      <c r="K191" s="95"/>
      <c r="L191" s="99"/>
      <c r="M191" s="96"/>
      <c r="N191" s="70"/>
      <c r="O191" s="98"/>
      <c r="P191" s="98"/>
      <c r="Q191" s="98"/>
      <c r="R191" s="98"/>
      <c r="S191" s="98"/>
      <c r="T191" s="98"/>
      <c r="U191" s="98"/>
    </row>
    <row r="192" spans="1:21" ht="60.75">
      <c r="A192" s="28"/>
      <c r="B192" s="241"/>
      <c r="C192" s="262"/>
      <c r="D192" s="199" t="s">
        <v>842</v>
      </c>
      <c r="E192" s="200" t="s">
        <v>843</v>
      </c>
      <c r="F192" s="91" t="s">
        <v>852</v>
      </c>
      <c r="G192" s="100" t="s">
        <v>853</v>
      </c>
      <c r="H192" s="93" t="s">
        <v>113</v>
      </c>
      <c r="I192" s="93" t="s">
        <v>135</v>
      </c>
      <c r="J192" s="179" t="s">
        <v>854</v>
      </c>
      <c r="K192" s="179"/>
      <c r="L192" s="179"/>
      <c r="M192" s="210" t="s">
        <v>126</v>
      </c>
      <c r="N192" s="210" t="s">
        <v>855</v>
      </c>
      <c r="O192" s="212" t="s">
        <v>856</v>
      </c>
      <c r="P192" s="212">
        <v>12</v>
      </c>
      <c r="Q192" s="210">
        <v>20</v>
      </c>
      <c r="R192" s="210">
        <v>200</v>
      </c>
      <c r="S192" s="210" t="s">
        <v>129</v>
      </c>
      <c r="T192" s="210" t="s">
        <v>182</v>
      </c>
      <c r="U192" s="210" t="s">
        <v>129</v>
      </c>
    </row>
    <row r="193" spans="1:22" ht="45.75">
      <c r="A193" s="28"/>
      <c r="B193" s="241"/>
      <c r="C193" s="262"/>
      <c r="D193" s="199" t="s">
        <v>857</v>
      </c>
      <c r="E193" s="204" t="s">
        <v>858</v>
      </c>
      <c r="F193" s="91" t="s">
        <v>859</v>
      </c>
      <c r="G193" s="92" t="s">
        <v>860</v>
      </c>
      <c r="H193" s="93" t="s">
        <v>113</v>
      </c>
      <c r="I193" s="93" t="s">
        <v>135</v>
      </c>
      <c r="J193" s="94" t="str">
        <f t="shared" ref="J193:J198" si="1">G193</f>
        <v>Identificar els programes, projectes i accions en marxa o previstos a l’ENP que poden rebre el suport del voluntariat</v>
      </c>
      <c r="K193" s="95"/>
      <c r="L193" s="70"/>
      <c r="M193" s="96"/>
      <c r="N193" s="70"/>
      <c r="O193" s="98"/>
      <c r="P193" s="98"/>
      <c r="Q193" s="98"/>
      <c r="R193" s="98"/>
      <c r="S193" s="98"/>
      <c r="T193" s="98"/>
      <c r="U193" s="98"/>
    </row>
    <row r="194" spans="1:22" ht="30.75">
      <c r="A194" s="28"/>
      <c r="B194" s="241"/>
      <c r="C194" s="262"/>
      <c r="D194" s="199" t="s">
        <v>857</v>
      </c>
      <c r="E194" s="204" t="s">
        <v>858</v>
      </c>
      <c r="F194" s="91" t="s">
        <v>861</v>
      </c>
      <c r="G194" s="92" t="s">
        <v>862</v>
      </c>
      <c r="H194" s="93" t="s">
        <v>113</v>
      </c>
      <c r="I194" s="93" t="s">
        <v>135</v>
      </c>
      <c r="J194" s="94"/>
      <c r="K194" s="95"/>
      <c r="L194" s="70"/>
      <c r="M194" s="96"/>
      <c r="N194" s="70"/>
      <c r="O194" s="98"/>
      <c r="P194" s="98"/>
      <c r="Q194" s="98"/>
      <c r="R194" s="98"/>
      <c r="S194" s="98"/>
      <c r="T194" s="98"/>
      <c r="U194" s="98"/>
    </row>
    <row r="195" spans="1:22" ht="30.75">
      <c r="A195" s="28"/>
      <c r="B195" s="241"/>
      <c r="C195" s="262"/>
      <c r="D195" s="247" t="s">
        <v>863</v>
      </c>
      <c r="E195" s="250" t="s">
        <v>864</v>
      </c>
      <c r="F195" s="106" t="s">
        <v>865</v>
      </c>
      <c r="G195" s="92" t="s">
        <v>866</v>
      </c>
      <c r="H195" s="93" t="s">
        <v>113</v>
      </c>
      <c r="I195" s="93" t="s">
        <v>135</v>
      </c>
      <c r="J195" s="179" t="s">
        <v>866</v>
      </c>
      <c r="K195" s="179"/>
      <c r="L195" s="179"/>
      <c r="M195" s="210" t="s">
        <v>116</v>
      </c>
      <c r="N195" s="210" t="s">
        <v>867</v>
      </c>
      <c r="O195" s="210" t="s">
        <v>868</v>
      </c>
      <c r="P195" s="212">
        <v>3</v>
      </c>
      <c r="Q195" s="221">
        <v>5</v>
      </c>
      <c r="R195" s="210">
        <v>40</v>
      </c>
      <c r="S195" s="210" t="s">
        <v>237</v>
      </c>
      <c r="T195" s="210" t="s">
        <v>263</v>
      </c>
      <c r="U195" s="210" t="s">
        <v>237</v>
      </c>
    </row>
    <row r="196" spans="1:22" ht="45.75">
      <c r="A196" s="28"/>
      <c r="B196" s="241"/>
      <c r="C196" s="262"/>
      <c r="D196" s="248"/>
      <c r="E196" s="251"/>
      <c r="F196" s="106" t="s">
        <v>869</v>
      </c>
      <c r="G196" s="92" t="s">
        <v>870</v>
      </c>
      <c r="H196" s="93" t="s">
        <v>113</v>
      </c>
      <c r="I196" s="93" t="s">
        <v>214</v>
      </c>
      <c r="J196" s="94"/>
      <c r="K196" s="95"/>
      <c r="L196" s="70"/>
      <c r="M196" s="96"/>
      <c r="N196" s="70"/>
      <c r="O196" s="98"/>
      <c r="P196" s="98"/>
      <c r="Q196" s="98"/>
      <c r="R196" s="98"/>
      <c r="S196" s="98"/>
      <c r="T196" s="98"/>
      <c r="U196" s="98"/>
    </row>
    <row r="197" spans="1:22" ht="45.75">
      <c r="A197" s="28"/>
      <c r="B197" s="241"/>
      <c r="C197" s="262"/>
      <c r="D197" s="249"/>
      <c r="E197" s="252"/>
      <c r="F197" s="106" t="s">
        <v>871</v>
      </c>
      <c r="G197" s="92" t="s">
        <v>872</v>
      </c>
      <c r="H197" s="93" t="s">
        <v>113</v>
      </c>
      <c r="I197" s="93" t="s">
        <v>135</v>
      </c>
      <c r="J197" s="179" t="s">
        <v>872</v>
      </c>
      <c r="K197" s="179"/>
      <c r="L197" s="179"/>
      <c r="M197" s="210" t="s">
        <v>116</v>
      </c>
      <c r="N197" s="210" t="s">
        <v>873</v>
      </c>
      <c r="O197" s="210" t="s">
        <v>874</v>
      </c>
      <c r="P197" s="222">
        <v>100</v>
      </c>
      <c r="Q197" s="222">
        <v>100</v>
      </c>
      <c r="R197" s="210">
        <v>20</v>
      </c>
      <c r="S197" s="210" t="s">
        <v>875</v>
      </c>
      <c r="T197" s="210" t="s">
        <v>263</v>
      </c>
      <c r="U197" s="210" t="s">
        <v>875</v>
      </c>
      <c r="V197" s="175"/>
    </row>
    <row r="198" spans="1:22" ht="45.75">
      <c r="A198" s="28"/>
      <c r="B198" s="241"/>
      <c r="C198" s="262"/>
      <c r="D198" s="203" t="s">
        <v>876</v>
      </c>
      <c r="E198" s="202" t="s">
        <v>877</v>
      </c>
      <c r="F198" s="106" t="s">
        <v>878</v>
      </c>
      <c r="G198" s="92" t="s">
        <v>879</v>
      </c>
      <c r="H198" s="93" t="s">
        <v>113</v>
      </c>
      <c r="I198" s="93" t="s">
        <v>214</v>
      </c>
      <c r="J198" s="94" t="str">
        <f t="shared" si="1"/>
        <v>Dissenyar, implementar i fomentar itineraris saludables dins dels itineraris oficials dels ENP i en la zona d'influència</v>
      </c>
      <c r="K198" s="179"/>
      <c r="L198" s="179"/>
      <c r="M198" s="210" t="s">
        <v>126</v>
      </c>
      <c r="N198" s="210" t="s">
        <v>880</v>
      </c>
      <c r="O198" s="210" t="s">
        <v>881</v>
      </c>
      <c r="P198" s="222">
        <v>0.5</v>
      </c>
      <c r="Q198" s="222">
        <v>2</v>
      </c>
      <c r="R198" s="210">
        <v>200</v>
      </c>
      <c r="S198" s="210" t="s">
        <v>494</v>
      </c>
      <c r="T198" s="210" t="s">
        <v>263</v>
      </c>
      <c r="U198" s="210" t="s">
        <v>494</v>
      </c>
    </row>
    <row r="199" spans="1:22" ht="30.75">
      <c r="A199" s="28"/>
      <c r="B199" s="241"/>
      <c r="C199" s="262"/>
      <c r="D199" s="203" t="s">
        <v>876</v>
      </c>
      <c r="E199" s="202" t="s">
        <v>877</v>
      </c>
      <c r="F199" s="106" t="s">
        <v>882</v>
      </c>
      <c r="G199" s="100" t="s">
        <v>883</v>
      </c>
      <c r="H199" s="93" t="s">
        <v>113</v>
      </c>
      <c r="I199" s="93" t="s">
        <v>214</v>
      </c>
      <c r="J199" s="94"/>
      <c r="K199" s="95"/>
      <c r="L199" s="104"/>
      <c r="M199" s="96"/>
      <c r="N199" s="104"/>
      <c r="O199" s="98"/>
      <c r="P199" s="98"/>
      <c r="Q199" s="98"/>
      <c r="R199" s="98"/>
      <c r="S199" s="98"/>
      <c r="T199" s="98"/>
      <c r="U199" s="98"/>
    </row>
    <row r="200" spans="1:22" ht="30.75">
      <c r="A200" s="28"/>
      <c r="B200" s="241"/>
      <c r="C200" s="262"/>
      <c r="D200" s="203" t="s">
        <v>876</v>
      </c>
      <c r="E200" s="202" t="s">
        <v>877</v>
      </c>
      <c r="F200" s="106" t="s">
        <v>884</v>
      </c>
      <c r="G200" s="92" t="s">
        <v>885</v>
      </c>
      <c r="H200" s="93" t="s">
        <v>113</v>
      </c>
      <c r="I200" s="93" t="s">
        <v>214</v>
      </c>
      <c r="J200" s="179" t="s">
        <v>886</v>
      </c>
      <c r="K200" s="179"/>
      <c r="L200" s="179"/>
      <c r="M200" s="210" t="s">
        <v>126</v>
      </c>
      <c r="N200" s="210" t="s">
        <v>887</v>
      </c>
      <c r="O200" s="210" t="s">
        <v>888</v>
      </c>
      <c r="P200" s="212">
        <v>1</v>
      </c>
      <c r="Q200" s="210">
        <v>4</v>
      </c>
      <c r="R200" s="210">
        <v>40</v>
      </c>
      <c r="S200" s="210" t="s">
        <v>349</v>
      </c>
      <c r="T200" s="210" t="s">
        <v>780</v>
      </c>
      <c r="U200" s="210" t="s">
        <v>349</v>
      </c>
      <c r="V200" s="175"/>
    </row>
    <row r="201" spans="1:22" ht="30.75">
      <c r="A201" s="28"/>
      <c r="B201" s="242"/>
      <c r="C201" s="263"/>
      <c r="D201" s="203" t="s">
        <v>876</v>
      </c>
      <c r="E201" s="202" t="s">
        <v>877</v>
      </c>
      <c r="F201" s="106" t="s">
        <v>889</v>
      </c>
      <c r="G201" s="100" t="s">
        <v>890</v>
      </c>
      <c r="H201" s="93" t="s">
        <v>113</v>
      </c>
      <c r="I201" s="93" t="s">
        <v>214</v>
      </c>
      <c r="J201" s="179" t="s">
        <v>890</v>
      </c>
      <c r="K201" s="179"/>
      <c r="L201" s="179"/>
      <c r="M201" s="210" t="s">
        <v>126</v>
      </c>
      <c r="N201" s="210" t="s">
        <v>891</v>
      </c>
      <c r="O201" s="210" t="s">
        <v>892</v>
      </c>
      <c r="P201" s="212">
        <v>50</v>
      </c>
      <c r="Q201" s="212">
        <v>100</v>
      </c>
      <c r="R201" s="210">
        <v>40</v>
      </c>
      <c r="S201" s="210" t="s">
        <v>237</v>
      </c>
      <c r="T201" s="210" t="s">
        <v>263</v>
      </c>
      <c r="U201" s="210" t="s">
        <v>237</v>
      </c>
      <c r="V201" s="175"/>
    </row>
    <row r="202" spans="1:22" ht="45.75">
      <c r="A202" s="29"/>
      <c r="B202" s="240">
        <v>14</v>
      </c>
      <c r="C202" s="253" t="s">
        <v>893</v>
      </c>
      <c r="D202" s="205" t="s">
        <v>894</v>
      </c>
      <c r="E202" s="200" t="s">
        <v>895</v>
      </c>
      <c r="F202" s="91" t="s">
        <v>896</v>
      </c>
      <c r="G202" s="92" t="s">
        <v>897</v>
      </c>
      <c r="H202" s="93" t="s">
        <v>113</v>
      </c>
      <c r="I202" s="93" t="s">
        <v>135</v>
      </c>
      <c r="J202" s="179" t="s">
        <v>897</v>
      </c>
      <c r="K202" s="179"/>
      <c r="L202" s="179"/>
      <c r="M202" s="210" t="s">
        <v>116</v>
      </c>
      <c r="N202" s="210" t="s">
        <v>898</v>
      </c>
      <c r="O202" s="210" t="s">
        <v>899</v>
      </c>
      <c r="P202" s="212">
        <v>60</v>
      </c>
      <c r="Q202" s="210">
        <v>60</v>
      </c>
      <c r="R202" s="210">
        <v>1000</v>
      </c>
      <c r="S202" s="210" t="s">
        <v>237</v>
      </c>
      <c r="T202" s="210" t="s">
        <v>263</v>
      </c>
      <c r="U202" s="210" t="s">
        <v>237</v>
      </c>
    </row>
    <row r="203" spans="1:22" ht="30.75">
      <c r="A203" s="29"/>
      <c r="B203" s="240"/>
      <c r="C203" s="253"/>
      <c r="D203" s="205" t="s">
        <v>894</v>
      </c>
      <c r="E203" s="200" t="s">
        <v>895</v>
      </c>
      <c r="F203" s="91" t="s">
        <v>900</v>
      </c>
      <c r="G203" s="92" t="s">
        <v>901</v>
      </c>
      <c r="H203" s="93" t="s">
        <v>113</v>
      </c>
      <c r="I203" s="93" t="s">
        <v>135</v>
      </c>
      <c r="J203" s="179" t="s">
        <v>901</v>
      </c>
      <c r="K203" s="179"/>
      <c r="L203" s="179"/>
      <c r="M203" s="210" t="s">
        <v>116</v>
      </c>
      <c r="N203" s="210" t="s">
        <v>902</v>
      </c>
      <c r="O203" s="210" t="s">
        <v>903</v>
      </c>
      <c r="P203" s="223">
        <v>10000</v>
      </c>
      <c r="Q203" s="232">
        <v>20000</v>
      </c>
      <c r="R203" s="210">
        <v>400</v>
      </c>
      <c r="S203" s="210" t="s">
        <v>875</v>
      </c>
      <c r="T203" s="210" t="s">
        <v>483</v>
      </c>
      <c r="U203" s="210" t="s">
        <v>875</v>
      </c>
    </row>
    <row r="204" spans="1:22" ht="45.75">
      <c r="A204" s="29"/>
      <c r="B204" s="240"/>
      <c r="C204" s="253"/>
      <c r="D204" s="15" t="s">
        <v>904</v>
      </c>
      <c r="E204" s="81" t="s">
        <v>905</v>
      </c>
      <c r="F204" s="91" t="s">
        <v>906</v>
      </c>
      <c r="G204" s="92" t="s">
        <v>907</v>
      </c>
      <c r="H204" s="93" t="s">
        <v>113</v>
      </c>
      <c r="I204" s="93" t="s">
        <v>135</v>
      </c>
      <c r="J204" s="179" t="s">
        <v>908</v>
      </c>
      <c r="K204" s="179"/>
      <c r="L204" s="179"/>
      <c r="M204" s="210" t="s">
        <v>116</v>
      </c>
      <c r="N204" s="210" t="s">
        <v>909</v>
      </c>
      <c r="O204" s="211" t="s">
        <v>910</v>
      </c>
      <c r="P204" s="212">
        <v>10</v>
      </c>
      <c r="Q204" s="210">
        <v>100</v>
      </c>
      <c r="R204" s="210">
        <v>1000</v>
      </c>
      <c r="S204" s="210" t="s">
        <v>237</v>
      </c>
      <c r="T204" s="210" t="s">
        <v>263</v>
      </c>
      <c r="U204" s="210" t="s">
        <v>237</v>
      </c>
    </row>
    <row r="205" spans="1:22" ht="60.75">
      <c r="A205" s="29"/>
      <c r="B205" s="240"/>
      <c r="C205" s="253"/>
      <c r="D205" s="243" t="s">
        <v>911</v>
      </c>
      <c r="E205" s="246" t="s">
        <v>912</v>
      </c>
      <c r="F205" s="91" t="s">
        <v>913</v>
      </c>
      <c r="G205" s="92" t="s">
        <v>914</v>
      </c>
      <c r="H205" s="93" t="s">
        <v>113</v>
      </c>
      <c r="I205" s="93" t="s">
        <v>135</v>
      </c>
      <c r="J205" s="179" t="s">
        <v>915</v>
      </c>
      <c r="K205" s="179"/>
      <c r="L205" s="179"/>
      <c r="M205" s="210" t="s">
        <v>268</v>
      </c>
      <c r="N205" s="210" t="s">
        <v>916</v>
      </c>
      <c r="O205" s="210" t="s">
        <v>917</v>
      </c>
      <c r="P205" s="212">
        <v>10</v>
      </c>
      <c r="Q205" s="210">
        <v>50</v>
      </c>
      <c r="R205" s="210">
        <v>400</v>
      </c>
      <c r="S205" s="210" t="s">
        <v>237</v>
      </c>
      <c r="T205" s="210" t="s">
        <v>263</v>
      </c>
      <c r="U205" s="210" t="s">
        <v>918</v>
      </c>
      <c r="V205" s="175"/>
    </row>
    <row r="206" spans="1:22" ht="30.75">
      <c r="A206" s="29"/>
      <c r="B206" s="240"/>
      <c r="C206" s="253"/>
      <c r="D206" s="243"/>
      <c r="E206" s="246"/>
      <c r="F206" s="91" t="s">
        <v>919</v>
      </c>
      <c r="G206" s="92" t="s">
        <v>920</v>
      </c>
      <c r="H206" s="93" t="s">
        <v>113</v>
      </c>
      <c r="I206" s="93" t="s">
        <v>135</v>
      </c>
      <c r="J206" s="94"/>
      <c r="K206" s="95"/>
      <c r="L206" s="101"/>
      <c r="M206" s="96"/>
      <c r="N206" s="101"/>
      <c r="O206" s="98"/>
      <c r="P206" s="98"/>
      <c r="Q206" s="98"/>
      <c r="R206" s="98"/>
      <c r="S206" s="98"/>
      <c r="T206" s="98"/>
      <c r="U206" s="98"/>
    </row>
    <row r="207" spans="1:22" ht="30.75">
      <c r="A207" s="22" t="s">
        <v>921</v>
      </c>
      <c r="B207" s="238">
        <v>15</v>
      </c>
      <c r="C207" s="244" t="s">
        <v>922</v>
      </c>
      <c r="D207" s="207" t="s">
        <v>923</v>
      </c>
      <c r="E207" s="206" t="s">
        <v>924</v>
      </c>
      <c r="F207" s="91" t="s">
        <v>925</v>
      </c>
      <c r="G207" s="92" t="s">
        <v>926</v>
      </c>
      <c r="H207" s="93" t="s">
        <v>113</v>
      </c>
      <c r="I207" s="93" t="s">
        <v>214</v>
      </c>
      <c r="J207" s="179" t="s">
        <v>927</v>
      </c>
      <c r="K207" s="179"/>
      <c r="L207" s="179"/>
      <c r="M207" s="210" t="s">
        <v>148</v>
      </c>
      <c r="N207" s="210" t="s">
        <v>928</v>
      </c>
      <c r="O207" s="211" t="s">
        <v>929</v>
      </c>
      <c r="P207" s="212" t="s">
        <v>930</v>
      </c>
      <c r="Q207" s="212" t="s">
        <v>930</v>
      </c>
      <c r="R207" s="210">
        <v>400</v>
      </c>
      <c r="S207" s="210" t="s">
        <v>237</v>
      </c>
      <c r="T207" s="210" t="s">
        <v>263</v>
      </c>
      <c r="U207" s="210" t="s">
        <v>237</v>
      </c>
    </row>
    <row r="208" spans="1:22" ht="45.75">
      <c r="A208" s="22"/>
      <c r="B208" s="239"/>
      <c r="C208" s="245"/>
      <c r="D208" s="207" t="s">
        <v>923</v>
      </c>
      <c r="E208" s="206" t="s">
        <v>924</v>
      </c>
      <c r="F208" s="91" t="s">
        <v>931</v>
      </c>
      <c r="G208" s="92" t="s">
        <v>932</v>
      </c>
      <c r="H208" s="93" t="s">
        <v>113</v>
      </c>
      <c r="I208" s="93" t="s">
        <v>214</v>
      </c>
      <c r="J208" s="179" t="s">
        <v>933</v>
      </c>
      <c r="K208" s="179"/>
      <c r="L208" s="179"/>
      <c r="M208" s="210" t="s">
        <v>116</v>
      </c>
      <c r="N208" s="210" t="s">
        <v>934</v>
      </c>
      <c r="O208" s="210" t="s">
        <v>935</v>
      </c>
      <c r="P208" s="212">
        <v>4</v>
      </c>
      <c r="Q208" s="210">
        <v>8</v>
      </c>
      <c r="R208" s="213">
        <v>40</v>
      </c>
      <c r="S208" s="210" t="s">
        <v>237</v>
      </c>
      <c r="T208" s="210" t="s">
        <v>263</v>
      </c>
      <c r="U208" s="210" t="s">
        <v>165</v>
      </c>
    </row>
    <row r="209" spans="1:21" ht="30.75">
      <c r="A209" s="22"/>
      <c r="B209" s="239"/>
      <c r="C209" s="245"/>
      <c r="D209" s="207" t="s">
        <v>923</v>
      </c>
      <c r="E209" s="206" t="s">
        <v>924</v>
      </c>
      <c r="F209" s="91" t="s">
        <v>936</v>
      </c>
      <c r="G209" s="92" t="s">
        <v>937</v>
      </c>
      <c r="H209" s="93" t="s">
        <v>113</v>
      </c>
      <c r="I209" s="93" t="s">
        <v>214</v>
      </c>
      <c r="J209" s="94"/>
      <c r="K209" s="95"/>
      <c r="L209" s="101"/>
      <c r="M209" s="96"/>
      <c r="N209" s="101"/>
      <c r="O209" s="98"/>
      <c r="P209" s="98"/>
      <c r="Q209" s="98"/>
      <c r="R209" s="98"/>
      <c r="S209" s="98"/>
      <c r="T209" s="98"/>
      <c r="U209" s="98"/>
    </row>
    <row r="210" spans="1:21" ht="30.75">
      <c r="A210" s="22"/>
      <c r="B210" s="239"/>
      <c r="C210" s="245"/>
      <c r="D210" s="207" t="s">
        <v>923</v>
      </c>
      <c r="E210" s="206" t="s">
        <v>924</v>
      </c>
      <c r="F210" s="91" t="s">
        <v>938</v>
      </c>
      <c r="G210" s="92" t="s">
        <v>939</v>
      </c>
      <c r="H210" s="93" t="s">
        <v>113</v>
      </c>
      <c r="I210" s="93" t="s">
        <v>135</v>
      </c>
      <c r="J210" s="94"/>
      <c r="K210" s="95"/>
      <c r="L210" s="101"/>
      <c r="M210" s="96"/>
      <c r="N210" s="101"/>
      <c r="O210" s="98"/>
      <c r="P210" s="98"/>
      <c r="Q210" s="98"/>
      <c r="R210" s="98"/>
      <c r="S210" s="98"/>
      <c r="T210" s="98"/>
      <c r="U210" s="98"/>
    </row>
    <row r="211" spans="1:21" ht="45.75">
      <c r="A211" s="22"/>
      <c r="B211" s="173"/>
      <c r="C211" s="174"/>
      <c r="D211" s="207" t="s">
        <v>923</v>
      </c>
      <c r="E211" s="206" t="s">
        <v>924</v>
      </c>
      <c r="F211" s="91" t="s">
        <v>940</v>
      </c>
      <c r="G211" s="92"/>
      <c r="H211" s="93"/>
      <c r="I211" s="93"/>
      <c r="J211" s="179" t="s">
        <v>941</v>
      </c>
      <c r="K211" s="179"/>
      <c r="L211" s="179"/>
      <c r="M211" s="210" t="s">
        <v>126</v>
      </c>
      <c r="N211" s="210" t="s">
        <v>942</v>
      </c>
      <c r="O211" s="211" t="s">
        <v>943</v>
      </c>
      <c r="P211" s="212">
        <v>2</v>
      </c>
      <c r="Q211" s="210">
        <v>4</v>
      </c>
      <c r="R211" s="213">
        <v>800</v>
      </c>
      <c r="S211" s="210" t="s">
        <v>237</v>
      </c>
      <c r="T211" s="210" t="s">
        <v>263</v>
      </c>
      <c r="U211" s="210" t="s">
        <v>121</v>
      </c>
    </row>
    <row r="212" spans="1:21" ht="45.75">
      <c r="A212" s="22"/>
      <c r="B212" s="67">
        <v>16</v>
      </c>
      <c r="C212" s="64" t="s">
        <v>944</v>
      </c>
      <c r="D212" s="20" t="s">
        <v>945</v>
      </c>
      <c r="E212" s="82" t="s">
        <v>946</v>
      </c>
      <c r="F212" s="91" t="s">
        <v>947</v>
      </c>
      <c r="G212" s="92" t="s">
        <v>948</v>
      </c>
      <c r="H212" s="93" t="s">
        <v>113</v>
      </c>
      <c r="I212" s="93" t="s">
        <v>135</v>
      </c>
      <c r="J212" s="179" t="s">
        <v>948</v>
      </c>
      <c r="K212" s="179"/>
      <c r="L212" s="179"/>
      <c r="M212" s="210" t="s">
        <v>126</v>
      </c>
      <c r="N212" s="210" t="s">
        <v>949</v>
      </c>
      <c r="O212" s="210" t="s">
        <v>950</v>
      </c>
      <c r="P212" s="212">
        <v>1</v>
      </c>
      <c r="Q212" s="213">
        <v>1</v>
      </c>
      <c r="R212" s="213">
        <v>40</v>
      </c>
      <c r="S212" s="210" t="s">
        <v>951</v>
      </c>
      <c r="T212" s="210" t="s">
        <v>470</v>
      </c>
      <c r="U212" s="210" t="s">
        <v>237</v>
      </c>
    </row>
    <row r="213" spans="1:21" ht="29.1" customHeight="1">
      <c r="A213" s="66"/>
      <c r="B213" s="68"/>
      <c r="C213" s="65"/>
      <c r="D213" s="63" t="s">
        <v>952</v>
      </c>
      <c r="E213" s="83" t="s">
        <v>953</v>
      </c>
      <c r="F213" s="91" t="s">
        <v>954</v>
      </c>
      <c r="G213" s="92" t="s">
        <v>955</v>
      </c>
      <c r="H213" s="93" t="s">
        <v>113</v>
      </c>
      <c r="I213" s="93" t="s">
        <v>135</v>
      </c>
      <c r="J213" s="94"/>
      <c r="K213" s="95"/>
      <c r="L213" s="101"/>
      <c r="M213" s="96"/>
      <c r="N213" s="101"/>
      <c r="O213" s="98"/>
      <c r="P213" s="98"/>
      <c r="Q213" s="98"/>
      <c r="R213" s="98"/>
      <c r="S213" s="98"/>
      <c r="T213" s="98"/>
      <c r="U213" s="98"/>
    </row>
    <row r="214" spans="1:21" ht="45.75">
      <c r="A214" s="66"/>
      <c r="B214" s="68"/>
      <c r="C214" s="65"/>
      <c r="D214" s="63" t="s">
        <v>952</v>
      </c>
      <c r="E214" s="83" t="s">
        <v>953</v>
      </c>
      <c r="F214" s="91" t="s">
        <v>956</v>
      </c>
      <c r="G214" s="107" t="s">
        <v>957</v>
      </c>
      <c r="H214" s="93" t="s">
        <v>113</v>
      </c>
      <c r="I214" s="93" t="s">
        <v>135</v>
      </c>
      <c r="J214" s="179" t="s">
        <v>958</v>
      </c>
      <c r="K214" s="179"/>
      <c r="L214" s="179"/>
      <c r="M214" s="210" t="s">
        <v>116</v>
      </c>
      <c r="N214" s="210" t="s">
        <v>959</v>
      </c>
      <c r="O214" s="211" t="s">
        <v>960</v>
      </c>
      <c r="P214" s="212">
        <v>5</v>
      </c>
      <c r="Q214" s="210">
        <v>10</v>
      </c>
      <c r="R214" s="213">
        <v>1000</v>
      </c>
      <c r="S214" s="210" t="s">
        <v>875</v>
      </c>
      <c r="T214" s="210" t="s">
        <v>470</v>
      </c>
      <c r="U214" s="210" t="s">
        <v>875</v>
      </c>
    </row>
    <row r="215" spans="1:21" ht="45.75">
      <c r="A215" s="66"/>
      <c r="B215" s="68"/>
      <c r="C215" s="65"/>
      <c r="D215" s="63" t="s">
        <v>952</v>
      </c>
      <c r="E215" s="83" t="s">
        <v>953</v>
      </c>
      <c r="F215" s="91" t="s">
        <v>961</v>
      </c>
      <c r="G215" s="107" t="s">
        <v>962</v>
      </c>
      <c r="H215" s="93" t="s">
        <v>113</v>
      </c>
      <c r="I215" s="93" t="s">
        <v>135</v>
      </c>
      <c r="J215" s="179" t="s">
        <v>962</v>
      </c>
      <c r="K215" s="179"/>
      <c r="L215" s="179"/>
      <c r="M215" s="210" t="s">
        <v>116</v>
      </c>
      <c r="N215" s="210" t="s">
        <v>963</v>
      </c>
      <c r="O215" s="211" t="s">
        <v>964</v>
      </c>
      <c r="P215" s="212">
        <v>80</v>
      </c>
      <c r="Q215" s="212">
        <v>100</v>
      </c>
      <c r="R215" s="213">
        <v>40</v>
      </c>
      <c r="S215" s="210" t="s">
        <v>237</v>
      </c>
      <c r="T215" s="210" t="s">
        <v>263</v>
      </c>
      <c r="U215" s="210" t="s">
        <v>237</v>
      </c>
    </row>
    <row r="216" spans="1:21" ht="45.75">
      <c r="A216" s="66"/>
      <c r="B216" s="68"/>
      <c r="C216" s="65"/>
      <c r="D216" s="172" t="s">
        <v>965</v>
      </c>
      <c r="E216" s="83" t="s">
        <v>966</v>
      </c>
      <c r="F216" s="91" t="s">
        <v>967</v>
      </c>
      <c r="G216" s="107" t="s">
        <v>968</v>
      </c>
      <c r="H216" s="93" t="s">
        <v>113</v>
      </c>
      <c r="I216" s="93" t="s">
        <v>135</v>
      </c>
      <c r="J216" s="179" t="s">
        <v>968</v>
      </c>
      <c r="K216" s="179"/>
      <c r="L216" s="179"/>
      <c r="M216" s="210" t="s">
        <v>148</v>
      </c>
      <c r="N216" s="210" t="s">
        <v>969</v>
      </c>
      <c r="O216" s="211" t="s">
        <v>970</v>
      </c>
      <c r="P216" s="222">
        <v>90</v>
      </c>
      <c r="Q216" s="222">
        <v>30</v>
      </c>
      <c r="R216" s="213">
        <v>4000</v>
      </c>
      <c r="S216" s="210" t="s">
        <v>875</v>
      </c>
      <c r="T216" s="210" t="s">
        <v>263</v>
      </c>
      <c r="U216" s="210" t="s">
        <v>875</v>
      </c>
    </row>
    <row r="217" spans="1:21" ht="45.75">
      <c r="A217" s="66"/>
      <c r="B217" s="68"/>
      <c r="C217" s="65"/>
      <c r="D217" s="172" t="s">
        <v>965</v>
      </c>
      <c r="E217" s="83" t="s">
        <v>966</v>
      </c>
      <c r="F217" s="91" t="s">
        <v>971</v>
      </c>
      <c r="G217" s="92" t="s">
        <v>972</v>
      </c>
      <c r="H217" s="93" t="s">
        <v>113</v>
      </c>
      <c r="I217" s="93" t="s">
        <v>135</v>
      </c>
      <c r="J217" s="179" t="s">
        <v>972</v>
      </c>
      <c r="K217" s="179"/>
      <c r="L217" s="179"/>
      <c r="M217" s="210" t="s">
        <v>126</v>
      </c>
      <c r="N217" s="210" t="s">
        <v>969</v>
      </c>
      <c r="O217" s="211" t="s">
        <v>973</v>
      </c>
      <c r="P217" s="212">
        <v>1</v>
      </c>
      <c r="Q217" s="213">
        <v>1</v>
      </c>
      <c r="R217" s="213">
        <v>40</v>
      </c>
      <c r="S217" s="210" t="s">
        <v>875</v>
      </c>
      <c r="T217" s="210" t="s">
        <v>470</v>
      </c>
      <c r="U217" s="210" t="s">
        <v>875</v>
      </c>
    </row>
    <row r="218" spans="1:21" ht="45.75">
      <c r="A218" s="66"/>
      <c r="B218" s="68"/>
      <c r="C218" s="65"/>
      <c r="D218" s="172" t="s">
        <v>965</v>
      </c>
      <c r="E218" s="83" t="s">
        <v>966</v>
      </c>
      <c r="F218" s="91" t="s">
        <v>971</v>
      </c>
      <c r="G218" s="92" t="s">
        <v>972</v>
      </c>
      <c r="H218" s="93" t="s">
        <v>113</v>
      </c>
      <c r="I218" s="93" t="s">
        <v>135</v>
      </c>
      <c r="J218" s="179" t="s">
        <v>972</v>
      </c>
      <c r="K218" s="179"/>
      <c r="L218" s="179"/>
      <c r="M218" s="210" t="s">
        <v>126</v>
      </c>
      <c r="N218" s="210" t="s">
        <v>974</v>
      </c>
      <c r="O218" s="211" t="s">
        <v>975</v>
      </c>
      <c r="P218" s="212">
        <v>1</v>
      </c>
      <c r="Q218" s="213">
        <v>1</v>
      </c>
      <c r="R218" s="213">
        <v>40</v>
      </c>
      <c r="S218" s="210" t="s">
        <v>237</v>
      </c>
      <c r="T218" s="210" t="s">
        <v>470</v>
      </c>
      <c r="U218" s="210" t="s">
        <v>237</v>
      </c>
    </row>
    <row r="219" spans="1:21" ht="45.75">
      <c r="A219" s="66"/>
      <c r="B219" s="68"/>
      <c r="C219" s="65"/>
      <c r="D219" s="172" t="s">
        <v>965</v>
      </c>
      <c r="E219" s="83" t="s">
        <v>966</v>
      </c>
      <c r="F219" s="91" t="s">
        <v>971</v>
      </c>
      <c r="G219" s="92" t="s">
        <v>972</v>
      </c>
      <c r="H219" s="93" t="s">
        <v>113</v>
      </c>
      <c r="I219" s="93" t="s">
        <v>135</v>
      </c>
      <c r="J219" s="179" t="s">
        <v>972</v>
      </c>
      <c r="K219" s="179"/>
      <c r="L219" s="179"/>
      <c r="M219" s="210" t="s">
        <v>126</v>
      </c>
      <c r="N219" s="210" t="s">
        <v>976</v>
      </c>
      <c r="O219" s="211" t="s">
        <v>977</v>
      </c>
      <c r="P219" s="212">
        <v>1</v>
      </c>
      <c r="Q219" s="213">
        <v>1</v>
      </c>
      <c r="R219" s="213">
        <v>150</v>
      </c>
      <c r="S219" s="210" t="s">
        <v>237</v>
      </c>
      <c r="T219" s="210" t="s">
        <v>263</v>
      </c>
      <c r="U219" s="210" t="s">
        <v>237</v>
      </c>
    </row>
    <row r="220" spans="1:21" ht="30.75">
      <c r="A220" s="66"/>
      <c r="B220" s="68"/>
      <c r="C220" s="65"/>
      <c r="D220" s="172" t="s">
        <v>965</v>
      </c>
      <c r="E220" s="83" t="s">
        <v>966</v>
      </c>
      <c r="F220" s="91" t="s">
        <v>978</v>
      </c>
      <c r="G220" s="107" t="s">
        <v>979</v>
      </c>
      <c r="H220" s="93" t="s">
        <v>113</v>
      </c>
      <c r="I220" s="93" t="s">
        <v>135</v>
      </c>
      <c r="J220" s="94"/>
      <c r="K220" s="95"/>
      <c r="L220" s="101"/>
      <c r="M220" s="96" t="s">
        <v>126</v>
      </c>
      <c r="N220" s="101"/>
      <c r="O220" s="98"/>
      <c r="P220" s="98"/>
      <c r="Q220" s="98"/>
      <c r="R220" s="98"/>
      <c r="S220" s="98"/>
      <c r="T220" s="98"/>
      <c r="U220" s="98"/>
    </row>
    <row r="221" spans="1:21" ht="30.75">
      <c r="A221" s="66"/>
      <c r="B221" s="68"/>
      <c r="C221" s="65"/>
      <c r="D221" s="172" t="s">
        <v>965</v>
      </c>
      <c r="E221" s="83" t="s">
        <v>966</v>
      </c>
      <c r="F221" s="91" t="s">
        <v>980</v>
      </c>
      <c r="G221" s="92" t="s">
        <v>981</v>
      </c>
      <c r="H221" s="93" t="s">
        <v>155</v>
      </c>
      <c r="I221" s="93" t="s">
        <v>135</v>
      </c>
      <c r="J221" s="94"/>
      <c r="K221" s="95"/>
      <c r="L221" s="101"/>
      <c r="M221" s="96" t="s">
        <v>126</v>
      </c>
      <c r="N221" s="101"/>
      <c r="O221" s="98"/>
      <c r="P221" s="98"/>
      <c r="Q221" s="98"/>
      <c r="R221" s="98"/>
      <c r="S221" s="98"/>
      <c r="T221" s="98"/>
      <c r="U221" s="98"/>
    </row>
    <row r="222" spans="1:21" ht="45.75">
      <c r="A222" s="66"/>
      <c r="B222" s="68"/>
      <c r="C222" s="65"/>
      <c r="D222" s="172" t="s">
        <v>965</v>
      </c>
      <c r="E222" s="83" t="s">
        <v>966</v>
      </c>
      <c r="F222" s="91" t="s">
        <v>982</v>
      </c>
      <c r="G222" s="92" t="s">
        <v>983</v>
      </c>
      <c r="H222" s="93" t="s">
        <v>113</v>
      </c>
      <c r="I222" s="93" t="s">
        <v>214</v>
      </c>
      <c r="J222" s="179" t="s">
        <v>983</v>
      </c>
      <c r="K222" s="179"/>
      <c r="L222" s="179"/>
      <c r="M222" s="210" t="s">
        <v>116</v>
      </c>
      <c r="N222" s="210" t="s">
        <v>984</v>
      </c>
      <c r="O222" s="210" t="s">
        <v>985</v>
      </c>
      <c r="P222" s="212">
        <v>1</v>
      </c>
      <c r="Q222" s="213">
        <v>1</v>
      </c>
      <c r="R222" s="213">
        <v>40</v>
      </c>
      <c r="S222" s="210" t="s">
        <v>875</v>
      </c>
      <c r="T222" s="210" t="s">
        <v>263</v>
      </c>
      <c r="U222" s="210" t="s">
        <v>875</v>
      </c>
    </row>
    <row r="223" spans="1:21" s="1" customFormat="1" ht="30.75">
      <c r="A223" s="66"/>
      <c r="B223" s="68"/>
      <c r="C223" s="65"/>
      <c r="D223" s="207" t="s">
        <v>986</v>
      </c>
      <c r="E223" s="206" t="s">
        <v>987</v>
      </c>
      <c r="F223" s="91" t="s">
        <v>988</v>
      </c>
      <c r="G223" s="92" t="s">
        <v>989</v>
      </c>
      <c r="H223" s="93" t="s">
        <v>113</v>
      </c>
      <c r="I223" s="93" t="s">
        <v>135</v>
      </c>
      <c r="J223" s="179" t="s">
        <v>989</v>
      </c>
      <c r="K223" s="179"/>
      <c r="L223" s="179"/>
      <c r="M223" s="210" t="s">
        <v>116</v>
      </c>
      <c r="N223" s="210" t="s">
        <v>990</v>
      </c>
      <c r="O223" s="210" t="s">
        <v>991</v>
      </c>
      <c r="P223" s="212">
        <v>1</v>
      </c>
      <c r="Q223" s="213">
        <v>1</v>
      </c>
      <c r="R223" s="213">
        <v>400</v>
      </c>
      <c r="S223" s="210" t="s">
        <v>237</v>
      </c>
      <c r="T223" s="210" t="s">
        <v>263</v>
      </c>
      <c r="U223" s="210" t="s">
        <v>237</v>
      </c>
    </row>
    <row r="224" spans="1:21" ht="76.5">
      <c r="A224" s="66"/>
      <c r="B224" s="68"/>
      <c r="C224" s="65"/>
      <c r="D224" s="207" t="s">
        <v>986</v>
      </c>
      <c r="E224" s="206" t="s">
        <v>987</v>
      </c>
      <c r="F224" s="91" t="s">
        <v>992</v>
      </c>
      <c r="G224" s="92" t="s">
        <v>993</v>
      </c>
      <c r="H224" s="93" t="s">
        <v>113</v>
      </c>
      <c r="I224" s="93" t="s">
        <v>135</v>
      </c>
      <c r="J224" s="179" t="s">
        <v>993</v>
      </c>
      <c r="K224" s="179"/>
      <c r="L224" s="179"/>
      <c r="M224" s="210" t="s">
        <v>116</v>
      </c>
      <c r="N224" s="210" t="s">
        <v>994</v>
      </c>
      <c r="O224" s="210" t="s">
        <v>995</v>
      </c>
      <c r="P224" s="212">
        <v>1</v>
      </c>
      <c r="Q224" s="213">
        <v>1</v>
      </c>
      <c r="R224" s="213">
        <v>40</v>
      </c>
      <c r="S224" s="210" t="s">
        <v>237</v>
      </c>
      <c r="T224" s="210" t="s">
        <v>263</v>
      </c>
      <c r="U224" s="210" t="s">
        <v>951</v>
      </c>
    </row>
    <row r="225" spans="1:22" ht="45.75">
      <c r="A225" s="66"/>
      <c r="B225" s="68"/>
      <c r="C225" s="65"/>
      <c r="D225" s="21" t="s">
        <v>996</v>
      </c>
      <c r="E225" s="84" t="s">
        <v>997</v>
      </c>
      <c r="F225" s="91" t="s">
        <v>998</v>
      </c>
      <c r="G225" s="92" t="s">
        <v>999</v>
      </c>
      <c r="H225" s="93" t="s">
        <v>113</v>
      </c>
      <c r="I225" s="93" t="s">
        <v>135</v>
      </c>
      <c r="J225" s="179" t="s">
        <v>999</v>
      </c>
      <c r="K225" s="179"/>
      <c r="L225" s="179"/>
      <c r="M225" s="210" t="s">
        <v>126</v>
      </c>
      <c r="N225" s="210" t="s">
        <v>1000</v>
      </c>
      <c r="O225" s="210" t="s">
        <v>1001</v>
      </c>
      <c r="P225" s="212">
        <v>1</v>
      </c>
      <c r="Q225" s="213">
        <v>1</v>
      </c>
      <c r="R225" s="213">
        <v>400</v>
      </c>
      <c r="S225" s="210" t="s">
        <v>237</v>
      </c>
      <c r="T225" s="210" t="s">
        <v>263</v>
      </c>
      <c r="U225" s="210" t="s">
        <v>237</v>
      </c>
      <c r="V225" s="175"/>
    </row>
    <row r="226" spans="1:22" ht="30.75">
      <c r="A226" s="66"/>
      <c r="B226" s="68"/>
      <c r="C226" s="65"/>
      <c r="D226" s="21" t="s">
        <v>996</v>
      </c>
      <c r="E226" s="84" t="s">
        <v>997</v>
      </c>
      <c r="F226" s="91" t="s">
        <v>998</v>
      </c>
      <c r="G226" s="92" t="s">
        <v>999</v>
      </c>
      <c r="H226" s="93" t="s">
        <v>113</v>
      </c>
      <c r="I226" s="93" t="s">
        <v>135</v>
      </c>
      <c r="J226" s="179" t="s">
        <v>999</v>
      </c>
      <c r="K226" s="179"/>
      <c r="L226" s="179"/>
      <c r="M226" s="210" t="s">
        <v>116</v>
      </c>
      <c r="N226" s="210" t="s">
        <v>1002</v>
      </c>
      <c r="O226" s="210" t="s">
        <v>1003</v>
      </c>
      <c r="P226" s="212">
        <v>1</v>
      </c>
      <c r="Q226" s="213">
        <v>1</v>
      </c>
      <c r="R226" s="213">
        <v>40</v>
      </c>
      <c r="S226" s="210" t="s">
        <v>237</v>
      </c>
      <c r="T226" s="210" t="s">
        <v>263</v>
      </c>
      <c r="U226" s="210" t="s">
        <v>237</v>
      </c>
      <c r="V226" s="175"/>
    </row>
    <row r="227" spans="1:22" ht="30.75">
      <c r="A227" s="66"/>
      <c r="B227" s="68"/>
      <c r="C227" s="65"/>
      <c r="D227" s="63" t="s">
        <v>1004</v>
      </c>
      <c r="E227" s="83" t="s">
        <v>1005</v>
      </c>
      <c r="F227" s="91" t="s">
        <v>1006</v>
      </c>
      <c r="G227" s="92" t="s">
        <v>1007</v>
      </c>
      <c r="H227" s="93" t="s">
        <v>155</v>
      </c>
      <c r="I227" s="93" t="s">
        <v>135</v>
      </c>
      <c r="J227" s="179" t="s">
        <v>1008</v>
      </c>
      <c r="K227" s="179"/>
      <c r="L227" s="179"/>
      <c r="M227" s="210" t="s">
        <v>148</v>
      </c>
      <c r="N227" s="210" t="s">
        <v>1009</v>
      </c>
      <c r="O227" s="210" t="s">
        <v>1010</v>
      </c>
      <c r="P227" s="212">
        <v>3</v>
      </c>
      <c r="Q227" s="213">
        <v>4</v>
      </c>
      <c r="R227" s="213">
        <v>40</v>
      </c>
      <c r="S227" s="210" t="s">
        <v>237</v>
      </c>
      <c r="T227" s="210" t="s">
        <v>263</v>
      </c>
      <c r="U227" s="210" t="s">
        <v>237</v>
      </c>
      <c r="V227" s="175"/>
    </row>
    <row r="228" spans="1:22" ht="45.75">
      <c r="A228" s="66"/>
      <c r="B228" s="68"/>
      <c r="C228" s="65"/>
      <c r="D228" s="208"/>
      <c r="E228" s="209"/>
      <c r="F228" s="91" t="s">
        <v>1011</v>
      </c>
      <c r="G228" s="92" t="s">
        <v>1012</v>
      </c>
      <c r="H228" s="93" t="s">
        <v>155</v>
      </c>
      <c r="I228" s="93" t="s">
        <v>135</v>
      </c>
      <c r="J228" s="179" t="s">
        <v>1013</v>
      </c>
      <c r="K228" s="179"/>
      <c r="L228" s="179"/>
      <c r="M228" s="210" t="s">
        <v>148</v>
      </c>
      <c r="N228" s="210" t="s">
        <v>1014</v>
      </c>
      <c r="O228" s="210" t="s">
        <v>1015</v>
      </c>
      <c r="P228" s="212">
        <v>15</v>
      </c>
      <c r="Q228" s="213">
        <v>20</v>
      </c>
      <c r="R228" s="213">
        <v>40</v>
      </c>
      <c r="S228" s="210" t="s">
        <v>237</v>
      </c>
      <c r="T228" s="210" t="s">
        <v>263</v>
      </c>
      <c r="U228" s="210" t="s">
        <v>237</v>
      </c>
      <c r="V228" s="175"/>
    </row>
    <row r="229" spans="1:22">
      <c r="F229" s="7"/>
    </row>
  </sheetData>
  <autoFilter ref="A4:V4" xr:uid="{00000000-0009-0000-0000-000003000000}"/>
  <dataConsolidate/>
  <mergeCells count="25">
    <mergeCell ref="R3:U3"/>
    <mergeCell ref="A102:A113"/>
    <mergeCell ref="B98:B113"/>
    <mergeCell ref="C32:C45"/>
    <mergeCell ref="C98:C113"/>
    <mergeCell ref="P3:Q3"/>
    <mergeCell ref="B32:B45"/>
    <mergeCell ref="B24:B31"/>
    <mergeCell ref="D21:D23"/>
    <mergeCell ref="E21:E23"/>
    <mergeCell ref="C24:C31"/>
    <mergeCell ref="E205:E206"/>
    <mergeCell ref="D195:D197"/>
    <mergeCell ref="E195:E197"/>
    <mergeCell ref="C202:C206"/>
    <mergeCell ref="B61:B67"/>
    <mergeCell ref="C61:C67"/>
    <mergeCell ref="C120:C122"/>
    <mergeCell ref="C171:C201"/>
    <mergeCell ref="C2:D2"/>
    <mergeCell ref="B207:B210"/>
    <mergeCell ref="B202:B206"/>
    <mergeCell ref="B171:B201"/>
    <mergeCell ref="D205:D206"/>
    <mergeCell ref="C207:C210"/>
  </mergeCells>
  <phoneticPr fontId="1" type="noConversion"/>
  <conditionalFormatting sqref="K194 H194:I194">
    <cfRule type="duplicateValues" dxfId="0" priority="1"/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2000000}">
          <x14:formula1>
            <xm:f>Full1!$C$2:$C$6</xm:f>
          </x14:formula1>
          <xm:sqref>M5:M11 M14:M37 M40:M51 M97:M122 M124:M183 M185 M187:M197 M199:M228 M53:M95</xm:sqref>
        </x14:dataValidation>
        <x14:dataValidation type="list" allowBlank="1" showInputMessage="1" showErrorMessage="1" xr:uid="{00000000-0002-0000-0300-000003000000}">
          <x14:formula1>
            <xm:f>Full1!$E$2:$E$3</xm:f>
          </x14:formula1>
          <xm:sqref>L97:L122 L124:L183 L185 L187:L228 L5:L95</xm:sqref>
        </x14:dataValidation>
        <x14:dataValidation type="list" allowBlank="1" showInputMessage="1" showErrorMessage="1" xr:uid="{00000000-0002-0000-0300-000000000000}">
          <x14:formula1>
            <xm:f>Full1!$A$2:$A$3</xm:f>
          </x14:formula1>
          <xm:sqref>H5:H228</xm:sqref>
        </x14:dataValidation>
        <x14:dataValidation type="list" allowBlank="1" showInputMessage="1" showErrorMessage="1" xr:uid="{00000000-0002-0000-0300-000001000000}">
          <x14:formula1>
            <xm:f>Full1!$B$2:$B$3</xm:f>
          </x14:formula1>
          <xm:sqref>I5:I228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6"/>
  <sheetViews>
    <sheetView workbookViewId="0">
      <selection activeCell="B8" sqref="B8"/>
    </sheetView>
  </sheetViews>
  <sheetFormatPr defaultRowHeight="14.45"/>
  <cols>
    <col min="1" max="1" width="6.42578125" customWidth="1"/>
    <col min="2" max="2" width="57.140625" customWidth="1"/>
    <col min="3" max="3" width="34.42578125" customWidth="1"/>
    <col min="4" max="4" width="61" style="69" customWidth="1"/>
    <col min="8" max="8" width="26.42578125" customWidth="1"/>
  </cols>
  <sheetData>
    <row r="1" spans="1:4" ht="15.6">
      <c r="A1" s="115" t="s">
        <v>1016</v>
      </c>
    </row>
    <row r="2" spans="1:4" ht="15.6">
      <c r="A2" s="115"/>
    </row>
    <row r="3" spans="1:4" ht="15.95" thickBot="1">
      <c r="A3" s="115" t="s">
        <v>1017</v>
      </c>
    </row>
    <row r="4" spans="1:4" ht="15.95" thickBot="1">
      <c r="A4" s="118" t="s">
        <v>1018</v>
      </c>
      <c r="B4" s="141" t="s">
        <v>1019</v>
      </c>
      <c r="C4" s="120" t="s">
        <v>1020</v>
      </c>
      <c r="D4" s="119" t="s">
        <v>1021</v>
      </c>
    </row>
    <row r="5" spans="1:4" ht="29.1">
      <c r="A5" s="143" t="s">
        <v>111</v>
      </c>
      <c r="B5" s="140" t="str">
        <f>PLA!J5</f>
        <v>Implementar i executar plans de gestió específics per a hàbitats i espècies de conservació prioritària dins l'ENP</v>
      </c>
      <c r="C5" s="140" t="s">
        <v>1022</v>
      </c>
      <c r="D5" s="140"/>
    </row>
    <row r="6" spans="1:4" ht="29.1">
      <c r="A6" s="143" t="s">
        <v>123</v>
      </c>
      <c r="B6" s="117" t="str">
        <f>PLA!J6</f>
        <v xml:space="preserve">Adaptar i executar plans de gestió específics per a elements geològics de conservació prioritària dins l'ENP. </v>
      </c>
      <c r="C6" s="140" t="s">
        <v>1022</v>
      </c>
      <c r="D6" s="140"/>
    </row>
    <row r="7" spans="1:4" ht="43.5">
      <c r="A7" s="95" t="s">
        <v>133</v>
      </c>
      <c r="B7" s="117" t="str">
        <f>PLA!J8</f>
        <v>Implementar la metodologia de gestió adaptativa (Estàndards Oberts de Gestió Adaptativa a Catalunya) en tots els processos de l'ENP</v>
      </c>
      <c r="C7" s="140" t="s">
        <v>1022</v>
      </c>
      <c r="D7" s="140"/>
    </row>
    <row r="8" spans="1:4" ht="57.95">
      <c r="A8" s="95" t="s">
        <v>140</v>
      </c>
      <c r="B8" s="117" t="str">
        <f>PLA!J9</f>
        <v>Executar les mesures previstes en els plans de conservació o recuperació d'espècies amenaçades de forma coordinada amb el Servei de Flora i Fauna en l'àmbit de l'ENP. Participar en l’execució del Pla de recuperació de Seseli farrenyi, planta endèmica del Parc.</v>
      </c>
      <c r="C8" s="140" t="s">
        <v>1022</v>
      </c>
      <c r="D8" s="140"/>
    </row>
    <row r="9" spans="1:4" ht="72.599999999999994">
      <c r="A9" s="95" t="s">
        <v>145</v>
      </c>
      <c r="B9" s="117" t="str">
        <f>PLA!J10</f>
        <v>Executar les mesures de gestió previstes en els plans de control i erradicació d'espècies exòtiques de forma coordinada amb el Servei de Flora i Fauna en l'àmbit de l'ENP. Millorar els hàbitats d'interès comunitari litorals i de ribera mitjançant l'eliminació de flora exòtica invasora.</v>
      </c>
      <c r="C9" s="140" t="s">
        <v>1023</v>
      </c>
      <c r="D9" s="140"/>
    </row>
    <row r="10" spans="1:4">
      <c r="A10" s="95" t="s">
        <v>153</v>
      </c>
      <c r="B10" s="117">
        <f>PLA!J11</f>
        <v>0</v>
      </c>
      <c r="C10" s="140" t="s">
        <v>1022</v>
      </c>
      <c r="D10" s="140"/>
    </row>
    <row r="11" spans="1:4" ht="29.1">
      <c r="A11" s="143" t="s">
        <v>168</v>
      </c>
      <c r="B11" s="117">
        <f>PLA!J14</f>
        <v>0</v>
      </c>
      <c r="C11" s="140" t="s">
        <v>1024</v>
      </c>
      <c r="D11" s="140"/>
    </row>
    <row r="12" spans="1:4" ht="29.1">
      <c r="A12" s="143" t="s">
        <v>170</v>
      </c>
      <c r="B12" s="117">
        <f>PLA!J15</f>
        <v>0</v>
      </c>
      <c r="C12" s="140" t="s">
        <v>1024</v>
      </c>
      <c r="D12" s="140"/>
    </row>
    <row r="13" spans="1:4" ht="29.1">
      <c r="A13" s="143" t="s">
        <v>172</v>
      </c>
      <c r="B13" s="117">
        <f>PLA!J16</f>
        <v>0</v>
      </c>
      <c r="C13" s="140" t="s">
        <v>1024</v>
      </c>
      <c r="D13" s="140"/>
    </row>
    <row r="14" spans="1:4" ht="29.1">
      <c r="A14" s="143" t="s">
        <v>174</v>
      </c>
      <c r="B14" s="117">
        <f>PLA!J17</f>
        <v>0</v>
      </c>
      <c r="C14" s="140" t="s">
        <v>1024</v>
      </c>
      <c r="D14" s="140"/>
    </row>
    <row r="15" spans="1:4" ht="43.5">
      <c r="A15" s="143" t="s">
        <v>176</v>
      </c>
      <c r="B15" s="117" t="str">
        <f>PLA!J18</f>
        <v>Fomentar el paisatge en mosaïc a través de la millora dels hàbitats oberts i potenciar les poblacions de fauna que hi viu, especialment aquelles d'interès comunitari i espècies clau de l'ecosistema.</v>
      </c>
      <c r="C15" s="140" t="s">
        <v>1024</v>
      </c>
      <c r="D15" s="140"/>
    </row>
    <row r="16" spans="1:4" ht="29.1">
      <c r="A16" s="143" t="s">
        <v>183</v>
      </c>
      <c r="B16" s="117">
        <f>PLA!J19</f>
        <v>0</v>
      </c>
      <c r="C16" s="140" t="s">
        <v>1024</v>
      </c>
      <c r="D16" s="140"/>
    </row>
    <row r="17" spans="1:4">
      <c r="A17" s="143" t="s">
        <v>191</v>
      </c>
      <c r="B17" s="117">
        <f>PLA!J21</f>
        <v>0</v>
      </c>
      <c r="C17" s="140" t="s">
        <v>1022</v>
      </c>
      <c r="D17" s="140"/>
    </row>
    <row r="18" spans="1:4">
      <c r="A18" s="143" t="s">
        <v>193</v>
      </c>
      <c r="B18" s="117">
        <f>PLA!J22</f>
        <v>0</v>
      </c>
      <c r="C18" s="140" t="s">
        <v>1022</v>
      </c>
      <c r="D18" s="140"/>
    </row>
    <row r="19" spans="1:4" ht="29.1">
      <c r="A19" s="143" t="s">
        <v>195</v>
      </c>
      <c r="B19" s="117" t="str">
        <f>PLA!J23</f>
        <v>Gestionar les barraques i edificacions públiques situades dins de la ZMT</v>
      </c>
      <c r="C19" s="140" t="s">
        <v>1022</v>
      </c>
      <c r="D19" s="140"/>
    </row>
    <row r="20" spans="1:4">
      <c r="A20" s="143" t="s">
        <v>203</v>
      </c>
      <c r="B20" s="117">
        <f>PLA!J24</f>
        <v>0</v>
      </c>
      <c r="C20" s="140" t="s">
        <v>1025</v>
      </c>
      <c r="D20" s="140"/>
    </row>
    <row r="21" spans="1:4" ht="29.1">
      <c r="A21" s="143" t="s">
        <v>205</v>
      </c>
      <c r="B21" s="117" t="str">
        <f>PLA!J25</f>
        <v>Gestionar i planificar els recursos hídrics de l'ENP i implementar actuacions de millora i protecció dels principals punts d'aigua</v>
      </c>
      <c r="C21" s="140" t="s">
        <v>1026</v>
      </c>
      <c r="D21" s="140"/>
    </row>
    <row r="22" spans="1:4">
      <c r="A22" s="143" t="s">
        <v>210</v>
      </c>
      <c r="B22" s="117">
        <f>PLA!J26</f>
        <v>0</v>
      </c>
      <c r="C22" s="140" t="s">
        <v>1027</v>
      </c>
      <c r="D22" s="140"/>
    </row>
    <row r="23" spans="1:4" ht="43.5">
      <c r="A23" s="143" t="s">
        <v>212</v>
      </c>
      <c r="B23" s="117" t="str">
        <f>PLA!J27</f>
        <v>Promoure la redacció d'instruments d'ordenació forestal per reduir la sensibilitat i vulnerabilitat dels boscos al canvi climàtic en finques privades</v>
      </c>
      <c r="C23" s="140" t="s">
        <v>1027</v>
      </c>
      <c r="D23" s="140"/>
    </row>
    <row r="24" spans="1:4" ht="29.1">
      <c r="A24" s="143" t="s">
        <v>223</v>
      </c>
      <c r="B24" s="117" t="str">
        <f>PLA!J29</f>
        <v>Aprovar el nou Projecte d’infraestructures estratègiques de  Prevenció d’incendis forestals</v>
      </c>
      <c r="C24" s="140" t="s">
        <v>1028</v>
      </c>
      <c r="D24" s="140"/>
    </row>
    <row r="25" spans="1:4">
      <c r="A25" s="143" t="s">
        <v>228</v>
      </c>
      <c r="B25" s="117" t="str">
        <f>PLA!J30</f>
        <v>Definir i planificar la gestió del foc per a la millora de l'ENP</v>
      </c>
      <c r="C25" s="140" t="s">
        <v>1028</v>
      </c>
      <c r="D25" s="140"/>
    </row>
    <row r="26" spans="1:4">
      <c r="A26" s="143" t="s">
        <v>232</v>
      </c>
      <c r="B26" s="117" t="str">
        <f>PLA!J31</f>
        <v>Coordinació de les actuacions entre administracions responsables</v>
      </c>
      <c r="C26" s="140" t="s">
        <v>1028</v>
      </c>
      <c r="D26" s="140"/>
    </row>
    <row r="27" spans="1:4">
      <c r="A27" s="143" t="s">
        <v>241</v>
      </c>
      <c r="B27" s="117">
        <f>PLA!J32</f>
        <v>0</v>
      </c>
      <c r="C27" s="140" t="s">
        <v>1029</v>
      </c>
      <c r="D27" s="140"/>
    </row>
    <row r="28" spans="1:4">
      <c r="A28" s="143" t="s">
        <v>243</v>
      </c>
      <c r="B28" s="117">
        <f>PLA!J33</f>
        <v>0</v>
      </c>
      <c r="C28" s="140" t="s">
        <v>1022</v>
      </c>
      <c r="D28" s="140"/>
    </row>
    <row r="29" spans="1:4">
      <c r="A29" s="143" t="s">
        <v>245</v>
      </c>
      <c r="B29" s="117">
        <f>PLA!J34</f>
        <v>0</v>
      </c>
      <c r="C29" s="140" t="s">
        <v>1029</v>
      </c>
      <c r="D29" s="140"/>
    </row>
    <row r="30" spans="1:4" ht="43.5">
      <c r="A30" s="143" t="s">
        <v>257</v>
      </c>
      <c r="B30" s="117" t="str">
        <f>PLA!J37</f>
        <v>Participar en l'elaboració dels instruments de planificació de l'ENP. Dotar l'espai marí amb una planificació d'usos i activitats ben regulada i acordada amb el territori</v>
      </c>
      <c r="C30" s="140" t="s">
        <v>1022</v>
      </c>
      <c r="D30" s="140"/>
    </row>
    <row r="31" spans="1:4">
      <c r="A31" s="143" t="s">
        <v>273</v>
      </c>
      <c r="B31" s="117">
        <f>PLA!J40</f>
        <v>0</v>
      </c>
      <c r="C31" s="140" t="s">
        <v>1026</v>
      </c>
      <c r="D31" s="140"/>
    </row>
    <row r="32" spans="1:4">
      <c r="A32" s="143" t="s">
        <v>275</v>
      </c>
      <c r="B32" s="117">
        <f>PLA!J41</f>
        <v>0</v>
      </c>
      <c r="C32" s="140" t="s">
        <v>1026</v>
      </c>
      <c r="D32" s="140"/>
    </row>
    <row r="33" spans="1:4">
      <c r="A33" s="143" t="s">
        <v>277</v>
      </c>
      <c r="B33" s="117">
        <f>PLA!J42</f>
        <v>0</v>
      </c>
      <c r="C33" s="140" t="s">
        <v>1026</v>
      </c>
      <c r="D33" s="140"/>
    </row>
    <row r="34" spans="1:4">
      <c r="A34" s="143" t="s">
        <v>279</v>
      </c>
      <c r="B34" s="117">
        <f>PLA!J43</f>
        <v>0</v>
      </c>
      <c r="C34" s="140" t="s">
        <v>1030</v>
      </c>
      <c r="D34" s="140"/>
    </row>
    <row r="35" spans="1:4" ht="43.5">
      <c r="A35" s="143" t="s">
        <v>283</v>
      </c>
      <c r="B35" s="117" t="str">
        <f>PLA!J44</f>
        <v>Revisar i consensuar l’estudi previ per a la gestió integral de la finca Muntanya de Sant Pere de Rodes (medi ambient, cultura, agricultura, etc.) i adquirir la finca per a la seva futura gestió.</v>
      </c>
      <c r="C35" s="140" t="s">
        <v>1022</v>
      </c>
      <c r="D35" s="140"/>
    </row>
    <row r="36" spans="1:4" ht="29.1">
      <c r="A36" s="143" t="s">
        <v>288</v>
      </c>
      <c r="B36" s="117" t="str">
        <f>PLA!J45</f>
        <v>Gestionar de forma integral la finca de la Muntanya de Sant Pere de Rodes</v>
      </c>
      <c r="C36" s="140" t="s">
        <v>1022</v>
      </c>
      <c r="D36" s="140"/>
    </row>
    <row r="37" spans="1:4">
      <c r="B37" s="142" t="s">
        <v>1031</v>
      </c>
      <c r="C37" s="140"/>
      <c r="D37" s="140"/>
    </row>
    <row r="38" spans="1:4">
      <c r="C38" s="140"/>
      <c r="D38" s="140"/>
    </row>
    <row r="39" spans="1:4">
      <c r="C39" s="140"/>
      <c r="D39" s="140"/>
    </row>
    <row r="40" spans="1:4">
      <c r="C40" s="140"/>
      <c r="D40" s="140"/>
    </row>
    <row r="41" spans="1:4">
      <c r="C41" s="140"/>
      <c r="D41" s="140"/>
    </row>
    <row r="42" spans="1:4">
      <c r="C42" s="140"/>
      <c r="D42" s="140"/>
    </row>
    <row r="43" spans="1:4">
      <c r="C43" s="140"/>
      <c r="D43" s="140"/>
    </row>
    <row r="44" spans="1:4">
      <c r="C44" s="140"/>
      <c r="D44" s="140"/>
    </row>
    <row r="45" spans="1:4">
      <c r="C45" s="140"/>
      <c r="D45" s="140"/>
    </row>
    <row r="46" spans="1:4">
      <c r="C46" s="140"/>
      <c r="D46" s="140"/>
    </row>
    <row r="47" spans="1:4">
      <c r="C47" s="140"/>
      <c r="D47" s="140"/>
    </row>
    <row r="48" spans="1:4">
      <c r="C48" s="140"/>
      <c r="D48" s="140"/>
    </row>
    <row r="49" spans="3:4">
      <c r="C49" s="140"/>
      <c r="D49" s="140"/>
    </row>
    <row r="50" spans="3:4">
      <c r="C50" s="140"/>
      <c r="D50" s="140"/>
    </row>
    <row r="51" spans="3:4">
      <c r="C51" s="140"/>
      <c r="D51" s="140"/>
    </row>
    <row r="52" spans="3:4">
      <c r="C52" s="140"/>
      <c r="D52" s="140"/>
    </row>
    <row r="53" spans="3:4">
      <c r="C53" s="140"/>
      <c r="D53" s="140"/>
    </row>
    <row r="54" spans="3:4">
      <c r="C54" s="140"/>
      <c r="D54" s="140"/>
    </row>
    <row r="55" spans="3:4">
      <c r="C55" s="140"/>
      <c r="D55" s="140"/>
    </row>
    <row r="56" spans="3:4">
      <c r="C56" s="140"/>
      <c r="D56" s="140"/>
    </row>
    <row r="57" spans="3:4">
      <c r="C57" s="140"/>
      <c r="D57" s="140"/>
    </row>
    <row r="58" spans="3:4">
      <c r="C58" s="140"/>
      <c r="D58" s="140"/>
    </row>
    <row r="59" spans="3:4">
      <c r="C59" s="140"/>
      <c r="D59" s="140"/>
    </row>
    <row r="60" spans="3:4">
      <c r="C60" s="140"/>
      <c r="D60" s="140"/>
    </row>
    <row r="61" spans="3:4">
      <c r="C61" s="140"/>
      <c r="D61" s="140"/>
    </row>
    <row r="62" spans="3:4">
      <c r="C62" s="140"/>
      <c r="D62" s="140"/>
    </row>
    <row r="63" spans="3:4">
      <c r="C63" s="140"/>
      <c r="D63" s="140"/>
    </row>
    <row r="64" spans="3:4">
      <c r="C64" s="140"/>
      <c r="D64" s="140"/>
    </row>
    <row r="65" spans="3:4">
      <c r="C65" s="140"/>
      <c r="D65" s="140"/>
    </row>
    <row r="66" spans="3:4">
      <c r="C66" s="140"/>
      <c r="D66" s="140"/>
    </row>
    <row r="67" spans="3:4">
      <c r="C67" s="140"/>
      <c r="D67" s="140"/>
    </row>
    <row r="68" spans="3:4">
      <c r="C68" s="140"/>
      <c r="D68" s="140"/>
    </row>
    <row r="69" spans="3:4">
      <c r="C69" s="140"/>
      <c r="D69" s="140"/>
    </row>
    <row r="70" spans="3:4">
      <c r="C70" s="140"/>
      <c r="D70" s="140"/>
    </row>
    <row r="71" spans="3:4">
      <c r="C71" s="140"/>
      <c r="D71" s="140"/>
    </row>
    <row r="72" spans="3:4">
      <c r="C72" s="140"/>
      <c r="D72" s="140"/>
    </row>
    <row r="73" spans="3:4">
      <c r="C73" s="140"/>
      <c r="D73" s="140"/>
    </row>
    <row r="74" spans="3:4">
      <c r="C74" s="140"/>
      <c r="D74" s="140"/>
    </row>
    <row r="75" spans="3:4">
      <c r="C75" s="140"/>
      <c r="D75" s="140"/>
    </row>
    <row r="76" spans="3:4">
      <c r="C76" s="140"/>
      <c r="D76" s="140"/>
    </row>
    <row r="77" spans="3:4">
      <c r="C77" s="140"/>
      <c r="D77" s="140"/>
    </row>
    <row r="78" spans="3:4">
      <c r="C78" s="140"/>
      <c r="D78" s="140"/>
    </row>
    <row r="79" spans="3:4">
      <c r="C79" s="140"/>
      <c r="D79" s="140"/>
    </row>
    <row r="80" spans="3:4">
      <c r="C80" s="140"/>
      <c r="D80" s="140"/>
    </row>
    <row r="81" spans="3:4">
      <c r="C81" s="140"/>
      <c r="D81" s="140"/>
    </row>
    <row r="82" spans="3:4">
      <c r="C82" s="140"/>
      <c r="D82" s="140"/>
    </row>
    <row r="83" spans="3:4">
      <c r="C83" s="140"/>
      <c r="D83" s="140"/>
    </row>
    <row r="84" spans="3:4">
      <c r="C84" s="140"/>
      <c r="D84" s="140"/>
    </row>
    <row r="85" spans="3:4">
      <c r="C85" s="140"/>
      <c r="D85" s="140"/>
    </row>
    <row r="86" spans="3:4">
      <c r="C86" s="140"/>
      <c r="D86" s="140"/>
    </row>
    <row r="87" spans="3:4">
      <c r="C87" s="140"/>
      <c r="D87" s="140"/>
    </row>
    <row r="88" spans="3:4">
      <c r="C88" s="140"/>
      <c r="D88" s="140"/>
    </row>
    <row r="89" spans="3:4">
      <c r="C89" s="140"/>
      <c r="D89" s="140"/>
    </row>
    <row r="90" spans="3:4">
      <c r="C90" s="140"/>
      <c r="D90" s="140"/>
    </row>
    <row r="91" spans="3:4">
      <c r="C91" s="140"/>
      <c r="D91" s="140"/>
    </row>
    <row r="92" spans="3:4">
      <c r="C92" s="140"/>
      <c r="D92" s="140"/>
    </row>
    <row r="93" spans="3:4">
      <c r="C93" s="140"/>
      <c r="D93" s="140"/>
    </row>
    <row r="94" spans="3:4">
      <c r="C94" s="140"/>
      <c r="D94" s="140"/>
    </row>
    <row r="95" spans="3:4">
      <c r="C95" s="140"/>
      <c r="D95" s="140"/>
    </row>
    <row r="96" spans="3:4">
      <c r="C96" s="140"/>
      <c r="D96" s="140"/>
    </row>
    <row r="97" spans="3:4">
      <c r="C97" s="140"/>
      <c r="D97" s="140"/>
    </row>
    <row r="98" spans="3:4">
      <c r="C98" s="140"/>
      <c r="D98" s="140"/>
    </row>
    <row r="99" spans="3:4">
      <c r="C99" s="140"/>
      <c r="D99" s="140"/>
    </row>
    <row r="100" spans="3:4">
      <c r="C100" s="140"/>
      <c r="D100" s="140"/>
    </row>
    <row r="101" spans="3:4">
      <c r="C101" s="140"/>
      <c r="D101" s="140"/>
    </row>
    <row r="102" spans="3:4">
      <c r="C102" s="140"/>
      <c r="D102" s="140"/>
    </row>
    <row r="103" spans="3:4">
      <c r="C103" s="140"/>
      <c r="D103" s="140"/>
    </row>
    <row r="104" spans="3:4">
      <c r="C104" s="140"/>
      <c r="D104" s="140"/>
    </row>
    <row r="105" spans="3:4">
      <c r="C105" s="140"/>
      <c r="D105" s="140"/>
    </row>
    <row r="106" spans="3:4">
      <c r="C106" s="140"/>
      <c r="D106" s="140"/>
    </row>
  </sheetData>
  <pageMargins left="0.7" right="0.7" top="0.75" bottom="0.75" header="0.3" footer="0.3"/>
  <pageSetup paperSize="9" orientation="portrait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400-000000000000}">
          <x14:formula1>
            <xm:f>Llistes!$G$2:$G$43</xm:f>
          </x14:formula1>
          <xm:sqref>C5:C106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842"/>
  <sheetViews>
    <sheetView workbookViewId="0">
      <selection activeCell="B9" sqref="B9"/>
    </sheetView>
  </sheetViews>
  <sheetFormatPr defaultColWidth="12.5703125" defaultRowHeight="15.75" customHeight="1"/>
  <cols>
    <col min="1" max="1" width="11.5703125" style="125" customWidth="1"/>
    <col min="2" max="2" width="24.85546875" style="125" customWidth="1"/>
    <col min="3" max="3" width="9.85546875" style="125" customWidth="1"/>
    <col min="4" max="4" width="33.42578125" style="125" customWidth="1"/>
    <col min="5" max="5" width="60.42578125" style="125" customWidth="1"/>
    <col min="6" max="16384" width="12.5703125" style="125"/>
  </cols>
  <sheetData>
    <row r="1" spans="1:25" ht="21.95">
      <c r="A1" s="121" t="s">
        <v>1032</v>
      </c>
      <c r="B1" s="122"/>
      <c r="C1" s="123"/>
      <c r="D1" s="124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</row>
    <row r="2" spans="1:25" ht="12.95">
      <c r="A2" s="123" t="s">
        <v>1033</v>
      </c>
      <c r="B2" s="122"/>
      <c r="C2" s="123"/>
      <c r="D2" s="124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</row>
    <row r="3" spans="1:25" ht="12.95">
      <c r="A3" s="126" t="s">
        <v>1034</v>
      </c>
      <c r="B3" s="122"/>
      <c r="C3" s="123"/>
      <c r="D3" s="124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</row>
    <row r="4" spans="1:25" ht="12.95">
      <c r="A4" s="122" t="s">
        <v>1035</v>
      </c>
      <c r="B4" s="122"/>
      <c r="C4" s="123"/>
      <c r="D4" s="124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</row>
    <row r="5" spans="1:25" ht="17.25" customHeight="1">
      <c r="A5" s="127" t="s">
        <v>1036</v>
      </c>
      <c r="B5" s="122"/>
      <c r="C5" s="123"/>
      <c r="D5" s="124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</row>
    <row r="6" spans="1:25" ht="17.25" customHeight="1">
      <c r="A6" s="123"/>
      <c r="B6" s="122"/>
      <c r="C6" s="123"/>
      <c r="D6" s="124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</row>
    <row r="7" spans="1:25" ht="17.25" customHeight="1">
      <c r="A7" s="123"/>
      <c r="B7" s="122"/>
      <c r="C7" s="123"/>
      <c r="D7" s="124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</row>
    <row r="8" spans="1:25" ht="29.1">
      <c r="A8" s="128" t="s">
        <v>1037</v>
      </c>
      <c r="B8" s="129" t="s">
        <v>1038</v>
      </c>
      <c r="C8" s="128" t="s">
        <v>1037</v>
      </c>
      <c r="D8" s="130" t="s">
        <v>1039</v>
      </c>
      <c r="E8" s="130" t="s">
        <v>1040</v>
      </c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</row>
    <row r="9" spans="1:25" ht="78">
      <c r="A9" s="279">
        <v>1</v>
      </c>
      <c r="B9" s="280" t="s">
        <v>1041</v>
      </c>
      <c r="C9" s="131">
        <v>1.1000000000000001</v>
      </c>
      <c r="D9" s="132" t="s">
        <v>1042</v>
      </c>
      <c r="E9" s="132" t="s">
        <v>1043</v>
      </c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</row>
    <row r="10" spans="1:25" ht="12.95">
      <c r="A10" s="297"/>
      <c r="B10" s="297"/>
      <c r="C10" s="131">
        <v>1.2</v>
      </c>
      <c r="D10" s="132" t="s">
        <v>1044</v>
      </c>
      <c r="E10" s="13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</row>
    <row r="11" spans="1:25" ht="12.95">
      <c r="A11" s="297"/>
      <c r="B11" s="297"/>
      <c r="C11" s="131">
        <v>1.3</v>
      </c>
      <c r="D11" s="132" t="s">
        <v>1045</v>
      </c>
      <c r="E11" s="132" t="s">
        <v>1046</v>
      </c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</row>
    <row r="12" spans="1:25" ht="39">
      <c r="A12" s="279">
        <v>2</v>
      </c>
      <c r="B12" s="280" t="s">
        <v>1027</v>
      </c>
      <c r="C12" s="131">
        <v>2.1</v>
      </c>
      <c r="D12" s="132" t="s">
        <v>1047</v>
      </c>
      <c r="E12" s="132" t="s">
        <v>1048</v>
      </c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</row>
    <row r="13" spans="1:25" ht="12.95">
      <c r="A13" s="297"/>
      <c r="B13" s="297"/>
      <c r="C13" s="131">
        <v>2.2000000000000002</v>
      </c>
      <c r="D13" s="132" t="s">
        <v>1049</v>
      </c>
      <c r="E13" s="13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</row>
    <row r="14" spans="1:25" ht="26.1">
      <c r="A14" s="297"/>
      <c r="B14" s="297"/>
      <c r="C14" s="131">
        <v>2.2999999999999998</v>
      </c>
      <c r="D14" s="132" t="s">
        <v>1050</v>
      </c>
      <c r="E14" s="132" t="s">
        <v>1051</v>
      </c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</row>
    <row r="15" spans="1:25" ht="12.95">
      <c r="A15" s="297"/>
      <c r="B15" s="297"/>
      <c r="C15" s="131">
        <v>2.4</v>
      </c>
      <c r="D15" s="132" t="s">
        <v>1052</v>
      </c>
      <c r="E15" s="132" t="s">
        <v>1053</v>
      </c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</row>
    <row r="16" spans="1:25" ht="39">
      <c r="A16" s="279">
        <v>3</v>
      </c>
      <c r="B16" s="280" t="s">
        <v>1054</v>
      </c>
      <c r="C16" s="131">
        <v>3.1</v>
      </c>
      <c r="D16" s="132" t="s">
        <v>1055</v>
      </c>
      <c r="E16" s="132" t="s">
        <v>1056</v>
      </c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</row>
    <row r="17" spans="1:25" ht="51.95">
      <c r="A17" s="297"/>
      <c r="B17" s="297"/>
      <c r="C17" s="131">
        <v>3.2</v>
      </c>
      <c r="D17" s="132" t="s">
        <v>1057</v>
      </c>
      <c r="E17" s="132" t="s">
        <v>1058</v>
      </c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</row>
    <row r="18" spans="1:25" ht="12.95">
      <c r="A18" s="279">
        <v>4</v>
      </c>
      <c r="B18" s="280" t="s">
        <v>1029</v>
      </c>
      <c r="C18" s="131">
        <v>4.0999999999999996</v>
      </c>
      <c r="D18" s="132" t="s">
        <v>1059</v>
      </c>
      <c r="E18" s="132" t="s">
        <v>1060</v>
      </c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</row>
    <row r="19" spans="1:25" ht="26.1">
      <c r="A19" s="297"/>
      <c r="B19" s="297"/>
      <c r="C19" s="131">
        <v>4.2</v>
      </c>
      <c r="D19" s="132" t="s">
        <v>1061</v>
      </c>
      <c r="E19" s="132" t="s">
        <v>1062</v>
      </c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</row>
    <row r="20" spans="1:25" ht="26.1">
      <c r="A20" s="297"/>
      <c r="B20" s="297"/>
      <c r="C20" s="131">
        <v>4.3</v>
      </c>
      <c r="D20" s="132" t="s">
        <v>1063</v>
      </c>
      <c r="E20" s="132" t="s">
        <v>1064</v>
      </c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</row>
    <row r="21" spans="1:25" ht="26.1">
      <c r="A21" s="297"/>
      <c r="B21" s="297"/>
      <c r="C21" s="131">
        <v>4.4000000000000004</v>
      </c>
      <c r="D21" s="132" t="s">
        <v>1065</v>
      </c>
      <c r="E21" s="132" t="s">
        <v>1066</v>
      </c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</row>
    <row r="22" spans="1:25" ht="26.1">
      <c r="A22" s="279">
        <v>5</v>
      </c>
      <c r="B22" s="280" t="s">
        <v>1026</v>
      </c>
      <c r="C22" s="131">
        <v>5.0999999999999996</v>
      </c>
      <c r="D22" s="132" t="s">
        <v>1067</v>
      </c>
      <c r="E22" s="132" t="s">
        <v>1068</v>
      </c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</row>
    <row r="23" spans="1:25" ht="12.95">
      <c r="A23" s="297"/>
      <c r="B23" s="297"/>
      <c r="C23" s="134">
        <v>5.2</v>
      </c>
      <c r="D23" s="132" t="s">
        <v>1069</v>
      </c>
      <c r="E23" s="132" t="s">
        <v>1070</v>
      </c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</row>
    <row r="24" spans="1:25" ht="12.95">
      <c r="A24" s="297"/>
      <c r="B24" s="297"/>
      <c r="C24" s="131">
        <v>5.3</v>
      </c>
      <c r="D24" s="132" t="s">
        <v>1071</v>
      </c>
      <c r="E24" s="132" t="s">
        <v>1072</v>
      </c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</row>
    <row r="25" spans="1:25" ht="39">
      <c r="A25" s="297"/>
      <c r="B25" s="297"/>
      <c r="C25" s="131">
        <v>5.4</v>
      </c>
      <c r="D25" s="132" t="s">
        <v>1073</v>
      </c>
      <c r="E25" s="132" t="s">
        <v>1074</v>
      </c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</row>
    <row r="26" spans="1:25" ht="78">
      <c r="A26" s="279">
        <v>6</v>
      </c>
      <c r="B26" s="280" t="s">
        <v>1075</v>
      </c>
      <c r="C26" s="131">
        <v>6.1</v>
      </c>
      <c r="D26" s="132" t="s">
        <v>1076</v>
      </c>
      <c r="E26" s="132" t="s">
        <v>1077</v>
      </c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</row>
    <row r="27" spans="1:25" ht="26.1">
      <c r="A27" s="297"/>
      <c r="B27" s="297"/>
      <c r="C27" s="131">
        <v>6.2</v>
      </c>
      <c r="D27" s="132" t="s">
        <v>1078</v>
      </c>
      <c r="E27" s="132" t="s">
        <v>1079</v>
      </c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</row>
    <row r="28" spans="1:25" ht="39">
      <c r="A28" s="297"/>
      <c r="B28" s="297"/>
      <c r="C28" s="131">
        <v>6.3</v>
      </c>
      <c r="D28" s="132" t="s">
        <v>1080</v>
      </c>
      <c r="E28" s="132" t="s">
        <v>1081</v>
      </c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</row>
    <row r="29" spans="1:25" ht="26.1">
      <c r="A29" s="297"/>
      <c r="B29" s="297"/>
      <c r="C29" s="131">
        <v>6.4</v>
      </c>
      <c r="D29" s="132" t="s">
        <v>1082</v>
      </c>
      <c r="E29" s="132" t="s">
        <v>1083</v>
      </c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</row>
    <row r="30" spans="1:25" ht="26.1">
      <c r="A30" s="279">
        <v>7</v>
      </c>
      <c r="B30" s="280" t="s">
        <v>1024</v>
      </c>
      <c r="C30" s="131">
        <v>7.1</v>
      </c>
      <c r="D30" s="132" t="s">
        <v>1084</v>
      </c>
      <c r="E30" s="132" t="s">
        <v>1085</v>
      </c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</row>
    <row r="31" spans="1:25" ht="65.099999999999994">
      <c r="A31" s="297"/>
      <c r="B31" s="297"/>
      <c r="C31" s="131">
        <v>7.2</v>
      </c>
      <c r="D31" s="132" t="s">
        <v>1086</v>
      </c>
      <c r="E31" s="132" t="s">
        <v>1087</v>
      </c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</row>
    <row r="32" spans="1:25" ht="39">
      <c r="A32" s="297"/>
      <c r="B32" s="297"/>
      <c r="C32" s="131">
        <v>7.3</v>
      </c>
      <c r="D32" s="132" t="s">
        <v>1088</v>
      </c>
      <c r="E32" s="135" t="s">
        <v>1089</v>
      </c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</row>
    <row r="33" spans="1:25" ht="26.1">
      <c r="A33" s="297"/>
      <c r="B33" s="297"/>
      <c r="C33" s="131">
        <v>7.4</v>
      </c>
      <c r="D33" s="132" t="s">
        <v>1090</v>
      </c>
      <c r="E33" s="132" t="s">
        <v>1091</v>
      </c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</row>
    <row r="34" spans="1:25" ht="39">
      <c r="A34" s="297"/>
      <c r="B34" s="297"/>
      <c r="C34" s="131">
        <v>7.5</v>
      </c>
      <c r="D34" s="132" t="s">
        <v>1092</v>
      </c>
      <c r="E34" s="132" t="s">
        <v>1093</v>
      </c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</row>
    <row r="35" spans="1:25" ht="39">
      <c r="A35" s="297"/>
      <c r="B35" s="297"/>
      <c r="C35" s="131">
        <v>7.6</v>
      </c>
      <c r="D35" s="132" t="s">
        <v>1094</v>
      </c>
      <c r="E35" s="132" t="s">
        <v>1095</v>
      </c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</row>
    <row r="36" spans="1:25" ht="39">
      <c r="A36" s="279">
        <v>8</v>
      </c>
      <c r="B36" s="280" t="s">
        <v>1023</v>
      </c>
      <c r="C36" s="131">
        <v>8.1</v>
      </c>
      <c r="D36" s="132" t="s">
        <v>1096</v>
      </c>
      <c r="E36" s="132" t="s">
        <v>1097</v>
      </c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</row>
    <row r="37" spans="1:25" ht="51.95">
      <c r="A37" s="297"/>
      <c r="B37" s="297"/>
      <c r="C37" s="131">
        <v>8.1999999999999993</v>
      </c>
      <c r="D37" s="132" t="s">
        <v>1098</v>
      </c>
      <c r="E37" s="132" t="s">
        <v>1099</v>
      </c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</row>
    <row r="38" spans="1:25" ht="51.95">
      <c r="A38" s="297"/>
      <c r="B38" s="297"/>
      <c r="C38" s="131">
        <v>8.3000000000000007</v>
      </c>
      <c r="D38" s="132" t="s">
        <v>1100</v>
      </c>
      <c r="E38" s="132" t="s">
        <v>1101</v>
      </c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</row>
    <row r="39" spans="1:25" ht="26.1">
      <c r="A39" s="297"/>
      <c r="B39" s="297"/>
      <c r="C39" s="131">
        <v>8.4</v>
      </c>
      <c r="D39" s="132" t="s">
        <v>1102</v>
      </c>
      <c r="E39" s="132" t="s">
        <v>1103</v>
      </c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</row>
    <row r="40" spans="1:25" ht="39">
      <c r="A40" s="279">
        <v>9</v>
      </c>
      <c r="B40" s="280" t="s">
        <v>1030</v>
      </c>
      <c r="C40" s="131">
        <v>9.1</v>
      </c>
      <c r="D40" s="132" t="s">
        <v>1104</v>
      </c>
      <c r="E40" s="132" t="s">
        <v>1105</v>
      </c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</row>
    <row r="41" spans="1:25" ht="39">
      <c r="A41" s="297"/>
      <c r="B41" s="297"/>
      <c r="C41" s="131">
        <v>9.1999999999999993</v>
      </c>
      <c r="D41" s="132" t="s">
        <v>1106</v>
      </c>
      <c r="E41" s="132" t="s">
        <v>1107</v>
      </c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</row>
    <row r="42" spans="1:25" ht="12.95">
      <c r="A42" s="297"/>
      <c r="B42" s="297"/>
      <c r="C42" s="131">
        <v>9.3000000000000007</v>
      </c>
      <c r="D42" s="132" t="s">
        <v>1108</v>
      </c>
      <c r="E42" s="132" t="s">
        <v>1109</v>
      </c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</row>
    <row r="43" spans="1:25" ht="78">
      <c r="A43" s="297"/>
      <c r="B43" s="297"/>
      <c r="C43" s="131">
        <v>9.4</v>
      </c>
      <c r="D43" s="132" t="s">
        <v>1110</v>
      </c>
      <c r="E43" s="132" t="s">
        <v>1111</v>
      </c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</row>
    <row r="44" spans="1:25" ht="26.1">
      <c r="A44" s="279">
        <v>10</v>
      </c>
      <c r="B44" s="280" t="s">
        <v>1028</v>
      </c>
      <c r="C44" s="131">
        <v>10.1</v>
      </c>
      <c r="D44" s="132" t="s">
        <v>1112</v>
      </c>
      <c r="E44" s="132" t="s">
        <v>1113</v>
      </c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</row>
    <row r="45" spans="1:25" ht="12.95">
      <c r="A45" s="297"/>
      <c r="B45" s="297"/>
      <c r="C45" s="131">
        <v>10.199999999999999</v>
      </c>
      <c r="D45" s="132" t="s">
        <v>1114</v>
      </c>
      <c r="E45" s="132" t="s">
        <v>1115</v>
      </c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</row>
    <row r="46" spans="1:25" ht="51.95">
      <c r="A46" s="279">
        <v>11</v>
      </c>
      <c r="B46" s="280" t="s">
        <v>1025</v>
      </c>
      <c r="C46" s="131">
        <v>11.1</v>
      </c>
      <c r="D46" s="132" t="s">
        <v>1116</v>
      </c>
      <c r="E46" s="132" t="s">
        <v>1117</v>
      </c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</row>
    <row r="47" spans="1:25" ht="26.1">
      <c r="A47" s="297"/>
      <c r="B47" s="297"/>
      <c r="C47" s="131">
        <v>11.2</v>
      </c>
      <c r="D47" s="132" t="s">
        <v>1118</v>
      </c>
      <c r="E47" s="132" t="s">
        <v>1119</v>
      </c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</row>
    <row r="48" spans="1:25" ht="39">
      <c r="A48" s="297"/>
      <c r="B48" s="297"/>
      <c r="C48" s="131">
        <v>11.3</v>
      </c>
      <c r="D48" s="132" t="s">
        <v>1120</v>
      </c>
      <c r="E48" s="132" t="s">
        <v>1121</v>
      </c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</row>
    <row r="49" spans="1:25" ht="12.95">
      <c r="A49" s="297"/>
      <c r="B49" s="297"/>
      <c r="C49" s="131">
        <v>11.4</v>
      </c>
      <c r="D49" s="132" t="s">
        <v>1122</v>
      </c>
      <c r="E49" s="13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</row>
    <row r="50" spans="1:25" ht="12.95">
      <c r="A50" s="136"/>
      <c r="B50" s="137"/>
      <c r="C50" s="138"/>
      <c r="D50" s="124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</row>
    <row r="51" spans="1:25" ht="12.95">
      <c r="A51" s="136"/>
      <c r="B51" s="137"/>
      <c r="C51" s="138"/>
      <c r="D51" s="124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</row>
    <row r="52" spans="1:25" ht="12.95">
      <c r="A52" s="136"/>
      <c r="B52" s="137"/>
      <c r="C52" s="138"/>
      <c r="D52" s="124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</row>
    <row r="53" spans="1:25" ht="12.95">
      <c r="A53" s="122"/>
      <c r="B53" s="137"/>
      <c r="C53" s="138"/>
      <c r="D53" s="124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</row>
    <row r="54" spans="1:25" ht="12.95">
      <c r="A54" s="136"/>
      <c r="B54" s="137"/>
      <c r="C54" s="138"/>
      <c r="D54" s="124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</row>
    <row r="55" spans="1:25" ht="12.95">
      <c r="A55" s="136"/>
      <c r="B55" s="137"/>
      <c r="C55" s="138"/>
      <c r="D55" s="124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</row>
    <row r="56" spans="1:25" ht="12.95">
      <c r="A56" s="136"/>
      <c r="B56" s="137"/>
      <c r="C56" s="138"/>
      <c r="D56" s="124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</row>
    <row r="57" spans="1:25" ht="12.95">
      <c r="A57" s="136"/>
      <c r="B57" s="137"/>
      <c r="C57" s="138"/>
      <c r="D57" s="124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</row>
    <row r="58" spans="1:25" ht="12.95">
      <c r="A58" s="136"/>
      <c r="B58" s="124"/>
      <c r="C58" s="138"/>
      <c r="D58" s="137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</row>
    <row r="59" spans="1:25" ht="12.95">
      <c r="A59" s="136"/>
      <c r="B59" s="137"/>
      <c r="C59" s="138"/>
      <c r="D59" s="124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</row>
    <row r="60" spans="1:25" ht="12.95">
      <c r="A60" s="136"/>
      <c r="B60" s="137"/>
      <c r="C60" s="138"/>
      <c r="D60" s="124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</row>
    <row r="61" spans="1:25" ht="12.95">
      <c r="A61" s="136"/>
      <c r="B61" s="137"/>
      <c r="C61" s="138"/>
      <c r="D61" s="124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</row>
    <row r="62" spans="1:25" ht="12.95">
      <c r="A62" s="136"/>
      <c r="B62" s="137"/>
      <c r="C62" s="138"/>
      <c r="D62" s="124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</row>
    <row r="63" spans="1:25" ht="12.95">
      <c r="A63" s="136"/>
      <c r="B63" s="137"/>
      <c r="C63" s="138"/>
      <c r="D63" s="124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</row>
    <row r="64" spans="1:25" ht="12.95">
      <c r="A64" s="136"/>
      <c r="B64" s="137"/>
      <c r="C64" s="138"/>
      <c r="D64" s="124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</row>
    <row r="65" spans="1:25" ht="12.95">
      <c r="A65" s="136"/>
      <c r="B65" s="137"/>
      <c r="C65" s="138"/>
      <c r="D65" s="124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</row>
    <row r="66" spans="1:25" ht="12.95">
      <c r="A66" s="136"/>
      <c r="B66" s="137"/>
      <c r="C66" s="138"/>
      <c r="D66" s="124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</row>
    <row r="67" spans="1:25" ht="12.95">
      <c r="A67" s="136"/>
      <c r="B67" s="137"/>
      <c r="C67" s="138"/>
      <c r="D67" s="124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</row>
    <row r="68" spans="1:25" ht="12.95">
      <c r="A68" s="136"/>
      <c r="B68" s="137"/>
      <c r="C68" s="138"/>
      <c r="D68" s="124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</row>
    <row r="69" spans="1:25" ht="12.95">
      <c r="A69" s="136"/>
      <c r="B69" s="137"/>
      <c r="C69" s="138"/>
      <c r="D69" s="124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</row>
    <row r="70" spans="1:25" ht="12.95">
      <c r="A70" s="136"/>
      <c r="B70" s="137"/>
      <c r="C70" s="138"/>
      <c r="D70" s="124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</row>
    <row r="71" spans="1:25" ht="12.95">
      <c r="A71" s="136"/>
      <c r="B71" s="137"/>
      <c r="C71" s="138"/>
      <c r="D71" s="124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</row>
    <row r="72" spans="1:25" ht="12.95">
      <c r="A72" s="136"/>
      <c r="B72" s="137"/>
      <c r="C72" s="138"/>
      <c r="D72" s="124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</row>
    <row r="73" spans="1:25" ht="12.95">
      <c r="A73" s="136"/>
      <c r="B73" s="137"/>
      <c r="C73" s="138"/>
      <c r="D73" s="124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</row>
    <row r="74" spans="1:25" ht="12.95">
      <c r="A74" s="136"/>
      <c r="B74" s="137"/>
      <c r="C74" s="139"/>
      <c r="D74" s="124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</row>
    <row r="75" spans="1:25" ht="12.95">
      <c r="A75" s="136"/>
      <c r="B75" s="137"/>
      <c r="C75" s="138"/>
      <c r="D75" s="124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</row>
    <row r="76" spans="1:25" ht="12.95">
      <c r="A76" s="136"/>
      <c r="B76" s="137"/>
      <c r="C76" s="138"/>
      <c r="D76" s="124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</row>
    <row r="77" spans="1:25" ht="12.95">
      <c r="A77" s="136"/>
      <c r="B77" s="137"/>
      <c r="C77" s="138"/>
      <c r="D77" s="124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</row>
    <row r="78" spans="1:25" ht="12.95">
      <c r="A78" s="136"/>
      <c r="B78" s="137"/>
      <c r="C78" s="138"/>
      <c r="D78" s="124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</row>
    <row r="79" spans="1:25" ht="12.95">
      <c r="A79" s="136"/>
      <c r="B79" s="137"/>
      <c r="C79" s="138"/>
      <c r="D79" s="124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</row>
    <row r="80" spans="1:25" ht="12.95">
      <c r="A80" s="136"/>
      <c r="B80" s="137"/>
      <c r="C80" s="138"/>
      <c r="D80" s="124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</row>
    <row r="81" spans="1:25" ht="12.95">
      <c r="A81" s="136"/>
      <c r="B81" s="137"/>
      <c r="C81" s="138"/>
      <c r="D81" s="124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</row>
    <row r="82" spans="1:25" ht="12.95">
      <c r="A82" s="136"/>
      <c r="B82" s="137"/>
      <c r="C82" s="138"/>
      <c r="D82" s="124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</row>
    <row r="83" spans="1:25" ht="12.95">
      <c r="A83" s="136"/>
      <c r="B83" s="137"/>
      <c r="C83" s="138"/>
      <c r="D83" s="124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</row>
    <row r="84" spans="1:25" ht="12.95">
      <c r="A84" s="136"/>
      <c r="B84" s="137"/>
      <c r="C84" s="138"/>
      <c r="D84" s="124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</row>
    <row r="85" spans="1:25" ht="12.95">
      <c r="A85" s="136"/>
      <c r="B85" s="137"/>
      <c r="C85" s="138"/>
      <c r="D85" s="137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</row>
    <row r="86" spans="1:25" ht="12.95">
      <c r="A86" s="136"/>
      <c r="B86" s="137"/>
      <c r="C86" s="138"/>
      <c r="D86" s="124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</row>
    <row r="87" spans="1:25" ht="12.95">
      <c r="A87" s="136"/>
      <c r="B87" s="137"/>
      <c r="C87" s="138"/>
      <c r="D87" s="124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</row>
    <row r="88" spans="1:25" ht="12.95">
      <c r="A88" s="136"/>
      <c r="B88" s="137"/>
      <c r="C88" s="138"/>
      <c r="D88" s="124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</row>
    <row r="89" spans="1:25" ht="12.95">
      <c r="A89" s="136"/>
      <c r="B89" s="137"/>
      <c r="C89" s="138"/>
      <c r="D89" s="124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</row>
    <row r="90" spans="1:25" ht="12.95">
      <c r="A90" s="136"/>
      <c r="B90" s="137"/>
      <c r="C90" s="138"/>
      <c r="D90" s="124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</row>
    <row r="91" spans="1:25" ht="12.95">
      <c r="A91" s="136"/>
      <c r="B91" s="137"/>
      <c r="C91" s="138"/>
      <c r="D91" s="124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</row>
    <row r="92" spans="1:25" ht="12.95">
      <c r="A92" s="136"/>
      <c r="B92" s="137"/>
      <c r="C92" s="138"/>
      <c r="D92" s="124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</row>
    <row r="93" spans="1:25" ht="12.95">
      <c r="A93" s="136"/>
      <c r="B93" s="137"/>
      <c r="C93" s="138"/>
      <c r="D93" s="124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</row>
    <row r="94" spans="1:25" ht="12.95">
      <c r="A94" s="136"/>
      <c r="B94" s="137"/>
      <c r="C94" s="138"/>
      <c r="D94" s="124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</row>
    <row r="95" spans="1:25" ht="12.95">
      <c r="A95" s="136"/>
      <c r="B95" s="137"/>
      <c r="C95" s="138"/>
      <c r="D95" s="124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</row>
    <row r="96" spans="1:25" ht="12.95">
      <c r="A96" s="136"/>
      <c r="B96" s="137"/>
      <c r="C96" s="138"/>
      <c r="D96" s="124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</row>
    <row r="97" spans="1:25" ht="12.95">
      <c r="A97" s="136"/>
      <c r="B97" s="137"/>
      <c r="C97" s="138"/>
      <c r="D97" s="124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</row>
    <row r="98" spans="1:25" ht="12.95">
      <c r="A98" s="136"/>
      <c r="B98" s="137"/>
      <c r="C98" s="138"/>
      <c r="D98" s="124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</row>
    <row r="99" spans="1:25" ht="12.95">
      <c r="A99" s="136"/>
      <c r="B99" s="137"/>
      <c r="C99" s="138"/>
      <c r="D99" s="124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</row>
    <row r="100" spans="1:25" ht="12.95">
      <c r="A100" s="136"/>
      <c r="B100" s="137"/>
      <c r="C100" s="138"/>
      <c r="D100" s="124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</row>
    <row r="101" spans="1:25" ht="12.95">
      <c r="A101" s="136"/>
      <c r="B101" s="137"/>
      <c r="C101" s="138"/>
      <c r="D101" s="124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</row>
    <row r="102" spans="1:25" ht="12.95">
      <c r="A102" s="136"/>
      <c r="B102" s="137"/>
      <c r="C102" s="138"/>
      <c r="D102" s="12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</row>
    <row r="103" spans="1:25" ht="12.95">
      <c r="A103" s="136"/>
      <c r="B103" s="137"/>
      <c r="C103" s="138"/>
      <c r="D103" s="124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</row>
    <row r="104" spans="1:25" ht="12.95">
      <c r="A104" s="136"/>
      <c r="B104" s="137"/>
      <c r="C104" s="138"/>
      <c r="D104" s="124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</row>
    <row r="105" spans="1:25" ht="12.95">
      <c r="A105" s="136"/>
      <c r="B105" s="137"/>
      <c r="C105" s="138"/>
      <c r="D105" s="124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</row>
    <row r="106" spans="1:25" ht="12.95">
      <c r="A106" s="136"/>
      <c r="B106" s="137"/>
      <c r="C106" s="138"/>
      <c r="D106" s="124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</row>
    <row r="107" spans="1:25" ht="12.95">
      <c r="A107" s="136"/>
      <c r="B107" s="137"/>
      <c r="C107" s="138"/>
      <c r="D107" s="124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</row>
    <row r="108" spans="1:25" ht="12.95">
      <c r="A108" s="136"/>
      <c r="B108" s="137"/>
      <c r="C108" s="138"/>
      <c r="D108" s="124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</row>
    <row r="109" spans="1:25" ht="12.95">
      <c r="A109" s="136"/>
      <c r="B109" s="137"/>
      <c r="C109" s="138"/>
      <c r="D109" s="124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</row>
    <row r="110" spans="1:25" ht="12.95">
      <c r="A110" s="136"/>
      <c r="B110" s="137"/>
      <c r="C110" s="138"/>
      <c r="D110" s="124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</row>
    <row r="111" spans="1:25" ht="12.95">
      <c r="A111" s="136"/>
      <c r="B111" s="137"/>
      <c r="C111" s="138"/>
      <c r="D111" s="124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</row>
    <row r="112" spans="1:25" ht="12.95">
      <c r="A112" s="136"/>
      <c r="B112" s="137"/>
      <c r="C112" s="138"/>
      <c r="D112" s="124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</row>
    <row r="113" spans="1:25" ht="12.95">
      <c r="A113" s="136"/>
      <c r="B113" s="137"/>
      <c r="C113" s="138"/>
      <c r="D113" s="124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</row>
    <row r="114" spans="1:25" ht="12.95">
      <c r="A114" s="136"/>
      <c r="B114" s="137"/>
      <c r="C114" s="138"/>
      <c r="D114" s="124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</row>
    <row r="115" spans="1:25" ht="12.95">
      <c r="A115" s="136"/>
      <c r="B115" s="137"/>
      <c r="C115" s="138"/>
      <c r="D115" s="124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</row>
    <row r="116" spans="1:25" ht="12.95">
      <c r="A116" s="136"/>
      <c r="B116" s="137"/>
      <c r="C116" s="138"/>
      <c r="D116" s="124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</row>
    <row r="117" spans="1:25" ht="12.95">
      <c r="A117" s="136"/>
      <c r="B117" s="137"/>
      <c r="C117" s="138"/>
      <c r="D117" s="124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</row>
    <row r="118" spans="1:25" ht="12.95">
      <c r="A118" s="136"/>
      <c r="B118" s="137"/>
      <c r="C118" s="138"/>
      <c r="D118" s="124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</row>
    <row r="119" spans="1:25" ht="12.95">
      <c r="A119" s="136"/>
      <c r="B119" s="137"/>
      <c r="C119" s="138"/>
      <c r="D119" s="124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</row>
    <row r="120" spans="1:25" ht="12.95">
      <c r="A120" s="136"/>
      <c r="B120" s="137"/>
      <c r="C120" s="138"/>
      <c r="D120" s="124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</row>
    <row r="121" spans="1:25" ht="12.95">
      <c r="A121" s="136"/>
      <c r="B121" s="137"/>
      <c r="C121" s="138"/>
      <c r="D121" s="124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</row>
    <row r="122" spans="1:25" ht="12.95">
      <c r="A122" s="136"/>
      <c r="B122" s="137"/>
      <c r="C122" s="138"/>
      <c r="D122" s="124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</row>
    <row r="123" spans="1:25" ht="12.95">
      <c r="A123" s="136"/>
      <c r="B123" s="137"/>
      <c r="C123" s="138"/>
      <c r="D123" s="124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</row>
    <row r="124" spans="1:25" ht="12.95">
      <c r="A124" s="136"/>
      <c r="B124" s="137"/>
      <c r="C124" s="138"/>
      <c r="D124" s="124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</row>
    <row r="125" spans="1:25" ht="12.95">
      <c r="A125" s="136"/>
      <c r="B125" s="137"/>
      <c r="C125" s="138"/>
      <c r="D125" s="124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</row>
    <row r="126" spans="1:25" ht="12.95">
      <c r="A126" s="136"/>
      <c r="B126" s="137"/>
      <c r="C126" s="138"/>
      <c r="D126" s="124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</row>
    <row r="127" spans="1:25" ht="12.95">
      <c r="A127" s="136"/>
      <c r="B127" s="137"/>
      <c r="C127" s="138"/>
      <c r="D127" s="124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</row>
    <row r="128" spans="1:25" ht="12.95">
      <c r="A128" s="136"/>
      <c r="B128" s="137"/>
      <c r="C128" s="138"/>
      <c r="D128" s="124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</row>
    <row r="129" spans="1:25" ht="12.95">
      <c r="A129" s="136"/>
      <c r="B129" s="122"/>
      <c r="C129" s="123"/>
      <c r="D129" s="124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</row>
    <row r="130" spans="1:25" ht="12.95">
      <c r="A130" s="136"/>
      <c r="B130" s="122"/>
      <c r="C130" s="123"/>
      <c r="D130" s="124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</row>
    <row r="131" spans="1:25" ht="12.95">
      <c r="A131" s="136"/>
      <c r="B131" s="122"/>
      <c r="C131" s="123"/>
      <c r="D131" s="124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</row>
    <row r="132" spans="1:25" ht="12.95">
      <c r="A132" s="136"/>
      <c r="B132" s="122"/>
      <c r="C132" s="123"/>
      <c r="D132" s="124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</row>
    <row r="133" spans="1:25" ht="12.95">
      <c r="A133" s="136"/>
      <c r="B133" s="122"/>
      <c r="C133" s="123"/>
      <c r="D133" s="124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</row>
    <row r="134" spans="1:25" ht="12.95">
      <c r="A134" s="136"/>
      <c r="B134" s="122"/>
      <c r="C134" s="123"/>
      <c r="D134" s="124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</row>
    <row r="135" spans="1:25" ht="12.95">
      <c r="A135" s="136"/>
      <c r="B135" s="122"/>
      <c r="C135" s="123"/>
      <c r="D135" s="124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</row>
    <row r="136" spans="1:25" ht="12.95">
      <c r="A136" s="136"/>
      <c r="B136" s="122"/>
      <c r="C136" s="123"/>
      <c r="D136" s="124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</row>
    <row r="137" spans="1:25" ht="12.95">
      <c r="A137" s="136"/>
      <c r="B137" s="122"/>
      <c r="C137" s="123"/>
      <c r="D137" s="124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</row>
    <row r="138" spans="1:25" ht="12.95">
      <c r="A138" s="136"/>
      <c r="B138" s="122"/>
      <c r="C138" s="123"/>
      <c r="D138" s="124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</row>
    <row r="139" spans="1:25" ht="12.95">
      <c r="A139" s="136"/>
      <c r="B139" s="122"/>
      <c r="C139" s="123"/>
      <c r="D139" s="124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</row>
    <row r="140" spans="1:25" ht="12.95">
      <c r="A140" s="136"/>
      <c r="B140" s="122"/>
      <c r="C140" s="123"/>
      <c r="D140" s="124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</row>
    <row r="141" spans="1:25" ht="12.95">
      <c r="A141" s="136"/>
      <c r="B141" s="122"/>
      <c r="C141" s="123"/>
      <c r="D141" s="124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</row>
    <row r="142" spans="1:25" ht="12.95">
      <c r="A142" s="136"/>
      <c r="B142" s="122"/>
      <c r="C142" s="123"/>
      <c r="D142" s="124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</row>
    <row r="143" spans="1:25" ht="12.95">
      <c r="A143" s="136"/>
      <c r="B143" s="122"/>
      <c r="C143" s="123"/>
      <c r="D143" s="124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</row>
    <row r="144" spans="1:25" ht="12.95">
      <c r="A144" s="136"/>
      <c r="B144" s="122"/>
      <c r="C144" s="123"/>
      <c r="D144" s="124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</row>
    <row r="145" spans="1:25" ht="12.95">
      <c r="A145" s="136"/>
      <c r="B145" s="122"/>
      <c r="C145" s="123"/>
      <c r="D145" s="124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</row>
    <row r="146" spans="1:25" ht="12.95">
      <c r="A146" s="136"/>
      <c r="B146" s="122"/>
      <c r="C146" s="123"/>
      <c r="D146" s="124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</row>
    <row r="147" spans="1:25" ht="12.95">
      <c r="A147" s="136"/>
      <c r="B147" s="122"/>
      <c r="C147" s="123"/>
      <c r="D147" s="124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</row>
    <row r="148" spans="1:25" ht="12.95">
      <c r="A148" s="136"/>
      <c r="B148" s="122"/>
      <c r="C148" s="123"/>
      <c r="D148" s="124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</row>
    <row r="149" spans="1:25" ht="12.95">
      <c r="A149" s="136"/>
      <c r="B149" s="122"/>
      <c r="C149" s="123"/>
      <c r="D149" s="124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</row>
    <row r="150" spans="1:25" ht="12.95">
      <c r="A150" s="136"/>
      <c r="B150" s="122"/>
      <c r="C150" s="123"/>
      <c r="D150" s="124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</row>
    <row r="151" spans="1:25" ht="12.95">
      <c r="A151" s="136"/>
      <c r="B151" s="122"/>
      <c r="C151" s="123"/>
      <c r="D151" s="124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</row>
    <row r="152" spans="1:25" ht="12.95">
      <c r="A152" s="136"/>
      <c r="B152" s="122"/>
      <c r="C152" s="123"/>
      <c r="D152" s="124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</row>
    <row r="153" spans="1:25" ht="12.95">
      <c r="A153" s="136"/>
      <c r="B153" s="122"/>
      <c r="C153" s="123"/>
      <c r="D153" s="124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</row>
    <row r="154" spans="1:25" ht="12.95">
      <c r="A154" s="136"/>
      <c r="B154" s="122"/>
      <c r="C154" s="123"/>
      <c r="D154" s="124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</row>
    <row r="155" spans="1:25" ht="12.95">
      <c r="A155" s="136"/>
      <c r="B155" s="122"/>
      <c r="C155" s="123"/>
      <c r="D155" s="124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</row>
    <row r="156" spans="1:25" ht="12.95">
      <c r="A156" s="136"/>
      <c r="B156" s="122"/>
      <c r="C156" s="123"/>
      <c r="D156" s="124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</row>
    <row r="157" spans="1:25" ht="12.95">
      <c r="A157" s="136"/>
      <c r="B157" s="122"/>
      <c r="C157" s="123"/>
      <c r="D157" s="124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</row>
    <row r="158" spans="1:25" ht="12.95">
      <c r="A158" s="136"/>
      <c r="B158" s="122"/>
      <c r="C158" s="123"/>
      <c r="D158" s="124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</row>
    <row r="159" spans="1:25" ht="12.95">
      <c r="A159" s="136"/>
      <c r="B159" s="122"/>
      <c r="C159" s="123"/>
      <c r="D159" s="124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</row>
    <row r="160" spans="1:25" ht="12.95">
      <c r="A160" s="136"/>
      <c r="B160" s="122"/>
      <c r="C160" s="123"/>
      <c r="D160" s="124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</row>
    <row r="161" spans="1:25" ht="12.95">
      <c r="A161" s="136"/>
      <c r="B161" s="122"/>
      <c r="C161" s="123"/>
      <c r="D161" s="124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</row>
    <row r="162" spans="1:25" ht="12.95">
      <c r="A162" s="136"/>
      <c r="B162" s="122"/>
      <c r="C162" s="123"/>
      <c r="D162" s="124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</row>
    <row r="163" spans="1:25" ht="12.95">
      <c r="A163" s="136"/>
      <c r="B163" s="122"/>
      <c r="C163" s="123"/>
      <c r="D163" s="124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</row>
    <row r="164" spans="1:25" ht="12.95">
      <c r="A164" s="136"/>
      <c r="B164" s="122"/>
      <c r="C164" s="123"/>
      <c r="D164" s="124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</row>
    <row r="165" spans="1:25" ht="12.95">
      <c r="A165" s="136"/>
      <c r="B165" s="122"/>
      <c r="C165" s="123"/>
      <c r="D165" s="124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</row>
    <row r="166" spans="1:25" ht="12.95">
      <c r="A166" s="136"/>
      <c r="B166" s="122"/>
      <c r="C166" s="123"/>
      <c r="D166" s="124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</row>
    <row r="167" spans="1:25" ht="12.95">
      <c r="A167" s="136"/>
      <c r="B167" s="122"/>
      <c r="C167" s="123"/>
      <c r="D167" s="124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</row>
    <row r="168" spans="1:25" ht="12.95">
      <c r="A168" s="136"/>
      <c r="B168" s="122"/>
      <c r="C168" s="123"/>
      <c r="D168" s="124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</row>
    <row r="169" spans="1:25" ht="12.95">
      <c r="A169" s="136"/>
      <c r="B169" s="122"/>
      <c r="C169" s="123"/>
      <c r="D169" s="124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</row>
    <row r="170" spans="1:25" ht="12.95">
      <c r="A170" s="136"/>
      <c r="B170" s="122"/>
      <c r="C170" s="123"/>
      <c r="D170" s="124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</row>
    <row r="171" spans="1:25" ht="12.95">
      <c r="A171" s="136"/>
      <c r="B171" s="122"/>
      <c r="C171" s="123"/>
      <c r="D171" s="124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</row>
    <row r="172" spans="1:25" ht="12.95">
      <c r="A172" s="136"/>
      <c r="B172" s="122"/>
      <c r="C172" s="123"/>
      <c r="D172" s="124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</row>
    <row r="173" spans="1:25" ht="12.95">
      <c r="A173" s="136"/>
      <c r="B173" s="122"/>
      <c r="C173" s="123"/>
      <c r="D173" s="124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</row>
    <row r="174" spans="1:25" ht="12.95">
      <c r="A174" s="136"/>
      <c r="B174" s="122"/>
      <c r="C174" s="123"/>
      <c r="D174" s="124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</row>
    <row r="175" spans="1:25" ht="12.95">
      <c r="A175" s="136"/>
      <c r="B175" s="122"/>
      <c r="C175" s="123"/>
      <c r="D175" s="124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</row>
    <row r="176" spans="1:25" ht="12.95">
      <c r="A176" s="136"/>
      <c r="B176" s="122"/>
      <c r="C176" s="123"/>
      <c r="D176" s="124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</row>
    <row r="177" spans="1:25" ht="12.95">
      <c r="A177" s="136"/>
      <c r="B177" s="122"/>
      <c r="C177" s="123"/>
      <c r="D177" s="124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</row>
    <row r="178" spans="1:25" ht="12.95">
      <c r="A178" s="136"/>
      <c r="B178" s="122"/>
      <c r="C178" s="123"/>
      <c r="D178" s="124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</row>
    <row r="179" spans="1:25" ht="12.95">
      <c r="A179" s="136"/>
      <c r="B179" s="122"/>
      <c r="C179" s="123"/>
      <c r="D179" s="124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</row>
    <row r="180" spans="1:25" ht="12.95">
      <c r="A180" s="136"/>
      <c r="B180" s="122"/>
      <c r="C180" s="123"/>
      <c r="D180" s="124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</row>
    <row r="181" spans="1:25" ht="12.95">
      <c r="A181" s="136"/>
      <c r="B181" s="122"/>
      <c r="C181" s="123"/>
      <c r="D181" s="124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</row>
    <row r="182" spans="1:25" ht="12.95">
      <c r="A182" s="136"/>
      <c r="B182" s="122"/>
      <c r="C182" s="123"/>
      <c r="D182" s="124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</row>
    <row r="183" spans="1:25" ht="12.95">
      <c r="A183" s="136"/>
      <c r="B183" s="122"/>
      <c r="C183" s="123"/>
      <c r="D183" s="124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</row>
    <row r="184" spans="1:25" ht="12.95">
      <c r="A184" s="136"/>
      <c r="B184" s="122"/>
      <c r="C184" s="123"/>
      <c r="D184" s="124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</row>
    <row r="185" spans="1:25" ht="12.95">
      <c r="A185" s="136"/>
      <c r="B185" s="122"/>
      <c r="C185" s="123"/>
      <c r="D185" s="124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</row>
    <row r="186" spans="1:25" ht="12.95">
      <c r="A186" s="136"/>
      <c r="B186" s="122"/>
      <c r="C186" s="123"/>
      <c r="D186" s="124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</row>
    <row r="187" spans="1:25" ht="12.95">
      <c r="A187" s="136"/>
      <c r="B187" s="122"/>
      <c r="C187" s="123"/>
      <c r="D187" s="124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</row>
    <row r="188" spans="1:25" ht="12.95">
      <c r="A188" s="136"/>
      <c r="B188" s="122"/>
      <c r="C188" s="123"/>
      <c r="D188" s="124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</row>
    <row r="189" spans="1:25" ht="12.95">
      <c r="A189" s="136"/>
      <c r="B189" s="122"/>
      <c r="C189" s="123"/>
      <c r="D189" s="124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</row>
    <row r="190" spans="1:25" ht="12.95">
      <c r="A190" s="136"/>
      <c r="B190" s="122"/>
      <c r="C190" s="123"/>
      <c r="D190" s="124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</row>
    <row r="191" spans="1:25" ht="12.95">
      <c r="A191" s="136"/>
      <c r="B191" s="122"/>
      <c r="C191" s="123"/>
      <c r="D191" s="124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</row>
    <row r="192" spans="1:25" ht="12.95">
      <c r="A192" s="136"/>
      <c r="B192" s="122"/>
      <c r="C192" s="123"/>
      <c r="D192" s="124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</row>
    <row r="193" spans="1:25" ht="12.95">
      <c r="A193" s="136"/>
      <c r="B193" s="122"/>
      <c r="C193" s="123"/>
      <c r="D193" s="124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</row>
    <row r="194" spans="1:25" ht="12.95">
      <c r="A194" s="136"/>
      <c r="B194" s="122"/>
      <c r="C194" s="123"/>
      <c r="D194" s="124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</row>
    <row r="195" spans="1:25" ht="12.95">
      <c r="A195" s="136"/>
      <c r="B195" s="122"/>
      <c r="C195" s="123"/>
      <c r="D195" s="124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</row>
    <row r="196" spans="1:25" ht="12.95">
      <c r="A196" s="136"/>
      <c r="B196" s="122"/>
      <c r="C196" s="123"/>
      <c r="D196" s="124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</row>
    <row r="197" spans="1:25" ht="12.95">
      <c r="A197" s="136"/>
      <c r="B197" s="122"/>
      <c r="C197" s="123"/>
      <c r="D197" s="124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</row>
    <row r="198" spans="1:25" ht="12.95">
      <c r="A198" s="136"/>
      <c r="B198" s="122"/>
      <c r="C198" s="123"/>
      <c r="D198" s="124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</row>
    <row r="199" spans="1:25" ht="12.95">
      <c r="A199" s="136"/>
      <c r="B199" s="122"/>
      <c r="C199" s="123"/>
      <c r="D199" s="124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</row>
    <row r="200" spans="1:25" ht="12.95">
      <c r="A200" s="136"/>
      <c r="B200" s="122"/>
      <c r="C200" s="123"/>
      <c r="D200" s="124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</row>
    <row r="201" spans="1:25" ht="12.95">
      <c r="A201" s="136"/>
      <c r="B201" s="122"/>
      <c r="C201" s="123"/>
      <c r="D201" s="124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</row>
    <row r="202" spans="1:25" ht="12.95">
      <c r="A202" s="136"/>
      <c r="B202" s="122"/>
      <c r="C202" s="123"/>
      <c r="D202" s="124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</row>
    <row r="203" spans="1:25" ht="12.95">
      <c r="A203" s="136"/>
      <c r="B203" s="122"/>
      <c r="C203" s="123"/>
      <c r="D203" s="124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</row>
    <row r="204" spans="1:25" ht="12.95">
      <c r="A204" s="136"/>
      <c r="B204" s="122"/>
      <c r="C204" s="123"/>
      <c r="D204" s="124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</row>
    <row r="205" spans="1:25" ht="12.95">
      <c r="A205" s="136"/>
      <c r="B205" s="122"/>
      <c r="C205" s="123"/>
      <c r="D205" s="124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</row>
    <row r="206" spans="1:25" ht="12.95">
      <c r="A206" s="136"/>
      <c r="B206" s="122"/>
      <c r="C206" s="123"/>
      <c r="D206" s="124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</row>
    <row r="207" spans="1:25" ht="12.95">
      <c r="A207" s="136"/>
      <c r="B207" s="122"/>
      <c r="C207" s="123"/>
      <c r="D207" s="124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</row>
    <row r="208" spans="1:25" ht="12.95">
      <c r="A208" s="136"/>
      <c r="B208" s="122"/>
      <c r="C208" s="123"/>
      <c r="D208" s="124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</row>
    <row r="209" spans="1:25" ht="12.95">
      <c r="A209" s="136"/>
      <c r="B209" s="122"/>
      <c r="C209" s="123"/>
      <c r="D209" s="124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</row>
    <row r="210" spans="1:25" ht="12.95">
      <c r="A210" s="136"/>
      <c r="B210" s="122"/>
      <c r="C210" s="123"/>
      <c r="D210" s="124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</row>
    <row r="211" spans="1:25" ht="12.95">
      <c r="A211" s="136"/>
      <c r="B211" s="122"/>
      <c r="C211" s="123"/>
      <c r="D211" s="124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</row>
    <row r="212" spans="1:25" ht="12.95">
      <c r="A212" s="136"/>
      <c r="B212" s="122"/>
      <c r="C212" s="123"/>
      <c r="D212" s="124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</row>
    <row r="213" spans="1:25" ht="12.95">
      <c r="A213" s="136"/>
      <c r="B213" s="122"/>
      <c r="C213" s="123"/>
      <c r="D213" s="124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</row>
    <row r="214" spans="1:25" ht="12.95">
      <c r="A214" s="136"/>
      <c r="B214" s="122"/>
      <c r="C214" s="123"/>
      <c r="D214" s="124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</row>
    <row r="215" spans="1:25" ht="12.95">
      <c r="A215" s="136"/>
      <c r="B215" s="122"/>
      <c r="C215" s="123"/>
      <c r="D215" s="124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</row>
    <row r="216" spans="1:25" ht="12.95">
      <c r="A216" s="136"/>
      <c r="B216" s="122"/>
      <c r="C216" s="123"/>
      <c r="D216" s="124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</row>
    <row r="217" spans="1:25" ht="12.95">
      <c r="A217" s="136"/>
      <c r="B217" s="122"/>
      <c r="C217" s="123"/>
      <c r="D217" s="124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</row>
    <row r="218" spans="1:25" ht="12.95">
      <c r="A218" s="136"/>
      <c r="B218" s="122"/>
      <c r="C218" s="123"/>
      <c r="D218" s="124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</row>
    <row r="219" spans="1:25" ht="12.95">
      <c r="A219" s="136"/>
      <c r="B219" s="122"/>
      <c r="C219" s="123"/>
      <c r="D219" s="124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</row>
    <row r="220" spans="1:25" ht="12.95">
      <c r="A220" s="136"/>
      <c r="B220" s="122"/>
      <c r="C220" s="123"/>
      <c r="D220" s="124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</row>
    <row r="221" spans="1:25" ht="12.95">
      <c r="A221" s="136"/>
      <c r="B221" s="122"/>
      <c r="C221" s="123"/>
      <c r="D221" s="124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</row>
    <row r="222" spans="1:25" ht="12.95">
      <c r="A222" s="136"/>
      <c r="B222" s="122"/>
      <c r="C222" s="123"/>
      <c r="D222" s="124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</row>
    <row r="223" spans="1:25" ht="12.95">
      <c r="A223" s="136"/>
      <c r="B223" s="122"/>
      <c r="C223" s="123"/>
      <c r="D223" s="124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</row>
    <row r="224" spans="1:25" ht="12.95">
      <c r="A224" s="136"/>
      <c r="B224" s="122"/>
      <c r="C224" s="123"/>
      <c r="D224" s="124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</row>
    <row r="225" spans="1:25" ht="12.95">
      <c r="A225" s="136"/>
      <c r="B225" s="122"/>
      <c r="C225" s="123"/>
      <c r="D225" s="124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</row>
    <row r="226" spans="1:25" ht="12.95">
      <c r="A226" s="136"/>
      <c r="B226" s="122"/>
      <c r="C226" s="123"/>
      <c r="D226" s="124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</row>
    <row r="227" spans="1:25" ht="12.95">
      <c r="A227" s="136"/>
      <c r="B227" s="122"/>
      <c r="C227" s="123"/>
      <c r="D227" s="124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</row>
    <row r="228" spans="1:25" ht="12.95">
      <c r="A228" s="136"/>
      <c r="B228" s="122"/>
      <c r="C228" s="123"/>
      <c r="D228" s="124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</row>
    <row r="229" spans="1:25" ht="12.95">
      <c r="A229" s="136"/>
      <c r="B229" s="122"/>
      <c r="C229" s="123"/>
      <c r="D229" s="124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</row>
    <row r="230" spans="1:25" ht="12.95">
      <c r="A230" s="136"/>
      <c r="B230" s="122"/>
      <c r="C230" s="123"/>
      <c r="D230" s="124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</row>
    <row r="231" spans="1:25" ht="12.95">
      <c r="A231" s="136"/>
      <c r="B231" s="122"/>
      <c r="C231" s="123"/>
      <c r="D231" s="124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</row>
    <row r="232" spans="1:25" ht="12.95">
      <c r="A232" s="136"/>
      <c r="B232" s="122"/>
      <c r="C232" s="123"/>
      <c r="D232" s="124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</row>
    <row r="233" spans="1:25" ht="12.95">
      <c r="A233" s="136"/>
      <c r="B233" s="122"/>
      <c r="C233" s="123"/>
      <c r="D233" s="124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</row>
    <row r="234" spans="1:25" ht="12.95">
      <c r="A234" s="136"/>
      <c r="B234" s="122"/>
      <c r="C234" s="123"/>
      <c r="D234" s="124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</row>
    <row r="235" spans="1:25" ht="12.95">
      <c r="A235" s="136"/>
      <c r="B235" s="122"/>
      <c r="C235" s="123"/>
      <c r="D235" s="124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</row>
    <row r="236" spans="1:25" ht="12.95">
      <c r="A236" s="136"/>
      <c r="B236" s="122"/>
      <c r="C236" s="123"/>
      <c r="D236" s="124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</row>
    <row r="237" spans="1:25" ht="12.95">
      <c r="A237" s="136"/>
      <c r="B237" s="122"/>
      <c r="C237" s="123"/>
      <c r="D237" s="124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</row>
    <row r="238" spans="1:25" ht="12.95">
      <c r="A238" s="136"/>
      <c r="B238" s="122"/>
      <c r="C238" s="123"/>
      <c r="D238" s="124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</row>
    <row r="239" spans="1:25" ht="12.95">
      <c r="A239" s="136"/>
      <c r="B239" s="122"/>
      <c r="C239" s="123"/>
      <c r="D239" s="124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</row>
    <row r="240" spans="1:25" ht="12.95">
      <c r="A240" s="136"/>
      <c r="B240" s="122"/>
      <c r="C240" s="123"/>
      <c r="D240" s="124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</row>
    <row r="241" spans="1:25" ht="12.95">
      <c r="A241" s="136"/>
      <c r="B241" s="122"/>
      <c r="C241" s="123"/>
      <c r="D241" s="124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</row>
    <row r="242" spans="1:25" ht="12.95">
      <c r="A242" s="136"/>
      <c r="B242" s="122"/>
      <c r="C242" s="123"/>
      <c r="D242" s="124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</row>
    <row r="243" spans="1:25" ht="12.95">
      <c r="A243" s="136"/>
      <c r="B243" s="122"/>
      <c r="C243" s="123"/>
      <c r="D243" s="124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</row>
    <row r="244" spans="1:25" ht="12.95">
      <c r="A244" s="136"/>
      <c r="B244" s="122"/>
      <c r="C244" s="123"/>
      <c r="D244" s="124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</row>
    <row r="245" spans="1:25" ht="12.95">
      <c r="A245" s="136"/>
      <c r="B245" s="122"/>
      <c r="C245" s="123"/>
      <c r="D245" s="124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</row>
    <row r="246" spans="1:25" ht="12.95">
      <c r="A246" s="136"/>
      <c r="B246" s="122"/>
      <c r="C246" s="123"/>
      <c r="D246" s="124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</row>
    <row r="247" spans="1:25" ht="12.95">
      <c r="A247" s="136"/>
      <c r="B247" s="122"/>
      <c r="C247" s="123"/>
      <c r="D247" s="124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</row>
    <row r="248" spans="1:25" ht="12.95">
      <c r="A248" s="136"/>
      <c r="B248" s="122"/>
      <c r="C248" s="123"/>
      <c r="D248" s="124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</row>
    <row r="249" spans="1:25" ht="12.95">
      <c r="A249" s="136"/>
      <c r="B249" s="122"/>
      <c r="C249" s="123"/>
      <c r="D249" s="124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</row>
    <row r="250" spans="1:25" ht="12.95">
      <c r="A250" s="136"/>
      <c r="B250" s="122"/>
      <c r="C250" s="123"/>
      <c r="D250" s="124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</row>
    <row r="251" spans="1:25" ht="12.95">
      <c r="A251" s="136"/>
      <c r="B251" s="122"/>
      <c r="C251" s="123"/>
      <c r="D251" s="124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</row>
    <row r="252" spans="1:25" ht="12.95">
      <c r="A252" s="136"/>
      <c r="B252" s="122"/>
      <c r="C252" s="123"/>
      <c r="D252" s="124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</row>
    <row r="253" spans="1:25" ht="12.95">
      <c r="A253" s="136"/>
      <c r="B253" s="122"/>
      <c r="C253" s="123"/>
      <c r="D253" s="124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</row>
    <row r="254" spans="1:25" ht="12.95">
      <c r="A254" s="136"/>
      <c r="B254" s="122"/>
      <c r="C254" s="123"/>
      <c r="D254" s="124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</row>
    <row r="255" spans="1:25" ht="12.95">
      <c r="A255" s="136"/>
      <c r="B255" s="122"/>
      <c r="C255" s="123"/>
      <c r="D255" s="124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</row>
    <row r="256" spans="1:25" ht="12.95">
      <c r="A256" s="136"/>
      <c r="B256" s="122"/>
      <c r="C256" s="123"/>
      <c r="D256" s="124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</row>
    <row r="257" spans="1:25" ht="12.95">
      <c r="A257" s="136"/>
      <c r="B257" s="122"/>
      <c r="C257" s="123"/>
      <c r="D257" s="124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</row>
    <row r="258" spans="1:25" ht="12.95">
      <c r="A258" s="136"/>
      <c r="B258" s="122"/>
      <c r="C258" s="123"/>
      <c r="D258" s="124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</row>
    <row r="259" spans="1:25" ht="12.95">
      <c r="A259" s="136"/>
      <c r="B259" s="122"/>
      <c r="C259" s="123"/>
      <c r="D259" s="124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</row>
    <row r="260" spans="1:25" ht="12.95">
      <c r="A260" s="136"/>
      <c r="B260" s="122"/>
      <c r="C260" s="123"/>
      <c r="D260" s="124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</row>
    <row r="261" spans="1:25" ht="12.95">
      <c r="A261" s="136"/>
      <c r="B261" s="122"/>
      <c r="C261" s="123"/>
      <c r="D261" s="124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</row>
    <row r="262" spans="1:25" ht="12.95">
      <c r="A262" s="136"/>
      <c r="B262" s="122"/>
      <c r="C262" s="123"/>
      <c r="D262" s="124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</row>
    <row r="263" spans="1:25" ht="12.95">
      <c r="A263" s="136"/>
      <c r="B263" s="122"/>
      <c r="C263" s="123"/>
      <c r="D263" s="124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</row>
    <row r="264" spans="1:25" ht="12.95">
      <c r="A264" s="136"/>
      <c r="B264" s="122"/>
      <c r="C264" s="123"/>
      <c r="D264" s="124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</row>
    <row r="265" spans="1:25" ht="12.95">
      <c r="A265" s="136"/>
      <c r="B265" s="122"/>
      <c r="C265" s="123"/>
      <c r="D265" s="124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</row>
    <row r="266" spans="1:25" ht="12.95">
      <c r="A266" s="136"/>
      <c r="B266" s="122"/>
      <c r="C266" s="123"/>
      <c r="D266" s="124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</row>
    <row r="267" spans="1:25" ht="12.95">
      <c r="A267" s="136"/>
      <c r="B267" s="122"/>
      <c r="C267" s="123"/>
      <c r="D267" s="124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</row>
    <row r="268" spans="1:25" ht="12.95">
      <c r="A268" s="136"/>
      <c r="B268" s="122"/>
      <c r="C268" s="123"/>
      <c r="D268" s="124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</row>
    <row r="269" spans="1:25" ht="12.95">
      <c r="A269" s="136"/>
      <c r="B269" s="122"/>
      <c r="C269" s="123"/>
      <c r="D269" s="124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</row>
    <row r="270" spans="1:25" ht="12.95">
      <c r="A270" s="136"/>
      <c r="B270" s="122"/>
      <c r="C270" s="123"/>
      <c r="D270" s="124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</row>
    <row r="271" spans="1:25" ht="12.95">
      <c r="A271" s="136"/>
      <c r="B271" s="122"/>
      <c r="C271" s="123"/>
      <c r="D271" s="124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</row>
    <row r="272" spans="1:25" ht="12.95">
      <c r="A272" s="136"/>
      <c r="B272" s="122"/>
      <c r="C272" s="123"/>
      <c r="D272" s="124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</row>
    <row r="273" spans="1:25" ht="12.95">
      <c r="A273" s="136"/>
      <c r="B273" s="122"/>
      <c r="C273" s="123"/>
      <c r="D273" s="124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</row>
    <row r="274" spans="1:25" ht="12.95">
      <c r="A274" s="136"/>
      <c r="B274" s="122"/>
      <c r="C274" s="123"/>
      <c r="D274" s="124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</row>
    <row r="275" spans="1:25" ht="12.95">
      <c r="A275" s="136"/>
      <c r="B275" s="122"/>
      <c r="C275" s="123"/>
      <c r="D275" s="124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</row>
    <row r="276" spans="1:25" ht="12.95">
      <c r="A276" s="136"/>
      <c r="B276" s="122"/>
      <c r="C276" s="123"/>
      <c r="D276" s="124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</row>
    <row r="277" spans="1:25" ht="12.95">
      <c r="A277" s="136"/>
      <c r="B277" s="122"/>
      <c r="C277" s="123"/>
      <c r="D277" s="124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</row>
    <row r="278" spans="1:25" ht="12.95">
      <c r="A278" s="136"/>
      <c r="B278" s="122"/>
      <c r="C278" s="123"/>
      <c r="D278" s="124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</row>
    <row r="279" spans="1:25" ht="12.95">
      <c r="A279" s="136"/>
      <c r="B279" s="122"/>
      <c r="C279" s="123"/>
      <c r="D279" s="124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</row>
    <row r="280" spans="1:25" ht="12.95">
      <c r="A280" s="136"/>
      <c r="B280" s="122"/>
      <c r="C280" s="123"/>
      <c r="D280" s="124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</row>
    <row r="281" spans="1:25" ht="12.95">
      <c r="A281" s="136"/>
      <c r="B281" s="122"/>
      <c r="C281" s="123"/>
      <c r="D281" s="124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</row>
    <row r="282" spans="1:25" ht="12.95">
      <c r="A282" s="136"/>
      <c r="B282" s="122"/>
      <c r="C282" s="123"/>
      <c r="D282" s="124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</row>
    <row r="283" spans="1:25" ht="12.95">
      <c r="A283" s="136"/>
      <c r="B283" s="122"/>
      <c r="C283" s="123"/>
      <c r="D283" s="124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</row>
    <row r="284" spans="1:25" ht="12.95">
      <c r="A284" s="136"/>
      <c r="B284" s="122"/>
      <c r="C284" s="123"/>
      <c r="D284" s="124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</row>
    <row r="285" spans="1:25" ht="12.95">
      <c r="A285" s="136"/>
      <c r="B285" s="122"/>
      <c r="C285" s="123"/>
      <c r="D285" s="124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</row>
    <row r="286" spans="1:25" ht="12.95">
      <c r="A286" s="136"/>
      <c r="B286" s="122"/>
      <c r="C286" s="123"/>
      <c r="D286" s="124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</row>
    <row r="287" spans="1:25" ht="12.95">
      <c r="A287" s="136"/>
      <c r="B287" s="122"/>
      <c r="C287" s="123"/>
      <c r="D287" s="124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</row>
    <row r="288" spans="1:25" ht="12.95">
      <c r="A288" s="136"/>
      <c r="B288" s="122"/>
      <c r="C288" s="123"/>
      <c r="D288" s="124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</row>
    <row r="289" spans="1:25" ht="12.95">
      <c r="A289" s="136"/>
      <c r="B289" s="122"/>
      <c r="C289" s="123"/>
      <c r="D289" s="124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</row>
    <row r="290" spans="1:25" ht="12.95">
      <c r="A290" s="136"/>
      <c r="B290" s="122"/>
      <c r="C290" s="123"/>
      <c r="D290" s="124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</row>
    <row r="291" spans="1:25" ht="12.95">
      <c r="A291" s="136"/>
      <c r="B291" s="122"/>
      <c r="C291" s="123"/>
      <c r="D291" s="124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</row>
    <row r="292" spans="1:25" ht="12.95">
      <c r="A292" s="136"/>
      <c r="B292" s="122"/>
      <c r="C292" s="123"/>
      <c r="D292" s="124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</row>
    <row r="293" spans="1:25" ht="12.95">
      <c r="A293" s="136"/>
      <c r="B293" s="122"/>
      <c r="C293" s="123"/>
      <c r="D293" s="124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</row>
    <row r="294" spans="1:25" ht="12.95">
      <c r="A294" s="136"/>
      <c r="B294" s="122"/>
      <c r="C294" s="123"/>
      <c r="D294" s="124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</row>
    <row r="295" spans="1:25" ht="12.95">
      <c r="A295" s="136"/>
      <c r="B295" s="122"/>
      <c r="C295" s="123"/>
      <c r="D295" s="124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</row>
    <row r="296" spans="1:25" ht="12.95">
      <c r="A296" s="136"/>
      <c r="B296" s="122"/>
      <c r="C296" s="123"/>
      <c r="D296" s="124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</row>
    <row r="297" spans="1:25" ht="12.95">
      <c r="A297" s="136"/>
      <c r="B297" s="122"/>
      <c r="C297" s="123"/>
      <c r="D297" s="124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</row>
    <row r="298" spans="1:25" ht="12.95">
      <c r="A298" s="136"/>
      <c r="B298" s="122"/>
      <c r="C298" s="123"/>
      <c r="D298" s="124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</row>
    <row r="299" spans="1:25" ht="12.95">
      <c r="A299" s="136"/>
      <c r="B299" s="122"/>
      <c r="C299" s="123"/>
      <c r="D299" s="124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</row>
    <row r="300" spans="1:25" ht="12.95">
      <c r="A300" s="136"/>
      <c r="B300" s="122"/>
      <c r="C300" s="123"/>
      <c r="D300" s="124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</row>
    <row r="301" spans="1:25" ht="12.95">
      <c r="A301" s="136"/>
      <c r="B301" s="122"/>
      <c r="C301" s="123"/>
      <c r="D301" s="124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</row>
    <row r="302" spans="1:25" ht="12.95">
      <c r="A302" s="136"/>
      <c r="B302" s="122"/>
      <c r="C302" s="123"/>
      <c r="D302" s="124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</row>
    <row r="303" spans="1:25" ht="12.95">
      <c r="A303" s="136"/>
      <c r="B303" s="122"/>
      <c r="C303" s="123"/>
      <c r="D303" s="124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</row>
    <row r="304" spans="1:25" ht="12.95">
      <c r="A304" s="136"/>
      <c r="B304" s="122"/>
      <c r="C304" s="123"/>
      <c r="D304" s="124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</row>
    <row r="305" spans="1:25" ht="12.95">
      <c r="A305" s="136"/>
      <c r="B305" s="122"/>
      <c r="C305" s="123"/>
      <c r="D305" s="124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</row>
    <row r="306" spans="1:25" ht="12.95">
      <c r="A306" s="136"/>
      <c r="B306" s="122"/>
      <c r="C306" s="123"/>
      <c r="D306" s="124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</row>
    <row r="307" spans="1:25" ht="12.95">
      <c r="A307" s="136"/>
      <c r="B307" s="122"/>
      <c r="C307" s="123"/>
      <c r="D307" s="124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</row>
    <row r="308" spans="1:25" ht="12.95">
      <c r="A308" s="136"/>
      <c r="B308" s="122"/>
      <c r="C308" s="123"/>
      <c r="D308" s="124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</row>
    <row r="309" spans="1:25" ht="12.95">
      <c r="A309" s="136"/>
      <c r="B309" s="122"/>
      <c r="C309" s="123"/>
      <c r="D309" s="124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</row>
    <row r="310" spans="1:25" ht="12.95">
      <c r="A310" s="136"/>
      <c r="B310" s="122"/>
      <c r="C310" s="123"/>
      <c r="D310" s="124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</row>
    <row r="311" spans="1:25" ht="12.95">
      <c r="A311" s="136"/>
      <c r="B311" s="122"/>
      <c r="C311" s="123"/>
      <c r="D311" s="124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</row>
    <row r="312" spans="1:25" ht="12.95">
      <c r="A312" s="136"/>
      <c r="B312" s="122"/>
      <c r="C312" s="123"/>
      <c r="D312" s="124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</row>
    <row r="313" spans="1:25" ht="12.95">
      <c r="A313" s="136"/>
      <c r="B313" s="122"/>
      <c r="C313" s="123"/>
      <c r="D313" s="124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</row>
    <row r="314" spans="1:25" ht="12.95">
      <c r="A314" s="136"/>
      <c r="B314" s="122"/>
      <c r="C314" s="123"/>
      <c r="D314" s="124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</row>
    <row r="315" spans="1:25" ht="12.95">
      <c r="A315" s="136"/>
      <c r="B315" s="122"/>
      <c r="C315" s="123"/>
      <c r="D315" s="124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</row>
    <row r="316" spans="1:25" ht="12.95">
      <c r="A316" s="136"/>
      <c r="B316" s="122"/>
      <c r="C316" s="123"/>
      <c r="D316" s="124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</row>
    <row r="317" spans="1:25" ht="12.95">
      <c r="A317" s="136"/>
      <c r="B317" s="122"/>
      <c r="C317" s="123"/>
      <c r="D317" s="124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</row>
    <row r="318" spans="1:25" ht="12.95">
      <c r="A318" s="136"/>
      <c r="B318" s="122"/>
      <c r="C318" s="123"/>
      <c r="D318" s="124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</row>
    <row r="319" spans="1:25" ht="12.95">
      <c r="A319" s="136"/>
      <c r="B319" s="122"/>
      <c r="C319" s="123"/>
      <c r="D319" s="124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</row>
    <row r="320" spans="1:25" ht="12.95">
      <c r="A320" s="136"/>
      <c r="B320" s="122"/>
      <c r="C320" s="123"/>
      <c r="D320" s="124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</row>
    <row r="321" spans="1:25" ht="12.95">
      <c r="A321" s="136"/>
      <c r="B321" s="122"/>
      <c r="C321" s="123"/>
      <c r="D321" s="124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</row>
    <row r="322" spans="1:25" ht="12.95">
      <c r="A322" s="136"/>
      <c r="B322" s="122"/>
      <c r="C322" s="123"/>
      <c r="D322" s="124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</row>
    <row r="323" spans="1:25" ht="12.95">
      <c r="A323" s="136"/>
      <c r="B323" s="122"/>
      <c r="C323" s="123"/>
      <c r="D323" s="124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</row>
    <row r="324" spans="1:25" ht="12.95">
      <c r="A324" s="136"/>
      <c r="B324" s="122"/>
      <c r="C324" s="123"/>
      <c r="D324" s="124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</row>
    <row r="325" spans="1:25" ht="12.95">
      <c r="A325" s="136"/>
      <c r="B325" s="122"/>
      <c r="C325" s="123"/>
      <c r="D325" s="124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</row>
    <row r="326" spans="1:25" ht="12.95">
      <c r="A326" s="136"/>
      <c r="B326" s="122"/>
      <c r="C326" s="123"/>
      <c r="D326" s="124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</row>
    <row r="327" spans="1:25" ht="12.95">
      <c r="A327" s="136"/>
      <c r="B327" s="122"/>
      <c r="C327" s="123"/>
      <c r="D327" s="124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</row>
    <row r="328" spans="1:25" ht="12.95">
      <c r="A328" s="136"/>
      <c r="B328" s="122"/>
      <c r="C328" s="123"/>
      <c r="D328" s="124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</row>
    <row r="329" spans="1:25" ht="12.95">
      <c r="A329" s="136"/>
      <c r="B329" s="122"/>
      <c r="C329" s="123"/>
      <c r="D329" s="124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</row>
    <row r="330" spans="1:25" ht="12.95">
      <c r="A330" s="136"/>
      <c r="B330" s="122"/>
      <c r="C330" s="123"/>
      <c r="D330" s="124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</row>
    <row r="331" spans="1:25" ht="12.95">
      <c r="A331" s="136"/>
      <c r="B331" s="122"/>
      <c r="C331" s="123"/>
      <c r="D331" s="124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</row>
    <row r="332" spans="1:25" ht="12.95">
      <c r="A332" s="136"/>
      <c r="B332" s="122"/>
      <c r="C332" s="123"/>
      <c r="D332" s="124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</row>
    <row r="333" spans="1:25" ht="12.95">
      <c r="A333" s="136"/>
      <c r="B333" s="122"/>
      <c r="C333" s="123"/>
      <c r="D333" s="124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</row>
    <row r="334" spans="1:25" ht="12.95">
      <c r="A334" s="136"/>
      <c r="B334" s="122"/>
      <c r="C334" s="123"/>
      <c r="D334" s="124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</row>
    <row r="335" spans="1:25" ht="12.95">
      <c r="A335" s="136"/>
      <c r="B335" s="122"/>
      <c r="C335" s="123"/>
      <c r="D335" s="124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</row>
    <row r="336" spans="1:25" ht="12.95">
      <c r="A336" s="136"/>
      <c r="B336" s="122"/>
      <c r="C336" s="123"/>
      <c r="D336" s="124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</row>
    <row r="337" spans="1:25" ht="12.95">
      <c r="A337" s="136"/>
      <c r="B337" s="122"/>
      <c r="C337" s="123"/>
      <c r="D337" s="124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</row>
    <row r="338" spans="1:25" ht="12.95">
      <c r="A338" s="136"/>
      <c r="B338" s="122"/>
      <c r="C338" s="123"/>
      <c r="D338" s="124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</row>
    <row r="339" spans="1:25" ht="12.95">
      <c r="A339" s="136"/>
      <c r="B339" s="122"/>
      <c r="C339" s="123"/>
      <c r="D339" s="124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</row>
    <row r="340" spans="1:25" ht="12.95">
      <c r="A340" s="136"/>
      <c r="B340" s="122"/>
      <c r="C340" s="123"/>
      <c r="D340" s="124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</row>
    <row r="341" spans="1:25" ht="12.95">
      <c r="A341" s="136"/>
      <c r="B341" s="122"/>
      <c r="C341" s="123"/>
      <c r="D341" s="124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</row>
    <row r="342" spans="1:25" ht="12.95">
      <c r="A342" s="136"/>
      <c r="B342" s="122"/>
      <c r="C342" s="123"/>
      <c r="D342" s="124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</row>
    <row r="343" spans="1:25" ht="12.95">
      <c r="A343" s="136"/>
      <c r="B343" s="122"/>
      <c r="C343" s="123"/>
      <c r="D343" s="124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</row>
    <row r="344" spans="1:25" ht="12.95">
      <c r="A344" s="136"/>
      <c r="B344" s="122"/>
      <c r="C344" s="123"/>
      <c r="D344" s="124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</row>
    <row r="345" spans="1:25" ht="12.95">
      <c r="A345" s="136"/>
      <c r="B345" s="122"/>
      <c r="C345" s="123"/>
      <c r="D345" s="124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</row>
    <row r="346" spans="1:25" ht="12.95">
      <c r="A346" s="136"/>
      <c r="B346" s="122"/>
      <c r="C346" s="123"/>
      <c r="D346" s="124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</row>
    <row r="347" spans="1:25" ht="12.95">
      <c r="A347" s="136"/>
      <c r="B347" s="122"/>
      <c r="C347" s="123"/>
      <c r="D347" s="124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</row>
    <row r="348" spans="1:25" ht="12.95">
      <c r="A348" s="136"/>
      <c r="B348" s="122"/>
      <c r="C348" s="123"/>
      <c r="D348" s="124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</row>
    <row r="349" spans="1:25" ht="12.95">
      <c r="A349" s="136"/>
      <c r="B349" s="122"/>
      <c r="C349" s="123"/>
      <c r="D349" s="124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</row>
    <row r="350" spans="1:25" ht="12.95">
      <c r="A350" s="136"/>
      <c r="B350" s="122"/>
      <c r="C350" s="123"/>
      <c r="D350" s="124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</row>
    <row r="351" spans="1:25" ht="12.95">
      <c r="A351" s="136"/>
      <c r="B351" s="122"/>
      <c r="C351" s="123"/>
      <c r="D351" s="124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</row>
    <row r="352" spans="1:25" ht="12.95">
      <c r="A352" s="136"/>
      <c r="B352" s="122"/>
      <c r="C352" s="123"/>
      <c r="D352" s="124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</row>
    <row r="353" spans="1:25" ht="12.95">
      <c r="A353" s="136"/>
      <c r="B353" s="122"/>
      <c r="C353" s="123"/>
      <c r="D353" s="124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</row>
    <row r="354" spans="1:25" ht="12.95">
      <c r="A354" s="136"/>
      <c r="B354" s="122"/>
      <c r="C354" s="123"/>
      <c r="D354" s="124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</row>
    <row r="355" spans="1:25" ht="12.95">
      <c r="A355" s="136"/>
      <c r="B355" s="122"/>
      <c r="C355" s="123"/>
      <c r="D355" s="124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</row>
    <row r="356" spans="1:25" ht="12.95">
      <c r="A356" s="136"/>
      <c r="B356" s="122"/>
      <c r="C356" s="123"/>
      <c r="D356" s="124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</row>
    <row r="357" spans="1:25" ht="12.95">
      <c r="A357" s="136"/>
      <c r="B357" s="122"/>
      <c r="C357" s="123"/>
      <c r="D357" s="124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</row>
    <row r="358" spans="1:25" ht="12.95">
      <c r="A358" s="136"/>
      <c r="B358" s="122"/>
      <c r="C358" s="123"/>
      <c r="D358" s="124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</row>
    <row r="359" spans="1:25" ht="12.95">
      <c r="A359" s="136"/>
      <c r="B359" s="122"/>
      <c r="C359" s="123"/>
      <c r="D359" s="124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</row>
    <row r="360" spans="1:25" ht="12.95">
      <c r="A360" s="136"/>
      <c r="B360" s="122"/>
      <c r="C360" s="123"/>
      <c r="D360" s="124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</row>
    <row r="361" spans="1:25" ht="12.95">
      <c r="A361" s="136"/>
      <c r="B361" s="122"/>
      <c r="C361" s="123"/>
      <c r="D361" s="124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</row>
    <row r="362" spans="1:25" ht="12.95">
      <c r="A362" s="136"/>
      <c r="B362" s="122"/>
      <c r="C362" s="123"/>
      <c r="D362" s="124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</row>
    <row r="363" spans="1:25" ht="12.95">
      <c r="A363" s="136"/>
      <c r="B363" s="122"/>
      <c r="C363" s="123"/>
      <c r="D363" s="124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</row>
    <row r="364" spans="1:25" ht="12.95">
      <c r="A364" s="136"/>
      <c r="B364" s="122"/>
      <c r="C364" s="123"/>
      <c r="D364" s="124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</row>
    <row r="365" spans="1:25" ht="12.95">
      <c r="A365" s="136"/>
      <c r="B365" s="122"/>
      <c r="C365" s="123"/>
      <c r="D365" s="124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</row>
    <row r="366" spans="1:25" ht="12.95">
      <c r="A366" s="136"/>
      <c r="B366" s="122"/>
      <c r="C366" s="123"/>
      <c r="D366" s="124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</row>
    <row r="367" spans="1:25" ht="12.95">
      <c r="A367" s="136"/>
      <c r="B367" s="122"/>
      <c r="C367" s="123"/>
      <c r="D367" s="124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</row>
    <row r="368" spans="1:25" ht="12.95">
      <c r="A368" s="136"/>
      <c r="B368" s="122"/>
      <c r="C368" s="123"/>
      <c r="D368" s="124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</row>
    <row r="369" spans="1:25" ht="12.95">
      <c r="A369" s="136"/>
      <c r="B369" s="122"/>
      <c r="C369" s="123"/>
      <c r="D369" s="124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</row>
    <row r="370" spans="1:25" ht="12.95">
      <c r="A370" s="136"/>
      <c r="B370" s="122"/>
      <c r="C370" s="123"/>
      <c r="D370" s="124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</row>
    <row r="371" spans="1:25" ht="12.95">
      <c r="A371" s="136"/>
      <c r="B371" s="122"/>
      <c r="C371" s="123"/>
      <c r="D371" s="124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</row>
    <row r="372" spans="1:25" ht="12.95">
      <c r="A372" s="136"/>
      <c r="B372" s="122"/>
      <c r="C372" s="123"/>
      <c r="D372" s="124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</row>
    <row r="373" spans="1:25" ht="12.95">
      <c r="A373" s="136"/>
      <c r="B373" s="122"/>
      <c r="C373" s="123"/>
      <c r="D373" s="124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</row>
    <row r="374" spans="1:25" ht="12.95">
      <c r="A374" s="136"/>
      <c r="B374" s="122"/>
      <c r="C374" s="123"/>
      <c r="D374" s="124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</row>
    <row r="375" spans="1:25" ht="12.95">
      <c r="A375" s="136"/>
      <c r="B375" s="122"/>
      <c r="C375" s="123"/>
      <c r="D375" s="124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</row>
    <row r="376" spans="1:25" ht="12.95">
      <c r="A376" s="136"/>
      <c r="B376" s="122"/>
      <c r="C376" s="123"/>
      <c r="D376" s="124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</row>
    <row r="377" spans="1:25" ht="12.95">
      <c r="A377" s="136"/>
      <c r="B377" s="122"/>
      <c r="C377" s="123"/>
      <c r="D377" s="124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</row>
    <row r="378" spans="1:25" ht="12.95">
      <c r="A378" s="136"/>
      <c r="B378" s="122"/>
      <c r="C378" s="123"/>
      <c r="D378" s="124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</row>
    <row r="379" spans="1:25" ht="12.95">
      <c r="A379" s="136"/>
      <c r="B379" s="122"/>
      <c r="C379" s="123"/>
      <c r="D379" s="124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</row>
    <row r="380" spans="1:25" ht="12.95">
      <c r="A380" s="136"/>
      <c r="B380" s="122"/>
      <c r="C380" s="123"/>
      <c r="D380" s="124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</row>
    <row r="381" spans="1:25" ht="12.95">
      <c r="A381" s="136"/>
      <c r="B381" s="122"/>
      <c r="C381" s="123"/>
      <c r="D381" s="124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</row>
    <row r="382" spans="1:25" ht="12.95">
      <c r="A382" s="136"/>
      <c r="B382" s="122"/>
      <c r="C382" s="123"/>
      <c r="D382" s="124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</row>
    <row r="383" spans="1:25" ht="12.95">
      <c r="A383" s="136"/>
      <c r="B383" s="122"/>
      <c r="C383" s="123"/>
      <c r="D383" s="124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</row>
    <row r="384" spans="1:25" ht="12.95">
      <c r="A384" s="136"/>
      <c r="B384" s="122"/>
      <c r="C384" s="123"/>
      <c r="D384" s="124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</row>
    <row r="385" spans="1:25" ht="12.95">
      <c r="A385" s="136"/>
      <c r="B385" s="122"/>
      <c r="C385" s="123"/>
      <c r="D385" s="124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</row>
    <row r="386" spans="1:25" ht="12.95">
      <c r="A386" s="136"/>
      <c r="B386" s="122"/>
      <c r="C386" s="123"/>
      <c r="D386" s="124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</row>
    <row r="387" spans="1:25" ht="12.95">
      <c r="A387" s="136"/>
      <c r="B387" s="122"/>
      <c r="C387" s="123"/>
      <c r="D387" s="124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</row>
    <row r="388" spans="1:25" ht="12.95">
      <c r="A388" s="136"/>
      <c r="B388" s="122"/>
      <c r="C388" s="123"/>
      <c r="D388" s="124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</row>
    <row r="389" spans="1:25" ht="12.95">
      <c r="A389" s="136"/>
      <c r="B389" s="122"/>
      <c r="C389" s="123"/>
      <c r="D389" s="124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</row>
    <row r="390" spans="1:25" ht="12.95">
      <c r="A390" s="136"/>
      <c r="B390" s="122"/>
      <c r="C390" s="123"/>
      <c r="D390" s="124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</row>
    <row r="391" spans="1:25" ht="12.95">
      <c r="A391" s="136"/>
      <c r="B391" s="122"/>
      <c r="C391" s="123"/>
      <c r="D391" s="124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</row>
    <row r="392" spans="1:25" ht="12.95">
      <c r="A392" s="136"/>
      <c r="B392" s="122"/>
      <c r="C392" s="123"/>
      <c r="D392" s="124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</row>
    <row r="393" spans="1:25" ht="12.95">
      <c r="A393" s="136"/>
      <c r="B393" s="122"/>
      <c r="C393" s="123"/>
      <c r="D393" s="124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</row>
    <row r="394" spans="1:25" ht="12.95">
      <c r="A394" s="136"/>
      <c r="B394" s="122"/>
      <c r="C394" s="123"/>
      <c r="D394" s="124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</row>
    <row r="395" spans="1:25" ht="12.95">
      <c r="A395" s="136"/>
      <c r="B395" s="122"/>
      <c r="C395" s="123"/>
      <c r="D395" s="124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</row>
    <row r="396" spans="1:25" ht="12.95">
      <c r="A396" s="136"/>
      <c r="B396" s="122"/>
      <c r="C396" s="123"/>
      <c r="D396" s="124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</row>
    <row r="397" spans="1:25" ht="12.95">
      <c r="A397" s="136"/>
      <c r="B397" s="122"/>
      <c r="C397" s="123"/>
      <c r="D397" s="124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</row>
    <row r="398" spans="1:25" ht="12.95">
      <c r="A398" s="136"/>
      <c r="B398" s="122"/>
      <c r="C398" s="123"/>
      <c r="D398" s="124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</row>
    <row r="399" spans="1:25" ht="12.95">
      <c r="A399" s="136"/>
      <c r="B399" s="122"/>
      <c r="C399" s="123"/>
      <c r="D399" s="124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</row>
    <row r="400" spans="1:25" ht="12.95">
      <c r="A400" s="136"/>
      <c r="B400" s="122"/>
      <c r="C400" s="123"/>
      <c r="D400" s="124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</row>
    <row r="401" spans="1:25" ht="12.95">
      <c r="A401" s="136"/>
      <c r="B401" s="122"/>
      <c r="C401" s="123"/>
      <c r="D401" s="124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</row>
    <row r="402" spans="1:25" ht="12.95">
      <c r="A402" s="136"/>
      <c r="B402" s="122"/>
      <c r="C402" s="123"/>
      <c r="D402" s="124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</row>
    <row r="403" spans="1:25" ht="12.95">
      <c r="A403" s="136"/>
      <c r="B403" s="122"/>
      <c r="C403" s="123"/>
      <c r="D403" s="124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</row>
    <row r="404" spans="1:25" ht="12.95">
      <c r="A404" s="136"/>
      <c r="B404" s="122"/>
      <c r="C404" s="123"/>
      <c r="D404" s="124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</row>
    <row r="405" spans="1:25" ht="12.95">
      <c r="A405" s="136"/>
      <c r="B405" s="122"/>
      <c r="C405" s="123"/>
      <c r="D405" s="124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</row>
    <row r="406" spans="1:25" ht="12.95">
      <c r="A406" s="136"/>
      <c r="B406" s="122"/>
      <c r="C406" s="123"/>
      <c r="D406" s="124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</row>
    <row r="407" spans="1:25" ht="12.95">
      <c r="A407" s="136"/>
      <c r="B407" s="122"/>
      <c r="C407" s="123"/>
      <c r="D407" s="124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</row>
    <row r="408" spans="1:25" ht="12.95">
      <c r="A408" s="136"/>
      <c r="B408" s="122"/>
      <c r="C408" s="123"/>
      <c r="D408" s="124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</row>
    <row r="409" spans="1:25" ht="12.95">
      <c r="A409" s="136"/>
      <c r="B409" s="122"/>
      <c r="C409" s="123"/>
      <c r="D409" s="124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</row>
    <row r="410" spans="1:25" ht="12.95">
      <c r="A410" s="136"/>
      <c r="B410" s="122"/>
      <c r="C410" s="123"/>
      <c r="D410" s="124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</row>
    <row r="411" spans="1:25" ht="12.95">
      <c r="A411" s="136"/>
      <c r="B411" s="122"/>
      <c r="C411" s="123"/>
      <c r="D411" s="124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</row>
    <row r="412" spans="1:25" ht="12.95">
      <c r="A412" s="136"/>
      <c r="B412" s="122"/>
      <c r="C412" s="123"/>
      <c r="D412" s="124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</row>
    <row r="413" spans="1:25" ht="12.95">
      <c r="A413" s="136"/>
      <c r="B413" s="122"/>
      <c r="C413" s="123"/>
      <c r="D413" s="124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</row>
    <row r="414" spans="1:25" ht="12.95">
      <c r="A414" s="136"/>
      <c r="B414" s="122"/>
      <c r="C414" s="123"/>
      <c r="D414" s="124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</row>
    <row r="415" spans="1:25" ht="12.95">
      <c r="A415" s="136"/>
      <c r="B415" s="122"/>
      <c r="C415" s="123"/>
      <c r="D415" s="124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</row>
    <row r="416" spans="1:25" ht="12.95">
      <c r="A416" s="136"/>
      <c r="B416" s="122"/>
      <c r="C416" s="123"/>
      <c r="D416" s="124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</row>
    <row r="417" spans="1:25" ht="12.95">
      <c r="A417" s="136"/>
      <c r="B417" s="122"/>
      <c r="C417" s="123"/>
      <c r="D417" s="124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</row>
    <row r="418" spans="1:25" ht="12.95">
      <c r="A418" s="136"/>
      <c r="B418" s="122"/>
      <c r="C418" s="123"/>
      <c r="D418" s="124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</row>
    <row r="419" spans="1:25" ht="12.95">
      <c r="A419" s="136"/>
      <c r="B419" s="122"/>
      <c r="C419" s="123"/>
      <c r="D419" s="124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</row>
    <row r="420" spans="1:25" ht="12.95">
      <c r="A420" s="136"/>
      <c r="B420" s="122"/>
      <c r="C420" s="123"/>
      <c r="D420" s="124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</row>
    <row r="421" spans="1:25" ht="12.95">
      <c r="A421" s="136"/>
      <c r="B421" s="122"/>
      <c r="C421" s="123"/>
      <c r="D421" s="124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</row>
    <row r="422" spans="1:25" ht="12.95">
      <c r="A422" s="136"/>
      <c r="B422" s="122"/>
      <c r="C422" s="123"/>
      <c r="D422" s="124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</row>
    <row r="423" spans="1:25" ht="12.95">
      <c r="A423" s="136"/>
      <c r="B423" s="122"/>
      <c r="C423" s="123"/>
      <c r="D423" s="124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</row>
    <row r="424" spans="1:25" ht="12.95">
      <c r="A424" s="136"/>
      <c r="B424" s="122"/>
      <c r="C424" s="123"/>
      <c r="D424" s="124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</row>
    <row r="425" spans="1:25" ht="12.95">
      <c r="A425" s="136"/>
      <c r="B425" s="122"/>
      <c r="C425" s="123"/>
      <c r="D425" s="124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</row>
    <row r="426" spans="1:25" ht="12.95">
      <c r="A426" s="136"/>
      <c r="B426" s="122"/>
      <c r="C426" s="123"/>
      <c r="D426" s="124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</row>
    <row r="427" spans="1:25" ht="12.95">
      <c r="A427" s="136"/>
      <c r="B427" s="122"/>
      <c r="C427" s="123"/>
      <c r="D427" s="124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</row>
    <row r="428" spans="1:25" ht="12.95">
      <c r="A428" s="136"/>
      <c r="B428" s="122"/>
      <c r="C428" s="123"/>
      <c r="D428" s="124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</row>
    <row r="429" spans="1:25" ht="12.95">
      <c r="A429" s="136"/>
      <c r="B429" s="122"/>
      <c r="C429" s="123"/>
      <c r="D429" s="124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</row>
    <row r="430" spans="1:25" ht="12.95">
      <c r="A430" s="136"/>
      <c r="B430" s="122"/>
      <c r="C430" s="123"/>
      <c r="D430" s="124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</row>
    <row r="431" spans="1:25" ht="12.95">
      <c r="A431" s="136"/>
      <c r="B431" s="122"/>
      <c r="C431" s="123"/>
      <c r="D431" s="124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</row>
    <row r="432" spans="1:25" ht="12.95">
      <c r="A432" s="136"/>
      <c r="B432" s="122"/>
      <c r="C432" s="123"/>
      <c r="D432" s="124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</row>
    <row r="433" spans="1:25" ht="12.95">
      <c r="A433" s="136"/>
      <c r="B433" s="122"/>
      <c r="C433" s="123"/>
      <c r="D433" s="124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</row>
    <row r="434" spans="1:25" ht="12.95">
      <c r="A434" s="136"/>
      <c r="B434" s="122"/>
      <c r="C434" s="123"/>
      <c r="D434" s="124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</row>
    <row r="435" spans="1:25" ht="12.95">
      <c r="A435" s="136"/>
      <c r="B435" s="122"/>
      <c r="C435" s="123"/>
      <c r="D435" s="124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</row>
    <row r="436" spans="1:25" ht="12.95">
      <c r="A436" s="136"/>
      <c r="B436" s="122"/>
      <c r="C436" s="123"/>
      <c r="D436" s="124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</row>
    <row r="437" spans="1:25" ht="12.95">
      <c r="A437" s="136"/>
      <c r="B437" s="122"/>
      <c r="C437" s="123"/>
      <c r="D437" s="124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</row>
    <row r="438" spans="1:25" ht="12.95">
      <c r="A438" s="136"/>
      <c r="B438" s="122"/>
      <c r="C438" s="123"/>
      <c r="D438" s="124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</row>
    <row r="439" spans="1:25" ht="12.95">
      <c r="A439" s="136"/>
      <c r="B439" s="122"/>
      <c r="C439" s="123"/>
      <c r="D439" s="124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</row>
    <row r="440" spans="1:25" ht="12.95">
      <c r="A440" s="136"/>
      <c r="B440" s="122"/>
      <c r="C440" s="123"/>
      <c r="D440" s="124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</row>
    <row r="441" spans="1:25" ht="12.95">
      <c r="A441" s="136"/>
      <c r="B441" s="122"/>
      <c r="C441" s="123"/>
      <c r="D441" s="124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</row>
    <row r="442" spans="1:25" ht="12.95">
      <c r="A442" s="136"/>
      <c r="B442" s="122"/>
      <c r="C442" s="123"/>
      <c r="D442" s="124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</row>
    <row r="443" spans="1:25" ht="12.95">
      <c r="A443" s="136"/>
      <c r="B443" s="122"/>
      <c r="C443" s="123"/>
      <c r="D443" s="124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</row>
    <row r="444" spans="1:25" ht="12.95">
      <c r="A444" s="136"/>
      <c r="B444" s="122"/>
      <c r="C444" s="123"/>
      <c r="D444" s="124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</row>
    <row r="445" spans="1:25" ht="12.95">
      <c r="A445" s="136"/>
      <c r="B445" s="122"/>
      <c r="C445" s="123"/>
      <c r="D445" s="124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</row>
    <row r="446" spans="1:25" ht="12.95">
      <c r="A446" s="136"/>
      <c r="B446" s="122"/>
      <c r="C446" s="123"/>
      <c r="D446" s="124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</row>
    <row r="447" spans="1:25" ht="12.95">
      <c r="A447" s="136"/>
      <c r="B447" s="122"/>
      <c r="C447" s="123"/>
      <c r="D447" s="124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</row>
    <row r="448" spans="1:25" ht="12.95">
      <c r="A448" s="136"/>
      <c r="B448" s="122"/>
      <c r="C448" s="123"/>
      <c r="D448" s="124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</row>
    <row r="449" spans="1:25" ht="12.95">
      <c r="A449" s="136"/>
      <c r="B449" s="122"/>
      <c r="C449" s="123"/>
      <c r="D449" s="124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</row>
    <row r="450" spans="1:25" ht="12.95">
      <c r="A450" s="136"/>
      <c r="B450" s="122"/>
      <c r="C450" s="123"/>
      <c r="D450" s="124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</row>
    <row r="451" spans="1:25" ht="12.95">
      <c r="A451" s="136"/>
      <c r="B451" s="122"/>
      <c r="C451" s="123"/>
      <c r="D451" s="124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</row>
    <row r="452" spans="1:25" ht="12.95">
      <c r="A452" s="136"/>
      <c r="B452" s="122"/>
      <c r="C452" s="123"/>
      <c r="D452" s="124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</row>
    <row r="453" spans="1:25" ht="12.95">
      <c r="A453" s="136"/>
      <c r="B453" s="122"/>
      <c r="C453" s="123"/>
      <c r="D453" s="124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</row>
    <row r="454" spans="1:25" ht="12.95">
      <c r="A454" s="136"/>
      <c r="B454" s="122"/>
      <c r="C454" s="123"/>
      <c r="D454" s="124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</row>
    <row r="455" spans="1:25" ht="12.95">
      <c r="A455" s="136"/>
      <c r="B455" s="122"/>
      <c r="C455" s="123"/>
      <c r="D455" s="124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</row>
    <row r="456" spans="1:25" ht="12.95">
      <c r="A456" s="136"/>
      <c r="B456" s="122"/>
      <c r="C456" s="123"/>
      <c r="D456" s="124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</row>
    <row r="457" spans="1:25" ht="12.95">
      <c r="A457" s="136"/>
      <c r="B457" s="122"/>
      <c r="C457" s="123"/>
      <c r="D457" s="124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</row>
    <row r="458" spans="1:25" ht="12.95">
      <c r="A458" s="136"/>
      <c r="B458" s="122"/>
      <c r="C458" s="123"/>
      <c r="D458" s="124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</row>
    <row r="459" spans="1:25" ht="12.95">
      <c r="A459" s="136"/>
      <c r="B459" s="122"/>
      <c r="C459" s="123"/>
      <c r="D459" s="124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</row>
    <row r="460" spans="1:25" ht="12.95">
      <c r="A460" s="136"/>
      <c r="B460" s="122"/>
      <c r="C460" s="123"/>
      <c r="D460" s="124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</row>
    <row r="461" spans="1:25" ht="12.95">
      <c r="A461" s="136"/>
      <c r="B461" s="122"/>
      <c r="C461" s="123"/>
      <c r="D461" s="124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</row>
    <row r="462" spans="1:25" ht="12.95">
      <c r="A462" s="136"/>
      <c r="B462" s="122"/>
      <c r="C462" s="123"/>
      <c r="D462" s="124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</row>
    <row r="463" spans="1:25" ht="12.95">
      <c r="A463" s="136"/>
      <c r="B463" s="122"/>
      <c r="C463" s="123"/>
      <c r="D463" s="124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</row>
    <row r="464" spans="1:25" ht="12.95">
      <c r="A464" s="136"/>
      <c r="B464" s="122"/>
      <c r="C464" s="123"/>
      <c r="D464" s="124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</row>
    <row r="465" spans="1:25" ht="12.95">
      <c r="A465" s="136"/>
      <c r="B465" s="122"/>
      <c r="C465" s="123"/>
      <c r="D465" s="124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</row>
    <row r="466" spans="1:25" ht="12.95">
      <c r="A466" s="136"/>
      <c r="B466" s="122"/>
      <c r="C466" s="123"/>
      <c r="D466" s="124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</row>
    <row r="467" spans="1:25" ht="12.95">
      <c r="A467" s="136"/>
      <c r="B467" s="122"/>
      <c r="C467" s="123"/>
      <c r="D467" s="124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</row>
    <row r="468" spans="1:25" ht="12.95">
      <c r="A468" s="136"/>
      <c r="B468" s="122"/>
      <c r="C468" s="123"/>
      <c r="D468" s="124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</row>
    <row r="469" spans="1:25" ht="12.95">
      <c r="A469" s="136"/>
      <c r="B469" s="122"/>
      <c r="C469" s="123"/>
      <c r="D469" s="124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</row>
    <row r="470" spans="1:25" ht="12.95">
      <c r="A470" s="136"/>
      <c r="B470" s="122"/>
      <c r="C470" s="123"/>
      <c r="D470" s="124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</row>
    <row r="471" spans="1:25" ht="12.95">
      <c r="A471" s="136"/>
      <c r="B471" s="122"/>
      <c r="C471" s="123"/>
      <c r="D471" s="124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</row>
    <row r="472" spans="1:25" ht="12.95">
      <c r="A472" s="136"/>
      <c r="B472" s="122"/>
      <c r="C472" s="123"/>
      <c r="D472" s="124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</row>
    <row r="473" spans="1:25" ht="12.95">
      <c r="A473" s="136"/>
      <c r="B473" s="122"/>
      <c r="C473" s="123"/>
      <c r="D473" s="124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</row>
    <row r="474" spans="1:25" ht="12.95">
      <c r="A474" s="136"/>
      <c r="B474" s="122"/>
      <c r="C474" s="123"/>
      <c r="D474" s="124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</row>
    <row r="475" spans="1:25" ht="12.95">
      <c r="A475" s="136"/>
      <c r="B475" s="122"/>
      <c r="C475" s="123"/>
      <c r="D475" s="124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</row>
    <row r="476" spans="1:25" ht="12.95">
      <c r="A476" s="136"/>
      <c r="B476" s="122"/>
      <c r="C476" s="123"/>
      <c r="D476" s="124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</row>
    <row r="477" spans="1:25" ht="12.95">
      <c r="A477" s="136"/>
      <c r="B477" s="122"/>
      <c r="C477" s="123"/>
      <c r="D477" s="124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</row>
    <row r="478" spans="1:25" ht="12.95">
      <c r="A478" s="136"/>
      <c r="B478" s="122"/>
      <c r="C478" s="123"/>
      <c r="D478" s="124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</row>
    <row r="479" spans="1:25" ht="12.95">
      <c r="A479" s="136"/>
      <c r="B479" s="122"/>
      <c r="C479" s="123"/>
      <c r="D479" s="124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</row>
    <row r="480" spans="1:25" ht="12.95">
      <c r="A480" s="136"/>
      <c r="B480" s="122"/>
      <c r="C480" s="123"/>
      <c r="D480" s="124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</row>
    <row r="481" spans="1:25" ht="12.95">
      <c r="A481" s="136"/>
      <c r="B481" s="122"/>
      <c r="C481" s="123"/>
      <c r="D481" s="124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</row>
    <row r="482" spans="1:25" ht="12.95">
      <c r="A482" s="136"/>
      <c r="B482" s="122"/>
      <c r="C482" s="123"/>
      <c r="D482" s="124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</row>
    <row r="483" spans="1:25" ht="12.95">
      <c r="A483" s="136"/>
      <c r="B483" s="122"/>
      <c r="C483" s="123"/>
      <c r="D483" s="124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</row>
    <row r="484" spans="1:25" ht="12.95">
      <c r="A484" s="136"/>
      <c r="B484" s="122"/>
      <c r="C484" s="123"/>
      <c r="D484" s="124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</row>
    <row r="485" spans="1:25" ht="12.95">
      <c r="A485" s="136"/>
      <c r="B485" s="122"/>
      <c r="C485" s="123"/>
      <c r="D485" s="124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</row>
    <row r="486" spans="1:25" ht="12.95">
      <c r="A486" s="136"/>
      <c r="B486" s="122"/>
      <c r="C486" s="123"/>
      <c r="D486" s="124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</row>
    <row r="487" spans="1:25" ht="12.95">
      <c r="A487" s="136"/>
      <c r="B487" s="122"/>
      <c r="C487" s="123"/>
      <c r="D487" s="124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</row>
    <row r="488" spans="1:25" ht="12.95">
      <c r="A488" s="136"/>
      <c r="B488" s="122"/>
      <c r="C488" s="123"/>
      <c r="D488" s="124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</row>
    <row r="489" spans="1:25" ht="12.95">
      <c r="A489" s="136"/>
      <c r="B489" s="122"/>
      <c r="C489" s="123"/>
      <c r="D489" s="124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</row>
    <row r="490" spans="1:25" ht="12.95">
      <c r="A490" s="136"/>
      <c r="B490" s="122"/>
      <c r="C490" s="123"/>
      <c r="D490" s="124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</row>
    <row r="491" spans="1:25" ht="12.95">
      <c r="A491" s="136"/>
      <c r="B491" s="122"/>
      <c r="C491" s="123"/>
      <c r="D491" s="124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</row>
    <row r="492" spans="1:25" ht="12.95">
      <c r="A492" s="136"/>
      <c r="B492" s="122"/>
      <c r="C492" s="123"/>
      <c r="D492" s="124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</row>
    <row r="493" spans="1:25" ht="12.95">
      <c r="A493" s="136"/>
      <c r="B493" s="122"/>
      <c r="C493" s="123"/>
      <c r="D493" s="124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</row>
    <row r="494" spans="1:25" ht="12.95">
      <c r="A494" s="136"/>
      <c r="B494" s="122"/>
      <c r="C494" s="123"/>
      <c r="D494" s="124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</row>
    <row r="495" spans="1:25" ht="12.95">
      <c r="A495" s="136"/>
      <c r="B495" s="122"/>
      <c r="C495" s="123"/>
      <c r="D495" s="124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</row>
    <row r="496" spans="1:25" ht="12.95">
      <c r="A496" s="136"/>
      <c r="B496" s="122"/>
      <c r="C496" s="123"/>
      <c r="D496" s="124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</row>
    <row r="497" spans="1:25" ht="12.95">
      <c r="A497" s="136"/>
      <c r="B497" s="122"/>
      <c r="C497" s="123"/>
      <c r="D497" s="124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</row>
    <row r="498" spans="1:25" ht="12.95">
      <c r="A498" s="136"/>
      <c r="B498" s="122"/>
      <c r="C498" s="123"/>
      <c r="D498" s="124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</row>
    <row r="499" spans="1:25" ht="12.95">
      <c r="A499" s="136"/>
      <c r="B499" s="122"/>
      <c r="C499" s="123"/>
      <c r="D499" s="124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</row>
    <row r="500" spans="1:25" ht="12.95">
      <c r="A500" s="136"/>
      <c r="B500" s="122"/>
      <c r="C500" s="123"/>
      <c r="D500" s="124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</row>
    <row r="501" spans="1:25" ht="12.95">
      <c r="A501" s="136"/>
      <c r="B501" s="122"/>
      <c r="C501" s="123"/>
      <c r="D501" s="124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</row>
    <row r="502" spans="1:25" ht="12.95">
      <c r="A502" s="136"/>
      <c r="B502" s="122"/>
      <c r="C502" s="123"/>
      <c r="D502" s="124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</row>
    <row r="503" spans="1:25" ht="12.95">
      <c r="A503" s="136"/>
      <c r="B503" s="122"/>
      <c r="C503" s="123"/>
      <c r="D503" s="124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</row>
    <row r="504" spans="1:25" ht="12.95">
      <c r="A504" s="136"/>
      <c r="B504" s="122"/>
      <c r="C504" s="123"/>
      <c r="D504" s="124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</row>
    <row r="505" spans="1:25" ht="12.95">
      <c r="A505" s="136"/>
      <c r="B505" s="122"/>
      <c r="C505" s="123"/>
      <c r="D505" s="124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</row>
    <row r="506" spans="1:25" ht="12.95">
      <c r="A506" s="136"/>
      <c r="B506" s="122"/>
      <c r="C506" s="123"/>
      <c r="D506" s="124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</row>
    <row r="507" spans="1:25" ht="12.95">
      <c r="A507" s="136"/>
      <c r="B507" s="122"/>
      <c r="C507" s="123"/>
      <c r="D507" s="124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</row>
    <row r="508" spans="1:25" ht="12.95">
      <c r="A508" s="136"/>
      <c r="B508" s="122"/>
      <c r="C508" s="123"/>
      <c r="D508" s="124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</row>
    <row r="509" spans="1:25" ht="12.95">
      <c r="A509" s="136"/>
      <c r="B509" s="122"/>
      <c r="C509" s="123"/>
      <c r="D509" s="124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</row>
    <row r="510" spans="1:25" ht="12.95">
      <c r="A510" s="136"/>
      <c r="B510" s="122"/>
      <c r="C510" s="123"/>
      <c r="D510" s="124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</row>
    <row r="511" spans="1:25" ht="12.95">
      <c r="A511" s="136"/>
      <c r="B511" s="122"/>
      <c r="C511" s="123"/>
      <c r="D511" s="124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</row>
    <row r="512" spans="1:25" ht="12.95">
      <c r="A512" s="136"/>
      <c r="B512" s="122"/>
      <c r="C512" s="123"/>
      <c r="D512" s="124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</row>
    <row r="513" spans="1:25" ht="12.95">
      <c r="A513" s="136"/>
      <c r="B513" s="122"/>
      <c r="C513" s="123"/>
      <c r="D513" s="124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</row>
    <row r="514" spans="1:25" ht="12.95">
      <c r="A514" s="136"/>
      <c r="B514" s="122"/>
      <c r="C514" s="123"/>
      <c r="D514" s="124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</row>
    <row r="515" spans="1:25" ht="12.95">
      <c r="A515" s="136"/>
      <c r="B515" s="122"/>
      <c r="C515" s="123"/>
      <c r="D515" s="124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</row>
    <row r="516" spans="1:25" ht="12.95">
      <c r="A516" s="136"/>
      <c r="B516" s="122"/>
      <c r="C516" s="123"/>
      <c r="D516" s="124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</row>
    <row r="517" spans="1:25" ht="12.95">
      <c r="A517" s="136"/>
      <c r="B517" s="122"/>
      <c r="C517" s="123"/>
      <c r="D517" s="124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</row>
    <row r="518" spans="1:25" ht="12.95">
      <c r="A518" s="136"/>
      <c r="B518" s="122"/>
      <c r="C518" s="123"/>
      <c r="D518" s="124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</row>
    <row r="519" spans="1:25" ht="12.95">
      <c r="A519" s="136"/>
      <c r="B519" s="122"/>
      <c r="C519" s="123"/>
      <c r="D519" s="124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</row>
    <row r="520" spans="1:25" ht="12.95">
      <c r="A520" s="136"/>
      <c r="B520" s="122"/>
      <c r="C520" s="123"/>
      <c r="D520" s="124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</row>
    <row r="521" spans="1:25" ht="12.95">
      <c r="A521" s="136"/>
      <c r="B521" s="122"/>
      <c r="C521" s="123"/>
      <c r="D521" s="124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</row>
    <row r="522" spans="1:25" ht="12.95">
      <c r="A522" s="136"/>
      <c r="B522" s="122"/>
      <c r="C522" s="123"/>
      <c r="D522" s="124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</row>
    <row r="523" spans="1:25" ht="12.95">
      <c r="A523" s="136"/>
      <c r="B523" s="122"/>
      <c r="C523" s="123"/>
      <c r="D523" s="124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</row>
    <row r="524" spans="1:25" ht="12.95">
      <c r="A524" s="136"/>
      <c r="B524" s="122"/>
      <c r="C524" s="123"/>
      <c r="D524" s="124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</row>
    <row r="525" spans="1:25" ht="12.95">
      <c r="A525" s="136"/>
      <c r="B525" s="122"/>
      <c r="C525" s="123"/>
      <c r="D525" s="124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</row>
    <row r="526" spans="1:25" ht="12.95">
      <c r="A526" s="136"/>
      <c r="B526" s="122"/>
      <c r="C526" s="123"/>
      <c r="D526" s="124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</row>
    <row r="527" spans="1:25" ht="12.95">
      <c r="A527" s="136"/>
      <c r="B527" s="122"/>
      <c r="C527" s="123"/>
      <c r="D527" s="124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</row>
    <row r="528" spans="1:25" ht="12.95">
      <c r="A528" s="136"/>
      <c r="B528" s="122"/>
      <c r="C528" s="123"/>
      <c r="D528" s="124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</row>
    <row r="529" spans="1:25" ht="12.95">
      <c r="A529" s="136"/>
      <c r="B529" s="122"/>
      <c r="C529" s="123"/>
      <c r="D529" s="124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</row>
    <row r="530" spans="1:25" ht="12.95">
      <c r="A530" s="136"/>
      <c r="B530" s="122"/>
      <c r="C530" s="123"/>
      <c r="D530" s="124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</row>
    <row r="531" spans="1:25" ht="12.95">
      <c r="A531" s="136"/>
      <c r="B531" s="122"/>
      <c r="C531" s="123"/>
      <c r="D531" s="124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</row>
    <row r="532" spans="1:25" ht="12.95">
      <c r="A532" s="136"/>
      <c r="B532" s="122"/>
      <c r="C532" s="123"/>
      <c r="D532" s="124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</row>
    <row r="533" spans="1:25" ht="12.95">
      <c r="A533" s="136"/>
      <c r="B533" s="122"/>
      <c r="C533" s="123"/>
      <c r="D533" s="124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</row>
    <row r="534" spans="1:25" ht="12.95">
      <c r="A534" s="136"/>
      <c r="B534" s="122"/>
      <c r="C534" s="123"/>
      <c r="D534" s="124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</row>
    <row r="535" spans="1:25" ht="12.95">
      <c r="A535" s="136"/>
      <c r="B535" s="122"/>
      <c r="C535" s="123"/>
      <c r="D535" s="124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</row>
    <row r="536" spans="1:25" ht="12.95">
      <c r="A536" s="136"/>
      <c r="B536" s="122"/>
      <c r="C536" s="123"/>
      <c r="D536" s="124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</row>
    <row r="537" spans="1:25" ht="12.95">
      <c r="A537" s="136"/>
      <c r="B537" s="122"/>
      <c r="C537" s="123"/>
      <c r="D537" s="124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</row>
    <row r="538" spans="1:25" ht="12.95">
      <c r="A538" s="136"/>
      <c r="B538" s="122"/>
      <c r="C538" s="123"/>
      <c r="D538" s="124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</row>
    <row r="539" spans="1:25" ht="12.95">
      <c r="A539" s="136"/>
      <c r="B539" s="122"/>
      <c r="C539" s="123"/>
      <c r="D539" s="124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</row>
    <row r="540" spans="1:25" ht="12.95">
      <c r="A540" s="136"/>
      <c r="B540" s="122"/>
      <c r="C540" s="123"/>
      <c r="D540" s="124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</row>
    <row r="541" spans="1:25" ht="12.95">
      <c r="A541" s="136"/>
      <c r="B541" s="122"/>
      <c r="C541" s="123"/>
      <c r="D541" s="124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</row>
    <row r="542" spans="1:25" ht="12.95">
      <c r="A542" s="136"/>
      <c r="B542" s="122"/>
      <c r="C542" s="123"/>
      <c r="D542" s="124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</row>
    <row r="543" spans="1:25" ht="12.95">
      <c r="A543" s="136"/>
      <c r="B543" s="122"/>
      <c r="C543" s="123"/>
      <c r="D543" s="124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</row>
    <row r="544" spans="1:25" ht="12.95">
      <c r="A544" s="136"/>
      <c r="B544" s="122"/>
      <c r="C544" s="123"/>
      <c r="D544" s="124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</row>
    <row r="545" spans="1:25" ht="12.95">
      <c r="A545" s="136"/>
      <c r="B545" s="122"/>
      <c r="C545" s="123"/>
      <c r="D545" s="124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</row>
    <row r="546" spans="1:25" ht="12.95">
      <c r="A546" s="136"/>
      <c r="B546" s="122"/>
      <c r="C546" s="123"/>
      <c r="D546" s="124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</row>
    <row r="547" spans="1:25" ht="12.95">
      <c r="A547" s="136"/>
      <c r="B547" s="122"/>
      <c r="C547" s="123"/>
      <c r="D547" s="124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</row>
    <row r="548" spans="1:25" ht="12.95">
      <c r="A548" s="136"/>
      <c r="B548" s="122"/>
      <c r="C548" s="123"/>
      <c r="D548" s="124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</row>
    <row r="549" spans="1:25" ht="12.95">
      <c r="A549" s="136"/>
      <c r="B549" s="122"/>
      <c r="C549" s="123"/>
      <c r="D549" s="124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</row>
    <row r="550" spans="1:25" ht="12.95">
      <c r="A550" s="136"/>
      <c r="B550" s="122"/>
      <c r="C550" s="123"/>
      <c r="D550" s="124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</row>
    <row r="551" spans="1:25" ht="12.95">
      <c r="A551" s="136"/>
      <c r="B551" s="122"/>
      <c r="C551" s="123"/>
      <c r="D551" s="124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</row>
    <row r="552" spans="1:25" ht="12.95">
      <c r="A552" s="136"/>
      <c r="B552" s="122"/>
      <c r="C552" s="123"/>
      <c r="D552" s="124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</row>
    <row r="553" spans="1:25" ht="12.95">
      <c r="A553" s="136"/>
      <c r="B553" s="122"/>
      <c r="C553" s="123"/>
      <c r="D553" s="124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</row>
    <row r="554" spans="1:25" ht="12.95">
      <c r="A554" s="136"/>
      <c r="B554" s="122"/>
      <c r="C554" s="123"/>
      <c r="D554" s="124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</row>
    <row r="555" spans="1:25" ht="12.95">
      <c r="A555" s="136"/>
      <c r="B555" s="122"/>
      <c r="C555" s="123"/>
      <c r="D555" s="124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</row>
    <row r="556" spans="1:25" ht="12.95">
      <c r="A556" s="136"/>
      <c r="B556" s="122"/>
      <c r="C556" s="123"/>
      <c r="D556" s="124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</row>
    <row r="557" spans="1:25" ht="12.95">
      <c r="A557" s="136"/>
      <c r="B557" s="122"/>
      <c r="C557" s="123"/>
      <c r="D557" s="124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</row>
    <row r="558" spans="1:25" ht="12.95">
      <c r="A558" s="136"/>
      <c r="B558" s="122"/>
      <c r="C558" s="123"/>
      <c r="D558" s="124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</row>
    <row r="559" spans="1:25" ht="12.95">
      <c r="A559" s="136"/>
      <c r="B559" s="122"/>
      <c r="C559" s="123"/>
      <c r="D559" s="124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</row>
    <row r="560" spans="1:25" ht="12.95">
      <c r="A560" s="136"/>
      <c r="B560" s="122"/>
      <c r="C560" s="123"/>
      <c r="D560" s="124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</row>
    <row r="561" spans="1:25" ht="12.95">
      <c r="A561" s="136"/>
      <c r="B561" s="122"/>
      <c r="C561" s="123"/>
      <c r="D561" s="124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</row>
    <row r="562" spans="1:25" ht="12.95">
      <c r="A562" s="136"/>
      <c r="B562" s="122"/>
      <c r="C562" s="123"/>
      <c r="D562" s="124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</row>
    <row r="563" spans="1:25" ht="12.95">
      <c r="A563" s="136"/>
      <c r="B563" s="122"/>
      <c r="C563" s="123"/>
      <c r="D563" s="124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</row>
    <row r="564" spans="1:25" ht="12.95">
      <c r="A564" s="136"/>
      <c r="B564" s="122"/>
      <c r="C564" s="123"/>
      <c r="D564" s="124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</row>
    <row r="565" spans="1:25" ht="12.95">
      <c r="A565" s="136"/>
      <c r="B565" s="122"/>
      <c r="C565" s="123"/>
      <c r="D565" s="124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</row>
    <row r="566" spans="1:25" ht="12.95">
      <c r="A566" s="136"/>
      <c r="B566" s="122"/>
      <c r="C566" s="123"/>
      <c r="D566" s="124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</row>
    <row r="567" spans="1:25" ht="12.95">
      <c r="A567" s="136"/>
      <c r="B567" s="122"/>
      <c r="C567" s="123"/>
      <c r="D567" s="124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</row>
    <row r="568" spans="1:25" ht="12.95">
      <c r="A568" s="136"/>
      <c r="B568" s="122"/>
      <c r="C568" s="123"/>
      <c r="D568" s="124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</row>
    <row r="569" spans="1:25" ht="12.95">
      <c r="A569" s="136"/>
      <c r="B569" s="122"/>
      <c r="C569" s="123"/>
      <c r="D569" s="124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</row>
    <row r="570" spans="1:25" ht="12.95">
      <c r="A570" s="136"/>
      <c r="B570" s="122"/>
      <c r="C570" s="123"/>
      <c r="D570" s="124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</row>
    <row r="571" spans="1:25" ht="12.95">
      <c r="A571" s="136"/>
      <c r="B571" s="122"/>
      <c r="C571" s="123"/>
      <c r="D571" s="124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</row>
    <row r="572" spans="1:25" ht="12.95">
      <c r="A572" s="136"/>
      <c r="B572" s="122"/>
      <c r="C572" s="123"/>
      <c r="D572" s="124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</row>
    <row r="573" spans="1:25" ht="12.95">
      <c r="A573" s="136"/>
      <c r="B573" s="122"/>
      <c r="C573" s="123"/>
      <c r="D573" s="124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</row>
    <row r="574" spans="1:25" ht="12.95">
      <c r="A574" s="136"/>
      <c r="B574" s="122"/>
      <c r="C574" s="123"/>
      <c r="D574" s="124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</row>
    <row r="575" spans="1:25" ht="12.95">
      <c r="A575" s="136"/>
      <c r="B575" s="122"/>
      <c r="C575" s="123"/>
      <c r="D575" s="124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</row>
    <row r="576" spans="1:25" ht="12.95">
      <c r="A576" s="136"/>
      <c r="B576" s="122"/>
      <c r="C576" s="123"/>
      <c r="D576" s="124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</row>
    <row r="577" spans="1:25" ht="12.95">
      <c r="A577" s="136"/>
      <c r="B577" s="122"/>
      <c r="C577" s="123"/>
      <c r="D577" s="124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</row>
    <row r="578" spans="1:25" ht="12.95">
      <c r="A578" s="136"/>
      <c r="B578" s="122"/>
      <c r="C578" s="123"/>
      <c r="D578" s="124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</row>
    <row r="579" spans="1:25" ht="12.95">
      <c r="A579" s="136"/>
      <c r="B579" s="122"/>
      <c r="C579" s="123"/>
      <c r="D579" s="124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</row>
    <row r="580" spans="1:25" ht="12.95">
      <c r="A580" s="136"/>
      <c r="B580" s="122"/>
      <c r="C580" s="123"/>
      <c r="D580" s="124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</row>
    <row r="581" spans="1:25" ht="12.95">
      <c r="A581" s="136"/>
      <c r="B581" s="122"/>
      <c r="C581" s="123"/>
      <c r="D581" s="124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</row>
    <row r="582" spans="1:25" ht="12.95">
      <c r="A582" s="136"/>
      <c r="B582" s="122"/>
      <c r="C582" s="123"/>
      <c r="D582" s="124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</row>
    <row r="583" spans="1:25" ht="12.95">
      <c r="A583" s="136"/>
      <c r="B583" s="122"/>
      <c r="C583" s="123"/>
      <c r="D583" s="124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</row>
    <row r="584" spans="1:25" ht="12.95">
      <c r="A584" s="136"/>
      <c r="B584" s="122"/>
      <c r="C584" s="123"/>
      <c r="D584" s="124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</row>
    <row r="585" spans="1:25" ht="12.95">
      <c r="A585" s="136"/>
      <c r="B585" s="122"/>
      <c r="C585" s="123"/>
      <c r="D585" s="124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</row>
    <row r="586" spans="1:25" ht="12.95">
      <c r="A586" s="136"/>
      <c r="B586" s="122"/>
      <c r="C586" s="123"/>
      <c r="D586" s="124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</row>
    <row r="587" spans="1:25" ht="12.95">
      <c r="A587" s="136"/>
      <c r="B587" s="122"/>
      <c r="C587" s="123"/>
      <c r="D587" s="124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</row>
    <row r="588" spans="1:25" ht="12.95">
      <c r="A588" s="136"/>
      <c r="B588" s="122"/>
      <c r="C588" s="123"/>
      <c r="D588" s="124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</row>
    <row r="589" spans="1:25" ht="12.95">
      <c r="A589" s="136"/>
      <c r="B589" s="122"/>
      <c r="C589" s="123"/>
      <c r="D589" s="124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</row>
    <row r="590" spans="1:25" ht="12.95">
      <c r="A590" s="136"/>
      <c r="B590" s="122"/>
      <c r="C590" s="123"/>
      <c r="D590" s="124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</row>
    <row r="591" spans="1:25" ht="12.95">
      <c r="A591" s="136"/>
      <c r="B591" s="122"/>
      <c r="C591" s="123"/>
      <c r="D591" s="124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</row>
    <row r="592" spans="1:25" ht="12.95">
      <c r="A592" s="136"/>
      <c r="B592" s="122"/>
      <c r="C592" s="123"/>
      <c r="D592" s="124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</row>
    <row r="593" spans="1:25" ht="12.95">
      <c r="A593" s="136"/>
      <c r="B593" s="122"/>
      <c r="C593" s="123"/>
      <c r="D593" s="124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</row>
    <row r="594" spans="1:25" ht="12.95">
      <c r="A594" s="136"/>
      <c r="B594" s="122"/>
      <c r="C594" s="123"/>
      <c r="D594" s="124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</row>
    <row r="595" spans="1:25" ht="12.95">
      <c r="A595" s="136"/>
      <c r="B595" s="122"/>
      <c r="C595" s="123"/>
      <c r="D595" s="124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</row>
    <row r="596" spans="1:25" ht="12.95">
      <c r="A596" s="136"/>
      <c r="B596" s="122"/>
      <c r="C596" s="123"/>
      <c r="D596" s="124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</row>
    <row r="597" spans="1:25" ht="12.95">
      <c r="A597" s="136"/>
      <c r="B597" s="122"/>
      <c r="C597" s="123"/>
      <c r="D597" s="124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</row>
    <row r="598" spans="1:25" ht="12.95">
      <c r="A598" s="136"/>
      <c r="B598" s="122"/>
      <c r="C598" s="123"/>
      <c r="D598" s="124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</row>
    <row r="599" spans="1:25" ht="12.95">
      <c r="A599" s="136"/>
      <c r="B599" s="122"/>
      <c r="C599" s="123"/>
      <c r="D599" s="124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</row>
    <row r="600" spans="1:25" ht="12.95">
      <c r="A600" s="136"/>
      <c r="B600" s="122"/>
      <c r="C600" s="123"/>
      <c r="D600" s="124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</row>
    <row r="601" spans="1:25" ht="12.95">
      <c r="A601" s="136"/>
      <c r="B601" s="122"/>
      <c r="C601" s="123"/>
      <c r="D601" s="124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</row>
    <row r="602" spans="1:25" ht="12.95">
      <c r="A602" s="136"/>
      <c r="B602" s="122"/>
      <c r="C602" s="123"/>
      <c r="D602" s="124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</row>
    <row r="603" spans="1:25" ht="12.95">
      <c r="A603" s="136"/>
      <c r="B603" s="122"/>
      <c r="C603" s="123"/>
      <c r="D603" s="124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</row>
    <row r="604" spans="1:25" ht="12.95">
      <c r="A604" s="136"/>
      <c r="B604" s="122"/>
      <c r="C604" s="123"/>
      <c r="D604" s="124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</row>
    <row r="605" spans="1:25" ht="12.95">
      <c r="A605" s="136"/>
      <c r="B605" s="122"/>
      <c r="C605" s="123"/>
      <c r="D605" s="124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</row>
    <row r="606" spans="1:25" ht="12.95">
      <c r="A606" s="136"/>
      <c r="B606" s="122"/>
      <c r="C606" s="123"/>
      <c r="D606" s="124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</row>
    <row r="607" spans="1:25" ht="12.95">
      <c r="A607" s="136"/>
      <c r="B607" s="122"/>
      <c r="C607" s="123"/>
      <c r="D607" s="124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</row>
    <row r="608" spans="1:25" ht="12.95">
      <c r="A608" s="136"/>
      <c r="B608" s="122"/>
      <c r="C608" s="123"/>
      <c r="D608" s="124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</row>
    <row r="609" spans="1:25" ht="12.95">
      <c r="A609" s="136"/>
      <c r="B609" s="122"/>
      <c r="C609" s="123"/>
      <c r="D609" s="124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</row>
    <row r="610" spans="1:25" ht="12.95">
      <c r="A610" s="136"/>
      <c r="B610" s="122"/>
      <c r="C610" s="123"/>
      <c r="D610" s="124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</row>
    <row r="611" spans="1:25" ht="12.95">
      <c r="A611" s="136"/>
      <c r="B611" s="122"/>
      <c r="C611" s="123"/>
      <c r="D611" s="124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</row>
    <row r="612" spans="1:25" ht="12.95">
      <c r="A612" s="136"/>
      <c r="B612" s="122"/>
      <c r="C612" s="123"/>
      <c r="D612" s="124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</row>
    <row r="613" spans="1:25" ht="12.95">
      <c r="A613" s="136"/>
      <c r="B613" s="122"/>
      <c r="C613" s="123"/>
      <c r="D613" s="124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</row>
    <row r="614" spans="1:25" ht="12.95">
      <c r="A614" s="136"/>
      <c r="B614" s="122"/>
      <c r="C614" s="123"/>
      <c r="D614" s="124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</row>
    <row r="615" spans="1:25" ht="12.95">
      <c r="A615" s="136"/>
      <c r="B615" s="122"/>
      <c r="C615" s="123"/>
      <c r="D615" s="124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</row>
    <row r="616" spans="1:25" ht="12.95">
      <c r="A616" s="136"/>
      <c r="B616" s="122"/>
      <c r="C616" s="123"/>
      <c r="D616" s="124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</row>
    <row r="617" spans="1:25" ht="12.95">
      <c r="A617" s="136"/>
      <c r="B617" s="122"/>
      <c r="C617" s="123"/>
      <c r="D617" s="124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</row>
    <row r="618" spans="1:25" ht="12.95">
      <c r="A618" s="136"/>
      <c r="B618" s="122"/>
      <c r="C618" s="123"/>
      <c r="D618" s="124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</row>
    <row r="619" spans="1:25" ht="12.95">
      <c r="A619" s="136"/>
      <c r="B619" s="122"/>
      <c r="C619" s="123"/>
      <c r="D619" s="124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</row>
    <row r="620" spans="1:25" ht="12.95">
      <c r="A620" s="136"/>
      <c r="B620" s="122"/>
      <c r="C620" s="123"/>
      <c r="D620" s="124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</row>
    <row r="621" spans="1:25" ht="12.95">
      <c r="A621" s="136"/>
      <c r="B621" s="122"/>
      <c r="C621" s="123"/>
      <c r="D621" s="124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</row>
    <row r="622" spans="1:25" ht="12.95">
      <c r="A622" s="136"/>
      <c r="B622" s="122"/>
      <c r="C622" s="123"/>
      <c r="D622" s="124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</row>
    <row r="623" spans="1:25" ht="12.95">
      <c r="A623" s="136"/>
      <c r="B623" s="122"/>
      <c r="C623" s="123"/>
      <c r="D623" s="124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</row>
    <row r="624" spans="1:25" ht="12.95">
      <c r="A624" s="136"/>
      <c r="B624" s="122"/>
      <c r="C624" s="123"/>
      <c r="D624" s="124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</row>
    <row r="625" spans="1:25" ht="12.95">
      <c r="A625" s="136"/>
      <c r="B625" s="122"/>
      <c r="C625" s="123"/>
      <c r="D625" s="124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</row>
    <row r="626" spans="1:25" ht="12.95">
      <c r="A626" s="136"/>
      <c r="B626" s="122"/>
      <c r="C626" s="123"/>
      <c r="D626" s="124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</row>
    <row r="627" spans="1:25" ht="12.95">
      <c r="A627" s="136"/>
      <c r="B627" s="122"/>
      <c r="C627" s="123"/>
      <c r="D627" s="124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</row>
    <row r="628" spans="1:25" ht="12.95">
      <c r="A628" s="136"/>
      <c r="B628" s="122"/>
      <c r="C628" s="123"/>
      <c r="D628" s="124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</row>
    <row r="629" spans="1:25" ht="12.95">
      <c r="A629" s="136"/>
      <c r="B629" s="122"/>
      <c r="C629" s="123"/>
      <c r="D629" s="124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</row>
    <row r="630" spans="1:25" ht="12.95">
      <c r="A630" s="136"/>
      <c r="B630" s="122"/>
      <c r="C630" s="123"/>
      <c r="D630" s="124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</row>
    <row r="631" spans="1:25" ht="12.95">
      <c r="A631" s="136"/>
      <c r="B631" s="122"/>
      <c r="C631" s="123"/>
      <c r="D631" s="124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</row>
    <row r="632" spans="1:25" ht="12.95">
      <c r="A632" s="136"/>
      <c r="B632" s="122"/>
      <c r="C632" s="123"/>
      <c r="D632" s="124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</row>
    <row r="633" spans="1:25" ht="12.95">
      <c r="A633" s="136"/>
      <c r="B633" s="122"/>
      <c r="C633" s="123"/>
      <c r="D633" s="124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</row>
    <row r="634" spans="1:25" ht="12.95">
      <c r="A634" s="136"/>
      <c r="B634" s="122"/>
      <c r="C634" s="123"/>
      <c r="D634" s="124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</row>
    <row r="635" spans="1:25" ht="12.95">
      <c r="A635" s="136"/>
      <c r="B635" s="122"/>
      <c r="C635" s="123"/>
      <c r="D635" s="124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</row>
    <row r="636" spans="1:25" ht="12.95">
      <c r="A636" s="136"/>
      <c r="B636" s="122"/>
      <c r="C636" s="123"/>
      <c r="D636" s="124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</row>
    <row r="637" spans="1:25" ht="12.95">
      <c r="A637" s="136"/>
      <c r="B637" s="122"/>
      <c r="C637" s="123"/>
      <c r="D637" s="124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</row>
    <row r="638" spans="1:25" ht="12.95">
      <c r="A638" s="136"/>
      <c r="B638" s="122"/>
      <c r="C638" s="123"/>
      <c r="D638" s="124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</row>
    <row r="639" spans="1:25" ht="12.95">
      <c r="A639" s="136"/>
      <c r="B639" s="122"/>
      <c r="C639" s="123"/>
      <c r="D639" s="124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</row>
    <row r="640" spans="1:25" ht="12.95">
      <c r="A640" s="136"/>
      <c r="B640" s="122"/>
      <c r="C640" s="123"/>
      <c r="D640" s="124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</row>
    <row r="641" spans="1:25" ht="12.95">
      <c r="A641" s="136"/>
      <c r="B641" s="122"/>
      <c r="C641" s="123"/>
      <c r="D641" s="124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</row>
    <row r="642" spans="1:25" ht="12.95">
      <c r="A642" s="136"/>
      <c r="B642" s="122"/>
      <c r="C642" s="123"/>
      <c r="D642" s="124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</row>
    <row r="643" spans="1:25" ht="12.95">
      <c r="A643" s="136"/>
      <c r="B643" s="122"/>
      <c r="C643" s="123"/>
      <c r="D643" s="124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</row>
    <row r="644" spans="1:25" ht="12.95">
      <c r="A644" s="136"/>
      <c r="B644" s="122"/>
      <c r="C644" s="123"/>
      <c r="D644" s="124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</row>
    <row r="645" spans="1:25" ht="12.95">
      <c r="A645" s="136"/>
      <c r="B645" s="122"/>
      <c r="C645" s="123"/>
      <c r="D645" s="124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</row>
    <row r="646" spans="1:25" ht="12.95">
      <c r="A646" s="136"/>
      <c r="B646" s="122"/>
      <c r="C646" s="123"/>
      <c r="D646" s="124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</row>
    <row r="647" spans="1:25" ht="12.95">
      <c r="A647" s="136"/>
      <c r="B647" s="122"/>
      <c r="C647" s="123"/>
      <c r="D647" s="124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</row>
    <row r="648" spans="1:25" ht="12.95">
      <c r="A648" s="136"/>
      <c r="B648" s="122"/>
      <c r="C648" s="123"/>
      <c r="D648" s="124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</row>
    <row r="649" spans="1:25" ht="12.95">
      <c r="A649" s="136"/>
      <c r="B649" s="122"/>
      <c r="C649" s="123"/>
      <c r="D649" s="124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</row>
    <row r="650" spans="1:25" ht="12.95">
      <c r="A650" s="136"/>
      <c r="B650" s="122"/>
      <c r="C650" s="123"/>
      <c r="D650" s="124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</row>
    <row r="651" spans="1:25" ht="12.95">
      <c r="A651" s="136"/>
      <c r="B651" s="122"/>
      <c r="C651" s="123"/>
      <c r="D651" s="124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</row>
    <row r="652" spans="1:25" ht="12.95">
      <c r="A652" s="136"/>
      <c r="B652" s="122"/>
      <c r="C652" s="123"/>
      <c r="D652" s="124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</row>
    <row r="653" spans="1:25" ht="12.95">
      <c r="A653" s="136"/>
      <c r="B653" s="122"/>
      <c r="C653" s="123"/>
      <c r="D653" s="124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</row>
    <row r="654" spans="1:25" ht="12.95">
      <c r="A654" s="136"/>
      <c r="B654" s="122"/>
      <c r="C654" s="123"/>
      <c r="D654" s="124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</row>
    <row r="655" spans="1:25" ht="12.95">
      <c r="A655" s="136"/>
      <c r="B655" s="122"/>
      <c r="C655" s="123"/>
      <c r="D655" s="124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</row>
    <row r="656" spans="1:25" ht="12.95">
      <c r="A656" s="136"/>
      <c r="B656" s="122"/>
      <c r="C656" s="123"/>
      <c r="D656" s="124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</row>
    <row r="657" spans="1:25" ht="12.95">
      <c r="A657" s="136"/>
      <c r="B657" s="122"/>
      <c r="C657" s="123"/>
      <c r="D657" s="124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</row>
    <row r="658" spans="1:25" ht="12.95">
      <c r="A658" s="136"/>
      <c r="B658" s="122"/>
      <c r="C658" s="123"/>
      <c r="D658" s="124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</row>
    <row r="659" spans="1:25" ht="12.95">
      <c r="A659" s="136"/>
      <c r="B659" s="122"/>
      <c r="C659" s="123"/>
      <c r="D659" s="124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</row>
    <row r="660" spans="1:25" ht="12.95">
      <c r="A660" s="136"/>
      <c r="B660" s="122"/>
      <c r="C660" s="123"/>
      <c r="D660" s="124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</row>
    <row r="661" spans="1:25" ht="12.95">
      <c r="A661" s="136"/>
      <c r="B661" s="122"/>
      <c r="C661" s="123"/>
      <c r="D661" s="124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</row>
    <row r="662" spans="1:25" ht="12.95">
      <c r="A662" s="136"/>
      <c r="B662" s="122"/>
      <c r="C662" s="123"/>
      <c r="D662" s="124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</row>
    <row r="663" spans="1:25" ht="12.95">
      <c r="A663" s="136"/>
      <c r="B663" s="122"/>
      <c r="C663" s="123"/>
      <c r="D663" s="124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</row>
    <row r="664" spans="1:25" ht="12.95">
      <c r="A664" s="136"/>
      <c r="B664" s="122"/>
      <c r="C664" s="123"/>
      <c r="D664" s="124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</row>
    <row r="665" spans="1:25" ht="12.95">
      <c r="A665" s="136"/>
      <c r="B665" s="122"/>
      <c r="C665" s="123"/>
      <c r="D665" s="124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</row>
    <row r="666" spans="1:25" ht="12.95">
      <c r="A666" s="136"/>
      <c r="B666" s="122"/>
      <c r="C666" s="123"/>
      <c r="D666" s="124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</row>
    <row r="667" spans="1:25" ht="12.95">
      <c r="A667" s="136"/>
      <c r="B667" s="122"/>
      <c r="C667" s="123"/>
      <c r="D667" s="124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</row>
    <row r="668" spans="1:25" ht="12.95">
      <c r="A668" s="136"/>
      <c r="B668" s="122"/>
      <c r="C668" s="123"/>
      <c r="D668" s="124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</row>
    <row r="669" spans="1:25" ht="12.95">
      <c r="A669" s="136"/>
      <c r="B669" s="122"/>
      <c r="C669" s="123"/>
      <c r="D669" s="124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</row>
    <row r="670" spans="1:25" ht="12.95">
      <c r="A670" s="136"/>
      <c r="B670" s="122"/>
      <c r="C670" s="123"/>
      <c r="D670" s="124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</row>
    <row r="671" spans="1:25" ht="12.95">
      <c r="A671" s="136"/>
      <c r="B671" s="122"/>
      <c r="C671" s="123"/>
      <c r="D671" s="124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</row>
    <row r="672" spans="1:25" ht="12.95">
      <c r="A672" s="136"/>
      <c r="B672" s="122"/>
      <c r="C672" s="123"/>
      <c r="D672" s="124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</row>
    <row r="673" spans="1:25" ht="12.95">
      <c r="A673" s="136"/>
      <c r="B673" s="122"/>
      <c r="C673" s="123"/>
      <c r="D673" s="124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</row>
    <row r="674" spans="1:25" ht="12.95">
      <c r="A674" s="136"/>
      <c r="B674" s="122"/>
      <c r="C674" s="123"/>
      <c r="D674" s="124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</row>
    <row r="675" spans="1:25" ht="12.95">
      <c r="A675" s="136"/>
      <c r="B675" s="122"/>
      <c r="C675" s="123"/>
      <c r="D675" s="124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</row>
    <row r="676" spans="1:25" ht="12.95">
      <c r="A676" s="136"/>
      <c r="B676" s="122"/>
      <c r="C676" s="123"/>
      <c r="D676" s="124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</row>
    <row r="677" spans="1:25" ht="12.95">
      <c r="A677" s="136"/>
      <c r="B677" s="122"/>
      <c r="C677" s="123"/>
      <c r="D677" s="124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</row>
    <row r="678" spans="1:25" ht="12.95">
      <c r="A678" s="136"/>
      <c r="B678" s="122"/>
      <c r="C678" s="123"/>
      <c r="D678" s="124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</row>
    <row r="679" spans="1:25" ht="12.95">
      <c r="A679" s="136"/>
      <c r="B679" s="122"/>
      <c r="C679" s="123"/>
      <c r="D679" s="124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</row>
    <row r="680" spans="1:25" ht="12.95">
      <c r="A680" s="136"/>
      <c r="B680" s="122"/>
      <c r="C680" s="123"/>
      <c r="D680" s="124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</row>
    <row r="681" spans="1:25" ht="12.95">
      <c r="A681" s="136"/>
      <c r="B681" s="122"/>
      <c r="C681" s="123"/>
      <c r="D681" s="124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</row>
    <row r="682" spans="1:25" ht="12.95">
      <c r="A682" s="136"/>
      <c r="B682" s="122"/>
      <c r="C682" s="123"/>
      <c r="D682" s="124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</row>
    <row r="683" spans="1:25" ht="12.95">
      <c r="A683" s="136"/>
      <c r="B683" s="122"/>
      <c r="C683" s="123"/>
      <c r="D683" s="124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</row>
    <row r="684" spans="1:25" ht="12.95">
      <c r="A684" s="136"/>
      <c r="B684" s="122"/>
      <c r="C684" s="123"/>
      <c r="D684" s="124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</row>
    <row r="685" spans="1:25" ht="12.95">
      <c r="A685" s="136"/>
      <c r="B685" s="122"/>
      <c r="C685" s="123"/>
      <c r="D685" s="124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</row>
    <row r="686" spans="1:25" ht="12.95">
      <c r="A686" s="136"/>
      <c r="B686" s="122"/>
      <c r="C686" s="123"/>
      <c r="D686" s="124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</row>
    <row r="687" spans="1:25" ht="12.95">
      <c r="A687" s="136"/>
      <c r="B687" s="122"/>
      <c r="C687" s="123"/>
      <c r="D687" s="124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</row>
    <row r="688" spans="1:25" ht="12.95">
      <c r="A688" s="136"/>
      <c r="B688" s="122"/>
      <c r="C688" s="123"/>
      <c r="D688" s="124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</row>
    <row r="689" spans="1:25" ht="12.95">
      <c r="A689" s="136"/>
      <c r="B689" s="122"/>
      <c r="C689" s="123"/>
      <c r="D689" s="124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</row>
    <row r="690" spans="1:25" ht="12.95">
      <c r="A690" s="136"/>
      <c r="B690" s="122"/>
      <c r="C690" s="123"/>
      <c r="D690" s="124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</row>
    <row r="691" spans="1:25" ht="12.95">
      <c r="A691" s="136"/>
      <c r="B691" s="122"/>
      <c r="C691" s="123"/>
      <c r="D691" s="124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</row>
    <row r="692" spans="1:25" ht="12.95">
      <c r="A692" s="136"/>
      <c r="B692" s="122"/>
      <c r="C692" s="123"/>
      <c r="D692" s="124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</row>
    <row r="693" spans="1:25" ht="12.95">
      <c r="A693" s="136"/>
      <c r="B693" s="122"/>
      <c r="C693" s="123"/>
      <c r="D693" s="124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</row>
    <row r="694" spans="1:25" ht="12.95">
      <c r="A694" s="136"/>
      <c r="B694" s="122"/>
      <c r="C694" s="123"/>
      <c r="D694" s="124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</row>
    <row r="695" spans="1:25" ht="12.95">
      <c r="A695" s="136"/>
      <c r="B695" s="122"/>
      <c r="C695" s="123"/>
      <c r="D695" s="124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</row>
    <row r="696" spans="1:25" ht="12.95">
      <c r="A696" s="136"/>
      <c r="B696" s="122"/>
      <c r="C696" s="123"/>
      <c r="D696" s="124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</row>
    <row r="697" spans="1:25" ht="12.95">
      <c r="A697" s="136"/>
      <c r="B697" s="122"/>
      <c r="C697" s="123"/>
      <c r="D697" s="124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</row>
    <row r="698" spans="1:25" ht="12.95">
      <c r="A698" s="136"/>
      <c r="B698" s="122"/>
      <c r="C698" s="123"/>
      <c r="D698" s="124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</row>
    <row r="699" spans="1:25" ht="12.95">
      <c r="A699" s="136"/>
      <c r="B699" s="122"/>
      <c r="C699" s="123"/>
      <c r="D699" s="124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</row>
    <row r="700" spans="1:25" ht="12.95">
      <c r="A700" s="136"/>
      <c r="B700" s="122"/>
      <c r="C700" s="123"/>
      <c r="D700" s="124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</row>
    <row r="701" spans="1:25" ht="12.95">
      <c r="A701" s="136"/>
      <c r="B701" s="122"/>
      <c r="C701" s="123"/>
      <c r="D701" s="124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</row>
    <row r="702" spans="1:25" ht="12.95">
      <c r="A702" s="136"/>
      <c r="B702" s="122"/>
      <c r="C702" s="123"/>
      <c r="D702" s="124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</row>
    <row r="703" spans="1:25" ht="12.95">
      <c r="A703" s="136"/>
      <c r="B703" s="122"/>
      <c r="C703" s="123"/>
      <c r="D703" s="124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</row>
    <row r="704" spans="1:25" ht="12.95">
      <c r="A704" s="136"/>
      <c r="B704" s="122"/>
      <c r="C704" s="123"/>
      <c r="D704" s="124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</row>
    <row r="705" spans="1:25" ht="12.95">
      <c r="A705" s="136"/>
      <c r="B705" s="122"/>
      <c r="C705" s="123"/>
      <c r="D705" s="124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</row>
    <row r="706" spans="1:25" ht="12.95">
      <c r="A706" s="136"/>
      <c r="B706" s="122"/>
      <c r="C706" s="123"/>
      <c r="D706" s="124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</row>
    <row r="707" spans="1:25" ht="12.95">
      <c r="A707" s="136"/>
      <c r="B707" s="122"/>
      <c r="C707" s="123"/>
      <c r="D707" s="124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</row>
    <row r="708" spans="1:25" ht="12.95">
      <c r="A708" s="136"/>
      <c r="B708" s="122"/>
      <c r="C708" s="123"/>
      <c r="D708" s="124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</row>
    <row r="709" spans="1:25" ht="12.95">
      <c r="A709" s="136"/>
      <c r="B709" s="122"/>
      <c r="C709" s="123"/>
      <c r="D709" s="124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</row>
    <row r="710" spans="1:25" ht="12.95">
      <c r="A710" s="136"/>
      <c r="B710" s="122"/>
      <c r="C710" s="123"/>
      <c r="D710" s="124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</row>
    <row r="711" spans="1:25" ht="12.95">
      <c r="A711" s="136"/>
      <c r="B711" s="122"/>
      <c r="C711" s="123"/>
      <c r="D711" s="124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</row>
    <row r="712" spans="1:25" ht="12.95">
      <c r="A712" s="136"/>
      <c r="B712" s="122"/>
      <c r="C712" s="123"/>
      <c r="D712" s="124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</row>
    <row r="713" spans="1:25" ht="12.95">
      <c r="A713" s="136"/>
      <c r="B713" s="122"/>
      <c r="C713" s="123"/>
      <c r="D713" s="124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</row>
    <row r="714" spans="1:25" ht="12.95">
      <c r="A714" s="136"/>
      <c r="B714" s="122"/>
      <c r="C714" s="123"/>
      <c r="D714" s="124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</row>
    <row r="715" spans="1:25" ht="12.95">
      <c r="A715" s="136"/>
      <c r="B715" s="122"/>
      <c r="C715" s="123"/>
      <c r="D715" s="124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</row>
    <row r="716" spans="1:25" ht="12.95">
      <c r="A716" s="136"/>
      <c r="B716" s="122"/>
      <c r="C716" s="123"/>
      <c r="D716" s="124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</row>
    <row r="717" spans="1:25" ht="12.95">
      <c r="A717" s="136"/>
      <c r="B717" s="122"/>
      <c r="C717" s="123"/>
      <c r="D717" s="124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</row>
    <row r="718" spans="1:25" ht="12.95">
      <c r="A718" s="136"/>
      <c r="B718" s="122"/>
      <c r="C718" s="123"/>
      <c r="D718" s="124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</row>
    <row r="719" spans="1:25" ht="12.95">
      <c r="A719" s="136"/>
      <c r="B719" s="122"/>
      <c r="C719" s="123"/>
      <c r="D719" s="124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</row>
    <row r="720" spans="1:25" ht="12.95">
      <c r="A720" s="136"/>
      <c r="B720" s="122"/>
      <c r="C720" s="123"/>
      <c r="D720" s="124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</row>
    <row r="721" spans="1:25" ht="12.95">
      <c r="A721" s="136"/>
      <c r="B721" s="122"/>
      <c r="C721" s="123"/>
      <c r="D721" s="124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</row>
    <row r="722" spans="1:25" ht="12.95">
      <c r="A722" s="136"/>
      <c r="B722" s="122"/>
      <c r="C722" s="123"/>
      <c r="D722" s="124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</row>
    <row r="723" spans="1:25" ht="12.95">
      <c r="A723" s="136"/>
      <c r="B723" s="122"/>
      <c r="C723" s="123"/>
      <c r="D723" s="124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</row>
    <row r="724" spans="1:25" ht="12.95">
      <c r="A724" s="136"/>
      <c r="B724" s="122"/>
      <c r="C724" s="123"/>
      <c r="D724" s="124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</row>
    <row r="725" spans="1:25" ht="12.95">
      <c r="A725" s="136"/>
      <c r="B725" s="122"/>
      <c r="C725" s="123"/>
      <c r="D725" s="124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</row>
    <row r="726" spans="1:25" ht="12.95">
      <c r="A726" s="136"/>
      <c r="B726" s="122"/>
      <c r="C726" s="123"/>
      <c r="D726" s="124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</row>
    <row r="727" spans="1:25" ht="12.95">
      <c r="A727" s="136"/>
      <c r="B727" s="122"/>
      <c r="C727" s="123"/>
      <c r="D727" s="124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</row>
    <row r="728" spans="1:25" ht="12.95">
      <c r="A728" s="136"/>
      <c r="B728" s="122"/>
      <c r="C728" s="123"/>
      <c r="D728" s="124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</row>
    <row r="729" spans="1:25" ht="12.95">
      <c r="A729" s="136"/>
      <c r="B729" s="122"/>
      <c r="C729" s="123"/>
      <c r="D729" s="124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</row>
    <row r="730" spans="1:25" ht="12.95">
      <c r="A730" s="136"/>
      <c r="B730" s="122"/>
      <c r="C730" s="123"/>
      <c r="D730" s="124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</row>
    <row r="731" spans="1:25" ht="12.95">
      <c r="A731" s="136"/>
      <c r="B731" s="122"/>
      <c r="C731" s="123"/>
      <c r="D731" s="124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</row>
    <row r="732" spans="1:25" ht="12.95">
      <c r="A732" s="136"/>
      <c r="B732" s="122"/>
      <c r="C732" s="123"/>
      <c r="D732" s="124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</row>
    <row r="733" spans="1:25" ht="12.95">
      <c r="A733" s="136"/>
      <c r="B733" s="122"/>
      <c r="C733" s="123"/>
      <c r="D733" s="124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</row>
    <row r="734" spans="1:25" ht="12.95">
      <c r="A734" s="136"/>
      <c r="B734" s="122"/>
      <c r="C734" s="123"/>
      <c r="D734" s="124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</row>
    <row r="735" spans="1:25" ht="12.95">
      <c r="A735" s="136"/>
      <c r="B735" s="122"/>
      <c r="C735" s="123"/>
      <c r="D735" s="124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</row>
    <row r="736" spans="1:25" ht="12.95">
      <c r="A736" s="136"/>
      <c r="B736" s="122"/>
      <c r="C736" s="123"/>
      <c r="D736" s="124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</row>
    <row r="737" spans="1:25" ht="12.95">
      <c r="A737" s="136"/>
      <c r="B737" s="122"/>
      <c r="C737" s="123"/>
      <c r="D737" s="124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</row>
    <row r="738" spans="1:25" ht="12.95">
      <c r="A738" s="136"/>
      <c r="B738" s="122"/>
      <c r="C738" s="123"/>
      <c r="D738" s="124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</row>
    <row r="739" spans="1:25" ht="12.95">
      <c r="A739" s="136"/>
      <c r="B739" s="122"/>
      <c r="C739" s="123"/>
      <c r="D739" s="124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</row>
    <row r="740" spans="1:25" ht="12.95">
      <c r="A740" s="136"/>
      <c r="B740" s="122"/>
      <c r="C740" s="123"/>
      <c r="D740" s="124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</row>
    <row r="741" spans="1:25" ht="12.95">
      <c r="A741" s="136"/>
      <c r="B741" s="122"/>
      <c r="C741" s="123"/>
      <c r="D741" s="124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</row>
    <row r="742" spans="1:25" ht="12.95">
      <c r="A742" s="136"/>
      <c r="B742" s="122"/>
      <c r="C742" s="123"/>
      <c r="D742" s="124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</row>
    <row r="743" spans="1:25" ht="12.95">
      <c r="A743" s="136"/>
      <c r="B743" s="122"/>
      <c r="C743" s="123"/>
      <c r="D743" s="124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</row>
    <row r="744" spans="1:25" ht="12.95">
      <c r="A744" s="136"/>
      <c r="B744" s="122"/>
      <c r="C744" s="123"/>
      <c r="D744" s="124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</row>
    <row r="745" spans="1:25" ht="12.95">
      <c r="A745" s="136"/>
      <c r="B745" s="122"/>
      <c r="C745" s="123"/>
      <c r="D745" s="124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</row>
    <row r="746" spans="1:25" ht="12.95">
      <c r="A746" s="136"/>
      <c r="B746" s="122"/>
      <c r="C746" s="123"/>
      <c r="D746" s="124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</row>
    <row r="747" spans="1:25" ht="12.95">
      <c r="A747" s="136"/>
      <c r="B747" s="122"/>
      <c r="C747" s="123"/>
      <c r="D747" s="124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</row>
    <row r="748" spans="1:25" ht="12.95">
      <c r="A748" s="136"/>
      <c r="B748" s="122"/>
      <c r="C748" s="123"/>
      <c r="D748" s="124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</row>
    <row r="749" spans="1:25" ht="12.95">
      <c r="A749" s="136"/>
      <c r="B749" s="122"/>
      <c r="C749" s="123"/>
      <c r="D749" s="124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</row>
    <row r="750" spans="1:25" ht="12.95">
      <c r="A750" s="136"/>
      <c r="B750" s="122"/>
      <c r="C750" s="123"/>
      <c r="D750" s="124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</row>
    <row r="751" spans="1:25" ht="12.95">
      <c r="A751" s="136"/>
      <c r="B751" s="122"/>
      <c r="C751" s="123"/>
      <c r="D751" s="124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</row>
    <row r="752" spans="1:25" ht="12.95">
      <c r="A752" s="136"/>
      <c r="B752" s="122"/>
      <c r="C752" s="123"/>
      <c r="D752" s="124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</row>
    <row r="753" spans="1:25" ht="12.95">
      <c r="A753" s="136"/>
      <c r="B753" s="122"/>
      <c r="C753" s="123"/>
      <c r="D753" s="124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</row>
    <row r="754" spans="1:25" ht="12.95">
      <c r="A754" s="136"/>
      <c r="B754" s="122"/>
      <c r="C754" s="123"/>
      <c r="D754" s="124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</row>
    <row r="755" spans="1:25" ht="12.95">
      <c r="A755" s="136"/>
      <c r="B755" s="122"/>
      <c r="C755" s="123"/>
      <c r="D755" s="124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</row>
    <row r="756" spans="1:25" ht="12.95">
      <c r="A756" s="136"/>
      <c r="B756" s="122"/>
      <c r="C756" s="123"/>
      <c r="D756" s="124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</row>
    <row r="757" spans="1:25" ht="12.95">
      <c r="A757" s="136"/>
      <c r="B757" s="122"/>
      <c r="C757" s="123"/>
      <c r="D757" s="124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</row>
    <row r="758" spans="1:25" ht="12.95">
      <c r="A758" s="136"/>
      <c r="B758" s="122"/>
      <c r="C758" s="123"/>
      <c r="D758" s="124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</row>
    <row r="759" spans="1:25" ht="12.95">
      <c r="A759" s="136"/>
      <c r="B759" s="122"/>
      <c r="C759" s="123"/>
      <c r="D759" s="124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</row>
    <row r="760" spans="1:25" ht="12.95">
      <c r="A760" s="136"/>
      <c r="B760" s="122"/>
      <c r="C760" s="123"/>
      <c r="D760" s="124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</row>
    <row r="761" spans="1:25" ht="12.95">
      <c r="A761" s="136"/>
      <c r="B761" s="122"/>
      <c r="C761" s="123"/>
      <c r="D761" s="124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</row>
    <row r="762" spans="1:25" ht="12.95">
      <c r="A762" s="136"/>
      <c r="B762" s="122"/>
      <c r="C762" s="123"/>
      <c r="D762" s="124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</row>
    <row r="763" spans="1:25" ht="12.95">
      <c r="A763" s="136"/>
      <c r="B763" s="122"/>
      <c r="C763" s="123"/>
      <c r="D763" s="124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</row>
    <row r="764" spans="1:25" ht="12.95">
      <c r="A764" s="136"/>
      <c r="B764" s="122"/>
      <c r="C764" s="123"/>
      <c r="D764" s="124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</row>
    <row r="765" spans="1:25" ht="12.95">
      <c r="A765" s="136"/>
      <c r="B765" s="122"/>
      <c r="C765" s="123"/>
      <c r="D765" s="124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</row>
    <row r="766" spans="1:25" ht="12.95">
      <c r="A766" s="136"/>
      <c r="B766" s="122"/>
      <c r="C766" s="123"/>
      <c r="D766" s="124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</row>
    <row r="767" spans="1:25" ht="12.95">
      <c r="A767" s="136"/>
      <c r="B767" s="122"/>
      <c r="C767" s="123"/>
      <c r="D767" s="124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</row>
    <row r="768" spans="1:25" ht="12.95">
      <c r="A768" s="136"/>
      <c r="B768" s="122"/>
      <c r="C768" s="123"/>
      <c r="D768" s="124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</row>
    <row r="769" spans="1:25" ht="12.95">
      <c r="A769" s="136"/>
      <c r="B769" s="122"/>
      <c r="C769" s="123"/>
      <c r="D769" s="124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</row>
    <row r="770" spans="1:25" ht="12.95">
      <c r="A770" s="136"/>
      <c r="B770" s="122"/>
      <c r="C770" s="123"/>
      <c r="D770" s="124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</row>
    <row r="771" spans="1:25" ht="12.95">
      <c r="A771" s="136"/>
      <c r="B771" s="122"/>
      <c r="C771" s="123"/>
      <c r="D771" s="124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</row>
    <row r="772" spans="1:25" ht="12.95">
      <c r="A772" s="136"/>
      <c r="B772" s="122"/>
      <c r="C772" s="123"/>
      <c r="D772" s="124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</row>
    <row r="773" spans="1:25" ht="12.95">
      <c r="A773" s="136"/>
      <c r="B773" s="122"/>
      <c r="C773" s="123"/>
      <c r="D773" s="124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</row>
    <row r="774" spans="1:25" ht="12.95">
      <c r="A774" s="136"/>
      <c r="B774" s="122"/>
      <c r="C774" s="123"/>
      <c r="D774" s="124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</row>
    <row r="775" spans="1:25" ht="12.95">
      <c r="A775" s="136"/>
      <c r="B775" s="122"/>
      <c r="C775" s="123"/>
      <c r="D775" s="124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</row>
    <row r="776" spans="1:25" ht="12.95">
      <c r="A776" s="136"/>
      <c r="B776" s="122"/>
      <c r="C776" s="123"/>
      <c r="D776" s="124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</row>
    <row r="777" spans="1:25" ht="12.95">
      <c r="A777" s="136"/>
      <c r="B777" s="122"/>
      <c r="C777" s="123"/>
      <c r="D777" s="124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</row>
    <row r="778" spans="1:25" ht="12.95">
      <c r="A778" s="136"/>
      <c r="B778" s="122"/>
      <c r="C778" s="123"/>
      <c r="D778" s="124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</row>
    <row r="779" spans="1:25" ht="12.95">
      <c r="A779" s="136"/>
      <c r="B779" s="122"/>
      <c r="C779" s="123"/>
      <c r="D779" s="124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</row>
    <row r="780" spans="1:25" ht="12.95">
      <c r="A780" s="136"/>
      <c r="B780" s="122"/>
      <c r="C780" s="123"/>
      <c r="D780" s="124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</row>
    <row r="781" spans="1:25" ht="12.95">
      <c r="A781" s="136"/>
      <c r="B781" s="122"/>
      <c r="C781" s="123"/>
      <c r="D781" s="124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</row>
    <row r="782" spans="1:25" ht="12.95">
      <c r="A782" s="136"/>
      <c r="B782" s="122"/>
      <c r="C782" s="123"/>
      <c r="D782" s="124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</row>
    <row r="783" spans="1:25" ht="12.95">
      <c r="A783" s="136"/>
      <c r="B783" s="122"/>
      <c r="C783" s="123"/>
      <c r="D783" s="124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</row>
    <row r="784" spans="1:25" ht="12.95">
      <c r="A784" s="136"/>
      <c r="B784" s="122"/>
      <c r="C784" s="123"/>
      <c r="D784" s="124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</row>
    <row r="785" spans="1:25" ht="12.95">
      <c r="A785" s="136"/>
      <c r="B785" s="122"/>
      <c r="C785" s="123"/>
      <c r="D785" s="124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</row>
    <row r="786" spans="1:25" ht="12.95">
      <c r="A786" s="136"/>
      <c r="B786" s="122"/>
      <c r="C786" s="123"/>
      <c r="D786" s="124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</row>
    <row r="787" spans="1:25" ht="12.95">
      <c r="A787" s="136"/>
      <c r="B787" s="122"/>
      <c r="C787" s="123"/>
      <c r="D787" s="124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</row>
    <row r="788" spans="1:25" ht="12.95">
      <c r="A788" s="136"/>
      <c r="B788" s="122"/>
      <c r="C788" s="123"/>
      <c r="D788" s="124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</row>
    <row r="789" spans="1:25" ht="12.95">
      <c r="A789" s="136"/>
      <c r="B789" s="122"/>
      <c r="C789" s="123"/>
      <c r="D789" s="124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</row>
    <row r="790" spans="1:25" ht="12.95">
      <c r="A790" s="136"/>
      <c r="B790" s="122"/>
      <c r="C790" s="123"/>
      <c r="D790" s="124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</row>
    <row r="791" spans="1:25" ht="12.95">
      <c r="A791" s="136"/>
      <c r="B791" s="122"/>
      <c r="C791" s="123"/>
      <c r="D791" s="124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</row>
    <row r="792" spans="1:25" ht="12.95">
      <c r="A792" s="136"/>
      <c r="B792" s="122"/>
      <c r="C792" s="123"/>
      <c r="D792" s="124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</row>
    <row r="793" spans="1:25" ht="12.95">
      <c r="A793" s="136"/>
      <c r="B793" s="122"/>
      <c r="C793" s="123"/>
      <c r="D793" s="124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</row>
    <row r="794" spans="1:25" ht="12.95">
      <c r="A794" s="136"/>
      <c r="B794" s="122"/>
      <c r="C794" s="123"/>
      <c r="D794" s="124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</row>
    <row r="795" spans="1:25" ht="12.95">
      <c r="A795" s="136"/>
      <c r="B795" s="122"/>
      <c r="C795" s="123"/>
      <c r="D795" s="124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</row>
    <row r="796" spans="1:25" ht="12.95">
      <c r="A796" s="136"/>
      <c r="B796" s="122"/>
      <c r="C796" s="123"/>
      <c r="D796" s="124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</row>
    <row r="797" spans="1:25" ht="12.95">
      <c r="A797" s="136"/>
      <c r="B797" s="122"/>
      <c r="C797" s="123"/>
      <c r="D797" s="124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</row>
    <row r="798" spans="1:25" ht="12.95">
      <c r="A798" s="136"/>
      <c r="B798" s="122"/>
      <c r="C798" s="123"/>
      <c r="D798" s="124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</row>
    <row r="799" spans="1:25" ht="12.95">
      <c r="A799" s="136"/>
      <c r="B799" s="122"/>
      <c r="C799" s="123"/>
      <c r="D799" s="124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</row>
    <row r="800" spans="1:25" ht="12.95">
      <c r="A800" s="136"/>
      <c r="B800" s="122"/>
      <c r="C800" s="123"/>
      <c r="D800" s="124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</row>
    <row r="801" spans="1:25" ht="12.95">
      <c r="A801" s="136"/>
      <c r="B801" s="122"/>
      <c r="C801" s="123"/>
      <c r="D801" s="124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</row>
    <row r="802" spans="1:25" ht="12.95">
      <c r="A802" s="136"/>
      <c r="B802" s="122"/>
      <c r="C802" s="123"/>
      <c r="D802" s="124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</row>
    <row r="803" spans="1:25" ht="12.95">
      <c r="A803" s="136"/>
      <c r="B803" s="122"/>
      <c r="C803" s="123"/>
      <c r="D803" s="124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</row>
    <row r="804" spans="1:25" ht="12.95">
      <c r="A804" s="136"/>
      <c r="B804" s="122"/>
      <c r="C804" s="123"/>
      <c r="D804" s="124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</row>
    <row r="805" spans="1:25" ht="12.95">
      <c r="A805" s="136"/>
      <c r="B805" s="122"/>
      <c r="C805" s="123"/>
      <c r="D805" s="124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</row>
    <row r="806" spans="1:25" ht="12.95">
      <c r="A806" s="136"/>
      <c r="B806" s="122"/>
      <c r="C806" s="123"/>
      <c r="D806" s="124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</row>
    <row r="807" spans="1:25" ht="12.95">
      <c r="A807" s="136"/>
      <c r="B807" s="122"/>
      <c r="C807" s="123"/>
      <c r="D807" s="124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</row>
    <row r="808" spans="1:25" ht="12.95">
      <c r="A808" s="136"/>
      <c r="B808" s="122"/>
      <c r="C808" s="123"/>
      <c r="D808" s="124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</row>
    <row r="809" spans="1:25" ht="12.95">
      <c r="A809" s="136"/>
      <c r="B809" s="122"/>
      <c r="C809" s="123"/>
      <c r="D809" s="124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</row>
    <row r="810" spans="1:25" ht="12.95">
      <c r="A810" s="136"/>
      <c r="B810" s="122"/>
      <c r="C810" s="123"/>
      <c r="D810" s="124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</row>
    <row r="811" spans="1:25" ht="12.95">
      <c r="A811" s="136"/>
      <c r="B811" s="122"/>
      <c r="C811" s="123"/>
      <c r="D811" s="124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</row>
    <row r="812" spans="1:25" ht="12.95">
      <c r="A812" s="136"/>
      <c r="B812" s="122"/>
      <c r="C812" s="123"/>
      <c r="D812" s="124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</row>
    <row r="813" spans="1:25" ht="12.95">
      <c r="A813" s="136"/>
      <c r="B813" s="122"/>
      <c r="C813" s="123"/>
      <c r="D813" s="124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</row>
    <row r="814" spans="1:25" ht="12.95">
      <c r="A814" s="136"/>
      <c r="B814" s="122"/>
      <c r="C814" s="123"/>
      <c r="D814" s="124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</row>
    <row r="815" spans="1:25" ht="12.95">
      <c r="A815" s="136"/>
      <c r="B815" s="122"/>
      <c r="C815" s="123"/>
      <c r="D815" s="124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</row>
    <row r="816" spans="1:25" ht="12.95">
      <c r="A816" s="136"/>
      <c r="B816" s="122"/>
      <c r="C816" s="123"/>
      <c r="D816" s="124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</row>
    <row r="817" spans="1:25" ht="12.95">
      <c r="A817" s="136"/>
      <c r="B817" s="122"/>
      <c r="C817" s="123"/>
      <c r="D817" s="124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</row>
    <row r="818" spans="1:25" ht="12.95">
      <c r="A818" s="136"/>
      <c r="B818" s="122"/>
      <c r="C818" s="123"/>
      <c r="D818" s="124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</row>
    <row r="819" spans="1:25" ht="12.95">
      <c r="A819" s="136"/>
      <c r="B819" s="122"/>
      <c r="C819" s="123"/>
      <c r="D819" s="124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</row>
    <row r="820" spans="1:25" ht="12.95">
      <c r="A820" s="136"/>
      <c r="B820" s="122"/>
      <c r="C820" s="123"/>
      <c r="D820" s="124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</row>
    <row r="821" spans="1:25" ht="12.95">
      <c r="A821" s="136"/>
      <c r="B821" s="122"/>
      <c r="C821" s="123"/>
      <c r="D821" s="124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</row>
    <row r="822" spans="1:25" ht="12.95">
      <c r="A822" s="136"/>
      <c r="B822" s="122"/>
      <c r="C822" s="123"/>
      <c r="D822" s="124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</row>
    <row r="823" spans="1:25" ht="12.95">
      <c r="A823" s="136"/>
      <c r="B823" s="122"/>
      <c r="C823" s="123"/>
      <c r="D823" s="124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</row>
    <row r="824" spans="1:25" ht="12.95">
      <c r="A824" s="136"/>
      <c r="B824" s="122"/>
      <c r="C824" s="123"/>
      <c r="D824" s="124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</row>
    <row r="825" spans="1:25" ht="12.95">
      <c r="A825" s="136"/>
      <c r="B825" s="122"/>
      <c r="C825" s="123"/>
      <c r="D825" s="124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</row>
    <row r="826" spans="1:25" ht="12.95">
      <c r="A826" s="136"/>
      <c r="B826" s="122"/>
      <c r="C826" s="123"/>
      <c r="D826" s="124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</row>
    <row r="827" spans="1:25" ht="12.95">
      <c r="A827" s="136"/>
      <c r="B827" s="122"/>
      <c r="C827" s="123"/>
      <c r="D827" s="124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</row>
    <row r="828" spans="1:25" ht="12.95">
      <c r="A828" s="136"/>
      <c r="B828" s="122"/>
      <c r="C828" s="123"/>
      <c r="D828" s="124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</row>
    <row r="829" spans="1:25" ht="12.95">
      <c r="A829" s="136"/>
      <c r="B829" s="122"/>
      <c r="C829" s="123"/>
      <c r="D829" s="124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</row>
    <row r="830" spans="1:25" ht="12.95">
      <c r="A830" s="136"/>
      <c r="B830" s="122"/>
      <c r="C830" s="123"/>
      <c r="D830" s="124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</row>
    <row r="831" spans="1:25" ht="12.95">
      <c r="A831" s="136"/>
      <c r="B831" s="122"/>
      <c r="C831" s="123"/>
      <c r="D831" s="124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</row>
    <row r="832" spans="1:25" ht="12.95">
      <c r="A832" s="136"/>
      <c r="B832" s="122"/>
      <c r="C832" s="123"/>
      <c r="D832" s="124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</row>
    <row r="833" spans="1:25" ht="12.95">
      <c r="A833" s="136"/>
      <c r="B833" s="122"/>
      <c r="C833" s="123"/>
      <c r="D833" s="124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</row>
    <row r="834" spans="1:25" ht="12.95">
      <c r="A834" s="136"/>
      <c r="B834" s="122"/>
      <c r="C834" s="123"/>
      <c r="D834" s="124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</row>
    <row r="835" spans="1:25" ht="12.95">
      <c r="A835" s="136"/>
      <c r="B835" s="122"/>
      <c r="C835" s="123"/>
      <c r="D835" s="124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</row>
    <row r="836" spans="1:25" ht="12.95">
      <c r="A836" s="136"/>
      <c r="B836" s="122"/>
      <c r="C836" s="123"/>
      <c r="D836" s="124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</row>
    <row r="837" spans="1:25" ht="12.95">
      <c r="A837" s="136"/>
      <c r="B837" s="122"/>
      <c r="C837" s="123"/>
      <c r="D837" s="124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</row>
    <row r="838" spans="1:25" ht="12.95">
      <c r="A838" s="136"/>
      <c r="B838" s="122"/>
      <c r="C838" s="123"/>
      <c r="D838" s="124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</row>
    <row r="839" spans="1:25" ht="12.95">
      <c r="A839" s="136"/>
      <c r="B839" s="122"/>
      <c r="C839" s="123"/>
      <c r="D839" s="124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</row>
    <row r="840" spans="1:25" ht="12.95">
      <c r="A840" s="136"/>
      <c r="B840" s="122"/>
      <c r="C840" s="123"/>
      <c r="D840" s="124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</row>
    <row r="841" spans="1:25" ht="12.95">
      <c r="A841" s="136"/>
      <c r="B841" s="122"/>
      <c r="C841" s="123"/>
      <c r="D841" s="124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</row>
    <row r="842" spans="1:25" ht="12.95">
      <c r="A842" s="136"/>
      <c r="B842" s="122"/>
      <c r="C842" s="123"/>
      <c r="D842" s="124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</row>
  </sheetData>
  <mergeCells count="22">
    <mergeCell ref="A9:A11"/>
    <mergeCell ref="B9:B11"/>
    <mergeCell ref="A12:A15"/>
    <mergeCell ref="B12:B15"/>
    <mergeCell ref="A16:A17"/>
    <mergeCell ref="B16:B17"/>
    <mergeCell ref="A18:A21"/>
    <mergeCell ref="B18:B21"/>
    <mergeCell ref="A22:A25"/>
    <mergeCell ref="B22:B25"/>
    <mergeCell ref="A26:A29"/>
    <mergeCell ref="B26:B29"/>
    <mergeCell ref="A44:A45"/>
    <mergeCell ref="B44:B45"/>
    <mergeCell ref="A46:A49"/>
    <mergeCell ref="B46:B49"/>
    <mergeCell ref="A30:A35"/>
    <mergeCell ref="B30:B35"/>
    <mergeCell ref="A36:A39"/>
    <mergeCell ref="B36:B39"/>
    <mergeCell ref="A40:A43"/>
    <mergeCell ref="B40:B43"/>
  </mergeCells>
  <hyperlinks>
    <hyperlink ref="A3" r:id="rId1" xr:uid="{00000000-0004-0000-0500-000000000000}"/>
    <hyperlink ref="A5" r:id="rId2" xr:uid="{00000000-0004-0000-0500-000001000000}"/>
  </hyperlinks>
  <printOptions horizontalCentered="1" gridLines="1"/>
  <pageMargins left="0.25" right="0.25" top="0.75" bottom="0.75" header="0" footer="0"/>
  <pageSetup paperSize="9" pageOrder="overThenDown" orientation="landscape" cellComments="atEnd"/>
  <rowBreaks count="2" manualBreakCount="2">
    <brk id="48" man="1"/>
    <brk id="25" man="1"/>
  </rowBreaks>
  <colBreaks count="2" manualBreakCount="2">
    <brk man="1"/>
    <brk id="4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3"/>
  <sheetViews>
    <sheetView topLeftCell="B1" workbookViewId="0">
      <selection activeCell="B9" sqref="B9"/>
    </sheetView>
  </sheetViews>
  <sheetFormatPr defaultRowHeight="14.45"/>
  <cols>
    <col min="2" max="2" width="26.85546875" customWidth="1"/>
    <col min="7" max="7" width="49" customWidth="1"/>
  </cols>
  <sheetData>
    <row r="1" spans="1:7" ht="29.1">
      <c r="A1" s="114" t="s">
        <v>1123</v>
      </c>
      <c r="D1" t="s">
        <v>1124</v>
      </c>
      <c r="F1" s="128" t="s">
        <v>1037</v>
      </c>
      <c r="G1" s="130" t="s">
        <v>1039</v>
      </c>
    </row>
    <row r="2" spans="1:7">
      <c r="A2">
        <v>0</v>
      </c>
      <c r="B2" s="135" t="s">
        <v>1022</v>
      </c>
      <c r="D2" t="s">
        <v>52</v>
      </c>
      <c r="F2" s="131"/>
      <c r="G2" s="132" t="s">
        <v>1022</v>
      </c>
    </row>
    <row r="3" spans="1:7">
      <c r="A3">
        <v>1</v>
      </c>
      <c r="B3" s="135" t="s">
        <v>1041</v>
      </c>
      <c r="D3" t="s">
        <v>1125</v>
      </c>
      <c r="F3" s="131">
        <v>1.1000000000000001</v>
      </c>
      <c r="G3" s="132" t="s">
        <v>1042</v>
      </c>
    </row>
    <row r="4" spans="1:7">
      <c r="A4">
        <v>2</v>
      </c>
      <c r="B4" s="135" t="s">
        <v>1027</v>
      </c>
      <c r="D4" t="s">
        <v>1126</v>
      </c>
      <c r="F4" s="131">
        <v>1.2</v>
      </c>
      <c r="G4" s="132" t="s">
        <v>1044</v>
      </c>
    </row>
    <row r="5" spans="1:7">
      <c r="A5">
        <v>3</v>
      </c>
      <c r="B5" s="135" t="s">
        <v>1054</v>
      </c>
      <c r="F5" s="131">
        <v>1.3</v>
      </c>
      <c r="G5" s="132" t="s">
        <v>1045</v>
      </c>
    </row>
    <row r="6" spans="1:7" ht="26.1">
      <c r="A6">
        <v>4</v>
      </c>
      <c r="B6" s="135" t="s">
        <v>1029</v>
      </c>
      <c r="F6" s="131">
        <v>2.1</v>
      </c>
      <c r="G6" s="132" t="s">
        <v>1047</v>
      </c>
    </row>
    <row r="7" spans="1:7">
      <c r="A7">
        <v>5</v>
      </c>
      <c r="B7" s="135" t="s">
        <v>1026</v>
      </c>
      <c r="F7" s="131">
        <v>2.2000000000000002</v>
      </c>
      <c r="G7" s="132" t="s">
        <v>1049</v>
      </c>
    </row>
    <row r="8" spans="1:7">
      <c r="A8">
        <v>6</v>
      </c>
      <c r="B8" s="135" t="s">
        <v>1075</v>
      </c>
      <c r="F8" s="131">
        <v>2.2999999999999998</v>
      </c>
      <c r="G8" s="132" t="s">
        <v>1050</v>
      </c>
    </row>
    <row r="9" spans="1:7" ht="26.1">
      <c r="A9">
        <v>7</v>
      </c>
      <c r="B9" s="135" t="s">
        <v>1024</v>
      </c>
      <c r="F9" s="131">
        <v>2.4</v>
      </c>
      <c r="G9" s="132" t="s">
        <v>1052</v>
      </c>
    </row>
    <row r="10" spans="1:7">
      <c r="A10">
        <v>8</v>
      </c>
      <c r="B10" s="135" t="s">
        <v>1023</v>
      </c>
      <c r="F10" s="131">
        <v>3.1</v>
      </c>
      <c r="G10" s="132" t="s">
        <v>1055</v>
      </c>
    </row>
    <row r="11" spans="1:7">
      <c r="A11">
        <v>9</v>
      </c>
      <c r="B11" s="135" t="s">
        <v>1030</v>
      </c>
      <c r="F11" s="131">
        <v>3.2</v>
      </c>
      <c r="G11" s="132" t="s">
        <v>1057</v>
      </c>
    </row>
    <row r="12" spans="1:7">
      <c r="A12">
        <v>10</v>
      </c>
      <c r="B12" s="135" t="s">
        <v>1028</v>
      </c>
      <c r="F12" s="131">
        <v>4.0999999999999996</v>
      </c>
      <c r="G12" s="132" t="s">
        <v>1059</v>
      </c>
    </row>
    <row r="13" spans="1:7">
      <c r="A13">
        <v>11</v>
      </c>
      <c r="B13" s="135" t="s">
        <v>1025</v>
      </c>
      <c r="F13" s="131">
        <v>4.2</v>
      </c>
      <c r="G13" s="132" t="s">
        <v>1061</v>
      </c>
    </row>
    <row r="14" spans="1:7">
      <c r="F14" s="131">
        <v>4.3</v>
      </c>
      <c r="G14" s="132" t="s">
        <v>1063</v>
      </c>
    </row>
    <row r="15" spans="1:7">
      <c r="F15" s="131">
        <v>4.4000000000000004</v>
      </c>
      <c r="G15" s="132" t="s">
        <v>1065</v>
      </c>
    </row>
    <row r="16" spans="1:7">
      <c r="F16" s="131">
        <v>5.0999999999999996</v>
      </c>
      <c r="G16" s="132" t="s">
        <v>1067</v>
      </c>
    </row>
    <row r="17" spans="6:7">
      <c r="F17" s="134">
        <v>5.2</v>
      </c>
      <c r="G17" s="132" t="s">
        <v>1069</v>
      </c>
    </row>
    <row r="18" spans="6:7">
      <c r="F18" s="131">
        <v>5.3</v>
      </c>
      <c r="G18" s="132" t="s">
        <v>1071</v>
      </c>
    </row>
    <row r="19" spans="6:7">
      <c r="F19" s="131">
        <v>5.4</v>
      </c>
      <c r="G19" s="132" t="s">
        <v>1073</v>
      </c>
    </row>
    <row r="20" spans="6:7">
      <c r="F20" s="131">
        <v>6.1</v>
      </c>
      <c r="G20" s="132" t="s">
        <v>1076</v>
      </c>
    </row>
    <row r="21" spans="6:7">
      <c r="F21" s="131">
        <v>6.2</v>
      </c>
      <c r="G21" s="132" t="s">
        <v>1078</v>
      </c>
    </row>
    <row r="22" spans="6:7">
      <c r="F22" s="131">
        <v>6.3</v>
      </c>
      <c r="G22" s="132" t="s">
        <v>1080</v>
      </c>
    </row>
    <row r="23" spans="6:7">
      <c r="F23" s="131">
        <v>6.4</v>
      </c>
      <c r="G23" s="132" t="s">
        <v>1082</v>
      </c>
    </row>
    <row r="24" spans="6:7">
      <c r="F24" s="131">
        <v>7.1</v>
      </c>
      <c r="G24" s="132" t="s">
        <v>1084</v>
      </c>
    </row>
    <row r="25" spans="6:7">
      <c r="F25" s="131">
        <v>7.2</v>
      </c>
      <c r="G25" s="132" t="s">
        <v>1086</v>
      </c>
    </row>
    <row r="26" spans="6:7">
      <c r="F26" s="131">
        <v>7.3</v>
      </c>
      <c r="G26" s="132" t="s">
        <v>1088</v>
      </c>
    </row>
    <row r="27" spans="6:7">
      <c r="F27" s="131">
        <v>7.4</v>
      </c>
      <c r="G27" s="132" t="s">
        <v>1090</v>
      </c>
    </row>
    <row r="28" spans="6:7">
      <c r="F28" s="131">
        <v>7.5</v>
      </c>
      <c r="G28" s="132" t="s">
        <v>1092</v>
      </c>
    </row>
    <row r="29" spans="6:7">
      <c r="F29" s="131">
        <v>7.6</v>
      </c>
      <c r="G29" s="132" t="s">
        <v>1094</v>
      </c>
    </row>
    <row r="30" spans="6:7">
      <c r="F30" s="131">
        <v>8.1</v>
      </c>
      <c r="G30" s="132" t="s">
        <v>1096</v>
      </c>
    </row>
    <row r="31" spans="6:7">
      <c r="F31" s="131">
        <v>8.1999999999999993</v>
      </c>
      <c r="G31" s="132" t="s">
        <v>1098</v>
      </c>
    </row>
    <row r="32" spans="6:7">
      <c r="F32" s="131">
        <v>8.3000000000000007</v>
      </c>
      <c r="G32" s="132" t="s">
        <v>1100</v>
      </c>
    </row>
    <row r="33" spans="6:7">
      <c r="F33" s="131">
        <v>8.4</v>
      </c>
      <c r="G33" s="132" t="s">
        <v>1102</v>
      </c>
    </row>
    <row r="34" spans="6:7">
      <c r="F34" s="131">
        <v>9.1</v>
      </c>
      <c r="G34" s="132" t="s">
        <v>1104</v>
      </c>
    </row>
    <row r="35" spans="6:7">
      <c r="F35" s="131">
        <v>9.1999999999999993</v>
      </c>
      <c r="G35" s="132" t="s">
        <v>1106</v>
      </c>
    </row>
    <row r="36" spans="6:7">
      <c r="F36" s="131">
        <v>9.3000000000000007</v>
      </c>
      <c r="G36" s="132" t="s">
        <v>1108</v>
      </c>
    </row>
    <row r="37" spans="6:7">
      <c r="F37" s="131">
        <v>9.4</v>
      </c>
      <c r="G37" s="132" t="s">
        <v>1110</v>
      </c>
    </row>
    <row r="38" spans="6:7">
      <c r="F38" s="131">
        <v>10.1</v>
      </c>
      <c r="G38" s="132" t="s">
        <v>1112</v>
      </c>
    </row>
    <row r="39" spans="6:7">
      <c r="F39" s="131">
        <v>10.199999999999999</v>
      </c>
      <c r="G39" s="132" t="s">
        <v>1114</v>
      </c>
    </row>
    <row r="40" spans="6:7">
      <c r="F40" s="131">
        <v>11.1</v>
      </c>
      <c r="G40" s="132" t="s">
        <v>1116</v>
      </c>
    </row>
    <row r="41" spans="6:7" ht="26.1">
      <c r="F41" s="131">
        <v>11.2</v>
      </c>
      <c r="G41" s="132" t="s">
        <v>1118</v>
      </c>
    </row>
    <row r="42" spans="6:7" ht="26.1">
      <c r="F42" s="131">
        <v>11.3</v>
      </c>
      <c r="G42" s="132" t="s">
        <v>1120</v>
      </c>
    </row>
    <row r="43" spans="6:7">
      <c r="F43" s="131">
        <v>11.4</v>
      </c>
      <c r="G43" s="132" t="s">
        <v>1122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topLeftCell="A2" workbookViewId="0">
      <selection activeCell="D9" sqref="D9"/>
    </sheetView>
  </sheetViews>
  <sheetFormatPr defaultColWidth="8.5703125" defaultRowHeight="14.45"/>
  <cols>
    <col min="1" max="1" width="13.140625" customWidth="1"/>
    <col min="2" max="2" width="16" customWidth="1"/>
  </cols>
  <sheetData>
    <row r="1" spans="1:5" ht="29.1">
      <c r="A1" s="4" t="s">
        <v>93</v>
      </c>
      <c r="B1" s="4" t="s">
        <v>94</v>
      </c>
      <c r="C1" s="2" t="s">
        <v>98</v>
      </c>
      <c r="E1" t="s">
        <v>1127</v>
      </c>
    </row>
    <row r="2" spans="1:5">
      <c r="A2" t="s">
        <v>113</v>
      </c>
      <c r="B2" t="s">
        <v>135</v>
      </c>
      <c r="C2" t="s">
        <v>1128</v>
      </c>
      <c r="E2" t="s">
        <v>52</v>
      </c>
    </row>
    <row r="3" spans="1:5">
      <c r="A3" t="s">
        <v>155</v>
      </c>
      <c r="B3" t="s">
        <v>214</v>
      </c>
      <c r="C3" t="s">
        <v>116</v>
      </c>
      <c r="E3" t="s">
        <v>1125</v>
      </c>
    </row>
    <row r="4" spans="1:5">
      <c r="C4" t="s">
        <v>126</v>
      </c>
    </row>
    <row r="5" spans="1:5">
      <c r="C5" t="s">
        <v>268</v>
      </c>
    </row>
    <row r="6" spans="1:5">
      <c r="C6" t="s">
        <v>1129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E333990B352B4D966CC5AFBFD6C0F6" ma:contentTypeVersion="18" ma:contentTypeDescription="Create a new document." ma:contentTypeScope="" ma:versionID="79bdb01c69659f3cce362b1d787942fd">
  <xsd:schema xmlns:xsd="http://www.w3.org/2001/XMLSchema" xmlns:xs="http://www.w3.org/2001/XMLSchema" xmlns:p="http://schemas.microsoft.com/office/2006/metadata/properties" xmlns:ns2="331b0959-5de7-47fc-9a68-e71529f12cab" xmlns:ns3="dde42e69-1d8a-48b7-8710-121e41d1310f" targetNamespace="http://schemas.microsoft.com/office/2006/metadata/properties" ma:root="true" ma:fieldsID="dd587f6c6f7064361cd34e9ec4b65aad" ns2:_="" ns3:_="">
    <xsd:import namespace="331b0959-5de7-47fc-9a68-e71529f12cab"/>
    <xsd:import namespace="dde42e69-1d8a-48b7-8710-121e41d1310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1b0959-5de7-47fc-9a68-e71529f12ca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92e2a0d3-c084-46b6-9dbf-4ea114ff9170}" ma:internalName="TaxCatchAll" ma:showField="CatchAllData" ma:web="331b0959-5de7-47fc-9a68-e71529f12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42e69-1d8a-48b7-8710-121e41d131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7d5c9cd-1d9d-4498-a792-f3e3b244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6037a3-376c-4e35-9673-91218b302fbb">
      <Terms xmlns="http://schemas.microsoft.com/office/infopath/2007/PartnerControls"/>
    </lcf76f155ced4ddcb4097134ff3c332f>
    <TaxCatchAll xmlns="281f7b61-b72b-4a21-bb24-e43f40679a49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5CEEF5B67654BB99FA91F3D8DF3AD" ma:contentTypeVersion="14" ma:contentTypeDescription="Crea un document nou" ma:contentTypeScope="" ma:versionID="e04f8550011c0fa287ef4aa6a3ecaa4a">
  <xsd:schema xmlns:xsd="http://www.w3.org/2001/XMLSchema" xmlns:xs="http://www.w3.org/2001/XMLSchema" xmlns:p="http://schemas.microsoft.com/office/2006/metadata/properties" xmlns:ns2="f26037a3-376c-4e35-9673-91218b302fbb" xmlns:ns3="281f7b61-b72b-4a21-bb24-e43f40679a49" targetNamespace="http://schemas.microsoft.com/office/2006/metadata/properties" ma:root="true" ma:fieldsID="062f520033c58143061b60085d9c524e" ns2:_="" ns3:_="">
    <xsd:import namespace="f26037a3-376c-4e35-9673-91218b302fbb"/>
    <xsd:import namespace="281f7b61-b72b-4a21-bb24-e43f40679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037a3-376c-4e35-9673-91218b302f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es de la imatge" ma:readOnly="false" ma:fieldId="{5cf76f15-5ced-4ddc-b409-7134ff3c332f}" ma:taxonomyMulti="true" ma:sspId="d19f90c4-00d9-45b7-bc62-04f95cbe7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f7b61-b72b-4a21-bb24-e43f40679a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e9ec61-e504-403b-b6cf-d739475b8ab3}" ma:internalName="TaxCatchAll" ma:showField="CatchAllData" ma:web="281f7b61-b72b-4a21-bb24-e43f40679a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687FF4-492A-4708-A78D-9596ABEEFD47}"/>
</file>

<file path=customXml/itemProps2.xml><?xml version="1.0" encoding="utf-8"?>
<ds:datastoreItem xmlns:ds="http://schemas.openxmlformats.org/officeDocument/2006/customXml" ds:itemID="{C5288095-4C44-41F8-85E9-A7311893382F}"/>
</file>

<file path=customXml/itemProps3.xml><?xml version="1.0" encoding="utf-8"?>
<ds:datastoreItem xmlns:ds="http://schemas.openxmlformats.org/officeDocument/2006/customXml" ds:itemID="{9C3BBD1B-D8EB-4F55-AA85-1B39798B5B8A}"/>
</file>

<file path=customXml/itemProps4.xml><?xml version="1.0" encoding="utf-8"?>
<ds:datastoreItem xmlns:ds="http://schemas.openxmlformats.org/officeDocument/2006/customXml" ds:itemID="{E8EA328B-1737-4CDC-9E7A-8C0E15F2A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Nuria Asensio Salvador</dc:creator>
  <cp:keywords/>
  <dc:description/>
  <cp:lastModifiedBy>Cristina Terraza Rovira</cp:lastModifiedBy>
  <cp:revision/>
  <dcterms:created xsi:type="dcterms:W3CDTF">2015-06-05T18:17:20Z</dcterms:created>
  <dcterms:modified xsi:type="dcterms:W3CDTF">2024-08-02T07:27:20Z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0x010100F205CEEF5B67654BB99FA91F3D8DF3AD</vt:lpwstr>
  </property>
  <property fmtid="{D5CDD505-2E9C-101B-9397-08002B2CF9AE}" pid="3" name="_dlc_DocIdItemGuid">
    <vt:lpwstr>e84fb0f5-d9cc-4952-b961-0c54a7d553c2</vt:lpwstr>
  </property>
  <property fmtid="{D5CDD505-2E9C-101B-9397-08002B2CF9AE}" pid="4" name="MediaServiceImageTags">
    <vt:lpwstr/>
  </property>
</Properties>
</file>