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X:\04476\PNIN_ALBERA\UO4500\Àrea de DIRECCIÓ\Pla estratègic\"/>
    </mc:Choice>
  </mc:AlternateContent>
  <xr:revisionPtr revIDLastSave="0" documentId="13_ncr:1_{1ADBC806-A020-4028-A648-86BD87E72200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ESTRATÈGIA" sheetId="1" r:id="rId1"/>
    <sheet name="INSTRUCCIONS" sheetId="2" r:id="rId2"/>
    <sheet name="PRIORITZACIÓ" sheetId="3" r:id="rId3"/>
    <sheet name="Full2" sheetId="12" r:id="rId4"/>
    <sheet name="Analisi_Prioritat_Grup" sheetId="11" r:id="rId5"/>
    <sheet name="PLA" sheetId="5" r:id="rId6"/>
    <sheet name="Transposicio_Pla_Doc" sheetId="13" r:id="rId7"/>
    <sheet name="Calcul_Indicadors" sheetId="10" r:id="rId8"/>
    <sheet name="VINCLE AMENAÇA_OBJ. OPERATIU" sheetId="6" r:id="rId9"/>
    <sheet name="Taxonomia Amenaces" sheetId="7" r:id="rId10"/>
    <sheet name="Llistes" sheetId="8" r:id="rId11"/>
    <sheet name="Full1" sheetId="9" state="hidden" r:id="rId12"/>
  </sheets>
  <externalReferences>
    <externalReference r:id="rId13"/>
  </externalReferences>
  <definedNames>
    <definedName name="_xlnm._FilterDatabase" localSheetId="5" hidden="1">PLA!$A$1:$AC$276</definedName>
    <definedName name="_xlnm._FilterDatabase" localSheetId="2" hidden="1">PRIORITZACIÓ!$A$1:$J$140</definedName>
    <definedName name="Z_454D45DF_2512_4984_A7CE_B1F6D305C20E_.wvu.Cols" localSheetId="5" hidden="1">PLA!$O:$P</definedName>
    <definedName name="Z_454D45DF_2512_4984_A7CE_B1F6D305C20E_.wvu.FilterData" localSheetId="5" hidden="1">PLA!$A$4:$P$271</definedName>
    <definedName name="Z_D2A6C956_D027_4329_9FEA_635617D868B4_.wvu.Cols" localSheetId="5" hidden="1">PLA!$O:$P</definedName>
    <definedName name="Z_D2A6C956_D027_4329_9FEA_635617D868B4_.wvu.FilterData" localSheetId="5" hidden="1">PLA!$A$4:$P$271</definedName>
  </definedNames>
  <calcPr calcId="191029"/>
  <customWorkbookViews>
    <customWorkbookView name="Bustamante Galera, Ivan - Visualització personal" guid="{454D45DF-2512-4984-A7CE-B1F6D305C20E}" mergeInterval="0" personalView="1" maximized="1" xWindow="-8" yWindow="-8" windowWidth="1936" windowHeight="1056" activeSheetId="5"/>
    <customWorkbookView name="Carrion Salip, Gerard - Visualització personal" guid="{D2A6C956-D027-4329-9FEA-635617D868B4}" mergeInterval="0" personalView="1" xWindow="3790" yWindow="352" windowWidth="1440" windowHeight="908" activeSheetId="5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0" i="5" l="1"/>
  <c r="J137" i="5"/>
  <c r="X272" i="13"/>
  <c r="V272" i="13"/>
  <c r="X271" i="13"/>
  <c r="V271" i="13"/>
  <c r="X270" i="13"/>
  <c r="V270" i="13"/>
  <c r="X269" i="13"/>
  <c r="V269" i="13"/>
  <c r="X268" i="13"/>
  <c r="V268" i="13"/>
  <c r="X267" i="13"/>
  <c r="V267" i="13"/>
  <c r="X266" i="13"/>
  <c r="V266" i="13"/>
  <c r="X265" i="13"/>
  <c r="V265" i="13"/>
  <c r="X264" i="13"/>
  <c r="V264" i="13"/>
  <c r="G264" i="13"/>
  <c r="X263" i="13"/>
  <c r="V263" i="13"/>
  <c r="G263" i="13"/>
  <c r="X262" i="13"/>
  <c r="V262" i="13"/>
  <c r="G262" i="13"/>
  <c r="X261" i="13"/>
  <c r="V261" i="13"/>
  <c r="X260" i="13"/>
  <c r="V260" i="13"/>
  <c r="G260" i="13"/>
  <c r="X259" i="13"/>
  <c r="V259" i="13"/>
  <c r="G259" i="13"/>
  <c r="X258" i="13"/>
  <c r="V258" i="13"/>
  <c r="G258" i="13"/>
  <c r="X257" i="13"/>
  <c r="V257" i="13"/>
  <c r="G257" i="13"/>
  <c r="X256" i="13"/>
  <c r="V256" i="13"/>
  <c r="G256" i="13"/>
  <c r="X255" i="13"/>
  <c r="V255" i="13"/>
  <c r="X254" i="13"/>
  <c r="V254" i="13"/>
  <c r="X253" i="13"/>
  <c r="V253" i="13"/>
  <c r="X251" i="13"/>
  <c r="V251" i="13"/>
  <c r="X250" i="13"/>
  <c r="V250" i="13"/>
  <c r="X249" i="13"/>
  <c r="V249" i="13"/>
  <c r="X248" i="13"/>
  <c r="V248" i="13"/>
  <c r="G248" i="13"/>
  <c r="X247" i="13"/>
  <c r="V247" i="13"/>
  <c r="X246" i="13"/>
  <c r="V246" i="13"/>
  <c r="X245" i="13"/>
  <c r="V245" i="13"/>
  <c r="G245" i="13"/>
  <c r="X244" i="13"/>
  <c r="V244" i="13"/>
  <c r="G244" i="13"/>
  <c r="X243" i="13"/>
  <c r="V243" i="13"/>
  <c r="G243" i="13"/>
  <c r="X242" i="13"/>
  <c r="V242" i="13"/>
  <c r="G242" i="13"/>
  <c r="X241" i="13"/>
  <c r="V241" i="13"/>
  <c r="G241" i="13"/>
  <c r="X239" i="13"/>
  <c r="V239" i="13"/>
  <c r="X238" i="13"/>
  <c r="V238" i="13"/>
  <c r="X237" i="13"/>
  <c r="V237" i="13"/>
  <c r="X236" i="13"/>
  <c r="V236" i="13"/>
  <c r="X235" i="13"/>
  <c r="V235" i="13"/>
  <c r="X234" i="13"/>
  <c r="V234" i="13"/>
  <c r="G234" i="13"/>
  <c r="X233" i="13"/>
  <c r="V233" i="13"/>
  <c r="G233" i="13"/>
  <c r="X232" i="13"/>
  <c r="V232" i="13"/>
  <c r="G232" i="13"/>
  <c r="X231" i="13"/>
  <c r="V231" i="13"/>
  <c r="G231" i="13"/>
  <c r="X230" i="13"/>
  <c r="V230" i="13"/>
  <c r="G230" i="13"/>
  <c r="X229" i="13"/>
  <c r="V229" i="13"/>
  <c r="G229" i="13"/>
  <c r="X228" i="13"/>
  <c r="V228" i="13"/>
  <c r="G228" i="13"/>
  <c r="X227" i="13"/>
  <c r="V227" i="13"/>
  <c r="G227" i="13"/>
  <c r="X226" i="13"/>
  <c r="V226" i="13"/>
  <c r="G226" i="13"/>
  <c r="X225" i="13"/>
  <c r="V225" i="13"/>
  <c r="X223" i="13"/>
  <c r="V223" i="13"/>
  <c r="G223" i="13"/>
  <c r="X222" i="13"/>
  <c r="V222" i="13"/>
  <c r="G222" i="13"/>
  <c r="X221" i="13"/>
  <c r="V221" i="13"/>
  <c r="G221" i="13"/>
  <c r="X220" i="13"/>
  <c r="V220" i="13"/>
  <c r="G220" i="13"/>
  <c r="X219" i="13"/>
  <c r="V219" i="13"/>
  <c r="G219" i="13"/>
  <c r="X218" i="13"/>
  <c r="V218" i="13"/>
  <c r="G218" i="13"/>
  <c r="X217" i="13"/>
  <c r="V217" i="13"/>
  <c r="G217" i="13"/>
  <c r="X216" i="13"/>
  <c r="V216" i="13"/>
  <c r="G216" i="13"/>
  <c r="X212" i="13"/>
  <c r="V212" i="13"/>
  <c r="X211" i="13"/>
  <c r="V211" i="13"/>
  <c r="G211" i="13"/>
  <c r="X210" i="13"/>
  <c r="V210" i="13"/>
  <c r="G210" i="13"/>
  <c r="X206" i="13"/>
  <c r="V206" i="13"/>
  <c r="G206" i="13"/>
  <c r="X205" i="13"/>
  <c r="V205" i="13"/>
  <c r="G205" i="13"/>
  <c r="X202" i="13"/>
  <c r="V202" i="13"/>
  <c r="G202" i="13"/>
  <c r="X201" i="13"/>
  <c r="V201" i="13"/>
  <c r="G201" i="13"/>
  <c r="X200" i="13"/>
  <c r="V200" i="13"/>
  <c r="G200" i="13"/>
  <c r="X199" i="13"/>
  <c r="V199" i="13"/>
  <c r="G199" i="13"/>
  <c r="X198" i="13"/>
  <c r="V198" i="13"/>
  <c r="G198" i="13"/>
  <c r="X197" i="13"/>
  <c r="V197" i="13"/>
  <c r="G197" i="13"/>
  <c r="X196" i="13"/>
  <c r="V196" i="13"/>
  <c r="G196" i="13"/>
  <c r="X195" i="13"/>
  <c r="V195" i="13"/>
  <c r="G195" i="13"/>
  <c r="X194" i="13"/>
  <c r="V194" i="13"/>
  <c r="X193" i="13"/>
  <c r="V193" i="13"/>
  <c r="X190" i="13"/>
  <c r="V190" i="13"/>
  <c r="G190" i="13"/>
  <c r="X189" i="13"/>
  <c r="V189" i="13"/>
  <c r="X188" i="13"/>
  <c r="V188" i="13"/>
  <c r="X187" i="13"/>
  <c r="V187" i="13"/>
  <c r="G187" i="13"/>
  <c r="X186" i="13"/>
  <c r="V186" i="13"/>
  <c r="G186" i="13"/>
  <c r="X185" i="13"/>
  <c r="V185" i="13"/>
  <c r="G185" i="13"/>
  <c r="X184" i="13"/>
  <c r="V184" i="13"/>
  <c r="G184" i="13"/>
  <c r="X183" i="13"/>
  <c r="V183" i="13"/>
  <c r="G183" i="13"/>
  <c r="X180" i="13"/>
  <c r="V180" i="13"/>
  <c r="G180" i="13"/>
  <c r="X179" i="13"/>
  <c r="V179" i="13"/>
  <c r="G179" i="13"/>
  <c r="X178" i="13"/>
  <c r="V178" i="13"/>
  <c r="G178" i="13"/>
  <c r="X177" i="13"/>
  <c r="V177" i="13"/>
  <c r="G177" i="13"/>
  <c r="X176" i="13"/>
  <c r="V176" i="13"/>
  <c r="X175" i="13"/>
  <c r="V175" i="13"/>
  <c r="G175" i="13"/>
  <c r="X174" i="13"/>
  <c r="V174" i="13"/>
  <c r="G174" i="13"/>
  <c r="X173" i="13"/>
  <c r="V173" i="13"/>
  <c r="G173" i="13"/>
  <c r="X172" i="13"/>
  <c r="V172" i="13"/>
  <c r="G172" i="13"/>
  <c r="X171" i="13"/>
  <c r="V171" i="13"/>
  <c r="G171" i="13"/>
  <c r="X170" i="13"/>
  <c r="V170" i="13"/>
  <c r="G170" i="13"/>
  <c r="X169" i="13"/>
  <c r="V169" i="13"/>
  <c r="G169" i="13"/>
  <c r="X168" i="13"/>
  <c r="V168" i="13"/>
  <c r="X167" i="13"/>
  <c r="V167" i="13"/>
  <c r="X166" i="13"/>
  <c r="V166" i="13"/>
  <c r="G166" i="13"/>
  <c r="X165" i="13"/>
  <c r="V165" i="13"/>
  <c r="G165" i="13"/>
  <c r="X164" i="13"/>
  <c r="V164" i="13"/>
  <c r="G164" i="13"/>
  <c r="X161" i="13"/>
  <c r="V161" i="13"/>
  <c r="X160" i="13"/>
  <c r="V160" i="13"/>
  <c r="G160" i="13"/>
  <c r="X159" i="13"/>
  <c r="V159" i="13"/>
  <c r="G159" i="13"/>
  <c r="X158" i="13"/>
  <c r="V158" i="13"/>
  <c r="X157" i="13"/>
  <c r="V157" i="13"/>
  <c r="X156" i="13"/>
  <c r="V156" i="13"/>
  <c r="X155" i="13"/>
  <c r="V155" i="13"/>
  <c r="G155" i="13"/>
  <c r="X154" i="13"/>
  <c r="V154" i="13"/>
  <c r="G154" i="13"/>
  <c r="X153" i="13"/>
  <c r="V153" i="13"/>
  <c r="G153" i="13"/>
  <c r="X152" i="13"/>
  <c r="V152" i="13"/>
  <c r="G152" i="13"/>
  <c r="X151" i="13"/>
  <c r="V151" i="13"/>
  <c r="X148" i="13"/>
  <c r="V148" i="13"/>
  <c r="G148" i="13"/>
  <c r="X146" i="13"/>
  <c r="V146" i="13"/>
  <c r="G146" i="13"/>
  <c r="X145" i="13"/>
  <c r="V145" i="13"/>
  <c r="G145" i="13"/>
  <c r="X144" i="13"/>
  <c r="V144" i="13"/>
  <c r="G144" i="13"/>
  <c r="X142" i="13"/>
  <c r="V142" i="13"/>
  <c r="X141" i="13"/>
  <c r="V141" i="13"/>
  <c r="X140" i="13"/>
  <c r="V140" i="13"/>
  <c r="X137" i="13"/>
  <c r="V137" i="13"/>
  <c r="X136" i="13"/>
  <c r="X135" i="13"/>
  <c r="X134" i="13"/>
  <c r="X133" i="13"/>
  <c r="X132" i="13"/>
  <c r="X131" i="13"/>
  <c r="X130" i="13"/>
  <c r="V130" i="13"/>
  <c r="X129" i="13"/>
  <c r="V129" i="13"/>
  <c r="G129" i="13"/>
  <c r="X126" i="13"/>
  <c r="V126" i="13"/>
  <c r="X125" i="13"/>
  <c r="V125" i="13"/>
  <c r="X124" i="13"/>
  <c r="V124" i="13"/>
  <c r="G124" i="13"/>
  <c r="X123" i="13"/>
  <c r="V123" i="13"/>
  <c r="G123" i="13"/>
  <c r="X122" i="13"/>
  <c r="V122" i="13"/>
  <c r="G122" i="13"/>
  <c r="X120" i="13"/>
  <c r="V120" i="13"/>
  <c r="G120" i="13"/>
  <c r="X119" i="13"/>
  <c r="V119" i="13"/>
  <c r="X117" i="13"/>
  <c r="V117" i="13"/>
  <c r="X116" i="13"/>
  <c r="V116" i="13"/>
  <c r="G116" i="13"/>
  <c r="X115" i="13"/>
  <c r="V115" i="13"/>
  <c r="G115" i="13"/>
  <c r="X114" i="13"/>
  <c r="V114" i="13"/>
  <c r="G114" i="13"/>
  <c r="X112" i="13"/>
  <c r="V112" i="13"/>
  <c r="G112" i="13"/>
  <c r="X111" i="13"/>
  <c r="V111" i="13"/>
  <c r="G111" i="13"/>
  <c r="X110" i="13"/>
  <c r="V110" i="13"/>
  <c r="G110" i="13"/>
  <c r="X107" i="13"/>
  <c r="V107" i="13"/>
  <c r="X106" i="13"/>
  <c r="V106" i="13"/>
  <c r="G106" i="13"/>
  <c r="X105" i="13"/>
  <c r="V105" i="13"/>
  <c r="X104" i="13"/>
  <c r="V104" i="13"/>
  <c r="G104" i="13"/>
  <c r="X103" i="13"/>
  <c r="G103" i="13"/>
  <c r="X102" i="13"/>
  <c r="V102" i="13"/>
  <c r="G102" i="13"/>
  <c r="X101" i="13"/>
  <c r="V101" i="13"/>
  <c r="G101" i="13"/>
  <c r="X100" i="13"/>
  <c r="V100" i="13"/>
  <c r="G100" i="13"/>
  <c r="X98" i="13"/>
  <c r="V98" i="13"/>
  <c r="G98" i="13"/>
  <c r="X97" i="13"/>
  <c r="V97" i="13"/>
  <c r="G97" i="13"/>
  <c r="X96" i="13"/>
  <c r="V96" i="13"/>
  <c r="G96" i="13"/>
  <c r="X94" i="13"/>
  <c r="V94" i="13"/>
  <c r="G94" i="13"/>
  <c r="X93" i="13"/>
  <c r="V93" i="13"/>
  <c r="G93" i="13"/>
  <c r="X92" i="13"/>
  <c r="V92" i="13"/>
  <c r="G92" i="13"/>
  <c r="X91" i="13"/>
  <c r="V91" i="13"/>
  <c r="G91" i="13"/>
  <c r="X90" i="13"/>
  <c r="V90" i="13"/>
  <c r="G90" i="13"/>
  <c r="X89" i="13"/>
  <c r="V89" i="13"/>
  <c r="G89" i="13"/>
  <c r="X88" i="13"/>
  <c r="V88" i="13"/>
  <c r="G88" i="13"/>
  <c r="X87" i="13"/>
  <c r="V87" i="13"/>
  <c r="G87" i="13"/>
  <c r="X86" i="13"/>
  <c r="V86" i="13"/>
  <c r="G86" i="13"/>
  <c r="X85" i="13"/>
  <c r="V85" i="13"/>
  <c r="G85" i="13"/>
  <c r="X84" i="13"/>
  <c r="V84" i="13"/>
  <c r="G84" i="13"/>
  <c r="X82" i="13"/>
  <c r="V82" i="13"/>
  <c r="X81" i="13"/>
  <c r="V81" i="13"/>
  <c r="G81" i="13"/>
  <c r="X80" i="13"/>
  <c r="V80" i="13"/>
  <c r="X79" i="13"/>
  <c r="V79" i="13"/>
  <c r="X78" i="13"/>
  <c r="V78" i="13"/>
  <c r="G78" i="13"/>
  <c r="X77" i="13"/>
  <c r="V77" i="13"/>
  <c r="G77" i="13"/>
  <c r="X76" i="13"/>
  <c r="V76" i="13"/>
  <c r="G76" i="13"/>
  <c r="X75" i="13"/>
  <c r="V75" i="13"/>
  <c r="G75" i="13"/>
  <c r="X74" i="13"/>
  <c r="V74" i="13"/>
  <c r="X73" i="13"/>
  <c r="V73" i="13"/>
  <c r="G73" i="13"/>
  <c r="X72" i="13"/>
  <c r="V72" i="13"/>
  <c r="G72" i="13"/>
  <c r="X71" i="13"/>
  <c r="V71" i="13"/>
  <c r="G71" i="13"/>
  <c r="X70" i="13"/>
  <c r="G70" i="13"/>
  <c r="X68" i="13"/>
  <c r="V68" i="13"/>
  <c r="G68" i="13"/>
  <c r="X67" i="13"/>
  <c r="V67" i="13"/>
  <c r="G67" i="13"/>
  <c r="X66" i="13"/>
  <c r="V66" i="13"/>
  <c r="G66" i="13"/>
  <c r="X65" i="13"/>
  <c r="V65" i="13"/>
  <c r="G65" i="13"/>
  <c r="X64" i="13"/>
  <c r="V64" i="13"/>
  <c r="G64" i="13"/>
  <c r="X63" i="13"/>
  <c r="V63" i="13"/>
  <c r="X62" i="13"/>
  <c r="V62" i="13"/>
  <c r="G62" i="13"/>
  <c r="X61" i="13"/>
  <c r="V61" i="13"/>
  <c r="G61" i="13"/>
  <c r="G60" i="13" s="1"/>
  <c r="X60" i="13"/>
  <c r="V60" i="13"/>
  <c r="X59" i="13"/>
  <c r="V59" i="13"/>
  <c r="X57" i="13"/>
  <c r="V57" i="13"/>
  <c r="G57" i="13"/>
  <c r="X52" i="13"/>
  <c r="V52" i="13"/>
  <c r="G52" i="13"/>
  <c r="X51" i="13"/>
  <c r="V51" i="13"/>
  <c r="G51" i="13"/>
  <c r="X50" i="13"/>
  <c r="V50" i="13"/>
  <c r="G50" i="13"/>
  <c r="X49" i="13"/>
  <c r="V49" i="13"/>
  <c r="G49" i="13"/>
  <c r="X48" i="13"/>
  <c r="V48" i="13"/>
  <c r="G48" i="13"/>
  <c r="X47" i="13"/>
  <c r="V47" i="13"/>
  <c r="G47" i="13"/>
  <c r="X46" i="13"/>
  <c r="V46" i="13"/>
  <c r="X45" i="13"/>
  <c r="V45" i="13"/>
  <c r="X44" i="13"/>
  <c r="V44" i="13"/>
  <c r="X43" i="13"/>
  <c r="V43" i="13"/>
  <c r="X42" i="13"/>
  <c r="V42" i="13"/>
  <c r="X41" i="13"/>
  <c r="V41" i="13"/>
  <c r="X38" i="13"/>
  <c r="V38" i="13"/>
  <c r="G38" i="13"/>
  <c r="X37" i="13"/>
  <c r="V37" i="13"/>
  <c r="G37" i="13"/>
  <c r="X36" i="13"/>
  <c r="V36" i="13"/>
  <c r="G36" i="13"/>
  <c r="X35" i="13"/>
  <c r="V35" i="13"/>
  <c r="X34" i="13"/>
  <c r="V34" i="13"/>
  <c r="X33" i="13"/>
  <c r="V33" i="13"/>
  <c r="X31" i="13"/>
  <c r="V31" i="13"/>
  <c r="X30" i="13"/>
  <c r="V30" i="13"/>
  <c r="G30" i="13"/>
  <c r="X29" i="13"/>
  <c r="V29" i="13"/>
  <c r="G29" i="13"/>
  <c r="X28" i="13"/>
  <c r="V28" i="13"/>
  <c r="G28" i="13"/>
  <c r="X25" i="13"/>
  <c r="V25" i="13"/>
  <c r="G25" i="13"/>
  <c r="X23" i="13"/>
  <c r="V23" i="13"/>
  <c r="G23" i="13"/>
  <c r="X22" i="13"/>
  <c r="V22" i="13"/>
  <c r="G22" i="13"/>
  <c r="X21" i="13"/>
  <c r="V21" i="13"/>
  <c r="G21" i="13"/>
  <c r="X20" i="13"/>
  <c r="V20" i="13"/>
  <c r="X19" i="13"/>
  <c r="V19" i="13"/>
  <c r="G19" i="13"/>
  <c r="X18" i="13"/>
  <c r="V18" i="13"/>
  <c r="G18" i="13"/>
  <c r="X17" i="13"/>
  <c r="V17" i="13"/>
  <c r="G17" i="13"/>
  <c r="X16" i="13"/>
  <c r="V16" i="13"/>
  <c r="G16" i="13"/>
  <c r="X15" i="13"/>
  <c r="V15" i="13"/>
  <c r="G15" i="13"/>
  <c r="X14" i="13"/>
  <c r="V14" i="13"/>
  <c r="G14" i="13"/>
  <c r="X13" i="13"/>
  <c r="V13" i="13"/>
  <c r="G13" i="13"/>
  <c r="X12" i="13"/>
  <c r="V12" i="13"/>
  <c r="G12" i="13"/>
  <c r="X11" i="13"/>
  <c r="V11" i="13"/>
  <c r="G11" i="13"/>
  <c r="X9" i="13"/>
  <c r="V9" i="13"/>
  <c r="G9" i="13"/>
  <c r="X8" i="13"/>
  <c r="V8" i="13"/>
  <c r="G8" i="13"/>
  <c r="X7" i="13"/>
  <c r="V7" i="13"/>
  <c r="G7" i="13"/>
  <c r="X6" i="13"/>
  <c r="V6" i="13"/>
  <c r="G6" i="13"/>
  <c r="X5" i="13"/>
  <c r="V5" i="13"/>
  <c r="G5" i="13"/>
  <c r="X4" i="13"/>
  <c r="V4" i="13"/>
  <c r="G4" i="13"/>
  <c r="X3" i="13"/>
  <c r="V3" i="13"/>
  <c r="G3" i="13"/>
  <c r="X2" i="13"/>
  <c r="V2" i="13"/>
  <c r="G2" i="13"/>
  <c r="X274" i="5"/>
  <c r="V274" i="5"/>
  <c r="X151" i="5"/>
  <c r="V151" i="5"/>
  <c r="J151" i="5"/>
  <c r="X154" i="5"/>
  <c r="V154" i="5"/>
  <c r="J155" i="5"/>
  <c r="X155" i="5"/>
  <c r="V155" i="5"/>
  <c r="X145" i="5"/>
  <c r="V145" i="5"/>
  <c r="X106" i="5"/>
  <c r="J106" i="5"/>
  <c r="J52" i="5"/>
  <c r="J53" i="5"/>
  <c r="J54" i="5"/>
  <c r="J51" i="5"/>
  <c r="X244" i="5"/>
  <c r="V244" i="5"/>
  <c r="J244" i="5"/>
  <c r="X120" i="5"/>
  <c r="V120" i="5"/>
  <c r="X135" i="5"/>
  <c r="X136" i="5"/>
  <c r="X137" i="5"/>
  <c r="X138" i="5"/>
  <c r="X139" i="5"/>
  <c r="X140" i="5"/>
  <c r="V140" i="5"/>
  <c r="X73" i="5" l="1"/>
  <c r="X74" i="5"/>
  <c r="V74" i="5"/>
  <c r="X75" i="5"/>
  <c r="V75" i="5"/>
  <c r="X77" i="5" l="1"/>
  <c r="V77" i="5"/>
  <c r="X134" i="5"/>
  <c r="X275" i="5"/>
  <c r="V275" i="5"/>
  <c r="X273" i="5"/>
  <c r="V273" i="5"/>
  <c r="X272" i="5"/>
  <c r="V272" i="5"/>
  <c r="X245" i="5"/>
  <c r="J245" i="5"/>
  <c r="X62" i="5"/>
  <c r="X5" i="5" l="1"/>
  <c r="X6" i="5"/>
  <c r="X7" i="5"/>
  <c r="X8" i="5"/>
  <c r="X9" i="5"/>
  <c r="X10" i="5"/>
  <c r="X11" i="5"/>
  <c r="X12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8" i="5"/>
  <c r="X31" i="5"/>
  <c r="X32" i="5"/>
  <c r="X33" i="5"/>
  <c r="X36" i="5"/>
  <c r="X37" i="5"/>
  <c r="X38" i="5"/>
  <c r="X39" i="5"/>
  <c r="X40" i="5"/>
  <c r="X41" i="5"/>
  <c r="X44" i="5"/>
  <c r="X45" i="5"/>
  <c r="X46" i="5"/>
  <c r="X47" i="5"/>
  <c r="X48" i="5"/>
  <c r="X49" i="5"/>
  <c r="X50" i="5"/>
  <c r="X51" i="5"/>
  <c r="X52" i="5"/>
  <c r="X53" i="5"/>
  <c r="X54" i="5"/>
  <c r="X55" i="5"/>
  <c r="X60" i="5"/>
  <c r="X63" i="5"/>
  <c r="X64" i="5"/>
  <c r="X65" i="5"/>
  <c r="X66" i="5"/>
  <c r="X67" i="5"/>
  <c r="X68" i="5"/>
  <c r="X69" i="5"/>
  <c r="X70" i="5"/>
  <c r="X71" i="5"/>
  <c r="X76" i="5"/>
  <c r="X78" i="5"/>
  <c r="X79" i="5"/>
  <c r="X80" i="5"/>
  <c r="X81" i="5"/>
  <c r="X82" i="5"/>
  <c r="X83" i="5"/>
  <c r="X84" i="5"/>
  <c r="X85" i="5"/>
  <c r="X87" i="5"/>
  <c r="X88" i="5"/>
  <c r="X89" i="5"/>
  <c r="X90" i="5"/>
  <c r="X91" i="5"/>
  <c r="X92" i="5"/>
  <c r="X93" i="5"/>
  <c r="X94" i="5"/>
  <c r="X95" i="5"/>
  <c r="X96" i="5"/>
  <c r="X97" i="5"/>
  <c r="X99" i="5"/>
  <c r="X100" i="5"/>
  <c r="X101" i="5"/>
  <c r="X103" i="5"/>
  <c r="X104" i="5"/>
  <c r="X105" i="5"/>
  <c r="X107" i="5"/>
  <c r="X108" i="5"/>
  <c r="X109" i="5"/>
  <c r="X110" i="5"/>
  <c r="X113" i="5"/>
  <c r="X114" i="5"/>
  <c r="X115" i="5"/>
  <c r="X117" i="5"/>
  <c r="X118" i="5"/>
  <c r="X119" i="5"/>
  <c r="X122" i="5"/>
  <c r="X123" i="5"/>
  <c r="X125" i="5"/>
  <c r="X126" i="5"/>
  <c r="X127" i="5"/>
  <c r="X128" i="5"/>
  <c r="J96" i="5"/>
  <c r="J95" i="5"/>
  <c r="J94" i="5"/>
  <c r="J190" i="5"/>
  <c r="J200" i="5"/>
  <c r="J199" i="5"/>
  <c r="J202" i="5"/>
  <c r="J205" i="5"/>
  <c r="J204" i="5"/>
  <c r="J214" i="5"/>
  <c r="J221" i="5"/>
  <c r="J223" i="5"/>
  <c r="J226" i="5"/>
  <c r="J225" i="5"/>
  <c r="J261" i="5"/>
  <c r="J248" i="5"/>
  <c r="J247" i="5"/>
  <c r="J230" i="5"/>
  <c r="J237" i="5"/>
  <c r="J236" i="5"/>
  <c r="J234" i="5"/>
  <c r="J233" i="5"/>
  <c r="J232" i="5"/>
  <c r="X129" i="5"/>
  <c r="X132" i="5"/>
  <c r="X133" i="5"/>
  <c r="X143" i="5"/>
  <c r="X144" i="5"/>
  <c r="X147" i="5"/>
  <c r="X148" i="5"/>
  <c r="X149" i="5"/>
  <c r="X156" i="5"/>
  <c r="X157" i="5"/>
  <c r="X158" i="5"/>
  <c r="X159" i="5"/>
  <c r="X160" i="5"/>
  <c r="X161" i="5"/>
  <c r="X162" i="5"/>
  <c r="X163" i="5"/>
  <c r="X164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6" i="5"/>
  <c r="X187" i="5"/>
  <c r="X188" i="5"/>
  <c r="X189" i="5"/>
  <c r="X190" i="5"/>
  <c r="X191" i="5"/>
  <c r="X192" i="5"/>
  <c r="X193" i="5"/>
  <c r="X196" i="5"/>
  <c r="X197" i="5"/>
  <c r="X198" i="5"/>
  <c r="X199" i="5"/>
  <c r="X200" i="5"/>
  <c r="X201" i="5"/>
  <c r="X202" i="5"/>
  <c r="X203" i="5"/>
  <c r="X204" i="5"/>
  <c r="X205" i="5"/>
  <c r="X208" i="5"/>
  <c r="X209" i="5"/>
  <c r="X213" i="5"/>
  <c r="X214" i="5"/>
  <c r="X215" i="5"/>
  <c r="X219" i="5"/>
  <c r="X220" i="5"/>
  <c r="X221" i="5"/>
  <c r="X222" i="5"/>
  <c r="X223" i="5"/>
  <c r="X224" i="5"/>
  <c r="X225" i="5"/>
  <c r="X226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6" i="5"/>
  <c r="X247" i="5"/>
  <c r="X248" i="5"/>
  <c r="X251" i="5"/>
  <c r="X254" i="5"/>
  <c r="X257" i="5"/>
  <c r="X258" i="5"/>
  <c r="X259" i="5"/>
  <c r="X260" i="5"/>
  <c r="X261" i="5"/>
  <c r="X262" i="5"/>
  <c r="X263" i="5"/>
  <c r="X265" i="5"/>
  <c r="X266" i="5"/>
  <c r="X267" i="5"/>
  <c r="X268" i="5"/>
  <c r="X269" i="5"/>
  <c r="X270" i="5"/>
  <c r="X271" i="5"/>
  <c r="X256" i="5"/>
  <c r="X252" i="5"/>
  <c r="X249" i="5"/>
  <c r="X250" i="5"/>
  <c r="X253" i="5"/>
  <c r="X264" i="5"/>
  <c r="J15" i="5"/>
  <c r="J12" i="5"/>
  <c r="J50" i="5" l="1"/>
  <c r="J21" i="5"/>
  <c r="V233" i="5" l="1"/>
  <c r="V234" i="5"/>
  <c r="V208" i="5"/>
  <c r="V204" i="5"/>
  <c r="V186" i="5"/>
  <c r="J168" i="5"/>
  <c r="J157" i="5"/>
  <c r="J127" i="5"/>
  <c r="J114" i="5"/>
  <c r="J89" i="5"/>
  <c r="J75" i="5"/>
  <c r="J70" i="5"/>
  <c r="J68" i="5"/>
  <c r="J40" i="5"/>
  <c r="J22" i="5"/>
  <c r="J183" i="5"/>
  <c r="V176" i="5"/>
  <c r="V177" i="5"/>
  <c r="J177" i="5"/>
  <c r="J176" i="5"/>
  <c r="J175" i="5"/>
  <c r="J174" i="5"/>
  <c r="J173" i="5"/>
  <c r="J10" i="5"/>
  <c r="J9" i="5"/>
  <c r="J8" i="5"/>
  <c r="J7" i="5"/>
  <c r="J6" i="5"/>
  <c r="V127" i="5"/>
  <c r="V269" i="5"/>
  <c r="V270" i="5"/>
  <c r="V7" i="5"/>
  <c r="V8" i="5"/>
  <c r="V18" i="5"/>
  <c r="V19" i="5"/>
  <c r="V28" i="5"/>
  <c r="V31" i="5"/>
  <c r="V40" i="5"/>
  <c r="V41" i="5"/>
  <c r="V50" i="5"/>
  <c r="V51" i="5"/>
  <c r="V66" i="5"/>
  <c r="V67" i="5"/>
  <c r="V76" i="5"/>
  <c r="V84" i="5"/>
  <c r="V85" i="5"/>
  <c r="V93" i="5"/>
  <c r="V94" i="5"/>
  <c r="V103" i="5"/>
  <c r="V104" i="5"/>
  <c r="V114" i="5"/>
  <c r="V115" i="5"/>
  <c r="V126" i="5"/>
  <c r="V129" i="5"/>
  <c r="V149" i="5"/>
  <c r="V159" i="5"/>
  <c r="V162" i="5"/>
  <c r="V163" i="5"/>
  <c r="V172" i="5"/>
  <c r="V179" i="5"/>
  <c r="V180" i="5"/>
  <c r="V189" i="5"/>
  <c r="V193" i="5"/>
  <c r="V196" i="5"/>
  <c r="V209" i="5"/>
  <c r="V215" i="5"/>
  <c r="V219" i="5"/>
  <c r="V229" i="5"/>
  <c r="V235" i="5"/>
  <c r="V238" i="5"/>
  <c r="V259" i="5"/>
  <c r="V262" i="5"/>
  <c r="V263" i="5"/>
  <c r="V271" i="5"/>
  <c r="V256" i="5"/>
  <c r="V252" i="5"/>
  <c r="L12" i="8"/>
  <c r="V237" i="5" s="1"/>
  <c r="J71" i="5"/>
  <c r="J100" i="5"/>
  <c r="J99" i="5"/>
  <c r="J91" i="5"/>
  <c r="J92" i="5"/>
  <c r="J84" i="5"/>
  <c r="J64" i="5"/>
  <c r="J63" i="5" s="1"/>
  <c r="J39" i="5"/>
  <c r="J31" i="5"/>
  <c r="J19" i="5"/>
  <c r="V260" i="5" l="1"/>
  <c r="V231" i="5"/>
  <c r="V213" i="5"/>
  <c r="V191" i="5"/>
  <c r="V178" i="5"/>
  <c r="V161" i="5"/>
  <c r="V148" i="5"/>
  <c r="V125" i="5"/>
  <c r="V113" i="5"/>
  <c r="V101" i="5"/>
  <c r="V92" i="5"/>
  <c r="V83" i="5"/>
  <c r="V65" i="5"/>
  <c r="V49" i="5"/>
  <c r="V39" i="5"/>
  <c r="V26" i="5"/>
  <c r="V17" i="5"/>
  <c r="V6" i="5"/>
  <c r="V157" i="5"/>
  <c r="V171" i="5"/>
  <c r="V175" i="5"/>
  <c r="V192" i="5"/>
  <c r="V214" i="5"/>
  <c r="V232" i="5"/>
  <c r="V123" i="5"/>
  <c r="V91" i="5"/>
  <c r="V82" i="5"/>
  <c r="V64" i="5"/>
  <c r="V38" i="5"/>
  <c r="V25" i="5"/>
  <c r="V16" i="5"/>
  <c r="V5" i="5"/>
  <c r="V160" i="5"/>
  <c r="V174" i="5"/>
  <c r="V199" i="5"/>
  <c r="V221" i="5"/>
  <c r="V245" i="5"/>
  <c r="V62" i="5"/>
  <c r="V52" i="5"/>
  <c r="V53" i="5"/>
  <c r="V23" i="5"/>
  <c r="V15" i="5"/>
  <c r="V12" i="5"/>
  <c r="V228" i="5"/>
  <c r="V188" i="5"/>
  <c r="V170" i="5"/>
  <c r="V158" i="5"/>
  <c r="V144" i="5"/>
  <c r="V122" i="5"/>
  <c r="V109" i="5"/>
  <c r="V99" i="5"/>
  <c r="V90" i="5"/>
  <c r="V81" i="5"/>
  <c r="V71" i="5"/>
  <c r="V63" i="5"/>
  <c r="V47" i="5"/>
  <c r="V37" i="5"/>
  <c r="V24" i="5"/>
  <c r="V14" i="5"/>
  <c r="V248" i="5"/>
  <c r="V168" i="5"/>
  <c r="V173" i="5"/>
  <c r="V200" i="5"/>
  <c r="V223" i="5"/>
  <c r="V236" i="5"/>
  <c r="V147" i="5"/>
  <c r="V268" i="5"/>
  <c r="V242" i="5"/>
  <c r="V267" i="5"/>
  <c r="V254" i="5"/>
  <c r="V224" i="5"/>
  <c r="V201" i="5"/>
  <c r="V187" i="5"/>
  <c r="V169" i="5"/>
  <c r="V156" i="5"/>
  <c r="V143" i="5"/>
  <c r="V119" i="5"/>
  <c r="V108" i="5"/>
  <c r="V97" i="5"/>
  <c r="V89" i="5"/>
  <c r="V80" i="5"/>
  <c r="V70" i="5"/>
  <c r="V60" i="5"/>
  <c r="V46" i="5"/>
  <c r="V36" i="5"/>
  <c r="V22" i="5"/>
  <c r="V11" i="5"/>
  <c r="V247" i="5"/>
  <c r="V253" i="5"/>
  <c r="V202" i="5"/>
  <c r="V225" i="5"/>
  <c r="V241" i="5"/>
  <c r="V100" i="5"/>
  <c r="V48" i="5"/>
  <c r="V264" i="5"/>
  <c r="V251" i="5"/>
  <c r="V198" i="5"/>
  <c r="V167" i="5"/>
  <c r="V118" i="5"/>
  <c r="V107" i="5"/>
  <c r="V96" i="5"/>
  <c r="V88" i="5"/>
  <c r="V79" i="5"/>
  <c r="V69" i="5"/>
  <c r="V55" i="5"/>
  <c r="V45" i="5"/>
  <c r="V33" i="5"/>
  <c r="V21" i="5"/>
  <c r="V10" i="5"/>
  <c r="V258" i="5"/>
  <c r="V250" i="5"/>
  <c r="V183" i="5"/>
  <c r="V190" i="5"/>
  <c r="V226" i="5"/>
  <c r="V240" i="5"/>
  <c r="V110" i="5"/>
  <c r="V257" i="5"/>
  <c r="V203" i="5"/>
  <c r="V266" i="5"/>
  <c r="V222" i="5"/>
  <c r="V182" i="5"/>
  <c r="V133" i="5"/>
  <c r="V249" i="5"/>
  <c r="V265" i="5"/>
  <c r="V246" i="5"/>
  <c r="V220" i="5"/>
  <c r="V197" i="5"/>
  <c r="V181" i="5"/>
  <c r="V164" i="5"/>
  <c r="V132" i="5"/>
  <c r="V117" i="5"/>
  <c r="V105" i="5"/>
  <c r="V95" i="5"/>
  <c r="V87" i="5"/>
  <c r="V78" i="5"/>
  <c r="V68" i="5"/>
  <c r="V54" i="5"/>
  <c r="V44" i="5"/>
  <c r="V32" i="5"/>
  <c r="V20" i="5"/>
  <c r="V9" i="5"/>
  <c r="V261" i="5"/>
  <c r="V128" i="5"/>
  <c r="V205" i="5"/>
  <c r="V230" i="5"/>
  <c r="V239" i="5"/>
  <c r="J16" i="5"/>
  <c r="J17" i="5"/>
  <c r="J34" i="11"/>
  <c r="J33" i="11"/>
  <c r="J32" i="11"/>
  <c r="J11" i="11"/>
  <c r="J5" i="11"/>
  <c r="J10" i="11"/>
  <c r="J6" i="11"/>
  <c r="J7" i="11"/>
  <c r="J8" i="11"/>
  <c r="J9" i="11"/>
  <c r="J4" i="11"/>
  <c r="J12" i="11" s="1"/>
  <c r="J11" i="5"/>
  <c r="J5" i="5"/>
  <c r="J76" i="5"/>
  <c r="J229" i="5" l="1"/>
  <c r="B34" i="6" l="1"/>
  <c r="B32" i="6"/>
  <c r="B31" i="6"/>
  <c r="B30" i="6"/>
  <c r="B28" i="6"/>
  <c r="B27" i="6"/>
  <c r="B26" i="6"/>
  <c r="B25" i="6"/>
  <c r="B24" i="6"/>
  <c r="B23" i="6"/>
  <c r="B22" i="6"/>
  <c r="B20" i="6"/>
  <c r="B19" i="6"/>
  <c r="B16" i="6"/>
  <c r="B14" i="6"/>
  <c r="B6" i="6"/>
  <c r="J267" i="5"/>
  <c r="J266" i="5"/>
  <c r="J265" i="5"/>
  <c r="J263" i="5"/>
  <c r="J262" i="5"/>
  <c r="J260" i="5"/>
  <c r="J259" i="5"/>
  <c r="J251" i="5"/>
  <c r="J246" i="5"/>
  <c r="J235" i="5"/>
  <c r="J231" i="5"/>
  <c r="J224" i="5"/>
  <c r="J222" i="5"/>
  <c r="J220" i="5"/>
  <c r="J219" i="5"/>
  <c r="J213" i="5"/>
  <c r="J209" i="5"/>
  <c r="J208" i="5"/>
  <c r="J203" i="5"/>
  <c r="J201" i="5"/>
  <c r="J198" i="5"/>
  <c r="J193" i="5"/>
  <c r="J189" i="5"/>
  <c r="J188" i="5"/>
  <c r="J187" i="5"/>
  <c r="J186" i="5"/>
  <c r="J182" i="5"/>
  <c r="J181" i="5"/>
  <c r="J178" i="5"/>
  <c r="J172" i="5"/>
  <c r="J169" i="5"/>
  <c r="J167" i="5"/>
  <c r="J163" i="5"/>
  <c r="J162" i="5"/>
  <c r="J158" i="5"/>
  <c r="J156" i="5"/>
  <c r="J149" i="5"/>
  <c r="J148" i="5"/>
  <c r="J147" i="5"/>
  <c r="J132" i="5"/>
  <c r="J126" i="5"/>
  <c r="J125" i="5"/>
  <c r="J123" i="5"/>
  <c r="J119" i="5"/>
  <c r="J118" i="5"/>
  <c r="J117" i="5"/>
  <c r="J115" i="5"/>
  <c r="J113" i="5"/>
  <c r="J109" i="5"/>
  <c r="J107" i="5"/>
  <c r="J105" i="5"/>
  <c r="J104" i="5"/>
  <c r="J103" i="5"/>
  <c r="J101" i="5"/>
  <c r="J97" i="5"/>
  <c r="J93" i="5"/>
  <c r="J90" i="5"/>
  <c r="J88" i="5"/>
  <c r="J87" i="5"/>
  <c r="J81" i="5"/>
  <c r="J80" i="5"/>
  <c r="J79" i="5"/>
  <c r="J78" i="5"/>
  <c r="J74" i="5"/>
  <c r="J73" i="5"/>
  <c r="J69" i="5"/>
  <c r="J67" i="5"/>
  <c r="J65" i="5"/>
  <c r="B36" i="6"/>
  <c r="J60" i="5"/>
  <c r="B35" i="6" s="1"/>
  <c r="J55" i="5"/>
  <c r="B33" i="6" s="1"/>
  <c r="B29" i="6"/>
  <c r="J41" i="5"/>
  <c r="B21" i="6" s="1"/>
  <c r="J33" i="5"/>
  <c r="B18" i="6" s="1"/>
  <c r="J32" i="5"/>
  <c r="B17" i="6" s="1"/>
  <c r="J28" i="5"/>
  <c r="B15" i="6" s="1"/>
  <c r="J26" i="5"/>
  <c r="B13" i="6" s="1"/>
  <c r="J25" i="5"/>
  <c r="B12" i="6" s="1"/>
  <c r="J24" i="5"/>
  <c r="B11" i="6" s="1"/>
  <c r="B10" i="6"/>
  <c r="J20" i="5"/>
  <c r="B9" i="6" s="1"/>
  <c r="J18" i="5"/>
  <c r="B8" i="6" s="1"/>
  <c r="J14" i="5"/>
  <c r="B7" i="6" s="1"/>
  <c r="B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Federico Arche, Pau</author>
  </authors>
  <commentList>
    <comment ref="A49" authorId="0" shapeId="0" xr:uid="{00000000-0006-0000-0200-000001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Apareix al catàleg com en perill d'extinció, potser caldria ternir-la en compte
</t>
        </r>
      </text>
    </comment>
    <comment ref="A71" authorId="0" shapeId="0" xr:uid="{00000000-0006-0000-0200-00000C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HI afegiria aquest fong catalogat en perill d'extinció i que el tenim present al PNIN
</t>
        </r>
      </text>
    </comment>
    <comment ref="A74" authorId="0" shapeId="0" xr:uid="{00000000-0006-0000-0200-00000F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Coleòpter present al PNIN, vulnerable</t>
        </r>
      </text>
    </comment>
    <comment ref="A75" authorId="0" shapeId="0" xr:uid="{00000000-0006-0000-0200-000002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Es troba fora de PNIN. </t>
        </r>
      </text>
    </comment>
    <comment ref="A78" authorId="0" shapeId="0" xr:uid="{00000000-0006-0000-0200-000003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Es troba dora de PNIN
</t>
        </r>
      </text>
    </comment>
    <comment ref="A91" authorId="0" shapeId="0" xr:uid="{00000000-0006-0000-0200-00000E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Catalogada com a vulnerable, present a les RNP, es fa BMS</t>
        </r>
      </text>
    </comment>
    <comment ref="A95" authorId="0" shapeId="0" xr:uid="{00000000-0006-0000-0200-000004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Es troba dins PNIN i apareix al catàleg com en perill d'extinció</t>
        </r>
      </text>
    </comment>
    <comment ref="A96" authorId="0" shapeId="0" xr:uid="{00000000-0006-0000-0200-000005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És l'únic punt de Catalunya on hi cria i apareix al catàleg com en perill d'extinció, caldria prioritzar-lo</t>
        </r>
      </text>
    </comment>
    <comment ref="A104" authorId="0" shapeId="0" xr:uid="{00000000-0006-0000-0200-000006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No està present dins el PNIN</t>
        </r>
      </text>
    </comment>
    <comment ref="A107" authorId="0" shapeId="0" xr:uid="{00000000-0006-0000-0200-000010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Coleòpter present al PNIN, vulnerable</t>
        </r>
      </text>
    </comment>
    <comment ref="A109" authorId="0" shapeId="0" xr:uid="{00000000-0006-0000-0200-000007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Cites dubtoses i fora del PNIN
</t>
        </r>
      </text>
    </comment>
    <comment ref="A110" authorId="0" shapeId="0" xr:uid="{00000000-0006-0000-0200-000008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Present fora del PNIN
</t>
        </r>
      </text>
    </comment>
    <comment ref="A112" authorId="0" shapeId="0" xr:uid="{00000000-0006-0000-0200-000012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Espècie amenaçada i dins el PNIN</t>
        </r>
      </text>
    </comment>
    <comment ref="A115" authorId="0" shapeId="0" xr:uid="{00000000-0006-0000-0200-000009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Ratpenat escàs i catalogat com a vulnerable, caldria prioritzar-lo
</t>
        </r>
      </text>
    </comment>
    <comment ref="A120" authorId="0" shapeId="0" xr:uid="{00000000-0006-0000-0200-00000A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Present a la bassa del castellar (dins PNIN)</t>
        </r>
      </text>
    </comment>
    <comment ref="A129" authorId="0" shapeId="0" xr:uid="{00000000-0006-0000-0200-00000B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A la última revisió ha quedat fora del catàleg de flora amenaçada</t>
        </r>
      </text>
    </comment>
    <comment ref="A134" authorId="0" shapeId="0" xr:uid="{00000000-0006-0000-0200-000011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Coleòpter present al PNIN, vulnerable</t>
        </r>
      </text>
    </comment>
    <comment ref="A138" authorId="0" shapeId="0" xr:uid="{00000000-0006-0000-0200-00000D000000}">
      <text>
        <r>
          <rPr>
            <i/>
            <sz val="9"/>
            <color indexed="81"/>
            <rFont val="Tahoma"/>
            <family val="2"/>
          </rPr>
          <t>Federico Arche, Pau:</t>
        </r>
        <r>
          <rPr>
            <b/>
            <sz val="9"/>
            <color indexed="81"/>
            <rFont val="Tahoma"/>
            <family val="2"/>
          </rPr>
          <t xml:space="preserve">
Apareix com a vulnerable, present a les RNP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Parpal Servole, Jordi</author>
  </authors>
  <commentList>
    <comment ref="G4" authorId="0" shapeId="0" xr:uid="{00000000-0006-0000-0500-000001000000}">
      <text>
        <r>
          <rPr>
            <i/>
            <sz val="9"/>
            <color indexed="81"/>
            <rFont val="Tahoma"/>
            <family val="2"/>
          </rPr>
          <t>Parpal Servole, Jordi:</t>
        </r>
        <r>
          <rPr>
            <b/>
            <sz val="9"/>
            <color indexed="81"/>
            <rFont val="Tahoma"/>
            <family val="2"/>
          </rPr>
          <t xml:space="preserve">
Els Parcs haurien d'optar per suprimir o modificar els objectius operatius que no es consideren obligats per a tots els Parcs (columna I)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Parpal Servole, Jordi</author>
  </authors>
  <commentList>
    <comment ref="L1" authorId="0" shapeId="0" xr:uid="{FA0A5820-B79C-424D-8DD3-0E7270A8679C}">
      <text>
        <r>
          <rPr>
            <i/>
            <sz val="9"/>
            <color indexed="81"/>
            <rFont val="Tahoma"/>
            <family val="2"/>
          </rPr>
          <t>Parpal Servole, Jordi:</t>
        </r>
        <r>
          <rPr>
            <b/>
            <sz val="9"/>
            <color indexed="81"/>
            <rFont val="Tahoma"/>
            <family val="2"/>
          </rPr>
          <t xml:space="preserve">
Els Parcs haurien d'optar per suprimir o modificar els objectius operatius que no es consideren obligats per a tots els Parcs (columna I)</t>
        </r>
      </text>
    </comment>
  </commentList>
</comments>
</file>

<file path=xl/sharedStrings.xml><?xml version="1.0" encoding="utf-8"?>
<sst xmlns="http://schemas.openxmlformats.org/spreadsheetml/2006/main" count="8199" uniqueCount="1657">
  <si>
    <t xml:space="preserve">ESQUEMA CONCEPTUAL PER A LA ELABORACIÓ DEL PLA ESTRATÈGIC EN EL MARC </t>
  </si>
  <si>
    <t>DELS ESTÀNDARDS OBERTS PER A LA GESTIÓ ADAPTATIVA A CATALUNYA</t>
  </si>
  <si>
    <t>PESTANYA DE PRIORITZACIÓ</t>
  </si>
  <si>
    <t>Llistat elements:</t>
  </si>
  <si>
    <t>Tasca 1: Revisar el llistat d'elements prioritzats per tal d'avaluar si cal afegir-ne algun o treure'n algun. A la columna comentaris cal argumentar, breument, el perquè de la decisió.</t>
  </si>
  <si>
    <t>Llistat amenaces:</t>
  </si>
  <si>
    <t>Tasca 2: A partir de la taxonomia d'amenaces que es troba a la pestanya final, cal omplir les tres columnes (E, F i G) amb les tres principals amenaces per a la conservació de l'element. S'afegeixi una darrera columna per si hi ha amenaces que no es troben incloses a la taxonomia.</t>
  </si>
  <si>
    <t>PESTANYA DEL PLA</t>
  </si>
  <si>
    <t>Explicacions:</t>
  </si>
  <si>
    <t>Els objectius generals estan directament associats als objectius generals dels Plans de Protecció del medi natural i del paisatge. NO ES PODEN RETOCAR</t>
  </si>
  <si>
    <t>Objectius estratègics: definits en un grup de treball intern de serveis Centrals i dels Parcs durant l'any 2023. NO ES PODEN RETOCAR</t>
  </si>
  <si>
    <t>Objectius operacionals: definits en un grup de treball intern de serveis Centrals i dels Parcs durant l'any 2023</t>
  </si>
  <si>
    <t>Tasques a realitzar:</t>
  </si>
  <si>
    <t>Objectius operacionals:</t>
  </si>
  <si>
    <t xml:space="preserve">El llistat d'objectius operacionals té una columna al costat (columna I) on s'indica si l'objectiu és obligatori de mantenir al Pla estratègic o no. </t>
  </si>
  <si>
    <t>Tasca 1: Columna I. Revisar els que es posa com a obligatoris per veure si són realment aplicables a l'espai o no.</t>
  </si>
  <si>
    <t>Tasca 2: Columna I. Revisar els que posa "Optatiu" per identificar els que són aplicables o no a l'espai. O, també, determinar si algun d'ells seria aplicable o es pot concretar millor el redactat de l'objectiu.</t>
  </si>
  <si>
    <t xml:space="preserve">Tasca 3: Columna J. En ambdós casos, cal posar a la columna J, el redactat final de l'objectiu concretat a l'espai. En el cas de que l'objectiu s'elimina, posar "NA". Ara es reprodueix el redactat dels objectius operacionals derivats del grup de treball esmentat </t>
  </si>
  <si>
    <t>Tasca 4: Columna K. Per tots els casos en que hi ha modificació respecte al redactat original de l'objectiu operatiu -i, també, en el cas que es consideri que s'ha d'eliminar-, a la columna K cal redactar molt breument el motiu pel qual es prèn la decisió.</t>
  </si>
  <si>
    <t>Tasca 5: Columna L. Incloure un Si/No avaluant si l'objectiu operatiu podria tenir mesures a incorporar a la programació d'actuacions de l'espai (Si) o, per altra banda, el seu assoliment depèn d'altres òrgans, com l'ACA o altres serveis dins la DGPAMN (No).</t>
  </si>
  <si>
    <t>Tasca 6: Columna M. Definir la prioritat que hauria de tenir l'assoliment de l'objectiu (màxima, si cal assolir en els propers 4 anys, o altrament alta, mitja o baixa). També hi ha l'opció de prioritat a assolir a més llarg termini.</t>
  </si>
  <si>
    <t>Propostes genèriques d'accions:</t>
  </si>
  <si>
    <t xml:space="preserve">Tasca 7: Columna N. En aquesta columna cal introduir les accions, de manera genèrica, que caldria aplicar a l'espai per tal d'assolir l'objectiu operatiu. No es tracta d'un llistat d'accions concretes si no, més aviat, accions generals que acabarien concretant-se en la programació anual. PER A INICIAR AMB LA TAULA US PODEU BASAR MOLT EN LA FEINA JA FETA DE PRIORITZACIÓ DE MESURES PEL MAP  </t>
  </si>
  <si>
    <t xml:space="preserve">En el cas dels objectius operatius que s'ha considerat que no són aplicables a l'espai, cal avaluar si podrien tenir alguna acció que sí tindria sentit d'incloure al Pla estratègic tot i que l'objectiu de manera global no hi seria d'aplicació. </t>
  </si>
  <si>
    <t>Indicadors:</t>
  </si>
  <si>
    <t>Tasca 8: Columna Q. Posar un indicador SMART per avaluar el compliment de la mesura proposada a la columna N</t>
  </si>
  <si>
    <t>Fites a assolir en 4 anys:</t>
  </si>
  <si>
    <t>Tasca 9: Posar un valor de l'indicador a assolir: valor mínim necessari (columna R) o valor desitjable (columna S).</t>
  </si>
  <si>
    <t>Hores de dedicació:</t>
  </si>
  <si>
    <t xml:space="preserve">Tasca 10: Columna T. Realitzar una aproximació el més acurada que es pugui de les hores del personal de gestió de l'espai que cal destinar per a la realització de l'acció. </t>
  </si>
  <si>
    <t>Àrea responsable:</t>
  </si>
  <si>
    <t>Tasca 11: Columna U. Indicar quina àrea de l'equip de gestió és responsable de coordinar l'execució de l'acció.</t>
  </si>
  <si>
    <t>Persona responsable:</t>
  </si>
  <si>
    <t>Tasca 12: Columna V. Indicar quina persona dins l'àrea seria l'encarregada.</t>
  </si>
  <si>
    <t>PESTANYA DEL VINCLE</t>
  </si>
  <si>
    <t>Definir vincle amenaça vs. Obj. Operatiu</t>
  </si>
  <si>
    <t xml:space="preserve">Tasca 1: Establir / Revisar el vincle entre les amenaces identificades a la pestanya de priorització i els objectius operatius definits a la columna J de la pestanya Pla. La columna B conté el llistat dels objectius operatius tal i com quedaran definits després de la vostra revisió. </t>
  </si>
  <si>
    <t xml:space="preserve">Tasca 2: En cas que es pugui, definir l'amenaça / factor / causa concret a la que atén l'objectiu definit al Pla. Poden ser més d'una. </t>
  </si>
  <si>
    <t xml:space="preserve"> És important que es visualitzi a quina amenaça es dirigeix l'objectiu operatiu que es proposa al Pla, tot i que, no sempre hi ha d'haver un vincle clar. Pot haver-hi algun objectiu sense amenaça vinculada.</t>
  </si>
  <si>
    <t>Element prioritzat a la proposta inicial</t>
  </si>
  <si>
    <t>canvi a no</t>
  </si>
  <si>
    <t>Element prioritzat</t>
  </si>
  <si>
    <t>Hàbitat no present al PNIN/Ni surt a la nostra llista</t>
  </si>
  <si>
    <t>manté o afegim a sí</t>
  </si>
  <si>
    <t>No surt prioritzat amb els nostres criteris</t>
  </si>
  <si>
    <t>Dubtós</t>
  </si>
  <si>
    <t>Ens surt prioritzat amb els nostres criteris</t>
  </si>
  <si>
    <t>Llistats corresponent a l'espai de Natura 2000 ES5120014"L'Albera"</t>
  </si>
  <si>
    <t>LLISTAT D'ELEMENTS PRESENT A L'ESPAI</t>
  </si>
  <si>
    <t>AMENACES PER A CADA ELEMENT</t>
  </si>
  <si>
    <t>Hàbitats d'interès comunitari</t>
  </si>
  <si>
    <t>Prioritzat</t>
  </si>
  <si>
    <t>Puntuació índex rellevància</t>
  </si>
  <si>
    <t>Comentaris en cas de canvi en la priorització</t>
  </si>
  <si>
    <t>Amenaça 1 segons taxonomia</t>
  </si>
  <si>
    <t>Amenaça 2 segons taxonomia</t>
  </si>
  <si>
    <t>Amenaça 3 segons taxonomia</t>
  </si>
  <si>
    <t>Altres amenaces</t>
  </si>
  <si>
    <t>1120p - Alguers de posidònia</t>
  </si>
  <si>
    <t>No</t>
  </si>
  <si>
    <t>Hàbitat no present al PNIN</t>
  </si>
  <si>
    <t>Nota: La priorització d'elements actual inclou els Elements Clau que es van determinar en l'instrument de gestió aprovat amb l'Acord de Govern 150/2014 (Annex 6)</t>
  </si>
  <si>
    <t>1170 - Fons marins rocosos i concrecions biogèniques sublitorals</t>
  </si>
  <si>
    <t>Aquest Acord era per les Zones Especials de Conservació, no per les ZEPA i, per tant, no es va fer l'exercici de priorització de les aus.</t>
  </si>
  <si>
    <t>1240 - Penya-segats de les costes mediterrànies colonitzats per vegetació, amb ensopegueres (Limonium spp.) endèmiques</t>
  </si>
  <si>
    <t>També inclou el primer quartil de l'exercici de la UIC per prioritzar els elements present a cada espai de Natura 2000, és a dir, el 25% dels</t>
  </si>
  <si>
    <t>2110 - Dunes movents embrionàries</t>
  </si>
  <si>
    <t>elements amb major índex de rellevància a l'espai. Veure document metodològic aquí:</t>
  </si>
  <si>
    <t>2120 - Dunes movents del cordó litoral, amb borró (Ammophila arenaria)</t>
  </si>
  <si>
    <t>https://gencat.sharepoint.com/sites/Informaciiconeixementpatrimoninatural2/Documents%20compartits/Forms/AllItems.aspx?csf=1&amp;web=1&amp;e=3x4ZkK&amp;ovuser=3b9427dc%2Dd30e%2D43bc%2D8c06%2Dff7253676fec%2Cjordiparpal%40gencat%2Ecat&amp;OR=Teams%2DHL&amp;CT=1713942253212&amp;clic</t>
  </si>
  <si>
    <t>3170p - Basses i tolls temporers mediterranis</t>
  </si>
  <si>
    <t>Si</t>
  </si>
  <si>
    <t>Ramaderia</t>
  </si>
  <si>
    <t>Activitat agrícola</t>
  </si>
  <si>
    <t>Impactes del canvi climàtic relatius a l'alteració del règim de precipitació i sequera</t>
  </si>
  <si>
    <t>El llistat original d'elements prové de les taules del MAP que heu estat treballant amb el SENP</t>
  </si>
  <si>
    <t>3250 - Rius mediterranis amb vegetació del Glaucion flavi</t>
  </si>
  <si>
    <t>3260 - Rius de terra baixa i de la muntanya mitjana amb vegetació submersa o parcialment flotant (Ranunculion fluitantis i Callitricho-Batrachion)</t>
  </si>
  <si>
    <t>3270 - Rius amb vores llotoses colonitzades per herbassars nitròfils del Chenopodion rubri (p.p.) i del Bidention (p.p.)</t>
  </si>
  <si>
    <t>3290 - Rius mediterranis intermitents, amb gespes nitròfiles del Paspalo-Agrostidion</t>
  </si>
  <si>
    <t>6420 - Jonqueres i herbassars graminoides humits, mediterranis, del Molinio-Holoschoenion</t>
  </si>
  <si>
    <t>6510 - Prats de dall de terra baixa i de la muntanya mitjana (Arrhenatherion)</t>
  </si>
  <si>
    <t>No surt prioritzat amb els nostres criteris, ni és present al PNIN.</t>
  </si>
  <si>
    <t>8130 - Tarteres de l'Europa meridional amb vegetació poc o molt termòfila</t>
  </si>
  <si>
    <t>8220 - Costers rocosos silicis amb vegetació rupícola</t>
  </si>
  <si>
    <t>9120 - Fagedes acidòfiles</t>
  </si>
  <si>
    <t>91E0p - Vernedes i altres boscos de ribera afins (Alno-Padion)</t>
  </si>
  <si>
    <t>Gestió de l'aigua</t>
  </si>
  <si>
    <t xml:space="preserve">Treballs forestals </t>
  </si>
  <si>
    <t>9260 - Castanyedes</t>
  </si>
  <si>
    <t>92A0 - Alberedes, salzedes i altres boscos de ribera</t>
  </si>
  <si>
    <t>92D0 - Bosquines i matollars meridionals de rambles, rieres i llocs humits (Nerio-Tamaricetea) </t>
  </si>
  <si>
    <t>9330 - Suredes</t>
  </si>
  <si>
    <t>Incendis</t>
  </si>
  <si>
    <t>9340 - Alzinars i carrascars</t>
  </si>
  <si>
    <t>9380 - Grevoledes</t>
  </si>
  <si>
    <t>9540 - Pinedes mediterrànies</t>
  </si>
  <si>
    <t>Espècies presents a l'espai</t>
  </si>
  <si>
    <t>Accipiter gentilis gentilis</t>
  </si>
  <si>
    <t>Alcedo atthis</t>
  </si>
  <si>
    <t>Alectoris rufa</t>
  </si>
  <si>
    <t>Alytes obstetricans</t>
  </si>
  <si>
    <t>Anas platyrhynchos</t>
  </si>
  <si>
    <t>Anthus campestris</t>
  </si>
  <si>
    <t>Aquila chrysaetos</t>
  </si>
  <si>
    <t>Molèsties per activitats recreatives</t>
  </si>
  <si>
    <t>Aquila fasciata</t>
  </si>
  <si>
    <t>Austropotamobius pallipes</t>
  </si>
  <si>
    <t>Espècies invasores</t>
  </si>
  <si>
    <t>Barbastella barbastellus</t>
  </si>
  <si>
    <t>Barbus meridionalis</t>
  </si>
  <si>
    <t>Bubo bubo</t>
  </si>
  <si>
    <t>Buteo buteo</t>
  </si>
  <si>
    <t>Calandrella brachydactyla</t>
  </si>
  <si>
    <t>Caprimulgus europaeus</t>
  </si>
  <si>
    <t>Cerambyx cerdo</t>
  </si>
  <si>
    <t>Gestió d'hàbitats</t>
  </si>
  <si>
    <t>Certhia brachydactyla all others</t>
  </si>
  <si>
    <t>Cinclus cinclus</t>
  </si>
  <si>
    <t>Circaetus gallicus</t>
  </si>
  <si>
    <t>Circus cyaneus</t>
  </si>
  <si>
    <t>Circus pygargus</t>
  </si>
  <si>
    <t>Columba palumbus palumbus</t>
  </si>
  <si>
    <t>Coracias garrulus</t>
  </si>
  <si>
    <t>Coturnix coturnix</t>
  </si>
  <si>
    <t>Dryocopus martius</t>
  </si>
  <si>
    <t>Emberiza hortulana</t>
  </si>
  <si>
    <t>Euphydryas aurinia</t>
  </si>
  <si>
    <t>No es coneixen cites d'aquesta espècie a l'espai</t>
  </si>
  <si>
    <t>Falco columbarius</t>
  </si>
  <si>
    <t>Falco naumanni</t>
  </si>
  <si>
    <t>Falco peregrinus</t>
  </si>
  <si>
    <t>Falco subbuteo</t>
  </si>
  <si>
    <t>Falco tinnunculus</t>
  </si>
  <si>
    <t>Fringilla coelebs all others</t>
  </si>
  <si>
    <t>Fulica atra</t>
  </si>
  <si>
    <t>Galerida cristata</t>
  </si>
  <si>
    <t>Galerida theklae</t>
  </si>
  <si>
    <t>Gallinula chloropus</t>
  </si>
  <si>
    <t>Hieraaetus pennatus</t>
  </si>
  <si>
    <t>Hippolais polyglotta</t>
  </si>
  <si>
    <t>Hydrocotyle vulgaris</t>
  </si>
  <si>
    <t>Jynx torquilla</t>
  </si>
  <si>
    <t>Kurzia sylvatica</t>
  </si>
  <si>
    <t>Lacerta bilineata</t>
  </si>
  <si>
    <t>Lanius collurio</t>
  </si>
  <si>
    <t>Lanius excubitor meridionalis</t>
  </si>
  <si>
    <t>Lanius senator</t>
  </si>
  <si>
    <t>Larus michahellis</t>
  </si>
  <si>
    <t>Larus ridibundus</t>
  </si>
  <si>
    <t>Linaria cannabina</t>
  </si>
  <si>
    <t>Lucanus cervus</t>
  </si>
  <si>
    <t>Lullula arborea</t>
  </si>
  <si>
    <t>Lutra lutra</t>
  </si>
  <si>
    <t>Mauremys leprosa</t>
  </si>
  <si>
    <t>Merops apiaster</t>
  </si>
  <si>
    <t>Miniopterus schreibersii</t>
  </si>
  <si>
    <t>No especificada</t>
  </si>
  <si>
    <t>Muscicapa striata</t>
  </si>
  <si>
    <t>Mustela putorius</t>
  </si>
  <si>
    <t>Myotis alcathoe</t>
  </si>
  <si>
    <t>Myotis bechsteinii</t>
  </si>
  <si>
    <t>Myotis blythii</t>
  </si>
  <si>
    <t>Myotis daubentonii</t>
  </si>
  <si>
    <t>Myotis emarginatus</t>
  </si>
  <si>
    <t>Myotis myotis</t>
  </si>
  <si>
    <t>Nyctalus leisleri</t>
  </si>
  <si>
    <t>Oenanthe hispanica</t>
  </si>
  <si>
    <t>Otus scops</t>
  </si>
  <si>
    <t>Oxygastra curtisii</t>
  </si>
  <si>
    <t>Pallavicinia lyellii</t>
  </si>
  <si>
    <t>Passer montanus</t>
  </si>
  <si>
    <t>Ni tan sols surt a la nostra llista</t>
  </si>
  <si>
    <t>Periparus ater all others</t>
  </si>
  <si>
    <t>Pernis apivorus</t>
  </si>
  <si>
    <t>Plecotus auritus</t>
  </si>
  <si>
    <t>Pluvialis apricaria</t>
  </si>
  <si>
    <t>Podiceps cristatus</t>
  </si>
  <si>
    <t>Rallus aquaticus</t>
  </si>
  <si>
    <t>Rana temporaria</t>
  </si>
  <si>
    <t>Ranunculus nodiflorus</t>
  </si>
  <si>
    <t>Rhinolophus euryale</t>
  </si>
  <si>
    <t>Rhinolophus ferrumequinum</t>
  </si>
  <si>
    <t>Rhinolophus hipposideros</t>
  </si>
  <si>
    <t>Rosalia alpina</t>
  </si>
  <si>
    <t>Saga pedo</t>
  </si>
  <si>
    <t>Saxicola torquatus</t>
  </si>
  <si>
    <t>Scolopax rusticola</t>
  </si>
  <si>
    <t>Spiranthes aestivalis</t>
  </si>
  <si>
    <t>Streptopelia turtur</t>
  </si>
  <si>
    <t>Sylvia cantillans</t>
  </si>
  <si>
    <t>Sylvia conspicillata</t>
  </si>
  <si>
    <t>Sylvia undata</t>
  </si>
  <si>
    <t>Testudo hermanni</t>
  </si>
  <si>
    <t>Caça i recol·lecció d'animals</t>
  </si>
  <si>
    <t>Troglodytes troglodytes all others</t>
  </si>
  <si>
    <t>Upupa epops</t>
  </si>
  <si>
    <t>Vanellus vanellus</t>
  </si>
  <si>
    <t>Osmunda regalis</t>
  </si>
  <si>
    <t>Marsilea strigosa</t>
  </si>
  <si>
    <t>Isoetes durieui</t>
  </si>
  <si>
    <t>Saxifraga fragosoi</t>
  </si>
  <si>
    <t>Foc</t>
  </si>
  <si>
    <t>Osmoderma eremita</t>
  </si>
  <si>
    <t>Triturus marmoratus</t>
  </si>
  <si>
    <t>Canis lupus</t>
  </si>
  <si>
    <t>Felis silvestris</t>
  </si>
  <si>
    <t>Introducció de genotips aliens</t>
  </si>
  <si>
    <t>Glis glis</t>
  </si>
  <si>
    <t>No surt prioritzat, però en fem seguiment</t>
  </si>
  <si>
    <t>Neomys milleri</t>
  </si>
  <si>
    <r>
      <t xml:space="preserve">Hericium </t>
    </r>
    <r>
      <rPr>
        <sz val="11"/>
        <color theme="1"/>
        <rFont val="Calibri"/>
        <family val="2"/>
        <scheme val="minor"/>
      </rPr>
      <t>erinaceus</t>
    </r>
  </si>
  <si>
    <t>Tyto alba</t>
  </si>
  <si>
    <t>Desaparició d'activitats tradicionals</t>
  </si>
  <si>
    <t>Melanargia occitanica</t>
  </si>
  <si>
    <t>Hoplia coerulea</t>
  </si>
  <si>
    <t>Osphya aeneipennis</t>
  </si>
  <si>
    <t>Synchita undata</t>
  </si>
  <si>
    <t>Pedicularis comosa sp. Asparagoides</t>
  </si>
  <si>
    <t>Grups</t>
  </si>
  <si>
    <t>Espècie</t>
  </si>
  <si>
    <t>Normatives</t>
  </si>
  <si>
    <t>Feina Feta</t>
  </si>
  <si>
    <t>AVALUACIÓ</t>
  </si>
  <si>
    <t>Aus</t>
  </si>
  <si>
    <t>Invertebrats</t>
  </si>
  <si>
    <t>Amfibis</t>
  </si>
  <si>
    <t>Rèptils</t>
  </si>
  <si>
    <t>Plantes vasculars</t>
  </si>
  <si>
    <t>Pteridòfits</t>
  </si>
  <si>
    <t>Mamífers</t>
  </si>
  <si>
    <t>Peixos</t>
  </si>
  <si>
    <t>Hyla meridionalis</t>
  </si>
  <si>
    <t>Lacerta bilineata (ex viridis)</t>
  </si>
  <si>
    <t>Limonium geronense</t>
  </si>
  <si>
    <t>Myotis bechsteini</t>
  </si>
  <si>
    <t xml:space="preserve">Pedicularis comosa ssp asparagoides </t>
  </si>
  <si>
    <t>Rhinolophus eurylae</t>
  </si>
  <si>
    <t>MODEL DE PLA ESTRATÈGIC PELS ENP</t>
  </si>
  <si>
    <t>canviat optatiu-obligatori</t>
  </si>
  <si>
    <t>text modificat</t>
  </si>
  <si>
    <t>Espai natural protegit:</t>
  </si>
  <si>
    <t>L'Albera</t>
  </si>
  <si>
    <t>No aplicable (NA)</t>
  </si>
  <si>
    <t>Fita a assolir en 4 anys</t>
  </si>
  <si>
    <t>Gestió interna</t>
  </si>
  <si>
    <t>Anualitat</t>
  </si>
  <si>
    <t>EIXOS</t>
  </si>
  <si>
    <t>OBJECTIUS Generals (PP)</t>
  </si>
  <si>
    <t>OBJECTIUS Estratègics</t>
  </si>
  <si>
    <t>Comú / Específic</t>
  </si>
  <si>
    <t>Obligatori / Optatiu</t>
  </si>
  <si>
    <t>Objectiu operatiu concret a l'espai</t>
  </si>
  <si>
    <t>Explicació de la decisió presa en el cas de canvis respecte al llistat inicial (columna G)</t>
  </si>
  <si>
    <t>Objectiu amb mesures incorporables a la planificació anual de la gestió de l'espai?</t>
  </si>
  <si>
    <t>Prioritat</t>
  </si>
  <si>
    <t>Propostes genèriques d'accions</t>
  </si>
  <si>
    <t>Marc de referència</t>
  </si>
  <si>
    <t>Resultats derivats</t>
  </si>
  <si>
    <t>Accions (afegit Albera)</t>
  </si>
  <si>
    <t>indicadors</t>
  </si>
  <si>
    <t>Mínima</t>
  </si>
  <si>
    <t>Màxim (Desitjable)</t>
  </si>
  <si>
    <t>Àrea responsable</t>
  </si>
  <si>
    <t>Persona responsable</t>
  </si>
  <si>
    <t>NATURA</t>
  </si>
  <si>
    <t>CONSERVAR LA NATURA i restaurar els ecosistemes, els processos naturals i seminaturals, la biodiversitat i la geodiversitat associada.</t>
  </si>
  <si>
    <t>01.1</t>
  </si>
  <si>
    <t>Adequar i fer eficient la conservació dels elements objecte de gestió prioritària marcats per la DG a l'ENP</t>
  </si>
  <si>
    <t>01.1.1</t>
  </si>
  <si>
    <t>Implementar i executar plans de gestió específics per a hàbitats i espècies de conservació prioritària dins l'ENP</t>
  </si>
  <si>
    <t>Comú</t>
  </si>
  <si>
    <t xml:space="preserve">Obligatori </t>
  </si>
  <si>
    <t>MÀXIMA</t>
  </si>
  <si>
    <t xml:space="preserve">*Realització d'accions per a la millora dels elements prioritzats a l'espai
*Elaboració de plans de gestió per elements prioritzats a l'espai </t>
  </si>
  <si>
    <t>MAP</t>
  </si>
  <si>
    <t>SFF: Elaboració de plans de gestió específics per a espècies de conservació prioritària i directrius de gestió d'hàbitats.
SFF/SENP: Definir a nivell de cluster quins son els que es poden elaborar conjuntament.</t>
  </si>
  <si>
    <t>Patrimoni natural</t>
  </si>
  <si>
    <t>01.1.2</t>
  </si>
  <si>
    <t>Optatiu</t>
  </si>
  <si>
    <t>BAIXA</t>
  </si>
  <si>
    <t>01.2</t>
  </si>
  <si>
    <t>Executar les mesures de gestió directa previstes en els intruments de planificació per la conservació i la gestió adaptativa dels elements clau de l'ENP</t>
  </si>
  <si>
    <t>01.2.1</t>
  </si>
  <si>
    <t>Implementar la metodologia de gestió adaptativa (Estàndards Oberts de Gestió Adaptativa a Catalunya) en tots els processos de l'ENP</t>
  </si>
  <si>
    <t>Obligatori</t>
  </si>
  <si>
    <t>ALTA</t>
  </si>
  <si>
    <t>*Definició d'un protocol per tal d'incorporar la metodologia dels Estàndards Oberts pels processos més rellevants per a la conservació a l'espai</t>
  </si>
  <si>
    <t>ESNATURA</t>
  </si>
  <si>
    <t>SENP: Elaboració d'un manual per la implementació dels OSAM</t>
  </si>
  <si>
    <t>Aplicació de la metodologia dels Estàndards Oberts pels processos més rellevants per a la conservació a l'espai</t>
  </si>
  <si>
    <t>Direcció</t>
  </si>
  <si>
    <t>01.2.2</t>
  </si>
  <si>
    <t>Executar les mesures previstes en els plans de conservació o recuperació d'espècies amenaçades de forma coordinada amb el Servei de Flora i Fauna en l'àmbit de l'ENP</t>
  </si>
  <si>
    <t>MAP
Catàlegs</t>
  </si>
  <si>
    <t>SFF: Elaboració de plans de conservació o recuperació d'espècies protegides</t>
  </si>
  <si>
    <t>01.2.3</t>
  </si>
  <si>
    <t>Executar les mesures de gestió previstes en els plans de control i erradicació d'espècies exòtiques de forma coordinada amb el Servei de Flora i Fauna en l'àmbit de l'ENP</t>
  </si>
  <si>
    <t xml:space="preserve">* Implicació  i participació en la redacció (cal identificar els plans que estan ja en marxa o previstos i posar les mesures concretes) 
* Execució de les accions dins els plans que pertoquin a cada espai
* Col.laboració en l'obtenció de la informació necessària dins els espais per al desenvolupament dels Plans </t>
  </si>
  <si>
    <t>ESNATURA
MAP</t>
  </si>
  <si>
    <t>SFF: Elaboració de plans de control i erradicació d'espècies exòtiques</t>
  </si>
  <si>
    <t>01.2.4</t>
  </si>
  <si>
    <t xml:space="preserve">Desplegar els objectius i tasques recollits en els instruments de referència i compromisos internacionals  </t>
  </si>
  <si>
    <t>Específic</t>
  </si>
  <si>
    <t xml:space="preserve">Optatiu </t>
  </si>
  <si>
    <t>MITJANA</t>
  </si>
  <si>
    <t>* Desplegament dels objectius recollits en l'Estratègia de la Xarxa d'àrees marines protegides del Mediterrani (MedPAN network)
* Col·laboració en el compliment dels objectius i tasques derivats de la Mediterranean Climate Action Partnership en matèria de biodiversitat i canvi climàtic i els seus impactes sobre la sequera, calor i incendis
* Col·laboració en la implementació pràctica de projectes de l'àrea internacional i dels compromisos amb les entitats membres UICN, Euroregió Pirineus Mediterrània</t>
  </si>
  <si>
    <t>01.3</t>
  </si>
  <si>
    <t>Crear ecosistemes complexes, resilients, i d'alta biodiversitat per garantir la recuperació dels processos ecosistèmics</t>
  </si>
  <si>
    <t>01.3.1</t>
  </si>
  <si>
    <t>Identificar espais pel foment de la dinàmica natural i l'aprofitament no extractiu</t>
  </si>
  <si>
    <t>SENP/SFF: Definir criteris metodològics</t>
  </si>
  <si>
    <t>01.3.2</t>
  </si>
  <si>
    <t>Afavorir la maduresa dels sistemes forestals</t>
  </si>
  <si>
    <t>*Participar i impulsar la planificació i execució d'accions d'acceleració de la maduresa forestal en zones boscoses dins l'ENP en base als criteris metodològics predefinits</t>
  </si>
  <si>
    <t>Execució d'accions d'acceleració de la maduresa forestal en zones boscoses dins l'ENP en base als criteris metodològics predefinits</t>
  </si>
  <si>
    <t>01.3.3</t>
  </si>
  <si>
    <t>Generar pertorbacions controlades</t>
  </si>
  <si>
    <t>No hi ha zones compatibles amb cremes controlades dins del PNIN, ara mateix. Sí que es fan en zones de XN2000</t>
  </si>
  <si>
    <t>*Elaboració d'una planificació d'actuacions de simulació d'incendis forestals naturals (cremes controlades) dins l'espai en base als criteris metodològics predefinits.
*Realització dels estudis necessaris i participació en la reintroducció de grans herbívors, carnívors o carronyaires dins l'ENP en base als criteris metodològics predefinits.</t>
  </si>
  <si>
    <t>Col·laboració amb Bombers i GEPIF per a la realització de cremes controlades en àmbits compatibles</t>
  </si>
  <si>
    <t>01.3.4</t>
  </si>
  <si>
    <t>01.3.5</t>
  </si>
  <si>
    <t>Fomentar el paisatge en mosaïc</t>
  </si>
  <si>
    <t>*Realització d'accions per gestionar l'herbivoria domèstica associada a la ramaderia extensiva
*Aplicació dels criteris metodològics predefinits en un manual tècnic de bones pràctiques en ramaderia extensiva i recuperació i manteniment de pastures aplicat a l'ENP.
*Coordinació i gestió dels ramats locals en actuacions de restauració de pastures i desembosc.</t>
  </si>
  <si>
    <t>01.3.6</t>
  </si>
  <si>
    <t>01.4</t>
  </si>
  <si>
    <t>Alinear l'activitat de propietaris i gestors del territori amb la conservació, millora i restauració dels valors de l'ENP</t>
  </si>
  <si>
    <t>01.4.1</t>
  </si>
  <si>
    <t>Fomentar acords de custòdia en espais d'alt valor dins l'ENP per a la gestió dels elements prioritaris</t>
  </si>
  <si>
    <t>*Realització d'acords de custòdia aplicant el model d'acord elaborat per Serveis Centrals</t>
  </si>
  <si>
    <t>SENP/SENP: Dissenyar el protocol i elaborar un model d'acord</t>
  </si>
  <si>
    <t>01.4.2</t>
  </si>
  <si>
    <t>Fomentar bones pràctiques entre els col·lectius de propietaris i gestors del territori</t>
  </si>
  <si>
    <t>*Realització d'actuacions demostratives en finques pròpies per al foment de bones pràctiques</t>
  </si>
  <si>
    <t>Realització d'actuacions demostratives que permetin millorar la gestió d'hàbitats i espècies en altres llocs de l'espai, o zones semblants.</t>
  </si>
  <si>
    <t>01.4.3</t>
  </si>
  <si>
    <t>ADAPTAR ELS ECOSISTEMES AL CANVI CLIMÀTIC i millorar-ne la resiliència en front dels riscos associats.</t>
  </si>
  <si>
    <t>02.1</t>
  </si>
  <si>
    <t>Planificar l'adaptació dels sistemes naturals al canvi climàtic</t>
  </si>
  <si>
    <t>02.1.1</t>
  </si>
  <si>
    <t>Adaptar i implementar el Pla d'adaptació de l'ENP al canvi climàtic</t>
  </si>
  <si>
    <t>Redactar i implementar el Pla d'adaptació de l'ENP al canvi climàtic</t>
  </si>
  <si>
    <t>No disposem de cap Pla d'adaptació de l'ENP al canvi climàtic, de manera que primer caldrà redactar-lo.</t>
  </si>
  <si>
    <t>*Planificació del sistema d'espais oberts
*Creació de zones de laminació per defensa de inundacions
*Creació i manteniment d'espais dunars de protecció de temporals</t>
  </si>
  <si>
    <t xml:space="preserve">OCCC/SENP: Elaboració del model de Pla d'adaptació dels ENP al canvi climàtic </t>
  </si>
  <si>
    <t>02.1.2</t>
  </si>
  <si>
    <t>Gestionar i planificar els recursos hídrics de l'ENP</t>
  </si>
  <si>
    <t>Gestió i manteniment de les fonts i punts d'aigua del PNIN perquè els recursos hídrics estiguin disponibles tant per als hàbitats i les espècies, com per als usos humans (ramaderia, aigua de boca...).</t>
  </si>
  <si>
    <t>Manteniment</t>
  </si>
  <si>
    <t>02.1.3</t>
  </si>
  <si>
    <t>02.1.4</t>
  </si>
  <si>
    <t>02.2</t>
  </si>
  <si>
    <t xml:space="preserve">Planificar la prevenció i extinció d’incendis forestals i la gestió del foc de forma coordinada amb els diferents agents del territori </t>
  </si>
  <si>
    <t>02.2.1</t>
  </si>
  <si>
    <t xml:space="preserve">Redactar i implementar el Pla de Prevenció d'Incendis </t>
  </si>
  <si>
    <t xml:space="preserve">Col·laborar en la implementació del Pla de Prevenció d'Incendis </t>
  </si>
  <si>
    <t>El Pla de Prevenció d'Incendis ja està redactat i vigent des de fa anys per a tot el massís de l'Albera</t>
  </si>
  <si>
    <t>*Elaboració del Pla de Prevenció d'Incendis 
*Definició de: xarxa estratègica i complementària de vials forestals, xarxa estratègica i complementària de punts d’aigua, tractaments de vegetació, punts estratègics de gestió</t>
  </si>
  <si>
    <t>Equip de PPI: Disseny del protocol de treball</t>
  </si>
  <si>
    <t>02.2.2</t>
  </si>
  <si>
    <t>Definir i planificar la gestió del foc per a la millora de l'ENP</t>
  </si>
  <si>
    <t>La Taula de Foc, coordinada per Bombers i a la qual participem, és el marc on es prenen aquestes decisions.</t>
  </si>
  <si>
    <t>*Pla de gestió de foc
*Pla de gestió de cremes</t>
  </si>
  <si>
    <t>SPEN: Elaboració d'un model de pla de gestió</t>
  </si>
  <si>
    <t>Participació a la Taula de Foc de l'Albera i Cap de Creus</t>
  </si>
  <si>
    <t>02.2.3</t>
  </si>
  <si>
    <t>Treballar per a la prevenció d'incendis juntament amb els propietaris, ajuntaments, protecció civil, ADF i bombers.</t>
  </si>
  <si>
    <t>PROTEGIR LA BIODIVERSITAT, i especialment els elements fràgils i amenaçats, d’interès comunitari o de major interès natural.</t>
  </si>
  <si>
    <t>03.1</t>
  </si>
  <si>
    <t>Prevenir, minimitzar i compensar els impactes ambientals dels usos i activitats que es desenvolupin en l'àmbit de l'ENP</t>
  </si>
  <si>
    <t>03.1.1</t>
  </si>
  <si>
    <t>Participar en les consultes dels procesos d'Avaluació Ambiental que afectin directament o indirectament l’espai del ENP</t>
  </si>
  <si>
    <t>Participar en les consultes dels processos d'Avaluació Ambiental que afectin directament o indirectament l’ENP</t>
  </si>
  <si>
    <t>petita modificació del redactat</t>
  </si>
  <si>
    <t>Redacció dels informes preceptius sobre avaluació ambiental de projectes o plans que puguin afectar l'ENP.</t>
  </si>
  <si>
    <t>03.1.2</t>
  </si>
  <si>
    <t>Exercir un seguiment efectiu de les obres al Parc juntament amb les Oficines Territorials d'Acció i Avaluació Ambiental als efectes d'assegurar la correcta translació de la tutela administrativa.</t>
  </si>
  <si>
    <t>Exercir un seguiment efectiu dels treballs informats a l'ENP per assegurar l'acompliment de les condicions establertes.</t>
  </si>
  <si>
    <t>modificació del redactat</t>
  </si>
  <si>
    <t>Fer visites als treballs informats per l'òrgan de gestió, en coordinació amb l'OTAAA.</t>
  </si>
  <si>
    <t>03.1.3</t>
  </si>
  <si>
    <t>Participar en la compensació d'impactes residuals durant els processos d'avaluació ambiental mitjançant la identificació de necessitats d'actuació prioritària dins i fora dels límits de l’ENP</t>
  </si>
  <si>
    <t>*Catàleg de possibles actuacions compensatories
*Catàleg de sectors amb necessitats d'intervenció (incloent també zones fora dels límits de l'ENP que es considerin importants per al manteniment de la connectivitat ecològica dels espais)</t>
  </si>
  <si>
    <t>Identificació de possibles actuacions que es poguessin incloure en el marc de mesures compensatòries derivades de l'avaluació ambiental de projectes.</t>
  </si>
  <si>
    <t>03.2</t>
  </si>
  <si>
    <t>Garantir el compliment dels objectius de conservació dotant l'ENP de la planificació adequada segons estableix la normativa vigent (Pla de Protecció, PRUG, plans específics...)</t>
  </si>
  <si>
    <t>03.2.1</t>
  </si>
  <si>
    <t>Participar en l'elaboració dels instruments de planificació de l'ENP</t>
  </si>
  <si>
    <t>Estaríem parlant concretament del pla de protecció, en el nostre cas.</t>
  </si>
  <si>
    <t>*Participació en l'elaboració del Pla de Protecció (PP) juntament amb l'SPEN.
*Participació en l'elaboració del Pla Rector d'usos i Gestió (PRUG) juntament amb l'SPEN.
*Participació en l'elaboració d'altres instruments de planificació juntament amb l'SPEN.</t>
  </si>
  <si>
    <t>SPEN: Elaboració del Pla rector d'usos i gestió.
SPEN: Elaboració del Pla rector d'usos i gestió</t>
  </si>
  <si>
    <t>03.3.1</t>
  </si>
  <si>
    <t>03.3.2</t>
  </si>
  <si>
    <t>03.3.3</t>
  </si>
  <si>
    <t>Avaluar i controlar les actuacions que produeixin drenatges, captacions o que puguin impedir l’arribada d’aigua tant superficial com freàtica</t>
  </si>
  <si>
    <t>*Participació, de forma coordinada amb l'administració competent, en l'avaluació i control d'actuacions dins els límits de l'ENP.
*Impuls del control per incompliment de la normativa i el seu trasllat cap a l'administració competent
*Participació en les comunitats d'usuaris de les conques</t>
  </si>
  <si>
    <t>03.3.4</t>
  </si>
  <si>
    <t>03.4</t>
  </si>
  <si>
    <t>Incrementar el patrimoni públic destinat a la conservació i millora del patrimoni natural</t>
  </si>
  <si>
    <t>03.4.1</t>
  </si>
  <si>
    <t xml:space="preserve">Identificar espais prioritaris per a la compra de terrenys de més valor dins l'ENP </t>
  </si>
  <si>
    <t>*Participació en la identificació de finques prioritàries en base als criteris indicats</t>
  </si>
  <si>
    <t>SENP/SPEN: Facilitar els criteris a seguir</t>
  </si>
  <si>
    <t>03.4.2</t>
  </si>
  <si>
    <t xml:space="preserve"> CULTURA</t>
  </si>
  <si>
    <t>CONSERVAR ELS ELEMENTS CULTURALS materials i immaterials vinculats a la natura</t>
  </si>
  <si>
    <t>04.1</t>
  </si>
  <si>
    <t>Millorar el coneixement disponible sobre el patrimoni arquitectònic i cultural (material i immaterial) vinculat al patrimoni natural, el seu estat de conservació i els estils propis dels territoris de l'ENP</t>
  </si>
  <si>
    <t>04.1.1</t>
  </si>
  <si>
    <t>Elaborar l'inventari i cartografia de patrimoni cultural de l'ENP, que també inclogui el patrimoni etnològic i immaterial</t>
  </si>
  <si>
    <t>*Recopilació de la informació dels catàlegs dels ajuntaments de l'ENP i fer diagnosi
*Inventari de patrimoni cultural material
*Inventari de patrimoni cultural immaterial (metodologia de l'inventari de la unesco)
*Elaboració d'un mapa de tranquil·litat.</t>
  </si>
  <si>
    <t>Ús públic i educació ambiental</t>
  </si>
  <si>
    <t>04.1.2</t>
  </si>
  <si>
    <t>Elaborar el catàleg lingüístic (localismes) de patrimoni natural, geografia popular, festes i activitats tradicionals de l'ENP</t>
  </si>
  <si>
    <t>04.1.3</t>
  </si>
  <si>
    <t>Elaborar la cartografia de la xarxa de camins ramaders i senders tradicionals de l'ENP</t>
  </si>
  <si>
    <t>Elaborar l'inventari i cartografia de la xarxa de camins ramaders i altres vies públiques de l'ENP</t>
  </si>
  <si>
    <t>Recollir la informació en forma d'inventari. Fixar-nos en la propietat pública, i no tant en si és tradicional o no, molt més difícil de saber de forma objectiva i històrica.</t>
  </si>
  <si>
    <t>04.2</t>
  </si>
  <si>
    <t>Conservar i gestionar el patrimoni cultural de l'ENP de forma coordinada amb els agents responsables i entitats de referència</t>
  </si>
  <si>
    <t>04.2.1</t>
  </si>
  <si>
    <t>Identificar els ens de referència en patrimoni cultural (entitats, associacions, museus i ecomuseus, etc.) en l'àmbit de l'ENP</t>
  </si>
  <si>
    <t>Diria que ja està fet, però s'hauria de revisar.</t>
  </si>
  <si>
    <t>*Elaboració d'un mapa d'entitats, associacions, museus, ecomuseus, OPEI (Observatori del Patrimoni Etnològic i Immaterial), etc.</t>
  </si>
  <si>
    <t>04.2.2</t>
  </si>
  <si>
    <t>Articular treballs conjunts entre l'ENP i representants, gestors o custodis del patrimoni cultural per a la seva protecció i millora</t>
  </si>
  <si>
    <t>Els convenis són una forma jurídica difícil de portar a la pràctica. Val més parlar de col·laboració o acords.</t>
  </si>
  <si>
    <t>*Projecte parcs i museus
*Impuls dels convenis de col·laboració amb la xarxa de museus i altres equipaments i entitats de referència
*Foment de la cooperació tècnica dels gestors de l'ENP amb els representants o custodis del patrimoni cultural, i coordinar-ne l'ús compartit dels recursos</t>
  </si>
  <si>
    <t>04.2.3</t>
  </si>
  <si>
    <t>*Coordinació de l'equip tècnic (propi) amb els responsables dels treballs de restauració arquitectònica i del patrimoni cultural
*Participació quan els treballs estan vinculats a l’àrea d’ús públic de l’ENP</t>
  </si>
  <si>
    <t>FORA DEL TERMINI DEL PLA</t>
  </si>
  <si>
    <t>04.3.1</t>
  </si>
  <si>
    <t>04.3.2</t>
  </si>
  <si>
    <t>Recuperar i conservar el patrimoni cultural rural vinculat específicament a construccions de pedra en sec</t>
  </si>
  <si>
    <t>04.3.3</t>
  </si>
  <si>
    <t xml:space="preserve">Fomentar la recuperació i conservació de l'arquitectura tradicional d'interès de les edificacions i construccions </t>
  </si>
  <si>
    <t>04.3.4</t>
  </si>
  <si>
    <t>Identificar i conservar la diversitat domesticada de varietats agrícoles i ramaderes locals</t>
  </si>
  <si>
    <t>Ja s'està fent per a la vaca de l'Albera sense la nostra participació, i és que tampoc hi arribem</t>
  </si>
  <si>
    <t>*Banc de llavors
*Convenis ramaders per la cria de races locals</t>
  </si>
  <si>
    <t>04.4</t>
  </si>
  <si>
    <t xml:space="preserve">Donar a conèixer els elements culturals com a valors del paisatge de l'ENP en les activitats d'ús públic </t>
  </si>
  <si>
    <t>04.4.1</t>
  </si>
  <si>
    <t>Integrar el patrimoni cultural als itineraris i cartelleria de l'ENP.</t>
  </si>
  <si>
    <t>Ja es té en compte, però així es visualitza.</t>
  </si>
  <si>
    <t>Integració del patrimoni cultural als itineraris i cartelleria de l'ENP.</t>
  </si>
  <si>
    <t>04.4.2</t>
  </si>
  <si>
    <t>Incorporar el patrimoni cultural en els plans d’ús públic i educació ambiental per fomentar-ne la seva conservació i divulgació.</t>
  </si>
  <si>
    <t xml:space="preserve">Incorporació del patrimoni cultural en els plans d’ús públic i educació ambiental </t>
  </si>
  <si>
    <t>04.4.3</t>
  </si>
  <si>
    <t>Formar el personal dels punts d’informació en els valors culturals de l'ENP</t>
  </si>
  <si>
    <t>Formació del personal dels punts d'informació (propi o aliè) en els valors culturals de l'ENP.</t>
  </si>
  <si>
    <t>PROTEGIR EL PAISATGE i la qualitat de l'ambient visual, sonor i lumínic.</t>
  </si>
  <si>
    <t>05.1</t>
  </si>
  <si>
    <t>Identificar els elements d'interès paisatgístic de l'espai</t>
  </si>
  <si>
    <t>05.1.1</t>
  </si>
  <si>
    <t xml:space="preserve">Elaborar un inventari d'elements d'interès paisatgístic de l'ENP d'acord amb el Catàleg de paisatge de la zona </t>
  </si>
  <si>
    <t>Redacció de l'inventari d'elements d'interès paisatgístic de l'ENP d'acord amb el Catàleg de paisatge de la zona</t>
  </si>
  <si>
    <t>05.2.1</t>
  </si>
  <si>
    <t>Minimitzar la brutícia, deixalles, vandalisme i males praxis dins l'ENP</t>
  </si>
  <si>
    <t>05.3.1</t>
  </si>
  <si>
    <t>Promoure la certificació de zones d'especial protecció de la qualitat acústica</t>
  </si>
  <si>
    <t>Promoure la declaració de zones d'especial protecció de la qualitat acústica, d'acord amb els ajuntaments</t>
  </si>
  <si>
    <t>Els ajuntaments hi han d'estar interessats (ho han d'incloure al seu mapa de capacitat acústica en 6 mesos), i la declaració és de la DGQA</t>
  </si>
  <si>
    <t xml:space="preserve">CONEIXEMENT </t>
  </si>
  <si>
    <t>MILLORAR EL CONEIXEMENT DE L'ENTORN, del patrimoni natural, cultural i social.</t>
  </si>
  <si>
    <t>06.1</t>
  </si>
  <si>
    <t>Identificar els objectes de gestió prioritària de l'ENP en el marc dels objectius de govern</t>
  </si>
  <si>
    <t>06.1.1</t>
  </si>
  <si>
    <t>Identificar i prioritzar els elements clau i d'interès per a la gestió de la biodiversitat i geodiversitat de Catalunya que es troben dins l'ENP (espècies amenaçades, espècies exòtiques invasores,.. )</t>
  </si>
  <si>
    <t xml:space="preserve">
*Participació en la definició dels objectes de conservació clau (hàbitats, espècies, processos i elements d’interès geològic) comuns a nivell de Xarxa d'ENP o clúster territorial</t>
  </si>
  <si>
    <t>Directriva Habitats
Carta emplaçament
ESNATURA
Catàlegs</t>
  </si>
  <si>
    <t>UIC/SFF/SPEN: Definir criteris d'identificació d'elements interès.
UIC/SFF/SPEN: Definició dels objectes de conservació clau comuns a nivell de Xarxa d'ENP o clúster territorial</t>
  </si>
  <si>
    <t>06.1.2</t>
  </si>
  <si>
    <t>Definir espais fràgils i zones d'especial atenció</t>
  </si>
  <si>
    <t>*Generació d'informació per a l'inventari i cartografia d'espais fràgils
*Realització o actualització de l'inventari de ZH, espais interès geològic, etc.</t>
  </si>
  <si>
    <t>SPEN: Inventari i cartografia d'espais fràgils i zones d'especial atenció</t>
  </si>
  <si>
    <t>06.2</t>
  </si>
  <si>
    <t>Conèixer l'estat de conservació i la seva tendència dels hàbitats, les espècies els elements de la gea i els processos ecològics com a eina per avaluar i optimitzar la gestió</t>
  </si>
  <si>
    <t>06.2.1</t>
  </si>
  <si>
    <t>Participar en l'elaboració de la cartografia que elabora la UIC</t>
  </si>
  <si>
    <t>*Participació en la programació de la realització de la cartografia d'hàbitats en el contracte plurienal que existeix amb GeoVeg-UB</t>
  </si>
  <si>
    <t>UIC: Coordinar i contractar l'elaboració de la cartografia</t>
  </si>
  <si>
    <t>06.2.2</t>
  </si>
  <si>
    <t>Conèixer i estudiar els processos naturals propis de l’espai, la seva funcionalitat, i ecologia en referència als ecosistemes</t>
  </si>
  <si>
    <t>*Foment i coordinació dels estudis d'ecologia del foc, el règim hidrològic, la pol·linització, la tipificació i funcionament de les cadenes tròfiques pròpies de l’espai, la dinàmica de la neu i les allaus, dinàmica litoral, dinàmica geomorfològica i morfodinàmica de les roques, etc.
*Millora del coneixement de la geoconservació (escala més detallada de 1:50.000)
*Implementació del protocol de fluxos d'informació i coneixement de biodiversitat</t>
  </si>
  <si>
    <t>06.2.3</t>
  </si>
  <si>
    <t>Conèixer els usos i factors de canvi rellevants en l'evolució dels elements de conservació, i avaluar els efectes que generen en l’espai (pressions i amenaces)</t>
  </si>
  <si>
    <t>*Foment de l'estudi de l'afectació de determinats processos naturals o activitats antròpiques (contaminació, fragmentació d'hàbitats, atropellaments, noves arts de pesca o pràctiques agrícoles de muntanya, etc.) en l’ENP (amenaces i impacte ambiental).
*Avaluació de l'impacte del canvi climàtic en l'ENP i la seva capacitat d'adaptació i resiliència.
*Avaluació dels resultats de les estratègies de gestió aplicades en l'ENP
*Col.laboració amb l?Observatori per aportar els coneixements generats a l'ENP.</t>
  </si>
  <si>
    <t xml:space="preserve">SENP/UIC: Elaborar la classificació i cartografia de les pressions o factors de canvi sobre el medi natural </t>
  </si>
  <si>
    <t>06.2.4</t>
  </si>
  <si>
    <t>*Programa de seguiment de l’estat hidrològic de les masses d’aigua
*Establiment d’una xarxa automatitzada de control (sensors, inventaris, models hidrològics, etc.).</t>
  </si>
  <si>
    <t>06.2.5</t>
  </si>
  <si>
    <t>Participar en el coneixement de la tendència d'espècies plaga amb afectacions sobre ecosistemes o activitats econòmiques dins l'ENP</t>
  </si>
  <si>
    <t>*Participació en els estudis de les autoritats competents</t>
  </si>
  <si>
    <t>06.2.6</t>
  </si>
  <si>
    <t>Conèixer la tendència d'espècies exòtiques invasores amb afectacions sobre ecosistemes o activitats econòmiques dins l'ENP</t>
  </si>
  <si>
    <t>*Realització i foment d'estudis de forma coordinada amb el SFF</t>
  </si>
  <si>
    <t>06.3</t>
  </si>
  <si>
    <t xml:space="preserve">Estandaritzar els seguiments periòdics dels grups clau </t>
  </si>
  <si>
    <t>06.3.1</t>
  </si>
  <si>
    <t>Participar en la definició del sistema estàndard de seguiment de flora, fauna i hàbitats de la DG</t>
  </si>
  <si>
    <t xml:space="preserve">*Suport a la UIC en la definició dels sistemes de seguiment </t>
  </si>
  <si>
    <t>UIC/SFF/SENP: Crear espais de participació
UIC/SFF: Definir el sistema estàndard de seguiment i el protocol d'aplicació</t>
  </si>
  <si>
    <t>06.3.2</t>
  </si>
  <si>
    <t>Adequar i executar el sistema de seguiment periòdic dels grups clau de l'ENP al sistema estàndard de seguiment</t>
  </si>
  <si>
    <t xml:space="preserve">* Seguiment de les directrius del sistema de seguiment establerts segons la versió més recent aportada per la UIC
*Reforç i estabilització de la xarxa de voluntariat per a determinats seguiments de biodiversitat.
*Contractació plurianual d’especialistes
*Aplicació del protocol establert de compartir informació per al seguiment global d’indicadors de l’estat de la natura, el seguiment dels pol·linitzadors silvestres, o el seguiment dels pol·linitzadors silvestres </t>
  </si>
  <si>
    <t>UIC/SFF: Definir el sistema estàndard de seguiment i el protocol d'aplicació
UIC: Elaborar el protocol d'informació i coneixement</t>
  </si>
  <si>
    <t>06.3.3</t>
  </si>
  <si>
    <t xml:space="preserve">Mantenir una base de dades de seguiment de patrimoni natural de l'ENP actualitzada i ordenada </t>
  </si>
  <si>
    <t xml:space="preserve">Manteniment de la base de dades de seguiment de patrimoni natural de l'ENP actualitzada i ordenada </t>
  </si>
  <si>
    <t>06.4</t>
  </si>
  <si>
    <t>Incrementar el coneixement de qualitat mitjançant l’establiment de marcs de col·laboració, assessorament i suport amb centres de recerca, museus i entitats naturalistes per al desenvolupament de part de la seva activitat en l’ENP</t>
  </si>
  <si>
    <t>06.4.1</t>
  </si>
  <si>
    <t>Crear sinèrgies i col·laborar amb museus i equipaments de referència per definir línies d'actuació conjunta entre patrimoni cultural i natural</t>
  </si>
  <si>
    <t>SENP: Elaborar un mapa d'agents de referència</t>
  </si>
  <si>
    <t>06.4.2</t>
  </si>
  <si>
    <t>Establir acords amb les institucions de recerca i naturalistes per al desenvolupament d'estudis i inventaris dins l'ENP en el marc de les seves línies de recerca</t>
  </si>
  <si>
    <t>Facilitar que institucions de recerca i naturalistes facin estudis i inventaris dins l'ENP en el marc de les seves línies de recerca</t>
  </si>
  <si>
    <t>No podem fer acords, però sí que podem donar facilitats en la mesura del possible.</t>
  </si>
  <si>
    <t>SENP: Elaborar un mapa d'agents de referècia</t>
  </si>
  <si>
    <t>Facilitació a institucions de recerca i naturalistes perquè facin estudis i inventaris dins l'ENP en el marc de les seves línies de recerca.</t>
  </si>
  <si>
    <t>06.4.3</t>
  </si>
  <si>
    <t xml:space="preserve">Potenciar la ciència ciutadana en l’ENP com a eina per generar coneixement </t>
  </si>
  <si>
    <t>*Vinculació amb projectes de ciència ciutana existents per generar dades en l'ENP</t>
  </si>
  <si>
    <t>06.4.4</t>
  </si>
  <si>
    <t xml:space="preserve">Crear i desenvolupar jornades de recerca de l'ENP de forma anual on els diferents centres mostrin els estudis realizats en l'ENP </t>
  </si>
  <si>
    <t>Organitzar una trobada d'estudiosos de forma anual on els diferents organismes mostrin els estudis realizats a l'ENP, i els donin a conèixer a la societat.</t>
  </si>
  <si>
    <t>La jornada que fa temps que fem en diem ""Trobada d'estudiosos de l'Albera"</t>
  </si>
  <si>
    <t>SENP: Suport en l'organització de les jornades</t>
  </si>
  <si>
    <t>Organització d'una trobada d'estudiosos de forma anual on els diferents organismes comparteixin els estudis realizats a l'ENP.</t>
  </si>
  <si>
    <t>06.5</t>
  </si>
  <si>
    <t>Millorar el coneixement global de les dinàmiques d'usos antròpics de l’ENP</t>
  </si>
  <si>
    <t>06.5.1</t>
  </si>
  <si>
    <t>Participar en la definició del sistema estàndard de seguiment de l'ús públic amb el SENP</t>
  </si>
  <si>
    <t>SENP: Crear espais de participació. Definició del sistema estándard de seguiment de l'ús públic</t>
  </si>
  <si>
    <t>Participació en la definició del sistema estàndard de seguiment de l'ús públic amb el SENP.</t>
  </si>
  <si>
    <t>06.5.2</t>
  </si>
  <si>
    <t xml:space="preserve">Disposar de dades de freqüentació i perfil d'usuari en l'ENP i en especial en equipaments i en zones d'alta freqüentació segons el model de DG </t>
  </si>
  <si>
    <t>*Implementació del sistema estandaritzat de presa de dades i seguiment de la freqüentació en ENP del SENP
*Establiment de models de freqüentació que serveixin per gestionar l'ús públic en l'ENP conjuntament amb la UIC</t>
  </si>
  <si>
    <t>SENP: Disseny i elaboració del sistema estandaritzat de presa de dades i seguiment de la freqüentació en ENP</t>
  </si>
  <si>
    <t>06.5.3</t>
  </si>
  <si>
    <t>06.5.4</t>
  </si>
  <si>
    <t>06.5.5</t>
  </si>
  <si>
    <t>UIC: Disseny d'un model de registre d'activitats, actors i inciències en ús públic</t>
  </si>
  <si>
    <t>Establiment i actualització d'un registre d'activitats, actors i inciències en ús públic (curses, conflictes, queixes, etc)</t>
  </si>
  <si>
    <t>Identificar els impactes (positius i negatius) que generen les activitats d'ús públic dins l'ENP</t>
  </si>
  <si>
    <t>Identificació dels impactes (positius i negatius) que generen les activitats d'ús públic dins l'ENP</t>
  </si>
  <si>
    <t xml:space="preserve">DESENVOLUPAMENT LOCAL </t>
  </si>
  <si>
    <t>FIXAR LA POBLACIÓ AL TERRITORI d'acord amb les oportunitats que generen els objectius de l'espai.</t>
  </si>
  <si>
    <t>07.1</t>
  </si>
  <si>
    <t xml:space="preserve">Fomentar i donar suport tècnic als Plans de desenvolupament socioecòmonic local sostenible dels municipis </t>
  </si>
  <si>
    <t>07.1.1</t>
  </si>
  <si>
    <t>* Col·laboració en la definició i aplicació del Plans de Desenvolupament Local Sostenible que vulguin establir els ajuntaments de l'ENP.</t>
  </si>
  <si>
    <t>08.1.1</t>
  </si>
  <si>
    <t>08.1.2</t>
  </si>
  <si>
    <t xml:space="preserve">Oferir formació als productors agraris per millorar el seu coneixement sobre tècniques eficients i respectuoses amb la conservació del patrimoni natural i cultural </t>
  </si>
  <si>
    <t>Compartir informació amb els productors agraris i forestals sobre formació per millorar el seu coneixement sobre tècniques eficients i respectuoses amb la conservació del patrimoni natural i cultural .</t>
  </si>
  <si>
    <t>No podem oferir formació, però sí que podem compartir les ofertes de formació que ens arribin i que puguin ser del seu interès.</t>
  </si>
  <si>
    <t>*Programa de formació a sector primari</t>
  </si>
  <si>
    <t>Promoure la recuperació i conservació de marges i punts d'aigua associats a la ramaderia i l'agricultura i d'interès per a la biodiversitat</t>
  </si>
  <si>
    <t>Recuperació i conservació de marges i punts d'aigua associats a la ramaderia i l'agricultura i d'interès per la biodiversitat.</t>
  </si>
  <si>
    <t>08.3</t>
  </si>
  <si>
    <t>Millorar la valorització i comercialització dels productes generats a l'ENP que contribueixen al desenvolupament socioeconòmic i la conservació del patrimoni de l'ENP</t>
  </si>
  <si>
    <t>08.3.1</t>
  </si>
  <si>
    <t>Implantar un distintiu de qualitat i compatibilitat amb la conservació dels productes de la Xarxa d'ENP o criteris de qualitat propis de l'ENP</t>
  </si>
  <si>
    <t>En el marc dels ENPE de l'Empordà</t>
  </si>
  <si>
    <t>*Generació d'un segell comú per a tota la xarxa de Parcs (responsabilitat de SENP)
*Establiment de criteris propis de l'ENP per poder facilitar identificació de productes de qualitat i respectuosos</t>
  </si>
  <si>
    <t>SENP: Crear una marca que identifiqui els productes agroalimentaris generats en els ENP</t>
  </si>
  <si>
    <t>08.3.2</t>
  </si>
  <si>
    <t>Integrar els productes i activitats locals de qualitat en l'oferta d'activitats d'informació i turístiques de l'ENP</t>
  </si>
  <si>
    <t>*Elaboració d'un catàleg de productors i artesans de l'ENP 
*Inclusió de visites a productors o artesans en el catàleg d'activitats de l'ENP</t>
  </si>
  <si>
    <t>ESNATURA
CETS</t>
  </si>
  <si>
    <t>08.3.3</t>
  </si>
  <si>
    <t>Promoure fires d'artesania i productes locals de l'ENP</t>
  </si>
  <si>
    <t>Participar en fires d'artesania i productes locals de l'ENP</t>
  </si>
  <si>
    <t>Es fa des de l'Ajuntament d'Espolla</t>
  </si>
  <si>
    <t>Participació a la Fira de l'Oli d'Espolla amb algun taller o activitat per a la mainada</t>
  </si>
  <si>
    <t>08.3.4</t>
  </si>
  <si>
    <t xml:space="preserve">Generar aliances entre el sector primari, el turisme, la restauració i altres per fomentar la gastronomia local </t>
  </si>
  <si>
    <t xml:space="preserve">Participar en la generació aliances entre el sector primari, el turisme, la restauració i altres per fomentar la gastronomia local </t>
  </si>
  <si>
    <t>No ho podem liderar</t>
  </si>
  <si>
    <t>*Creació i coordinació de jornades d'intercanvi
*Creació d'espais de treball comú.
*Foment del treball per tenir infraestructura comuna (obrador comunitari)</t>
  </si>
  <si>
    <t>08.3.5</t>
  </si>
  <si>
    <t>08.4</t>
  </si>
  <si>
    <t>Contribuir a una correcta planificació i gestió dels recursos cinegètics i piscícoles de forma compatible amb els valors de l'ENP</t>
  </si>
  <si>
    <t>08.4.1</t>
  </si>
  <si>
    <t>Treballar amb l'autoritat competent per garantir objectius de conservació d’espècies i hàbitats en la revisió dels Plans de Gestió Cinegètica</t>
  </si>
  <si>
    <t>*Foment d'acords amb les Societats de Caçadors per a incorporar objectius de conservació d’espècies i hàbitats en la revisió dels Plans de Gestió Cinegètica</t>
  </si>
  <si>
    <t>08.4.2</t>
  </si>
  <si>
    <t>Col·laborar en la regulació i ordenació de la caça i la pesca en zones sensibles o amb risc d'afectació d'elements clau objecte de conservació</t>
  </si>
  <si>
    <t>Fomentar la implicació dels caçadors del territori en la conservació dels valors de l'espai</t>
  </si>
  <si>
    <t>*Impuls a la declaració de refugis de caça i pesca
*Foment de la implicació dels caçadors i pescadors del territori en la conservació dels valors de l'espai</t>
  </si>
  <si>
    <t>Col·laboració amb els caçadors del territori per fomentar la seva implicació en la conservació dels valors de l'espai</t>
  </si>
  <si>
    <t>ÚS PÚBLIC I SOCIAL</t>
  </si>
  <si>
    <t>SPEN: Elaborar model</t>
  </si>
  <si>
    <t>ORDENAR L'ÚS PÚBLIC I SOCIAL per a la protecció dels hàbitats, espècies i elements geològics</t>
  </si>
  <si>
    <t>11.1</t>
  </si>
  <si>
    <t>Estandaritzar regulació de l’ús públic i social en base al model acordat per govern</t>
  </si>
  <si>
    <t>11.1.1</t>
  </si>
  <si>
    <t>Regular la pernoctació en vehicles a partir de normativa municipal d'estacionaments.</t>
  </si>
  <si>
    <t>No tenim pla de protecció, però s'hi pot treballar amb els ajuntaments</t>
  </si>
  <si>
    <t>*Adaptació i implementació el protocol de regulació d'acampada i pernoctació  en base al model de Pla de protecció</t>
  </si>
  <si>
    <t>Foment de l'aprovació d'ordenances municipals que regulen l'estacionament de vehicles en horari nocturn per evitar la pernocta en vehicles.</t>
  </si>
  <si>
    <t>11.1.2</t>
  </si>
  <si>
    <t>Regular la circulació rodada no motoritzada a partir de normativa municipal.</t>
  </si>
  <si>
    <t>No tenim pla de protecció, però s'hi pot treballar amb els ajuntaments i propietaris.</t>
  </si>
  <si>
    <t>*Adaptació i implementació el protocol de regulació de circulació rodada no motoritzada en base al model de Pla de protecció</t>
  </si>
  <si>
    <t>11.1.3</t>
  </si>
  <si>
    <t>11.1.4</t>
  </si>
  <si>
    <t>No tenim pla de protecció, però s'hi pot treballar en les autoritzacions</t>
  </si>
  <si>
    <t>*Adaptació i implementació el protocol de regulació de curses i altres activitats esportives organitzades en base al model de Pla de protecció</t>
  </si>
  <si>
    <t>11.1.5</t>
  </si>
  <si>
    <t>*Adaptació i implementació el protocol de regulació d'enregistraments i observació de fauna i natura  en base al model de Pla de protecció</t>
  </si>
  <si>
    <t>11.1.6</t>
  </si>
  <si>
    <t>*Adaptació i implementació el protocol de regulació d'activitats científiques en base al model de Pla de protecció</t>
  </si>
  <si>
    <t>11.1.7</t>
  </si>
  <si>
    <t>11.1.8</t>
  </si>
  <si>
    <t>*Adaptació i implementació el protocol de regulació d'enlairament i aterratge sense motor</t>
  </si>
  <si>
    <t>11.1.9</t>
  </si>
  <si>
    <t>Canviar hàbits perquè la gent porti el gos lligat en ENP.</t>
  </si>
  <si>
    <t>La regulació ja hi és, però falta que es compleixi.</t>
  </si>
  <si>
    <t>*Adaptació i implementació el protocol de regulació d'animals de companyia</t>
  </si>
  <si>
    <t>Reforçament de la vigilància i la senyalització perquè els gossos vagin lligats</t>
  </si>
  <si>
    <t>*Adaptació i implementació el protocol de regulació d'educació ambiental i lleure educatiu</t>
  </si>
  <si>
    <t>11.2</t>
  </si>
  <si>
    <t>Disposar de la xarxa viària i itineraris oficials de l'ENP</t>
  </si>
  <si>
    <t>11.2.1</t>
  </si>
  <si>
    <t xml:space="preserve">Identificar i classificar la xarxa viària bàsica, secundària, senders i itineraris senyalitzats d'acord amb els ajuntaments </t>
  </si>
  <si>
    <t>*Definició d'una xarxa d'itineraris oficial i categoritzada per tipus d'ús per on es poden realitzar activitats (curses a peu, en bicicleta, etc.) d'acord amb els criteris de serveis centrals</t>
  </si>
  <si>
    <t>Persones i natura: concretar criteris</t>
  </si>
  <si>
    <t>11.2.2</t>
  </si>
  <si>
    <t>Treballar conjuntament amb els principals canals d’informació de rutes  per prioritzar itineraris oficials dins l’ENP</t>
  </si>
  <si>
    <t>*Incorporació de les tecnologies de Wikiloc o Google Maps</t>
  </si>
  <si>
    <t>Persones i natura: Coordinació</t>
  </si>
  <si>
    <t>11.3</t>
  </si>
  <si>
    <t>Implementar el protocol estandarditzat basat en el pla per la regulació al accés, circulació i ús de la xarxa viària</t>
  </si>
  <si>
    <t>11.3.1</t>
  </si>
  <si>
    <t>Regular l'accés i la circulació, d'acord amb els ajuntaments</t>
  </si>
  <si>
    <t>Només es pot fer amb normativa municipal, ja que no tenim pla de protecció.</t>
  </si>
  <si>
    <t>*Adaptació i implementació el protocol de regulació de l'accés i circulació</t>
  </si>
  <si>
    <t>11.3.2</t>
  </si>
  <si>
    <t>Regular la xarxa viària principal, secundària i restringida, d'acord amb els ajuntaments</t>
  </si>
  <si>
    <t>Només es pot fer amb normativa municipal, ja que no tenim pla de protecció</t>
  </si>
  <si>
    <t>*Adaptació i implementació el protocol de regulació de la xarxa viària principal, secundària i restringida</t>
  </si>
  <si>
    <t>11.3.3</t>
  </si>
  <si>
    <t>*Adaptació i implementació el protocol de regulació de drons, d'enlairament i aterratge</t>
  </si>
  <si>
    <t>11.3.4</t>
  </si>
  <si>
    <t>Aplicar limitacions temporals d'accés o circulació</t>
  </si>
  <si>
    <t>*Adaptació i implementació el protocol de limitacions temporals d'accés o circulació
*Coordinar amb el CAR la vinculació amb el Pla Alfa</t>
  </si>
  <si>
    <t>11.3.5</t>
  </si>
  <si>
    <t>Regular l'aparcament de vehicles, d'acord amb els ajuntaments</t>
  </si>
  <si>
    <t>*Adaptació i implementació el protocol de regulació d'aparcament de vehicles</t>
  </si>
  <si>
    <t>11.5</t>
  </si>
  <si>
    <t>Mantenir i millorar la senyalització de l'ENP</t>
  </si>
  <si>
    <t>11.5.1</t>
  </si>
  <si>
    <t>Realitzar l'inventari de senyalètica de l'ENP</t>
  </si>
  <si>
    <t>11.5.2</t>
  </si>
  <si>
    <t xml:space="preserve">Implantar el programa de senyalització i manteniment </t>
  </si>
  <si>
    <t>*Programa de senyalització
*Revisió i actualització de la senyalització en base al manual de senyalització vigent</t>
  </si>
  <si>
    <t>Persones i natura: Revisió del manual de senyalització</t>
  </si>
  <si>
    <t>Aplicació del programa de senyalització</t>
  </si>
  <si>
    <t>11.7</t>
  </si>
  <si>
    <t>Ordenar i estandaritzar els espais d'acollida de visitants i equipaments d'ús públic, i garantir un correcte servei d'atenció i acollida dels visitants</t>
  </si>
  <si>
    <t>11.7.1</t>
  </si>
  <si>
    <t>Adequar els principals accessos, aparcaments i centres d'interès amb un ús elevat</t>
  </si>
  <si>
    <t>Adequar els principals accessos, aparcaments i centres d'interès amb un ús elevat, d'acord amb la propietat dels terrenys.</t>
  </si>
  <si>
    <t>Cal aclarir que la propietat és privada i que de vegades no es pot fer tot el que seria necessari o ens agradaria de fer-hi.</t>
  </si>
  <si>
    <t>*Pla d’ordenació de l’acollida dels visitants</t>
  </si>
  <si>
    <t>11.7.2</t>
  </si>
  <si>
    <t>Disposar dels equipaments i infraestructures necessàries i accessibles per acollir, informar, facilitar la visita i garantir la seguretat dels visitants i la protecció de l'entorn</t>
  </si>
  <si>
    <t>*Revisió i actualització els equipaments al SIEQ
*Mantenimet dels espais i infraestructures existents
*Revisió i identificació de necessitats d'inversió
*Trobades amb titulars d'espais emblemàtics
*Establiment dels acords necessaris amb la propietat 
*Adaptació dels equipaments i infraestructures a persones amb diversitat funcional</t>
  </si>
  <si>
    <t>11.7.3</t>
  </si>
  <si>
    <t>Desenvolupar el Pla d'acollida als visitants en base al model de la DG</t>
  </si>
  <si>
    <t>Persones i natura: model de protocol d'acollida</t>
  </si>
  <si>
    <t>Aplicació del Pla d'ordenació d'acollida als visitants en base al model de la DG</t>
  </si>
  <si>
    <t>11.7.4</t>
  </si>
  <si>
    <t>Adaptar els missatges a donar des d'oficines d’informació, pròpies i alienes, d'acord amb el model de la DG</t>
  </si>
  <si>
    <t>Redactar un manual de l'informador/a per poder facilitar  a les oficines d'informació.</t>
  </si>
  <si>
    <t>Tota la informació pot estar en un sol document: el manual de l'informador.</t>
  </si>
  <si>
    <t>*Revisió dels espais existents i necessitats d'inversió</t>
  </si>
  <si>
    <t>Persones i natura: Unifica missatges que s'incorporen en el model de protocol d'acollida</t>
  </si>
  <si>
    <t>11.8</t>
  </si>
  <si>
    <t>Garantir el compliment de la normativa dins els ENP, especialment en l'accés motoritzat, zones amb hiperfrequentació i elements amb aprofitament comercial</t>
  </si>
  <si>
    <t>11.8.1</t>
  </si>
  <si>
    <t>Elaborar i executar el Pla de vigilància de l’espai d'acord amb els cossos d’inspecció i seguretat</t>
  </si>
  <si>
    <t>*Pla de vigilància de l’espai d'acord amb els cossos d’inspecció i seguretat
*Identificació dels punts clau de vigilància, el calendari i els recursos necessaris</t>
  </si>
  <si>
    <t>11.8.2</t>
  </si>
  <si>
    <t>Millorar la coordinació amb els cossos de seguretat per efectuar accions de control i vigilància</t>
  </si>
  <si>
    <t>Realització de reunions periòdiques amb els cossos de control i vigilància.</t>
  </si>
  <si>
    <t>11.8.3</t>
  </si>
  <si>
    <t>Vetllar pel compliment d'informes i la vigilància tècnica de l'espai</t>
  </si>
  <si>
    <t xml:space="preserve">EDUCACIÓ, VOLUNTARIAT I COMUNICACIÓ </t>
  </si>
  <si>
    <t>FORMAR I SENSIBILITZAR la població incrementant la valoració i estima social de l'ENP</t>
  </si>
  <si>
    <t>13.1</t>
  </si>
  <si>
    <t xml:space="preserve">Afavorir la vinculació entre la comunitat educativa de l'entorn i l'ENP </t>
  </si>
  <si>
    <t>13.1.1</t>
  </si>
  <si>
    <t>Definir el model de Xarxa d'Escoles de l'Espai Natural (XEEN) a l'ENP amb els agents educatius del territori</t>
  </si>
  <si>
    <t>No tenim inclosa la creació de la Xarxa d'Escoles dins el contracte d'Infomació, Voluntariat i Educació ambiental, que no es preveu renovar fins el 2028.
Haurem de valorar la possibilitat d'integrar l'Albera amb la del Cap de Creus</t>
  </si>
  <si>
    <t xml:space="preserve">*Elaboració d'un mapa d'agents col·laboradors: cercar entitats i institucions locals que col·laborin amb la Xarxa (CRPs, administració local, entitats ambientals i educatives...). 
*Organització d'un procés participatiu amb els agents educatius del territori
</t>
  </si>
  <si>
    <t>PEEVA
ESNATURA</t>
  </si>
  <si>
    <t>13.1.2</t>
  </si>
  <si>
    <t>Desplegar el model de Xarxa d'Escoles de l'Espai Natural (XEEN) a l'ENP d'acord amb el model general</t>
  </si>
  <si>
    <t>SEA: Elabora model de xarxa</t>
  </si>
  <si>
    <t>13.1.3</t>
  </si>
  <si>
    <t xml:space="preserve">Formar i capacitar al professorat de la XEEN </t>
  </si>
  <si>
    <t>*Coordinació amb els Centres de Rercursos Pedagògics (CRP) perquè les formacions estiguin reconegudes  pel Departament d'Educació</t>
  </si>
  <si>
    <t>13.2</t>
  </si>
  <si>
    <t>Promoure una oferta pedagògica basada en metodologies innovadores i actives que estiguin alineades amb el currículum educatiu del Departament d'Educació</t>
  </si>
  <si>
    <t>13.2.1</t>
  </si>
  <si>
    <t>Adaptar i millorar l'oferta pedagògica de l'ENP generant situacions d'aprenentatge i treballs per projecte</t>
  </si>
  <si>
    <t>*Implicació i capacitació del professorat per implicar-los en el disseny del projecte educatiu
*Incorporació a cada curs escolar X situacions d'aprenentatge</t>
  </si>
  <si>
    <t>SEA: Comparteix models de situcions d'aprenentatge i de projects.</t>
  </si>
  <si>
    <t>13.2.2</t>
  </si>
  <si>
    <t>Dissenyar projectes d'ApS ambiental i Ciència ciutadana i projectes compartits amb entitats del territori que s'incloguin dins de l'oferta pedagògica.</t>
  </si>
  <si>
    <t>Dissenyar projectes de Ciència ciutadana i projectes compartits amb entitats del territori que s'incloguin dins de l'oferta pedagògica.</t>
  </si>
  <si>
    <t>*Cerca d'entitats del territori i centres de recerca amb qui elaborar projectes de ciència ciutadana o d'ApS que donin resposta a les necessitats de l'EN. 
*Dinamització de la realització d'aquests projectes.</t>
  </si>
  <si>
    <t>13.2.3</t>
  </si>
  <si>
    <t>Elaborar recursos educatius sobre l’espai (que tinguin en compte les problemàtiques singulars del seu espai) i posar-los a disposició dels centres educatius</t>
  </si>
  <si>
    <t>Elaboració de recursos educatius adaptats a l'espai per a les activitats de l'oferta pedagògica, mitjançant el contracte extern corresponent.</t>
  </si>
  <si>
    <t>13.3</t>
  </si>
  <si>
    <t>Establir mecanismes estables de formació, treball i coordinació amb els col·lectius implicats en la sensibilització i l'educació dins el ENP</t>
  </si>
  <si>
    <t>13.3.1</t>
  </si>
  <si>
    <t>Establir un model de coordinació territorial amb agents clau de l'educació ambiental</t>
  </si>
  <si>
    <t>Participar i dinamitzar a la Taula de Voluntariat de l'Empordà, de forma conjunta entre tots els ENPE empordanesos</t>
  </si>
  <si>
    <t>A l'Empordà ja tenim la Taula de Voluntariat que un paper semblant al de recollir els agents clau de l'educació ambiental.</t>
  </si>
  <si>
    <t>*Valoració de la idoneïtat de crear una Taula territorial d’Educació Ambiental (de l’ENP o del conjunt d’ENPs).
*Creació d'una Taula territorial d’Educació Ambiental</t>
  </si>
  <si>
    <t>13.3.2</t>
  </si>
  <si>
    <t>Cercar i establir col·laboracions i projectes conjunts amb agents clau del territori</t>
  </si>
  <si>
    <t>Participar en projectes conjunts d'agents clau del territori</t>
  </si>
  <si>
    <t>No podem cercar activament aquestes col·laboracions, però sí que ens hi podem sumar.</t>
  </si>
  <si>
    <t>13.3.3</t>
  </si>
  <si>
    <t>Elaborar formacions dirigides als informadors, educadors i altres prescriptors del territori</t>
  </si>
  <si>
    <t>*Curs del bon coneixedor de l'ENP
*Formacions continuades en el marc del contracte del servei d'informació i educació ambiental.
*Formació dels actors implicats en la gestió dels ENP en aspectes vinculats a la conservació dels elements d'interès comunitari</t>
  </si>
  <si>
    <t>SEA: Elabora propostes MODEL de programes de formació</t>
  </si>
  <si>
    <t>13.4</t>
  </si>
  <si>
    <t>Desplegar un programa de divulgació i sensibilització per a visitants</t>
  </si>
  <si>
    <t>13.4.1</t>
  </si>
  <si>
    <t>Desplegar en el territori les campanyes de sensibilització i bones pràctiques que s'impulsin des de la DG</t>
  </si>
  <si>
    <t xml:space="preserve">*Participació en la concreció dels missatges i peces creatives de la campanya de la DG.  
*Difusió de la campanya aprofitant les eines i equipaments de l'ENP. 
*Establiment d'acords amb entitats i institucions locals per a la difusió local de la campanya.  </t>
  </si>
  <si>
    <t>SEA: Elabora un document marc per unificar missatges i coordinar la difusió</t>
  </si>
  <si>
    <t>13.4.2</t>
  </si>
  <si>
    <t xml:space="preserve">Adaptar el programa de divulgació i sensibilització de l'ENP perquè incorpori una oferta d’activitats adequada per a famílies </t>
  </si>
  <si>
    <t xml:space="preserve">*Disseny d'una oferta d’activitats d’educació ambiental de caire lúdic adreçada a famílies.
*Tenir en compte temes de salut i natura </t>
  </si>
  <si>
    <t>13.5</t>
  </si>
  <si>
    <t>Desplegar un programa de sensibilització i formació per als col·lectius del territori estratègics en la conservació de la natura</t>
  </si>
  <si>
    <t>13.5.1</t>
  </si>
  <si>
    <t>Identificar col·lectius estratègics implicats en la gestió i l'ús del territori</t>
  </si>
  <si>
    <t>Identificació de col·lectius estratègics implicats en la gestió i l'ús del territori</t>
  </si>
  <si>
    <t>13.5.2</t>
  </si>
  <si>
    <t>Elaborar i renovar periòdicament un programa d’educació ambiental adreçat a la població local que contribueixi a fomentar el sentiment de pertinença i la implicació en la conservació de l'ENP.</t>
  </si>
  <si>
    <t xml:space="preserve">*Estudi de percepció local
*Renovació del programa educatiu de forma adaptativa
</t>
  </si>
  <si>
    <t>13.6</t>
  </si>
  <si>
    <t xml:space="preserve">Fomentar accions de voluntariat per conservar el patrimoni natural i cultural </t>
  </si>
  <si>
    <t>13.6.1</t>
  </si>
  <si>
    <t>Identificar els programes, projectes i accions en marxa o previstos a l’ENP que poden rebre el suport del voluntariat</t>
  </si>
  <si>
    <t>Hi participaria ús públic i patrimoni natural</t>
  </si>
  <si>
    <t>13.6.2</t>
  </si>
  <si>
    <t>Establir un model de coordinació territorial amb agents clau del voluntariat ambiental</t>
  </si>
  <si>
    <t>Mantenir un model de coordinació territorial amb agents clau del voluntariat ambiental</t>
  </si>
  <si>
    <t>Ja disposem del model de coordinació, de manera que no cal establir-lo, sinó mantenir-lo: la Taula de Voluntariat dels ENPE de l'Empordà.</t>
  </si>
  <si>
    <r>
      <t xml:space="preserve">*Elaboració i actualització periòdica del mapa d’agents de voluntariat que actuen a l’ENP, incloent entitats ambientals i altres entitats que participen en activitats de voluntariat ambiental
*Establiment d'acords i col·laboracions i projectes conjunts de voluntariat ambiental amb els agents clau del territori
</t>
    </r>
    <r>
      <rPr>
        <sz val="11"/>
        <rFont val="Calibri"/>
        <family val="2"/>
        <scheme val="minor"/>
      </rPr>
      <t xml:space="preserve">*Participació en la definició i desplegament dels plans de treball de la taula de voluntariat ambiental. </t>
    </r>
  </si>
  <si>
    <t>ESNATURA
PEEVA</t>
  </si>
  <si>
    <t xml:space="preserve">SEA: Elabora Model de Taula de Voluntariat Ambiental </t>
  </si>
  <si>
    <t>13.7.1</t>
  </si>
  <si>
    <t>Incorporar la perspectiva de gènere als continguts i activitats de l'ENP</t>
  </si>
  <si>
    <t>Actuació molt transversal i que difícilment en recollirem indicadors.</t>
  </si>
  <si>
    <t>Incorporació de la perspectiva de gènere als continguts i activitats de l'ENP</t>
  </si>
  <si>
    <t>13.8</t>
  </si>
  <si>
    <t>Desplegar i adaptar el programa Salut i Natura de la DG en l'àmbit de l'ENP</t>
  </si>
  <si>
    <t>13.8.1</t>
  </si>
  <si>
    <t>Dissenyar, implementar i fomentar itineraris saludables dins dels itineraris oficials dels ENP i en la zona d'influència</t>
  </si>
  <si>
    <t xml:space="preserve">* Promoure itineraris saludables
* Incorporació i promoció de guiatges terapèutics en aquests itineraris </t>
  </si>
  <si>
    <t>13.8.2</t>
  </si>
  <si>
    <t>Identificar els agents clau i els àmbits de col·laboració per implementar el binomi salut i natura</t>
  </si>
  <si>
    <t>*Proposta d'espais per a la integració d'equipaments assistencials dins l'ENP
*Desplegament, de forma coordinada amb els CAPs, activitats i programes adreçats a col·lectius diana dins l'ENP (Ex: prescripció de natura (recepta verda i blava).
*Facilitar projectes pilot de recerca sobre els beneficis del contacte amb la natura per a la salut, per a la població en general o perfils específics.</t>
  </si>
  <si>
    <t>13.8.3</t>
  </si>
  <si>
    <t xml:space="preserve">Incloure el concepte de salut i natura en els missatges educatius i comunicatius de l'ENP </t>
  </si>
  <si>
    <t>*Inclusió del concepte de Salut i Natura en els missatges comunicatius de conservació i sensibilització
*Inclusió en els cursos i formacions de l'ENP elements de la interdependència salut i natura. 
*Oferir i donar a conèixer els recursos que es generin en relació aquesta temàtica a la Xarxa d'Escoles del parc, entitats i altres agents del territori</t>
  </si>
  <si>
    <t>COMUNICAR I DIFONDRE ELS VALORS DE L'ENP, contribuint a l'educació ambiental de la societat</t>
  </si>
  <si>
    <t>14.1</t>
  </si>
  <si>
    <t>Augmentar el coneixement de l'ENP entre la població</t>
  </si>
  <si>
    <t>14.1.1</t>
  </si>
  <si>
    <t>Informar periòdicament sobre les tasques, projectes i actuacions que duu a terme l'ENP a la població</t>
  </si>
  <si>
    <t>Informar a la població sobre les tasques, projectes i actuacions que duu a terme l'ENP</t>
  </si>
  <si>
    <t>Algunes coses s'informaran periòdicament, i altres no.</t>
  </si>
  <si>
    <t>*Elaborar els productes comunicatius que es determinin conjuntament amb Serveis Centrals : ex.un telegrama mensual, butlletí , agenda activitats trimestral, fulletó informatiu vinculats amb ús públic. Etc
*Donar a conèixer l'equip del Parc através dels diferents canals comunicatius
*Inclusió d'aspectes de transparència informativa sobre el que s’està treballant des de l’ENP
*Creació d'un banc d’imatges, vídeos, vídeos amb vols de dron
*Posar a disposició de la societat els estudis i informes que s'han fet del Parc (realització de jornades, infografies etc)
*Generació d'un servei geogràfic d'oferta de senders oficials i equipaments
*Vetllar pel correcte tractament i emmagatzematge d'aquests estudis i informes (repositori)</t>
  </si>
  <si>
    <t>Pla de comunicació</t>
  </si>
  <si>
    <t>SENP: Elaborar els productes comunicatius</t>
  </si>
  <si>
    <t>14.1.2</t>
  </si>
  <si>
    <t>Garantir l'accessibilitat i gestió del coneixement disponible sobre l'ENP</t>
  </si>
  <si>
    <t>*Oferir diferents versions idiomàtiques dels materials de difusió
*Ús d'un llenguatge planer quan ens adrecem a la ciutadania
*Crear un nou espai al web de Preguntes freqüents</t>
  </si>
  <si>
    <t>14.2</t>
  </si>
  <si>
    <t>Conscienciar sobre els valors de l'ENP als diferents públics objectiu</t>
  </si>
  <si>
    <t>14.2.1</t>
  </si>
  <si>
    <t>Sensibilitzar als diferents agents sobre els valors de l'ENP</t>
  </si>
  <si>
    <t>*Creació de material divulgatiu específic a partir de les campanyes de comunicació elaborades conjuntament amb Serveis Centrals (comunicació externa)
*Foment de la formació de l'equip del Parc i augmentar el coneixement d'aquests valors (comunicació interna)
*Potenciació de la doble funció dels Centres de documentació: generar informació (material de recerca) i oferir informació als visitants.</t>
  </si>
  <si>
    <t>SEA: Crear material divulgatiu</t>
  </si>
  <si>
    <t>14.3</t>
  </si>
  <si>
    <t xml:space="preserve">Disposar d'una comunicació ordenada efectiva, positiva i coordinada que arribi a la ciutadania i aquesta pugui reconèixer fàcilment </t>
  </si>
  <si>
    <t>14.3.1</t>
  </si>
  <si>
    <t>Optimitzar els canals de comunicació</t>
  </si>
  <si>
    <t>*Definició i clarificació dels rols de l'equip del parc i una correcta definició de les tasques de cada membre.
*Actualització del web segons el format i estàndards establerts des de Serveis Centrals.
*Tenir un responsable/equip de comunicació amb formació tècnica.
*Estudiar la necessitat i viabilitat d'obrir nous canals comunicatius (butlletí, xxss, revistes etc.) conjuntament amb Serveis Centrals.
*Reunions d'equip periòdiques amb una freqüència no superior a 15 dies.
*Reunions bimensuals de coordinació de la Xarxa dels grups de conservació, d’ús públic i turisme, de gestió econòmica o RAE, d’educació ambiental, de centres de documentació, de millora rural, i de direcció.</t>
  </si>
  <si>
    <t>14.3.2</t>
  </si>
  <si>
    <t>Garantir l'harmonització de la comunicació com a Parc, Xarxa i Generalitat.</t>
  </si>
  <si>
    <t>Participar en l'harmonització de la comunicació com a Parc, Xarxa d'ENP i Generalitat.</t>
  </si>
  <si>
    <t>Des de l'ENP només podem complir el que ens demanen que fem des del SENP i òrgans superiors.</t>
  </si>
  <si>
    <t>*Planificació i disseny de la comunicació de cada Parc conjuntament amb els Serveis Centrals,  per garantir-ne la imatge corporativa i la coherència com a xarxa (publicacions, xxss, web, NP, merxandatge etc.)
*Implementació dels protocols vigents d'informació i comunicació
*Aplicació dels manuals existents i vigents en quan a comunicació corporativa
*Elaboració i aplicació del Pla de comunicació de l'ENP
*Participació en els espais d'intercanvi d'informació entre ENP
*Aplicació del protocol comunicatiu específic per a Juntes Rectores d'ENP</t>
  </si>
  <si>
    <t>GESTIÓ I ADMINISTRACIÓ</t>
  </si>
  <si>
    <t>15.1.1</t>
  </si>
  <si>
    <t>15.1.2</t>
  </si>
  <si>
    <t>Disposar d'assessorament científic en l'ENP</t>
  </si>
  <si>
    <t>Disposar d'assessorament científic a l'ENP</t>
  </si>
  <si>
    <t>*Demanda d'assessorament a investigadors que treballen a l'àmbit de l'ENP o experts en la matèria per a la qual cal l'assessorament.</t>
  </si>
  <si>
    <t>Adaptar i desplegar el model de governança dels espais naturals protegits</t>
  </si>
  <si>
    <t>No depèn de l'òrgan de gestió, sinó de la normativa que regula els òrgans rectors de l'espai.</t>
  </si>
  <si>
    <t>*Presentació de la proposta de PE a junta amb un pressupost associat per validar-lo. Possibles aportacions al consell de participació</t>
  </si>
  <si>
    <t>SENP: Elaborar una proposta de model de governança dels espais naturals protegits</t>
  </si>
  <si>
    <t>MILLORAR L'EFICIÈNCIA de la gestió administrativa</t>
  </si>
  <si>
    <t>16.1</t>
  </si>
  <si>
    <t>Optimitzar l'aplicació pressupostaria</t>
  </si>
  <si>
    <t>16.1.1</t>
  </si>
  <si>
    <t>*Aplicació del nou sistema de seguiment pressupostari conjunt per a tots els ENP per al control de les despeses (quan entri en funcionament).
*Aplicació del manual per al règim de gestió econòmica als ENP per traspassar dades al RAE.
*Participació dels espais de coordinació entre ENP per identificar les despeses comunes tramitables a càrrec del pressupost de la DG.</t>
  </si>
  <si>
    <r>
      <t xml:space="preserve">UGA: Dissenyar i desplegar el nou sistema de seguiment pressupostari conjunt per a tots els ENP.
</t>
    </r>
    <r>
      <rPr>
        <sz val="11"/>
        <rFont val="Calibri"/>
        <family val="2"/>
        <scheme val="minor"/>
      </rPr>
      <t>SENP:  Crear espais de coordinació entre ENP per identificar les despeses comunes</t>
    </r>
  </si>
  <si>
    <t>Administració</t>
  </si>
  <si>
    <t>16.2</t>
  </si>
  <si>
    <t>Planificar i optimitzar els processos de contractació, concessió d'ajuts, i les col·laboracions amb ens públics i privats</t>
  </si>
  <si>
    <t>16.2.1</t>
  </si>
  <si>
    <t>Posem direcció com a responsable, tot i que serà compartida.</t>
  </si>
  <si>
    <t>*Amb els espais de coordinació entre ENP, detecció de les necessitats conjuntes que es puguin agrupar en contractes únics (amb o sense lots) o en convocatòries amb concurrència.
*Encaix de les necessitats específiques de cada ENP a les necessitats conjuntes detectades a nivell de Xarxa.
*Preveure amb una antelació mínima de 6 mesos les necessitats de contractació per augmentar l'eficiència de la tramitació i disposar de marge de maniobra davant qualsevol eventualitat.</t>
  </si>
  <si>
    <t>SENP: Crear espais de coordinació entre ENP per detectar necessitats conjuntes.</t>
  </si>
  <si>
    <t>16.2.2</t>
  </si>
  <si>
    <t>El redactat original correpondria més a serveis centrals que als ENP</t>
  </si>
  <si>
    <t>*Preveure amb una antelació mínima de 6 mesos les convocatòries d'ajuts per augmentar l'eficiència de la tramitació i disposar de marge de maniobra davant qualsevol eventualitat.
*Implementació de gestor d'expedients
*Treballar amb SSCC per adaptar les convocatòries d'ajuts a les necessitats de l'ENP</t>
  </si>
  <si>
    <t>16.3</t>
  </si>
  <si>
    <t>Agilitzar, incrementar l'eficiència  i incrementar l’assoliment dels procediments administratius</t>
  </si>
  <si>
    <t>16.3.1</t>
  </si>
  <si>
    <t>Optimitzar l'elaboració d'informes</t>
  </si>
  <si>
    <t>Donar a resposta a les sol·licituds d'informe i autoritzacions.</t>
  </si>
  <si>
    <t>El procediment és correcte, però la funció bàsica s'ha d'incloure.</t>
  </si>
  <si>
    <t>*Optimitzar la comunicació i acompanyament durant els processos administratius amb el personal tècnic de Serveis Centrals
*Designació d'interlocutors tècnics per al desenvolupament d'accions que requereixen procediments administratius.
*Manteniment d'una comunicació continuada amb l'UGA.
*Elaboració d'una llista dels tràmits realitzats pels ENP per detectar necessitats de suport i acompanyament administratiu.
*Implementació de gestor d'expedients</t>
  </si>
  <si>
    <t>16.3.2</t>
  </si>
  <si>
    <t>Adequar i actualitzar els procediments i tramitacions realitzats des de l'ENP als nous processos i eines conjuntes proposades des de Serveis Centrals</t>
  </si>
  <si>
    <t>*Ús dels formularis simplificats
*Implementació de gestor d'expedients</t>
  </si>
  <si>
    <t>UGA: Simplificació i optimització de formularis. Tipificació de peticions (tràmits específics)</t>
  </si>
  <si>
    <t>16.3.3</t>
  </si>
  <si>
    <t>Augmentar el coneixement de l'equip de treball en matèria de procediment administratiu</t>
  </si>
  <si>
    <t>*Participació de les formacions ofertades des del Centre de formació i estudis agrorurals per al personal administratiu.
*Respondre a la demanda activa de formacions quan es planifica el Pla anual de formació ofertat des del Centre de formació i estudis agrorurals.
*Formació interna de l'equip administratiu de l'ENP per adquirir coneixements bàsics en temes prioritaris (comptabilitat, contractació, tramitació electrònica, accessibilitat i transparència, propietat intel·lectual) i processos de tramitació (CQS, peticions informació genèrica, solicituds accés informació ambiental)</t>
  </si>
  <si>
    <t>16.3.4</t>
  </si>
  <si>
    <t>Garantir la transparència administrativa</t>
  </si>
  <si>
    <t>*Difondre o permetre l'accés a la informació pública
*Atendre les sol·licituds d'informació</t>
  </si>
  <si>
    <t>16.3.5</t>
  </si>
  <si>
    <t>*Millora del material i els serveis informàtics
*Compra de material d'oficina
*Reparació i millora del material de la brigada</t>
  </si>
  <si>
    <t>16.4</t>
  </si>
  <si>
    <t>Ordenar l'estat dels béns patrimonials</t>
  </si>
  <si>
    <t>16.4.1</t>
  </si>
  <si>
    <t>Revisar l’estat dels béns patrimonials i la situació administrativa-legal dels equipaments del parc</t>
  </si>
  <si>
    <t xml:space="preserve">*Revisió de tota la documentació relativa als béns patrimonials de l'ENP
*Traspas de tota la informació del béns patrimonials i col·laborar amb el Servei de Contractació i Patrimoni per tramitar els expedients de cessió de titularitat, declaracions d'obra nova, compra, lloguer...             </t>
  </si>
  <si>
    <t>UGA: tramitar els expedients de cessió de titularitat, declaracions d'obra nova, compra, lloguer, etc.</t>
  </si>
  <si>
    <t>16.4.2</t>
  </si>
  <si>
    <t>Tenir cobertes les pèrdues o danys materials del patrimoni de la Direcció General que hi ha a l'àmbit territorial del Parc, com a conseqüència de la materialització de qualsevol dels riscs emparats en el plec de prescripcions tècniques de la pòlissa.</t>
  </si>
  <si>
    <t>*Revisió que tots els equipaments del parc estiguin correctament assegurats dins la pòlissa d'assegurança de danys materials (número 86-5034332) de la Generalitat, en col·laboració amb  serveis centrals i d'acord amb les seves directrius.
*Col·laboració amb el Servei de Contractació i Patrimoni per tramitar les assegurances dels béns patrimonials.</t>
  </si>
  <si>
    <t>UGA: Tramitar les assegurances dels béns patrimonials.</t>
  </si>
  <si>
    <t>16.5</t>
  </si>
  <si>
    <t>Estructurar la gestió documental</t>
  </si>
  <si>
    <t>16.5.1</t>
  </si>
  <si>
    <t>*Desenvolupament del repositori digital, recollint, preservant i difonent la informació generada.
*Catalogar i digitalitzar el fons documental.
*Millora de l'accessibilitat documental al web.
* Implementació de gestor d'expedients</t>
  </si>
  <si>
    <t>SENP: Disseny d'una metodologia de treball conjunta</t>
  </si>
  <si>
    <t>16.6</t>
  </si>
  <si>
    <t>Gestionar recursos humans</t>
  </si>
  <si>
    <t>16.6.1</t>
  </si>
  <si>
    <t>Gestió de la brigada de manteniment</t>
  </si>
  <si>
    <t xml:space="preserve"> Gestionar la brigada de manteniment assignada al PNIN</t>
  </si>
  <si>
    <t>donar redacció d'objectiu</t>
  </si>
  <si>
    <t>16.6.2</t>
  </si>
  <si>
    <t>NOU OBJECTIU</t>
  </si>
  <si>
    <t>Acollir alumnat en pràctiques</t>
  </si>
  <si>
    <t>Revisar la gestió econòmica del RAE</t>
  </si>
  <si>
    <t>Gestionar els contractes que es tramitin des dels serveis centrals</t>
  </si>
  <si>
    <t>Vetllar per disposar dels mitjans materials necessaris per a la realització de les tasques de l'equip</t>
  </si>
  <si>
    <t>TAULA DE VINCLE ENTRE LES AMENACES I ELS OBJECTIUS OPERATIUS DE L'EIX DEL PATRIMONI NATURAL</t>
  </si>
  <si>
    <t>Eix 1. Natura</t>
  </si>
  <si>
    <t>Codi</t>
  </si>
  <si>
    <t>Objectius operatius</t>
  </si>
  <si>
    <t>Tipologia amenaça</t>
  </si>
  <si>
    <t>Amenaça concreta</t>
  </si>
  <si>
    <t>Espècies invasores i patògens</t>
  </si>
  <si>
    <t>Gestió i modificació de sistemes naturals</t>
  </si>
  <si>
    <t>Canvi global i/o climàtic</t>
  </si>
  <si>
    <t>Extracció de recursos naturals</t>
  </si>
  <si>
    <t>Producció primària</t>
  </si>
  <si>
    <t>Grans pertorbacions naturals</t>
  </si>
  <si>
    <t>Infrastructures de transport i serveis</t>
  </si>
  <si>
    <t>Polució</t>
  </si>
  <si>
    <t xml:space="preserve">Taxonomia d'Amenaces  - Xarxa d'ENP Catalunya </t>
  </si>
  <si>
    <t>Versió 1_revisada pels equips del PNAT Cap de Creus, PNAT Montgrí-Medes, PNAT els Ports, PNIN Poblet, PNAT Delta de l'Ebre, PNAT Alt Pirineu i PNAT Capçaleres del Ter i Freser</t>
  </si>
  <si>
    <r>
      <t xml:space="preserve">Font de dades 1: </t>
    </r>
    <r>
      <rPr>
        <u/>
        <sz val="10"/>
        <color rgb="FF1155CC"/>
        <rFont val="Arial"/>
        <family val="2"/>
      </rPr>
      <t xml:space="preserve">List of pressures and threats for reporting 2019-2024 v1.1 </t>
    </r>
    <r>
      <rPr>
        <sz val="10"/>
        <color rgb="FF000000"/>
        <rFont val="Calibri"/>
        <family val="2"/>
        <scheme val="minor"/>
      </rPr>
      <t>(Comissió Europea)</t>
    </r>
  </si>
  <si>
    <t>Font de dades 2: Llistat de pressions i amenaces del Pla de Protecció del Cadí-Moixeró, inspirat en el llistat de la Comissió Europea</t>
  </si>
  <si>
    <r>
      <t xml:space="preserve">Font de dades 3: </t>
    </r>
    <r>
      <rPr>
        <u/>
        <sz val="10"/>
        <color rgb="FF1155CC"/>
        <rFont val="Arial"/>
        <family val="2"/>
      </rPr>
      <t>IUCN/CMP Threats Classification v 3.3 (2016)</t>
    </r>
    <r>
      <rPr>
        <sz val="10"/>
        <color rgb="FF000000"/>
        <rFont val="Calibri"/>
        <family val="2"/>
        <scheme val="minor"/>
      </rPr>
      <t xml:space="preserve"> i v4.0 draft (2023)</t>
    </r>
  </si>
  <si>
    <t>Codi Amenaça</t>
  </si>
  <si>
    <t>Tipologia d'amenaça</t>
  </si>
  <si>
    <t>Nom Amenaça</t>
  </si>
  <si>
    <t>Exemples i descripció del grup</t>
  </si>
  <si>
    <t>Urbanització i edificació</t>
  </si>
  <si>
    <t>Urbanització residencial</t>
  </si>
  <si>
    <t>Construccions relacionades amb àrees residencials. Tot i que la normativa no permet noves construccions, existeixen edificacions fóra d'ordenació. També casos de remodelacions, reconstruccions o ampliacions d'edificis rurals per usos agrícoles, forestals, ramaders, recreatius, residencials, etc). Restauracions de cabanes i bordes que no deixen forats per ratpenats. cases forestals. Bordes que es canvien d'ús per hosteleria</t>
  </si>
  <si>
    <t>Urbanització comercial o industrial</t>
  </si>
  <si>
    <t>Àrees recretives i turístiques</t>
  </si>
  <si>
    <t>Refugis de muntanya que es remodelen, impacten etc</t>
  </si>
  <si>
    <t>Cultius annuals i perennes. Canvis de tipus de cultiu, secà a regadiu o al revés. Canvi d'usos del sòl com cultius de vinya a muntanya, Inclosos el cultiu de l'arròs amb substàncies biocides. Inclòs el cultiu de marihuana</t>
  </si>
  <si>
    <t>Plantacions forestals</t>
  </si>
  <si>
    <t>Ramaderia tan intensiva com extensiva i semi-intensiva (pastura de dia i nit en corral)</t>
  </si>
  <si>
    <t>Aqüicultura</t>
  </si>
  <si>
    <t>Aquicultura marina i d'aigua dolça, a l'interior o als voltants del parc</t>
  </si>
  <si>
    <t>Producció d'energia i mineria</t>
  </si>
  <si>
    <t xml:space="preserve">Activitats de la mineria </t>
  </si>
  <si>
    <t>Mineria de qualsevol tipus (a cel obert, marina, al·luvial com extracció d'àrids i còdols, subterrània), a l'interior o als voltants del parc. Extracció de torba i salines. Si aplica, extracció d'hidrocarburs terrestres o marins</t>
  </si>
  <si>
    <t>Producció d'energia renovable</t>
  </si>
  <si>
    <t>Centrals de producció d'energia renovable (molins eòlics terrestres o marins, instal·lacions solars, hidroelèctriques, geotèrmia inclosos els impactes de fauna contra les instal·lacions). A dins del parc o afectant connectors entre parcs</t>
  </si>
  <si>
    <t>Vials de transport</t>
  </si>
  <si>
    <t>Carreteres, pistes forestals, línies fèrries i cremalleres</t>
  </si>
  <si>
    <t>Conduccions</t>
  </si>
  <si>
    <t>Conduccions elèctriques, aqueductes, canals de rec, estacions de bombament, conduccions d'aigua o gas</t>
  </si>
  <si>
    <t>Infrastructures marines</t>
  </si>
  <si>
    <t>Rutes marines, canals, impactes de vaixells sobre balenes i infrastructura associada. Ports, pantalans, etc</t>
  </si>
  <si>
    <t>Tancaments i vallats</t>
  </si>
  <si>
    <t>Tancaments, valles perimetrals i parets de tota mena, en carreteres, per bestiar, estètiques, etc</t>
  </si>
  <si>
    <t>Caça i recolecció d'animals, ous, mel silvestre, etc ja sigui per subsistència, esport, tradició, comerç o de forma accidental</t>
  </si>
  <si>
    <t>Recol·lecció de vegetals</t>
  </si>
  <si>
    <t>Recolecció de plantes, bolets, resines, líquens, etc</t>
  </si>
  <si>
    <t>Treball forestals de tota mena (arreu, selectiva, carboneig, aclarides, etc)</t>
  </si>
  <si>
    <t>Pesca i semblants</t>
  </si>
  <si>
    <t>Pesca i recollida de recursos aquàtics de tota mena i amb qualsevol tècnica (artesanal, xarxa, marisqueig, recollida de corall, pesca accidental, recreativa, etc)</t>
  </si>
  <si>
    <t>Molèsties</t>
  </si>
  <si>
    <t>Per activitats recreatives al medi natural de qualsevol tipus (excursionisme, bicicleta, cavall, vehicles a motor, escalada, esquí de muntanya, acampada temporal, pernoctació, ornitòlegs, fotografs, esports nàutics, pesca turisme, àrees recreatives, drons, globus, parapents, buggy-kite, sobrevol amb helicòpters, amb ultralleugers, motos de neu, etc) i tan sigui esporàdica com recurrent</t>
  </si>
  <si>
    <t>Molèsties per activitats militars</t>
  </si>
  <si>
    <t>Activitats militars de qualsevol mena (camps militars, assajos amb artilleria, etc)</t>
  </si>
  <si>
    <t>Altres tipus de molèsties</t>
  </si>
  <si>
    <t>Qualsevol altra molèstia (per bany en rius i tolles, passeig de gossos, peregrinatges, aplecs, recerca sobre espècies, extraccions arqueològiques, vandalisme, tràfic de drogues, etc)</t>
  </si>
  <si>
    <t>Molèsties per activitats multitudinàries</t>
  </si>
  <si>
    <t>Activitats organitzades i multitudinàries, per exemple curses de muntanya, festivals, esdeveniments, filmacions, fins i tot enterraments</t>
  </si>
  <si>
    <t>Foc, grans incendis forestals i supressió del foc, incloses activitats de restauració post-foc</t>
  </si>
  <si>
    <t xml:space="preserve">Construcció i utilització de preses, canals, captacions, pous, dics, etc de qualsevol mena. Extracció / captacions d'aigua per rec, etc.  Construcció de basses per fer neu artificial. Dessaladores, potabilitzadores, depuradores, conduccions, trasvassaments, emissaris de salmorres, alteració de cabals, gestió de cabals en rius  </t>
  </si>
  <si>
    <t>Moviments de terres i sediments</t>
  </si>
  <si>
    <t>Gestió i estabilització de terrenys i sediments (estabilització de dunes, construccions en litorals, remediació de sòls, restauració de mines, dragatges, moviments de sorres, etc)</t>
  </si>
  <si>
    <t>Modificació del clima</t>
  </si>
  <si>
    <t>Activitats per modificar el clima o processos naturals (prevenció de gelades, fertilització amb ferro a l'oceà, captura de carboni, etc)</t>
  </si>
  <si>
    <t>Gestió d'hàbitats: gestió d'aigua dolça de rec i arrossars (que pot afectar a llacunes, etc), retirada de fustes en rius, desbrossades, creació d'esculls artificials, alimentació d'ocells, tancament de coves, barreres elèctriques</t>
  </si>
  <si>
    <t>Desaparició de pràctiques tradicionals com pastura extensiva, canvi en el maneig de la pastura, la tipologia de bestiar, caça per control de predadors, etc</t>
  </si>
  <si>
    <t>Espècies invasores com rates en illes, animals domèstics assilvestrats, musclo zebra, bambú, peixos introduïts com Phoxinus en estanys d'alta muntanya, etc</t>
  </si>
  <si>
    <t>Espècies desestabilitzades</t>
  </si>
  <si>
    <t>Espècies natives desestabilitzades com superpoblació de cèrvids, porcs senglars, manca de carnívors, blooms d'algues, plagues d'insectes, o amb impactes puntuals com predadors sobre espècies sensibles com colònies d'ocells, gall fer, etc</t>
  </si>
  <si>
    <t>Material genètic introduït com cultius resistents a plagues, creuament de gat domèstic amb gat fer, restauracions d'hàbitats fetes amb varietats alienes, arbres o instectes modificats genèticament, aquicultura amb espècies no natives, etc</t>
  </si>
  <si>
    <t>Plagues i patògens</t>
  </si>
  <si>
    <t>Malalties que afecten conills, grip aviar, botulisme, castanyers, oliveres, cítrics, amfibis, etc</t>
  </si>
  <si>
    <t>Polució aquàtica</t>
  </si>
  <si>
    <t xml:space="preserve">Polució dissolta en aigua (aigües sèptiques, efluents industrials, pesticides, fertilitzants, efluents de la mineria, excès de nutrients en activitats de l'aquicultura, purins, potasses per desfer la neu en pistes i carreteres, etc </t>
  </si>
  <si>
    <t>Residus sòlids</t>
  </si>
  <si>
    <t>Residus sòlids de qualsevol orígen i en medi terrestre o marí, inclosos de la caça, pesca, agricultura, aqüicultura, del turisme, construcció, transport, xarxes fantasma i elements abandonats al medi</t>
  </si>
  <si>
    <t>Polució aèria</t>
  </si>
  <si>
    <t>Residus en medi aeri com partícules, gasos, o partícules radioactives</t>
  </si>
  <si>
    <t>Contaminació acústica, llumínica o per radiació</t>
  </si>
  <si>
    <t>Contaminació lumínica, tèrmica com efluents de centrals elèctriques en rius, acústica com soroll en aeroports o zones industrials o per escoles de formació de pilots d'helicòpters al Pirineu, camps electromagnètics en cables, sonars submarins, soroll i onades causades per embarcacions recreatives,  llums de les maquinàries a pistes d'esquí, il·luminació nocturna en estacions d'esquí, il·luminació de monuments, etc</t>
  </si>
  <si>
    <t>Pertorbacions d'origen geològic</t>
  </si>
  <si>
    <t>De tipus geològic com terratrèmols, esllavissades, allaus, erupcions volcàniques</t>
  </si>
  <si>
    <t>Pertorbacions d'origen metereològic</t>
  </si>
  <si>
    <t>Per fenòmens extrems com inundacions, temporals, pedregades, etc</t>
  </si>
  <si>
    <t>Impactes del canvi climàtic en sistemes físics i químics</t>
  </si>
  <si>
    <t>Canvis en sistemes físics i químics com acidificació d'oceans, augment del CO2 atmosfèric, pèrdua de sediments, colmatació de basses i llacunes, canvis en corrents marins, regressió de la línia de costa, subsidència del Delta, canvis en la cobertura de núvols, etc</t>
  </si>
  <si>
    <t>Impactes del canvi climàtic relatius a l'alteració del règim de temperatures</t>
  </si>
  <si>
    <t>Canvis en règims de temperatures: onades de calor o de fred, canvis en la temperatura del mar, fusió de glaceres, etc</t>
  </si>
  <si>
    <t>Canvis en règims de precipitació i règims hidrològics com patrons de pluja, d'innivació, generant sequeres, increment de la severitat d'inundacions, reducció de la superfície de llacs i estanys, etc</t>
  </si>
  <si>
    <t>Pujada del nivell del mar</t>
  </si>
  <si>
    <t>Llista d'amenaces OS</t>
  </si>
  <si>
    <t>Si/No</t>
  </si>
  <si>
    <t>àrea responsable</t>
  </si>
  <si>
    <t>persona responsable</t>
  </si>
  <si>
    <t>Pilar Sanllehí</t>
  </si>
  <si>
    <t>Gerard Carrion</t>
  </si>
  <si>
    <t>Sergi Roura</t>
  </si>
  <si>
    <t>Pau Federico</t>
  </si>
  <si>
    <t>Ivan Bustamante</t>
  </si>
  <si>
    <t>Pel POA</t>
  </si>
  <si>
    <t>Agricultura, ramaderia, gestió forestal; també canvi global per manca d'aigua; infraestructures d'energia eòlica properes.</t>
  </si>
  <si>
    <t>Biologia de les espècies invasores.</t>
  </si>
  <si>
    <t>Disponibilitat de mitjans</t>
  </si>
  <si>
    <t>Disponibilitat de mitjans; predisposició social, i de la propietat en concret.</t>
  </si>
  <si>
    <t>Disponibilitat de mitjans.</t>
  </si>
  <si>
    <t>Extracció d'aigua. També canvi global, per sequera.</t>
  </si>
  <si>
    <t>Conduccions, producció d'energia eòlica; també rompudes per a vinya o ollivera.</t>
  </si>
  <si>
    <t>Gestió de l'aigua; també canvi global, per sequera.</t>
  </si>
  <si>
    <t>Predisposició de la propietat per a la venda.</t>
  </si>
  <si>
    <t>Qualitatius o quantitatius</t>
  </si>
  <si>
    <t>X</t>
  </si>
  <si>
    <t>33 elements prioritaris</t>
  </si>
  <si>
    <t>EN</t>
  </si>
  <si>
    <t>VU</t>
  </si>
  <si>
    <t>No amenaçades Cat/Es</t>
  </si>
  <si>
    <t xml:space="preserve"> 1) S'analitzen els resultats a través dels indicadors 2) La planificació s'adapta en funció dels resultats. 3) S'avalua el grau de millora de les amenaces/factors de canvi</t>
  </si>
  <si>
    <t>* Implicació i participació en la redacció dels plans de conservació /recuperació d'espècies amenaçades</t>
  </si>
  <si>
    <t>* Execució de les accions dins els plans que pertoquin a cada espai (incorporar totes les mesures que surten als plans ja aprovats que tenen incidència a l'espai)</t>
  </si>
  <si>
    <t xml:space="preserve">* Col.laboració en l'obtenció de la informació necessària dins els espais per al desenvolupament dels Plans </t>
  </si>
  <si>
    <t>Nombre de reunions i/o accions vinculades a compromisos internacionals</t>
  </si>
  <si>
    <t>Assistència i participació a les reunions de la Taula del Foc</t>
  </si>
  <si>
    <t>Nombre d'informes d'AIA</t>
  </si>
  <si>
    <t>Nombre de reunions/any vinculades a EEI en què l'ENP participa o impulsades pel ENP</t>
  </si>
  <si>
    <t xml:space="preserve">Nombre de mesures implementades relacionades amb l'adaptació al canvi climàtic </t>
  </si>
  <si>
    <t xml:space="preserve">Nombre de propietats informades sobre el Pla d'adaptació al canvi climàtic </t>
  </si>
  <si>
    <t>3 (les que tinguin Pla de Gestió)</t>
  </si>
  <si>
    <t xml:space="preserve">Nombre de reunions organitzades </t>
  </si>
  <si>
    <t>1 reunió/any</t>
  </si>
  <si>
    <t>4 reunions/any</t>
  </si>
  <si>
    <t xml:space="preserve"> 1 acció/ 50% sp prioritzades </t>
  </si>
  <si>
    <t xml:space="preserve">1 acció/ 100% sp prioritzades </t>
  </si>
  <si>
    <t>Per al 50% de les accions</t>
  </si>
  <si>
    <t xml:space="preserve">Per al 100% de les accions </t>
  </si>
  <si>
    <t>1) Nombre de plans de conservació/recuperació en els que l'ENP hi participa</t>
  </si>
  <si>
    <t>1) Participació en el 50% dels plans d'sp amenaçades (EN i VU), 11</t>
  </si>
  <si>
    <t>1) Participació en el 100% dels plans d'sp amenaçades (EN i VU),22</t>
  </si>
  <si>
    <t>Nombre d'accions que provenen de l'aplicació de plans de conservació/recuperació</t>
  </si>
  <si>
    <t>5 accions</t>
  </si>
  <si>
    <t>10 accions</t>
  </si>
  <si>
    <t xml:space="preserve">Nombre d'sp amenaçades prioritzades amb les quals treballa l'ENP  </t>
  </si>
  <si>
    <t xml:space="preserve">50% sp amenaçades prioritzades </t>
  </si>
  <si>
    <t>100% sp amenaçades prioritzades</t>
  </si>
  <si>
    <t xml:space="preserve">3 EEI </t>
  </si>
  <si>
    <t xml:space="preserve">6 EEI </t>
  </si>
  <si>
    <t>Nombre d'EEI prioritzades en l'ENP que es gestionen</t>
  </si>
  <si>
    <t>1 reunions/any</t>
  </si>
  <si>
    <t>3 reunions/any</t>
  </si>
  <si>
    <t>Nombre d'hores dedicades a la identificació d'espais per a dinàmica natural</t>
  </si>
  <si>
    <t>1 hora/any</t>
  </si>
  <si>
    <t>3 hores/any</t>
  </si>
  <si>
    <t xml:space="preserve">Nombre d'hectàrees destinades a a maduresa forestal contemplades en els PTGiMF. </t>
  </si>
  <si>
    <t>Nombre d'hectàrees destinades a cremes controlades</t>
  </si>
  <si>
    <t>0,5 ha</t>
  </si>
  <si>
    <t>1,5 ha</t>
  </si>
  <si>
    <t>Nombre hectàrees desbrossades per mantenir les pastures per a la prevenció d'incendis</t>
  </si>
  <si>
    <t>1 ha</t>
  </si>
  <si>
    <t>Establiment d'acords de custòdia en alguna de les finques privades</t>
  </si>
  <si>
    <t xml:space="preserve">Nombre plans de gestió de les finques privades aprovats </t>
  </si>
  <si>
    <t xml:space="preserve">Nombre actuacions destinades a accions demostratives </t>
  </si>
  <si>
    <t>Sí</t>
  </si>
  <si>
    <t xml:space="preserve">Nombre de fonts i punts d'aigua revisats </t>
  </si>
  <si>
    <t>Recurs hídric disponible i en funcionament</t>
  </si>
  <si>
    <t>Nombre de reunions de coordinació de prevenció d'incendis</t>
  </si>
  <si>
    <t>Nombres d'hores dedicades a la col·laboració</t>
  </si>
  <si>
    <t>1 informe/ any</t>
  </si>
  <si>
    <t>2 informe/any</t>
  </si>
  <si>
    <t>Nombre visites camp relacionades amb informes</t>
  </si>
  <si>
    <t xml:space="preserve">Redacció del catàleg </t>
  </si>
  <si>
    <t xml:space="preserve">Participació en l'elaboració del Pla de Protecció </t>
  </si>
  <si>
    <t>Nombre de captacions il·legals identificades</t>
  </si>
  <si>
    <t>Nombre de finques identificades com a  prioritàries per a la compra de terrenys (XN2000)</t>
  </si>
  <si>
    <t>Es disposa de l'inventari de patrimoni cultural immaterial</t>
  </si>
  <si>
    <t>Es disposa de l'inventari de patrimoni cultural lingüístic</t>
  </si>
  <si>
    <t>Es disposa de l'inventari de patrimoni cultural material</t>
  </si>
  <si>
    <t>Es disposa de l'inventari de camins ramaders o públics</t>
  </si>
  <si>
    <t>Es disposa d'un mapa d'entitats, associacions, museus, ecomuseus, OPEI, etc</t>
  </si>
  <si>
    <t>Nombre d'actuacions amb pedra seca</t>
  </si>
  <si>
    <t xml:space="preserve">S'incorpora el patrimoni cultural en els plans d’ús públic i educació ambiental </t>
  </si>
  <si>
    <t>S'ha redactat l'inventari d'elements d'interès paisatgístic de l'ENP d'acord amb el Catàleg de paisatge de la zona</t>
  </si>
  <si>
    <t>S'ha instal·lat cartelleria a les zones conflictives</t>
  </si>
  <si>
    <t>Execució del projecte d’ordenació de Cap Ras (XN2000)</t>
  </si>
  <si>
    <t>S'ha redactat el projecte d'ordenació</t>
  </si>
  <si>
    <t>S'ha redactat el projecte executiu</t>
  </si>
  <si>
    <t>S'ha executat el projecte</t>
  </si>
  <si>
    <t>Manteniment de GR, itineraris, camins d’accés a dòlmens i menhirs (XN2000)</t>
  </si>
  <si>
    <t>Nombre de camins, dòlmens i menhirs revisats</t>
  </si>
  <si>
    <t>Redacció del projecte de restauració de depressions.</t>
  </si>
  <si>
    <t>S'ha redactat el projecte</t>
  </si>
  <si>
    <t>Redacció del treball tècnic sobre els hàbitats presents a les basses</t>
  </si>
  <si>
    <t>S'ha redactat el treball</t>
  </si>
  <si>
    <t>Seguiment dels ajuts d’espais naturals i d’actuacions en espais de la XN2000.</t>
  </si>
  <si>
    <t>Hores de dedicació (hores/setmana)</t>
  </si>
  <si>
    <t>Total hores període (hores)</t>
  </si>
  <si>
    <t xml:space="preserve">Es manté una base de dades de seguiment de patrimoni natural de l'ENP actualitzada i ordenada </t>
  </si>
  <si>
    <t>Nombre d'institucions de recerca que fan estudis a l'ENP</t>
  </si>
  <si>
    <t>Nombre de projectes de ciència ciutadana sobre l'ENP</t>
  </si>
  <si>
    <t>% d'elements prioritzats dels quals s'ha millorat el coneixent en base a les aproximacions següents: (1) Increment anual del 25% de N elements amb informació/N total elements prioritzats a l'espai (any 2029 -&gt; Inexistència de cap element prioritzat sense 'feina feta' ). 2) Distribució: Tots els quadrats 1x1 de l'ENP tenen informació de la distribució dels elements prioritzats. 3) Es coneixen densitats poblacionals/estimes per totes les sp catalogades 'En Perill' i s'estableix periodicitat seguiment/sp. 4) Es prospecta el 50% d'hàbitat no prospectat per a una sp 5) Almenys 1 vegada es fa una anàlisi poblacional per a sp que no es coneix la distribució (òliba)</t>
  </si>
  <si>
    <t>Montse Pascual</t>
  </si>
  <si>
    <t>XN2000</t>
  </si>
  <si>
    <t>Execució del projecte de restauració de depressions</t>
  </si>
  <si>
    <t>Nombre d'accions del MAP que s'han començat a desenvolupar</t>
  </si>
  <si>
    <t xml:space="preserve">Redacció del projecte executiu de restauració de Garbet </t>
  </si>
  <si>
    <t xml:space="preserve"> Execució del projecte de restauració de Garbet </t>
  </si>
  <si>
    <t>S'ha realitzat la recopilació d'informació dels diversos catàlegs existents</t>
  </si>
  <si>
    <t>Nombre d'activitats en col·laboració amb la xarxa de museus i altres equipaments i entitats de referència</t>
  </si>
  <si>
    <t>Nombre de reunions relacionades amb la cooperació tècnica dels gestors de l'ENP amb els representants del patrimoni cultural</t>
  </si>
  <si>
    <t>Nombre de reunions amb els responsables dels treballs de restauració arquitectònica i del patrimoni cultural</t>
  </si>
  <si>
    <t>Nombre de treballs en què s'ha participat</t>
  </si>
  <si>
    <t xml:space="preserve">Nombre d'actuacions vinculades amb la  recuperació i conservació de l'arquitectura tradicional d'interès de les edificacions i construccions </t>
  </si>
  <si>
    <t>Nombre d'arbres fruiters de varietats locals que s'han col·laborat a mantenir</t>
  </si>
  <si>
    <t>Nombre de varietats locals que s'han col·laborat a mantenir</t>
  </si>
  <si>
    <t>Nombre de cartells de patrimoni cultural que s'han integrat en la cartelleria de l'ENP (nous o manteniment)</t>
  </si>
  <si>
    <t>Hores de formació sobre els valors culturals</t>
  </si>
  <si>
    <t>Nombre de zones d'acumulació de deixalles</t>
  </si>
  <si>
    <t>Nombre de reunions en què s'ha participat en la definició dels objectes de conservació.</t>
  </si>
  <si>
    <t>Nombre de reunions en què s'ha participat per l'actualització de l'inventari de ZH, espais d'interès geològic</t>
  </si>
  <si>
    <t>Nombre de reunions en què s'ha participat en la programació de la cartografia d'hàbitats</t>
  </si>
  <si>
    <t>Nombre de reunions per fomentar i coordinar estudis diversos relacionats amb els processos naturals de l'ENP</t>
  </si>
  <si>
    <t>Nombre d'estudis sobre geoconservació</t>
  </si>
  <si>
    <t xml:space="preserve">Nombre d'estudis sobre processos naturals o activitats antròpiques que afecten l'ENP. </t>
  </si>
  <si>
    <t>Nombre d'anys amb seguiment de l'estat hidrològic dels cursos d'aigua</t>
  </si>
  <si>
    <t>Nombre d'autoritzacions relacionades amb el coneixement de la tendència d'espècies plaga amb afectacions sobre ecosistemes o activitats econòmiques dins l'ENP</t>
  </si>
  <si>
    <t>Nombre d'estudis d'EEI amb afectacions sobre ecosistemes o activitats econòmiques dins l'ENP</t>
  </si>
  <si>
    <t>Nombre de reunions amb la UIC en la definició de sistemes de seguiment</t>
  </si>
  <si>
    <t>SOCC: 4 itineraris
SEGRE: 2 parcel·les
SEMICE: 2 parcel·les
Quirorefugis: 2 refugis de cria
Quirohàbitats: 4 estacions
Liró gris: 2 estacions
Musaranya d'aigua: 1 transsecte
Pla seguiment gat fer :1 parcel·la
CBMS 1 itinerari
Cens de perdiu roja
Cens de conill
Seguiment Pallavicinia lyllelii
Seguiment Hydrocotyle vulgaris       
Seguiment cranc de riu autòcton
Seguiment tortuga mediterrània</t>
  </si>
  <si>
    <t>Establiment de col·laboració amb el Monument de Sant Pere de Rodes, pel que fa al romànic, i amb el Museu Memorial de l'Exili, pel que fa a la dimensió fronterera.</t>
  </si>
  <si>
    <t>Nombre de reunions amb el Monument de Sant Pere de Rodes i amb el Museu Memorial de l'Exili</t>
  </si>
  <si>
    <t>Fer la trobada d'estudiosos de forma anual on els diferents organismes comparteixin els estudis realizats a l'ENP.</t>
  </si>
  <si>
    <t>Nombre de reunions sobre la definició del sistema estàndard de seguiment de l'ús públic amb el SENP</t>
  </si>
  <si>
    <t>Nombre de consultes / reunions realitzades</t>
  </si>
  <si>
    <t>Nombre anys</t>
  </si>
  <si>
    <t>Nombre hores/setmana</t>
  </si>
  <si>
    <t>*Aplicació del model de governança dels ENPE.</t>
  </si>
  <si>
    <t>S'ha aplicat el model de governança</t>
  </si>
  <si>
    <t>*Aplicació del manual per al règim de gestió econòmica als ENP per traspassar dades al RAE.</t>
  </si>
  <si>
    <t>*Participació dels espais de coordinació entre ENP per identificar les despeses comunes tramitables a càrrec del pressupost de la DG.</t>
  </si>
  <si>
    <t xml:space="preserve">*Aplicació del nou sistema de seguiment pressupostari conjunt per a tots els ENP per al control de les despeses (quan entri en funcionament).
</t>
  </si>
  <si>
    <t>S'ha aplicat el nou sistema de seguiment pressupostari</t>
  </si>
  <si>
    <t>S'ha aplicat el manual per al règim de gestió econòmica als ENP per traspassar dades al RAE</t>
  </si>
  <si>
    <t>Nombre de reunions de coordinació per identificar les despeses comunes a càrrec de la DG</t>
  </si>
  <si>
    <t>Nombre de necessitats conjuntes que es puguin agrupar en contractes únics o en convocatòries amb concurrència</t>
  </si>
  <si>
    <t>Nombre d'aportacions que es realitzen des de l'ENP en relació a les convocatòries d'ajuts per adaptar-les a les necessitats de l'ENP</t>
  </si>
  <si>
    <t>Nombre d'informes emesos</t>
  </si>
  <si>
    <t>Nombre d'autoritzacions emeses</t>
  </si>
  <si>
    <t xml:space="preserve">Redacció dels informes que se sol·liciten a la unitat.
</t>
  </si>
  <si>
    <t>Redacció de les autoritzacions que se sol·liciten a la unitat.</t>
  </si>
  <si>
    <t>Treballar amb SSCC per adaptar les convocatòries d'ajuts a les necessitats de l'ENP</t>
  </si>
  <si>
    <t xml:space="preserve">En els espais de coordinació entre ENP, detecció de les necessitats conjuntes que es puguin agrupar en contractes únics (amb o sense lots) o en convocatòries amb concurrència.
</t>
  </si>
  <si>
    <t>Implementació de gestor d'expedients</t>
  </si>
  <si>
    <t>S'ha implementat el gestor d'expedients</t>
  </si>
  <si>
    <t xml:space="preserve">Participació de les formacions ofertades des del Centre de formació i estudis agrorurals per al personal administratiu.
</t>
  </si>
  <si>
    <t>Formació interna de l'equip administratiu de l'ENP per adquirir coneixements bàsics en temes prioritaris (comptabilitat, contractació, tramitació electrònica, accessibilitat i transparència, propietat intel·lectual) i processos de tramitació (CQS, peticions informació genèrica, solicituds accés informació ambiental)</t>
  </si>
  <si>
    <t>Nombre de cursos realitzats per part del personal administratiu</t>
  </si>
  <si>
    <t>Jornades de formació interna de l'equip administratiu</t>
  </si>
  <si>
    <t>Atendre les sol·licituds d'informació pública</t>
  </si>
  <si>
    <t>Nombre de sol·licituds</t>
  </si>
  <si>
    <t>Disposició del material necessari per poder fer les tasques de la brigada.</t>
  </si>
  <si>
    <t>Nombre d'expedients econòmics sobre el material de manteniment</t>
  </si>
  <si>
    <t xml:space="preserve">Traspàs de tota la informació del béns patrimonials i col·laborar amb el Servei de Contractació i Patrimoni per tramitar els expedients de cessió de titularitat, declaracions d'obra nova, compra, lloguer...       </t>
  </si>
  <si>
    <t>Nombre d'expedients pels quals s'ha traspassat informació</t>
  </si>
  <si>
    <t>Col·laboració amb el Servei de Contractació i Patrimoni per tramitar les assegurances dels béns patrimonials dins la pòlissa d'assegurança de danys materials (número 86-5034332) de la Generalitat</t>
  </si>
  <si>
    <t>Nombre d'expedients en col·laboració amb el Servei de Contractació i Patrimoni per tramitar les assegurances dels béns patrimonials</t>
  </si>
  <si>
    <t>Ús de les eines facilitades per posar la documentació a disposició del públic.</t>
  </si>
  <si>
    <t xml:space="preserve">Coordinació de les brigades de manteniment.
</t>
  </si>
  <si>
    <t>Previsió de feines per a les brigades de manteniment.</t>
  </si>
  <si>
    <t>Previsió del material necessari per a la realització de les tasques de les brigades de manteniment</t>
  </si>
  <si>
    <t>Nombre d'intercanvi d'informació amb les empreses de les brigades de manteniment</t>
  </si>
  <si>
    <t>Existeix una calendarització de les feines de les brigades</t>
  </si>
  <si>
    <t xml:space="preserve">Vetlla perquè el PNIN disposi del personal necessari, amb la categoria adequada, per portar a terme les seves funcions.
</t>
  </si>
  <si>
    <t>Organització de les funcions entre els membres de l'equip</t>
  </si>
  <si>
    <t>Substitució del personal que es pugui modificar per la causa que sigui.</t>
  </si>
  <si>
    <t>Benvinguda i formació del nou personal que s'assigni al PNIN.</t>
  </si>
  <si>
    <t>Nombre de persones que fan  les funcions que li pertoquen segons la seva categoria</t>
  </si>
  <si>
    <t>Nombre de reunions de l'equip/mes</t>
  </si>
  <si>
    <t>Nombre de persones que s'han substituït</t>
  </si>
  <si>
    <t>S'ha realitzat la benvinguda a nou personal</t>
  </si>
  <si>
    <t>Compliment de normatives de prevenció de riscos laborals i recursos humans.</t>
  </si>
  <si>
    <t>Organització dels simulacres per prevenció de risc d'incendi que es demanin</t>
  </si>
  <si>
    <t>Acolliment d'alumnat de formació professional i universitats que vulguin fer les seves pràctiques al PNIN</t>
  </si>
  <si>
    <t>Gestió administrativa del RAE</t>
  </si>
  <si>
    <t>Treball amb els serveis centrals per poder disposar dels mitjans materials necessaris: material informàtic, connexió d'internet i telefonia, EPIs, vehicles, servei de neteja, revisió d'extintors...</t>
  </si>
  <si>
    <t>Nombre d'alumnes acollits en pràctiques</t>
  </si>
  <si>
    <t>Nombre d'expedients vinculats al RAE</t>
  </si>
  <si>
    <t>Disposició dels mitjans econòmics necessaris per poder realitzar les accions necessàries per a la gestió de l'ENP.</t>
  </si>
  <si>
    <t xml:space="preserve">Revisió i autorització de les despeses i ingressos.
</t>
  </si>
  <si>
    <t>Nombre d'expedients finalitzats</t>
  </si>
  <si>
    <t>% de pressupost que ha quedat sense executar</t>
  </si>
  <si>
    <t>&lt;20%</t>
  </si>
  <si>
    <t>Participació en la gestió administrativa dels contractes que tramitin els serveis centrals</t>
  </si>
  <si>
    <t>Nombre d'expedients econòmics tramitats des dels serveis centrals (contractes menors i altres tipologies)</t>
  </si>
  <si>
    <t>Materials necessaris que no s'han facilitat o serveis que han requerit algun tipus d'actuació</t>
  </si>
  <si>
    <t>Nombre de marges i punts d'aigua associats a la ramaderia i l'agricultura i d'interès per la biodiversitat</t>
  </si>
  <si>
    <t>Llistat de criteris propis de l'ENP per poder facilitar la identificació de productes de qualitat i respectuosos</t>
  </si>
  <si>
    <t>Es disposa d'un catàleg de productors i artesans de l'ENP</t>
  </si>
  <si>
    <t>Nombre de productors o artesans que estan inclosos en el catàleg d'activitats de l'ENP</t>
  </si>
  <si>
    <t>Es participa a la Fira de l'Oli d'Espolla amb algun taller o activitat per a la mainada</t>
  </si>
  <si>
    <t>Nombre d'espais de treball comú a través de l'Associació Empordà Turisme creats</t>
  </si>
  <si>
    <t>Nombre de Plans de Gestió Cinegètica  que incorporen objectius de conservació/Nombre de PTGC totals</t>
  </si>
  <si>
    <t>Nombre de reunions o accions amb els caçadors per fomentar la seva implicació en la conservació dels valors de l'espai</t>
  </si>
  <si>
    <t>Nombre d'acords amb propietaris per regular l'accés no motoritzat en camins que no siguin d'ús públic.</t>
  </si>
  <si>
    <t>Adaptació i implementació del protocol de regulació de curses i altres activitats esportives organitzades en base al model de Pla de protecció</t>
  </si>
  <si>
    <t>Adaptació i implementació del protocol de regulació d'enregistraments i observació de fauna i natura  en base al model de Pla de protecció</t>
  </si>
  <si>
    <t>Adaptació i implementació del protocol de regulació d'activitats científiques en base al model de Pla de protecció</t>
  </si>
  <si>
    <t xml:space="preserve">Nombre d'autoritzacions en què s'implementa el protocol de regulació de curses i altres activitats esportives organitzades </t>
  </si>
  <si>
    <t xml:space="preserve">Nombre d'autoritzacions en què s'implementa el protocol de regulació d'enregistraments i observació de fauna i natura  </t>
  </si>
  <si>
    <t xml:space="preserve">Nombre d'autoritzacions en què s'implementa el protocol de regulació d'activitats científiques </t>
  </si>
  <si>
    <t>Adaptació i implementació del protocol de regulació d'enlairament i aterratge sense motor</t>
  </si>
  <si>
    <t>Nombre d'autoritzacions en què s'implementa el protocol de regulació d'enlairament i aterratge sense motor</t>
  </si>
  <si>
    <t>Adaptació i implementació del protocol de regulació d'educació ambiental i lleure educatiu</t>
  </si>
  <si>
    <t xml:space="preserve"> Definició d'una xarxa d'itineraris oficial i categoritzada per tipus d'ús per on es poden realitzar activitats (curses a peu, en bicicleta, etc.).</t>
  </si>
  <si>
    <t>Redacció d'un inventari de camins (amb cartografia associada) on s'estableixi la propietat, usos compatibles, regulació actual i necessària, senyalització actual i necessària…</t>
  </si>
  <si>
    <t>S'ha redactat l'inventari de camins (amb cartografia associada) on s'estableixi la propietat, usos compatibles, regulació actual i necessària, senyalització actual i necessària…</t>
  </si>
  <si>
    <t>S'ha definit una xarxa d'itineraris oficial i categoritzada per tipus d'ús per on es poden realitzar activitats (curses a peu, en bicicleta, etc.).</t>
  </si>
  <si>
    <t>Incorporació dels itineraris i punts d'interès a Wikiloc i Google Maps</t>
  </si>
  <si>
    <t>S'han incorporat itineraris i punts d'interès a Wikiloc i Google Maps</t>
  </si>
  <si>
    <t xml:space="preserve">Foment de l'aprovació de regulació de l'accés motoritzat per part dels ajuntaments.
</t>
  </si>
  <si>
    <t xml:space="preserve">
Establiment d'acords amb propietaris per regular l'accés motoritzat en camins que no siguin d'ús públic.</t>
  </si>
  <si>
    <t>Senyalització de la xarxa viària restringida.</t>
  </si>
  <si>
    <t>Adaptació i implementació del protocol de regulació de drons, d'enlairament i aterratge</t>
  </si>
  <si>
    <t>Adaptació i implementació del protocol de limitacions temporals d'accés o circulació</t>
  </si>
  <si>
    <t>Nombre d'acords amb propietaris per regular l'accés motoritzat en camins que no siguin d'ús públic.</t>
  </si>
  <si>
    <t>Existeix una senyalització de la xarxa viària restringida.</t>
  </si>
  <si>
    <t>Nombre d'autoritzacions en què s'implementa el protocol de regulació de drons, d'enlairament i aterratge</t>
  </si>
  <si>
    <t xml:space="preserve">Foment de l'aprovació d'ordenances municipals que regulen l'estacionament de vehicles.
</t>
  </si>
  <si>
    <t xml:space="preserve">Redacció de l'inventari de senyalètica de l'ENP
</t>
  </si>
  <si>
    <t>Redacció del programa de senyalització</t>
  </si>
  <si>
    <t>Es disposa de l'inventari de senyalètica de l'ENP</t>
  </si>
  <si>
    <t>Es disposa del programa de senyalització</t>
  </si>
  <si>
    <t>Redacció del Pla d'informació dels espais freqüentats (que pot unificar-se amb l'anterior).</t>
  </si>
  <si>
    <t xml:space="preserve">Redacció del Pla d'ordenació de l'acollida dels visitants.
</t>
  </si>
  <si>
    <t xml:space="preserve">Millora del coneixement de la distribució i població (o superfície) dels elements priorizats.
</t>
  </si>
  <si>
    <t>Realització d'accions per a la millora dels elements prioritzats a l'espai</t>
  </si>
  <si>
    <t>Implicació i participació en la redacció dels plans de conservació /recuperació d'espècies amenaçades</t>
  </si>
  <si>
    <t>Execució de les accions dins els plans que pertoquin a cada espai (incorporar totes les mesures que surten als plans ja aprovats que tenen incidència a l'espai)</t>
  </si>
  <si>
    <t xml:space="preserve">Col·laboració en l'obtenció de la informació necessària dins els espais per al desenvolupament dels Plans </t>
  </si>
  <si>
    <t xml:space="preserve">
Coordinació i realització d'accions de gestió d'espècies exòtiques invasores dins de l'ENP (Opuntia, bambú, estramoni, Solanum sisymbriifolium, coipú) (XN2000).</t>
  </si>
  <si>
    <t>Col·laboració amb altres unitats per a l'assoliment d'objectius i compromisos internacionals, quan aquestes ho demanin.</t>
  </si>
  <si>
    <t>Participació en la identificació d'espais pel foment de la dinàmica natural i l'aprofitament no extractiu dins l'ENP en base a uns criteris metodològics predefinits</t>
  </si>
  <si>
    <t>Col·laboració amb el sector ramader per mantenir i millorar les pastures, especialment en zones culminals d'interès per a la prevenció d'incendis.</t>
  </si>
  <si>
    <t xml:space="preserve">Exploració de la via dels acords de custòdia en espais d'alt valor dins l'ENP.
</t>
  </si>
  <si>
    <t xml:space="preserve">
Redacció dels plans de gestió de les 3 finques privades incloses al PNIN, de forma consensuada amb la propietat.</t>
  </si>
  <si>
    <t>Redacció del Pla d'adaptació del PNIN al canvi climàtic.</t>
  </si>
  <si>
    <t xml:space="preserve">
Donar a conèixer el Pla entre els propietaris perquè puguin integrar les mesures proposades a la gestió de les seves finques.
</t>
  </si>
  <si>
    <t>Implementació de les mesures d'adaptació del PNIN al canvi climàtic</t>
  </si>
  <si>
    <t xml:space="preserve">Revisió de les fonts i punts d'aigua per assegurar el seu manteniment (XN2000)
</t>
  </si>
  <si>
    <t xml:space="preserve">Coordinació de les accions incloses en el Pla de prevencio d'incendis al PNIN.
</t>
  </si>
  <si>
    <t xml:space="preserve">
Col·laboració en l'execució d'actuacions de prevenció d'incendis com el manteniment de franges a la carretera d'accés al monestir de Sant Quirze de Colera.</t>
  </si>
  <si>
    <t>Organització de reunions de coordinació de prevenció d'incendis en col·laboració amb el CAR, especialment en el cas de tancament del massís.</t>
  </si>
  <si>
    <t>Participació en l'elaboració del Pla de Protecció (PP) juntament amb el SPEN.</t>
  </si>
  <si>
    <t>Participació, de forma coordinada amb l'administració competent, en l'avaluació i control d'actuacions dins els límits de l'ENP.</t>
  </si>
  <si>
    <t>Recopilació de la informació dels catàlegs d'altres admnistracions, buidat bibliogràfic, i fer diagnosi</t>
  </si>
  <si>
    <t>Redacció de l'inventari de patrimoni cultural material</t>
  </si>
  <si>
    <t xml:space="preserve">
Redacció de l'inventari de patrimoni cultural immaterial (metodologia de l'inventari de la UNESCO)</t>
  </si>
  <si>
    <t>Redacció de l'inventari de patrimoni lingüístic</t>
  </si>
  <si>
    <t>Redacció de l'inventari de camins ramaders o públics</t>
  </si>
  <si>
    <t>Elaboració d'un mapa d'entitats, associacions, museus, ecomuseus, OPEI (Observatori del Patrimoni Etnològic i Immaterial), etc.</t>
  </si>
  <si>
    <t>Impuls de col·laboració amb la xarxa de museus i altres equipaments i entitats de referència</t>
  </si>
  <si>
    <t xml:space="preserve">
Foment de la cooperació tècnica dels gestors de l'ENP amb els representants o custodis del patrimoni cultural, per a un ús compartit dels recursos</t>
  </si>
  <si>
    <t>Coordinació de l'equip tècnic (propi) amb els responsables dels treballs de restauració arquitectònica i del patrimoni cultural</t>
  </si>
  <si>
    <t xml:space="preserve">
Participació en els treballs de restauració arquitectònica i del patrimoni cultural quan estan vinculats a l’àrea d’ús públic de l’ENP</t>
  </si>
  <si>
    <t>Conservació de construccions de pedra seca</t>
  </si>
  <si>
    <t xml:space="preserve">Foment de la recuperació i conservació de l'arquitectura tradicional d'interès de les edificacions i construccions </t>
  </si>
  <si>
    <t>Col·laborar en mantenir arbres fruiters de varietats locals situats al costat dels masos del massís.</t>
  </si>
  <si>
    <t xml:space="preserve">
Conservar les varietats locals en planters (de llavor o esqueix).</t>
  </si>
  <si>
    <t>Identificació dels punts on s'acumulen més deixalles.</t>
  </si>
  <si>
    <t>Reforç de la vigilància en els punts on s'acumulen més deixalles.</t>
  </si>
  <si>
    <t xml:space="preserve">
Reforç de la senyalització, si es considera oportú.</t>
  </si>
  <si>
    <t>Coordinació per a la declaració de l'ENP com a ZEPQA, d'acord amb els ajuntaments.</t>
  </si>
  <si>
    <t>Participació en la definició dels objectes de conservació clau (hàbitats, espècies, processos i elements d’interès geològic) comuns a nivell de Xarxa d'ENP o clúster territorial</t>
  </si>
  <si>
    <t xml:space="preserve">
S'ha participat en la realització o actualització de l'inventari de ZH, espais interès geològic, etc.</t>
  </si>
  <si>
    <t>Participació en la programació de la realització de la cartografia d'hàbitats en el contracte pluriennal que existeix amb GeoVeg-UB</t>
  </si>
  <si>
    <t>Foment i coordinació dels estudis d'ecologia del foc, el règim hidrològic, la pol·linització, la tipificació i funcionament de les cadenes tròfiques pròpies de l’espai, la dinàmica geomorfològica i morfodinàmica de les roques, etc.</t>
  </si>
  <si>
    <t>Millora del coneixement de la geoconservació (escala més detallada de 1:50.000)</t>
  </si>
  <si>
    <t xml:space="preserve">
Implementació del protocol de fluxos d'informació i coneixement de biodiversitat</t>
  </si>
  <si>
    <t>Foment de l'estudi de l'afectació de determinats processos naturals o activitats antròpiques en l’ENP (amenaces i impacte ambiental).</t>
  </si>
  <si>
    <t>Avaluació de l'impacte del canvi climàtic en l'ENP i la seva capacitat d'adaptació i resiliència.</t>
  </si>
  <si>
    <t>Avaluació dels resultats de les estratègies de gestió aplicades en l'ENP.</t>
  </si>
  <si>
    <t xml:space="preserve">
Col.laboració amb l'Observatori per aportar els coneixements generats a l'ENP.</t>
  </si>
  <si>
    <t>Programa de seguiment de l’estat hidrològic dels cursos d'aigua</t>
  </si>
  <si>
    <t>Participació en els estudis d'espècies plaga amb afectacions sobre ecosistemes o activitats econòmiques dins l'ENP de les autoritats competents.</t>
  </si>
  <si>
    <t>Realització i foment d'estudis de forma coordinada amb el SFF.</t>
  </si>
  <si>
    <t xml:space="preserve">Suport a la UIC en la definició dels sistemes de seguiment </t>
  </si>
  <si>
    <t>Vinculació amb projectes de ciència ciutana existents per generar dades en l'ENP</t>
  </si>
  <si>
    <t>Implementació del sistema estandarditzat de presa de dades i seguiment de la freqüentació en ENP del SENP</t>
  </si>
  <si>
    <t xml:space="preserve">
Establiment de models de freqüentació que serveixin per gestionar l'ús públic en l'ENP conjuntament amb la UIC</t>
  </si>
  <si>
    <t>Col·laboració en la definició i aplicació del Plans de Desenvolupament Local Sostenible que vulguin establir els ajuntaments de l'àmbit de l'ENP.</t>
  </si>
  <si>
    <t>Establiment de criteris propis de l'ENP per poder facilitar identificació de productes de qualitat i respectuosos.</t>
  </si>
  <si>
    <t xml:space="preserve">Elaboració d'un catàleg de productors i artesans de l'ENP 
</t>
  </si>
  <si>
    <t>Inclusió de visites a productors o artesans en el catàleg d'activitats de l'ENP</t>
  </si>
  <si>
    <t>Creació d'espais de treball comú a través de l'Associació Empordà Turisme.</t>
  </si>
  <si>
    <t>Incorporació d'objectius de conservació d’espècies i hàbitats en la revisió dels Plans de Gestió Cinegètica</t>
  </si>
  <si>
    <t xml:space="preserve">Foment de l'aprovació de regulació de l'accés no motoritzat per part dels ajuntaments.
</t>
  </si>
  <si>
    <t>Establiment d'acords amb propietaris per regular l'accés no motoritzat en camins que no siguin d'ús públic.</t>
  </si>
  <si>
    <t xml:space="preserve">Revisió i actualització els equipaments al SIEQ
</t>
  </si>
  <si>
    <t>Revisió i identificació de necessitats d'inversió</t>
  </si>
  <si>
    <t>Trobades amb titulars d'espais emblemàtics</t>
  </si>
  <si>
    <t xml:space="preserve">Establiment dels acords necessaris amb la propietat </t>
  </si>
  <si>
    <t>Adaptació dels equipaments i infraestructures a persones amb diversitat funcional</t>
  </si>
  <si>
    <t>S'han revisat i actualitzat els equipaments al SIEQ</t>
  </si>
  <si>
    <t>Manteniment dels espais i infraestructures existents</t>
  </si>
  <si>
    <t>Nombre d'acords amb la propietat</t>
  </si>
  <si>
    <t>Nombre d'equipaments i infraestructures adaptats a persones amb diversitat funcional</t>
  </si>
  <si>
    <t>Redacció del Manual de l'informador/a.</t>
  </si>
  <si>
    <t xml:space="preserve">Identificació dels punts clau de vigilància, el calendari i els recursos necessaris
</t>
  </si>
  <si>
    <t xml:space="preserve">Avís als cossos de vigilància de qualsevol irregularitat detectada durant la realització d'altres feines a l'espai.
</t>
  </si>
  <si>
    <t>Guarderia pròpia amb el servei de guardes rurals contractat</t>
  </si>
  <si>
    <t>Nombre d'avisos als cossos de vigilància de qualsevol irregularitat detectada durant la realització d'altres feines a l'espai.</t>
  </si>
  <si>
    <t>Es disposa de servei de guardes rurals contractat</t>
  </si>
  <si>
    <t xml:space="preserve">S'ha realitzat com a mínim 1 acció/sp </t>
  </si>
  <si>
    <t>S'ha redactat el Pla d'adaptació del PNIN al canvi climàtic</t>
  </si>
  <si>
    <t xml:space="preserve">S'ha realitzat algun tipus de vigilància </t>
  </si>
  <si>
    <t>S'ha iniciat la tramitació d'alguna ZEPQA</t>
  </si>
  <si>
    <t>S'han implementat fluxos d'informació i coneixement de la biodiversitat</t>
  </si>
  <si>
    <t>S'ha avaluat l'impacte del canvi climàtic en l'ENP i la seva capacitat d'adaptació i resiliència</t>
  </si>
  <si>
    <t>S'han avaluat els resultat de les estratègies de gestió de l'ENP</t>
  </si>
  <si>
    <t>S'han compartit els treballs/coneixements generats amb l'Observatori</t>
  </si>
  <si>
    <t>S'han realitzat els seguiments previstos</t>
  </si>
  <si>
    <t>S'ha aplicat el sistema estandarditzat de presa de dades sobre la freqüentació a l'ENP</t>
  </si>
  <si>
    <t>S'han aplicat models de freqüentació per gestionar l'ús públic</t>
  </si>
  <si>
    <t>S'ha actualitzat i s'ha aplicat el registre d'activitats, actors i inciències en ús públic (curses, conflictes, queixes, etc)</t>
  </si>
  <si>
    <t>S'han identificat els impactes que generen les activitats d'ús públic. Explicar quins.</t>
  </si>
  <si>
    <t>S'ha col·laborat en la la definició i aplicació del Plans de Desenvolupament Local Sostenible que vulguin establir els ajuntaments de l'àmbit de l'ENP</t>
  </si>
  <si>
    <t>S'ha compartit informació amb els productors agraris</t>
  </si>
  <si>
    <t>S'ha aplicat el programa de senyalització</t>
  </si>
  <si>
    <t>S'ha redactat el Pla d'ordenació de l'acollida dels visitants.</t>
  </si>
  <si>
    <t>S'ha realitzat el manteniment dels espais i  infraestructures existents</t>
  </si>
  <si>
    <t>S'ha realitzat la revisió i identificació de necessitats d'inversió</t>
  </si>
  <si>
    <t>S'ha aplicat el Pla d'ordenació d'acollida als visitants en base al model de la DG</t>
  </si>
  <si>
    <t>S'han utilitzat les eines facilitades</t>
  </si>
  <si>
    <t>Nombre de tasques executades en relació a la xarxa d'escoles</t>
  </si>
  <si>
    <t xml:space="preserve">Implicació i capacitació del professorat per implicar-los en el disseny del projecte educatiu
</t>
  </si>
  <si>
    <t>Incorporació d'alguna nova situació d'aprenentatge</t>
  </si>
  <si>
    <t>Nombre de capacitacions del professorat per implicar-los en el disseny del projecte educatiu</t>
  </si>
  <si>
    <t>Nombre d'entitats del territori i centres de recerca amb qui elaborar projectes de ciència ciutadana.</t>
  </si>
  <si>
    <t xml:space="preserve">Cerca d'entitats del territori i centres de recerca amb qui elaborar projectes de ciència ciutadana que donin resposta a les necessitats de l'EN. 
</t>
  </si>
  <si>
    <t>Nombre de projectes de ciència ciutadana</t>
  </si>
  <si>
    <t>Nombre de recursos educatius adaptats a l'espai per a les activitats de l'oferta pedagògica.</t>
  </si>
  <si>
    <t>Participació en projectes conjunts d'agents clau del territori, com el projecte LIFE ecoAdapt.</t>
  </si>
  <si>
    <t xml:space="preserve">Realització d'una edició del curs de bons coneixedors de l'ENP.
</t>
  </si>
  <si>
    <t>Formacions continuades en el marc del contracte del servei d'informació i educació ambiental.</t>
  </si>
  <si>
    <t>Organització de les trobades d'estudiosos (ja posat més amunt)</t>
  </si>
  <si>
    <t>Nombre de reunions relacionades amb projectes conjunts d'agents clau del territori.</t>
  </si>
  <si>
    <t>Nombre de formacions continuades en el marc del contracte del servei d'informació i educació ambiental.</t>
  </si>
  <si>
    <t>Nombre de trobades d'estudiosos</t>
  </si>
  <si>
    <t xml:space="preserve">Participació en la concreció dels missatges i peces creatives de la campanya de la DG.  
</t>
  </si>
  <si>
    <t xml:space="preserve">Difusió de la campanya aprofitant les eines i equipaments de l'ENP. </t>
  </si>
  <si>
    <t xml:space="preserve">Nombre de reunions relacionades amb la concreció dels missatges i peces creatives de la campanya de la DG.  </t>
  </si>
  <si>
    <t xml:space="preserve">S'ha fet difusió de la campanya de sensibilització aprofitant les eines i equipaments de l'ENP. </t>
  </si>
  <si>
    <t xml:space="preserve">Disseny d'una oferta d’activitats d’educació ambiental de caire lúdic adreçada a famílies.
</t>
  </si>
  <si>
    <t xml:space="preserve">Disseny d'una oferta d’activitats que tingui en compte temes de salut i natura </t>
  </si>
  <si>
    <t>Participació a les sortides en espais naturals del consell comarcal.</t>
  </si>
  <si>
    <t>Renovació del programa educatiu de forma adaptativa</t>
  </si>
  <si>
    <t xml:space="preserve">Fer difusió d'accions en marxa organitzades pels membres de la Taula de Voluntariat.
</t>
  </si>
  <si>
    <t>Fer difusió de programes, projectes i accions en marxa que poden rebre el suport de voluntariat.</t>
  </si>
  <si>
    <t>Enfortiment i promoció de la participació de noves entitats a la Taula de Voluntariat dels ENPE de l'Empordà.</t>
  </si>
  <si>
    <t xml:space="preserve">Promoure itineraris saludables
</t>
  </si>
  <si>
    <t xml:space="preserve">Incorporació i promoció de guiatges terapèutics en aquests itineraris </t>
  </si>
  <si>
    <t xml:space="preserve">Col·laboració en projectes pilot de recerca sobre els beneficis del contacte amb la natura per a la salut, per a la població en general o perfils específics.
</t>
  </si>
  <si>
    <t>Col·laboració en activitats i programes adreçats a col·lectius diana dins l'ENP, com la prescripció de natura (recepta verda i blava).</t>
  </si>
  <si>
    <t xml:space="preserve">Inclusió del concepte de Salut i Natura en els missatges comunicatius de conservació i sensibilització
</t>
  </si>
  <si>
    <t xml:space="preserve">Inclusió en els cursos i formacions de l'ENP elements de la interdependència salut i natura. </t>
  </si>
  <si>
    <t>Oferir i donar a conèixer els recursos que es generin en relació aquesta temàtica a la Xarxa d'Escoles del parc, entitats i altres agents del territori</t>
  </si>
  <si>
    <t>Elaboració dels productes comunicatius que es determinin conjuntament amb Serveis Centrals : ex.un telegrama mensual, butlletí , agenda activitats trimestral, fulletó informatiu vinculats amb ús públic. Etc</t>
  </si>
  <si>
    <t xml:space="preserve">Posar a disposició de la societat els estudis i informes que s'han fet o encarregat des del Parc mitjançant la Jornada d'estudiosos (ja inclòs més amunt) i la publicació al repositori que Serveis Centrals determinin.
</t>
  </si>
  <si>
    <t>Vetllar pel correcte tractament i emmagatzematge dels estudis i informes encarregats.</t>
  </si>
  <si>
    <t xml:space="preserve">Difusió de material divulgatiu específic a partir de les campanyes de comunicació elaborades conjuntament amb Serveis Centrals (comunicació externa)
</t>
  </si>
  <si>
    <t>Creació, reedició i reimpressió de material divulgatiu específic dels valors i itineraris de l'ENP.</t>
  </si>
  <si>
    <t>Foment de la formació de l'equip del Parc i augmentar el coneixement d'aquests valors (comunicació interna)</t>
  </si>
  <si>
    <t>Nombre d'ordenances municipals que regulen l'estacionament de vehicles en horari nocturn per evitar la pernocta en vehicle.</t>
  </si>
  <si>
    <t xml:space="preserve">Nombre de municipis amb  regulació de l'accés no motoritzat  </t>
  </si>
  <si>
    <t>Nombre d'avisos i denúncies perquè els gossos vagin lligats</t>
  </si>
  <si>
    <t>Nombre de comunicacions i autoritzacions  en què s'implementa el protocol de regulació d'educació ambiental i lleure educatiu</t>
  </si>
  <si>
    <t xml:space="preserve">Nombre d'ajuntaments amb regulació de l'accés motoritzat </t>
  </si>
  <si>
    <t>Nombre de dies en què s'implementa el protocol de limitacions temporals d'accés o circulació (Pla Alfa)</t>
  </si>
  <si>
    <t>Nombre d'ajuntaments amb ordenances municipals aprovades que regulen l'estacionament de vehicles</t>
  </si>
  <si>
    <t>S'ha redactat el Pla d'informació dels espais freqüentats (que es pot haver fusionat amb l'anterior).</t>
  </si>
  <si>
    <t>Nombre de reunions o trucades amb titulars d'espais emblemàtics</t>
  </si>
  <si>
    <t>S'ha actualitzat el Manual de l'informador</t>
  </si>
  <si>
    <t>Nombre de reunions amb agents rurals</t>
  </si>
  <si>
    <t xml:space="preserve">S'ha realitzat l'anàlisi per integrar l'ENP a la xarxa d'escoles </t>
  </si>
  <si>
    <t>Anàlisi d'integració a xarxa d'escoles per veure si es pot fer, a quin ritme, i amb quins participants.</t>
  </si>
  <si>
    <t>*Constitució i dinamització dels espais de treball conjunt amb els agents col·laboradors de la XEEN.
*Elaboració d'un mapa de centres educatius.
*Organització de grups de treball entre docents i ENP. 
*Cercar entitats i institucions locals que col·laborin amb la Xarxa (CRPs, administració local, entitats ambientals i educatives...).
*Disseny i desenvolupament de projectes compartits.  
*Organització de trobades d'intercanvi amb alumnat
*Avaluació de les accions de la Xarxa.</t>
  </si>
  <si>
    <t>Implementar les tasques llistades a la columna  anterior</t>
  </si>
  <si>
    <t>Nombre de reunions amb els  Centres de Rercursos Pedagògics</t>
  </si>
  <si>
    <t>Coordinació amb els Centres de Rercursos Pedagògics (CRP) perquè les formacions estiguin reconegudes  pel Departament d'Educació</t>
  </si>
  <si>
    <t>Nombre de noves situacions d'aprenentatge</t>
  </si>
  <si>
    <t>Nombre de reunions amb la Taula de Voluntariat de l'Empordà de forma conjunta entre tots els ENPE de l'Empordà.</t>
  </si>
  <si>
    <t>Participació a la Taula de Voluntariat de l'Empordà de forma conjunta entre tots els ENPE de l'Empordà.</t>
  </si>
  <si>
    <t>Nombre d'edicions del curs de bons coneixedors de l'ENP.</t>
  </si>
  <si>
    <t>Nombre d'activitats d’educació ambiental de caire lúdic adreçada a famílies.</t>
  </si>
  <si>
    <t>S'ha participat a les sortides en espais naturals del consell comarcal.</t>
  </si>
  <si>
    <t xml:space="preserve">Nombre d'activitats sobre temes de salut i natura </t>
  </si>
  <si>
    <t>Llistat dels col·lectius estratègics implicats en la gestió i l'ús del territori</t>
  </si>
  <si>
    <t>S'ha renovat el programa educatiu de forma adaptativa</t>
  </si>
  <si>
    <t>Nombre de plataformes o llocs de difusió d'accions organitzades pels membres de la Taula de Voluntariat.</t>
  </si>
  <si>
    <t xml:space="preserve"> Nombre de plataformes o llocs de difusió de programes, projectes i accions en marxa que poden rebre el suport de voluntariat.</t>
  </si>
  <si>
    <t>S'ha incorporat la perspectiva de gènere als continguts i activitats de l'ENP</t>
  </si>
  <si>
    <t>Nombre d'itineraris saludables a l'espai</t>
  </si>
  <si>
    <t>Existència de guiatges terapèutics en els itineraris saludables</t>
  </si>
  <si>
    <t>Nombre de projectes sobre els beneficis del contacte amb la natura per a la salut, per a la població en general o perfils específics en què l'ENP col·labora.</t>
  </si>
  <si>
    <t>Nombre d'activitats i programes adreçats a col·lectius diana dins l'ENP, com la prescripció de natura (recepta verda i blava) en què l'ENP col·labora.</t>
  </si>
  <si>
    <t>S'ha inclòs el concepte de Salut i Natura en els missatges comunicatius de conservació i sensibilització.</t>
  </si>
  <si>
    <t xml:space="preserve">S'han inclòs elements de la interdependència salut i natura en els cursos i formacions de l'ENP </t>
  </si>
  <si>
    <t>S'han donat a conèixer els recursos que s'han generat en relació a la interdependència salut i natura e a la Xarxa d'Escoles del parc, entitats i altres agents del territori</t>
  </si>
  <si>
    <t xml:space="preserve">Els estudis i informes encarregats s'han emmagatzemat correctament. </t>
  </si>
  <si>
    <t>Nombre de campanyes de comunicació elaborades conjuntament amb Serveis Centrals (comunicació externa)</t>
  </si>
  <si>
    <t>Nombre de material divulgatiu sobre els valors i itineraris de l'ENP creats, reeditats i reimpresos.</t>
  </si>
  <si>
    <t>Nombre de formacions internes per augmentar el coneixement d'aquests valors de l'ENP</t>
  </si>
  <si>
    <t xml:space="preserve">Actualització del web segons el format i estàndards establerts des de Serveis Centrals.
</t>
  </si>
  <si>
    <t>Reunions d'equip periòdiques amb una freqüència no superior a 15 dies.</t>
  </si>
  <si>
    <t>Participació en les reunions dels grups de treball de la direcció general: conservació; ús públic i turisme; RAE; educació ambiental; millora rural; i direcció.</t>
  </si>
  <si>
    <t xml:space="preserve">Implementació dels protocols vigents d'informació i comunicació.
</t>
  </si>
  <si>
    <t>Aplicació dels manuals existents i vigents en quan a comunicació corporativa.</t>
  </si>
  <si>
    <t>Participació en els espais d'intercanvi d'informació entre ENP</t>
  </si>
  <si>
    <t>Aplicació del protocol comunicatiu específic per a Juntes Rectores d'ENP</t>
  </si>
  <si>
    <t>S'ha actualitzat el web segons el format i estàndards establerts des de Serveis Centrals.</t>
  </si>
  <si>
    <t>Es fan reunions d'equip periòdiques amb una freqüència no superior a 15 dies.</t>
  </si>
  <si>
    <t>S'ha participat en els grups de treball de la direcció general: conservació; ús públic i turisme; RAE; educació ambiental; millora rural; i direcció.</t>
  </si>
  <si>
    <t>S'han implementat els protocols vigents d'informació i comunicació.</t>
  </si>
  <si>
    <t>S'han aplicat els manuals existents i vigents en quan a comunicació corporativa.</t>
  </si>
  <si>
    <t>S'ha participat en els espais d'intercanvi d'informació entre ENP</t>
  </si>
  <si>
    <t>S'ha aplicat el protocol comunicatiu específic per a Juntes Rectores d'ENP</t>
  </si>
  <si>
    <t>Nombre d'entitats incorporades a la Taula de Voluntariat dels ENPE de l'Empordà.</t>
  </si>
  <si>
    <t>Potenciació d'un centre de documentació unificat per als espais de l'Empordà</t>
  </si>
  <si>
    <t>S'ha treballat per disposar d'un centre de documentació unificat per als espais de l'Empordà</t>
  </si>
  <si>
    <t>Disponibilitat de mitjans personals i materials</t>
  </si>
  <si>
    <t>Amenaça 1</t>
  </si>
  <si>
    <t xml:space="preserve">Amenaça 2 </t>
  </si>
  <si>
    <t xml:space="preserve">Amenaça 3 </t>
  </si>
  <si>
    <t xml:space="preserve">Amenaça 1 </t>
  </si>
  <si>
    <t>Amenaça 2</t>
  </si>
  <si>
    <r>
      <t xml:space="preserve">Hericium </t>
    </r>
    <r>
      <rPr>
        <i/>
        <sz val="9"/>
        <color theme="1"/>
        <rFont val="Calibri"/>
        <family val="2"/>
        <scheme val="minor"/>
      </rPr>
      <t>erinaceus</t>
    </r>
  </si>
  <si>
    <t>Participar en la definició i planificació de la gestió del foc per a la millora de l'ENP</t>
  </si>
  <si>
    <t xml:space="preserve">Col·laboració amb el Servei de Fauna i Flora en les actuacions de gestió de les espècies exòtiques invasores dins de l'ENP. (Opuntia, bambú, estramoni, Solanum sisymbriifolium, coipú, visó americà, ailant, cortaderia i robínia) (XN2000)
</t>
  </si>
  <si>
    <t>25% de les actuacions previstes als PTGiMF</t>
  </si>
  <si>
    <t>50% de les actuacions previstes als PTGiMF</t>
  </si>
  <si>
    <t>Participació en la identificació de finques prioritàries de compra en base als criteris indicats</t>
  </si>
  <si>
    <t>Seguiment rompudes i efectes dels treballs forestals sobre tortuga mediterrània en XN2000</t>
  </si>
  <si>
    <t>Nombre d'expedients</t>
  </si>
  <si>
    <t xml:space="preserve">Al 50% dels expedients se'ls fa un seguiment </t>
  </si>
  <si>
    <t xml:space="preserve">Al 100% dels expedients se'ls fa un seguiment </t>
  </si>
  <si>
    <t>Aplicació de la metodologia dels Estàndards Oberts pels processos més rellevants per a la conservació a l'espai de XN2000 Basses de l'Albera</t>
  </si>
  <si>
    <t>Coordinació amb oficina comarcal d’agricultura (SIGPAC) i la interacció basses temporals de l’Albera</t>
  </si>
  <si>
    <t>Existeix una coordinació amb l'oficina comarcal</t>
  </si>
  <si>
    <t>Desplegament del MAP a l'espai XN2000 Basses Albera</t>
  </si>
  <si>
    <t xml:space="preserve">Col·laboració amb servei de planificació amb els nous estudis a l'espai XN2000 Basses de l’Albera </t>
  </si>
  <si>
    <t>Col·laboració en la planificació dels estudis</t>
  </si>
  <si>
    <t>Participació en l’òrgan de governança de XN2000 Basses de l’Albera</t>
  </si>
  <si>
    <t>Participació en l'òrgan de governança Basses Albera</t>
  </si>
  <si>
    <t xml:space="preserve">*Participar en la identificació d'espais pel foment de la dinàmica natural i l'aprofitament no extractiu dins l'ENP en base a uns criteris metodològics predefinits
</t>
  </si>
  <si>
    <t>*Afavorir la creació d'hàbitats per a la conservació d'espècies</t>
  </si>
  <si>
    <t>Afavorir la creació d'hàbitats per a la conservació d'espècies</t>
  </si>
  <si>
    <t>Nombre d'hectàrees creades per a la conservació</t>
  </si>
  <si>
    <t>5 ha</t>
  </si>
  <si>
    <t>2 ha</t>
  </si>
  <si>
    <t>7 Eixos temàtics: NATURA, CULTURA, CONEIXEMENT, DESENVOLUPAMENT LOCAL, ÚS PÚBLIC I SOCIAL, EDUCACIÓ, VOLUNTARIAT I COMUNICACIÓ, GESTIÓ I ADMINISTRACIÓ</t>
  </si>
  <si>
    <t>Dinamització de la realització d'aquests projectes de ciència ciutadana</t>
  </si>
  <si>
    <t>Organització del personal</t>
  </si>
  <si>
    <t>S'aplica la metodologia dels estàndars oberts</t>
  </si>
  <si>
    <t>Percentatge d’ajuts sobre els que es fa seguiment</t>
  </si>
  <si>
    <t>OBJECTIUS operatius</t>
  </si>
  <si>
    <t>Potenciar la conservació i recuperació del patrimoni cultural material i immaterial de l'ENP</t>
  </si>
  <si>
    <t>04.3</t>
  </si>
  <si>
    <t>05.2</t>
  </si>
  <si>
    <t>Millorar la qualitat paisatgística</t>
  </si>
  <si>
    <t>05.3</t>
  </si>
  <si>
    <t>Protegir la qualitat acústica i lumínica de l'ENP</t>
  </si>
  <si>
    <t>Impulsar models productius agraris i forestals per tal d'afavorir la conservació dels hàbitats i els paisatges modelats per aquestes, i contribuir a la millora socioeconòmica de les persones que la fan possible</t>
  </si>
  <si>
    <t>08.1</t>
  </si>
  <si>
    <t>Indicadors</t>
  </si>
  <si>
    <t>Valor mínim</t>
  </si>
  <si>
    <t>Valor objectiu</t>
  </si>
  <si>
    <t>Vetllar pel manteniment dels cabals ecològics i la bona qualitat dels cursos fluvials de l'ENP de forma coordinada amb l'administració competent</t>
  </si>
  <si>
    <t>03.3</t>
  </si>
  <si>
    <t xml:space="preserve">Treballar per a la universalitat de les accions d’educació, sensibilització i voluntariat ambiental </t>
  </si>
  <si>
    <t>13.7</t>
  </si>
  <si>
    <t>Disposar d'espais per a la participació de personal expert i agents del territori en la governança de l'ENP</t>
  </si>
  <si>
    <t>15.1</t>
  </si>
  <si>
    <t>Impulsar i/o participar dels treballs de restauració arquitectònica, arqueològica i del patrimoni cultural</t>
  </si>
  <si>
    <t>Recuperar i conservar el patrimoni cultural immaterial (associat a les activitats i aprofitaments rurals tradicionals) i els valors espirituals</t>
  </si>
  <si>
    <t>06.3.4</t>
  </si>
  <si>
    <t>Participar en la definició, organització i bolcatge de dades del SINATCAT</t>
  </si>
  <si>
    <t>Promoure i/o col·laborar en l'aplicació de Plans de Desenvolupament Local Sostenible</t>
  </si>
  <si>
    <t>08.3.6</t>
  </si>
  <si>
    <t>Promoure els agents del territori que potencien i difonen els productes locals i de qualitat (artesanies, allotjaments, restaurants, cellers, establiments, elaboradors i productors) que afavoreixin la conservació</t>
  </si>
  <si>
    <t>Ordenar l'acampada i pernoctació  en base a un model estandarditzat de Pla de protecció</t>
  </si>
  <si>
    <t>Ordenar la circulació rodada no motoritzada en base a un model estàndard de Pla de protecció</t>
  </si>
  <si>
    <t>Ordenar l'escalada i alpinisme, barranquisme, i espeleologia  en base a un model estàndard de Pla de protecció</t>
  </si>
  <si>
    <t>Ordenar les curses i altres activitats esportives organitzades en base a un model estàndard de Pla de protecció</t>
  </si>
  <si>
    <t>Ordenar els enregistraments i l'observació de fauna i natura en base a un model estàndard de Pla de protecció</t>
  </si>
  <si>
    <t>Ordenar les activitats científiques en base a un model estàndard de Pla de protecció</t>
  </si>
  <si>
    <t>Ordenar les zones de bany</t>
  </si>
  <si>
    <t>Ordenar l'enlairament i aterratge sense motor</t>
  </si>
  <si>
    <t>Ordenar el submarinisme i l'snorkel</t>
  </si>
  <si>
    <t>11.1.10</t>
  </si>
  <si>
    <t>Ordenar les activitats aquàtiques i nàutiques i zones de fondeig</t>
  </si>
  <si>
    <t>11.1.11</t>
  </si>
  <si>
    <t>Ordenar la presència d'animals de companyia</t>
  </si>
  <si>
    <t>11.1.12</t>
  </si>
  <si>
    <t>Ordenar lels activitats d'educació ambiental i el lleure educatiu</t>
  </si>
  <si>
    <t>Ordenar l'accés i la circulació</t>
  </si>
  <si>
    <t>Ordenar la xarxa viària principal, secundària i restringida</t>
  </si>
  <si>
    <t>Ordenar l'ús de drons, l'enlairament i l'aterratge</t>
  </si>
  <si>
    <t>Ordenar l'aparcament de vehicles</t>
  </si>
  <si>
    <t>Disposar i mantenir els serveis, equipaments i infraestructures necessàries i accessibles per acollir, informar, facilitar la visita i garantir la seguretat dels visitants i la protecció de l'entorn</t>
  </si>
  <si>
    <t>13.8.4</t>
  </si>
  <si>
    <t>Desplegar i/o participar a les Taules territorials de Salut i Natura</t>
  </si>
  <si>
    <t xml:space="preserve">Gestionar i millorar administrativament els pressupostos anuals d'entrades i despeses </t>
  </si>
  <si>
    <t>Planificar, detectar les necessitats de contractació del l'ENP per a l'optimització dels contractes a nivell de Xarxa i gestionar els contractes</t>
  </si>
  <si>
    <t>Planificar i gestionar els ajuts</t>
  </si>
  <si>
    <t>Millorar i mantenir el material, infraestructures i equipaments de gestió de l'espai</t>
  </si>
  <si>
    <t>Millorar l'accessibilitat i de la gestió documental i digital de l'ENP</t>
  </si>
  <si>
    <t>Gestionar, enfortir i consolidar l'equip de gestió del parc</t>
  </si>
  <si>
    <t>16.6.3</t>
  </si>
  <si>
    <t>Gestió ordinària i imprevistos no contemplats en cap dels Objectius opertatius anteriors</t>
  </si>
  <si>
    <t>13.6.3</t>
  </si>
  <si>
    <t>Desplegar el Pla estratègic 2021-2030 d’educació i voluntariat ambiental del Parc Natural dels Ports (PEEVA): Voluntariat</t>
  </si>
  <si>
    <t>13.2.4</t>
  </si>
  <si>
    <t>Oferir projectes de recerca vinculats a l'espai natural per a l'alumnat universitari i de la XEEN</t>
  </si>
  <si>
    <t>13.2.5</t>
  </si>
  <si>
    <t>Desplegar el Pla estratègic 2021-2030 d’educació i voluntariat ambiental del Parc Natural dels Ports (PEEVA): Educació ambiental</t>
  </si>
  <si>
    <t>09.2.1</t>
  </si>
  <si>
    <t xml:space="preserve">Treballar amb les empreses turístiques per trobar eines de canvi cap a un model de turisme sostenible i de qualitat </t>
  </si>
  <si>
    <t>09.2.2</t>
  </si>
  <si>
    <t>Crear productes i paquets turístics amb associacions d’empreses turístiques i operadors turístics</t>
  </si>
  <si>
    <t>10.1.1</t>
  </si>
  <si>
    <t>Establir un model de construcció a l'ENP en base a un model estàndard de Pla de protecció</t>
  </si>
  <si>
    <t>10.1.2</t>
  </si>
  <si>
    <t>Ordenar els aprofitaments i extraccions dins l'espai</t>
  </si>
  <si>
    <t>Promoure la coordinació amb els agents turístics del territori (empreses, industries, administració).</t>
  </si>
  <si>
    <t>Estandarditzar de regulació d'usos i aprofitaments  en base a un model estàndard de Pla de protecció</t>
  </si>
  <si>
    <t>09.2</t>
  </si>
  <si>
    <t>10.1</t>
  </si>
  <si>
    <t>09.1.1</t>
  </si>
  <si>
    <t>Desplegar la Carta Europea de Turisme Sostenible (CETS)</t>
  </si>
  <si>
    <t>09.1.2</t>
  </si>
  <si>
    <t>Tramitar la certificació Biosphere</t>
  </si>
  <si>
    <t>09.1.3</t>
  </si>
  <si>
    <t>Fomentar la creació d'allotjaments i altres recursos turístics d'acord amb les necessitats i els agents turístics del territori que es vinculin als valors naturals de l'espai</t>
  </si>
  <si>
    <t xml:space="preserve">Fomentar un model de turisme que promogui els valors dels espais naturals protegits d'acord amb els agents turístics del territori </t>
  </si>
  <si>
    <t>09.1</t>
  </si>
  <si>
    <t>Vetllar per la regulació dels dragatges, canalitzacions o implantació d'activitats extractives que puguin modificar la llera i el cabal dels rius</t>
  </si>
  <si>
    <t>Vetllar pel compliment de la normativa de depuració dels efluents agroramaders, urbans i industrials que s'aboquen als cursos fluvials</t>
  </si>
  <si>
    <t>03.3.5</t>
  </si>
  <si>
    <t>Colaborar amb l'òrgan competent per la conservació del domini públic d'acord amb les delimitacions i la normativa d'usos vigent</t>
  </si>
  <si>
    <t>Gestionar i intervenir en la dinàmica de poblacions de fauna que no tenen depredador natural</t>
  </si>
  <si>
    <t>01.3.7</t>
  </si>
  <si>
    <t>Afavorir la connectivitat ecològica del territori</t>
  </si>
  <si>
    <t>Adaptar i executar plans de gestió específics per a elements geològics de conservació prioritària dins l'ENP</t>
  </si>
  <si>
    <t xml:space="preserve">Restaurar la dinàmica natural dels rius </t>
  </si>
  <si>
    <t>Impulsar la coordinació amb els ens locals en la gestió finques públiques situades dins d’ENP</t>
  </si>
  <si>
    <t>Participar en la redacció i execució dels instruments d'ordenació forestal sostenible i per la conservació en finques públiques</t>
  </si>
  <si>
    <t>Promoure la redacció d'instruments d'ordenació forestal per reduir la sensibilitat i vulnerabilitat dels boscos al canvi climàtic en finques privades</t>
  </si>
  <si>
    <t>Identificar espais prioritaris per a la gestió directa</t>
  </si>
  <si>
    <t>04.2.4</t>
  </si>
  <si>
    <t>Disposar de personal especialitzat en patrimoni cultural</t>
  </si>
  <si>
    <t>05.3.2</t>
  </si>
  <si>
    <t>Coneixer com millorar la connectivitat de forma coordinada amb altres ENP</t>
  </si>
  <si>
    <t>06.2.7</t>
  </si>
  <si>
    <t>06.4.5</t>
  </si>
  <si>
    <t>Posar a disposició de la recerca, equipaments i serveis de l'ENP</t>
  </si>
  <si>
    <t>06.4.6</t>
  </si>
  <si>
    <t xml:space="preserve">Crear l'Observatori de recerca de l'ENP vinculat a l'Observatori del Patrimoni natural i la biodiversitat </t>
  </si>
  <si>
    <t>Identificar en cartografia les males praxis i punts de massificació</t>
  </si>
  <si>
    <t>06.5.6</t>
  </si>
  <si>
    <t>08.1.3</t>
  </si>
  <si>
    <t xml:space="preserve">Acompanyar i assessorar els productors agraris per millorar les tècniques productives agràries i afavorir la conservació dels hàbitats i paisatges </t>
  </si>
  <si>
    <t>08.2.1</t>
  </si>
  <si>
    <t>Establir una relació contínua amb agents socioeconòmics del territori, i si s'escau, crear una Taula de desenvolupament local</t>
  </si>
  <si>
    <t>08.2</t>
  </si>
  <si>
    <t>Promoure la coordinació amb els agents socioeconòmics del territori pel foment del desenvolupament sostenible de l'espai (sector primari i secundari)</t>
  </si>
  <si>
    <t>Elaborar una diagnòsi del teixit productiu local i un pla d’acció amb línies de treball i actuacions concretes per donar-li suport</t>
  </si>
  <si>
    <t>08.4.3</t>
  </si>
  <si>
    <t>Donar suport en la gestió de poblacions que generen danys a les activitats econòmiques de l'ENP</t>
  </si>
  <si>
    <t>11.4.1</t>
  </si>
  <si>
    <t>Implementar l'ordenació de l'ús públic en col·laboració amb els agents del territori</t>
  </si>
  <si>
    <t>11.4.2</t>
  </si>
  <si>
    <t>Promoció i acompanyament en l'ordenació de l'ús públic de l'ENP des de l'àmbit municipal</t>
  </si>
  <si>
    <t>11.4</t>
  </si>
  <si>
    <t>Enfortir la col·laboració i coordinació amb els agents d'ús públic (empreses, entitats i ajuntaments)</t>
  </si>
  <si>
    <t>12.1.1</t>
  </si>
  <si>
    <t>Ordenar el pla d’emergències</t>
  </si>
  <si>
    <t>12.1.2</t>
  </si>
  <si>
    <t>Contribuir a la protecció dels assentaments humans respecte dels riscos naturals</t>
  </si>
  <si>
    <t>12.1</t>
  </si>
  <si>
    <t>Col·laborar amb les autoritats competents per a la gestió de riscos dins l’ENP</t>
  </si>
  <si>
    <t>13.4.3</t>
  </si>
  <si>
    <t xml:space="preserve">Adaptar el programa de divulgació i sensibilització de l'ENP perquè incorpori una oferta d’activitats adequada per a altres perfils </t>
  </si>
  <si>
    <t>13.4.4</t>
  </si>
  <si>
    <t xml:space="preserve">Adaptar el programa de divulgació i sensibilització de l'ENP perquè incorpori una oferta d’activitats dirigida al lleure educatiu </t>
  </si>
  <si>
    <t>13.5.3</t>
  </si>
  <si>
    <t xml:space="preserve">Executar els projectes de sensibilització i formació dirigits als agents de lleure educatiu </t>
  </si>
  <si>
    <t>13.5.4</t>
  </si>
  <si>
    <t xml:space="preserve">Executar els projectes de sensibilització i formació dirigits als agents del sector primari </t>
  </si>
  <si>
    <t>13.5.5</t>
  </si>
  <si>
    <t>Dissenyar i adaptar activitats inclusives per a persones amb necessitats específiques</t>
  </si>
  <si>
    <t>13.7.2</t>
  </si>
  <si>
    <t>Formar el personal de l'ENP (informadors i personal que treballa de cara al públic) en accessibilitat, diversitat funcional i diversitat de gènere</t>
  </si>
  <si>
    <t>13.7.3</t>
  </si>
  <si>
    <t>15.1.3</t>
  </si>
  <si>
    <t>Incloure entitats i organismes científics i culturals de referència en els mecanismes de presa de decisions de l'ENP</t>
  </si>
  <si>
    <t>15.1.4</t>
  </si>
  <si>
    <t>16.2.3</t>
  </si>
  <si>
    <t>Establir i renovar en temps i forma convenis de col·laboració, convenis marc, acords, protocols i altres instruments de col·laboració.</t>
  </si>
  <si>
    <t>APROFITAR ELS RECURSOS NATURALS DE FORMA SOSTENIBLE mitjançant desenvolupament dels aprofitaments tradicionals de forma compatible amb la conservació de l'espai</t>
  </si>
  <si>
    <t>FOMENTAR EL TURISME SOSTENIBLE compatible amb la conservació de l'espai</t>
  </si>
  <si>
    <t>ORDENAR ELS USOS I APROFITAMENTS per garantir l'equilibri de les activitats humanes amb la conservació de la biodiversitat</t>
  </si>
  <si>
    <t>GESTIONAR ELS RISCOS NATURALS per a l'autoprotecció de la població local</t>
  </si>
  <si>
    <t>ESTABLIR EL MARC PER A LA GOVERNANÇA i la gestió eficient de l'espai i la xarxa d'ENP</t>
  </si>
  <si>
    <t>Conèixer l'impacte de les gestió de l'aigua, sobre la biodiversitat</t>
  </si>
  <si>
    <t>Adaptar i mantenir un registre d'activitats, actors i incidències en ús públic (curses, conflictes, queixes, etc)</t>
  </si>
  <si>
    <t xml:space="preserve">Revisar la gestió econòmica del RAE </t>
  </si>
  <si>
    <t xml:space="preserve">Gestionar la part administrativa dels recursos del règim d'autonomia econòmica </t>
  </si>
  <si>
    <t>Participació en la gestió de poblacions que generen danys a les activitats econòmiques de l'ENP</t>
  </si>
  <si>
    <t>Nombre de reunions o accions per a la gestió de poblacions que generen danys a les activitats econòmiques de l'ENP</t>
  </si>
  <si>
    <t>No surt prioritzat amb els nostres criteris, i fora de PNIN</t>
  </si>
  <si>
    <t>Col·laborar en mantenir el patrimoni cultural immaterial.</t>
  </si>
  <si>
    <t>Nombre d'actuacions de col·laboració per mantenir el patrimoni cultural immaterial</t>
  </si>
  <si>
    <t>Manteniment de la captació de la font de la Verna per compatibilitzar els usos agroramaders i els cabals naturals.</t>
  </si>
  <si>
    <t>16.6.4</t>
  </si>
  <si>
    <t>16.6.5</t>
  </si>
  <si>
    <t>09.3</t>
  </si>
  <si>
    <t>Promoure activitats de turisme sostenible per conèixer els valors de l'espai</t>
  </si>
  <si>
    <t>09.3.1</t>
  </si>
  <si>
    <t>Organitzar activitats per conèixer els valors de l'espai natural</t>
  </si>
  <si>
    <t>No hi havia previst cap objectiu on incloure aquest tipus d'activitats.</t>
  </si>
  <si>
    <t>Organització d'activitats per conèixer els valors de l'espai natural</t>
  </si>
  <si>
    <t>Nombre d'activitats organitzades</t>
  </si>
  <si>
    <t>07.2</t>
  </si>
  <si>
    <t>07.2.1</t>
  </si>
  <si>
    <t>Millorar la cobertura en l'àmbit de l'espai natural</t>
  </si>
  <si>
    <t>No hi ha cap objectiu que pugui donar resposta a aquesta actuació.</t>
  </si>
  <si>
    <t xml:space="preserve">Col·laboració amb les propietats ramaderes per millorar la cobertura de telefonia i així fomentar el control del bestiar sense tanques físiques, en el marc de les competències de l'òrgan de gestió.
</t>
  </si>
  <si>
    <t>Nombre de noves antenes col·locades per millorar la cobertura</t>
  </si>
  <si>
    <t>Promoure la gestió del bestiar amb sistemes sense tanques físiques</t>
  </si>
  <si>
    <t>Mantenir i millorar la governança transfronterera</t>
  </si>
  <si>
    <t>Objectiu nou</t>
  </si>
  <si>
    <t>Participació en les reunions i trobades d'àmbit transfronterer a nivell tècnic.</t>
  </si>
  <si>
    <t>S'ha participat en reunions d'àmbit transfronterer.</t>
  </si>
  <si>
    <t>Treballar per a la prevenció d'incendis juntament amb el CAR, propietaris, ajuntaments, protecció civil, ADF, DARPA i bombers.</t>
  </si>
  <si>
    <t>petita modificació del redactat, afegint el CAR i el DARPA (per petició d'aquest Departament)</t>
  </si>
  <si>
    <t>Foment d'allotjaments i altres recursos turístics, especialment fora de les reserves naturals i dins o a prop de l'àmbit de PNIN.</t>
  </si>
  <si>
    <t>Nombre de recursos creats</t>
  </si>
  <si>
    <t>Actualització del SINATCAT</t>
  </si>
  <si>
    <t>Utilitzar el SINATCAT</t>
  </si>
  <si>
    <t>SÍ</t>
  </si>
  <si>
    <t>16.2.4</t>
  </si>
  <si>
    <t>16.2.5</t>
  </si>
  <si>
    <t>16.2.6</t>
  </si>
  <si>
    <t>Treballar per a l'adaptació de les convocatòries de subvencions a les necessitats de l'ENP</t>
  </si>
  <si>
    <t>Gestionar el personal assignat al PNIN</t>
  </si>
  <si>
    <t>Complir altres normatives, com prevenció de riscos laborals.</t>
  </si>
  <si>
    <t>Objectiu Estratègic</t>
  </si>
  <si>
    <t>Objectiu operatiu</t>
  </si>
  <si>
    <t>Executar les mesures de gestió directa previstes en els instruments de planificació per la conservació i la gestió adaptativa dels elements clau de l'ENP</t>
  </si>
  <si>
    <t xml:space="preserve">Coordinació de les accions incloses en el Pla de prevenció d'incendis al PNIN.
</t>
  </si>
  <si>
    <t xml:space="preserve">Estandarditzar els seguiments periòdics dels grups clau </t>
  </si>
  <si>
    <t xml:space="preserve">Crear i desenvolupar jornades de recerca de l'ENP de forma anual on els diferents centres mostrin els estudis realitzats  en l'ENP </t>
  </si>
  <si>
    <t>Organitzar una trobada d'estudiosos de forma anual on els diferents organismes mostrin els estudis realitzats  a l'ENP, i els donin a conèixer a la societat.</t>
  </si>
  <si>
    <t>Organització d'una trobada d'estudiosos de forma anual on els diferents organismes comparteixin els estudis realitzats  a l'ENP.</t>
  </si>
  <si>
    <t>Fer la trobada d'estudiosos de forma anual on els diferents organismes comparteixin els estudis realitzats  a l'ENP.</t>
  </si>
  <si>
    <t>Estandarditzar regulació de l’ús públic i social en base al model acordat per govern</t>
  </si>
  <si>
    <t>Garantir el compliment de la normativa dins els ENP, especialment en l'accés motoritzat, zones amb hiperfreqüentació i elements amb aprofitament comercial</t>
  </si>
  <si>
    <t>Ordenar i estandarditzar els espais d'acollida de visitants i equipaments d'ús públic, i garantir un correcte servei d'atenció i acollida dels visitants</t>
  </si>
  <si>
    <t>*Coordinació amb els Centres de Recursos Pedagògics (CRP) perquè les formacions estiguin reconegudes  pel Departament d'Educació</t>
  </si>
  <si>
    <t>Coordinació amb els Centres de Recursos Pedagògics (CRP) perquè les formacions estiguin reconegudes  pel Departament d'Educació</t>
  </si>
  <si>
    <t>Nombre de productes comunicatius determinats conjuntament amb Serveis Centrals: com un telegrama mensual, butlletí , agenda activitats trimestral, fulletó informatiu vinculats amb ús públic...</t>
  </si>
  <si>
    <t>S'han penjat al web els estudis i informes que s'han fet o encarregat des del Parc i els de la Jornada d'estudiosos així com el repositori que Serveis Centrals determini.</t>
  </si>
  <si>
    <t>16.1.2</t>
  </si>
  <si>
    <t>16.3.6</t>
  </si>
  <si>
    <t>Organització de reunions de coordinació del dispositiu de prevenció d'incendis en cas de tancament del massís, conjuntament amb el CAR.</t>
  </si>
  <si>
    <t>Col·laborar en la vigilància de l’espai d'acord amb els cossos d’inspecció i seguretat</t>
  </si>
  <si>
    <t>Modificació proposada a la junta rectora pel director de SSTT d'Interior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</si>
</sst>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</font>
    <font>
      <u/>
      <sz val="11"/>
      <color theme="1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D9B35"/>
        <bgColor indexed="64"/>
      </patternFill>
    </fill>
    <fill>
      <patternFill patternType="solid">
        <fgColor rgb="FFBCBF00"/>
        <bgColor indexed="64"/>
      </patternFill>
    </fill>
    <fill>
      <patternFill patternType="solid">
        <fgColor rgb="FF00ABD4"/>
        <bgColor indexed="64"/>
      </patternFill>
    </fill>
    <fill>
      <patternFill patternType="solid">
        <fgColor rgb="FFF85C26"/>
        <bgColor indexed="64"/>
      </patternFill>
    </fill>
    <fill>
      <patternFill patternType="solid">
        <fgColor rgb="FFFABC2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94A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CB9CA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DE4A6"/>
        <bgColor indexed="64"/>
      </patternFill>
    </fill>
  </fills>
  <borders count="10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8497B0"/>
      </right>
      <top/>
      <bottom/>
      <diagonal/>
    </border>
    <border>
      <left style="thin">
        <color rgb="FF8497B0"/>
      </left>
      <right/>
      <top style="thin">
        <color rgb="FF8497B0"/>
      </top>
      <bottom/>
      <diagonal/>
    </border>
    <border>
      <left style="thin">
        <color rgb="FF8497B0"/>
      </left>
      <right/>
      <top/>
      <bottom/>
      <diagonal/>
    </border>
    <border>
      <left style="thin">
        <color rgb="FF8497B0"/>
      </left>
      <right/>
      <top style="thin">
        <color rgb="FF8497B0"/>
      </top>
      <bottom style="thin">
        <color rgb="FF8497B0"/>
      </bottom>
      <diagonal/>
    </border>
    <border>
      <left style="thin">
        <color rgb="FF8497B0"/>
      </left>
      <right/>
      <top style="thin">
        <color theme="3" tint="0.39994506668294322"/>
      </top>
      <bottom/>
      <diagonal/>
    </border>
    <border>
      <left/>
      <right/>
      <top style="thin">
        <color theme="3" tint="0.39994506668294322"/>
      </top>
      <bottom/>
      <diagonal/>
    </border>
    <border>
      <left style="thin">
        <color rgb="FF8497B0"/>
      </left>
      <right/>
      <top/>
      <bottom style="thin">
        <color theme="3" tint="0.39994506668294322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9"/>
      </bottom>
      <diagonal/>
    </border>
    <border>
      <left style="thin">
        <color rgb="FF8497B0"/>
      </left>
      <right/>
      <top/>
      <bottom style="thin">
        <color rgb="FF8497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B0F0"/>
      </bottom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9"/>
      </top>
      <bottom/>
      <diagonal/>
    </border>
    <border>
      <left/>
      <right/>
      <top/>
      <bottom style="thin">
        <color theme="3" tint="0.39994506668294322"/>
      </bottom>
      <diagonal/>
    </border>
    <border>
      <left/>
      <right/>
      <top style="thin">
        <color rgb="FF8497B0"/>
      </top>
      <bottom/>
      <diagonal/>
    </border>
    <border>
      <left/>
      <right/>
      <top style="thin">
        <color rgb="FF8497B0"/>
      </top>
      <bottom style="thin">
        <color rgb="FF8497B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5"/>
      </top>
      <bottom/>
      <diagonal/>
    </border>
    <border>
      <left/>
      <right style="thin">
        <color indexed="64"/>
      </right>
      <top/>
      <bottom style="thin">
        <color theme="5"/>
      </bottom>
      <diagonal/>
    </border>
    <border>
      <left style="thin">
        <color theme="4"/>
      </left>
      <right/>
      <top style="thin">
        <color theme="5"/>
      </top>
      <bottom/>
      <diagonal/>
    </border>
    <border>
      <left/>
      <right style="thin">
        <color indexed="64"/>
      </right>
      <top style="thin">
        <color theme="6"/>
      </top>
      <bottom/>
      <diagonal/>
    </border>
    <border>
      <left/>
      <right style="thin">
        <color indexed="64"/>
      </right>
      <top style="thin">
        <color theme="9"/>
      </top>
      <bottom/>
      <diagonal/>
    </border>
    <border>
      <left/>
      <right style="thin">
        <color indexed="64"/>
      </right>
      <top/>
      <bottom style="thin">
        <color theme="9"/>
      </bottom>
      <diagonal/>
    </border>
    <border>
      <left/>
      <right style="thin">
        <color indexed="64"/>
      </right>
      <top/>
      <bottom style="thin">
        <color theme="3" tint="0.39994506668294322"/>
      </bottom>
      <diagonal/>
    </border>
    <border>
      <left/>
      <right style="thin">
        <color indexed="64"/>
      </right>
      <top style="thin">
        <color theme="4"/>
      </top>
      <bottom/>
      <diagonal/>
    </border>
    <border>
      <left/>
      <right style="thin">
        <color indexed="64"/>
      </right>
      <top/>
      <bottom style="thin">
        <color theme="6"/>
      </bottom>
      <diagonal/>
    </border>
    <border>
      <left/>
      <right/>
      <top style="thin">
        <color theme="5"/>
      </top>
      <bottom/>
      <diagonal/>
    </border>
    <border>
      <left/>
      <right style="thin">
        <color indexed="64"/>
      </right>
      <top style="thin">
        <color theme="8"/>
      </top>
      <bottom/>
      <diagonal/>
    </border>
    <border>
      <left/>
      <right style="thin">
        <color indexed="64"/>
      </right>
      <top style="thin">
        <color rgb="FF8497B0"/>
      </top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 style="thin">
        <color indexed="64"/>
      </right>
      <top style="thin">
        <color rgb="FF00B0F0"/>
      </top>
      <bottom/>
      <diagonal/>
    </border>
    <border>
      <left/>
      <right style="thin">
        <color indexed="64"/>
      </right>
      <top/>
      <bottom style="thin">
        <color rgb="FF00B0F0"/>
      </bottom>
      <diagonal/>
    </border>
    <border>
      <left/>
      <right style="thin">
        <color indexed="64"/>
      </right>
      <top/>
      <bottom style="thin">
        <color rgb="FF8497B0"/>
      </bottom>
      <diagonal/>
    </border>
    <border>
      <left/>
      <right/>
      <top style="thin">
        <color rgb="FF00B0F0"/>
      </top>
      <bottom/>
      <diagonal/>
    </border>
    <border>
      <left/>
      <right style="thin">
        <color indexed="64"/>
      </right>
      <top/>
      <bottom style="thin">
        <color theme="8"/>
      </bottom>
      <diagonal/>
    </border>
    <border>
      <left style="thin">
        <color theme="8"/>
      </left>
      <right/>
      <top style="thin">
        <color rgb="FF00B0F0"/>
      </top>
      <bottom/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 style="thin">
        <color theme="6"/>
      </top>
      <bottom/>
      <diagonal/>
    </border>
    <border>
      <left/>
      <right style="thin">
        <color rgb="FF8497B0"/>
      </right>
      <top/>
      <bottom style="thin">
        <color theme="3" tint="0.399945066682943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/>
      <bottom style="thin">
        <color indexed="6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6"/>
      </right>
      <top/>
      <bottom style="thin">
        <color rgb="FF00B0F0"/>
      </bottom>
      <diagonal/>
    </border>
    <border>
      <left style="thin">
        <color theme="6"/>
      </left>
      <right/>
      <top/>
      <bottom style="thin">
        <color rgb="FF00B0F0"/>
      </bottom>
      <diagonal/>
    </border>
    <border>
      <left/>
      <right style="thin">
        <color indexed="64"/>
      </right>
      <top style="thin">
        <color theme="3" tint="0.399945066682943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/>
      <right style="thin">
        <color theme="6"/>
      </right>
      <top style="thin">
        <color theme="4"/>
      </top>
      <bottom/>
      <diagonal/>
    </border>
  </borders>
  <cellStyleXfs count="3">
    <xf numFmtId="0" fontId="0" fillId="0" borderId="0"/>
    <xf numFmtId="0" fontId="18" fillId="0" borderId="0"/>
    <xf numFmtId="0" fontId="26" fillId="0" borderId="0" applyNumberFormat="0" applyFill="0" applyBorder="0" applyAlignment="0" applyProtection="0"/>
  </cellStyleXfs>
  <cellXfs count="441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7" borderId="0" xfId="0" applyNumberFormat="1" applyFont="1" applyFill="1" applyAlignment="1">
      <alignment horizontal="center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49" fontId="3" fillId="13" borderId="2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1" borderId="33" xfId="0" applyFont="1" applyFill="1" applyBorder="1" applyAlignment="1">
      <alignment vertical="center" wrapText="1"/>
    </xf>
    <xf numFmtId="49" fontId="3" fillId="21" borderId="33" xfId="0" applyNumberFormat="1" applyFont="1" applyFill="1" applyBorder="1" applyAlignment="1">
      <alignment horizontal="center" vertical="center" wrapText="1"/>
    </xf>
    <xf numFmtId="0" fontId="3" fillId="23" borderId="37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4" fillId="4" borderId="0" xfId="0" applyNumberFormat="1" applyFont="1" applyFill="1" applyAlignment="1">
      <alignment horizontal="center" vertical="top" wrapText="1"/>
    </xf>
    <xf numFmtId="49" fontId="4" fillId="5" borderId="0" xfId="0" applyNumberFormat="1" applyFont="1" applyFill="1" applyAlignment="1">
      <alignment horizontal="center" vertical="top" wrapText="1"/>
    </xf>
    <xf numFmtId="49" fontId="4" fillId="6" borderId="0" xfId="0" applyNumberFormat="1" applyFont="1" applyFill="1" applyAlignment="1">
      <alignment horizontal="center" vertical="top" wrapText="1"/>
    </xf>
    <xf numFmtId="0" fontId="3" fillId="15" borderId="23" xfId="0" applyFont="1" applyFill="1" applyBorder="1" applyAlignment="1">
      <alignment vertical="top" wrapText="1"/>
    </xf>
    <xf numFmtId="0" fontId="3" fillId="19" borderId="39" xfId="0" applyFont="1" applyFill="1" applyBorder="1" applyAlignment="1">
      <alignment vertical="top"/>
    </xf>
    <xf numFmtId="0" fontId="3" fillId="19" borderId="0" xfId="0" applyFont="1" applyFill="1" applyAlignment="1">
      <alignment vertical="top"/>
    </xf>
    <xf numFmtId="0" fontId="0" fillId="0" borderId="0" xfId="0" applyAlignment="1">
      <alignment wrapText="1"/>
    </xf>
    <xf numFmtId="0" fontId="3" fillId="0" borderId="47" xfId="0" applyFont="1" applyBorder="1" applyAlignment="1">
      <alignment vertical="top" wrapText="1"/>
    </xf>
    <xf numFmtId="49" fontId="14" fillId="0" borderId="0" xfId="0" applyNumberFormat="1" applyFont="1" applyAlignment="1">
      <alignment horizontal="left"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49" fontId="14" fillId="0" borderId="0" xfId="0" applyNumberFormat="1" applyFont="1" applyAlignment="1">
      <alignment horizontal="center" vertical="top" wrapText="1"/>
    </xf>
    <xf numFmtId="49" fontId="14" fillId="0" borderId="0" xfId="0" applyNumberFormat="1" applyFont="1" applyAlignment="1">
      <alignment horizontal="right" vertical="top"/>
    </xf>
    <xf numFmtId="0" fontId="4" fillId="18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center" vertical="center"/>
    </xf>
    <xf numFmtId="49" fontId="5" fillId="18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13" borderId="21" xfId="0" applyFont="1" applyFill="1" applyBorder="1" applyAlignment="1">
      <alignment vertical="center" wrapText="1"/>
    </xf>
    <xf numFmtId="0" fontId="3" fillId="23" borderId="53" xfId="0" applyFont="1" applyFill="1" applyBorder="1" applyAlignment="1">
      <alignment vertical="center" wrapText="1"/>
    </xf>
    <xf numFmtId="0" fontId="5" fillId="18" borderId="47" xfId="0" applyFont="1" applyFill="1" applyBorder="1" applyAlignment="1">
      <alignment horizontal="center" vertical="center" wrapText="1"/>
    </xf>
    <xf numFmtId="0" fontId="5" fillId="18" borderId="47" xfId="0" applyFont="1" applyFill="1" applyBorder="1" applyAlignment="1">
      <alignment horizontal="center" vertical="center"/>
    </xf>
    <xf numFmtId="0" fontId="5" fillId="0" borderId="47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18" borderId="47" xfId="0" applyFont="1" applyFill="1" applyBorder="1" applyAlignment="1">
      <alignment horizontal="center" vertical="center"/>
    </xf>
    <xf numFmtId="0" fontId="4" fillId="18" borderId="47" xfId="0" applyFont="1" applyFill="1" applyBorder="1" applyAlignment="1">
      <alignment horizontal="center" vertical="center" wrapText="1"/>
    </xf>
    <xf numFmtId="0" fontId="3" fillId="18" borderId="47" xfId="0" applyFont="1" applyFill="1" applyBorder="1" applyAlignment="1">
      <alignment horizontal="center" vertical="center" wrapText="1"/>
    </xf>
    <xf numFmtId="0" fontId="3" fillId="18" borderId="47" xfId="0" applyFont="1" applyFill="1" applyBorder="1" applyAlignment="1">
      <alignment horizontal="left" vertical="center" wrapText="1"/>
    </xf>
    <xf numFmtId="0" fontId="3" fillId="18" borderId="47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18" borderId="47" xfId="0" applyFill="1" applyBorder="1" applyAlignment="1">
      <alignment horizontal="center" vertical="center"/>
    </xf>
    <xf numFmtId="0" fontId="0" fillId="18" borderId="47" xfId="0" applyFill="1" applyBorder="1" applyAlignment="1">
      <alignment horizontal="left" vertical="center" wrapText="1"/>
    </xf>
    <xf numFmtId="0" fontId="3" fillId="0" borderId="47" xfId="0" applyFont="1" applyBorder="1" applyAlignment="1">
      <alignment vertical="top"/>
    </xf>
    <xf numFmtId="0" fontId="1" fillId="18" borderId="47" xfId="0" applyFont="1" applyFill="1" applyBorder="1" applyAlignment="1">
      <alignment horizontal="left" vertical="center" wrapText="1"/>
    </xf>
    <xf numFmtId="0" fontId="0" fillId="18" borderId="47" xfId="0" applyFill="1" applyBorder="1" applyAlignment="1">
      <alignment horizontal="center" vertical="center" wrapText="1"/>
    </xf>
    <xf numFmtId="0" fontId="3" fillId="0" borderId="47" xfId="0" applyFont="1" applyBorder="1" applyAlignment="1">
      <alignment horizontal="left" vertical="top" wrapText="1"/>
    </xf>
    <xf numFmtId="0" fontId="8" fillId="0" borderId="47" xfId="0" applyFont="1" applyBorder="1" applyAlignment="1">
      <alignment vertical="top" wrapText="1"/>
    </xf>
    <xf numFmtId="0" fontId="11" fillId="18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vertical="top" wrapText="1"/>
    </xf>
    <xf numFmtId="0" fontId="10" fillId="18" borderId="47" xfId="0" applyFont="1" applyFill="1" applyBorder="1" applyAlignment="1">
      <alignment horizontal="left" vertical="center" wrapText="1"/>
    </xf>
    <xf numFmtId="0" fontId="9" fillId="0" borderId="47" xfId="0" applyFont="1" applyBorder="1" applyAlignment="1">
      <alignment vertical="top" wrapText="1"/>
    </xf>
    <xf numFmtId="0" fontId="4" fillId="0" borderId="47" xfId="0" applyFont="1" applyBorder="1" applyAlignment="1">
      <alignment horizontal="center" vertical="center" wrapText="1"/>
    </xf>
    <xf numFmtId="0" fontId="4" fillId="24" borderId="0" xfId="0" applyFont="1" applyFill="1" applyAlignment="1">
      <alignment wrapText="1"/>
    </xf>
    <xf numFmtId="0" fontId="0" fillId="24" borderId="0" xfId="0" applyFill="1" applyAlignment="1">
      <alignment wrapText="1"/>
    </xf>
    <xf numFmtId="0" fontId="4" fillId="24" borderId="0" xfId="0" applyFont="1" applyFill="1"/>
    <xf numFmtId="0" fontId="17" fillId="0" borderId="0" xfId="0" applyFont="1"/>
    <xf numFmtId="0" fontId="4" fillId="0" borderId="0" xfId="0" applyFont="1"/>
    <xf numFmtId="0" fontId="13" fillId="0" borderId="0" xfId="0" applyFont="1"/>
    <xf numFmtId="0" fontId="0" fillId="0" borderId="47" xfId="0" applyBorder="1"/>
    <xf numFmtId="0" fontId="0" fillId="0" borderId="57" xfId="0" applyBorder="1"/>
    <xf numFmtId="0" fontId="13" fillId="0" borderId="58" xfId="0" applyFont="1" applyBorder="1" applyAlignment="1">
      <alignment horizontal="center"/>
    </xf>
    <xf numFmtId="0" fontId="13" fillId="0" borderId="59" xfId="0" applyFont="1" applyBorder="1" applyAlignment="1">
      <alignment horizontal="center"/>
    </xf>
    <xf numFmtId="0" fontId="13" fillId="0" borderId="60" xfId="0" applyFont="1" applyBorder="1" applyAlignment="1">
      <alignment horizontal="center" wrapText="1"/>
    </xf>
    <xf numFmtId="0" fontId="19" fillId="0" borderId="0" xfId="1" applyFont="1" applyAlignment="1">
      <alignment vertical="center"/>
    </xf>
    <xf numFmtId="0" fontId="20" fillId="0" borderId="0" xfId="1" applyFont="1" applyAlignment="1">
      <alignment horizontal="left" vertical="center"/>
    </xf>
    <xf numFmtId="0" fontId="20" fillId="0" borderId="0" xfId="1" applyFont="1" applyAlignment="1">
      <alignment vertical="center"/>
    </xf>
    <xf numFmtId="0" fontId="20" fillId="0" borderId="0" xfId="1" applyFont="1" applyAlignment="1">
      <alignment vertical="center" wrapText="1"/>
    </xf>
    <xf numFmtId="0" fontId="18" fillId="0" borderId="0" xfId="1"/>
    <xf numFmtId="0" fontId="21" fillId="0" borderId="0" xfId="1" applyFont="1" applyAlignment="1">
      <alignment horizontal="left" vertical="center"/>
    </xf>
    <xf numFmtId="0" fontId="23" fillId="0" borderId="0" xfId="1" applyFont="1" applyAlignment="1">
      <alignment horizontal="left" vertical="center"/>
    </xf>
    <xf numFmtId="0" fontId="7" fillId="25" borderId="0" xfId="1" applyFont="1" applyFill="1" applyAlignment="1">
      <alignment horizontal="center" vertical="top" wrapText="1"/>
    </xf>
    <xf numFmtId="0" fontId="7" fillId="25" borderId="0" xfId="1" applyFont="1" applyFill="1" applyAlignment="1">
      <alignment horizontal="left" vertical="top" wrapText="1"/>
    </xf>
    <xf numFmtId="0" fontId="7" fillId="25" borderId="0" xfId="1" applyFont="1" applyFill="1" applyAlignment="1">
      <alignment vertical="top" wrapText="1"/>
    </xf>
    <xf numFmtId="0" fontId="20" fillId="0" borderId="0" xfId="1" applyFont="1" applyAlignment="1">
      <alignment horizontal="center" vertical="top" wrapText="1"/>
    </xf>
    <xf numFmtId="0" fontId="20" fillId="0" borderId="0" xfId="1" applyFont="1" applyAlignment="1">
      <alignment vertical="top" wrapText="1"/>
    </xf>
    <xf numFmtId="0" fontId="20" fillId="0" borderId="0" xfId="1" applyFont="1" applyAlignment="1">
      <alignment vertical="top"/>
    </xf>
    <xf numFmtId="0" fontId="24" fillId="26" borderId="0" xfId="1" applyFont="1" applyFill="1" applyAlignment="1">
      <alignment horizontal="center" vertical="top" wrapText="1"/>
    </xf>
    <xf numFmtId="0" fontId="20" fillId="0" borderId="0" xfId="1" applyFont="1" applyAlignment="1">
      <alignment horizontal="left" vertical="top" wrapText="1"/>
    </xf>
    <xf numFmtId="0" fontId="20" fillId="0" borderId="0" xfId="1" applyFont="1" applyAlignment="1">
      <alignment horizontal="center" vertical="center"/>
    </xf>
    <xf numFmtId="0" fontId="20" fillId="0" borderId="0" xfId="1" applyFont="1" applyAlignment="1">
      <alignment horizontal="left" vertical="center" wrapText="1"/>
    </xf>
    <xf numFmtId="0" fontId="20" fillId="0" borderId="0" xfId="1" applyFont="1" applyAlignment="1">
      <alignment horizontal="center" vertical="center" wrapText="1"/>
    </xf>
    <xf numFmtId="0" fontId="25" fillId="26" borderId="0" xfId="1" applyFont="1" applyFill="1" applyAlignment="1">
      <alignment horizontal="center" vertical="center" wrapText="1"/>
    </xf>
    <xf numFmtId="0" fontId="0" fillId="0" borderId="57" xfId="0" applyBorder="1" applyAlignment="1">
      <alignment wrapText="1"/>
    </xf>
    <xf numFmtId="0" fontId="13" fillId="0" borderId="59" xfId="0" applyFont="1" applyBorder="1" applyAlignment="1">
      <alignment horizont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62" xfId="0" applyBorder="1"/>
    <xf numFmtId="0" fontId="0" fillId="0" borderId="63" xfId="0" applyBorder="1"/>
    <xf numFmtId="0" fontId="4" fillId="16" borderId="67" xfId="0" applyFont="1" applyFill="1" applyBorder="1"/>
    <xf numFmtId="0" fontId="4" fillId="16" borderId="68" xfId="0" applyFont="1" applyFill="1" applyBorder="1"/>
    <xf numFmtId="0" fontId="0" fillId="0" borderId="69" xfId="0" applyBorder="1"/>
    <xf numFmtId="0" fontId="0" fillId="0" borderId="70" xfId="0" applyBorder="1"/>
    <xf numFmtId="0" fontId="26" fillId="0" borderId="0" xfId="2"/>
    <xf numFmtId="0" fontId="4" fillId="0" borderId="61" xfId="0" applyFont="1" applyBorder="1" applyAlignment="1">
      <alignment wrapText="1"/>
    </xf>
    <xf numFmtId="0" fontId="4" fillId="16" borderId="66" xfId="0" applyFont="1" applyFill="1" applyBorder="1" applyAlignment="1">
      <alignment wrapText="1"/>
    </xf>
    <xf numFmtId="0" fontId="16" fillId="18" borderId="47" xfId="0" applyFont="1" applyFill="1" applyBorder="1" applyAlignment="1">
      <alignment vertical="top" wrapText="1"/>
    </xf>
    <xf numFmtId="0" fontId="12" fillId="0" borderId="47" xfId="0" applyFont="1" applyBorder="1"/>
    <xf numFmtId="0" fontId="12" fillId="0" borderId="47" xfId="0" applyFont="1" applyBorder="1" applyAlignment="1">
      <alignment wrapText="1"/>
    </xf>
    <xf numFmtId="0" fontId="0" fillId="0" borderId="47" xfId="0" applyBorder="1" applyAlignment="1">
      <alignment wrapText="1"/>
    </xf>
    <xf numFmtId="0" fontId="4" fillId="0" borderId="0" xfId="0" applyFont="1" applyAlignment="1">
      <alignment horizontal="left"/>
    </xf>
    <xf numFmtId="0" fontId="4" fillId="27" borderId="47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0" fillId="0" borderId="47" xfId="0" applyBorder="1" applyAlignment="1">
      <alignment horizontal="center"/>
    </xf>
    <xf numFmtId="0" fontId="28" fillId="0" borderId="0" xfId="0" applyFont="1" applyAlignment="1">
      <alignment horizontal="left"/>
    </xf>
    <xf numFmtId="0" fontId="0" fillId="28" borderId="47" xfId="0" applyFill="1" applyBorder="1" applyAlignment="1">
      <alignment horizontal="center"/>
    </xf>
    <xf numFmtId="0" fontId="0" fillId="29" borderId="47" xfId="0" applyFill="1" applyBorder="1" applyAlignment="1">
      <alignment horizontal="center"/>
    </xf>
    <xf numFmtId="0" fontId="0" fillId="30" borderId="47" xfId="0" applyFill="1" applyBorder="1" applyAlignment="1">
      <alignment horizontal="center"/>
    </xf>
    <xf numFmtId="0" fontId="27" fillId="0" borderId="0" xfId="0" quotePrefix="1" applyFont="1"/>
    <xf numFmtId="0" fontId="0" fillId="0" borderId="54" xfId="0" applyBorder="1" applyAlignment="1">
      <alignment horizontal="center"/>
    </xf>
    <xf numFmtId="0" fontId="27" fillId="0" borderId="0" xfId="0" applyFont="1"/>
    <xf numFmtId="1" fontId="27" fillId="0" borderId="0" xfId="0" applyNumberFormat="1" applyFont="1"/>
    <xf numFmtId="0" fontId="3" fillId="30" borderId="47" xfId="0" applyFont="1" applyFill="1" applyBorder="1" applyAlignment="1">
      <alignment horizontal="center"/>
    </xf>
    <xf numFmtId="0" fontId="28" fillId="0" borderId="0" xfId="0" applyFont="1"/>
    <xf numFmtId="0" fontId="12" fillId="18" borderId="47" xfId="0" applyFont="1" applyFill="1" applyBorder="1"/>
    <xf numFmtId="0" fontId="0" fillId="18" borderId="47" xfId="0" applyFill="1" applyBorder="1"/>
    <xf numFmtId="0" fontId="12" fillId="18" borderId="47" xfId="0" applyFont="1" applyFill="1" applyBorder="1" applyAlignment="1">
      <alignment wrapText="1"/>
    </xf>
    <xf numFmtId="0" fontId="1" fillId="0" borderId="47" xfId="0" applyFont="1" applyBorder="1" applyAlignment="1">
      <alignment horizontal="left" vertical="center" wrapText="1"/>
    </xf>
    <xf numFmtId="0" fontId="4" fillId="29" borderId="0" xfId="0" applyFont="1" applyFill="1" applyAlignment="1">
      <alignment horizontal="center" vertical="center"/>
    </xf>
    <xf numFmtId="0" fontId="0" fillId="32" borderId="47" xfId="0" applyFill="1" applyBorder="1"/>
    <xf numFmtId="0" fontId="0" fillId="10" borderId="0" xfId="0" applyFill="1"/>
    <xf numFmtId="0" fontId="12" fillId="0" borderId="0" xfId="0" applyFont="1" applyAlignment="1">
      <alignment wrapText="1"/>
    </xf>
    <xf numFmtId="0" fontId="3" fillId="31" borderId="0" xfId="0" applyFont="1" applyFill="1" applyAlignment="1">
      <alignment horizontal="center" vertical="center"/>
    </xf>
    <xf numFmtId="0" fontId="3" fillId="29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0" fillId="29" borderId="0" xfId="0" applyFill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/>
    <xf numFmtId="0" fontId="3" fillId="0" borderId="0" xfId="0" applyFont="1" applyAlignment="1">
      <alignment horizontal="left"/>
    </xf>
    <xf numFmtId="0" fontId="27" fillId="0" borderId="0" xfId="0" quotePrefix="1" applyFont="1" applyAlignment="1">
      <alignment horizontal="left"/>
    </xf>
    <xf numFmtId="1" fontId="27" fillId="0" borderId="0" xfId="0" applyNumberFormat="1" applyFont="1" applyAlignment="1">
      <alignment horizontal="left"/>
    </xf>
    <xf numFmtId="0" fontId="3" fillId="0" borderId="47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3" fillId="18" borderId="0" xfId="0" applyFont="1" applyFill="1" applyAlignment="1">
      <alignment horizontal="center" vertical="top"/>
    </xf>
    <xf numFmtId="0" fontId="3" fillId="18" borderId="0" xfId="0" applyFont="1" applyFill="1" applyAlignment="1">
      <alignment horizontal="left" vertical="top" wrapText="1"/>
    </xf>
    <xf numFmtId="49" fontId="0" fillId="0" borderId="47" xfId="0" applyNumberFormat="1" applyBorder="1" applyAlignment="1">
      <alignment wrapText="1"/>
    </xf>
    <xf numFmtId="49" fontId="0" fillId="0" borderId="69" xfId="0" applyNumberFormat="1" applyBorder="1" applyAlignment="1">
      <alignment wrapText="1"/>
    </xf>
    <xf numFmtId="49" fontId="4" fillId="16" borderId="67" xfId="0" applyNumberFormat="1" applyFont="1" applyFill="1" applyBorder="1" applyAlignment="1">
      <alignment wrapText="1"/>
    </xf>
    <xf numFmtId="49" fontId="4" fillId="16" borderId="68" xfId="0" applyNumberFormat="1" applyFont="1" applyFill="1" applyBorder="1" applyAlignment="1">
      <alignment wrapText="1"/>
    </xf>
    <xf numFmtId="49" fontId="0" fillId="0" borderId="70" xfId="0" applyNumberFormat="1" applyBorder="1" applyAlignment="1">
      <alignment wrapText="1"/>
    </xf>
    <xf numFmtId="0" fontId="0" fillId="0" borderId="0" xfId="0" applyAlignment="1">
      <alignment horizontal="center"/>
    </xf>
    <xf numFmtId="0" fontId="3" fillId="0" borderId="47" xfId="0" applyFont="1" applyBorder="1" applyAlignment="1">
      <alignment horizontal="center" vertical="top" wrapText="1"/>
    </xf>
    <xf numFmtId="9" fontId="3" fillId="0" borderId="47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0" fillId="0" borderId="47" xfId="0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49" fontId="33" fillId="0" borderId="0" xfId="0" applyNumberFormat="1" applyFont="1" applyAlignment="1">
      <alignment vertical="center" wrapText="1"/>
    </xf>
    <xf numFmtId="0" fontId="31" fillId="0" borderId="55" xfId="0" applyFont="1" applyBorder="1" applyAlignment="1">
      <alignment horizontal="center" wrapText="1"/>
    </xf>
    <xf numFmtId="0" fontId="31" fillId="0" borderId="55" xfId="0" applyFont="1" applyBorder="1" applyAlignment="1">
      <alignment horizontal="center"/>
    </xf>
    <xf numFmtId="0" fontId="32" fillId="0" borderId="55" xfId="0" applyFont="1" applyBorder="1" applyAlignment="1">
      <alignment vertical="center" wrapText="1"/>
    </xf>
    <xf numFmtId="49" fontId="33" fillId="0" borderId="55" xfId="0" applyNumberFormat="1" applyFont="1" applyBorder="1" applyAlignment="1">
      <alignment vertical="center" wrapText="1"/>
    </xf>
    <xf numFmtId="0" fontId="31" fillId="0" borderId="55" xfId="0" applyFont="1" applyBorder="1" applyAlignment="1">
      <alignment horizontal="center" vertical="center" wrapText="1"/>
    </xf>
    <xf numFmtId="49" fontId="31" fillId="0" borderId="55" xfId="0" applyNumberFormat="1" applyFont="1" applyBorder="1" applyAlignment="1">
      <alignment horizontal="center" vertical="center" wrapText="1"/>
    </xf>
    <xf numFmtId="0" fontId="34" fillId="0" borderId="55" xfId="0" applyFont="1" applyBorder="1" applyAlignment="1">
      <alignment vertical="center"/>
    </xf>
    <xf numFmtId="0" fontId="35" fillId="0" borderId="55" xfId="0" applyFont="1" applyBorder="1" applyAlignment="1">
      <alignment vertical="center"/>
    </xf>
    <xf numFmtId="0" fontId="35" fillId="0" borderId="55" xfId="0" applyFont="1" applyBorder="1" applyAlignment="1">
      <alignment vertical="center" wrapText="1"/>
    </xf>
    <xf numFmtId="0" fontId="3" fillId="18" borderId="29" xfId="0" applyFont="1" applyFill="1" applyBorder="1" applyAlignment="1">
      <alignment horizontal="left" vertical="top" wrapText="1"/>
    </xf>
    <xf numFmtId="0" fontId="3" fillId="18" borderId="28" xfId="0" applyFont="1" applyFill="1" applyBorder="1" applyAlignment="1">
      <alignment horizontal="center" vertical="top"/>
    </xf>
    <xf numFmtId="0" fontId="3" fillId="19" borderId="0" xfId="0" applyFont="1" applyFill="1" applyAlignment="1">
      <alignment horizontal="center" vertical="top"/>
    </xf>
    <xf numFmtId="0" fontId="3" fillId="14" borderId="0" xfId="0" applyFont="1" applyFill="1" applyAlignment="1">
      <alignment horizontal="center" vertical="top"/>
    </xf>
    <xf numFmtId="0" fontId="3" fillId="15" borderId="0" xfId="0" applyFont="1" applyFill="1" applyAlignment="1">
      <alignment vertical="top"/>
    </xf>
    <xf numFmtId="49" fontId="4" fillId="2" borderId="0" xfId="0" applyNumberFormat="1" applyFont="1" applyFill="1" applyAlignment="1">
      <alignment horizontal="center" vertical="top" wrapText="1"/>
    </xf>
    <xf numFmtId="49" fontId="4" fillId="7" borderId="96" xfId="0" applyNumberFormat="1" applyFont="1" applyFill="1" applyBorder="1" applyAlignment="1">
      <alignment horizontal="center" vertical="top" wrapText="1"/>
    </xf>
    <xf numFmtId="0" fontId="3" fillId="33" borderId="47" xfId="0" applyFont="1" applyFill="1" applyBorder="1" applyAlignment="1">
      <alignment horizontal="center" vertical="center" wrapText="1"/>
    </xf>
    <xf numFmtId="0" fontId="3" fillId="33" borderId="47" xfId="0" applyFont="1" applyFill="1" applyBorder="1" applyAlignment="1">
      <alignment horizontal="left" vertical="center" wrapText="1"/>
    </xf>
    <xf numFmtId="0" fontId="3" fillId="33" borderId="47" xfId="0" applyFont="1" applyFill="1" applyBorder="1" applyAlignment="1">
      <alignment horizontal="center" vertical="center"/>
    </xf>
    <xf numFmtId="0" fontId="11" fillId="33" borderId="47" xfId="0" applyFont="1" applyFill="1" applyBorder="1" applyAlignment="1">
      <alignment horizontal="left" vertical="center" wrapText="1"/>
    </xf>
    <xf numFmtId="0" fontId="0" fillId="33" borderId="47" xfId="0" applyFill="1" applyBorder="1" applyAlignment="1">
      <alignment horizontal="center" vertical="center"/>
    </xf>
    <xf numFmtId="0" fontId="11" fillId="33" borderId="47" xfId="0" applyFont="1" applyFill="1" applyBorder="1" applyAlignment="1">
      <alignment horizontal="center" vertical="center" wrapText="1"/>
    </xf>
    <xf numFmtId="0" fontId="11" fillId="33" borderId="47" xfId="0" applyFont="1" applyFill="1" applyBorder="1" applyAlignment="1">
      <alignment horizontal="center" vertical="center"/>
    </xf>
    <xf numFmtId="0" fontId="6" fillId="33" borderId="47" xfId="0" applyFont="1" applyFill="1" applyBorder="1" applyAlignment="1">
      <alignment horizontal="left" vertical="center" wrapText="1"/>
    </xf>
    <xf numFmtId="0" fontId="3" fillId="18" borderId="29" xfId="0" applyFont="1" applyFill="1" applyBorder="1" applyAlignment="1">
      <alignment vertical="top" wrapText="1"/>
    </xf>
    <xf numFmtId="0" fontId="3" fillId="18" borderId="28" xfId="0" applyFont="1" applyFill="1" applyBorder="1" applyAlignment="1">
      <alignment vertical="top"/>
    </xf>
    <xf numFmtId="0" fontId="3" fillId="18" borderId="32" xfId="0" applyFont="1" applyFill="1" applyBorder="1" applyAlignment="1">
      <alignment vertical="top" wrapText="1"/>
    </xf>
    <xf numFmtId="0" fontId="3" fillId="18" borderId="31" xfId="0" applyFont="1" applyFill="1" applyBorder="1" applyAlignment="1">
      <alignment vertical="top"/>
    </xf>
    <xf numFmtId="49" fontId="3" fillId="13" borderId="15" xfId="0" applyNumberFormat="1" applyFont="1" applyFill="1" applyBorder="1" applyAlignment="1">
      <alignment horizontal="center" vertical="center" wrapText="1"/>
    </xf>
    <xf numFmtId="49" fontId="3" fillId="13" borderId="0" xfId="0" applyNumberFormat="1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horizontal="left" vertical="center" wrapText="1"/>
    </xf>
    <xf numFmtId="49" fontId="3" fillId="14" borderId="15" xfId="0" applyNumberFormat="1" applyFont="1" applyFill="1" applyBorder="1" applyAlignment="1">
      <alignment vertical="top" wrapText="1"/>
    </xf>
    <xf numFmtId="0" fontId="3" fillId="15" borderId="23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49" fontId="4" fillId="5" borderId="0" xfId="0" applyNumberFormat="1" applyFont="1" applyFill="1" applyAlignment="1">
      <alignment horizontal="center" vertical="top" wrapText="1"/>
    </xf>
    <xf numFmtId="49" fontId="3" fillId="13" borderId="0" xfId="0" applyNumberFormat="1" applyFont="1" applyFill="1" applyBorder="1" applyAlignment="1">
      <alignment horizontal="center" vertical="center" wrapText="1"/>
    </xf>
    <xf numFmtId="49" fontId="3" fillId="13" borderId="15" xfId="0" applyNumberFormat="1" applyFont="1" applyFill="1" applyBorder="1" applyAlignment="1">
      <alignment horizontal="center" vertical="center" wrapText="1"/>
    </xf>
    <xf numFmtId="0" fontId="3" fillId="21" borderId="33" xfId="0" applyFont="1" applyFill="1" applyBorder="1" applyAlignment="1">
      <alignment vertical="center" wrapText="1"/>
    </xf>
    <xf numFmtId="0" fontId="0" fillId="0" borderId="0" xfId="0" applyAlignment="1">
      <alignment horizontal="center" vertical="top"/>
    </xf>
    <xf numFmtId="0" fontId="12" fillId="0" borderId="0" xfId="0" applyFont="1" applyBorder="1"/>
    <xf numFmtId="0" fontId="12" fillId="18" borderId="0" xfId="0" applyFont="1" applyFill="1" applyBorder="1"/>
    <xf numFmtId="0" fontId="0" fillId="0" borderId="0" xfId="0" applyBorder="1"/>
    <xf numFmtId="0" fontId="0" fillId="18" borderId="70" xfId="0" applyFill="1" applyBorder="1"/>
    <xf numFmtId="0" fontId="0" fillId="18" borderId="0" xfId="0" applyFill="1" applyBorder="1"/>
    <xf numFmtId="0" fontId="4" fillId="0" borderId="47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4" fillId="0" borderId="61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3" fillId="0" borderId="102" xfId="0" applyFont="1" applyBorder="1" applyAlignment="1">
      <alignment vertical="top"/>
    </xf>
    <xf numFmtId="0" fontId="3" fillId="0" borderId="57" xfId="0" applyFont="1" applyBorder="1" applyAlignment="1">
      <alignment vertical="top"/>
    </xf>
    <xf numFmtId="0" fontId="3" fillId="0" borderId="102" xfId="0" applyFont="1" applyBorder="1" applyAlignment="1">
      <alignment horizontal="center" vertical="top"/>
    </xf>
    <xf numFmtId="0" fontId="3" fillId="0" borderId="57" xfId="0" applyFont="1" applyBorder="1" applyAlignment="1">
      <alignment horizontal="center" vertical="top"/>
    </xf>
    <xf numFmtId="0" fontId="3" fillId="0" borderId="102" xfId="0" applyFont="1" applyBorder="1" applyAlignment="1">
      <alignment horizontal="center" vertical="top" wrapText="1"/>
    </xf>
    <xf numFmtId="0" fontId="3" fillId="0" borderId="57" xfId="0" applyFont="1" applyBorder="1" applyAlignment="1">
      <alignment horizontal="center" vertical="top" wrapText="1"/>
    </xf>
    <xf numFmtId="0" fontId="3" fillId="0" borderId="102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02" xfId="0" applyFont="1" applyBorder="1" applyAlignment="1">
      <alignment vertical="top" wrapText="1"/>
    </xf>
    <xf numFmtId="0" fontId="3" fillId="0" borderId="57" xfId="0" applyFont="1" applyBorder="1" applyAlignment="1">
      <alignment vertical="top" wrapText="1"/>
    </xf>
    <xf numFmtId="0" fontId="3" fillId="18" borderId="102" xfId="0" applyFont="1" applyFill="1" applyBorder="1" applyAlignment="1">
      <alignment horizontal="left" vertical="center" wrapText="1"/>
    </xf>
    <xf numFmtId="0" fontId="3" fillId="18" borderId="57" xfId="0" applyFont="1" applyFill="1" applyBorder="1" applyAlignment="1">
      <alignment horizontal="left" vertical="center" wrapText="1"/>
    </xf>
    <xf numFmtId="0" fontId="3" fillId="33" borderId="102" xfId="0" applyFont="1" applyFill="1" applyBorder="1" applyAlignment="1">
      <alignment horizontal="center" vertical="center"/>
    </xf>
    <xf numFmtId="0" fontId="3" fillId="33" borderId="57" xfId="0" applyFont="1" applyFill="1" applyBorder="1" applyAlignment="1">
      <alignment horizontal="center" vertical="center"/>
    </xf>
    <xf numFmtId="0" fontId="3" fillId="21" borderId="79" xfId="0" applyFont="1" applyFill="1" applyBorder="1" applyAlignment="1">
      <alignment vertical="center" wrapText="1"/>
    </xf>
    <xf numFmtId="0" fontId="3" fillId="21" borderId="71" xfId="0" applyFont="1" applyFill="1" applyBorder="1" applyAlignment="1">
      <alignment vertical="center" wrapText="1"/>
    </xf>
    <xf numFmtId="0" fontId="3" fillId="21" borderId="91" xfId="0" applyFont="1" applyFill="1" applyBorder="1" applyAlignment="1">
      <alignment vertical="center" wrapText="1"/>
    </xf>
    <xf numFmtId="0" fontId="3" fillId="21" borderId="103" xfId="0" applyFont="1" applyFill="1" applyBorder="1" applyAlignment="1">
      <alignment horizontal="center" vertical="center"/>
    </xf>
    <xf numFmtId="0" fontId="3" fillId="21" borderId="42" xfId="0" applyFont="1" applyFill="1" applyBorder="1" applyAlignment="1">
      <alignment horizontal="center" vertical="center"/>
    </xf>
    <xf numFmtId="0" fontId="3" fillId="21" borderId="92" xfId="0" applyFont="1" applyFill="1" applyBorder="1" applyAlignment="1">
      <alignment horizontal="center" vertical="center"/>
    </xf>
    <xf numFmtId="0" fontId="3" fillId="33" borderId="102" xfId="0" applyFont="1" applyFill="1" applyBorder="1" applyAlignment="1">
      <alignment horizontal="center" vertical="center" wrapText="1"/>
    </xf>
    <xf numFmtId="0" fontId="3" fillId="33" borderId="57" xfId="0" applyFont="1" applyFill="1" applyBorder="1" applyAlignment="1">
      <alignment horizontal="center" vertical="center" wrapText="1"/>
    </xf>
    <xf numFmtId="0" fontId="3" fillId="33" borderId="102" xfId="0" applyFont="1" applyFill="1" applyBorder="1" applyAlignment="1">
      <alignment horizontal="left" vertical="center" wrapText="1"/>
    </xf>
    <xf numFmtId="0" fontId="3" fillId="33" borderId="57" xfId="0" applyFont="1" applyFill="1" applyBorder="1" applyAlignment="1">
      <alignment horizontal="left" vertical="center" wrapText="1"/>
    </xf>
    <xf numFmtId="0" fontId="3" fillId="0" borderId="102" xfId="0" applyFont="1" applyBorder="1" applyAlignment="1">
      <alignment horizontal="left" vertical="center" wrapText="1"/>
    </xf>
    <xf numFmtId="0" fontId="3" fillId="0" borderId="57" xfId="0" applyFont="1" applyBorder="1" applyAlignment="1">
      <alignment horizontal="left" vertical="center" wrapText="1"/>
    </xf>
    <xf numFmtId="0" fontId="3" fillId="0" borderId="102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49" fontId="3" fillId="16" borderId="90" xfId="0" applyNumberFormat="1" applyFont="1" applyFill="1" applyBorder="1" applyAlignment="1">
      <alignment horizontal="center" vertical="center" wrapText="1"/>
    </xf>
    <xf numFmtId="49" fontId="3" fillId="16" borderId="24" xfId="0" applyNumberFormat="1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3" fillId="9" borderId="81" xfId="0" applyFont="1" applyFill="1" applyBorder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3" fillId="14" borderId="16" xfId="0" applyNumberFormat="1" applyFont="1" applyFill="1" applyBorder="1" applyAlignment="1">
      <alignment horizontal="center" vertical="center" wrapText="1"/>
    </xf>
    <xf numFmtId="49" fontId="3" fillId="14" borderId="18" xfId="0" applyNumberFormat="1" applyFont="1" applyFill="1" applyBorder="1" applyAlignment="1">
      <alignment horizontal="center" vertical="center" wrapText="1"/>
    </xf>
    <xf numFmtId="49" fontId="3" fillId="14" borderId="106" xfId="0" applyNumberFormat="1" applyFont="1" applyFill="1" applyBorder="1" applyAlignment="1">
      <alignment horizontal="center" vertical="center" wrapText="1"/>
    </xf>
    <xf numFmtId="49" fontId="3" fillId="14" borderId="104" xfId="0" applyNumberFormat="1" applyFont="1" applyFill="1" applyBorder="1" applyAlignment="1">
      <alignment vertical="top" wrapText="1"/>
    </xf>
    <xf numFmtId="49" fontId="3" fillId="14" borderId="107" xfId="0" applyNumberFormat="1" applyFont="1" applyFill="1" applyBorder="1" applyAlignment="1">
      <alignment vertical="top" wrapText="1"/>
    </xf>
    <xf numFmtId="0" fontId="3" fillId="19" borderId="34" xfId="0" applyFont="1" applyFill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94" xfId="0" applyBorder="1" applyAlignment="1">
      <alignment horizontal="left" vertical="top" wrapText="1"/>
    </xf>
    <xf numFmtId="0" fontId="3" fillId="22" borderId="39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49" fontId="3" fillId="17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" fillId="10" borderId="72" xfId="0" applyFont="1" applyFill="1" applyBorder="1" applyAlignment="1">
      <alignment horizontal="center" vertical="center" wrapText="1"/>
    </xf>
    <xf numFmtId="0" fontId="3" fillId="10" borderId="71" xfId="0" applyFont="1" applyFill="1" applyBorder="1" applyAlignment="1">
      <alignment horizontal="center" vertical="center" wrapText="1"/>
    </xf>
    <xf numFmtId="0" fontId="3" fillId="10" borderId="73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top"/>
    </xf>
    <xf numFmtId="0" fontId="3" fillId="15" borderId="23" xfId="0" applyFont="1" applyFill="1" applyBorder="1" applyAlignment="1">
      <alignment vertical="top" wrapText="1"/>
    </xf>
    <xf numFmtId="0" fontId="3" fillId="21" borderId="43" xfId="0" applyFont="1" applyFill="1" applyBorder="1" applyAlignment="1">
      <alignment horizontal="left" vertical="center" wrapText="1"/>
    </xf>
    <xf numFmtId="0" fontId="3" fillId="21" borderId="0" xfId="0" applyFont="1" applyFill="1" applyAlignment="1">
      <alignment horizontal="left" vertical="center" wrapText="1"/>
    </xf>
    <xf numFmtId="0" fontId="3" fillId="12" borderId="75" xfId="0" applyFont="1" applyFill="1" applyBorder="1" applyAlignment="1">
      <alignment horizontal="center" vertical="center" wrapText="1"/>
    </xf>
    <xf numFmtId="0" fontId="3" fillId="12" borderId="71" xfId="0" applyFont="1" applyFill="1" applyBorder="1" applyAlignment="1">
      <alignment horizontal="center" vertical="center" wrapText="1"/>
    </xf>
    <xf numFmtId="0" fontId="3" fillId="12" borderId="80" xfId="0" applyFont="1" applyFill="1" applyBorder="1" applyAlignment="1">
      <alignment horizontal="center" vertical="center" wrapText="1"/>
    </xf>
    <xf numFmtId="49" fontId="3" fillId="12" borderId="12" xfId="0" applyNumberFormat="1" applyFont="1" applyFill="1" applyBorder="1" applyAlignment="1">
      <alignment horizontal="center" vertical="center" wrapText="1"/>
    </xf>
    <xf numFmtId="49" fontId="3" fillId="12" borderId="10" xfId="0" applyNumberFormat="1" applyFont="1" applyFill="1" applyBorder="1" applyAlignment="1">
      <alignment horizontal="center" vertical="center" wrapText="1"/>
    </xf>
    <xf numFmtId="49" fontId="3" fillId="12" borderId="84" xfId="0" applyNumberFormat="1" applyFont="1" applyFill="1" applyBorder="1" applyAlignment="1">
      <alignment horizontal="center" vertical="center" wrapText="1"/>
    </xf>
    <xf numFmtId="0" fontId="3" fillId="12" borderId="75" xfId="0" applyFont="1" applyFill="1" applyBorder="1" applyAlignment="1">
      <alignment vertical="center" wrapText="1"/>
    </xf>
    <xf numFmtId="0" fontId="3" fillId="12" borderId="71" xfId="0" applyFont="1" applyFill="1" applyBorder="1" applyAlignment="1">
      <alignment vertical="center" wrapText="1"/>
    </xf>
    <xf numFmtId="0" fontId="3" fillId="12" borderId="80" xfId="0" applyFont="1" applyFill="1" applyBorder="1" applyAlignment="1">
      <alignment vertical="center" wrapText="1"/>
    </xf>
    <xf numFmtId="49" fontId="3" fillId="10" borderId="6" xfId="0" applyNumberFormat="1" applyFont="1" applyFill="1" applyBorder="1" applyAlignment="1">
      <alignment horizontal="center" vertical="center" wrapText="1"/>
    </xf>
    <xf numFmtId="49" fontId="3" fillId="10" borderId="7" xfId="0" applyNumberFormat="1" applyFont="1" applyFill="1" applyBorder="1" applyAlignment="1">
      <alignment horizontal="center" vertical="center" wrapText="1"/>
    </xf>
    <xf numFmtId="49" fontId="3" fillId="10" borderId="8" xfId="0" applyNumberFormat="1" applyFont="1" applyFill="1" applyBorder="1" applyAlignment="1">
      <alignment horizontal="center" vertical="center" wrapText="1"/>
    </xf>
    <xf numFmtId="49" fontId="3" fillId="16" borderId="25" xfId="0" applyNumberFormat="1" applyFont="1" applyFill="1" applyBorder="1" applyAlignment="1">
      <alignment horizontal="center" vertical="center" wrapText="1"/>
    </xf>
    <xf numFmtId="49" fontId="3" fillId="16" borderId="22" xfId="0" applyNumberFormat="1" applyFont="1" applyFill="1" applyBorder="1" applyAlignment="1">
      <alignment horizontal="center" vertical="center" wrapText="1"/>
    </xf>
    <xf numFmtId="0" fontId="3" fillId="16" borderId="82" xfId="0" applyFont="1" applyFill="1" applyBorder="1" applyAlignment="1">
      <alignment horizontal="center" vertical="center" wrapText="1"/>
    </xf>
    <xf numFmtId="0" fontId="3" fillId="16" borderId="71" xfId="0" applyFont="1" applyFill="1" applyBorder="1" applyAlignment="1">
      <alignment horizontal="center" vertical="center" wrapText="1"/>
    </xf>
    <xf numFmtId="0" fontId="3" fillId="16" borderId="89" xfId="0" applyFont="1" applyFill="1" applyBorder="1" applyAlignment="1">
      <alignment horizontal="center" vertical="center" wrapText="1"/>
    </xf>
    <xf numFmtId="49" fontId="3" fillId="14" borderId="105" xfId="0" applyNumberFormat="1" applyFont="1" applyFill="1" applyBorder="1" applyAlignment="1">
      <alignment vertical="top" wrapText="1"/>
    </xf>
    <xf numFmtId="49" fontId="3" fillId="13" borderId="88" xfId="0" applyNumberFormat="1" applyFont="1" applyFill="1" applyBorder="1" applyAlignment="1">
      <alignment horizontal="center" vertical="center" wrapText="1"/>
    </xf>
    <xf numFmtId="49" fontId="3" fillId="13" borderId="48" xfId="0" applyNumberFormat="1" applyFont="1" applyFill="1" applyBorder="1" applyAlignment="1">
      <alignment horizontal="center" vertical="center" wrapText="1"/>
    </xf>
    <xf numFmtId="0" fontId="3" fillId="23" borderId="35" xfId="0" applyFont="1" applyFill="1" applyBorder="1" applyAlignment="1">
      <alignment horizontal="center" vertical="center" wrapText="1"/>
    </xf>
    <xf numFmtId="0" fontId="3" fillId="23" borderId="36" xfId="0" applyFont="1" applyFill="1" applyBorder="1" applyAlignment="1">
      <alignment horizontal="center" vertical="center" wrapText="1"/>
    </xf>
    <xf numFmtId="0" fontId="3" fillId="23" borderId="46" xfId="0" applyFont="1" applyFill="1" applyBorder="1" applyAlignment="1">
      <alignment horizontal="center" vertical="center" wrapText="1"/>
    </xf>
    <xf numFmtId="0" fontId="3" fillId="16" borderId="82" xfId="0" applyFont="1" applyFill="1" applyBorder="1" applyAlignment="1">
      <alignment vertical="center" wrapText="1"/>
    </xf>
    <xf numFmtId="0" fontId="3" fillId="16" borderId="71" xfId="0" applyFont="1" applyFill="1" applyBorder="1" applyAlignment="1">
      <alignment vertical="center" wrapText="1"/>
    </xf>
    <xf numFmtId="0" fontId="3" fillId="16" borderId="89" xfId="0" applyFont="1" applyFill="1" applyBorder="1" applyAlignment="1">
      <alignment vertical="center" wrapText="1"/>
    </xf>
    <xf numFmtId="0" fontId="3" fillId="17" borderId="76" xfId="0" applyFont="1" applyFill="1" applyBorder="1" applyAlignment="1">
      <alignment horizontal="left" vertical="center" wrapText="1"/>
    </xf>
    <xf numFmtId="0" fontId="3" fillId="17" borderId="71" xfId="0" applyFont="1" applyFill="1" applyBorder="1" applyAlignment="1">
      <alignment horizontal="left" vertical="center" wrapText="1"/>
    </xf>
    <xf numFmtId="0" fontId="3" fillId="17" borderId="77" xfId="0" applyFont="1" applyFill="1" applyBorder="1" applyAlignment="1">
      <alignment horizontal="left" vertical="center" wrapText="1"/>
    </xf>
    <xf numFmtId="49" fontId="3" fillId="17" borderId="28" xfId="0" applyNumberFormat="1" applyFont="1" applyFill="1" applyBorder="1" applyAlignment="1">
      <alignment horizontal="center" vertical="center" wrapText="1"/>
    </xf>
    <xf numFmtId="49" fontId="3" fillId="17" borderId="30" xfId="0" applyNumberFormat="1" applyFont="1" applyFill="1" applyBorder="1" applyAlignment="1">
      <alignment horizontal="center" vertical="center" wrapText="1"/>
    </xf>
    <xf numFmtId="0" fontId="12" fillId="17" borderId="76" xfId="0" applyFont="1" applyFill="1" applyBorder="1" applyAlignment="1">
      <alignment horizontal="left" vertical="center" wrapText="1"/>
    </xf>
    <xf numFmtId="0" fontId="12" fillId="17" borderId="71" xfId="0" applyFont="1" applyFill="1" applyBorder="1" applyAlignment="1">
      <alignment horizontal="left" vertical="center" wrapText="1"/>
    </xf>
    <xf numFmtId="0" fontId="12" fillId="17" borderId="77" xfId="0" applyFont="1" applyFill="1" applyBorder="1" applyAlignment="1">
      <alignment horizontal="left" vertical="center" wrapText="1"/>
    </xf>
    <xf numFmtId="0" fontId="3" fillId="17" borderId="27" xfId="0" applyFont="1" applyFill="1" applyBorder="1" applyAlignment="1">
      <alignment horizontal="center" vertical="center"/>
    </xf>
    <xf numFmtId="0" fontId="3" fillId="17" borderId="28" xfId="0" applyFont="1" applyFill="1" applyBorder="1" applyAlignment="1">
      <alignment horizontal="center" vertical="center"/>
    </xf>
    <xf numFmtId="0" fontId="3" fillId="17" borderId="30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left" vertical="center" wrapText="1"/>
    </xf>
    <xf numFmtId="0" fontId="3" fillId="17" borderId="45" xfId="0" applyFont="1" applyFill="1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77" xfId="0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center" vertical="top" wrapText="1"/>
    </xf>
    <xf numFmtId="0" fontId="3" fillId="13" borderId="85" xfId="0" applyFont="1" applyFill="1" applyBorder="1" applyAlignment="1">
      <alignment horizontal="center" vertical="center" wrapText="1"/>
    </xf>
    <xf numFmtId="0" fontId="3" fillId="13" borderId="71" xfId="0" applyFont="1" applyFill="1" applyBorder="1" applyAlignment="1">
      <alignment horizontal="center" vertical="center" wrapText="1"/>
    </xf>
    <xf numFmtId="0" fontId="3" fillId="13" borderId="86" xfId="0" applyFont="1" applyFill="1" applyBorder="1" applyAlignment="1">
      <alignment horizontal="center" vertical="center" wrapText="1"/>
    </xf>
    <xf numFmtId="49" fontId="3" fillId="13" borderId="0" xfId="0" applyNumberFormat="1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top"/>
    </xf>
    <xf numFmtId="0" fontId="4" fillId="0" borderId="56" xfId="0" applyFont="1" applyBorder="1" applyAlignment="1">
      <alignment horizontal="center" vertical="top"/>
    </xf>
    <xf numFmtId="0" fontId="4" fillId="0" borderId="55" xfId="0" applyFont="1" applyBorder="1" applyAlignment="1">
      <alignment horizontal="center" vertical="top"/>
    </xf>
    <xf numFmtId="0" fontId="3" fillId="12" borderId="14" xfId="0" applyFont="1" applyFill="1" applyBorder="1" applyAlignment="1">
      <alignment vertical="center" wrapText="1"/>
    </xf>
    <xf numFmtId="49" fontId="3" fillId="21" borderId="0" xfId="0" applyNumberFormat="1" applyFont="1" applyFill="1" applyBorder="1" applyAlignment="1">
      <alignment horizontal="center" vertical="center" wrapText="1"/>
    </xf>
    <xf numFmtId="49" fontId="3" fillId="21" borderId="44" xfId="0" applyNumberFormat="1" applyFont="1" applyFill="1" applyBorder="1" applyAlignment="1">
      <alignment horizontal="center" vertical="center" wrapText="1"/>
    </xf>
    <xf numFmtId="49" fontId="3" fillId="12" borderId="13" xfId="0" applyNumberFormat="1" applyFont="1" applyFill="1" applyBorder="1" applyAlignment="1">
      <alignment horizontal="center" vertical="center" wrapText="1"/>
    </xf>
    <xf numFmtId="49" fontId="3" fillId="13" borderId="15" xfId="0" applyNumberFormat="1" applyFont="1" applyFill="1" applyBorder="1" applyAlignment="1">
      <alignment horizontal="center" vertical="center" wrapText="1"/>
    </xf>
    <xf numFmtId="49" fontId="3" fillId="13" borderId="17" xfId="0" applyNumberFormat="1" applyFont="1" applyFill="1" applyBorder="1" applyAlignment="1">
      <alignment horizontal="center" vertical="center" wrapText="1"/>
    </xf>
    <xf numFmtId="49" fontId="3" fillId="13" borderId="19" xfId="0" applyNumberFormat="1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49" fontId="3" fillId="21" borderId="93" xfId="0" applyNumberFormat="1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top"/>
    </xf>
    <xf numFmtId="0" fontId="3" fillId="10" borderId="72" xfId="0" applyFont="1" applyFill="1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3" fillId="21" borderId="33" xfId="0" applyFont="1" applyFill="1" applyBorder="1" applyAlignment="1">
      <alignment vertical="center" wrapText="1"/>
    </xf>
    <xf numFmtId="0" fontId="3" fillId="10" borderId="9" xfId="0" applyFont="1" applyFill="1" applyBorder="1" applyAlignment="1">
      <alignment horizontal="left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0" fontId="3" fillId="21" borderId="72" xfId="0" applyFont="1" applyFill="1" applyBorder="1" applyAlignment="1">
      <alignment horizontal="center" vertical="center" wrapText="1"/>
    </xf>
    <xf numFmtId="0" fontId="3" fillId="21" borderId="71" xfId="0" applyFont="1" applyFill="1" applyBorder="1" applyAlignment="1">
      <alignment horizontal="center" vertical="center" wrapText="1"/>
    </xf>
    <xf numFmtId="0" fontId="3" fillId="21" borderId="95" xfId="0" applyFont="1" applyFill="1" applyBorder="1" applyAlignment="1">
      <alignment horizontal="center" vertical="center" wrapText="1"/>
    </xf>
    <xf numFmtId="49" fontId="3" fillId="21" borderId="74" xfId="0" applyNumberFormat="1" applyFont="1" applyFill="1" applyBorder="1" applyAlignment="1">
      <alignment horizontal="center" vertical="center" wrapText="1"/>
    </xf>
    <xf numFmtId="49" fontId="3" fillId="21" borderId="42" xfId="0" applyNumberFormat="1" applyFont="1" applyFill="1" applyBorder="1" applyAlignment="1">
      <alignment horizontal="center" vertical="center" wrapText="1"/>
    </xf>
    <xf numFmtId="49" fontId="3" fillId="21" borderId="97" xfId="0" applyNumberFormat="1" applyFont="1" applyFill="1" applyBorder="1" applyAlignment="1">
      <alignment horizontal="center" vertical="center" wrapText="1"/>
    </xf>
    <xf numFmtId="0" fontId="3" fillId="21" borderId="33" xfId="0" applyFont="1" applyFill="1" applyBorder="1" applyAlignment="1">
      <alignment horizontal="center" vertical="center"/>
    </xf>
    <xf numFmtId="0" fontId="3" fillId="21" borderId="91" xfId="0" applyFont="1" applyFill="1" applyBorder="1" applyAlignment="1">
      <alignment horizontal="center" vertical="center" wrapText="1"/>
    </xf>
    <xf numFmtId="49" fontId="3" fillId="21" borderId="92" xfId="0" applyNumberFormat="1" applyFont="1" applyFill="1" applyBorder="1" applyAlignment="1">
      <alignment horizontal="center" vertical="center" wrapText="1"/>
    </xf>
    <xf numFmtId="0" fontId="3" fillId="9" borderId="81" xfId="0" applyFont="1" applyFill="1" applyBorder="1" applyAlignment="1">
      <alignment horizontal="center" vertical="top"/>
    </xf>
    <xf numFmtId="0" fontId="3" fillId="9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3" fillId="20" borderId="41" xfId="0" applyFont="1" applyFill="1" applyBorder="1" applyAlignment="1">
      <alignment vertical="top" wrapText="1"/>
    </xf>
    <xf numFmtId="0" fontId="0" fillId="0" borderId="41" xfId="0" applyBorder="1" applyAlignment="1">
      <alignment vertical="top" wrapText="1"/>
    </xf>
    <xf numFmtId="0" fontId="0" fillId="0" borderId="98" xfId="0" applyBorder="1" applyAlignment="1">
      <alignment vertical="top" wrapText="1"/>
    </xf>
    <xf numFmtId="0" fontId="3" fillId="20" borderId="42" xfId="0" applyFont="1" applyFill="1" applyBorder="1" applyAlignment="1">
      <alignment vertical="top"/>
    </xf>
    <xf numFmtId="0" fontId="0" fillId="0" borderId="42" xfId="0" applyBorder="1" applyAlignment="1">
      <alignment vertical="top"/>
    </xf>
    <xf numFmtId="0" fontId="0" fillId="0" borderId="92" xfId="0" applyBorder="1" applyAlignment="1">
      <alignment vertical="top"/>
    </xf>
    <xf numFmtId="0" fontId="3" fillId="11" borderId="11" xfId="0" applyFont="1" applyFill="1" applyBorder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0" fillId="0" borderId="99" xfId="0" applyBorder="1" applyAlignment="1">
      <alignment vertical="top" wrapText="1"/>
    </xf>
    <xf numFmtId="0" fontId="3" fillId="11" borderId="12" xfId="0" applyFont="1" applyFill="1" applyBorder="1" applyAlignment="1">
      <alignment horizontal="center" vertical="top"/>
    </xf>
    <xf numFmtId="0" fontId="0" fillId="0" borderId="10" xfId="0" applyBorder="1" applyAlignment="1">
      <alignment vertical="top"/>
    </xf>
    <xf numFmtId="0" fontId="0" fillId="0" borderId="100" xfId="0" applyBorder="1" applyAlignment="1">
      <alignment vertical="top"/>
    </xf>
    <xf numFmtId="49" fontId="3" fillId="14" borderId="104" xfId="0" applyNumberFormat="1" applyFont="1" applyFill="1" applyBorder="1" applyAlignment="1">
      <alignment horizontal="center" vertical="center" wrapText="1"/>
    </xf>
    <xf numFmtId="49" fontId="3" fillId="14" borderId="105" xfId="0" applyNumberFormat="1" applyFont="1" applyFill="1" applyBorder="1" applyAlignment="1">
      <alignment horizontal="center" vertical="center" wrapText="1"/>
    </xf>
    <xf numFmtId="49" fontId="3" fillId="14" borderId="107" xfId="0" applyNumberFormat="1" applyFont="1" applyFill="1" applyBorder="1" applyAlignment="1">
      <alignment horizontal="center" vertical="center" wrapText="1"/>
    </xf>
    <xf numFmtId="0" fontId="3" fillId="23" borderId="38" xfId="0" applyFont="1" applyFill="1" applyBorder="1" applyAlignment="1">
      <alignment horizontal="center" vertical="center" wrapText="1"/>
    </xf>
    <xf numFmtId="0" fontId="3" fillId="23" borderId="39" xfId="0" applyFont="1" applyFill="1" applyBorder="1" applyAlignment="1">
      <alignment horizontal="left" vertical="center" wrapText="1"/>
    </xf>
    <xf numFmtId="0" fontId="3" fillId="23" borderId="0" xfId="0" applyFont="1" applyFill="1" applyAlignment="1">
      <alignment horizontal="left" vertical="center" wrapText="1"/>
    </xf>
    <xf numFmtId="0" fontId="3" fillId="16" borderId="26" xfId="0" applyFont="1" applyFill="1" applyBorder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3" fillId="16" borderId="49" xfId="0" applyFont="1" applyFill="1" applyBorder="1" applyAlignment="1">
      <alignment horizontal="left" vertical="center" wrapText="1"/>
    </xf>
    <xf numFmtId="0" fontId="0" fillId="0" borderId="78" xfId="0" applyBorder="1" applyAlignment="1">
      <alignment horizontal="left" vertical="center" wrapText="1"/>
    </xf>
    <xf numFmtId="49" fontId="3" fillId="17" borderId="50" xfId="0" applyNumberFormat="1" applyFont="1" applyFill="1" applyBorder="1" applyAlignment="1">
      <alignment horizontal="center" vertical="center" wrapText="1"/>
    </xf>
    <xf numFmtId="49" fontId="3" fillId="17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3" fillId="21" borderId="44" xfId="0" applyFont="1" applyFill="1" applyBorder="1" applyAlignment="1">
      <alignment horizontal="left" vertical="center" wrapText="1"/>
    </xf>
    <xf numFmtId="0" fontId="3" fillId="13" borderId="88" xfId="0" applyFont="1" applyFill="1" applyBorder="1" applyAlignment="1">
      <alignment horizontal="left" vertical="center" wrapText="1"/>
    </xf>
    <xf numFmtId="0" fontId="3" fillId="13" borderId="48" xfId="0" applyFont="1" applyFill="1" applyBorder="1" applyAlignment="1">
      <alignment horizontal="left" vertical="center" wrapText="1"/>
    </xf>
    <xf numFmtId="0" fontId="6" fillId="16" borderId="85" xfId="0" applyFont="1" applyFill="1" applyBorder="1" applyAlignment="1">
      <alignment horizontal="center" vertical="center" wrapText="1"/>
    </xf>
    <xf numFmtId="0" fontId="6" fillId="16" borderId="89" xfId="0" applyFont="1" applyFill="1" applyBorder="1" applyAlignment="1">
      <alignment horizontal="center" vertical="center" wrapText="1"/>
    </xf>
    <xf numFmtId="0" fontId="3" fillId="20" borderId="108" xfId="0" applyFont="1" applyFill="1" applyBorder="1" applyAlignment="1">
      <alignment horizontal="left" vertical="top" wrapText="1"/>
    </xf>
    <xf numFmtId="0" fontId="3" fillId="20" borderId="11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3" fillId="20" borderId="43" xfId="0" applyFont="1" applyFill="1" applyBorder="1" applyAlignment="1">
      <alignment horizontal="center" vertical="top"/>
    </xf>
    <xf numFmtId="0" fontId="3" fillId="20" borderId="0" xfId="0" applyFont="1" applyFill="1" applyAlignment="1">
      <alignment horizontal="center" vertical="top"/>
    </xf>
    <xf numFmtId="0" fontId="0" fillId="0" borderId="44" xfId="0" applyBorder="1" applyAlignment="1">
      <alignment horizontal="center" vertical="top"/>
    </xf>
    <xf numFmtId="0" fontId="3" fillId="16" borderId="26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6" borderId="49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horizontal="center" vertical="top" wrapText="1"/>
    </xf>
    <xf numFmtId="0" fontId="3" fillId="23" borderId="101" xfId="0" applyFont="1" applyFill="1" applyBorder="1" applyAlignment="1">
      <alignment horizontal="center" vertical="center" wrapText="1"/>
    </xf>
    <xf numFmtId="0" fontId="3" fillId="23" borderId="71" xfId="0" applyFont="1" applyFill="1" applyBorder="1" applyAlignment="1">
      <alignment horizontal="center" vertical="center" wrapText="1"/>
    </xf>
    <xf numFmtId="0" fontId="3" fillId="23" borderId="87" xfId="0" applyFont="1" applyFill="1" applyBorder="1" applyAlignment="1">
      <alignment horizontal="center" vertical="center" wrapText="1"/>
    </xf>
    <xf numFmtId="0" fontId="3" fillId="23" borderId="52" xfId="0" applyFont="1" applyFill="1" applyBorder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left" vertical="center" wrapText="1"/>
    </xf>
    <xf numFmtId="0" fontId="3" fillId="23" borderId="83" xfId="0" applyFont="1" applyFill="1" applyBorder="1" applyAlignment="1">
      <alignment horizontal="center" vertical="center" wrapText="1"/>
    </xf>
    <xf numFmtId="0" fontId="6" fillId="17" borderId="76" xfId="0" applyFont="1" applyFill="1" applyBorder="1" applyAlignment="1">
      <alignment horizontal="center" vertical="center" wrapText="1"/>
    </xf>
    <xf numFmtId="0" fontId="6" fillId="17" borderId="71" xfId="0" applyFont="1" applyFill="1" applyBorder="1" applyAlignment="1">
      <alignment horizontal="center" vertical="center" wrapText="1"/>
    </xf>
    <xf numFmtId="0" fontId="6" fillId="17" borderId="77" xfId="0" applyFont="1" applyFill="1" applyBorder="1" applyAlignment="1">
      <alignment horizontal="center" vertical="center" wrapText="1"/>
    </xf>
    <xf numFmtId="0" fontId="3" fillId="17" borderId="76" xfId="0" applyFont="1" applyFill="1" applyBorder="1" applyAlignment="1">
      <alignment horizontal="center" vertical="center" wrapText="1"/>
    </xf>
    <xf numFmtId="0" fontId="3" fillId="17" borderId="71" xfId="0" applyFont="1" applyFill="1" applyBorder="1" applyAlignment="1">
      <alignment horizontal="center" vertical="center" wrapText="1"/>
    </xf>
    <xf numFmtId="0" fontId="3" fillId="17" borderId="77" xfId="0" applyFont="1" applyFill="1" applyBorder="1" applyAlignment="1">
      <alignment horizontal="center" vertical="center" wrapText="1"/>
    </xf>
    <xf numFmtId="0" fontId="11" fillId="17" borderId="76" xfId="0" applyFont="1" applyFill="1" applyBorder="1" applyAlignment="1">
      <alignment horizontal="center" vertical="center" wrapText="1"/>
    </xf>
    <xf numFmtId="0" fontId="11" fillId="17" borderId="71" xfId="0" applyFont="1" applyFill="1" applyBorder="1" applyAlignment="1">
      <alignment horizontal="center" vertical="center" wrapText="1"/>
    </xf>
    <xf numFmtId="0" fontId="11" fillId="17" borderId="77" xfId="0" applyFont="1" applyFill="1" applyBorder="1" applyAlignment="1">
      <alignment horizontal="center" vertical="center" wrapText="1"/>
    </xf>
    <xf numFmtId="0" fontId="11" fillId="17" borderId="50" xfId="0" applyFont="1" applyFill="1" applyBorder="1" applyAlignment="1">
      <alignment horizontal="left" vertical="center" wrapText="1"/>
    </xf>
    <xf numFmtId="0" fontId="3" fillId="23" borderId="51" xfId="0" applyFont="1" applyFill="1" applyBorder="1" applyAlignment="1">
      <alignment horizontal="left" vertical="center" wrapText="1"/>
    </xf>
    <xf numFmtId="0" fontId="3" fillId="23" borderId="40" xfId="0" applyFont="1" applyFill="1" applyBorder="1" applyAlignment="1">
      <alignment horizontal="center" vertical="center" wrapText="1"/>
    </xf>
    <xf numFmtId="0" fontId="3" fillId="23" borderId="78" xfId="0" applyFont="1" applyFill="1" applyBorder="1" applyAlignment="1">
      <alignment horizontal="center" vertical="center" wrapText="1"/>
    </xf>
    <xf numFmtId="0" fontId="3" fillId="18" borderId="50" xfId="0" applyFont="1" applyFill="1" applyBorder="1" applyAlignment="1">
      <alignment vertical="top" wrapText="1"/>
    </xf>
    <xf numFmtId="0" fontId="3" fillId="18" borderId="0" xfId="0" applyFont="1" applyFill="1" applyBorder="1" applyAlignment="1">
      <alignment vertical="top" wrapText="1"/>
    </xf>
    <xf numFmtId="0" fontId="3" fillId="18" borderId="50" xfId="0" applyFont="1" applyFill="1" applyBorder="1" applyAlignment="1">
      <alignment vertical="top"/>
    </xf>
    <xf numFmtId="0" fontId="3" fillId="18" borderId="0" xfId="0" applyFont="1" applyFill="1" applyBorder="1" applyAlignment="1">
      <alignment vertical="top"/>
    </xf>
    <xf numFmtId="0" fontId="3" fillId="19" borderId="94" xfId="0" applyFont="1" applyFill="1" applyBorder="1" applyAlignment="1">
      <alignment horizontal="left" vertical="top" wrapText="1"/>
    </xf>
    <xf numFmtId="0" fontId="3" fillId="22" borderId="0" xfId="0" applyFont="1" applyFill="1" applyBorder="1" applyAlignment="1">
      <alignment vertical="top" wrapText="1"/>
    </xf>
    <xf numFmtId="0" fontId="3" fillId="14" borderId="105" xfId="0" applyFont="1" applyFill="1" applyBorder="1" applyAlignment="1">
      <alignment horizontal="center" vertical="top"/>
    </xf>
    <xf numFmtId="0" fontId="3" fillId="11" borderId="99" xfId="0" applyFont="1" applyFill="1" applyBorder="1" applyAlignment="1">
      <alignment horizontal="left" vertical="top" wrapText="1"/>
    </xf>
    <xf numFmtId="0" fontId="3" fillId="20" borderId="98" xfId="0" applyFont="1" applyFill="1" applyBorder="1" applyAlignment="1">
      <alignment vertical="top" wrapText="1"/>
    </xf>
    <xf numFmtId="0" fontId="3" fillId="9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top" wrapText="1"/>
    </xf>
    <xf numFmtId="0" fontId="11" fillId="9" borderId="4" xfId="0" applyFont="1" applyFill="1" applyBorder="1" applyAlignment="1">
      <alignment vertical="top" wrapText="1"/>
    </xf>
    <xf numFmtId="0" fontId="11" fillId="9" borderId="5" xfId="0" applyFont="1" applyFill="1" applyBorder="1" applyAlignment="1">
      <alignment vertical="top" wrapText="1"/>
    </xf>
    <xf numFmtId="0" fontId="3" fillId="9" borderId="7" xfId="0" applyFont="1" applyFill="1" applyBorder="1" applyAlignment="1">
      <alignment horizontal="center" vertical="top"/>
    </xf>
    <xf numFmtId="0" fontId="3" fillId="9" borderId="8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horizontal="center" vertical="top"/>
    </xf>
    <xf numFmtId="0" fontId="3" fillId="20" borderId="92" xfId="0" applyFont="1" applyFill="1" applyBorder="1" applyAlignment="1">
      <alignment vertical="top"/>
    </xf>
    <xf numFmtId="0" fontId="3" fillId="20" borderId="0" xfId="0" applyFont="1" applyFill="1" applyBorder="1" applyAlignment="1">
      <alignment horizontal="center" vertical="top"/>
    </xf>
    <xf numFmtId="0" fontId="3" fillId="20" borderId="44" xfId="0" applyFont="1" applyFill="1" applyBorder="1" applyAlignment="1">
      <alignment horizontal="center" vertical="top"/>
    </xf>
    <xf numFmtId="0" fontId="3" fillId="11" borderId="10" xfId="0" applyFont="1" applyFill="1" applyBorder="1" applyAlignment="1">
      <alignment horizontal="center" vertical="top"/>
    </xf>
    <xf numFmtId="0" fontId="3" fillId="11" borderId="100" xfId="0" applyFont="1" applyFill="1" applyBorder="1" applyAlignment="1">
      <alignment horizontal="center" vertical="top"/>
    </xf>
    <xf numFmtId="0" fontId="20" fillId="0" borderId="0" xfId="1" applyFont="1" applyAlignment="1">
      <alignment horizontal="center" vertical="top"/>
    </xf>
    <xf numFmtId="0" fontId="18" fillId="0" borderId="0" xfId="1"/>
    <xf numFmtId="0" fontId="20" fillId="0" borderId="0" xfId="1" applyFont="1" applyAlignment="1">
      <alignment horizontal="left" vertical="top" wrapText="1"/>
    </xf>
  </cellXfs>
  <cellStyles count="3">
    <cellStyle name="Enllaç" xfId="2" builtinId="8"/>
    <cellStyle name="Normal" xfId="0" builtinId="0"/>
    <cellStyle name="Normal 2" xfId="1" xr:uid="{00000000-0005-0000-0000-000002000000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DE4A6"/>
      <color rgb="FFD6DCE4"/>
      <color rgb="FFFEF1D1"/>
      <color rgb="FFFCBEA9"/>
      <color rgb="FFDEEDF5"/>
      <color rgb="FFFEFFBF"/>
      <color rgb="FFEEF4D7"/>
      <color rgb="FFD3EFD1"/>
      <color rgb="FFCC3300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3-4832-8D62-14319192D0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3-4832-8D62-14319192D0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3-4832-8D62-14319192D0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03-4832-8D62-14319192D0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03-4832-8D62-14319192D0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03-4832-8D62-14319192D0A6}"/>
              </c:ext>
            </c:extLst>
          </c:dPt>
          <c:dPt>
            <c:idx val="6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BDD-4DF1-880E-0CD58B2C5DF7}"/>
              </c:ext>
            </c:extLst>
          </c:dPt>
          <c:dPt>
            <c:idx val="7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D-4DF1-880E-0CD58B2C5D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a-E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Analisi_Prioritat_Grup!$I$4:$I$11</c:f>
              <c:strCache>
                <c:ptCount val="8"/>
                <c:pt idx="0">
                  <c:v>Invertebrats</c:v>
                </c:pt>
                <c:pt idx="1">
                  <c:v>Peixos</c:v>
                </c:pt>
                <c:pt idx="2">
                  <c:v>Amfibis</c:v>
                </c:pt>
                <c:pt idx="3">
                  <c:v>Rèptils</c:v>
                </c:pt>
                <c:pt idx="4">
                  <c:v>Mamífers</c:v>
                </c:pt>
                <c:pt idx="5">
                  <c:v>Plantes vasculars</c:v>
                </c:pt>
                <c:pt idx="6">
                  <c:v>Aus</c:v>
                </c:pt>
                <c:pt idx="7">
                  <c:v>Pteridòfits</c:v>
                </c:pt>
              </c:strCache>
            </c:strRef>
          </c:cat>
          <c:val>
            <c:numRef>
              <c:f>Analisi_Prioritat_Grup!$J$4:$J$11</c:f>
              <c:numCache>
                <c:formatCode>General</c:formatCode>
                <c:ptCount val="8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D-4DF1-880E-0CD58B2C5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a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a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14</xdr:col>
      <xdr:colOff>20159</xdr:colOff>
      <xdr:row>34</xdr:row>
      <xdr:rowOff>45176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04900"/>
          <a:ext cx="7944959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511174</xdr:colOff>
      <xdr:row>12</xdr:row>
      <xdr:rowOff>41274</xdr:rowOff>
    </xdr:from>
    <xdr:to>
      <xdr:col>15</xdr:col>
      <xdr:colOff>38099</xdr:colOff>
      <xdr:row>29</xdr:row>
      <xdr:rowOff>69849</xdr:rowOff>
    </xdr:to>
    <xdr:graphicFrame macro="">
      <xdr:nvGraphicFramePr>
        <xdr:cNvPr id="2" name="Gràfic 1">
          <a:extLst>
            <a:ext uri="{FF2B5EF4-FFF2-40B4-BE49-F238E27FC236}">
              <a16:creationId xmlns:a16="http://schemas.microsoft.com/office/drawing/2014/main" id="{AE42750B-891C-0806-4FC6-9E59F723A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6981662P\OneDrive%20-%20Generalitat%20de%20Catalunya\Plans%20estrat&#232;gics\0Models\Model%20Pla%20Estrategic%20ENP_v2024_final_revisat%20des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ATÈGIA"/>
      <sheetName val="INSTRUCCIONS"/>
      <sheetName val="PRIORITZACIÓ"/>
      <sheetName val="PLA"/>
      <sheetName val="VINCLE AMENAÇA_OBJ. OPERATIU"/>
      <sheetName val="Taxonomia Amenaces"/>
      <sheetName val="Llistes"/>
      <sheetName val="Ful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Generalita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A8CB33"/>
      </a:accent1>
      <a:accent2>
        <a:srgbClr val="3D9B35"/>
      </a:accent2>
      <a:accent3>
        <a:srgbClr val="BCBF00"/>
      </a:accent3>
      <a:accent4>
        <a:srgbClr val="60A9D1"/>
      </a:accent4>
      <a:accent5>
        <a:srgbClr val="F85C26"/>
      </a:accent5>
      <a:accent6>
        <a:srgbClr val="FABC20"/>
      </a:accent6>
      <a:hlink>
        <a:srgbClr val="AE8055"/>
      </a:hlink>
      <a:folHlink>
        <a:srgbClr val="C0CEC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encat.sharepoint.com/sites/Informaciiconeixementpatrimoninatural2/Documents%20compartits/Forms/AllItems.aspx?csf=1&amp;web=1&amp;e=3x4ZkK&amp;ovuser=3b9427dc%2Dd30e%2D43bc%2D8c06%2Dff7253676fec%2Cjordiparpal%40gencat%2Ecat&amp;OR=Teams%2DHL&amp;CT=1713942253212&amp;clic" TargetMode="Externa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conservationstandards.org/library-item/threats-and-actions-taxonomies/" TargetMode="External"/><Relationship Id="rId1" Type="http://schemas.openxmlformats.org/officeDocument/2006/relationships/hyperlink" Target="https://cdr.eionet.europa.eu/help/habitats_art17/Reporting2025/List%20of%20pressures%20and%20threats%20for%20reporting%202019-2024%20v1.1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C4"/>
  <sheetViews>
    <sheetView topLeftCell="A8" workbookViewId="0">
      <selection activeCell="D4" sqref="D4"/>
    </sheetView>
  </sheetViews>
  <sheetFormatPr defaultColWidth="9.26953125" defaultRowHeight="14.5"/>
  <sheetData>
    <row r="3" spans="3:3" ht="26">
      <c r="C3" s="73" t="s">
        <v>0</v>
      </c>
    </row>
    <row r="4" spans="3:3" ht="26">
      <c r="C4" s="73" t="s">
        <v>1</v>
      </c>
    </row>
  </sheetData>
  <customSheetViews>
    <customSheetView guid="{454D45DF-2512-4984-A7CE-B1F6D305C20E}">
      <selection activeCell="D38" sqref="D38"/>
      <pageMargins left="0" right="0" top="0" bottom="0" header="0" footer="0"/>
    </customSheetView>
    <customSheetView guid="{D2A6C956-D027-4329-9FEA-635617D868B4}">
      <selection activeCell="D38" sqref="D38"/>
      <pageMargins left="0" right="0" top="0" bottom="0" header="0" footer="0"/>
    </customSheetView>
  </customSheetView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33"/>
  <sheetViews>
    <sheetView topLeftCell="A8" workbookViewId="0">
      <selection activeCell="B10" sqref="B10"/>
    </sheetView>
  </sheetViews>
  <sheetFormatPr defaultColWidth="9.26953125" defaultRowHeight="14.5"/>
  <cols>
    <col min="1" max="1" width="23.453125" style="30" customWidth="1"/>
    <col min="2" max="2" width="95.1796875" style="30" customWidth="1"/>
  </cols>
  <sheetData>
    <row r="1" spans="1:2">
      <c r="A1" s="72" t="s">
        <v>2</v>
      </c>
      <c r="B1" s="71"/>
    </row>
    <row r="2" spans="1:2" ht="29">
      <c r="A2" s="105" t="s">
        <v>3</v>
      </c>
      <c r="B2" s="104" t="s">
        <v>4</v>
      </c>
    </row>
    <row r="3" spans="1:2">
      <c r="A3" s="104"/>
      <c r="B3" s="104"/>
    </row>
    <row r="4" spans="1:2" ht="43.5">
      <c r="A4" s="105" t="s">
        <v>5</v>
      </c>
      <c r="B4" s="104" t="s">
        <v>6</v>
      </c>
    </row>
    <row r="5" spans="1:2">
      <c r="A5" s="104"/>
      <c r="B5" s="104"/>
    </row>
    <row r="6" spans="1:2">
      <c r="A6" s="70" t="s">
        <v>7</v>
      </c>
      <c r="B6" s="71"/>
    </row>
    <row r="7" spans="1:2" ht="15.5">
      <c r="A7" s="42" t="s">
        <v>8</v>
      </c>
    </row>
    <row r="8" spans="1:2" ht="29">
      <c r="B8" s="104" t="s">
        <v>1439</v>
      </c>
    </row>
    <row r="9" spans="1:2" ht="29">
      <c r="B9" s="30" t="s">
        <v>9</v>
      </c>
    </row>
    <row r="10" spans="1:2" ht="29">
      <c r="B10" s="30" t="s">
        <v>10</v>
      </c>
    </row>
    <row r="11" spans="1:2">
      <c r="B11" s="30" t="s">
        <v>11</v>
      </c>
    </row>
    <row r="14" spans="1:2" ht="15.5">
      <c r="A14" s="42" t="s">
        <v>12</v>
      </c>
    </row>
    <row r="15" spans="1:2" ht="29">
      <c r="A15" s="43" t="s">
        <v>13</v>
      </c>
      <c r="B15" s="30" t="s">
        <v>14</v>
      </c>
    </row>
    <row r="16" spans="1:2">
      <c r="B16" s="30" t="s">
        <v>15</v>
      </c>
    </row>
    <row r="17" spans="1:3" ht="29">
      <c r="B17" s="30" t="s">
        <v>16</v>
      </c>
    </row>
    <row r="18" spans="1:3" ht="43.5">
      <c r="B18" s="30" t="s">
        <v>17</v>
      </c>
    </row>
    <row r="19" spans="1:3" ht="43.5">
      <c r="B19" s="30" t="s">
        <v>18</v>
      </c>
    </row>
    <row r="20" spans="1:3" ht="43.5">
      <c r="B20" s="30" t="s">
        <v>19</v>
      </c>
    </row>
    <row r="21" spans="1:3" ht="29">
      <c r="B21" s="30" t="s">
        <v>20</v>
      </c>
    </row>
    <row r="22" spans="1:3" ht="58">
      <c r="A22" s="43" t="s">
        <v>21</v>
      </c>
      <c r="B22" s="30" t="s">
        <v>22</v>
      </c>
    </row>
    <row r="23" spans="1:3" ht="43.5">
      <c r="B23" s="30" t="s">
        <v>23</v>
      </c>
    </row>
    <row r="24" spans="1:3" ht="47.5" customHeight="1">
      <c r="A24" s="43" t="s">
        <v>24</v>
      </c>
      <c r="B24" s="30" t="s">
        <v>25</v>
      </c>
      <c r="C24" t="s">
        <v>993</v>
      </c>
    </row>
    <row r="25" spans="1:3" ht="29">
      <c r="A25" s="43" t="s">
        <v>26</v>
      </c>
      <c r="B25" s="30" t="s">
        <v>27</v>
      </c>
    </row>
    <row r="26" spans="1:3" ht="29">
      <c r="A26" s="43" t="s">
        <v>28</v>
      </c>
      <c r="B26" s="30" t="s">
        <v>29</v>
      </c>
    </row>
    <row r="27" spans="1:3">
      <c r="A27" s="43" t="s">
        <v>30</v>
      </c>
      <c r="B27" s="30" t="s">
        <v>31</v>
      </c>
    </row>
    <row r="28" spans="1:3">
      <c r="A28" s="43" t="s">
        <v>32</v>
      </c>
      <c r="B28" s="30" t="s">
        <v>33</v>
      </c>
    </row>
    <row r="30" spans="1:3">
      <c r="A30" s="70" t="s">
        <v>34</v>
      </c>
      <c r="B30" s="71"/>
    </row>
    <row r="31" spans="1:3" ht="43.5">
      <c r="A31" s="30" t="s">
        <v>35</v>
      </c>
      <c r="B31" s="30" t="s">
        <v>36</v>
      </c>
    </row>
    <row r="32" spans="1:3" ht="29">
      <c r="B32" s="30" t="s">
        <v>37</v>
      </c>
    </row>
    <row r="33" spans="2:2" ht="29">
      <c r="B33" s="30" t="s">
        <v>38</v>
      </c>
    </row>
  </sheetData>
  <customSheetViews>
    <customSheetView guid="{454D45DF-2512-4984-A7CE-B1F6D305C20E}" fitToPage="1" topLeftCell="A16">
      <selection activeCell="B34" sqref="B34"/>
      <pageMargins left="0" right="0" top="0" bottom="0" header="0" footer="0"/>
      <pageSetup paperSize="9" scale="73" orientation="portrait" r:id="rId1"/>
    </customSheetView>
    <customSheetView guid="{D2A6C956-D027-4329-9FEA-635617D868B4}" fitToPage="1" topLeftCell="A22">
      <selection activeCell="B19" sqref="B19"/>
      <pageMargins left="0" right="0" top="0" bottom="0" header="0" footer="0"/>
      <pageSetup paperSize="9" scale="73" orientation="portrait" r:id="rId2"/>
    </customSheetView>
  </customSheetViews>
  <pageMargins left="0.7" right="0.7" top="0.75" bottom="0.75" header="0.3" footer="0.3"/>
  <pageSetup paperSize="9" scale="13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0"/>
  <sheetViews>
    <sheetView topLeftCell="A91" zoomScale="110" zoomScaleNormal="110" workbookViewId="0">
      <selection activeCell="F138" sqref="F138"/>
    </sheetView>
  </sheetViews>
  <sheetFormatPr defaultColWidth="9.26953125" defaultRowHeight="14.5"/>
  <cols>
    <col min="1" max="1" width="59.453125" style="30" customWidth="1"/>
    <col min="2" max="2" width="8.7265625" customWidth="1"/>
    <col min="3" max="3" width="24.81640625" customWidth="1"/>
    <col min="4" max="4" width="37.453125" customWidth="1"/>
    <col min="5" max="5" width="26.7265625" customWidth="1"/>
    <col min="6" max="6" width="23.81640625" customWidth="1"/>
    <col min="7" max="7" width="28.54296875" customWidth="1"/>
    <col min="8" max="8" width="18.81640625" customWidth="1"/>
  </cols>
  <sheetData>
    <row r="1" spans="1:10">
      <c r="A1" s="136" t="s">
        <v>39</v>
      </c>
      <c r="B1" s="139" t="s">
        <v>40</v>
      </c>
      <c r="C1" s="136" t="s">
        <v>41</v>
      </c>
      <c r="D1" s="76" t="s">
        <v>42</v>
      </c>
    </row>
    <row r="2" spans="1:10">
      <c r="A2" s="141"/>
      <c r="B2" s="140" t="s">
        <v>43</v>
      </c>
      <c r="C2" s="141"/>
      <c r="D2" s="76" t="s">
        <v>44</v>
      </c>
    </row>
    <row r="3" spans="1:10">
      <c r="A3" s="141"/>
      <c r="B3" s="135" t="s">
        <v>45</v>
      </c>
      <c r="D3" s="76" t="s">
        <v>46</v>
      </c>
    </row>
    <row r="4" spans="1:10" ht="15" thickBot="1">
      <c r="A4" t="s">
        <v>47</v>
      </c>
    </row>
    <row r="5" spans="1:10" ht="15" thickBot="1">
      <c r="A5" s="113" t="s">
        <v>48</v>
      </c>
      <c r="B5" s="106"/>
      <c r="C5" s="106"/>
      <c r="D5" s="107"/>
      <c r="E5" s="218" t="s">
        <v>49</v>
      </c>
      <c r="F5" s="219"/>
      <c r="G5" s="219"/>
      <c r="H5" s="220"/>
    </row>
    <row r="6" spans="1:10">
      <c r="A6" s="114" t="s">
        <v>50</v>
      </c>
      <c r="B6" s="108" t="s">
        <v>51</v>
      </c>
      <c r="C6" s="108" t="s">
        <v>52</v>
      </c>
      <c r="D6" s="108" t="s">
        <v>53</v>
      </c>
      <c r="E6" s="108" t="s">
        <v>54</v>
      </c>
      <c r="F6" s="108" t="s">
        <v>55</v>
      </c>
      <c r="G6" s="108" t="s">
        <v>56</v>
      </c>
      <c r="H6" s="109" t="s">
        <v>57</v>
      </c>
    </row>
    <row r="7" spans="1:10">
      <c r="A7" s="136" t="s">
        <v>58</v>
      </c>
      <c r="B7" s="135" t="s">
        <v>59</v>
      </c>
      <c r="C7" s="135"/>
      <c r="D7" s="76" t="s">
        <v>60</v>
      </c>
      <c r="E7" s="76"/>
      <c r="F7" s="76"/>
      <c r="G7" s="76"/>
      <c r="H7" s="110"/>
      <c r="J7" t="s">
        <v>61</v>
      </c>
    </row>
    <row r="8" spans="1:10">
      <c r="A8" s="136" t="s">
        <v>62</v>
      </c>
      <c r="B8" s="135" t="s">
        <v>59</v>
      </c>
      <c r="C8" s="135"/>
      <c r="D8" s="76" t="s">
        <v>60</v>
      </c>
      <c r="E8" s="76"/>
      <c r="F8" s="76"/>
      <c r="G8" s="76"/>
      <c r="H8" s="110"/>
      <c r="J8" t="s">
        <v>63</v>
      </c>
    </row>
    <row r="9" spans="1:10" ht="29">
      <c r="A9" s="136" t="s">
        <v>64</v>
      </c>
      <c r="B9" s="135" t="s">
        <v>59</v>
      </c>
      <c r="C9" s="135">
        <v>4.125</v>
      </c>
      <c r="D9" s="76" t="s">
        <v>60</v>
      </c>
      <c r="E9" s="76"/>
      <c r="F9" s="76"/>
      <c r="G9" s="76"/>
      <c r="H9" s="110"/>
      <c r="J9" t="s">
        <v>65</v>
      </c>
    </row>
    <row r="10" spans="1:10">
      <c r="A10" s="117" t="s">
        <v>66</v>
      </c>
      <c r="B10" s="135" t="s">
        <v>59</v>
      </c>
      <c r="C10" s="76"/>
      <c r="D10" s="76" t="s">
        <v>60</v>
      </c>
      <c r="E10" s="76"/>
      <c r="F10" s="76"/>
      <c r="G10" s="76"/>
      <c r="H10" s="110"/>
      <c r="J10" t="s">
        <v>67</v>
      </c>
    </row>
    <row r="11" spans="1:10" ht="29">
      <c r="A11" s="117" t="s">
        <v>68</v>
      </c>
      <c r="B11" s="135" t="s">
        <v>59</v>
      </c>
      <c r="C11" s="76"/>
      <c r="D11" s="76" t="s">
        <v>60</v>
      </c>
      <c r="E11" s="76"/>
      <c r="F11" s="76"/>
      <c r="G11" s="76"/>
      <c r="H11" s="110"/>
      <c r="J11" s="112" t="s">
        <v>69</v>
      </c>
    </row>
    <row r="12" spans="1:10" ht="43.5">
      <c r="A12" s="136" t="s">
        <v>70</v>
      </c>
      <c r="B12" s="135" t="s">
        <v>71</v>
      </c>
      <c r="C12" s="135"/>
      <c r="D12" s="76"/>
      <c r="E12" s="157" t="s">
        <v>72</v>
      </c>
      <c r="F12" s="157" t="s">
        <v>73</v>
      </c>
      <c r="G12" s="157" t="s">
        <v>74</v>
      </c>
      <c r="H12" s="157" t="s">
        <v>918</v>
      </c>
      <c r="J12" t="s">
        <v>75</v>
      </c>
    </row>
    <row r="13" spans="1:10">
      <c r="A13" s="117" t="s">
        <v>76</v>
      </c>
      <c r="B13" s="76" t="s">
        <v>59</v>
      </c>
      <c r="C13" s="76"/>
      <c r="D13" s="76"/>
      <c r="E13" s="76"/>
      <c r="F13" s="76"/>
      <c r="G13" s="76"/>
      <c r="H13" s="110"/>
    </row>
    <row r="14" spans="1:10" ht="43.5">
      <c r="A14" s="117" t="s">
        <v>77</v>
      </c>
      <c r="B14" s="76" t="s">
        <v>59</v>
      </c>
      <c r="C14" s="76"/>
      <c r="D14" s="76"/>
      <c r="E14" s="76"/>
      <c r="F14" s="76"/>
      <c r="G14" s="76"/>
      <c r="H14" s="110"/>
    </row>
    <row r="15" spans="1:10" ht="29">
      <c r="A15" s="117" t="s">
        <v>78</v>
      </c>
      <c r="B15" s="76" t="s">
        <v>59</v>
      </c>
      <c r="C15" s="76"/>
      <c r="D15" s="76"/>
      <c r="E15" s="76"/>
      <c r="F15" s="76"/>
      <c r="G15" s="76"/>
      <c r="H15" s="110"/>
    </row>
    <row r="16" spans="1:10" ht="29">
      <c r="A16" s="136" t="s">
        <v>79</v>
      </c>
      <c r="B16" s="135" t="s">
        <v>59</v>
      </c>
      <c r="C16" s="135"/>
      <c r="D16" s="76" t="s">
        <v>44</v>
      </c>
      <c r="E16" s="76"/>
      <c r="F16" s="76"/>
      <c r="G16" s="76"/>
      <c r="H16" s="110"/>
    </row>
    <row r="17" spans="1:8" ht="29">
      <c r="A17" s="136" t="s">
        <v>80</v>
      </c>
      <c r="B17" s="135" t="s">
        <v>59</v>
      </c>
      <c r="C17" s="135">
        <v>3.625</v>
      </c>
      <c r="D17" s="76" t="s">
        <v>44</v>
      </c>
      <c r="E17" s="76"/>
      <c r="F17" s="76"/>
      <c r="G17" s="76"/>
      <c r="H17" s="110"/>
    </row>
    <row r="18" spans="1:8" ht="29">
      <c r="A18" s="136" t="s">
        <v>81</v>
      </c>
      <c r="B18" s="135" t="s">
        <v>59</v>
      </c>
      <c r="C18" s="135">
        <v>3.375</v>
      </c>
      <c r="D18" s="76" t="s">
        <v>82</v>
      </c>
      <c r="E18" s="76"/>
      <c r="F18" s="76"/>
      <c r="G18" s="76"/>
      <c r="H18" s="110"/>
    </row>
    <row r="19" spans="1:8" ht="29">
      <c r="A19" s="117" t="s">
        <v>83</v>
      </c>
      <c r="B19" s="76" t="s">
        <v>59</v>
      </c>
      <c r="C19" s="76"/>
      <c r="D19" s="76"/>
      <c r="E19" s="76"/>
      <c r="F19" s="76"/>
      <c r="G19" s="76"/>
      <c r="H19" s="110"/>
    </row>
    <row r="20" spans="1:8">
      <c r="A20" s="136" t="s">
        <v>84</v>
      </c>
      <c r="B20" s="135" t="s">
        <v>59</v>
      </c>
      <c r="C20" s="135">
        <v>2.875</v>
      </c>
      <c r="D20" s="76" t="s">
        <v>60</v>
      </c>
      <c r="E20" s="76"/>
      <c r="F20" s="76"/>
      <c r="G20" s="76"/>
      <c r="H20" s="110"/>
    </row>
    <row r="21" spans="1:8">
      <c r="A21" s="136" t="s">
        <v>85</v>
      </c>
      <c r="B21" s="135" t="s">
        <v>59</v>
      </c>
      <c r="C21" s="135">
        <v>3.875</v>
      </c>
      <c r="D21" s="76" t="s">
        <v>44</v>
      </c>
      <c r="E21" s="76"/>
      <c r="F21" s="76"/>
      <c r="G21" s="76"/>
      <c r="H21" s="110"/>
    </row>
    <row r="22" spans="1:8" ht="43.5">
      <c r="A22" s="136" t="s">
        <v>86</v>
      </c>
      <c r="B22" s="135" t="s">
        <v>71</v>
      </c>
      <c r="C22" s="135">
        <v>3.625</v>
      </c>
      <c r="D22" s="76"/>
      <c r="E22" s="157" t="s">
        <v>74</v>
      </c>
      <c r="F22" s="157" t="s">
        <v>87</v>
      </c>
      <c r="G22" s="157" t="s">
        <v>88</v>
      </c>
      <c r="H22" s="158"/>
    </row>
    <row r="23" spans="1:8">
      <c r="A23" s="117" t="s">
        <v>89</v>
      </c>
      <c r="B23" s="76" t="s">
        <v>59</v>
      </c>
      <c r="C23" s="76"/>
      <c r="D23" s="76"/>
      <c r="E23" s="76"/>
      <c r="F23" s="76"/>
      <c r="G23" s="76"/>
      <c r="H23" s="110"/>
    </row>
    <row r="24" spans="1:8">
      <c r="A24" s="117" t="s">
        <v>90</v>
      </c>
      <c r="B24" s="76" t="s">
        <v>59</v>
      </c>
      <c r="C24" s="76"/>
      <c r="D24" s="76"/>
      <c r="E24" s="76"/>
      <c r="F24" s="76"/>
      <c r="G24" s="76"/>
      <c r="H24" s="110"/>
    </row>
    <row r="25" spans="1:8" ht="29">
      <c r="A25" s="136" t="s">
        <v>91</v>
      </c>
      <c r="B25" s="135" t="s">
        <v>59</v>
      </c>
      <c r="C25" s="135">
        <v>4.75</v>
      </c>
      <c r="D25" s="76" t="s">
        <v>44</v>
      </c>
      <c r="E25" s="76"/>
      <c r="F25" s="76"/>
      <c r="G25" s="76"/>
      <c r="H25" s="110"/>
    </row>
    <row r="26" spans="1:8" ht="43.5">
      <c r="A26" s="136" t="s">
        <v>92</v>
      </c>
      <c r="B26" s="135" t="s">
        <v>71</v>
      </c>
      <c r="C26" s="135">
        <v>3.875</v>
      </c>
      <c r="D26" s="76"/>
      <c r="E26" s="157" t="s">
        <v>74</v>
      </c>
      <c r="F26" s="157" t="s">
        <v>72</v>
      </c>
      <c r="G26" s="157" t="s">
        <v>88</v>
      </c>
      <c r="H26" s="158" t="s">
        <v>93</v>
      </c>
    </row>
    <row r="27" spans="1:8">
      <c r="A27" s="136" t="s">
        <v>94</v>
      </c>
      <c r="B27" s="135" t="s">
        <v>59</v>
      </c>
      <c r="C27" s="135">
        <v>4</v>
      </c>
      <c r="D27" s="76" t="s">
        <v>44</v>
      </c>
      <c r="E27" s="76"/>
      <c r="F27" s="76"/>
      <c r="G27" s="76"/>
      <c r="H27" s="110"/>
    </row>
    <row r="28" spans="1:8">
      <c r="A28" s="117" t="s">
        <v>95</v>
      </c>
      <c r="B28" s="76" t="s">
        <v>71</v>
      </c>
      <c r="C28" s="76"/>
      <c r="D28" s="76"/>
      <c r="E28" s="76" t="s">
        <v>74</v>
      </c>
      <c r="F28" s="76" t="s">
        <v>970</v>
      </c>
      <c r="G28" s="76" t="s">
        <v>929</v>
      </c>
      <c r="H28" s="76" t="s">
        <v>88</v>
      </c>
    </row>
    <row r="29" spans="1:8" ht="15" thickBot="1">
      <c r="A29" s="117" t="s">
        <v>96</v>
      </c>
      <c r="B29" s="76" t="s">
        <v>59</v>
      </c>
      <c r="C29" s="76"/>
      <c r="D29" s="76"/>
      <c r="E29" s="76"/>
      <c r="F29" s="76"/>
      <c r="G29" s="76"/>
      <c r="H29" s="110"/>
    </row>
    <row r="30" spans="1:8" ht="29">
      <c r="A30" s="114" t="s">
        <v>97</v>
      </c>
      <c r="B30" s="114" t="s">
        <v>51</v>
      </c>
      <c r="C30" s="108" t="s">
        <v>52</v>
      </c>
      <c r="D30" s="108" t="s">
        <v>53</v>
      </c>
      <c r="E30" s="159" t="s">
        <v>54</v>
      </c>
      <c r="F30" s="159" t="s">
        <v>55</v>
      </c>
      <c r="G30" s="159" t="s">
        <v>56</v>
      </c>
      <c r="H30" s="160" t="s">
        <v>57</v>
      </c>
    </row>
    <row r="31" spans="1:8">
      <c r="A31" s="116" t="s">
        <v>98</v>
      </c>
      <c r="B31" s="135" t="s">
        <v>59</v>
      </c>
      <c r="C31" s="76"/>
      <c r="D31" s="76"/>
      <c r="E31" s="76"/>
      <c r="F31" s="76"/>
      <c r="G31" s="76"/>
      <c r="H31" s="110"/>
    </row>
    <row r="32" spans="1:8">
      <c r="A32" s="116" t="s">
        <v>99</v>
      </c>
      <c r="B32" s="135" t="s">
        <v>59</v>
      </c>
      <c r="C32" s="76"/>
      <c r="D32" s="76"/>
      <c r="E32" s="76"/>
      <c r="F32" s="76"/>
      <c r="G32" s="76"/>
      <c r="H32" s="110"/>
    </row>
    <row r="33" spans="1:8">
      <c r="A33" s="134" t="s">
        <v>100</v>
      </c>
      <c r="B33" s="135" t="s">
        <v>45</v>
      </c>
      <c r="C33" s="135">
        <v>2</v>
      </c>
      <c r="D33" s="76" t="s">
        <v>44</v>
      </c>
      <c r="E33" s="76"/>
      <c r="F33" s="76"/>
      <c r="G33" s="76"/>
      <c r="H33" s="110"/>
    </row>
    <row r="34" spans="1:8">
      <c r="A34" s="116" t="s">
        <v>101</v>
      </c>
      <c r="B34" s="135" t="s">
        <v>59</v>
      </c>
      <c r="C34" s="76"/>
      <c r="D34" s="76"/>
      <c r="E34" s="76"/>
      <c r="F34" s="76"/>
      <c r="G34" s="76"/>
      <c r="H34" s="110"/>
    </row>
    <row r="35" spans="1:8">
      <c r="A35" s="116" t="s">
        <v>102</v>
      </c>
      <c r="B35" s="135" t="s">
        <v>59</v>
      </c>
      <c r="C35" s="76"/>
      <c r="D35" s="76"/>
      <c r="E35" s="76"/>
      <c r="F35" s="76"/>
      <c r="G35" s="76"/>
      <c r="H35" s="110"/>
    </row>
    <row r="36" spans="1:8">
      <c r="A36" s="116" t="s">
        <v>103</v>
      </c>
      <c r="B36" s="135" t="s">
        <v>59</v>
      </c>
      <c r="C36" s="76"/>
      <c r="D36" s="76"/>
      <c r="E36" s="76"/>
      <c r="F36" s="76"/>
      <c r="G36" s="76"/>
      <c r="H36" s="110"/>
    </row>
    <row r="37" spans="1:8" ht="29">
      <c r="A37" s="116" t="s">
        <v>104</v>
      </c>
      <c r="B37" s="135" t="s">
        <v>71</v>
      </c>
      <c r="C37" s="76"/>
      <c r="D37" s="76" t="s">
        <v>46</v>
      </c>
      <c r="E37" s="157" t="s">
        <v>105</v>
      </c>
      <c r="F37" s="157" t="s">
        <v>918</v>
      </c>
      <c r="G37" s="157"/>
      <c r="H37" s="158"/>
    </row>
    <row r="38" spans="1:8" ht="29">
      <c r="A38" s="134" t="s">
        <v>106</v>
      </c>
      <c r="B38" s="135" t="s">
        <v>71</v>
      </c>
      <c r="C38" s="135">
        <v>2.1110000000000002</v>
      </c>
      <c r="D38" s="76"/>
      <c r="E38" s="157" t="s">
        <v>105</v>
      </c>
      <c r="F38" s="157" t="s">
        <v>918</v>
      </c>
      <c r="G38" s="157"/>
      <c r="H38" s="158"/>
    </row>
    <row r="39" spans="1:8" ht="43.5">
      <c r="A39" s="134" t="s">
        <v>107</v>
      </c>
      <c r="B39" s="135" t="s">
        <v>71</v>
      </c>
      <c r="C39" s="135">
        <v>1.833</v>
      </c>
      <c r="D39" s="76"/>
      <c r="E39" s="157" t="s">
        <v>74</v>
      </c>
      <c r="F39" s="157" t="s">
        <v>87</v>
      </c>
      <c r="G39" s="157" t="s">
        <v>108</v>
      </c>
      <c r="H39" s="158"/>
    </row>
    <row r="40" spans="1:8">
      <c r="A40" s="116" t="s">
        <v>109</v>
      </c>
      <c r="B40" s="135" t="s">
        <v>71</v>
      </c>
      <c r="C40" s="76"/>
      <c r="D40" s="76" t="s">
        <v>46</v>
      </c>
      <c r="E40" s="157" t="s">
        <v>918</v>
      </c>
      <c r="F40" s="157"/>
      <c r="G40" s="157"/>
      <c r="H40" s="158"/>
    </row>
    <row r="41" spans="1:8" ht="43.5">
      <c r="A41" s="134" t="s">
        <v>110</v>
      </c>
      <c r="B41" s="135" t="s">
        <v>71</v>
      </c>
      <c r="C41" s="135">
        <v>1.5</v>
      </c>
      <c r="D41" s="76"/>
      <c r="E41" s="157" t="s">
        <v>74</v>
      </c>
      <c r="F41" s="157" t="s">
        <v>87</v>
      </c>
      <c r="G41" s="157"/>
      <c r="H41" s="158"/>
    </row>
    <row r="42" spans="1:8">
      <c r="A42" s="116" t="s">
        <v>111</v>
      </c>
      <c r="B42" s="135" t="s">
        <v>59</v>
      </c>
      <c r="C42" s="76"/>
      <c r="D42" s="76"/>
      <c r="E42" s="76"/>
      <c r="F42" s="76"/>
      <c r="G42" s="76"/>
      <c r="H42" s="110"/>
    </row>
    <row r="43" spans="1:8">
      <c r="A43" s="116" t="s">
        <v>112</v>
      </c>
      <c r="B43" s="135" t="s">
        <v>59</v>
      </c>
      <c r="C43" s="76"/>
      <c r="D43" s="76"/>
      <c r="E43" s="76"/>
      <c r="F43" s="76"/>
      <c r="G43" s="76"/>
      <c r="H43" s="110"/>
    </row>
    <row r="44" spans="1:8">
      <c r="A44" s="134" t="s">
        <v>113</v>
      </c>
      <c r="B44" s="135" t="s">
        <v>59</v>
      </c>
      <c r="C44" s="135">
        <v>2.3330000000000002</v>
      </c>
      <c r="D44" s="76" t="s">
        <v>1599</v>
      </c>
      <c r="E44" s="157"/>
      <c r="F44" s="157"/>
      <c r="G44" s="157"/>
      <c r="H44" s="158"/>
    </row>
    <row r="45" spans="1:8" ht="29">
      <c r="A45" s="116" t="s">
        <v>205</v>
      </c>
      <c r="B45" s="135" t="s">
        <v>71</v>
      </c>
      <c r="C45" s="76"/>
      <c r="D45" s="76" t="s">
        <v>46</v>
      </c>
      <c r="E45" s="157" t="s">
        <v>72</v>
      </c>
      <c r="F45" s="157" t="s">
        <v>194</v>
      </c>
      <c r="G45" s="157"/>
      <c r="H45" s="158"/>
    </row>
    <row r="46" spans="1:8">
      <c r="A46" s="116" t="s">
        <v>114</v>
      </c>
      <c r="B46" s="135" t="s">
        <v>59</v>
      </c>
      <c r="C46" s="76"/>
      <c r="D46" s="76"/>
      <c r="E46" s="76"/>
      <c r="F46" s="76"/>
      <c r="G46" s="76"/>
      <c r="H46" s="110"/>
    </row>
    <row r="47" spans="1:8" ht="43.5">
      <c r="A47" s="134" t="s">
        <v>115</v>
      </c>
      <c r="B47" s="135" t="s">
        <v>71</v>
      </c>
      <c r="C47" s="135"/>
      <c r="D47" s="76"/>
      <c r="E47" s="157" t="s">
        <v>74</v>
      </c>
      <c r="F47" s="157" t="s">
        <v>116</v>
      </c>
      <c r="G47" s="157"/>
      <c r="H47" s="158"/>
    </row>
    <row r="48" spans="1:8">
      <c r="A48" s="116" t="s">
        <v>117</v>
      </c>
      <c r="B48" s="135" t="s">
        <v>59</v>
      </c>
      <c r="C48" s="76"/>
      <c r="D48" s="76"/>
      <c r="E48" s="76"/>
      <c r="F48" s="76"/>
      <c r="G48" s="76"/>
      <c r="H48" s="110"/>
    </row>
    <row r="49" spans="1:9">
      <c r="A49" s="116" t="s">
        <v>118</v>
      </c>
      <c r="B49" s="135" t="s">
        <v>71</v>
      </c>
      <c r="C49" s="76"/>
      <c r="D49" s="76"/>
      <c r="E49" s="157" t="s">
        <v>87</v>
      </c>
      <c r="F49" s="76"/>
      <c r="G49" s="76"/>
      <c r="H49" s="110"/>
    </row>
    <row r="50" spans="1:9">
      <c r="A50" s="116" t="s">
        <v>119</v>
      </c>
      <c r="B50" s="135" t="s">
        <v>59</v>
      </c>
      <c r="C50" s="76"/>
      <c r="D50" s="76"/>
      <c r="E50" s="76"/>
      <c r="F50" s="76"/>
      <c r="G50" s="76"/>
      <c r="H50" s="110"/>
    </row>
    <row r="51" spans="1:9">
      <c r="A51" s="116" t="s">
        <v>120</v>
      </c>
      <c r="B51" s="135" t="s">
        <v>59</v>
      </c>
      <c r="C51" s="76"/>
      <c r="D51" s="76"/>
      <c r="E51" s="76"/>
      <c r="F51" s="76"/>
      <c r="G51" s="76"/>
      <c r="H51" s="110"/>
    </row>
    <row r="52" spans="1:9">
      <c r="A52" s="116" t="s">
        <v>121</v>
      </c>
      <c r="B52" s="135" t="s">
        <v>59</v>
      </c>
      <c r="C52" s="76"/>
      <c r="D52" s="76"/>
      <c r="E52" s="76"/>
      <c r="F52" s="76"/>
      <c r="G52" s="76"/>
      <c r="H52" s="110"/>
    </row>
    <row r="53" spans="1:9">
      <c r="A53" s="116" t="s">
        <v>122</v>
      </c>
      <c r="B53" s="135" t="s">
        <v>59</v>
      </c>
      <c r="C53" s="76"/>
      <c r="D53" s="76"/>
      <c r="E53" s="76"/>
      <c r="F53" s="76"/>
      <c r="G53" s="76"/>
      <c r="H53" s="110"/>
    </row>
    <row r="54" spans="1:9">
      <c r="A54" s="116" t="s">
        <v>123</v>
      </c>
      <c r="B54" s="135" t="s">
        <v>59</v>
      </c>
      <c r="C54" s="76"/>
      <c r="D54" s="76"/>
      <c r="E54" s="76"/>
      <c r="F54" s="76"/>
      <c r="G54" s="76"/>
      <c r="H54" s="110"/>
    </row>
    <row r="55" spans="1:9">
      <c r="A55" s="116" t="s">
        <v>124</v>
      </c>
      <c r="B55" s="135" t="s">
        <v>59</v>
      </c>
      <c r="C55" s="76"/>
      <c r="D55" s="76"/>
      <c r="E55" s="76"/>
      <c r="F55" s="76"/>
      <c r="G55" s="76"/>
      <c r="H55" s="110"/>
    </row>
    <row r="56" spans="1:9">
      <c r="A56" s="116" t="s">
        <v>125</v>
      </c>
      <c r="B56" s="135" t="s">
        <v>59</v>
      </c>
      <c r="C56" s="76"/>
      <c r="D56" s="76"/>
      <c r="E56" s="76"/>
      <c r="F56" s="76"/>
      <c r="G56" s="76"/>
      <c r="H56" s="110"/>
    </row>
    <row r="57" spans="1:9">
      <c r="A57" s="116" t="s">
        <v>126</v>
      </c>
      <c r="B57" s="135" t="s">
        <v>59</v>
      </c>
      <c r="C57" s="76"/>
      <c r="D57" s="76"/>
      <c r="E57" s="76"/>
      <c r="F57" s="76"/>
      <c r="G57" s="76"/>
      <c r="H57" s="110"/>
      <c r="I57" t="s">
        <v>128</v>
      </c>
    </row>
    <row r="58" spans="1:9">
      <c r="A58" s="116" t="s">
        <v>127</v>
      </c>
      <c r="B58" s="135" t="s">
        <v>59</v>
      </c>
      <c r="C58" s="76"/>
      <c r="D58" s="76"/>
      <c r="E58" s="76"/>
      <c r="F58" s="76"/>
      <c r="G58" s="76"/>
      <c r="H58" s="110"/>
    </row>
    <row r="59" spans="1:9">
      <c r="A59" s="116" t="s">
        <v>129</v>
      </c>
      <c r="B59" s="135" t="s">
        <v>59</v>
      </c>
      <c r="C59" s="76"/>
      <c r="D59" s="76"/>
      <c r="E59" s="76"/>
      <c r="F59" s="76"/>
      <c r="G59" s="76"/>
      <c r="H59" s="110"/>
    </row>
    <row r="60" spans="1:9">
      <c r="A60" s="116" t="s">
        <v>130</v>
      </c>
      <c r="B60" s="135" t="s">
        <v>59</v>
      </c>
      <c r="C60" s="76"/>
      <c r="D60" s="76"/>
      <c r="E60" s="76"/>
      <c r="F60" s="76"/>
      <c r="G60" s="76"/>
      <c r="H60" s="110"/>
    </row>
    <row r="61" spans="1:9">
      <c r="A61" s="116" t="s">
        <v>131</v>
      </c>
      <c r="B61" s="135" t="s">
        <v>59</v>
      </c>
      <c r="C61" s="76"/>
      <c r="D61" s="76"/>
      <c r="E61" s="76"/>
      <c r="F61" s="76"/>
      <c r="G61" s="76"/>
      <c r="H61" s="110"/>
    </row>
    <row r="62" spans="1:9">
      <c r="A62" s="116" t="s">
        <v>132</v>
      </c>
      <c r="B62" s="135" t="s">
        <v>59</v>
      </c>
      <c r="C62" s="76"/>
      <c r="D62" s="76"/>
      <c r="E62" s="76"/>
      <c r="F62" s="76"/>
      <c r="G62" s="76"/>
      <c r="H62" s="110"/>
    </row>
    <row r="63" spans="1:9">
      <c r="A63" s="116" t="s">
        <v>133</v>
      </c>
      <c r="B63" s="135" t="s">
        <v>59</v>
      </c>
      <c r="C63" s="76"/>
      <c r="D63" s="76"/>
      <c r="E63" s="76"/>
      <c r="F63" s="76"/>
      <c r="G63" s="76"/>
      <c r="H63" s="110"/>
    </row>
    <row r="64" spans="1:9">
      <c r="A64" s="116" t="s">
        <v>206</v>
      </c>
      <c r="B64" s="135" t="s">
        <v>71</v>
      </c>
      <c r="C64" s="76"/>
      <c r="D64" s="76" t="s">
        <v>46</v>
      </c>
      <c r="E64" s="157" t="s">
        <v>207</v>
      </c>
      <c r="F64" s="157"/>
      <c r="G64" s="157"/>
      <c r="H64" s="158"/>
    </row>
    <row r="65" spans="1:8">
      <c r="A65" s="116" t="s">
        <v>134</v>
      </c>
      <c r="B65" s="135" t="s">
        <v>59</v>
      </c>
      <c r="C65" s="76"/>
      <c r="D65" s="76"/>
      <c r="E65" s="76"/>
      <c r="F65" s="76"/>
      <c r="G65" s="76"/>
      <c r="H65" s="110"/>
    </row>
    <row r="66" spans="1:8">
      <c r="A66" s="116" t="s">
        <v>135</v>
      </c>
      <c r="B66" s="135" t="s">
        <v>59</v>
      </c>
      <c r="C66" s="76"/>
      <c r="D66" s="76"/>
      <c r="E66" s="76"/>
      <c r="F66" s="76"/>
      <c r="G66" s="76"/>
      <c r="H66" s="110"/>
    </row>
    <row r="67" spans="1:8">
      <c r="A67" s="116" t="s">
        <v>136</v>
      </c>
      <c r="B67" s="135" t="s">
        <v>59</v>
      </c>
      <c r="C67" s="76"/>
      <c r="D67" s="76"/>
      <c r="E67" s="76"/>
      <c r="F67" s="76"/>
      <c r="G67" s="76"/>
      <c r="H67" s="110"/>
    </row>
    <row r="68" spans="1:8">
      <c r="A68" s="134" t="s">
        <v>137</v>
      </c>
      <c r="B68" s="135" t="s">
        <v>59</v>
      </c>
      <c r="C68" s="135">
        <v>1.556</v>
      </c>
      <c r="D68" s="76" t="s">
        <v>44</v>
      </c>
      <c r="E68" s="76"/>
      <c r="F68" s="76"/>
      <c r="G68" s="76"/>
      <c r="H68" s="110"/>
    </row>
    <row r="69" spans="1:8">
      <c r="A69" s="116" t="s">
        <v>138</v>
      </c>
      <c r="B69" s="135" t="s">
        <v>59</v>
      </c>
      <c r="C69" s="76"/>
      <c r="D69" s="76"/>
      <c r="E69" s="76"/>
      <c r="F69" s="76"/>
      <c r="G69" s="76"/>
      <c r="H69" s="110"/>
    </row>
    <row r="70" spans="1:8">
      <c r="A70" s="116" t="s">
        <v>208</v>
      </c>
      <c r="B70" s="135" t="s">
        <v>59</v>
      </c>
      <c r="C70" s="76"/>
      <c r="D70" s="76" t="s">
        <v>209</v>
      </c>
      <c r="E70" s="76"/>
      <c r="F70" s="76"/>
      <c r="G70" s="76"/>
      <c r="H70" s="110"/>
    </row>
    <row r="71" spans="1:8">
      <c r="A71" s="116" t="s">
        <v>211</v>
      </c>
      <c r="B71" s="135" t="s">
        <v>71</v>
      </c>
      <c r="C71" s="76"/>
      <c r="D71" s="76" t="s">
        <v>46</v>
      </c>
      <c r="E71" s="157" t="s">
        <v>929</v>
      </c>
      <c r="F71" s="157" t="s">
        <v>116</v>
      </c>
      <c r="G71" s="157"/>
      <c r="H71" s="158"/>
    </row>
    <row r="72" spans="1:8">
      <c r="A72" s="116" t="s">
        <v>139</v>
      </c>
      <c r="B72" s="135" t="s">
        <v>59</v>
      </c>
      <c r="C72" s="76"/>
      <c r="D72" s="76"/>
      <c r="E72" s="76"/>
      <c r="F72" s="76"/>
      <c r="G72" s="76"/>
      <c r="H72" s="110"/>
    </row>
    <row r="73" spans="1:8">
      <c r="A73" s="134" t="s">
        <v>140</v>
      </c>
      <c r="B73" s="135" t="s">
        <v>59</v>
      </c>
      <c r="C73" s="135">
        <v>1.5</v>
      </c>
      <c r="D73" s="76" t="s">
        <v>44</v>
      </c>
      <c r="E73" s="76"/>
      <c r="F73" s="76"/>
      <c r="G73" s="76"/>
      <c r="H73" s="110"/>
    </row>
    <row r="74" spans="1:8">
      <c r="A74" s="76" t="s">
        <v>215</v>
      </c>
      <c r="B74" s="135" t="s">
        <v>71</v>
      </c>
      <c r="C74" s="76"/>
      <c r="D74" s="76" t="s">
        <v>46</v>
      </c>
      <c r="E74" s="157" t="s">
        <v>116</v>
      </c>
      <c r="F74" s="157"/>
      <c r="G74" s="157"/>
      <c r="H74" s="158"/>
    </row>
    <row r="75" spans="1:8">
      <c r="A75" s="134" t="s">
        <v>141</v>
      </c>
      <c r="B75" s="135" t="s">
        <v>59</v>
      </c>
      <c r="C75" s="135"/>
      <c r="D75" s="76" t="s">
        <v>44</v>
      </c>
      <c r="E75" s="76"/>
      <c r="F75" s="76"/>
      <c r="G75" s="76"/>
      <c r="H75" s="110"/>
    </row>
    <row r="76" spans="1:8" ht="43.5">
      <c r="A76" s="116" t="s">
        <v>200</v>
      </c>
      <c r="B76" s="135" t="s">
        <v>71</v>
      </c>
      <c r="C76" s="76"/>
      <c r="D76" s="76" t="s">
        <v>46</v>
      </c>
      <c r="E76" s="157" t="s">
        <v>74</v>
      </c>
      <c r="F76" s="157" t="s">
        <v>72</v>
      </c>
      <c r="G76" s="157" t="s">
        <v>73</v>
      </c>
      <c r="H76" s="157" t="s">
        <v>87</v>
      </c>
    </row>
    <row r="77" spans="1:8">
      <c r="A77" s="134" t="s">
        <v>142</v>
      </c>
      <c r="B77" s="135" t="s">
        <v>59</v>
      </c>
      <c r="C77" s="135">
        <v>1.5</v>
      </c>
      <c r="D77" s="76" t="s">
        <v>44</v>
      </c>
      <c r="E77" s="76"/>
      <c r="F77" s="76"/>
      <c r="G77" s="76"/>
      <c r="H77" s="110"/>
    </row>
    <row r="78" spans="1:8">
      <c r="A78" s="134" t="s">
        <v>143</v>
      </c>
      <c r="B78" s="135" t="s">
        <v>59</v>
      </c>
      <c r="C78" s="135"/>
      <c r="D78" s="76" t="s">
        <v>44</v>
      </c>
      <c r="E78" s="76"/>
      <c r="F78" s="76"/>
      <c r="G78" s="76"/>
      <c r="H78" s="110"/>
    </row>
    <row r="79" spans="1:8">
      <c r="A79" s="134" t="s">
        <v>144</v>
      </c>
      <c r="B79" s="135" t="s">
        <v>71</v>
      </c>
      <c r="C79" s="135">
        <v>1.667</v>
      </c>
      <c r="D79" s="76"/>
      <c r="E79" s="157" t="s">
        <v>157</v>
      </c>
      <c r="F79" s="157"/>
      <c r="G79" s="157"/>
      <c r="H79" s="158"/>
    </row>
    <row r="80" spans="1:8">
      <c r="A80" s="116" t="s">
        <v>145</v>
      </c>
      <c r="B80" s="135" t="s">
        <v>59</v>
      </c>
      <c r="C80" s="76"/>
      <c r="D80" s="76"/>
      <c r="E80" s="76"/>
      <c r="F80" s="76"/>
      <c r="G80" s="76"/>
      <c r="H80" s="110"/>
    </row>
    <row r="81" spans="1:8">
      <c r="A81" s="116" t="s">
        <v>146</v>
      </c>
      <c r="B81" s="135" t="s">
        <v>59</v>
      </c>
      <c r="C81" s="76"/>
      <c r="D81" s="76"/>
      <c r="E81" s="76"/>
      <c r="F81" s="76"/>
      <c r="G81" s="76"/>
      <c r="H81" s="110"/>
    </row>
    <row r="82" spans="1:8">
      <c r="A82" s="134" t="s">
        <v>147</v>
      </c>
      <c r="B82" s="135" t="s">
        <v>59</v>
      </c>
      <c r="C82" s="135">
        <v>2</v>
      </c>
      <c r="D82" s="76" t="s">
        <v>44</v>
      </c>
      <c r="E82" s="76"/>
      <c r="F82" s="76"/>
      <c r="G82" s="76"/>
      <c r="H82" s="110"/>
    </row>
    <row r="83" spans="1:8">
      <c r="A83" s="116" t="s">
        <v>148</v>
      </c>
      <c r="B83" s="135" t="s">
        <v>59</v>
      </c>
      <c r="C83" s="76"/>
      <c r="D83" s="76"/>
      <c r="E83" s="76"/>
      <c r="F83" s="76"/>
      <c r="G83" s="76"/>
      <c r="H83" s="110"/>
    </row>
    <row r="84" spans="1:8">
      <c r="A84" s="116" t="s">
        <v>149</v>
      </c>
      <c r="B84" s="135" t="s">
        <v>59</v>
      </c>
      <c r="C84" s="76"/>
      <c r="D84" s="76"/>
      <c r="E84" s="76"/>
      <c r="F84" s="76"/>
      <c r="G84" s="76"/>
      <c r="H84" s="110"/>
    </row>
    <row r="85" spans="1:8">
      <c r="A85" s="134" t="s">
        <v>150</v>
      </c>
      <c r="B85" s="135" t="s">
        <v>59</v>
      </c>
      <c r="C85" s="135">
        <v>1.667</v>
      </c>
      <c r="D85" s="76" t="s">
        <v>44</v>
      </c>
      <c r="E85" s="76"/>
      <c r="F85" s="76"/>
      <c r="G85" s="76"/>
      <c r="H85" s="110"/>
    </row>
    <row r="86" spans="1:8" ht="43.5">
      <c r="A86" s="116" t="s">
        <v>151</v>
      </c>
      <c r="B86" s="135" t="s">
        <v>71</v>
      </c>
      <c r="C86" s="76"/>
      <c r="D86" s="76" t="s">
        <v>46</v>
      </c>
      <c r="E86" s="157" t="s">
        <v>74</v>
      </c>
      <c r="F86" s="157" t="s">
        <v>116</v>
      </c>
      <c r="G86" s="157"/>
      <c r="H86" s="158"/>
    </row>
    <row r="87" spans="1:8">
      <c r="A87" s="134" t="s">
        <v>152</v>
      </c>
      <c r="B87" s="135" t="s">
        <v>59</v>
      </c>
      <c r="C87" s="135">
        <v>1.5</v>
      </c>
      <c r="D87" s="76" t="s">
        <v>44</v>
      </c>
      <c r="E87" s="76"/>
      <c r="F87" s="76"/>
      <c r="G87" s="76"/>
      <c r="H87" s="110"/>
    </row>
    <row r="88" spans="1:8">
      <c r="A88" s="116" t="s">
        <v>153</v>
      </c>
      <c r="B88" s="135" t="s">
        <v>59</v>
      </c>
      <c r="C88" s="76"/>
      <c r="D88" s="76"/>
      <c r="E88" s="76"/>
      <c r="F88" s="76"/>
      <c r="G88" s="76"/>
      <c r="H88" s="76"/>
    </row>
    <row r="89" spans="1:8" ht="43.5">
      <c r="A89" s="116" t="s">
        <v>199</v>
      </c>
      <c r="B89" s="135" t="s">
        <v>71</v>
      </c>
      <c r="C89" s="76"/>
      <c r="D89" s="76" t="s">
        <v>46</v>
      </c>
      <c r="E89" s="157" t="s">
        <v>74</v>
      </c>
      <c r="F89" s="157" t="s">
        <v>72</v>
      </c>
      <c r="G89" s="157" t="s">
        <v>73</v>
      </c>
      <c r="H89" s="158"/>
    </row>
    <row r="90" spans="1:8" ht="43.5">
      <c r="A90" s="134" t="s">
        <v>154</v>
      </c>
      <c r="B90" s="135" t="s">
        <v>71</v>
      </c>
      <c r="C90" s="135"/>
      <c r="D90" s="76"/>
      <c r="E90" s="157" t="s">
        <v>74</v>
      </c>
      <c r="F90" s="157" t="s">
        <v>87</v>
      </c>
      <c r="G90" s="157"/>
      <c r="H90" s="158"/>
    </row>
    <row r="91" spans="1:8">
      <c r="A91" s="118" t="s">
        <v>214</v>
      </c>
      <c r="B91" s="135" t="s">
        <v>71</v>
      </c>
      <c r="C91" s="76"/>
      <c r="D91" s="76" t="s">
        <v>46</v>
      </c>
      <c r="E91" s="157" t="s">
        <v>157</v>
      </c>
      <c r="F91" s="157"/>
      <c r="G91" s="157"/>
      <c r="H91" s="158"/>
    </row>
    <row r="92" spans="1:8">
      <c r="A92" s="116" t="s">
        <v>155</v>
      </c>
      <c r="B92" s="135" t="s">
        <v>59</v>
      </c>
      <c r="C92" s="76"/>
      <c r="D92" s="76"/>
      <c r="E92" s="76"/>
      <c r="F92" s="76"/>
      <c r="G92" s="76"/>
      <c r="H92" s="110"/>
    </row>
    <row r="93" spans="1:8">
      <c r="A93" s="134" t="s">
        <v>156</v>
      </c>
      <c r="B93" s="135" t="s">
        <v>71</v>
      </c>
      <c r="C93" s="135">
        <v>1.5</v>
      </c>
      <c r="D93" s="76"/>
      <c r="E93" s="157" t="s">
        <v>918</v>
      </c>
      <c r="F93" s="157"/>
      <c r="G93" s="157"/>
      <c r="H93" s="158"/>
    </row>
    <row r="94" spans="1:8">
      <c r="A94" s="134" t="s">
        <v>158</v>
      </c>
      <c r="B94" s="135" t="s">
        <v>59</v>
      </c>
      <c r="C94" s="135">
        <v>1.833</v>
      </c>
      <c r="D94" s="76" t="s">
        <v>44</v>
      </c>
      <c r="E94" s="76"/>
      <c r="F94" s="76"/>
      <c r="G94" s="76"/>
      <c r="H94" s="110"/>
    </row>
    <row r="95" spans="1:8">
      <c r="A95" s="134" t="s">
        <v>159</v>
      </c>
      <c r="B95" s="135" t="s">
        <v>71</v>
      </c>
      <c r="C95" s="135">
        <v>2</v>
      </c>
      <c r="D95" s="76" t="s">
        <v>44</v>
      </c>
      <c r="E95" s="76" t="s">
        <v>920</v>
      </c>
      <c r="F95" s="76" t="s">
        <v>108</v>
      </c>
      <c r="G95" s="76"/>
      <c r="H95" s="110"/>
    </row>
    <row r="96" spans="1:8">
      <c r="A96" s="134" t="s">
        <v>160</v>
      </c>
      <c r="B96" s="135" t="s">
        <v>71</v>
      </c>
      <c r="C96" s="135">
        <v>2.1669999999999998</v>
      </c>
      <c r="D96" s="76" t="s">
        <v>44</v>
      </c>
      <c r="E96" s="76" t="s">
        <v>918</v>
      </c>
      <c r="F96" s="76" t="s">
        <v>74</v>
      </c>
      <c r="G96" s="76" t="s">
        <v>970</v>
      </c>
      <c r="H96" s="110" t="s">
        <v>88</v>
      </c>
    </row>
    <row r="97" spans="1:8">
      <c r="A97" s="134" t="s">
        <v>161</v>
      </c>
      <c r="B97" s="135" t="s">
        <v>71</v>
      </c>
      <c r="C97" s="135">
        <v>1.667</v>
      </c>
      <c r="D97" s="76"/>
      <c r="E97" s="157" t="s">
        <v>918</v>
      </c>
      <c r="F97" s="157"/>
      <c r="G97" s="157"/>
      <c r="H97" s="158"/>
    </row>
    <row r="98" spans="1:8">
      <c r="A98" s="134" t="s">
        <v>162</v>
      </c>
      <c r="B98" s="135" t="s">
        <v>71</v>
      </c>
      <c r="C98" s="135">
        <v>2.1669999999999998</v>
      </c>
      <c r="D98" s="76"/>
      <c r="E98" s="157" t="s">
        <v>918</v>
      </c>
      <c r="F98" s="157"/>
      <c r="G98" s="157"/>
      <c r="H98" s="158"/>
    </row>
    <row r="99" spans="1:8">
      <c r="A99" s="134" t="s">
        <v>163</v>
      </c>
      <c r="B99" s="135" t="s">
        <v>59</v>
      </c>
      <c r="C99" s="135">
        <v>1.5</v>
      </c>
      <c r="D99" s="76" t="s">
        <v>44</v>
      </c>
      <c r="E99" s="157"/>
      <c r="F99" s="76"/>
      <c r="G99" s="76"/>
      <c r="H99" s="110"/>
    </row>
    <row r="100" spans="1:8">
      <c r="A100" s="134" t="s">
        <v>164</v>
      </c>
      <c r="B100" s="135" t="s">
        <v>71</v>
      </c>
      <c r="C100" s="135">
        <v>2.1669999999999998</v>
      </c>
      <c r="D100" s="76"/>
      <c r="E100" s="157" t="s">
        <v>918</v>
      </c>
      <c r="F100" s="157"/>
      <c r="G100" s="157"/>
      <c r="H100" s="158"/>
    </row>
    <row r="101" spans="1:8">
      <c r="A101" s="116" t="s">
        <v>165</v>
      </c>
      <c r="B101" s="135" t="s">
        <v>59</v>
      </c>
      <c r="C101" s="76"/>
      <c r="D101" s="76"/>
      <c r="E101" s="157"/>
      <c r="F101" s="76"/>
      <c r="G101" s="76"/>
      <c r="H101" s="110"/>
    </row>
    <row r="102" spans="1:8">
      <c r="A102" s="116" t="s">
        <v>210</v>
      </c>
      <c r="B102" s="135" t="s">
        <v>59</v>
      </c>
      <c r="C102" s="76"/>
      <c r="D102" s="76" t="s">
        <v>209</v>
      </c>
      <c r="E102" s="76"/>
      <c r="F102" s="76"/>
      <c r="G102" s="76"/>
      <c r="H102" s="110"/>
    </row>
    <row r="103" spans="1:8">
      <c r="A103" s="134" t="s">
        <v>166</v>
      </c>
      <c r="B103" s="135" t="s">
        <v>71</v>
      </c>
      <c r="C103" s="135">
        <v>1.667</v>
      </c>
      <c r="D103" s="76" t="s">
        <v>44</v>
      </c>
      <c r="E103" s="157" t="s">
        <v>918</v>
      </c>
      <c r="F103" s="157"/>
      <c r="G103" s="157"/>
      <c r="H103" s="158"/>
    </row>
    <row r="104" spans="1:8">
      <c r="A104" s="134" t="s">
        <v>167</v>
      </c>
      <c r="B104" s="135" t="s">
        <v>59</v>
      </c>
      <c r="C104" s="135">
        <v>1.611</v>
      </c>
      <c r="D104" s="76" t="s">
        <v>44</v>
      </c>
      <c r="E104" s="76"/>
      <c r="F104" s="76"/>
      <c r="G104" s="76"/>
      <c r="H104" s="110"/>
    </row>
    <row r="105" spans="1:8">
      <c r="A105" s="116" t="s">
        <v>203</v>
      </c>
      <c r="B105" s="135" t="s">
        <v>71</v>
      </c>
      <c r="C105" s="76"/>
      <c r="D105" s="76" t="s">
        <v>46</v>
      </c>
      <c r="E105" s="157" t="s">
        <v>157</v>
      </c>
      <c r="F105" s="157"/>
      <c r="G105" s="157"/>
      <c r="H105" s="158"/>
    </row>
    <row r="106" spans="1:8" ht="43.5">
      <c r="A106" s="116" t="s">
        <v>198</v>
      </c>
      <c r="B106" s="135" t="s">
        <v>71</v>
      </c>
      <c r="C106" s="76"/>
      <c r="D106" s="76" t="s">
        <v>46</v>
      </c>
      <c r="E106" s="157" t="s">
        <v>74</v>
      </c>
      <c r="F106" s="157" t="s">
        <v>87</v>
      </c>
      <c r="G106" s="157" t="s">
        <v>202</v>
      </c>
      <c r="H106" s="158"/>
    </row>
    <row r="107" spans="1:8">
      <c r="A107" s="76" t="s">
        <v>216</v>
      </c>
      <c r="B107" s="135" t="s">
        <v>71</v>
      </c>
      <c r="C107" s="76"/>
      <c r="D107" s="76" t="s">
        <v>46</v>
      </c>
      <c r="E107" s="157" t="s">
        <v>157</v>
      </c>
      <c r="F107" s="157"/>
      <c r="G107" s="157"/>
      <c r="H107" s="158"/>
    </row>
    <row r="108" spans="1:8">
      <c r="A108" s="134" t="s">
        <v>168</v>
      </c>
      <c r="B108" s="135" t="s">
        <v>59</v>
      </c>
      <c r="C108" s="135">
        <v>1.667</v>
      </c>
      <c r="D108" s="76" t="s">
        <v>44</v>
      </c>
      <c r="E108" s="76"/>
      <c r="F108" s="76"/>
      <c r="G108" s="76"/>
      <c r="H108" s="110"/>
    </row>
    <row r="109" spans="1:8">
      <c r="A109" s="134" t="s">
        <v>169</v>
      </c>
      <c r="B109" s="135" t="s">
        <v>59</v>
      </c>
      <c r="C109" s="135">
        <v>1.5</v>
      </c>
      <c r="D109" s="76" t="s">
        <v>44</v>
      </c>
      <c r="E109" s="76"/>
      <c r="F109" s="76"/>
      <c r="G109" s="76"/>
      <c r="H109" s="110"/>
    </row>
    <row r="110" spans="1:8">
      <c r="A110" s="134" t="s">
        <v>170</v>
      </c>
      <c r="B110" s="135" t="s">
        <v>59</v>
      </c>
      <c r="C110" s="135"/>
      <c r="D110" s="76" t="s">
        <v>44</v>
      </c>
      <c r="E110" s="76"/>
      <c r="F110" s="76"/>
      <c r="G110" s="76"/>
      <c r="H110" s="110"/>
    </row>
    <row r="111" spans="1:8">
      <c r="A111" s="134" t="s">
        <v>171</v>
      </c>
      <c r="B111" s="135" t="s">
        <v>59</v>
      </c>
      <c r="C111" s="135">
        <v>1.667</v>
      </c>
      <c r="D111" s="76" t="s">
        <v>172</v>
      </c>
      <c r="E111" s="76"/>
      <c r="F111" s="76"/>
      <c r="G111" s="76"/>
      <c r="H111" s="110"/>
    </row>
    <row r="112" spans="1:8">
      <c r="A112" s="118" t="s">
        <v>218</v>
      </c>
      <c r="B112" s="135" t="s">
        <v>71</v>
      </c>
      <c r="C112" s="76"/>
      <c r="D112" s="76" t="s">
        <v>46</v>
      </c>
      <c r="E112" s="157" t="s">
        <v>157</v>
      </c>
      <c r="F112" s="157"/>
      <c r="G112" s="157"/>
      <c r="H112" s="158"/>
    </row>
    <row r="113" spans="1:8">
      <c r="A113" s="116" t="s">
        <v>173</v>
      </c>
      <c r="B113" s="135" t="s">
        <v>59</v>
      </c>
      <c r="C113" s="76"/>
      <c r="D113" s="76"/>
      <c r="E113" s="76"/>
      <c r="F113" s="76"/>
      <c r="G113" s="76"/>
      <c r="H113" s="110"/>
    </row>
    <row r="114" spans="1:8">
      <c r="A114" s="116" t="s">
        <v>174</v>
      </c>
      <c r="B114" s="135" t="s">
        <v>59</v>
      </c>
      <c r="C114" s="76"/>
      <c r="D114" s="76"/>
      <c r="E114" s="76"/>
      <c r="F114" s="76"/>
      <c r="G114" s="76"/>
      <c r="H114" s="110"/>
    </row>
    <row r="115" spans="1:8">
      <c r="A115" s="134" t="s">
        <v>175</v>
      </c>
      <c r="B115" s="135" t="s">
        <v>59</v>
      </c>
      <c r="C115" s="135">
        <v>2.1669999999999998</v>
      </c>
      <c r="D115" s="76" t="s">
        <v>44</v>
      </c>
      <c r="E115" s="76"/>
      <c r="F115" s="76"/>
      <c r="G115" s="76"/>
      <c r="H115" s="110"/>
    </row>
    <row r="116" spans="1:8">
      <c r="A116" s="116" t="s">
        <v>176</v>
      </c>
      <c r="B116" s="135" t="s">
        <v>59</v>
      </c>
      <c r="C116" s="76"/>
      <c r="D116" s="76"/>
      <c r="E116" s="76"/>
      <c r="F116" s="76"/>
      <c r="G116" s="76"/>
      <c r="H116" s="110"/>
    </row>
    <row r="117" spans="1:8">
      <c r="A117" s="116" t="s">
        <v>177</v>
      </c>
      <c r="B117" s="135" t="s">
        <v>59</v>
      </c>
      <c r="C117" s="76"/>
      <c r="D117" s="76"/>
      <c r="E117" s="76"/>
      <c r="F117" s="76"/>
      <c r="G117" s="76"/>
      <c r="H117" s="110"/>
    </row>
    <row r="118" spans="1:8">
      <c r="A118" s="116" t="s">
        <v>178</v>
      </c>
      <c r="B118" s="135" t="s">
        <v>59</v>
      </c>
      <c r="C118" s="76"/>
      <c r="D118" s="76"/>
      <c r="E118" s="76"/>
      <c r="F118" s="76"/>
      <c r="G118" s="76"/>
      <c r="H118" s="110"/>
    </row>
    <row r="119" spans="1:8">
      <c r="A119" s="134" t="s">
        <v>179</v>
      </c>
      <c r="B119" s="135" t="s">
        <v>71</v>
      </c>
      <c r="C119" s="135">
        <v>1.667</v>
      </c>
      <c r="D119" s="76" t="s">
        <v>44</v>
      </c>
      <c r="E119" s="76" t="s">
        <v>74</v>
      </c>
      <c r="F119" s="76" t="s">
        <v>970</v>
      </c>
      <c r="G119" s="76" t="s">
        <v>72</v>
      </c>
      <c r="H119" s="110"/>
    </row>
    <row r="120" spans="1:8">
      <c r="A120" s="134" t="s">
        <v>180</v>
      </c>
      <c r="B120" s="135" t="s">
        <v>71</v>
      </c>
      <c r="C120" s="135"/>
      <c r="D120" s="76" t="s">
        <v>44</v>
      </c>
      <c r="E120" s="76" t="s">
        <v>74</v>
      </c>
      <c r="F120" s="76" t="s">
        <v>72</v>
      </c>
      <c r="G120" s="76"/>
      <c r="H120" s="110"/>
    </row>
    <row r="121" spans="1:8">
      <c r="A121" s="116" t="s">
        <v>181</v>
      </c>
      <c r="B121" s="135" t="s">
        <v>71</v>
      </c>
      <c r="C121" s="76"/>
      <c r="D121" s="76" t="s">
        <v>46</v>
      </c>
      <c r="E121" s="157" t="s">
        <v>918</v>
      </c>
      <c r="F121" s="157"/>
      <c r="G121" s="157"/>
      <c r="H121" s="158"/>
    </row>
    <row r="122" spans="1:8">
      <c r="A122" s="134" t="s">
        <v>182</v>
      </c>
      <c r="B122" s="135" t="s">
        <v>71</v>
      </c>
      <c r="C122" s="135">
        <v>2.1669999999999998</v>
      </c>
      <c r="D122" s="76"/>
      <c r="E122" s="157" t="s">
        <v>918</v>
      </c>
      <c r="F122" s="157"/>
      <c r="G122" s="157"/>
      <c r="H122" s="158"/>
    </row>
    <row r="123" spans="1:8">
      <c r="A123" s="116" t="s">
        <v>183</v>
      </c>
      <c r="B123" s="135" t="s">
        <v>59</v>
      </c>
      <c r="C123" s="76"/>
      <c r="D123" s="76"/>
      <c r="E123" s="76"/>
      <c r="F123" s="76"/>
      <c r="G123" s="76"/>
      <c r="H123" s="110"/>
    </row>
    <row r="124" spans="1:8" ht="43.5">
      <c r="A124" s="134" t="s">
        <v>184</v>
      </c>
      <c r="B124" s="135" t="s">
        <v>71</v>
      </c>
      <c r="C124" s="135">
        <v>1.833</v>
      </c>
      <c r="D124" s="76"/>
      <c r="E124" s="157" t="s">
        <v>74</v>
      </c>
      <c r="F124" s="157" t="s">
        <v>116</v>
      </c>
      <c r="G124" s="157"/>
      <c r="H124" s="158"/>
    </row>
    <row r="125" spans="1:8">
      <c r="A125" s="134" t="s">
        <v>185</v>
      </c>
      <c r="B125" s="135" t="s">
        <v>59</v>
      </c>
      <c r="C125" s="135">
        <v>2.1669999999999998</v>
      </c>
      <c r="D125" s="76" t="s">
        <v>172</v>
      </c>
      <c r="E125" s="76"/>
      <c r="F125" s="76"/>
      <c r="G125" s="76"/>
      <c r="H125" s="110"/>
    </row>
    <row r="126" spans="1:8">
      <c r="A126" s="116" t="s">
        <v>186</v>
      </c>
      <c r="B126" s="135" t="s">
        <v>59</v>
      </c>
      <c r="C126" s="76"/>
      <c r="D126" s="76"/>
      <c r="E126" s="76"/>
      <c r="F126" s="76"/>
      <c r="G126" s="76"/>
      <c r="H126" s="110"/>
    </row>
    <row r="127" spans="1:8" ht="43.5">
      <c r="A127" s="116" t="s">
        <v>201</v>
      </c>
      <c r="B127" s="135" t="s">
        <v>71</v>
      </c>
      <c r="C127" s="76"/>
      <c r="D127" s="76" t="s">
        <v>46</v>
      </c>
      <c r="E127" s="157" t="s">
        <v>74</v>
      </c>
      <c r="F127" s="157" t="s">
        <v>202</v>
      </c>
      <c r="G127" s="157"/>
      <c r="H127" s="158"/>
    </row>
    <row r="128" spans="1:8">
      <c r="A128" s="116" t="s">
        <v>187</v>
      </c>
      <c r="B128" s="135" t="s">
        <v>59</v>
      </c>
      <c r="C128" s="76"/>
      <c r="D128" s="76"/>
      <c r="E128" s="76"/>
      <c r="F128" s="76"/>
      <c r="G128" s="76"/>
      <c r="H128" s="110"/>
    </row>
    <row r="129" spans="1:8">
      <c r="A129" s="134" t="s">
        <v>188</v>
      </c>
      <c r="B129" s="135" t="s">
        <v>59</v>
      </c>
      <c r="C129" s="135">
        <v>2.1669999999999998</v>
      </c>
      <c r="D129" s="76"/>
      <c r="E129" s="157"/>
      <c r="F129" s="157"/>
      <c r="G129" s="157"/>
      <c r="H129" s="158"/>
    </row>
    <row r="130" spans="1:8">
      <c r="A130" s="116" t="s">
        <v>189</v>
      </c>
      <c r="B130" s="135" t="s">
        <v>59</v>
      </c>
      <c r="C130" s="76"/>
      <c r="D130" s="76"/>
      <c r="E130" s="76"/>
      <c r="F130" s="76"/>
      <c r="G130" s="76"/>
      <c r="H130" s="110"/>
    </row>
    <row r="131" spans="1:8">
      <c r="A131" s="116" t="s">
        <v>190</v>
      </c>
      <c r="B131" s="135" t="s">
        <v>59</v>
      </c>
      <c r="C131" s="76"/>
      <c r="D131" s="76"/>
      <c r="E131" s="76"/>
      <c r="F131" s="76"/>
      <c r="G131" s="76"/>
      <c r="H131" s="110"/>
    </row>
    <row r="132" spans="1:8">
      <c r="A132" s="116" t="s">
        <v>191</v>
      </c>
      <c r="B132" s="135" t="s">
        <v>59</v>
      </c>
      <c r="C132" s="76"/>
      <c r="D132" s="76"/>
      <c r="E132" s="76"/>
      <c r="F132" s="76"/>
      <c r="G132" s="76"/>
      <c r="H132" s="110"/>
    </row>
    <row r="133" spans="1:8" ht="15" thickBot="1">
      <c r="A133" s="134" t="s">
        <v>192</v>
      </c>
      <c r="B133" s="135" t="s">
        <v>59</v>
      </c>
      <c r="C133" s="212">
        <v>2.1669999999999998</v>
      </c>
      <c r="D133" s="111" t="s">
        <v>44</v>
      </c>
      <c r="E133" s="111"/>
      <c r="F133" s="111"/>
      <c r="G133" s="111"/>
      <c r="H133" s="111"/>
    </row>
    <row r="134" spans="1:8" ht="15" thickBot="1">
      <c r="A134" t="s">
        <v>217</v>
      </c>
      <c r="B134" s="135" t="s">
        <v>71</v>
      </c>
      <c r="D134" s="76" t="s">
        <v>46</v>
      </c>
      <c r="E134" s="161" t="s">
        <v>157</v>
      </c>
      <c r="F134" s="161"/>
      <c r="G134" s="161"/>
      <c r="H134" s="161"/>
    </row>
    <row r="135" spans="1:8" ht="15" thickBot="1">
      <c r="A135" s="210" t="s">
        <v>193</v>
      </c>
      <c r="B135" s="135" t="s">
        <v>71</v>
      </c>
      <c r="C135" s="213">
        <v>2.278</v>
      </c>
      <c r="D135" s="76"/>
      <c r="E135" s="161" t="s">
        <v>73</v>
      </c>
      <c r="F135" s="161" t="s">
        <v>88</v>
      </c>
      <c r="G135" s="161" t="s">
        <v>194</v>
      </c>
      <c r="H135" s="161" t="s">
        <v>202</v>
      </c>
    </row>
    <row r="136" spans="1:8" ht="44" thickBot="1">
      <c r="A136" s="209" t="s">
        <v>204</v>
      </c>
      <c r="B136" s="135" t="s">
        <v>71</v>
      </c>
      <c r="C136" s="211"/>
      <c r="D136" s="76" t="s">
        <v>46</v>
      </c>
      <c r="E136" s="157" t="s">
        <v>74</v>
      </c>
      <c r="F136" s="161" t="s">
        <v>87</v>
      </c>
      <c r="G136" s="161" t="s">
        <v>72</v>
      </c>
      <c r="H136" s="161"/>
    </row>
    <row r="137" spans="1:8" ht="15" thickBot="1">
      <c r="A137" s="209" t="s">
        <v>195</v>
      </c>
      <c r="B137" s="135" t="s">
        <v>59</v>
      </c>
      <c r="C137" s="211"/>
      <c r="D137" s="76"/>
      <c r="E137" s="111"/>
      <c r="F137" s="111"/>
      <c r="G137" s="111"/>
      <c r="H137" s="111"/>
    </row>
    <row r="138" spans="1:8" ht="29.5" thickBot="1">
      <c r="A138" t="s">
        <v>212</v>
      </c>
      <c r="B138" s="135" t="s">
        <v>71</v>
      </c>
      <c r="D138" s="76" t="s">
        <v>46</v>
      </c>
      <c r="E138" s="161" t="s">
        <v>73</v>
      </c>
      <c r="F138" s="157" t="s">
        <v>213</v>
      </c>
      <c r="G138" s="161"/>
      <c r="H138" s="161"/>
    </row>
    <row r="139" spans="1:8" ht="15" thickBot="1">
      <c r="A139" s="209" t="s">
        <v>196</v>
      </c>
      <c r="B139" s="135" t="s">
        <v>59</v>
      </c>
      <c r="C139" s="211"/>
      <c r="D139" s="76"/>
      <c r="E139" s="111"/>
      <c r="F139" s="111"/>
      <c r="G139" s="111"/>
      <c r="H139" s="111"/>
    </row>
    <row r="140" spans="1:8" ht="15" thickBot="1">
      <c r="A140" s="209" t="s">
        <v>197</v>
      </c>
      <c r="B140" s="135" t="s">
        <v>59</v>
      </c>
      <c r="C140" s="211"/>
      <c r="D140" s="76"/>
      <c r="E140" s="111"/>
      <c r="F140" s="111"/>
      <c r="G140" s="111"/>
      <c r="H140" s="111"/>
    </row>
  </sheetData>
  <autoFilter ref="A1:J140" xr:uid="{00000000-0009-0000-0000-000002000000}"/>
  <sortState xmlns:xlrd2="http://schemas.microsoft.com/office/spreadsheetml/2017/richdata2" ref="A31:H140">
    <sortCondition ref="A31:A140"/>
  </sortState>
  <customSheetViews>
    <customSheetView guid="{454D45DF-2512-4984-A7CE-B1F6D305C20E}" topLeftCell="A111">
      <selection activeCell="A141" sqref="A141"/>
      <pageMargins left="0" right="0" top="0" bottom="0" header="0" footer="0"/>
      <pageSetup paperSize="9" orientation="portrait" horizontalDpi="200" verticalDpi="200" r:id="rId1"/>
    </customSheetView>
    <customSheetView guid="{D2A6C956-D027-4329-9FEA-635617D868B4}">
      <selection activeCell="B50" sqref="B50"/>
      <pageMargins left="0" right="0" top="0" bottom="0" header="0" footer="0"/>
      <pageSetup paperSize="9" orientation="portrait" horizontalDpi="200" verticalDpi="200" r:id="rId2"/>
    </customSheetView>
  </customSheetViews>
  <mergeCells count="1">
    <mergeCell ref="E5:H5"/>
  </mergeCells>
  <conditionalFormatting sqref="B1">
    <cfRule type="containsText" dxfId="59" priority="28" operator="containsText" text="Si">
      <formula>NOT(ISERROR(SEARCH("Si",B1)))</formula>
    </cfRule>
  </conditionalFormatting>
  <conditionalFormatting sqref="B3">
    <cfRule type="containsText" dxfId="58" priority="3" operator="containsText" text="Si">
      <formula>NOT(ISERROR(SEARCH("Si",B3)))</formula>
    </cfRule>
  </conditionalFormatting>
  <conditionalFormatting sqref="B7:B29">
    <cfRule type="containsText" dxfId="57" priority="100" operator="containsText" text="Si">
      <formula>NOT(ISERROR(SEARCH("Si",B7)))</formula>
    </cfRule>
  </conditionalFormatting>
  <conditionalFormatting sqref="B31:B140">
    <cfRule type="containsText" dxfId="56" priority="10" operator="containsText" text="Si">
      <formula>NOT(ISERROR(SEARCH("Si",B31)))</formula>
    </cfRule>
  </conditionalFormatting>
  <conditionalFormatting sqref="D1">
    <cfRule type="containsText" dxfId="55" priority="22" operator="containsText" text="Hàbitat no present al PNIN">
      <formula>NOT(ISERROR(SEARCH("Hàbitat no present al PNIN",D1)))</formula>
    </cfRule>
    <cfRule type="containsText" dxfId="54" priority="25" operator="containsText" text="No surt prioritzat amb els nostres criteris">
      <formula>NOT(ISERROR(SEARCH("No surt prioritzat amb els nostres criteris",D1)))</formula>
    </cfRule>
  </conditionalFormatting>
  <conditionalFormatting sqref="D2:D3">
    <cfRule type="containsText" dxfId="53" priority="6" operator="containsText" text="No surt prioritzat amb els nostres criteris">
      <formula>NOT(ISERROR(SEARCH("No surt prioritzat amb els nostres criteris",D2)))</formula>
    </cfRule>
  </conditionalFormatting>
  <conditionalFormatting sqref="D7:D14">
    <cfRule type="containsText" dxfId="52" priority="42" operator="containsText" text="Hàbitat no present al PNIN">
      <formula>NOT(ISERROR(SEARCH("Hàbitat no present al PNIN",D7)))</formula>
    </cfRule>
    <cfRule type="containsText" dxfId="51" priority="45" operator="containsText" text="No surt prioritzat amb els nostres criteris">
      <formula>NOT(ISERROR(SEARCH("No surt prioritzat amb els nostres criteris",D7)))</formula>
    </cfRule>
  </conditionalFormatting>
  <conditionalFormatting sqref="D16:D18">
    <cfRule type="containsText" dxfId="50" priority="61" operator="containsText" text="No surt prioritzat amb els nostres criteris">
      <formula>NOT(ISERROR(SEARCH("No surt prioritzat amb els nostres criteris",D16)))</formula>
    </cfRule>
  </conditionalFormatting>
  <conditionalFormatting sqref="D20:D29">
    <cfRule type="containsText" dxfId="49" priority="38" operator="containsText" text="Hàbitat no present al PNIN">
      <formula>NOT(ISERROR(SEARCH("Hàbitat no present al PNIN",D20)))</formula>
    </cfRule>
    <cfRule type="containsText" dxfId="48" priority="41" operator="containsText" text="No surt prioritzat amb els nostres criteris">
      <formula>NOT(ISERROR(SEARCH("No surt prioritzat amb els nostres criteris",D20)))</formula>
    </cfRule>
  </conditionalFormatting>
  <conditionalFormatting sqref="D33">
    <cfRule type="containsText" dxfId="47" priority="97" operator="containsText" text="No surt prioritzat amb els nostres criteris">
      <formula>NOT(ISERROR(SEARCH("No surt prioritzat amb els nostres criteris",D33)))</formula>
    </cfRule>
  </conditionalFormatting>
  <conditionalFormatting sqref="D37">
    <cfRule type="containsText" dxfId="46" priority="94" operator="containsText" text="No surt prioritzat amb els nostres criteris">
      <formula>NOT(ISERROR(SEARCH("No surt prioritzat amb els nostres criteris",D37)))</formula>
    </cfRule>
  </conditionalFormatting>
  <conditionalFormatting sqref="D40">
    <cfRule type="containsText" dxfId="45" priority="91" operator="containsText" text="No surt prioritzat amb els nostres criteris">
      <formula>NOT(ISERROR(SEARCH("No surt prioritzat amb els nostres criteris",D40)))</formula>
    </cfRule>
  </conditionalFormatting>
  <conditionalFormatting sqref="D44">
    <cfRule type="containsText" dxfId="44" priority="88" operator="containsText" text="No surt prioritzat amb els nostres criteris">
      <formula>NOT(ISERROR(SEARCH("No surt prioritzat amb els nostres criteris",D44)))</formula>
    </cfRule>
  </conditionalFormatting>
  <conditionalFormatting sqref="D46">
    <cfRule type="containsText" dxfId="43" priority="85" operator="containsText" text="No surt prioritzat amb els nostres criteris">
      <formula>NOT(ISERROR(SEARCH("No surt prioritzat amb els nostres criteris",D46)))</formula>
    </cfRule>
  </conditionalFormatting>
  <conditionalFormatting sqref="D66">
    <cfRule type="containsText" dxfId="42" priority="82" operator="containsText" text="No surt prioritzat amb els nostres criteris">
      <formula>NOT(ISERROR(SEARCH("No surt prioritzat amb els nostres criteris",D66)))</formula>
    </cfRule>
  </conditionalFormatting>
  <conditionalFormatting sqref="D69:D72">
    <cfRule type="containsText" dxfId="41" priority="79" operator="containsText" text="No surt prioritzat amb els nostres criteris">
      <formula>NOT(ISERROR(SEARCH("No surt prioritzat amb els nostres criteris",D69)))</formula>
    </cfRule>
  </conditionalFormatting>
  <conditionalFormatting sqref="D76:D132">
    <cfRule type="containsText" dxfId="40" priority="73" operator="containsText" text="No surt prioritzat amb els nostres criteris">
      <formula>NOT(ISERROR(SEARCH("No surt prioritzat amb els nostres criteris",D76)))</formula>
    </cfRule>
  </conditionalFormatting>
  <conditionalFormatting sqref="D134:D140">
    <cfRule type="containsText" dxfId="39" priority="9" operator="containsText" text="No surt prioritzat amb els nostres criteris">
      <formula>NOT(ISERROR(SEARCH("No surt prioritzat amb els nostres criteris",D134)))</formula>
    </cfRule>
  </conditionalFormatting>
  <hyperlinks>
    <hyperlink ref="J11" r:id="rId3" xr:uid="{00000000-0004-0000-0200-000000000000}"/>
  </hyperlinks>
  <pageMargins left="0.7" right="0.7" top="0.75" bottom="0.75" header="0.3" footer="0.3"/>
  <pageSetup paperSize="9" orientation="portrait" horizontalDpi="200" verticalDpi="200" r:id="rId4"/>
  <legacy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" operator="containsText" id="{4FF00BE2-C67E-4581-AC60-892365A39083}">
            <xm:f>NOT(ISERROR(SEARCH($B$132,B1)))</xm:f>
            <xm:f>$B$132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7" operator="containsText" id="{275E9DB9-877B-4A79-A8B1-C54F8F28D6F4}">
            <xm:f>NOT(ISERROR(SEARCH($B$31,B1)))</xm:f>
            <xm:f>$B$31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</xm:sqref>
        </x14:conditionalFormatting>
        <x14:conditionalFormatting xmlns:xm="http://schemas.microsoft.com/office/excel/2006/main">
          <x14:cfRule type="containsText" priority="1" operator="containsText" id="{C026B23B-1A72-4525-8D78-131BC0EDAC41}">
            <xm:f>NOT(ISERROR(SEARCH($B$132,B3)))</xm:f>
            <xm:f>$B$132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8CB57349-B409-43A3-A303-C031E8FD3718}">
            <xm:f>NOT(ISERROR(SEARCH($B$31,B3)))</xm:f>
            <xm:f>$B$31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</xm:sqref>
        </x14:conditionalFormatting>
        <x14:conditionalFormatting xmlns:xm="http://schemas.microsoft.com/office/excel/2006/main">
          <x14:cfRule type="containsText" priority="98" operator="containsText" id="{EEFA52E9-FE68-40EE-99D5-541FA4EC32AD}">
            <xm:f>NOT(ISERROR(SEARCH($B$132,B7)))</xm:f>
            <xm:f>$B$132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9" operator="containsText" id="{1E628AA5-0D10-480C-A3A5-9E5365BDAE8A}">
            <xm:f>NOT(ISERROR(SEARCH($B$31,B7)))</xm:f>
            <xm:f>$B$31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B7:B29</xm:sqref>
        </x14:conditionalFormatting>
        <x14:conditionalFormatting xmlns:xm="http://schemas.microsoft.com/office/excel/2006/main">
          <x14:cfRule type="containsText" priority="11" operator="containsText" id="{33AE4A2C-79C7-4175-96B9-F6FB79B6C184}">
            <xm:f>NOT(ISERROR(SEARCH($B$132,B31)))</xm:f>
            <xm:f>$B$132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2" operator="containsText" id="{7CF043DF-8BAC-44F3-86BB-A63773B52E34}">
            <xm:f>NOT(ISERROR(SEARCH($B$31,B31)))</xm:f>
            <xm:f>$B$31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B31:B140</xm:sqref>
        </x14:conditionalFormatting>
        <x14:conditionalFormatting xmlns:xm="http://schemas.microsoft.com/office/excel/2006/main">
          <x14:cfRule type="containsText" priority="24" operator="containsText" id="{E9012892-1A01-4F42-B050-3E49A30F0DF4}">
            <xm:f>NOT(ISERROR(SEARCH($D$37,D1)))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</xm:sqref>
        </x14:conditionalFormatting>
        <x14:conditionalFormatting xmlns:xm="http://schemas.microsoft.com/office/excel/2006/main">
          <x14:cfRule type="containsText" priority="4" operator="containsText" id="{F01F61B8-F106-4CF0-BF43-FEC8B7B6D3D4}">
            <xm:f>NOT(ISERROR(SEARCH($D$99,D1)))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D1:D3</xm:sqref>
        </x14:conditionalFormatting>
        <x14:conditionalFormatting xmlns:xm="http://schemas.microsoft.com/office/excel/2006/main">
          <x14:cfRule type="containsText" priority="5" operator="containsText" id="{0A03C972-B417-4694-B806-227EFA648246}">
            <xm:f>NOT(ISERROR(SEARCH($D$37,D2)))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D2:D3</xm:sqref>
        </x14:conditionalFormatting>
        <x14:conditionalFormatting xmlns:xm="http://schemas.microsoft.com/office/excel/2006/main">
          <x14:cfRule type="containsText" priority="43" operator="containsText" id="{9AA8B4D6-BA50-4E72-8F4F-554E33DDA8CA}">
            <xm:f>NOT(ISERROR(SEARCH($D$99,D7)))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4" operator="containsText" id="{1DAA0940-EA17-4DFB-91E9-6B7C849AC6B6}">
            <xm:f>NOT(ISERROR(SEARCH($D$37,D7)))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D7:D14</xm:sqref>
        </x14:conditionalFormatting>
        <x14:conditionalFormatting xmlns:xm="http://schemas.microsoft.com/office/excel/2006/main">
          <x14:cfRule type="containsText" priority="59" operator="containsText" id="{62CAAF7C-F158-424F-906A-5B601F3874D4}">
            <xm:f>NOT(ISERROR(SEARCH($D$99,D16)))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60" operator="containsText" id="{5DFE7B0C-E972-4323-8030-24814FCE9840}">
            <xm:f>NOT(ISERROR(SEARCH($D$37,D16)))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D16:D18</xm:sqref>
        </x14:conditionalFormatting>
        <x14:conditionalFormatting xmlns:xm="http://schemas.microsoft.com/office/excel/2006/main">
          <x14:cfRule type="containsText" priority="39" operator="containsText" id="{651429E8-BF8D-4C37-93FC-E5F36C6C9DA6}">
            <xm:f>NOT(ISERROR(SEARCH($D$99,D20)))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40" operator="containsText" id="{FE6F2CDD-C9AD-4E51-A4A5-35F393F2464F}">
            <xm:f>NOT(ISERROR(SEARCH($D$37,D20)))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D20:D29</xm:sqref>
        </x14:conditionalFormatting>
        <x14:conditionalFormatting xmlns:xm="http://schemas.microsoft.com/office/excel/2006/main">
          <x14:cfRule type="containsText" priority="95" operator="containsText" id="{C0ECE05C-F918-4A50-89F0-989EA10AEDCF}">
            <xm:f>NOT(ISERROR(SEARCH($D$99,D33)))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6" operator="containsText" id="{986C42BB-27A4-4FF5-BAF2-BC8F07F0D538}">
            <xm:f>NOT(ISERROR(SEARCH($D$37,D33)))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D33</xm:sqref>
        </x14:conditionalFormatting>
        <x14:conditionalFormatting xmlns:xm="http://schemas.microsoft.com/office/excel/2006/main">
          <x14:cfRule type="containsText" priority="92" operator="containsText" id="{9CC2D097-F410-494E-9ADC-957602F3F7C0}">
            <xm:f>NOT(ISERROR(SEARCH($D$99,D37)))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3" operator="containsText" id="{6B36D46D-1388-4981-8127-C5851F3C2CDA}">
            <xm:f>NOT(ISERROR(SEARCH($D$37,D37)))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D37</xm:sqref>
        </x14:conditionalFormatting>
        <x14:conditionalFormatting xmlns:xm="http://schemas.microsoft.com/office/excel/2006/main">
          <x14:cfRule type="containsText" priority="89" operator="containsText" id="{81575BC6-F4EA-49A1-BD64-C9503C7AB8DD}">
            <xm:f>NOT(ISERROR(SEARCH($D$99,D40)))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90" operator="containsText" id="{0415FB99-050F-4095-8F25-53880333D8B3}">
            <xm:f>NOT(ISERROR(SEARCH($D$37,D40)))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D40</xm:sqref>
        </x14:conditionalFormatting>
        <x14:conditionalFormatting xmlns:xm="http://schemas.microsoft.com/office/excel/2006/main">
          <x14:cfRule type="containsText" priority="86" operator="containsText" id="{0A28E16E-F786-4F0F-A5F6-2428A37F0A01}">
            <xm:f>NOT(ISERROR(SEARCH($D$99,D44)))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7" operator="containsText" id="{54924468-227F-4A0D-8A11-0B03787E8B60}">
            <xm:f>NOT(ISERROR(SEARCH($D$37,D44)))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D44</xm:sqref>
        </x14:conditionalFormatting>
        <x14:conditionalFormatting xmlns:xm="http://schemas.microsoft.com/office/excel/2006/main">
          <x14:cfRule type="containsText" priority="83" operator="containsText" id="{0AB2A18C-2FD9-42DA-BC0E-42CE7F385688}">
            <xm:f>NOT(ISERROR(SEARCH($D$99,D46)))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4" operator="containsText" id="{AFC8FDF4-4C6E-47DE-BD03-0CF0EFB39591}">
            <xm:f>NOT(ISERROR(SEARCH($D$37,D46)))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D46</xm:sqref>
        </x14:conditionalFormatting>
        <x14:conditionalFormatting xmlns:xm="http://schemas.microsoft.com/office/excel/2006/main">
          <x14:cfRule type="containsText" priority="80" operator="containsText" id="{C14AB87F-9BFF-4E91-B8FC-B075391E3F9A}">
            <xm:f>NOT(ISERROR(SEARCH($D$99,D66)))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1" operator="containsText" id="{1A780877-6687-4C5B-87F8-0D99BD5870AE}">
            <xm:f>NOT(ISERROR(SEARCH($D$37,D66)))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D66</xm:sqref>
        </x14:conditionalFormatting>
        <x14:conditionalFormatting xmlns:xm="http://schemas.microsoft.com/office/excel/2006/main">
          <x14:cfRule type="containsText" priority="77" operator="containsText" id="{8580AA93-7CA7-4B9C-B46D-C7B99B42C149}">
            <xm:f>NOT(ISERROR(SEARCH($D$99,D69)))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8" operator="containsText" id="{9BF56186-5DA4-4B93-8103-F112DADBCD24}">
            <xm:f>NOT(ISERROR(SEARCH($D$37,D69)))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D69:D72</xm:sqref>
        </x14:conditionalFormatting>
        <x14:conditionalFormatting xmlns:xm="http://schemas.microsoft.com/office/excel/2006/main">
          <x14:cfRule type="containsText" priority="71" operator="containsText" id="{F2CF1207-B4DF-44F0-9939-7AB6B468A0E8}">
            <xm:f>NOT(ISERROR(SEARCH($D$99,D76)))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72" operator="containsText" id="{ACB8E5F6-7A5B-4D6D-BABC-9067055CA4F7}">
            <xm:f>NOT(ISERROR(SEARCH($D$37,D76)))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D76:D132</xm:sqref>
        </x14:conditionalFormatting>
        <x14:conditionalFormatting xmlns:xm="http://schemas.microsoft.com/office/excel/2006/main">
          <x14:cfRule type="containsText" priority="7" operator="containsText" id="{DE447B65-4DC7-44FD-8A6C-76B04DC9AE56}">
            <xm:f>NOT(ISERROR(SEARCH($D$99,D134)))</xm:f>
            <xm:f>$D$99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8" operator="containsText" id="{BCC9EDB3-2083-44A6-AE88-9E30A549C551}">
            <xm:f>NOT(ISERROR(SEARCH($D$37,D134)))</xm:f>
            <xm:f>$D$37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D134:D140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Llistes!$D$2:$D$4</xm:f>
          </x14:formula1>
          <xm:sqref>B7:B29 B31:B140 B3:B4</xm:sqref>
        </x14:dataValidation>
        <x14:dataValidation type="list" allowBlank="1" showInputMessage="1" showErrorMessage="1" xr:uid="{00000000-0002-0000-0200-000001000000}">
          <x14:formula1>
            <xm:f>Llistes!$H$2:$H$43</xm:f>
          </x14:formula1>
          <xm:sqref>E7:G29 F130 E127:F127 E128:E140 F129:G129 H28 F134:H140 F88:H88 H12 F89:G126 F31:G87 E31:E126 H76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selection activeCell="E46" sqref="A3:E46"/>
    </sheetView>
  </sheetViews>
  <sheetFormatPr defaultColWidth="9.26953125" defaultRowHeight="14.5"/>
  <cols>
    <col min="1" max="1" width="25.54296875" bestFit="1" customWidth="1"/>
    <col min="2" max="2" width="25.453125" bestFit="1" customWidth="1"/>
    <col min="3" max="3" width="24.54296875" bestFit="1" customWidth="1"/>
    <col min="4" max="4" width="19.7265625" bestFit="1" customWidth="1"/>
    <col min="5" max="5" width="12" bestFit="1" customWidth="1"/>
  </cols>
  <sheetData>
    <row r="1" spans="1:5">
      <c r="A1" s="117"/>
    </row>
    <row r="2" spans="1:5">
      <c r="A2" s="141"/>
    </row>
    <row r="3" spans="1:5" s="162" customFormat="1">
      <c r="A3" s="170" t="s">
        <v>50</v>
      </c>
      <c r="B3" s="171" t="s">
        <v>1410</v>
      </c>
      <c r="C3" s="171" t="s">
        <v>1411</v>
      </c>
      <c r="D3" s="171" t="s">
        <v>1412</v>
      </c>
      <c r="E3" s="171" t="s">
        <v>57</v>
      </c>
    </row>
    <row r="4" spans="1:5" ht="48">
      <c r="A4" s="172" t="s">
        <v>70</v>
      </c>
      <c r="B4" s="173" t="s">
        <v>72</v>
      </c>
      <c r="C4" s="173" t="s">
        <v>73</v>
      </c>
      <c r="D4" s="173" t="s">
        <v>74</v>
      </c>
      <c r="E4" s="173"/>
    </row>
    <row r="5" spans="1:5" ht="36">
      <c r="A5" s="172" t="s">
        <v>86</v>
      </c>
      <c r="B5" s="173" t="s">
        <v>74</v>
      </c>
      <c r="C5" s="173" t="s">
        <v>87</v>
      </c>
      <c r="D5" s="173" t="s">
        <v>88</v>
      </c>
      <c r="E5" s="173"/>
    </row>
    <row r="6" spans="1:5" ht="36">
      <c r="A6" s="172" t="s">
        <v>92</v>
      </c>
      <c r="B6" s="173" t="s">
        <v>74</v>
      </c>
      <c r="C6" s="173" t="s">
        <v>72</v>
      </c>
      <c r="D6" s="173" t="s">
        <v>88</v>
      </c>
      <c r="E6" s="173" t="s">
        <v>93</v>
      </c>
    </row>
    <row r="7" spans="1:5" ht="36">
      <c r="A7" s="172" t="s">
        <v>95</v>
      </c>
      <c r="B7" s="173" t="s">
        <v>74</v>
      </c>
      <c r="C7" s="173" t="s">
        <v>970</v>
      </c>
      <c r="D7" s="173" t="s">
        <v>929</v>
      </c>
      <c r="E7" s="173" t="s">
        <v>88</v>
      </c>
    </row>
    <row r="8" spans="1:5">
      <c r="A8" s="174" t="s">
        <v>97</v>
      </c>
      <c r="B8" s="175" t="s">
        <v>1413</v>
      </c>
      <c r="C8" s="175" t="s">
        <v>1414</v>
      </c>
      <c r="D8" s="175" t="s">
        <v>1412</v>
      </c>
      <c r="E8" s="175" t="s">
        <v>57</v>
      </c>
    </row>
    <row r="9" spans="1:5" ht="24.65" customHeight="1">
      <c r="A9" s="176" t="s">
        <v>104</v>
      </c>
      <c r="B9" s="173" t="s">
        <v>105</v>
      </c>
      <c r="C9" s="173" t="s">
        <v>918</v>
      </c>
      <c r="D9" s="173"/>
      <c r="E9" s="173"/>
    </row>
    <row r="10" spans="1:5" ht="25" customHeight="1">
      <c r="A10" s="176" t="s">
        <v>106</v>
      </c>
      <c r="B10" s="173" t="s">
        <v>105</v>
      </c>
      <c r="C10" s="173" t="s">
        <v>918</v>
      </c>
      <c r="D10" s="173"/>
      <c r="E10" s="173"/>
    </row>
    <row r="11" spans="1:5" ht="36">
      <c r="A11" s="176" t="s">
        <v>107</v>
      </c>
      <c r="B11" s="173" t="s">
        <v>74</v>
      </c>
      <c r="C11" s="173" t="s">
        <v>87</v>
      </c>
      <c r="D11" s="173" t="s">
        <v>108</v>
      </c>
      <c r="E11" s="173"/>
    </row>
    <row r="12" spans="1:5">
      <c r="A12" s="176" t="s">
        <v>109</v>
      </c>
      <c r="B12" s="173" t="s">
        <v>918</v>
      </c>
      <c r="C12" s="173"/>
      <c r="D12" s="173"/>
      <c r="E12" s="173"/>
    </row>
    <row r="13" spans="1:5" ht="36">
      <c r="A13" s="176" t="s">
        <v>110</v>
      </c>
      <c r="B13" s="173" t="s">
        <v>74</v>
      </c>
      <c r="C13" s="173" t="s">
        <v>87</v>
      </c>
      <c r="D13" s="173"/>
      <c r="E13" s="173"/>
    </row>
    <row r="14" spans="1:5">
      <c r="A14" s="176" t="s">
        <v>205</v>
      </c>
      <c r="B14" s="173" t="s">
        <v>72</v>
      </c>
      <c r="C14" s="173" t="s">
        <v>194</v>
      </c>
      <c r="D14" s="173"/>
      <c r="E14" s="173"/>
    </row>
    <row r="15" spans="1:5" ht="36">
      <c r="A15" s="176" t="s">
        <v>115</v>
      </c>
      <c r="B15" s="173" t="s">
        <v>74</v>
      </c>
      <c r="C15" s="173" t="s">
        <v>116</v>
      </c>
      <c r="D15" s="173"/>
      <c r="E15" s="173"/>
    </row>
    <row r="16" spans="1:5">
      <c r="A16" s="176" t="s">
        <v>118</v>
      </c>
      <c r="B16" s="173" t="s">
        <v>87</v>
      </c>
      <c r="C16" s="173"/>
      <c r="D16" s="173"/>
      <c r="E16" s="173"/>
    </row>
    <row r="17" spans="1:5">
      <c r="A17" s="176" t="s">
        <v>206</v>
      </c>
      <c r="B17" s="173" t="s">
        <v>207</v>
      </c>
      <c r="C17" s="173"/>
      <c r="D17" s="173"/>
      <c r="E17" s="173"/>
    </row>
    <row r="18" spans="1:5">
      <c r="A18" s="176" t="s">
        <v>1415</v>
      </c>
      <c r="B18" s="173" t="s">
        <v>929</v>
      </c>
      <c r="C18" s="173" t="s">
        <v>116</v>
      </c>
      <c r="D18" s="173"/>
      <c r="E18" s="173"/>
    </row>
    <row r="19" spans="1:5">
      <c r="A19" s="177" t="s">
        <v>215</v>
      </c>
      <c r="B19" s="173" t="s">
        <v>116</v>
      </c>
      <c r="C19" s="173"/>
      <c r="D19" s="173"/>
      <c r="E19" s="173"/>
    </row>
    <row r="20" spans="1:5" ht="36">
      <c r="A20" s="176" t="s">
        <v>200</v>
      </c>
      <c r="B20" s="173" t="s">
        <v>74</v>
      </c>
      <c r="C20" s="173" t="s">
        <v>72</v>
      </c>
      <c r="D20" s="173" t="s">
        <v>73</v>
      </c>
      <c r="E20" s="173" t="s">
        <v>87</v>
      </c>
    </row>
    <row r="21" spans="1:5">
      <c r="A21" s="176" t="s">
        <v>144</v>
      </c>
      <c r="B21" s="173" t="s">
        <v>157</v>
      </c>
      <c r="C21" s="173"/>
      <c r="D21" s="173"/>
      <c r="E21" s="173"/>
    </row>
    <row r="22" spans="1:5" ht="36">
      <c r="A22" s="176" t="s">
        <v>151</v>
      </c>
      <c r="B22" s="173" t="s">
        <v>74</v>
      </c>
      <c r="C22" s="173" t="s">
        <v>116</v>
      </c>
      <c r="D22" s="173"/>
      <c r="E22" s="173"/>
    </row>
    <row r="23" spans="1:5" ht="36">
      <c r="A23" s="176" t="s">
        <v>199</v>
      </c>
      <c r="B23" s="173" t="s">
        <v>74</v>
      </c>
      <c r="C23" s="173" t="s">
        <v>72</v>
      </c>
      <c r="D23" s="173" t="s">
        <v>73</v>
      </c>
      <c r="E23" s="173"/>
    </row>
    <row r="24" spans="1:5" ht="36">
      <c r="A24" s="176" t="s">
        <v>154</v>
      </c>
      <c r="B24" s="173" t="s">
        <v>74</v>
      </c>
      <c r="C24" s="173" t="s">
        <v>87</v>
      </c>
      <c r="D24" s="173"/>
      <c r="E24" s="173"/>
    </row>
    <row r="25" spans="1:5">
      <c r="A25" s="178" t="s">
        <v>214</v>
      </c>
      <c r="B25" s="173" t="s">
        <v>157</v>
      </c>
      <c r="C25" s="173"/>
      <c r="D25" s="173"/>
      <c r="E25" s="173"/>
    </row>
    <row r="26" spans="1:5">
      <c r="A26" s="176" t="s">
        <v>156</v>
      </c>
      <c r="B26" s="173" t="s">
        <v>918</v>
      </c>
      <c r="C26" s="173"/>
      <c r="D26" s="173"/>
      <c r="E26" s="173"/>
    </row>
    <row r="27" spans="1:5">
      <c r="A27" s="176" t="s">
        <v>159</v>
      </c>
      <c r="B27" s="173" t="s">
        <v>920</v>
      </c>
      <c r="C27" s="173" t="s">
        <v>108</v>
      </c>
      <c r="D27" s="173"/>
      <c r="E27" s="173"/>
    </row>
    <row r="28" spans="1:5" ht="36">
      <c r="A28" s="176" t="s">
        <v>160</v>
      </c>
      <c r="B28" s="173" t="s">
        <v>918</v>
      </c>
      <c r="C28" s="173" t="s">
        <v>74</v>
      </c>
      <c r="D28" s="173" t="s">
        <v>970</v>
      </c>
      <c r="E28" s="173" t="s">
        <v>88</v>
      </c>
    </row>
    <row r="29" spans="1:5">
      <c r="A29" s="176" t="s">
        <v>161</v>
      </c>
      <c r="B29" s="173" t="s">
        <v>918</v>
      </c>
      <c r="C29" s="173"/>
      <c r="D29" s="173"/>
      <c r="E29" s="173"/>
    </row>
    <row r="30" spans="1:5">
      <c r="A30" s="176" t="s">
        <v>162</v>
      </c>
      <c r="B30" s="173" t="s">
        <v>918</v>
      </c>
      <c r="C30" s="173"/>
      <c r="D30" s="173"/>
      <c r="E30" s="173"/>
    </row>
    <row r="31" spans="1:5">
      <c r="A31" s="176" t="s">
        <v>164</v>
      </c>
      <c r="B31" s="173" t="s">
        <v>918</v>
      </c>
      <c r="C31" s="173"/>
      <c r="D31" s="173"/>
      <c r="E31" s="173"/>
    </row>
    <row r="32" spans="1:5">
      <c r="A32" s="176" t="s">
        <v>166</v>
      </c>
      <c r="B32" s="173" t="s">
        <v>918</v>
      </c>
      <c r="C32" s="173"/>
      <c r="D32" s="173"/>
      <c r="E32" s="173"/>
    </row>
    <row r="33" spans="1:5">
      <c r="A33" s="176" t="s">
        <v>203</v>
      </c>
      <c r="B33" s="173" t="s">
        <v>157</v>
      </c>
      <c r="C33" s="173"/>
      <c r="D33" s="173"/>
      <c r="E33" s="173"/>
    </row>
    <row r="34" spans="1:5" ht="36">
      <c r="A34" s="176" t="s">
        <v>198</v>
      </c>
      <c r="B34" s="173" t="s">
        <v>74</v>
      </c>
      <c r="C34" s="173" t="s">
        <v>87</v>
      </c>
      <c r="D34" s="173" t="s">
        <v>202</v>
      </c>
      <c r="E34" s="173"/>
    </row>
    <row r="35" spans="1:5">
      <c r="A35" s="177" t="s">
        <v>216</v>
      </c>
      <c r="B35" s="173" t="s">
        <v>157</v>
      </c>
      <c r="C35" s="173"/>
      <c r="D35" s="173"/>
      <c r="E35" s="173"/>
    </row>
    <row r="36" spans="1:5">
      <c r="A36" s="178" t="s">
        <v>218</v>
      </c>
      <c r="B36" s="173" t="s">
        <v>157</v>
      </c>
      <c r="C36" s="173"/>
      <c r="D36" s="173"/>
      <c r="E36" s="173"/>
    </row>
    <row r="37" spans="1:5" ht="36">
      <c r="A37" s="178" t="s">
        <v>179</v>
      </c>
      <c r="B37" s="173" t="s">
        <v>74</v>
      </c>
      <c r="C37" s="173" t="s">
        <v>970</v>
      </c>
      <c r="D37" s="173" t="s">
        <v>72</v>
      </c>
    </row>
    <row r="38" spans="1:5" ht="36">
      <c r="A38" s="178" t="s">
        <v>180</v>
      </c>
      <c r="B38" s="173" t="s">
        <v>74</v>
      </c>
      <c r="C38" s="173" t="s">
        <v>72</v>
      </c>
      <c r="D38" s="173"/>
    </row>
    <row r="39" spans="1:5">
      <c r="A39" s="176" t="s">
        <v>181</v>
      </c>
      <c r="B39" s="173" t="s">
        <v>918</v>
      </c>
      <c r="C39" s="173"/>
      <c r="D39" s="173"/>
      <c r="E39" s="173"/>
    </row>
    <row r="40" spans="1:5">
      <c r="A40" s="176" t="s">
        <v>182</v>
      </c>
      <c r="B40" s="173" t="s">
        <v>918</v>
      </c>
      <c r="C40" s="173"/>
      <c r="D40" s="173"/>
      <c r="E40" s="173"/>
    </row>
    <row r="41" spans="1:5" ht="36">
      <c r="A41" s="176" t="s">
        <v>184</v>
      </c>
      <c r="B41" s="173" t="s">
        <v>74</v>
      </c>
      <c r="C41" s="173" t="s">
        <v>116</v>
      </c>
      <c r="D41" s="173"/>
      <c r="E41" s="173"/>
    </row>
    <row r="42" spans="1:5" ht="36">
      <c r="A42" s="176" t="s">
        <v>201</v>
      </c>
      <c r="B42" s="173" t="s">
        <v>74</v>
      </c>
      <c r="C42" s="173" t="s">
        <v>202</v>
      </c>
      <c r="D42" s="173"/>
      <c r="E42" s="173"/>
    </row>
    <row r="43" spans="1:5" ht="24.65" customHeight="1">
      <c r="A43" s="177" t="s">
        <v>217</v>
      </c>
      <c r="B43" s="173" t="s">
        <v>157</v>
      </c>
      <c r="C43" s="173"/>
      <c r="D43" s="173"/>
      <c r="E43" s="173"/>
    </row>
    <row r="44" spans="1:5">
      <c r="A44" s="176" t="s">
        <v>193</v>
      </c>
      <c r="B44" s="173" t="s">
        <v>73</v>
      </c>
      <c r="C44" s="173" t="s">
        <v>88</v>
      </c>
      <c r="D44" s="173" t="s">
        <v>194</v>
      </c>
      <c r="E44" s="173" t="s">
        <v>202</v>
      </c>
    </row>
    <row r="45" spans="1:5" ht="36">
      <c r="A45" s="176" t="s">
        <v>204</v>
      </c>
      <c r="B45" s="173" t="s">
        <v>74</v>
      </c>
      <c r="C45" s="173" t="s">
        <v>87</v>
      </c>
      <c r="D45" s="173" t="s">
        <v>72</v>
      </c>
      <c r="E45" s="173"/>
    </row>
    <row r="46" spans="1:5" ht="24">
      <c r="A46" s="177" t="s">
        <v>212</v>
      </c>
      <c r="B46" s="173" t="s">
        <v>73</v>
      </c>
      <c r="C46" s="173" t="s">
        <v>213</v>
      </c>
      <c r="D46" s="173"/>
      <c r="E46" s="173"/>
    </row>
    <row r="47" spans="1:5">
      <c r="C47" s="169"/>
      <c r="D47" s="169"/>
      <c r="E47" s="169"/>
    </row>
    <row r="48" spans="1:5">
      <c r="C48" s="169"/>
      <c r="D48" s="169"/>
      <c r="E48" s="169"/>
    </row>
    <row r="49" spans="3:5">
      <c r="C49" s="169"/>
      <c r="D49" s="169"/>
      <c r="E49" s="16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Llistes!$H$2:$H$43</xm:f>
          </x14:formula1>
          <xm:sqref>C44:E49 E7 B4:D7 C29:D36 C28:E28 C38 B9:D27 B28:B36 E20 D37:D38 B37:C37 C39:D43 B38:B46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35"/>
  <sheetViews>
    <sheetView zoomScale="80" zoomScaleNormal="80" workbookViewId="0">
      <selection activeCell="P6" sqref="P6"/>
    </sheetView>
  </sheetViews>
  <sheetFormatPr defaultColWidth="9.26953125" defaultRowHeight="14.5"/>
  <cols>
    <col min="1" max="1" width="15" bestFit="1" customWidth="1"/>
    <col min="2" max="2" width="32.1796875" bestFit="1" customWidth="1"/>
    <col min="3" max="3" width="10.453125" bestFit="1" customWidth="1"/>
    <col min="5" max="5" width="10.54296875" bestFit="1" customWidth="1"/>
    <col min="9" max="9" width="19.7265625" bestFit="1" customWidth="1"/>
  </cols>
  <sheetData>
    <row r="2" spans="1:10">
      <c r="A2" s="119" t="s">
        <v>219</v>
      </c>
      <c r="B2" s="119" t="s">
        <v>220</v>
      </c>
      <c r="C2" s="120" t="s">
        <v>221</v>
      </c>
      <c r="D2" s="120" t="s">
        <v>222</v>
      </c>
      <c r="E2" s="120" t="s">
        <v>223</v>
      </c>
    </row>
    <row r="3" spans="1:10">
      <c r="A3" s="121" t="s">
        <v>226</v>
      </c>
      <c r="B3" s="133" t="s">
        <v>101</v>
      </c>
      <c r="C3" s="123">
        <v>10</v>
      </c>
      <c r="D3" s="129">
        <v>2</v>
      </c>
      <c r="E3" s="126">
        <v>8</v>
      </c>
      <c r="I3" s="149" t="s">
        <v>995</v>
      </c>
    </row>
    <row r="4" spans="1:10">
      <c r="A4" s="121" t="s">
        <v>224</v>
      </c>
      <c r="B4" s="133" t="s">
        <v>104</v>
      </c>
      <c r="C4" s="123">
        <v>8</v>
      </c>
      <c r="D4" s="129">
        <v>1</v>
      </c>
      <c r="E4" s="123">
        <v>7</v>
      </c>
      <c r="I4" t="s">
        <v>225</v>
      </c>
      <c r="J4">
        <f>COUNTIF($A$3:$A$35,I4)</f>
        <v>5</v>
      </c>
    </row>
    <row r="5" spans="1:10">
      <c r="A5" s="121" t="s">
        <v>224</v>
      </c>
      <c r="B5" s="133" t="s">
        <v>106</v>
      </c>
      <c r="C5" s="123">
        <v>13</v>
      </c>
      <c r="D5" s="129">
        <v>6</v>
      </c>
      <c r="E5" s="123">
        <v>7</v>
      </c>
      <c r="F5" t="s">
        <v>996</v>
      </c>
      <c r="I5" t="s">
        <v>231</v>
      </c>
      <c r="J5">
        <f>COUNTIF($A$3:$A$35,I5)</f>
        <v>1</v>
      </c>
    </row>
    <row r="6" spans="1:10">
      <c r="A6" s="121" t="s">
        <v>225</v>
      </c>
      <c r="B6" s="124" t="s">
        <v>107</v>
      </c>
      <c r="C6" s="123">
        <v>7</v>
      </c>
      <c r="D6" s="129">
        <v>5</v>
      </c>
      <c r="E6" s="123">
        <v>2</v>
      </c>
      <c r="F6" t="s">
        <v>996</v>
      </c>
      <c r="I6" t="s">
        <v>226</v>
      </c>
      <c r="J6">
        <f t="shared" ref="J6:J11" si="0">COUNTIF($A$3:$A$35,I6)</f>
        <v>3</v>
      </c>
    </row>
    <row r="7" spans="1:10">
      <c r="A7" s="121" t="s">
        <v>230</v>
      </c>
      <c r="B7" s="133" t="s">
        <v>109</v>
      </c>
      <c r="C7" s="123">
        <v>10</v>
      </c>
      <c r="D7" s="129">
        <v>2</v>
      </c>
      <c r="E7" s="125">
        <v>8</v>
      </c>
      <c r="F7" t="s">
        <v>997</v>
      </c>
      <c r="I7" t="s">
        <v>227</v>
      </c>
      <c r="J7">
        <f t="shared" si="0"/>
        <v>3</v>
      </c>
    </row>
    <row r="8" spans="1:10">
      <c r="A8" s="121" t="s">
        <v>231</v>
      </c>
      <c r="B8" s="124" t="s">
        <v>110</v>
      </c>
      <c r="C8" s="123">
        <v>6</v>
      </c>
      <c r="D8" s="129">
        <v>0</v>
      </c>
      <c r="E8" s="125">
        <v>6</v>
      </c>
      <c r="I8" t="s">
        <v>230</v>
      </c>
      <c r="J8">
        <f t="shared" si="0"/>
        <v>12</v>
      </c>
    </row>
    <row r="9" spans="1:10">
      <c r="A9" s="121" t="s">
        <v>230</v>
      </c>
      <c r="B9" s="124" t="s">
        <v>205</v>
      </c>
      <c r="C9" s="123">
        <v>11</v>
      </c>
      <c r="D9" s="123">
        <v>4</v>
      </c>
      <c r="E9" s="123">
        <v>7</v>
      </c>
      <c r="I9" s="121" t="s">
        <v>228</v>
      </c>
      <c r="J9">
        <f t="shared" si="0"/>
        <v>4</v>
      </c>
    </row>
    <row r="10" spans="1:10">
      <c r="A10" s="121" t="s">
        <v>225</v>
      </c>
      <c r="B10" s="124" t="s">
        <v>115</v>
      </c>
      <c r="C10" s="123">
        <v>11</v>
      </c>
      <c r="D10" s="123">
        <v>2</v>
      </c>
      <c r="E10" s="126">
        <v>9</v>
      </c>
      <c r="F10" t="s">
        <v>997</v>
      </c>
      <c r="I10" t="s">
        <v>224</v>
      </c>
      <c r="J10">
        <f t="shared" si="0"/>
        <v>2</v>
      </c>
    </row>
    <row r="11" spans="1:10">
      <c r="A11" s="121" t="s">
        <v>230</v>
      </c>
      <c r="B11" s="124" t="s">
        <v>206</v>
      </c>
      <c r="C11" s="123">
        <v>10</v>
      </c>
      <c r="D11" s="123">
        <v>4</v>
      </c>
      <c r="E11" s="123">
        <v>6</v>
      </c>
      <c r="I11" s="121" t="s">
        <v>229</v>
      </c>
      <c r="J11">
        <f t="shared" si="0"/>
        <v>3</v>
      </c>
    </row>
    <row r="12" spans="1:10">
      <c r="A12" s="121" t="s">
        <v>230</v>
      </c>
      <c r="B12" s="124" t="s">
        <v>208</v>
      </c>
      <c r="C12" s="123">
        <v>5</v>
      </c>
      <c r="D12" s="123">
        <v>3</v>
      </c>
      <c r="E12" s="123">
        <v>2</v>
      </c>
      <c r="J12">
        <f>SUM(J4:J11)</f>
        <v>33</v>
      </c>
    </row>
    <row r="13" spans="1:10">
      <c r="A13" s="150" t="s">
        <v>226</v>
      </c>
      <c r="B13" s="130" t="s">
        <v>232</v>
      </c>
      <c r="C13" s="123">
        <v>11</v>
      </c>
      <c r="D13" s="123">
        <v>2</v>
      </c>
      <c r="E13" s="127">
        <v>9</v>
      </c>
    </row>
    <row r="14" spans="1:10">
      <c r="A14" s="150" t="s">
        <v>229</v>
      </c>
      <c r="B14" s="151" t="s">
        <v>200</v>
      </c>
      <c r="C14" s="123">
        <v>8</v>
      </c>
      <c r="D14" s="123">
        <v>1</v>
      </c>
      <c r="E14" s="127">
        <v>7</v>
      </c>
      <c r="F14" t="s">
        <v>997</v>
      </c>
    </row>
    <row r="15" spans="1:10">
      <c r="A15" s="150" t="s">
        <v>227</v>
      </c>
      <c r="B15" s="130" t="s">
        <v>233</v>
      </c>
      <c r="C15" s="123">
        <v>10</v>
      </c>
      <c r="D15" s="123">
        <v>0</v>
      </c>
      <c r="E15" s="126">
        <v>10</v>
      </c>
    </row>
    <row r="16" spans="1:10">
      <c r="A16" s="150" t="s">
        <v>228</v>
      </c>
      <c r="B16" s="128" t="s">
        <v>234</v>
      </c>
      <c r="C16" s="123">
        <v>7</v>
      </c>
      <c r="D16" s="123">
        <v>1</v>
      </c>
      <c r="E16" s="125">
        <v>6</v>
      </c>
      <c r="F16" t="s">
        <v>997</v>
      </c>
    </row>
    <row r="17" spans="1:10">
      <c r="A17" s="150" t="s">
        <v>225</v>
      </c>
      <c r="B17" s="122" t="s">
        <v>151</v>
      </c>
      <c r="C17" s="123">
        <v>10</v>
      </c>
      <c r="D17" s="123">
        <v>2</v>
      </c>
      <c r="E17" s="125">
        <v>8</v>
      </c>
      <c r="F17" t="s">
        <v>997</v>
      </c>
    </row>
    <row r="18" spans="1:10">
      <c r="A18" s="150" t="s">
        <v>229</v>
      </c>
      <c r="B18" s="152" t="s">
        <v>199</v>
      </c>
      <c r="C18" s="123">
        <v>8</v>
      </c>
      <c r="D18" s="123">
        <v>2</v>
      </c>
      <c r="E18" s="126">
        <v>6</v>
      </c>
      <c r="F18" t="s">
        <v>996</v>
      </c>
    </row>
    <row r="19" spans="1:10">
      <c r="A19" s="150" t="s">
        <v>227</v>
      </c>
      <c r="B19" s="130" t="s">
        <v>154</v>
      </c>
      <c r="C19" s="123">
        <v>11</v>
      </c>
      <c r="D19" s="123">
        <v>0</v>
      </c>
      <c r="E19" s="126">
        <v>11</v>
      </c>
    </row>
    <row r="20" spans="1:10">
      <c r="A20" s="150" t="s">
        <v>230</v>
      </c>
      <c r="B20" s="130" t="s">
        <v>156</v>
      </c>
      <c r="C20" s="123">
        <v>12</v>
      </c>
      <c r="D20" s="123">
        <v>4</v>
      </c>
      <c r="E20" s="125">
        <v>8</v>
      </c>
      <c r="F20" t="s">
        <v>997</v>
      </c>
    </row>
    <row r="21" spans="1:10">
      <c r="A21" s="150" t="s">
        <v>230</v>
      </c>
      <c r="B21" s="122" t="s">
        <v>159</v>
      </c>
      <c r="C21" s="123">
        <v>9</v>
      </c>
      <c r="D21" s="123">
        <v>4</v>
      </c>
      <c r="E21" s="123">
        <v>5</v>
      </c>
      <c r="F21" t="s">
        <v>996</v>
      </c>
    </row>
    <row r="22" spans="1:10">
      <c r="A22" s="150" t="s">
        <v>230</v>
      </c>
      <c r="B22" s="130" t="s">
        <v>235</v>
      </c>
      <c r="C22" s="123">
        <v>12</v>
      </c>
      <c r="D22" s="123">
        <v>4</v>
      </c>
      <c r="E22" s="126">
        <v>8</v>
      </c>
      <c r="F22" t="s">
        <v>996</v>
      </c>
    </row>
    <row r="23" spans="1:10">
      <c r="A23" s="150" t="s">
        <v>230</v>
      </c>
      <c r="B23" s="130" t="s">
        <v>162</v>
      </c>
      <c r="C23" s="123">
        <v>12</v>
      </c>
      <c r="D23" s="123">
        <v>2</v>
      </c>
      <c r="E23" s="127">
        <v>10</v>
      </c>
      <c r="F23" t="s">
        <v>997</v>
      </c>
    </row>
    <row r="24" spans="1:10">
      <c r="A24" s="150" t="s">
        <v>230</v>
      </c>
      <c r="B24" s="130" t="s">
        <v>164</v>
      </c>
      <c r="C24" s="123">
        <v>12</v>
      </c>
      <c r="D24" s="123">
        <v>2</v>
      </c>
      <c r="E24" s="127">
        <v>10</v>
      </c>
      <c r="F24" t="s">
        <v>997</v>
      </c>
    </row>
    <row r="25" spans="1:10">
      <c r="A25" s="150" t="s">
        <v>230</v>
      </c>
      <c r="B25" s="122" t="s">
        <v>210</v>
      </c>
      <c r="C25" s="123">
        <v>7</v>
      </c>
      <c r="D25" s="123">
        <v>1</v>
      </c>
      <c r="E25" s="123">
        <v>6</v>
      </c>
      <c r="F25" t="s">
        <v>997</v>
      </c>
    </row>
    <row r="26" spans="1:10">
      <c r="A26" s="150" t="s">
        <v>225</v>
      </c>
      <c r="B26" s="122" t="s">
        <v>203</v>
      </c>
      <c r="C26" s="123">
        <v>15</v>
      </c>
      <c r="D26" s="123">
        <v>4</v>
      </c>
      <c r="E26" s="127">
        <v>11</v>
      </c>
      <c r="F26" t="s">
        <v>996</v>
      </c>
    </row>
    <row r="27" spans="1:10">
      <c r="A27" s="150" t="s">
        <v>229</v>
      </c>
      <c r="B27" s="122" t="s">
        <v>198</v>
      </c>
      <c r="C27" s="123">
        <v>5</v>
      </c>
      <c r="D27" s="123">
        <v>0</v>
      </c>
      <c r="E27" s="125">
        <v>5</v>
      </c>
    </row>
    <row r="28" spans="1:10">
      <c r="A28" s="150" t="s">
        <v>228</v>
      </c>
      <c r="B28" s="130" t="s">
        <v>236</v>
      </c>
      <c r="C28" s="123">
        <v>10</v>
      </c>
      <c r="D28" s="123">
        <v>1</v>
      </c>
      <c r="E28" s="132">
        <v>9</v>
      </c>
      <c r="F28" t="s">
        <v>997</v>
      </c>
    </row>
    <row r="29" spans="1:10">
      <c r="A29" s="150" t="s">
        <v>230</v>
      </c>
      <c r="B29" s="130" t="s">
        <v>237</v>
      </c>
      <c r="C29" s="123">
        <v>13</v>
      </c>
      <c r="D29" s="123">
        <v>4</v>
      </c>
      <c r="E29" s="126">
        <v>9</v>
      </c>
      <c r="F29" t="s">
        <v>996</v>
      </c>
    </row>
    <row r="30" spans="1:10">
      <c r="A30" s="150" t="s">
        <v>230</v>
      </c>
      <c r="B30" s="130" t="s">
        <v>182</v>
      </c>
      <c r="C30" s="123">
        <v>12</v>
      </c>
      <c r="D30" s="123">
        <v>4</v>
      </c>
      <c r="E30" s="125">
        <v>8</v>
      </c>
      <c r="F30" t="s">
        <v>997</v>
      </c>
    </row>
    <row r="31" spans="1:10">
      <c r="A31" s="150" t="s">
        <v>225</v>
      </c>
      <c r="B31" s="122" t="s">
        <v>184</v>
      </c>
      <c r="C31" s="123">
        <v>13</v>
      </c>
      <c r="D31" s="123">
        <v>2</v>
      </c>
      <c r="E31" s="127">
        <v>11</v>
      </c>
      <c r="F31" t="s">
        <v>996</v>
      </c>
    </row>
    <row r="32" spans="1:10">
      <c r="A32" s="150" t="s">
        <v>228</v>
      </c>
      <c r="B32" s="131" t="s">
        <v>201</v>
      </c>
      <c r="C32" s="123">
        <v>7</v>
      </c>
      <c r="D32" s="123">
        <v>2</v>
      </c>
      <c r="E32" s="123">
        <v>5</v>
      </c>
      <c r="F32" t="s">
        <v>997</v>
      </c>
      <c r="I32" t="s">
        <v>996</v>
      </c>
      <c r="J32">
        <f>COUNTIF($F$3:$F$35,"EN")</f>
        <v>9</v>
      </c>
    </row>
    <row r="33" spans="1:10">
      <c r="A33" s="150" t="s">
        <v>228</v>
      </c>
      <c r="B33" s="131" t="s">
        <v>188</v>
      </c>
      <c r="C33" s="123">
        <v>8</v>
      </c>
      <c r="D33" s="123">
        <v>1</v>
      </c>
      <c r="E33" s="126">
        <v>7</v>
      </c>
      <c r="F33" t="s">
        <v>997</v>
      </c>
      <c r="I33" t="s">
        <v>997</v>
      </c>
      <c r="J33">
        <f>COUNTIF($F$3:$F$35,"VU")</f>
        <v>13</v>
      </c>
    </row>
    <row r="34" spans="1:10">
      <c r="A34" s="150" t="s">
        <v>227</v>
      </c>
      <c r="B34" s="130" t="s">
        <v>193</v>
      </c>
      <c r="C34" s="123">
        <v>17</v>
      </c>
      <c r="D34" s="123">
        <v>5</v>
      </c>
      <c r="E34" s="127">
        <v>12</v>
      </c>
      <c r="F34" t="s">
        <v>996</v>
      </c>
      <c r="I34" t="s">
        <v>998</v>
      </c>
      <c r="J34">
        <f>COUNTIF($F$3:$F$35,"")</f>
        <v>11</v>
      </c>
    </row>
    <row r="35" spans="1:10">
      <c r="A35" s="150" t="s">
        <v>226</v>
      </c>
      <c r="B35" s="130" t="s">
        <v>204</v>
      </c>
      <c r="C35" s="153">
        <v>10</v>
      </c>
      <c r="D35" s="123">
        <v>2</v>
      </c>
      <c r="E35" s="126"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C277"/>
  <sheetViews>
    <sheetView showGridLines="0" tabSelected="1" topLeftCell="F179" zoomScale="85" zoomScaleNormal="85" workbookViewId="0">
      <selection activeCell="K181" sqref="K181"/>
    </sheetView>
  </sheetViews>
  <sheetFormatPr defaultColWidth="8.54296875" defaultRowHeight="14.5"/>
  <cols>
    <col min="1" max="1" width="27.54296875" style="22" customWidth="1"/>
    <col min="2" max="2" width="4" style="5" customWidth="1"/>
    <col min="3" max="3" width="34.1796875" style="6" customWidth="1"/>
    <col min="4" max="4" width="7.453125" style="11" customWidth="1"/>
    <col min="5" max="5" width="50" style="7" customWidth="1"/>
    <col min="6" max="6" width="7.81640625" style="9" customWidth="1"/>
    <col min="7" max="7" width="54.81640625" style="8" customWidth="1"/>
    <col min="8" max="8" width="15.453125" style="10" customWidth="1"/>
    <col min="9" max="9" width="18.1796875" style="10" customWidth="1"/>
    <col min="10" max="10" width="48.54296875" style="8" customWidth="1"/>
    <col min="11" max="11" width="30.81640625" style="10" customWidth="1"/>
    <col min="12" max="12" width="28.1796875" style="5" customWidth="1"/>
    <col min="13" max="13" width="10.54296875" style="15" customWidth="1"/>
    <col min="14" max="14" width="56" style="6" customWidth="1"/>
    <col min="15" max="15" width="24.54296875" style="15" hidden="1" customWidth="1"/>
    <col min="16" max="16" width="47.54296875" style="17" hidden="1" customWidth="1"/>
    <col min="17" max="17" width="47.54296875" style="17" customWidth="1"/>
    <col min="18" max="18" width="34.453125" style="3" customWidth="1"/>
    <col min="19" max="19" width="12.453125" style="144" customWidth="1"/>
    <col min="20" max="20" width="11.453125" style="144" customWidth="1"/>
    <col min="21" max="21" width="11.81640625" style="144" customWidth="1"/>
    <col min="22" max="22" width="11.453125" style="144" customWidth="1"/>
    <col min="23" max="23" width="15" style="3" customWidth="1"/>
    <col min="24" max="24" width="18.7265625" style="3" customWidth="1"/>
    <col min="25" max="29" width="8.54296875" style="144"/>
    <col min="30" max="16384" width="8.54296875" style="3"/>
  </cols>
  <sheetData>
    <row r="1" spans="1:29" ht="18.5">
      <c r="A1" s="32" t="s">
        <v>238</v>
      </c>
      <c r="B1" s="33"/>
      <c r="C1" s="34"/>
      <c r="I1" s="142" t="s">
        <v>239</v>
      </c>
      <c r="J1" s="143" t="s">
        <v>240</v>
      </c>
    </row>
    <row r="2" spans="1:29" ht="18.5">
      <c r="A2" s="35"/>
      <c r="B2" s="36" t="s">
        <v>241</v>
      </c>
      <c r="C2" s="115" t="s">
        <v>242</v>
      </c>
      <c r="I2" s="167"/>
      <c r="J2" s="168" t="s">
        <v>243</v>
      </c>
      <c r="V2" s="154"/>
    </row>
    <row r="3" spans="1:29" ht="18.5">
      <c r="A3" s="35"/>
      <c r="B3" s="36"/>
      <c r="C3" s="41"/>
      <c r="S3" s="323" t="s">
        <v>244</v>
      </c>
      <c r="T3" s="324"/>
      <c r="U3" s="323" t="s">
        <v>245</v>
      </c>
      <c r="V3" s="325"/>
      <c r="W3" s="325"/>
      <c r="X3" s="324"/>
      <c r="Y3" s="145" t="s">
        <v>246</v>
      </c>
      <c r="Z3" s="145"/>
      <c r="AA3" s="145"/>
      <c r="AB3" s="145"/>
      <c r="AC3" s="3"/>
    </row>
    <row r="4" spans="1:29" s="16" customFormat="1" ht="58">
      <c r="A4" s="37" t="s">
        <v>247</v>
      </c>
      <c r="B4" s="39"/>
      <c r="C4" s="38" t="s">
        <v>248</v>
      </c>
      <c r="D4" s="40"/>
      <c r="E4" s="38" t="s">
        <v>249</v>
      </c>
      <c r="F4" s="46"/>
      <c r="G4" s="46" t="s">
        <v>1444</v>
      </c>
      <c r="H4" s="46" t="s">
        <v>250</v>
      </c>
      <c r="I4" s="47" t="s">
        <v>251</v>
      </c>
      <c r="J4" s="48" t="s">
        <v>252</v>
      </c>
      <c r="K4" s="49" t="s">
        <v>253</v>
      </c>
      <c r="L4" s="49" t="s">
        <v>254</v>
      </c>
      <c r="M4" s="50" t="s">
        <v>255</v>
      </c>
      <c r="N4" s="49" t="s">
        <v>256</v>
      </c>
      <c r="O4" s="51" t="s">
        <v>257</v>
      </c>
      <c r="P4" s="52" t="s">
        <v>258</v>
      </c>
      <c r="Q4" s="52" t="s">
        <v>259</v>
      </c>
      <c r="R4" s="69" t="s">
        <v>260</v>
      </c>
      <c r="S4" s="69" t="s">
        <v>261</v>
      </c>
      <c r="T4" s="69" t="s">
        <v>262</v>
      </c>
      <c r="U4" s="69" t="s">
        <v>1075</v>
      </c>
      <c r="V4" s="69" t="s">
        <v>1076</v>
      </c>
      <c r="W4" s="69" t="s">
        <v>263</v>
      </c>
      <c r="X4" s="69" t="s">
        <v>264</v>
      </c>
      <c r="Y4" s="138">
        <v>2025</v>
      </c>
      <c r="Z4" s="138">
        <v>2026</v>
      </c>
      <c r="AA4" s="138">
        <v>2027</v>
      </c>
      <c r="AB4" s="138">
        <v>2028</v>
      </c>
      <c r="AC4" s="3"/>
    </row>
    <row r="5" spans="1:29" ht="312" customHeight="1">
      <c r="A5" s="13" t="s">
        <v>265</v>
      </c>
      <c r="B5" s="251">
        <v>1</v>
      </c>
      <c r="C5" s="333" t="s">
        <v>266</v>
      </c>
      <c r="D5" s="286" t="s">
        <v>267</v>
      </c>
      <c r="E5" s="270" t="s">
        <v>268</v>
      </c>
      <c r="F5" s="53" t="s">
        <v>269</v>
      </c>
      <c r="G5" s="54" t="s">
        <v>270</v>
      </c>
      <c r="H5" s="55" t="s">
        <v>271</v>
      </c>
      <c r="I5" s="55" t="s">
        <v>272</v>
      </c>
      <c r="J5" s="56" t="str">
        <f t="shared" ref="J5:J11" si="0">G5</f>
        <v>Implementar i executar plans de gestió específics per a hàbitats i espècies de conservació prioritària dins l'ENP</v>
      </c>
      <c r="K5" s="56"/>
      <c r="L5" s="31"/>
      <c r="M5" s="103" t="s">
        <v>273</v>
      </c>
      <c r="N5" s="31" t="s">
        <v>274</v>
      </c>
      <c r="O5" s="55" t="s">
        <v>275</v>
      </c>
      <c r="P5" s="54" t="s">
        <v>276</v>
      </c>
      <c r="Q5" s="54" t="s">
        <v>1214</v>
      </c>
      <c r="R5" s="31" t="s">
        <v>1080</v>
      </c>
      <c r="S5" s="164">
        <v>0.5</v>
      </c>
      <c r="T5" s="164">
        <v>1</v>
      </c>
      <c r="U5" s="163">
        <v>15</v>
      </c>
      <c r="V5" s="163">
        <f>PLA!U5*Llistes!$L$11*Llistes!$L$12</f>
        <v>2000.0000000000002</v>
      </c>
      <c r="W5" s="60" t="s">
        <v>277</v>
      </c>
      <c r="X5" s="60" t="str">
        <f>IF(W5=Llistes!$K$2,Llistes!$L$2,IF(W5=Llistes!$K$3,Llistes!$L$3,IF(W5=Llistes!$K$4,Llistes!$L$4,IF(W5=Llistes!$K$5,Llistes!$L$5,IF(W5=Llistes!$K$6,Llistes!$L$6,IF(W5=Llistes!$K$7,Llistes!$L$7,""))))))</f>
        <v>Pau Federico</v>
      </c>
      <c r="Y5" s="165" t="s">
        <v>994</v>
      </c>
      <c r="Z5" s="165" t="s">
        <v>994</v>
      </c>
      <c r="AA5" s="165" t="s">
        <v>994</v>
      </c>
      <c r="AB5" s="165" t="s">
        <v>994</v>
      </c>
      <c r="AC5" s="147"/>
    </row>
    <row r="6" spans="1:29" ht="42.65" customHeight="1">
      <c r="A6" s="13" t="s">
        <v>265</v>
      </c>
      <c r="B6" s="252"/>
      <c r="C6" s="334"/>
      <c r="D6" s="287"/>
      <c r="E6" s="271"/>
      <c r="F6" s="53" t="s">
        <v>269</v>
      </c>
      <c r="G6" s="54" t="s">
        <v>270</v>
      </c>
      <c r="H6" s="55" t="s">
        <v>271</v>
      </c>
      <c r="I6" s="55" t="s">
        <v>272</v>
      </c>
      <c r="J6" s="56" t="str">
        <f t="shared" si="0"/>
        <v>Implementar i executar plans de gestió específics per a hàbitats i espècies de conservació prioritària dins l'ENP</v>
      </c>
      <c r="K6" s="56"/>
      <c r="L6" s="31"/>
      <c r="M6" s="103" t="s">
        <v>273</v>
      </c>
      <c r="N6" s="31"/>
      <c r="O6" s="55"/>
      <c r="P6" s="54"/>
      <c r="Q6" s="54" t="s">
        <v>1428</v>
      </c>
      <c r="R6" s="31" t="s">
        <v>1084</v>
      </c>
      <c r="S6" s="164">
        <v>0.3</v>
      </c>
      <c r="T6" s="164">
        <v>0.6</v>
      </c>
      <c r="U6" s="163">
        <v>7.8</v>
      </c>
      <c r="V6" s="163">
        <f>PLA!U6*Llistes!$L$11*Llistes!$L$12</f>
        <v>1040</v>
      </c>
      <c r="W6" s="60" t="s">
        <v>1082</v>
      </c>
      <c r="X6" s="60" t="str">
        <f>IF(W6=Llistes!$K$2,Llistes!$L$2,IF(W6=Llistes!$K$3,Llistes!$L$3,IF(W6=Llistes!$K$4,Llistes!$L$4,IF(W6=Llistes!$K$5,Llistes!$L$5,IF(W6=Llistes!$K$6,Llistes!$L$6,IF(W6=Llistes!$K$7,Llistes!$L$7,""))))))</f>
        <v>Montse Pascual</v>
      </c>
      <c r="Y6" s="165" t="s">
        <v>994</v>
      </c>
      <c r="Z6" s="165" t="s">
        <v>994</v>
      </c>
      <c r="AA6" s="165" t="s">
        <v>994</v>
      </c>
      <c r="AB6" s="165" t="s">
        <v>994</v>
      </c>
      <c r="AC6" s="147"/>
    </row>
    <row r="7" spans="1:29" ht="42" customHeight="1">
      <c r="A7" s="13" t="s">
        <v>265</v>
      </c>
      <c r="B7" s="252"/>
      <c r="C7" s="334"/>
      <c r="D7" s="287"/>
      <c r="E7" s="271"/>
      <c r="F7" s="53" t="s">
        <v>269</v>
      </c>
      <c r="G7" s="54" t="s">
        <v>270</v>
      </c>
      <c r="H7" s="55" t="s">
        <v>271</v>
      </c>
      <c r="I7" s="55" t="s">
        <v>272</v>
      </c>
      <c r="J7" s="56" t="str">
        <f t="shared" si="0"/>
        <v>Implementar i executar plans de gestió específics per a hàbitats i espècies de conservació prioritària dins l'ENP</v>
      </c>
      <c r="K7" s="56"/>
      <c r="L7" s="31"/>
      <c r="M7" s="103" t="s">
        <v>273</v>
      </c>
      <c r="N7" s="31"/>
      <c r="O7" s="55"/>
      <c r="P7" s="54"/>
      <c r="Q7" s="54" t="s">
        <v>1070</v>
      </c>
      <c r="R7" s="31" t="s">
        <v>1071</v>
      </c>
      <c r="S7" s="163"/>
      <c r="T7" s="163" t="s">
        <v>1043</v>
      </c>
      <c r="U7" s="163">
        <v>0.15</v>
      </c>
      <c r="V7" s="163">
        <f>PLA!U7*Llistes!$L$11*Llistes!$L$12</f>
        <v>20</v>
      </c>
      <c r="W7" s="60" t="s">
        <v>1082</v>
      </c>
      <c r="X7" s="60" t="str">
        <f>IF(W7=Llistes!$K$2,Llistes!$L$2,IF(W7=Llistes!$K$3,Llistes!$L$3,IF(W7=Llistes!$K$4,Llistes!$L$4,IF(W7=Llistes!$K$5,Llistes!$L$5,IF(W7=Llistes!$K$6,Llistes!$L$6,IF(W7=Llistes!$K$7,Llistes!$L$7,""))))))</f>
        <v>Montse Pascual</v>
      </c>
      <c r="Y7" s="165" t="s">
        <v>994</v>
      </c>
      <c r="Z7" s="165" t="s">
        <v>994</v>
      </c>
      <c r="AA7" s="165" t="s">
        <v>994</v>
      </c>
      <c r="AB7" s="165" t="s">
        <v>994</v>
      </c>
      <c r="AC7" s="147"/>
    </row>
    <row r="8" spans="1:29" ht="40.5" customHeight="1">
      <c r="A8" s="13" t="s">
        <v>265</v>
      </c>
      <c r="B8" s="252"/>
      <c r="C8" s="334"/>
      <c r="D8" s="287"/>
      <c r="E8" s="271"/>
      <c r="F8" s="53" t="s">
        <v>269</v>
      </c>
      <c r="G8" s="54" t="s">
        <v>270</v>
      </c>
      <c r="H8" s="55" t="s">
        <v>271</v>
      </c>
      <c r="I8" s="55" t="s">
        <v>272</v>
      </c>
      <c r="J8" s="56" t="str">
        <f t="shared" si="0"/>
        <v>Implementar i executar plans de gestió específics per a hàbitats i espècies de conservació prioritària dins l'ENP</v>
      </c>
      <c r="K8" s="56"/>
      <c r="L8" s="31"/>
      <c r="M8" s="103" t="s">
        <v>273</v>
      </c>
      <c r="N8" s="31"/>
      <c r="O8" s="55"/>
      <c r="P8" s="54"/>
      <c r="Q8" s="54" t="s">
        <v>1083</v>
      </c>
      <c r="R8" s="31" t="s">
        <v>1067</v>
      </c>
      <c r="S8" s="163"/>
      <c r="T8" s="163" t="s">
        <v>1043</v>
      </c>
      <c r="U8" s="163">
        <v>0.15</v>
      </c>
      <c r="V8" s="163">
        <f>PLA!U8*Llistes!$L$11*Llistes!$L$12</f>
        <v>20</v>
      </c>
      <c r="W8" s="60" t="s">
        <v>1082</v>
      </c>
      <c r="X8" s="60" t="str">
        <f>IF(W8=Llistes!$K$2,Llistes!$L$2,IF(W8=Llistes!$K$3,Llistes!$L$3,IF(W8=Llistes!$K$4,Llistes!$L$4,IF(W8=Llistes!$K$5,Llistes!$L$5,IF(W8=Llistes!$K$6,Llistes!$L$6,IF(W8=Llistes!$K$7,Llistes!$L$7,""))))))</f>
        <v>Montse Pascual</v>
      </c>
      <c r="Y8" s="165" t="s">
        <v>994</v>
      </c>
      <c r="Z8" s="165" t="s">
        <v>994</v>
      </c>
      <c r="AA8" s="165" t="s">
        <v>994</v>
      </c>
      <c r="AB8" s="165" t="s">
        <v>994</v>
      </c>
      <c r="AC8" s="147"/>
    </row>
    <row r="9" spans="1:29" ht="41.15" customHeight="1">
      <c r="A9" s="13" t="s">
        <v>265</v>
      </c>
      <c r="B9" s="252"/>
      <c r="C9" s="334"/>
      <c r="D9" s="287"/>
      <c r="E9" s="271"/>
      <c r="F9" s="53" t="s">
        <v>269</v>
      </c>
      <c r="G9" s="54" t="s">
        <v>270</v>
      </c>
      <c r="H9" s="55" t="s">
        <v>271</v>
      </c>
      <c r="I9" s="55" t="s">
        <v>272</v>
      </c>
      <c r="J9" s="56" t="str">
        <f t="shared" si="0"/>
        <v>Implementar i executar plans de gestió específics per a hàbitats i espècies de conservació prioritària dins l'ENP</v>
      </c>
      <c r="K9" s="56"/>
      <c r="L9" s="31"/>
      <c r="M9" s="103" t="s">
        <v>273</v>
      </c>
      <c r="N9" s="31"/>
      <c r="O9" s="55"/>
      <c r="P9" s="54"/>
      <c r="Q9" s="54" t="s">
        <v>1085</v>
      </c>
      <c r="R9" s="31" t="s">
        <v>1066</v>
      </c>
      <c r="S9" s="163"/>
      <c r="T9" s="163" t="s">
        <v>1043</v>
      </c>
      <c r="U9" s="163">
        <v>0.15</v>
      </c>
      <c r="V9" s="163">
        <f>PLA!U9*Llistes!$L$11*Llistes!$L$12</f>
        <v>20</v>
      </c>
      <c r="W9" s="60" t="s">
        <v>1082</v>
      </c>
      <c r="X9" s="60" t="str">
        <f>IF(W9=Llistes!$K$2,Llistes!$L$2,IF(W9=Llistes!$K$3,Llistes!$L$3,IF(W9=Llistes!$K$4,Llistes!$L$4,IF(W9=Llistes!$K$5,Llistes!$L$5,IF(W9=Llistes!$K$6,Llistes!$L$6,IF(W9=Llistes!$K$7,Llistes!$L$7,""))))))</f>
        <v>Montse Pascual</v>
      </c>
      <c r="Y9" s="165" t="s">
        <v>994</v>
      </c>
      <c r="Z9" s="165" t="s">
        <v>994</v>
      </c>
      <c r="AA9" s="165" t="s">
        <v>994</v>
      </c>
      <c r="AB9" s="165" t="s">
        <v>994</v>
      </c>
      <c r="AC9" s="147"/>
    </row>
    <row r="10" spans="1:29" ht="45.65" customHeight="1">
      <c r="A10" s="13" t="s">
        <v>265</v>
      </c>
      <c r="B10" s="252"/>
      <c r="C10" s="334"/>
      <c r="D10" s="287"/>
      <c r="E10" s="271"/>
      <c r="F10" s="53" t="s">
        <v>269</v>
      </c>
      <c r="G10" s="54" t="s">
        <v>270</v>
      </c>
      <c r="H10" s="55" t="s">
        <v>271</v>
      </c>
      <c r="I10" s="55" t="s">
        <v>272</v>
      </c>
      <c r="J10" s="56" t="str">
        <f t="shared" si="0"/>
        <v>Implementar i executar plans de gestió específics per a hàbitats i espècies de conservació prioritària dins l'ENP</v>
      </c>
      <c r="K10" s="56"/>
      <c r="L10" s="31"/>
      <c r="M10" s="103" t="s">
        <v>273</v>
      </c>
      <c r="N10" s="31"/>
      <c r="O10" s="55"/>
      <c r="P10" s="54"/>
      <c r="Q10" s="54" t="s">
        <v>1086</v>
      </c>
      <c r="R10" s="31" t="s">
        <v>1067</v>
      </c>
      <c r="S10" s="163"/>
      <c r="T10" s="163" t="s">
        <v>1043</v>
      </c>
      <c r="U10" s="163">
        <v>0.15</v>
      </c>
      <c r="V10" s="163">
        <f>PLA!U10*Llistes!$L$11*Llistes!$L$12</f>
        <v>20</v>
      </c>
      <c r="W10" s="60" t="s">
        <v>1082</v>
      </c>
      <c r="X10" s="60" t="str">
        <f>IF(W10=Llistes!$K$2,Llistes!$L$2,IF(W10=Llistes!$K$3,Llistes!$L$3,IF(W10=Llistes!$K$4,Llistes!$L$4,IF(W10=Llistes!$K$5,Llistes!$L$5,IF(W10=Llistes!$K$6,Llistes!$L$6,IF(W10=Llistes!$K$7,Llistes!$L$7,""))))))</f>
        <v>Montse Pascual</v>
      </c>
      <c r="Y10" s="165" t="s">
        <v>994</v>
      </c>
      <c r="Z10" s="165" t="s">
        <v>994</v>
      </c>
      <c r="AA10" s="165" t="s">
        <v>994</v>
      </c>
      <c r="AB10" s="165" t="s">
        <v>994</v>
      </c>
      <c r="AC10" s="147"/>
    </row>
    <row r="11" spans="1:29" ht="43.5">
      <c r="A11" s="13" t="s">
        <v>265</v>
      </c>
      <c r="B11" s="252"/>
      <c r="C11" s="334"/>
      <c r="D11" s="287"/>
      <c r="E11" s="271"/>
      <c r="F11" s="53" t="s">
        <v>269</v>
      </c>
      <c r="G11" s="54" t="s">
        <v>270</v>
      </c>
      <c r="H11" s="55" t="s">
        <v>271</v>
      </c>
      <c r="I11" s="55" t="s">
        <v>272</v>
      </c>
      <c r="J11" s="56" t="str">
        <f t="shared" si="0"/>
        <v>Implementar i executar plans de gestió específics per a hàbitats i espècies de conservació prioritària dins l'ENP</v>
      </c>
      <c r="K11" s="56"/>
      <c r="L11" s="31"/>
      <c r="M11" s="103" t="s">
        <v>273</v>
      </c>
      <c r="N11" s="31" t="s">
        <v>274</v>
      </c>
      <c r="O11" s="55"/>
      <c r="P11" s="54"/>
      <c r="Q11" s="54" t="s">
        <v>1215</v>
      </c>
      <c r="R11" s="31" t="s">
        <v>1292</v>
      </c>
      <c r="S11" s="163" t="s">
        <v>1013</v>
      </c>
      <c r="T11" s="163" t="s">
        <v>1014</v>
      </c>
      <c r="U11" s="163">
        <v>7.02</v>
      </c>
      <c r="V11" s="163">
        <f>PLA!U11*Llistes!$L$11*Llistes!$L$12</f>
        <v>936</v>
      </c>
      <c r="W11" s="60" t="s">
        <v>277</v>
      </c>
      <c r="X11" s="60" t="str">
        <f>IF(W11=Llistes!$K$2,Llistes!$L$2,IF(W11=Llistes!$K$3,Llistes!$L$3,IF(W11=Llistes!$K$4,Llistes!$L$4,IF(W11=Llistes!$K$5,Llistes!$L$5,IF(W11=Llistes!$K$6,Llistes!$L$6,IF(W11=Llistes!$K$7,Llistes!$L$7,""))))))</f>
        <v>Pau Federico</v>
      </c>
      <c r="Y11" s="165" t="s">
        <v>994</v>
      </c>
      <c r="Z11" s="165" t="s">
        <v>994</v>
      </c>
      <c r="AA11" s="165" t="s">
        <v>994</v>
      </c>
      <c r="AB11" s="165" t="s">
        <v>994</v>
      </c>
      <c r="AC11" s="147"/>
    </row>
    <row r="12" spans="1:29" ht="58">
      <c r="A12" s="13" t="s">
        <v>265</v>
      </c>
      <c r="B12" s="252"/>
      <c r="C12" s="334"/>
      <c r="D12" s="287"/>
      <c r="E12" s="271"/>
      <c r="F12" s="53" t="s">
        <v>269</v>
      </c>
      <c r="G12" s="54" t="s">
        <v>270</v>
      </c>
      <c r="H12" s="55" t="s">
        <v>271</v>
      </c>
      <c r="I12" s="55" t="s">
        <v>272</v>
      </c>
      <c r="J12" s="56" t="str">
        <f t="shared" ref="J12" si="1">G12</f>
        <v>Implementar i executar plans de gestió específics per a hàbitats i espècies de conservació prioritària dins l'ENP</v>
      </c>
      <c r="K12" s="56"/>
      <c r="L12" s="31"/>
      <c r="M12" s="103" t="s">
        <v>286</v>
      </c>
      <c r="N12" s="31"/>
      <c r="O12" s="55"/>
      <c r="P12" s="54"/>
      <c r="Q12" s="54" t="s">
        <v>1421</v>
      </c>
      <c r="R12" s="31" t="s">
        <v>1422</v>
      </c>
      <c r="S12" s="163" t="s">
        <v>1423</v>
      </c>
      <c r="T12" s="163" t="s">
        <v>1424</v>
      </c>
      <c r="U12" s="163">
        <v>0.15</v>
      </c>
      <c r="V12" s="163">
        <f>PLA!U12*Llistes!$L$11*Llistes!$L$12</f>
        <v>20</v>
      </c>
      <c r="W12" s="60" t="s">
        <v>1082</v>
      </c>
      <c r="X12" s="60" t="str">
        <f>IF(W12=Llistes!$K$2,Llistes!$L$2,IF(W12=Llistes!$K$3,Llistes!$L$3,IF(W12=Llistes!$K$4,Llistes!$L$4,IF(W12=Llistes!$K$5,Llistes!$L$5,IF(W12=Llistes!$K$6,Llistes!$L$6,IF(W12=Llistes!$K$7,Llistes!$L$7,""))))))</f>
        <v>Montse Pascual</v>
      </c>
      <c r="Y12" s="165"/>
      <c r="Z12" s="165"/>
      <c r="AA12" s="165"/>
      <c r="AB12" s="165"/>
      <c r="AC12" s="147"/>
    </row>
    <row r="13" spans="1:29" ht="29">
      <c r="A13" s="13" t="s">
        <v>265</v>
      </c>
      <c r="B13" s="252"/>
      <c r="C13" s="334"/>
      <c r="D13" s="288"/>
      <c r="E13" s="272"/>
      <c r="F13" s="186" t="s">
        <v>278</v>
      </c>
      <c r="G13" s="187" t="s">
        <v>1532</v>
      </c>
      <c r="H13" s="188" t="s">
        <v>271</v>
      </c>
      <c r="I13" s="188" t="s">
        <v>272</v>
      </c>
      <c r="J13" s="56"/>
      <c r="K13" s="56"/>
      <c r="L13" s="31"/>
      <c r="M13" s="103"/>
      <c r="N13" s="31"/>
      <c r="O13" s="55"/>
      <c r="P13" s="54"/>
      <c r="Q13" s="54"/>
      <c r="R13" s="31"/>
      <c r="S13" s="163"/>
      <c r="T13" s="163"/>
      <c r="U13" s="163"/>
      <c r="V13" s="163"/>
      <c r="W13" s="60"/>
      <c r="X13" s="60"/>
      <c r="Y13" s="165"/>
      <c r="Z13" s="165"/>
      <c r="AA13" s="165"/>
      <c r="AB13" s="165"/>
      <c r="AC13" s="147"/>
    </row>
    <row r="14" spans="1:29" ht="72.5">
      <c r="A14" s="13" t="s">
        <v>265</v>
      </c>
      <c r="B14" s="252"/>
      <c r="C14" s="334"/>
      <c r="D14" s="286" t="s">
        <v>281</v>
      </c>
      <c r="E14" s="270" t="s">
        <v>282</v>
      </c>
      <c r="F14" s="55" t="s">
        <v>283</v>
      </c>
      <c r="G14" s="54" t="s">
        <v>284</v>
      </c>
      <c r="H14" s="55" t="s">
        <v>271</v>
      </c>
      <c r="I14" s="55" t="s">
        <v>285</v>
      </c>
      <c r="J14" s="56" t="str">
        <f t="shared" ref="J14:J105" si="2">G14</f>
        <v>Implementar la metodologia de gestió adaptativa (Estàndards Oberts de Gestió Adaptativa a Catalunya) en tots els processos de l'ENP</v>
      </c>
      <c r="K14" s="56"/>
      <c r="L14" s="60"/>
      <c r="M14" s="103" t="s">
        <v>286</v>
      </c>
      <c r="N14" s="31" t="s">
        <v>287</v>
      </c>
      <c r="O14" s="55" t="s">
        <v>288</v>
      </c>
      <c r="P14" s="54" t="s">
        <v>289</v>
      </c>
      <c r="Q14" s="54" t="s">
        <v>290</v>
      </c>
      <c r="R14" s="31" t="s">
        <v>999</v>
      </c>
      <c r="S14" s="163" t="s">
        <v>1015</v>
      </c>
      <c r="T14" s="163" t="s">
        <v>1016</v>
      </c>
      <c r="U14" s="163">
        <v>0.15</v>
      </c>
      <c r="V14" s="163">
        <f>PLA!U14*Llistes!$L$11*Llistes!$L$12</f>
        <v>20</v>
      </c>
      <c r="W14" s="60" t="s">
        <v>291</v>
      </c>
      <c r="X14" s="60" t="str">
        <f>IF(W14=Llistes!$K$2,Llistes!$L$2,IF(W14=Llistes!$K$3,Llistes!$L$3,IF(W14=Llistes!$K$4,Llistes!$L$4,IF(W14=Llistes!$K$5,Llistes!$L$5,IF(W14=Llistes!$K$6,Llistes!$L$6,IF(W14=Llistes!$K$7,Llistes!$L$7,""))))))</f>
        <v>Gerard Carrion</v>
      </c>
      <c r="Y14" s="165" t="s">
        <v>994</v>
      </c>
      <c r="Z14" s="165" t="s">
        <v>994</v>
      </c>
      <c r="AA14" s="165" t="s">
        <v>994</v>
      </c>
      <c r="AB14" s="165" t="s">
        <v>994</v>
      </c>
      <c r="AC14" s="147"/>
    </row>
    <row r="15" spans="1:29" ht="43.5">
      <c r="A15" s="13" t="s">
        <v>265</v>
      </c>
      <c r="B15" s="252"/>
      <c r="C15" s="334"/>
      <c r="D15" s="287"/>
      <c r="E15" s="271"/>
      <c r="F15" s="55" t="s">
        <v>283</v>
      </c>
      <c r="G15" s="54" t="s">
        <v>284</v>
      </c>
      <c r="H15" s="55" t="s">
        <v>271</v>
      </c>
      <c r="I15" s="55" t="s">
        <v>285</v>
      </c>
      <c r="J15" s="56" t="str">
        <f t="shared" ref="J15" si="3">G15</f>
        <v>Implementar la metodologia de gestió adaptativa (Estàndards Oberts de Gestió Adaptativa a Catalunya) en tots els processos de l'ENP</v>
      </c>
      <c r="K15" s="56"/>
      <c r="L15" s="60"/>
      <c r="M15" s="103" t="s">
        <v>286</v>
      </c>
      <c r="N15" s="31"/>
      <c r="O15" s="55"/>
      <c r="P15" s="54"/>
      <c r="Q15" s="54" t="s">
        <v>1425</v>
      </c>
      <c r="R15" s="31" t="s">
        <v>1442</v>
      </c>
      <c r="S15" s="163"/>
      <c r="T15" s="163" t="s">
        <v>1043</v>
      </c>
      <c r="U15" s="163">
        <v>0.15</v>
      </c>
      <c r="V15" s="163">
        <f>PLA!U15*Llistes!$L$11*Llistes!$L$12</f>
        <v>20</v>
      </c>
      <c r="W15" s="60" t="s">
        <v>1082</v>
      </c>
      <c r="X15" s="60" t="str">
        <f>IF(W15=Llistes!$K$2,Llistes!$L$2,IF(W15=Llistes!$K$3,Llistes!$L$3,IF(W15=Llistes!$K$4,Llistes!$L$4,IF(W15=Llistes!$K$5,Llistes!$L$5,IF(W15=Llistes!$K$6,Llistes!$L$6,IF(W15=Llistes!$K$7,Llistes!$L$7,""))))))</f>
        <v>Montse Pascual</v>
      </c>
      <c r="Y15" s="165" t="s">
        <v>994</v>
      </c>
      <c r="Z15" s="165" t="s">
        <v>994</v>
      </c>
      <c r="AA15" s="165" t="s">
        <v>994</v>
      </c>
      <c r="AB15" s="165" t="s">
        <v>994</v>
      </c>
      <c r="AC15" s="147"/>
    </row>
    <row r="16" spans="1:29" ht="101.5">
      <c r="A16" s="13" t="s">
        <v>265</v>
      </c>
      <c r="B16" s="252"/>
      <c r="C16" s="334"/>
      <c r="D16" s="287"/>
      <c r="E16" s="271"/>
      <c r="F16" s="55" t="s">
        <v>292</v>
      </c>
      <c r="G16" s="54" t="s">
        <v>293</v>
      </c>
      <c r="H16" s="55" t="s">
        <v>271</v>
      </c>
      <c r="I16" s="55" t="s">
        <v>272</v>
      </c>
      <c r="J16" s="56" t="str">
        <f t="shared" si="2"/>
        <v>Executar les mesures previstes en els plans de conservació o recuperació d'espècies amenaçades de forma coordinada amb el Servei de Flora i Fauna en l'àmbit de l'ENP</v>
      </c>
      <c r="K16" s="56"/>
      <c r="L16" s="60"/>
      <c r="M16" s="103" t="s">
        <v>273</v>
      </c>
      <c r="N16" s="31" t="s">
        <v>1000</v>
      </c>
      <c r="O16" s="55"/>
      <c r="P16" s="54"/>
      <c r="Q16" s="54" t="s">
        <v>1216</v>
      </c>
      <c r="R16" s="31" t="s">
        <v>1017</v>
      </c>
      <c r="S16" s="163" t="s">
        <v>1018</v>
      </c>
      <c r="T16" s="163" t="s">
        <v>1019</v>
      </c>
      <c r="U16" s="163">
        <v>3</v>
      </c>
      <c r="V16" s="163">
        <f>PLA!U16*Llistes!$L$11*Llistes!$L$12</f>
        <v>400</v>
      </c>
      <c r="W16" s="60" t="s">
        <v>277</v>
      </c>
      <c r="X16" s="60" t="str">
        <f>IF(W16=Llistes!$K$2,Llistes!$L$2,IF(W16=Llistes!$K$3,Llistes!$L$3,IF(W16=Llistes!$K$4,Llistes!$L$4,IF(W16=Llistes!$K$5,Llistes!$L$5,IF(W16=Llistes!$K$6,Llistes!$L$6,IF(W16=Llistes!$K$7,Llistes!$L$7,""))))))</f>
        <v>Pau Federico</v>
      </c>
      <c r="Y16" s="165" t="s">
        <v>994</v>
      </c>
      <c r="Z16" s="165" t="s">
        <v>994</v>
      </c>
      <c r="AA16" s="165" t="s">
        <v>994</v>
      </c>
      <c r="AB16" s="165" t="s">
        <v>994</v>
      </c>
      <c r="AC16" s="147"/>
    </row>
    <row r="17" spans="1:29" ht="58">
      <c r="A17" s="13" t="s">
        <v>265</v>
      </c>
      <c r="B17" s="252"/>
      <c r="C17" s="334"/>
      <c r="D17" s="287"/>
      <c r="E17" s="271"/>
      <c r="F17" s="55" t="s">
        <v>292</v>
      </c>
      <c r="G17" s="54" t="s">
        <v>293</v>
      </c>
      <c r="H17" s="55" t="s">
        <v>271</v>
      </c>
      <c r="I17" s="55" t="s">
        <v>272</v>
      </c>
      <c r="J17" s="56" t="str">
        <f t="shared" si="2"/>
        <v>Executar les mesures previstes en els plans de conservació o recuperació d'espècies amenaçades de forma coordinada amb el Servei de Flora i Fauna en l'àmbit de l'ENP</v>
      </c>
      <c r="K17" s="56"/>
      <c r="L17" s="60"/>
      <c r="M17" s="103" t="s">
        <v>273</v>
      </c>
      <c r="N17" s="31" t="s">
        <v>1001</v>
      </c>
      <c r="O17" s="55"/>
      <c r="P17" s="54"/>
      <c r="Q17" s="54" t="s">
        <v>1217</v>
      </c>
      <c r="R17" s="31" t="s">
        <v>1020</v>
      </c>
      <c r="S17" s="164" t="s">
        <v>1021</v>
      </c>
      <c r="T17" s="164" t="s">
        <v>1022</v>
      </c>
      <c r="U17" s="163">
        <v>3</v>
      </c>
      <c r="V17" s="163">
        <f>PLA!U17*Llistes!$L$11*Llistes!$L$12</f>
        <v>400</v>
      </c>
      <c r="W17" s="60" t="s">
        <v>277</v>
      </c>
      <c r="X17" s="60" t="str">
        <f>IF(W17=Llistes!$K$2,Llistes!$L$2,IF(W17=Llistes!$K$3,Llistes!$L$3,IF(W17=Llistes!$K$4,Llistes!$L$4,IF(W17=Llistes!$K$5,Llistes!$L$5,IF(W17=Llistes!$K$6,Llistes!$L$6,IF(W17=Llistes!$K$7,Llistes!$L$7,""))))))</f>
        <v>Pau Federico</v>
      </c>
      <c r="Y17" s="165" t="s">
        <v>994</v>
      </c>
      <c r="Z17" s="165" t="s">
        <v>994</v>
      </c>
      <c r="AA17" s="165" t="s">
        <v>994</v>
      </c>
      <c r="AB17" s="165" t="s">
        <v>994</v>
      </c>
      <c r="AC17" s="147"/>
    </row>
    <row r="18" spans="1:29" ht="58">
      <c r="A18" s="13" t="s">
        <v>265</v>
      </c>
      <c r="B18" s="252"/>
      <c r="C18" s="334"/>
      <c r="D18" s="287"/>
      <c r="E18" s="271"/>
      <c r="F18" s="55" t="s">
        <v>292</v>
      </c>
      <c r="G18" s="54" t="s">
        <v>293</v>
      </c>
      <c r="H18" s="55" t="s">
        <v>271</v>
      </c>
      <c r="I18" s="55" t="s">
        <v>272</v>
      </c>
      <c r="J18" s="56" t="str">
        <f t="shared" si="2"/>
        <v>Executar les mesures previstes en els plans de conservació o recuperació d'espècies amenaçades de forma coordinada amb el Servei de Flora i Fauna en l'àmbit de l'ENP</v>
      </c>
      <c r="K18" s="56"/>
      <c r="L18" s="31"/>
      <c r="M18" s="103" t="s">
        <v>273</v>
      </c>
      <c r="N18" s="31" t="s">
        <v>1002</v>
      </c>
      <c r="O18" s="53" t="s">
        <v>294</v>
      </c>
      <c r="P18" s="54" t="s">
        <v>295</v>
      </c>
      <c r="Q18" s="54" t="s">
        <v>1218</v>
      </c>
      <c r="R18" s="31" t="s">
        <v>1023</v>
      </c>
      <c r="S18" s="163" t="s">
        <v>1024</v>
      </c>
      <c r="T18" s="163" t="s">
        <v>1025</v>
      </c>
      <c r="U18" s="163">
        <v>3</v>
      </c>
      <c r="V18" s="163">
        <f>PLA!U18*Llistes!$L$11*Llistes!$L$12</f>
        <v>400</v>
      </c>
      <c r="W18" s="60" t="s">
        <v>277</v>
      </c>
      <c r="X18" s="60" t="str">
        <f>IF(W18=Llistes!$K$2,Llistes!$L$2,IF(W18=Llistes!$K$3,Llistes!$L$3,IF(W18=Llistes!$K$4,Llistes!$L$4,IF(W18=Llistes!$K$5,Llistes!$L$5,IF(W18=Llistes!$K$6,Llistes!$L$6,IF(W18=Llistes!$K$7,Llistes!$L$7,""))))))</f>
        <v>Pau Federico</v>
      </c>
      <c r="Y18" s="165" t="s">
        <v>994</v>
      </c>
      <c r="Z18" s="165" t="s">
        <v>994</v>
      </c>
      <c r="AA18" s="165" t="s">
        <v>994</v>
      </c>
      <c r="AB18" s="165" t="s">
        <v>994</v>
      </c>
      <c r="AC18" s="147"/>
    </row>
    <row r="19" spans="1:29" ht="87">
      <c r="A19" s="13" t="s">
        <v>265</v>
      </c>
      <c r="B19" s="252"/>
      <c r="C19" s="334"/>
      <c r="D19" s="287"/>
      <c r="E19" s="271"/>
      <c r="F19" s="55" t="s">
        <v>296</v>
      </c>
      <c r="G19" s="54" t="s">
        <v>297</v>
      </c>
      <c r="H19" s="55" t="s">
        <v>271</v>
      </c>
      <c r="I19" s="55" t="s">
        <v>272</v>
      </c>
      <c r="J19" s="56" t="str">
        <f t="shared" ref="J19" si="4">G19</f>
        <v>Executar les mesures de gestió previstes en els plans de control i erradicació d'espècies exòtiques de forma coordinada amb el Servei de Flora i Fauna en l'àmbit de l'ENP</v>
      </c>
      <c r="K19" s="56"/>
      <c r="L19" s="31"/>
      <c r="M19" s="103" t="s">
        <v>273</v>
      </c>
      <c r="N19" s="31" t="s">
        <v>298</v>
      </c>
      <c r="O19" s="53"/>
      <c r="P19" s="54"/>
      <c r="Q19" s="54" t="s">
        <v>1417</v>
      </c>
      <c r="R19" s="31" t="s">
        <v>1028</v>
      </c>
      <c r="S19" s="163" t="s">
        <v>1026</v>
      </c>
      <c r="T19" s="163" t="s">
        <v>1027</v>
      </c>
      <c r="U19" s="163">
        <v>1.02</v>
      </c>
      <c r="V19" s="163">
        <f>PLA!U19*Llistes!$L$11*Llistes!$L$12</f>
        <v>136</v>
      </c>
      <c r="W19" s="60" t="s">
        <v>277</v>
      </c>
      <c r="X19" s="60" t="str">
        <f>IF(W19=Llistes!$K$2,Llistes!$L$2,IF(W19=Llistes!$K$3,Llistes!$L$3,IF(W19=Llistes!$K$4,Llistes!$L$4,IF(W19=Llistes!$K$5,Llistes!$L$5,IF(W19=Llistes!$K$6,Llistes!$L$6,IF(W19=Llistes!$K$7,Llistes!$L$7,""))))))</f>
        <v>Pau Federico</v>
      </c>
      <c r="Y19" s="165" t="s">
        <v>994</v>
      </c>
      <c r="Z19" s="165" t="s">
        <v>994</v>
      </c>
      <c r="AA19" s="165" t="s">
        <v>994</v>
      </c>
      <c r="AB19" s="165" t="s">
        <v>994</v>
      </c>
      <c r="AC19" s="147"/>
    </row>
    <row r="20" spans="1:29" ht="87">
      <c r="A20" s="13" t="s">
        <v>265</v>
      </c>
      <c r="B20" s="252"/>
      <c r="C20" s="334"/>
      <c r="D20" s="287"/>
      <c r="E20" s="271"/>
      <c r="F20" s="55" t="s">
        <v>296</v>
      </c>
      <c r="G20" s="54" t="s">
        <v>297</v>
      </c>
      <c r="H20" s="55" t="s">
        <v>271</v>
      </c>
      <c r="I20" s="55" t="s">
        <v>272</v>
      </c>
      <c r="J20" s="56" t="str">
        <f t="shared" si="2"/>
        <v>Executar les mesures de gestió previstes en els plans de control i erradicació d'espècies exòtiques de forma coordinada amb el Servei de Flora i Fauna en l'àmbit de l'ENP</v>
      </c>
      <c r="K20" s="56"/>
      <c r="L20" s="31"/>
      <c r="M20" s="103" t="s">
        <v>273</v>
      </c>
      <c r="N20" s="31" t="s">
        <v>298</v>
      </c>
      <c r="O20" s="53" t="s">
        <v>299</v>
      </c>
      <c r="P20" s="54" t="s">
        <v>300</v>
      </c>
      <c r="Q20" s="54" t="s">
        <v>1219</v>
      </c>
      <c r="R20" s="31" t="s">
        <v>1006</v>
      </c>
      <c r="S20" s="163" t="s">
        <v>1029</v>
      </c>
      <c r="T20" s="163" t="s">
        <v>1030</v>
      </c>
      <c r="U20" s="163">
        <v>0.15</v>
      </c>
      <c r="V20" s="163">
        <f>PLA!U20*Llistes!$L$11*Llistes!$L$12</f>
        <v>20</v>
      </c>
      <c r="W20" s="60" t="s">
        <v>277</v>
      </c>
      <c r="X20" s="60" t="str">
        <f>IF(W20=Llistes!$K$2,Llistes!$L$2,IF(W20=Llistes!$K$3,Llistes!$L$3,IF(W20=Llistes!$K$4,Llistes!$L$4,IF(W20=Llistes!$K$5,Llistes!$L$5,IF(W20=Llistes!$K$6,Llistes!$L$6,IF(W20=Llistes!$K$7,Llistes!$L$7,""))))))</f>
        <v>Pau Federico</v>
      </c>
      <c r="Y20" s="165" t="s">
        <v>994</v>
      </c>
      <c r="Z20" s="165" t="s">
        <v>994</v>
      </c>
      <c r="AA20" s="165" t="s">
        <v>994</v>
      </c>
      <c r="AB20" s="165" t="s">
        <v>994</v>
      </c>
      <c r="AC20" s="147"/>
    </row>
    <row r="21" spans="1:29" ht="130.5">
      <c r="A21" s="13" t="s">
        <v>265</v>
      </c>
      <c r="B21" s="252"/>
      <c r="C21" s="334"/>
      <c r="D21" s="287"/>
      <c r="E21" s="271"/>
      <c r="F21" s="55" t="s">
        <v>301</v>
      </c>
      <c r="G21" s="54" t="s">
        <v>302</v>
      </c>
      <c r="H21" s="55" t="s">
        <v>303</v>
      </c>
      <c r="I21" s="55" t="s">
        <v>304</v>
      </c>
      <c r="J21" s="56" t="str">
        <f>G21</f>
        <v xml:space="preserve">Desplegar els objectius i tasques recollits en els instruments de referència i compromisos internacionals  </v>
      </c>
      <c r="K21" s="56"/>
      <c r="L21" s="31"/>
      <c r="M21" s="103" t="s">
        <v>305</v>
      </c>
      <c r="N21" s="31" t="s">
        <v>306</v>
      </c>
      <c r="O21" s="53"/>
      <c r="P21" s="54"/>
      <c r="Q21" s="54" t="s">
        <v>1220</v>
      </c>
      <c r="R21" s="31" t="s">
        <v>1003</v>
      </c>
      <c r="S21" s="163" t="s">
        <v>1029</v>
      </c>
      <c r="T21" s="163" t="s">
        <v>1030</v>
      </c>
      <c r="U21" s="163">
        <v>0.15</v>
      </c>
      <c r="V21" s="163">
        <f>PLA!U21*Llistes!$L$11*Llistes!$L$12</f>
        <v>20</v>
      </c>
      <c r="W21" s="60" t="s">
        <v>291</v>
      </c>
      <c r="X21" s="60" t="str">
        <f>IF(W21=Llistes!$K$2,Llistes!$L$2,IF(W21=Llistes!$K$3,Llistes!$L$3,IF(W21=Llistes!$K$4,Llistes!$L$4,IF(W21=Llistes!$K$5,Llistes!$L$5,IF(W21=Llistes!$K$6,Llistes!$L$6,IF(W21=Llistes!$K$7,Llistes!$L$7,""))))))</f>
        <v>Gerard Carrion</v>
      </c>
      <c r="Y21" s="165" t="s">
        <v>994</v>
      </c>
      <c r="Z21" s="165" t="s">
        <v>994</v>
      </c>
      <c r="AA21" s="165" t="s">
        <v>994</v>
      </c>
      <c r="AB21" s="165" t="s">
        <v>994</v>
      </c>
      <c r="AC21" s="147"/>
    </row>
    <row r="22" spans="1:29" ht="40.5" customHeight="1">
      <c r="A22" s="13" t="s">
        <v>265</v>
      </c>
      <c r="B22" s="252"/>
      <c r="C22" s="334"/>
      <c r="D22" s="288"/>
      <c r="E22" s="272"/>
      <c r="F22" s="55" t="s">
        <v>301</v>
      </c>
      <c r="G22" s="54" t="s">
        <v>302</v>
      </c>
      <c r="H22" s="55" t="s">
        <v>303</v>
      </c>
      <c r="I22" s="55" t="s">
        <v>304</v>
      </c>
      <c r="J22" s="56" t="str">
        <f t="shared" ref="J22" si="5">G22</f>
        <v xml:space="preserve">Desplegar els objectius i tasques recollits en els instruments de referència i compromisos internacionals  </v>
      </c>
      <c r="K22" s="56"/>
      <c r="L22" s="31"/>
      <c r="M22" s="103" t="s">
        <v>305</v>
      </c>
      <c r="N22" s="31"/>
      <c r="O22" s="53"/>
      <c r="P22" s="54"/>
      <c r="Q22" s="54" t="s">
        <v>1074</v>
      </c>
      <c r="R22" s="31" t="s">
        <v>1443</v>
      </c>
      <c r="S22" s="164">
        <v>0.5</v>
      </c>
      <c r="T22" s="164">
        <v>1</v>
      </c>
      <c r="U22" s="163">
        <v>0.15</v>
      </c>
      <c r="V22" s="163">
        <f>PLA!U22*Llistes!$L$11*Llistes!$L$12</f>
        <v>20</v>
      </c>
      <c r="W22" s="60" t="s">
        <v>1082</v>
      </c>
      <c r="X22" s="60" t="str">
        <f>IF(W22=Llistes!$K$2,Llistes!$L$2,IF(W22=Llistes!$K$3,Llistes!$L$3,IF(W22=Llistes!$K$4,Llistes!$L$4,IF(W22=Llistes!$K$5,Llistes!$L$5,IF(W22=Llistes!$K$6,Llistes!$L$6,IF(W22=Llistes!$K$7,Llistes!$L$7,""))))))</f>
        <v>Montse Pascual</v>
      </c>
      <c r="Y22" s="165"/>
      <c r="Z22" s="165"/>
      <c r="AA22" s="165"/>
      <c r="AB22" s="165"/>
      <c r="AC22" s="147"/>
    </row>
    <row r="23" spans="1:29" ht="72.650000000000006" customHeight="1">
      <c r="A23" s="13"/>
      <c r="B23" s="252"/>
      <c r="C23" s="334"/>
      <c r="D23" s="286" t="s">
        <v>307</v>
      </c>
      <c r="E23" s="270" t="s">
        <v>308</v>
      </c>
      <c r="F23" s="53" t="s">
        <v>309</v>
      </c>
      <c r="G23" s="54" t="s">
        <v>310</v>
      </c>
      <c r="H23" s="55" t="s">
        <v>271</v>
      </c>
      <c r="I23" s="55" t="s">
        <v>272</v>
      </c>
      <c r="J23" s="56" t="s">
        <v>310</v>
      </c>
      <c r="K23" s="56"/>
      <c r="L23" s="31"/>
      <c r="M23" s="103" t="s">
        <v>286</v>
      </c>
      <c r="N23" s="31" t="s">
        <v>1434</v>
      </c>
      <c r="O23" s="53"/>
      <c r="P23" s="54"/>
      <c r="Q23" s="54" t="s">
        <v>1435</v>
      </c>
      <c r="R23" s="31" t="s">
        <v>1436</v>
      </c>
      <c r="S23" s="163" t="s">
        <v>1438</v>
      </c>
      <c r="T23" s="163" t="s">
        <v>1437</v>
      </c>
      <c r="U23" s="163">
        <v>0.3</v>
      </c>
      <c r="V23" s="163">
        <f>PLA!U23*Llistes!$L$11*Llistes!$L$12</f>
        <v>40</v>
      </c>
      <c r="W23" s="60" t="s">
        <v>277</v>
      </c>
      <c r="X23" s="60" t="str">
        <f>IF(W23=Llistes!$K$2,Llistes!$L$2,IF(W23=Llistes!$K$3,Llistes!$L$3,IF(W23=Llistes!$K$4,Llistes!$L$4,IF(W23=Llistes!$K$5,Llistes!$L$5,IF(W23=Llistes!$K$6,Llistes!$L$6,IF(W23=Llistes!$K$7,Llistes!$L$7,""))))))</f>
        <v>Pau Federico</v>
      </c>
      <c r="Y23" s="165"/>
      <c r="Z23" s="165"/>
      <c r="AA23" s="165"/>
      <c r="AB23" s="165"/>
      <c r="AC23" s="147"/>
    </row>
    <row r="24" spans="1:29" ht="74.5" customHeight="1">
      <c r="A24" s="13" t="s">
        <v>265</v>
      </c>
      <c r="B24" s="252"/>
      <c r="C24" s="334"/>
      <c r="D24" s="287"/>
      <c r="E24" s="271"/>
      <c r="F24" s="186" t="s">
        <v>309</v>
      </c>
      <c r="G24" s="187" t="s">
        <v>310</v>
      </c>
      <c r="H24" s="188" t="s">
        <v>271</v>
      </c>
      <c r="I24" s="188" t="s">
        <v>272</v>
      </c>
      <c r="J24" s="56" t="str">
        <f>G23</f>
        <v>Identificar espais pel foment de la dinàmica natural i l'aprofitament no extractiu</v>
      </c>
      <c r="K24" s="56"/>
      <c r="L24" s="31"/>
      <c r="M24" s="103" t="s">
        <v>286</v>
      </c>
      <c r="N24" s="31" t="s">
        <v>1433</v>
      </c>
      <c r="O24" s="55" t="s">
        <v>288</v>
      </c>
      <c r="P24" s="54" t="s">
        <v>311</v>
      </c>
      <c r="Q24" s="54" t="s">
        <v>1221</v>
      </c>
      <c r="R24" s="31" t="s">
        <v>1031</v>
      </c>
      <c r="S24" s="163" t="s">
        <v>1032</v>
      </c>
      <c r="T24" s="163" t="s">
        <v>1033</v>
      </c>
      <c r="U24" s="163">
        <v>4.4999999999999998E-2</v>
      </c>
      <c r="V24" s="163">
        <f>PLA!U24*Llistes!$L$11*Llistes!$L$12</f>
        <v>6</v>
      </c>
      <c r="W24" s="60" t="s">
        <v>277</v>
      </c>
      <c r="X24" s="60" t="str">
        <f>IF(W24=Llistes!$K$2,Llistes!$L$2,IF(W24=Llistes!$K$3,Llistes!$L$3,IF(W24=Llistes!$K$4,Llistes!$L$4,IF(W24=Llistes!$K$5,Llistes!$L$5,IF(W24=Llistes!$K$6,Llistes!$L$6,IF(W24=Llistes!$K$7,Llistes!$L$7,""))))))</f>
        <v>Pau Federico</v>
      </c>
      <c r="Y24" s="165" t="s">
        <v>994</v>
      </c>
      <c r="Z24" s="165" t="s">
        <v>994</v>
      </c>
      <c r="AA24" s="165" t="s">
        <v>994</v>
      </c>
      <c r="AB24" s="165" t="s">
        <v>994</v>
      </c>
      <c r="AC24" s="147"/>
    </row>
    <row r="25" spans="1:29" ht="58">
      <c r="A25" s="13" t="s">
        <v>265</v>
      </c>
      <c r="B25" s="252"/>
      <c r="C25" s="334"/>
      <c r="D25" s="287"/>
      <c r="E25" s="271"/>
      <c r="F25" s="186" t="s">
        <v>312</v>
      </c>
      <c r="G25" s="187" t="s">
        <v>313</v>
      </c>
      <c r="H25" s="188" t="s">
        <v>303</v>
      </c>
      <c r="I25" s="188" t="s">
        <v>285</v>
      </c>
      <c r="J25" s="56" t="str">
        <f t="shared" si="2"/>
        <v>Afavorir la maduresa dels sistemes forestals</v>
      </c>
      <c r="K25" s="56"/>
      <c r="L25" s="31"/>
      <c r="M25" s="103" t="s">
        <v>286</v>
      </c>
      <c r="N25" s="31" t="s">
        <v>314</v>
      </c>
      <c r="O25" s="55" t="s">
        <v>275</v>
      </c>
      <c r="P25" s="54" t="s">
        <v>311</v>
      </c>
      <c r="Q25" s="54" t="s">
        <v>315</v>
      </c>
      <c r="R25" s="31" t="s">
        <v>1034</v>
      </c>
      <c r="S25" s="163" t="s">
        <v>1418</v>
      </c>
      <c r="T25" s="163" t="s">
        <v>1419</v>
      </c>
      <c r="U25" s="163">
        <v>4.4999999999999998E-2</v>
      </c>
      <c r="V25" s="163">
        <f>PLA!U25*Llistes!$L$11*Llistes!$L$12</f>
        <v>6</v>
      </c>
      <c r="W25" s="60" t="s">
        <v>291</v>
      </c>
      <c r="X25" s="60" t="str">
        <f>IF(W25=Llistes!$K$2,Llistes!$L$2,IF(W25=Llistes!$K$3,Llistes!$L$3,IF(W25=Llistes!$K$4,Llistes!$L$4,IF(W25=Llistes!$K$5,Llistes!$L$5,IF(W25=Llistes!$K$6,Llistes!$L$6,IF(W25=Llistes!$K$7,Llistes!$L$7,""))))))</f>
        <v>Gerard Carrion</v>
      </c>
      <c r="Y25" s="165" t="s">
        <v>994</v>
      </c>
      <c r="Z25" s="165"/>
      <c r="AA25" s="165" t="s">
        <v>994</v>
      </c>
      <c r="AB25" s="165"/>
      <c r="AC25" s="147"/>
    </row>
    <row r="26" spans="1:29" ht="87">
      <c r="A26" s="13" t="s">
        <v>265</v>
      </c>
      <c r="B26" s="252"/>
      <c r="C26" s="334"/>
      <c r="D26" s="287"/>
      <c r="E26" s="271"/>
      <c r="F26" s="186" t="s">
        <v>316</v>
      </c>
      <c r="G26" s="187" t="s">
        <v>317</v>
      </c>
      <c r="H26" s="188" t="s">
        <v>303</v>
      </c>
      <c r="I26" s="188" t="s">
        <v>279</v>
      </c>
      <c r="J26" s="56" t="str">
        <f t="shared" si="2"/>
        <v>Generar pertorbacions controlades</v>
      </c>
      <c r="K26" s="56" t="s">
        <v>318</v>
      </c>
      <c r="L26" s="31"/>
      <c r="M26" s="103" t="s">
        <v>305</v>
      </c>
      <c r="N26" s="31" t="s">
        <v>319</v>
      </c>
      <c r="O26" s="55" t="s">
        <v>275</v>
      </c>
      <c r="P26" s="54" t="s">
        <v>311</v>
      </c>
      <c r="Q26" s="54" t="s">
        <v>320</v>
      </c>
      <c r="R26" s="31" t="s">
        <v>1035</v>
      </c>
      <c r="S26" s="163" t="s">
        <v>1036</v>
      </c>
      <c r="T26" s="163" t="s">
        <v>1037</v>
      </c>
      <c r="U26" s="163">
        <v>4.4999999999999998E-2</v>
      </c>
      <c r="V26" s="163">
        <f>PLA!U26*Llistes!$L$11*Llistes!$L$12</f>
        <v>6</v>
      </c>
      <c r="W26" s="60" t="s">
        <v>291</v>
      </c>
      <c r="X26" s="60" t="str">
        <f>IF(W26=Llistes!$K$2,Llistes!$L$2,IF(W26=Llistes!$K$3,Llistes!$L$3,IF(W26=Llistes!$K$4,Llistes!$L$4,IF(W26=Llistes!$K$5,Llistes!$L$5,IF(W26=Llistes!$K$6,Llistes!$L$6,IF(W26=Llistes!$K$7,Llistes!$L$7,""))))))</f>
        <v>Gerard Carrion</v>
      </c>
      <c r="Y26" s="165" t="s">
        <v>994</v>
      </c>
      <c r="Z26" s="165" t="s">
        <v>994</v>
      </c>
      <c r="AA26" s="165" t="s">
        <v>994</v>
      </c>
      <c r="AB26" s="165" t="s">
        <v>994</v>
      </c>
      <c r="AC26" s="147"/>
    </row>
    <row r="27" spans="1:29">
      <c r="A27" s="13" t="s">
        <v>265</v>
      </c>
      <c r="B27" s="252"/>
      <c r="C27" s="334"/>
      <c r="D27" s="287"/>
      <c r="E27" s="271"/>
      <c r="F27" s="186" t="s">
        <v>321</v>
      </c>
      <c r="G27" s="187" t="s">
        <v>1533</v>
      </c>
      <c r="H27" s="188" t="s">
        <v>303</v>
      </c>
      <c r="I27" s="188" t="s">
        <v>304</v>
      </c>
      <c r="J27" s="56"/>
      <c r="K27" s="56"/>
      <c r="L27" s="31"/>
      <c r="M27" s="103"/>
      <c r="N27" s="31"/>
      <c r="O27" s="55"/>
      <c r="P27" s="54"/>
      <c r="Q27" s="54"/>
      <c r="R27" s="31"/>
      <c r="S27" s="163"/>
      <c r="T27" s="163"/>
      <c r="U27" s="163"/>
      <c r="V27" s="163"/>
      <c r="W27" s="60"/>
      <c r="X27" s="60"/>
      <c r="Y27" s="165"/>
      <c r="Z27" s="165"/>
      <c r="AA27" s="165"/>
      <c r="AB27" s="165"/>
      <c r="AC27" s="147"/>
    </row>
    <row r="28" spans="1:29" ht="126.65" customHeight="1">
      <c r="A28" s="13" t="s">
        <v>265</v>
      </c>
      <c r="B28" s="252"/>
      <c r="C28" s="334"/>
      <c r="D28" s="287"/>
      <c r="E28" s="271"/>
      <c r="F28" s="186" t="s">
        <v>322</v>
      </c>
      <c r="G28" s="187" t="s">
        <v>323</v>
      </c>
      <c r="H28" s="188" t="s">
        <v>303</v>
      </c>
      <c r="I28" s="188" t="s">
        <v>285</v>
      </c>
      <c r="J28" s="56" t="str">
        <f t="shared" si="2"/>
        <v>Fomentar el paisatge en mosaïc</v>
      </c>
      <c r="K28" s="56"/>
      <c r="L28" s="31"/>
      <c r="M28" s="103" t="s">
        <v>286</v>
      </c>
      <c r="N28" s="31" t="s">
        <v>324</v>
      </c>
      <c r="O28" s="55" t="s">
        <v>288</v>
      </c>
      <c r="P28" s="54" t="s">
        <v>311</v>
      </c>
      <c r="Q28" s="54" t="s">
        <v>1222</v>
      </c>
      <c r="R28" s="31" t="s">
        <v>1038</v>
      </c>
      <c r="S28" s="163" t="s">
        <v>1036</v>
      </c>
      <c r="T28" s="163" t="s">
        <v>1039</v>
      </c>
      <c r="U28" s="163">
        <v>4.4999999999999998E-2</v>
      </c>
      <c r="V28" s="163">
        <f>PLA!U28*Llistes!$L$11*Llistes!$L$12</f>
        <v>6</v>
      </c>
      <c r="W28" s="60" t="s">
        <v>291</v>
      </c>
      <c r="X28" s="60" t="str">
        <f>IF(W28=Llistes!$K$2,Llistes!$L$2,IF(W28=Llistes!$K$3,Llistes!$L$3,IF(W28=Llistes!$K$4,Llistes!$L$4,IF(W28=Llistes!$K$5,Llistes!$L$5,IF(W28=Llistes!$K$6,Llistes!$L$6,IF(W28=Llistes!$K$7,Llistes!$L$7,""))))))</f>
        <v>Gerard Carrion</v>
      </c>
      <c r="Y28" s="165" t="s">
        <v>994</v>
      </c>
      <c r="Z28" s="165" t="s">
        <v>994</v>
      </c>
      <c r="AA28" s="165" t="s">
        <v>994</v>
      </c>
      <c r="AB28" s="165" t="s">
        <v>994</v>
      </c>
      <c r="AC28" s="147"/>
    </row>
    <row r="29" spans="1:29" ht="29">
      <c r="A29" s="13" t="s">
        <v>265</v>
      </c>
      <c r="B29" s="252"/>
      <c r="C29" s="334"/>
      <c r="D29" s="287"/>
      <c r="E29" s="271"/>
      <c r="F29" s="186" t="s">
        <v>325</v>
      </c>
      <c r="G29" s="187" t="s">
        <v>1529</v>
      </c>
      <c r="H29" s="188" t="s">
        <v>303</v>
      </c>
      <c r="I29" s="188" t="s">
        <v>304</v>
      </c>
      <c r="J29" s="56"/>
      <c r="K29" s="56"/>
      <c r="L29" s="31"/>
      <c r="M29" s="103"/>
      <c r="N29" s="31"/>
      <c r="O29" s="55"/>
      <c r="P29" s="54"/>
      <c r="Q29" s="54"/>
      <c r="R29" s="31"/>
      <c r="S29" s="163"/>
      <c r="T29" s="163"/>
      <c r="U29" s="163"/>
      <c r="V29" s="163"/>
      <c r="W29" s="60"/>
      <c r="X29" s="60"/>
      <c r="Y29" s="165"/>
      <c r="Z29" s="165"/>
      <c r="AA29" s="165"/>
      <c r="AB29" s="165"/>
      <c r="AC29" s="147"/>
    </row>
    <row r="30" spans="1:29">
      <c r="A30" s="13" t="s">
        <v>265</v>
      </c>
      <c r="B30" s="252"/>
      <c r="C30" s="334"/>
      <c r="D30" s="288"/>
      <c r="E30" s="272"/>
      <c r="F30" s="186" t="s">
        <v>1530</v>
      </c>
      <c r="G30" s="187" t="s">
        <v>1531</v>
      </c>
      <c r="H30" s="188" t="s">
        <v>271</v>
      </c>
      <c r="I30" s="188" t="s">
        <v>285</v>
      </c>
      <c r="J30" s="56"/>
      <c r="K30" s="56"/>
      <c r="L30" s="31"/>
      <c r="M30" s="103"/>
      <c r="N30" s="31"/>
      <c r="O30" s="55"/>
      <c r="P30" s="54"/>
      <c r="Q30" s="54"/>
      <c r="R30" s="31"/>
      <c r="S30" s="163"/>
      <c r="T30" s="163"/>
      <c r="U30" s="163"/>
      <c r="V30" s="163"/>
      <c r="W30" s="60"/>
      <c r="X30" s="60"/>
      <c r="Y30" s="165"/>
      <c r="Z30" s="165"/>
      <c r="AA30" s="165"/>
      <c r="AB30" s="165"/>
      <c r="AC30" s="147"/>
    </row>
    <row r="31" spans="1:29" ht="43.5">
      <c r="A31" s="13" t="s">
        <v>265</v>
      </c>
      <c r="B31" s="252"/>
      <c r="C31" s="334"/>
      <c r="D31" s="286" t="s">
        <v>326</v>
      </c>
      <c r="E31" s="270" t="s">
        <v>327</v>
      </c>
      <c r="F31" s="186" t="s">
        <v>328</v>
      </c>
      <c r="G31" s="187" t="s">
        <v>329</v>
      </c>
      <c r="H31" s="188" t="s">
        <v>271</v>
      </c>
      <c r="I31" s="188" t="s">
        <v>285</v>
      </c>
      <c r="J31" s="56" t="str">
        <f t="shared" ref="J31" si="6">G31</f>
        <v>Fomentar acords de custòdia en espais d'alt valor dins l'ENP per a la gestió dels elements prioritaris</v>
      </c>
      <c r="K31" s="56"/>
      <c r="L31" s="31"/>
      <c r="M31" s="103" t="s">
        <v>273</v>
      </c>
      <c r="N31" s="31" t="s">
        <v>330</v>
      </c>
      <c r="O31" s="55" t="s">
        <v>275</v>
      </c>
      <c r="P31" s="54" t="s">
        <v>331</v>
      </c>
      <c r="Q31" s="54" t="s">
        <v>1223</v>
      </c>
      <c r="R31" s="31" t="s">
        <v>1040</v>
      </c>
      <c r="S31" s="163">
        <v>1</v>
      </c>
      <c r="T31" s="163">
        <v>2</v>
      </c>
      <c r="U31" s="163">
        <v>4.4999999999999998E-2</v>
      </c>
      <c r="V31" s="163">
        <f>PLA!U31*Llistes!$L$11*Llistes!$L$12</f>
        <v>6</v>
      </c>
      <c r="W31" s="60" t="s">
        <v>291</v>
      </c>
      <c r="X31" s="60" t="str">
        <f>IF(W31=Llistes!$K$2,Llistes!$L$2,IF(W31=Llistes!$K$3,Llistes!$L$3,IF(W31=Llistes!$K$4,Llistes!$L$4,IF(W31=Llistes!$K$5,Llistes!$L$5,IF(W31=Llistes!$K$6,Llistes!$L$6,IF(W31=Llistes!$K$7,Llistes!$L$7,""))))))</f>
        <v>Gerard Carrion</v>
      </c>
      <c r="Y31" s="165"/>
      <c r="Z31" s="165"/>
      <c r="AA31" s="165"/>
      <c r="AB31" s="165"/>
      <c r="AC31" s="147"/>
    </row>
    <row r="32" spans="1:29" ht="58">
      <c r="A32" s="13" t="s">
        <v>265</v>
      </c>
      <c r="B32" s="252"/>
      <c r="C32" s="334"/>
      <c r="D32" s="287"/>
      <c r="E32" s="271"/>
      <c r="F32" s="186" t="s">
        <v>328</v>
      </c>
      <c r="G32" s="187" t="s">
        <v>329</v>
      </c>
      <c r="H32" s="188" t="s">
        <v>271</v>
      </c>
      <c r="I32" s="188" t="s">
        <v>285</v>
      </c>
      <c r="J32" s="56" t="str">
        <f t="shared" si="2"/>
        <v>Fomentar acords de custòdia en espais d'alt valor dins l'ENP per a la gestió dels elements prioritaris</v>
      </c>
      <c r="K32" s="56"/>
      <c r="L32" s="31"/>
      <c r="M32" s="103" t="s">
        <v>273</v>
      </c>
      <c r="N32" s="31" t="s">
        <v>330</v>
      </c>
      <c r="O32" s="55" t="s">
        <v>275</v>
      </c>
      <c r="P32" s="54" t="s">
        <v>331</v>
      </c>
      <c r="Q32" s="54" t="s">
        <v>1224</v>
      </c>
      <c r="R32" s="31" t="s">
        <v>1041</v>
      </c>
      <c r="S32" s="163">
        <v>1</v>
      </c>
      <c r="T32" s="163">
        <v>3</v>
      </c>
      <c r="U32" s="163">
        <v>4.4999999999999998E-2</v>
      </c>
      <c r="V32" s="163">
        <f>PLA!U32*Llistes!$L$11*Llistes!$L$12</f>
        <v>6</v>
      </c>
      <c r="W32" s="60" t="s">
        <v>291</v>
      </c>
      <c r="X32" s="60" t="str">
        <f>IF(W32=Llistes!$K$2,Llistes!$L$2,IF(W32=Llistes!$K$3,Llistes!$L$3,IF(W32=Llistes!$K$4,Llistes!$L$4,IF(W32=Llistes!$K$5,Llistes!$L$5,IF(W32=Llistes!$K$6,Llistes!$L$6,IF(W32=Llistes!$K$7,Llistes!$L$7,""))))))</f>
        <v>Gerard Carrion</v>
      </c>
      <c r="Y32" s="165" t="s">
        <v>994</v>
      </c>
      <c r="Z32" s="165" t="s">
        <v>994</v>
      </c>
      <c r="AA32" s="165"/>
      <c r="AB32" s="165"/>
      <c r="AC32" s="147"/>
    </row>
    <row r="33" spans="1:29" ht="45" customHeight="1">
      <c r="A33" s="13" t="s">
        <v>265</v>
      </c>
      <c r="B33" s="252"/>
      <c r="C33" s="334"/>
      <c r="D33" s="287"/>
      <c r="E33" s="271"/>
      <c r="F33" s="241" t="s">
        <v>332</v>
      </c>
      <c r="G33" s="243" t="s">
        <v>333</v>
      </c>
      <c r="H33" s="233" t="s">
        <v>271</v>
      </c>
      <c r="I33" s="233" t="s">
        <v>285</v>
      </c>
      <c r="J33" s="245" t="str">
        <f t="shared" si="2"/>
        <v>Fomentar bones pràctiques entre els col·lectius de propietaris i gestors del territori</v>
      </c>
      <c r="K33" s="247"/>
      <c r="L33" s="225"/>
      <c r="M33" s="227" t="s">
        <v>286</v>
      </c>
      <c r="N33" s="229" t="s">
        <v>334</v>
      </c>
      <c r="O33" s="55"/>
      <c r="P33" s="54"/>
      <c r="Q33" s="231" t="s">
        <v>335</v>
      </c>
      <c r="R33" s="229" t="s">
        <v>1042</v>
      </c>
      <c r="S33" s="225">
        <v>1</v>
      </c>
      <c r="T33" s="225">
        <v>2</v>
      </c>
      <c r="U33" s="225">
        <v>0.15</v>
      </c>
      <c r="V33" s="225">
        <f>PLA!U33*Llistes!$L$11*Llistes!$L$12</f>
        <v>20</v>
      </c>
      <c r="W33" s="221" t="s">
        <v>277</v>
      </c>
      <c r="X33" s="223" t="str">
        <f>IF(W33=Llistes!$K$2,Llistes!$L$2,IF(W33=Llistes!$K$3,Llistes!$L$3,IF(W33=Llistes!$K$4,Llistes!$L$4,IF(W33=Llistes!$K$5,Llistes!$L$5,IF(W33=Llistes!$K$6,Llistes!$L$6,IF(W33=Llistes!$K$7,Llistes!$L$7,""))))))</f>
        <v>Pau Federico</v>
      </c>
      <c r="Y33" s="165" t="s">
        <v>994</v>
      </c>
      <c r="Z33" s="165"/>
      <c r="AA33" s="165" t="s">
        <v>994</v>
      </c>
      <c r="AB33" s="165"/>
      <c r="AC33" s="147"/>
    </row>
    <row r="34" spans="1:29">
      <c r="A34" s="13" t="s">
        <v>265</v>
      </c>
      <c r="B34" s="252"/>
      <c r="C34" s="334"/>
      <c r="D34" s="287"/>
      <c r="E34" s="271"/>
      <c r="F34" s="242"/>
      <c r="G34" s="244"/>
      <c r="H34" s="234"/>
      <c r="I34" s="234"/>
      <c r="J34" s="246"/>
      <c r="K34" s="248"/>
      <c r="L34" s="226"/>
      <c r="M34" s="228"/>
      <c r="N34" s="230"/>
      <c r="O34" s="55"/>
      <c r="P34" s="54"/>
      <c r="Q34" s="232"/>
      <c r="R34" s="230"/>
      <c r="S34" s="226"/>
      <c r="T34" s="226"/>
      <c r="U34" s="226"/>
      <c r="V34" s="226"/>
      <c r="W34" s="222"/>
      <c r="X34" s="224"/>
      <c r="Y34" s="165"/>
      <c r="Z34" s="165"/>
      <c r="AA34" s="165"/>
      <c r="AB34" s="165"/>
      <c r="AC34" s="147"/>
    </row>
    <row r="35" spans="1:29" ht="29">
      <c r="A35" s="13"/>
      <c r="B35" s="253"/>
      <c r="C35" s="335"/>
      <c r="D35" s="288"/>
      <c r="E35" s="272"/>
      <c r="F35" s="186" t="s">
        <v>336</v>
      </c>
      <c r="G35" s="187" t="s">
        <v>1534</v>
      </c>
      <c r="H35" s="188" t="s">
        <v>303</v>
      </c>
      <c r="I35" s="188" t="s">
        <v>304</v>
      </c>
      <c r="J35" s="56"/>
      <c r="K35" s="56"/>
      <c r="L35" s="31"/>
      <c r="M35" s="103"/>
      <c r="N35" s="31"/>
      <c r="O35" s="55"/>
      <c r="P35" s="54"/>
      <c r="Q35" s="54"/>
      <c r="R35" s="31"/>
      <c r="T35" s="163"/>
      <c r="U35" s="163"/>
      <c r="V35" s="163"/>
      <c r="W35" s="60"/>
      <c r="X35" s="60"/>
      <c r="Y35" s="165"/>
      <c r="Z35" s="165"/>
      <c r="AA35" s="165"/>
      <c r="AB35" s="165"/>
      <c r="AC35" s="147"/>
    </row>
    <row r="36" spans="1:29" ht="58">
      <c r="A36" s="13" t="s">
        <v>265</v>
      </c>
      <c r="B36" s="251">
        <v>2</v>
      </c>
      <c r="C36" s="333" t="s">
        <v>337</v>
      </c>
      <c r="D36" s="286" t="s">
        <v>338</v>
      </c>
      <c r="E36" s="270" t="s">
        <v>339</v>
      </c>
      <c r="F36" s="186" t="s">
        <v>340</v>
      </c>
      <c r="G36" s="187" t="s">
        <v>341</v>
      </c>
      <c r="H36" s="188" t="s">
        <v>271</v>
      </c>
      <c r="I36" s="188" t="s">
        <v>272</v>
      </c>
      <c r="J36" s="56" t="s">
        <v>342</v>
      </c>
      <c r="K36" s="56" t="s">
        <v>343</v>
      </c>
      <c r="L36" s="31"/>
      <c r="M36" s="103" t="s">
        <v>286</v>
      </c>
      <c r="N36" s="31" t="s">
        <v>344</v>
      </c>
      <c r="O36" s="55"/>
      <c r="P36" s="54"/>
      <c r="Q36" s="54" t="s">
        <v>1225</v>
      </c>
      <c r="R36" s="31" t="s">
        <v>1293</v>
      </c>
      <c r="S36" s="163"/>
      <c r="T36" s="163" t="s">
        <v>1043</v>
      </c>
      <c r="U36" s="163">
        <v>0.51</v>
      </c>
      <c r="V36" s="163">
        <f>PLA!U36*Llistes!$L$11*Llistes!$L$12</f>
        <v>68</v>
      </c>
      <c r="W36" s="60" t="s">
        <v>291</v>
      </c>
      <c r="X36" s="60" t="str">
        <f>IF(W36=Llistes!$K$2,Llistes!$L$2,IF(W36=Llistes!$K$3,Llistes!$L$3,IF(W36=Llistes!$K$4,Llistes!$L$4,IF(W36=Llistes!$K$5,Llistes!$L$5,IF(W36=Llistes!$K$6,Llistes!$L$6,IF(W36=Llistes!$K$7,Llistes!$L$7,""))))))</f>
        <v>Gerard Carrion</v>
      </c>
      <c r="Y36" s="165" t="s">
        <v>994</v>
      </c>
      <c r="Z36" s="165" t="s">
        <v>994</v>
      </c>
      <c r="AA36" s="165"/>
      <c r="AB36" s="165"/>
      <c r="AC36" s="147"/>
    </row>
    <row r="37" spans="1:29" ht="72.5">
      <c r="A37" s="13" t="s">
        <v>265</v>
      </c>
      <c r="B37" s="252"/>
      <c r="C37" s="334"/>
      <c r="D37" s="287"/>
      <c r="E37" s="271"/>
      <c r="F37" s="186" t="s">
        <v>340</v>
      </c>
      <c r="G37" s="187" t="s">
        <v>341</v>
      </c>
      <c r="H37" s="188" t="s">
        <v>271</v>
      </c>
      <c r="I37" s="188" t="s">
        <v>272</v>
      </c>
      <c r="J37" s="56" t="s">
        <v>342</v>
      </c>
      <c r="K37" s="56" t="s">
        <v>343</v>
      </c>
      <c r="L37" s="31"/>
      <c r="M37" s="103" t="s">
        <v>286</v>
      </c>
      <c r="N37" s="31" t="s">
        <v>344</v>
      </c>
      <c r="O37" s="55"/>
      <c r="P37" s="54"/>
      <c r="Q37" s="54" t="s">
        <v>1226</v>
      </c>
      <c r="R37" s="31" t="s">
        <v>1008</v>
      </c>
      <c r="S37" s="163">
        <v>1</v>
      </c>
      <c r="T37" s="163" t="s">
        <v>1009</v>
      </c>
      <c r="U37" s="163">
        <v>4.4999999999999998E-2</v>
      </c>
      <c r="V37" s="163">
        <f>PLA!U37*Llistes!$L$11*Llistes!$L$12</f>
        <v>6</v>
      </c>
      <c r="W37" s="60" t="s">
        <v>291</v>
      </c>
      <c r="X37" s="60" t="str">
        <f>IF(W37=Llistes!$K$2,Llistes!$L$2,IF(W37=Llistes!$K$3,Llistes!$L$3,IF(W37=Llistes!$K$4,Llistes!$L$4,IF(W37=Llistes!$K$5,Llistes!$L$5,IF(W37=Llistes!$K$6,Llistes!$L$6,IF(W37=Llistes!$K$7,Llistes!$L$7,""))))))</f>
        <v>Gerard Carrion</v>
      </c>
      <c r="Y37" s="165"/>
      <c r="Z37" s="165"/>
      <c r="AA37" s="165" t="s">
        <v>994</v>
      </c>
      <c r="AB37" s="165"/>
      <c r="AC37" s="147"/>
    </row>
    <row r="38" spans="1:29" ht="58">
      <c r="A38" s="13" t="s">
        <v>265</v>
      </c>
      <c r="B38" s="252"/>
      <c r="C38" s="334"/>
      <c r="D38" s="287"/>
      <c r="E38" s="271"/>
      <c r="F38" s="186" t="s">
        <v>340</v>
      </c>
      <c r="G38" s="187" t="s">
        <v>341</v>
      </c>
      <c r="H38" s="188" t="s">
        <v>271</v>
      </c>
      <c r="I38" s="188" t="s">
        <v>272</v>
      </c>
      <c r="J38" s="56" t="s">
        <v>342</v>
      </c>
      <c r="K38" s="56" t="s">
        <v>343</v>
      </c>
      <c r="L38" s="31"/>
      <c r="M38" s="103" t="s">
        <v>286</v>
      </c>
      <c r="N38" s="31" t="s">
        <v>344</v>
      </c>
      <c r="O38" s="55"/>
      <c r="P38" s="54" t="s">
        <v>345</v>
      </c>
      <c r="Q38" s="54" t="s">
        <v>1227</v>
      </c>
      <c r="R38" s="31" t="s">
        <v>1007</v>
      </c>
      <c r="S38" s="163">
        <v>1</v>
      </c>
      <c r="T38" s="163">
        <v>4</v>
      </c>
      <c r="U38" s="163">
        <v>4.4999999999999998E-2</v>
      </c>
      <c r="V38" s="163">
        <f>PLA!U38*Llistes!$L$11*Llistes!$L$12</f>
        <v>6</v>
      </c>
      <c r="W38" s="60" t="s">
        <v>291</v>
      </c>
      <c r="X38" s="60" t="str">
        <f>IF(W38=Llistes!$K$2,Llistes!$L$2,IF(W38=Llistes!$K$3,Llistes!$L$3,IF(W38=Llistes!$K$4,Llistes!$L$4,IF(W38=Llistes!$K$5,Llistes!$L$5,IF(W38=Llistes!$K$6,Llistes!$L$6,IF(W38=Llistes!$K$7,Llistes!$L$7,""))))))</f>
        <v>Gerard Carrion</v>
      </c>
      <c r="Y38" s="165"/>
      <c r="Z38" s="165"/>
      <c r="AA38" s="165" t="s">
        <v>994</v>
      </c>
      <c r="AB38" s="165" t="s">
        <v>994</v>
      </c>
      <c r="AC38" s="147"/>
    </row>
    <row r="39" spans="1:29" ht="101.5">
      <c r="A39" s="13" t="s">
        <v>265</v>
      </c>
      <c r="B39" s="252"/>
      <c r="C39" s="334"/>
      <c r="D39" s="287"/>
      <c r="E39" s="271"/>
      <c r="F39" s="186" t="s">
        <v>346</v>
      </c>
      <c r="G39" s="187" t="s">
        <v>347</v>
      </c>
      <c r="H39" s="188" t="s">
        <v>271</v>
      </c>
      <c r="I39" s="188" t="s">
        <v>285</v>
      </c>
      <c r="J39" s="56" t="str">
        <f t="shared" ref="J39" si="7">G39</f>
        <v>Gestionar i planificar els recursos hídrics de l'ENP</v>
      </c>
      <c r="K39" s="56" t="s">
        <v>348</v>
      </c>
      <c r="L39" s="31"/>
      <c r="M39" s="103" t="s">
        <v>273</v>
      </c>
      <c r="N39" s="31"/>
      <c r="O39" s="55"/>
      <c r="P39" s="54"/>
      <c r="Q39" s="54" t="s">
        <v>1228</v>
      </c>
      <c r="R39" s="31" t="s">
        <v>1044</v>
      </c>
      <c r="S39" s="163">
        <v>5</v>
      </c>
      <c r="T39" s="163">
        <v>10</v>
      </c>
      <c r="U39" s="163">
        <v>1.02</v>
      </c>
      <c r="V39" s="163">
        <f>PLA!U39*Llistes!$L$11*Llistes!$L$12</f>
        <v>136</v>
      </c>
      <c r="W39" s="60" t="s">
        <v>349</v>
      </c>
      <c r="X39" s="60" t="str">
        <f>IF(W39=Llistes!$K$2,Llistes!$L$2,IF(W39=Llistes!$K$3,Llistes!$L$3,IF(W39=Llistes!$K$4,Llistes!$L$4,IF(W39=Llistes!$K$5,Llistes!$L$5,IF(W39=Llistes!$K$6,Llistes!$L$6,IF(W39=Llistes!$K$7,Llistes!$L$7,""))))))</f>
        <v>Sergi Roura</v>
      </c>
      <c r="Y39" s="165" t="s">
        <v>994</v>
      </c>
      <c r="Z39" s="165" t="s">
        <v>994</v>
      </c>
      <c r="AA39" s="165" t="s">
        <v>994</v>
      </c>
      <c r="AB39" s="165" t="s">
        <v>994</v>
      </c>
      <c r="AC39" s="147"/>
    </row>
    <row r="40" spans="1:29" ht="101.5">
      <c r="A40" s="13" t="s">
        <v>265</v>
      </c>
      <c r="B40" s="252"/>
      <c r="C40" s="334"/>
      <c r="D40" s="287"/>
      <c r="E40" s="271"/>
      <c r="F40" s="186" t="s">
        <v>346</v>
      </c>
      <c r="G40" s="187" t="s">
        <v>347</v>
      </c>
      <c r="H40" s="188" t="s">
        <v>271</v>
      </c>
      <c r="I40" s="188" t="s">
        <v>285</v>
      </c>
      <c r="J40" s="56" t="str">
        <f t="shared" ref="J40" si="8">G40</f>
        <v>Gestionar i planificar els recursos hídrics de l'ENP</v>
      </c>
      <c r="K40" s="56" t="s">
        <v>348</v>
      </c>
      <c r="L40" s="31"/>
      <c r="M40" s="103" t="s">
        <v>273</v>
      </c>
      <c r="N40" s="31"/>
      <c r="O40" s="55"/>
      <c r="P40" s="54"/>
      <c r="Q40" s="54" t="s">
        <v>1068</v>
      </c>
      <c r="R40" s="31" t="s">
        <v>1069</v>
      </c>
      <c r="S40" s="163"/>
      <c r="T40" s="163"/>
      <c r="U40" s="163">
        <v>1.02</v>
      </c>
      <c r="V40" s="163">
        <f>PLA!U40*Llistes!$L$11*Llistes!$L$12</f>
        <v>136</v>
      </c>
      <c r="W40" s="60" t="s">
        <v>349</v>
      </c>
      <c r="X40" s="60" t="str">
        <f>IF(W40=Llistes!$K$2,Llistes!$L$2,IF(W40=Llistes!$K$3,Llistes!$L$3,IF(W40=Llistes!$K$4,Llistes!$L$4,IF(W40=Llistes!$K$5,Llistes!$L$5,IF(W40=Llistes!$K$6,Llistes!$L$6,IF(W40=Llistes!$K$7,Llistes!$L$7,""))))))</f>
        <v>Sergi Roura</v>
      </c>
      <c r="Y40" s="165"/>
      <c r="Z40" s="165"/>
      <c r="AA40" s="165"/>
      <c r="AB40" s="165"/>
      <c r="AC40" s="147"/>
    </row>
    <row r="41" spans="1:29" ht="101.5">
      <c r="A41" s="13" t="s">
        <v>265</v>
      </c>
      <c r="B41" s="252"/>
      <c r="C41" s="334"/>
      <c r="D41" s="287"/>
      <c r="E41" s="271"/>
      <c r="F41" s="186" t="s">
        <v>346</v>
      </c>
      <c r="G41" s="187" t="s">
        <v>347</v>
      </c>
      <c r="H41" s="188" t="s">
        <v>271</v>
      </c>
      <c r="I41" s="188" t="s">
        <v>285</v>
      </c>
      <c r="J41" s="56" t="str">
        <f t="shared" si="2"/>
        <v>Gestionar i planificar els recursos hídrics de l'ENP</v>
      </c>
      <c r="K41" s="56" t="s">
        <v>348</v>
      </c>
      <c r="L41" s="31"/>
      <c r="M41" s="103" t="s">
        <v>273</v>
      </c>
      <c r="N41" s="31"/>
      <c r="O41" s="55"/>
      <c r="P41" s="54"/>
      <c r="Q41" s="54" t="s">
        <v>1602</v>
      </c>
      <c r="R41" s="31" t="s">
        <v>1045</v>
      </c>
      <c r="S41" s="163"/>
      <c r="T41" s="163" t="s">
        <v>1043</v>
      </c>
      <c r="U41" s="163">
        <v>1.02</v>
      </c>
      <c r="V41" s="163">
        <f>PLA!U41*Llistes!$L$11*Llistes!$L$12</f>
        <v>136</v>
      </c>
      <c r="W41" s="60" t="s">
        <v>349</v>
      </c>
      <c r="X41" s="60" t="str">
        <f>IF(W41=Llistes!$K$2,Llistes!$L$2,IF(W41=Llistes!$K$3,Llistes!$L$3,IF(W41=Llistes!$K$4,Llistes!$L$4,IF(W41=Llistes!$K$5,Llistes!$L$5,IF(W41=Llistes!$K$6,Llistes!$L$6,IF(W41=Llistes!$K$7,Llistes!$L$7,""))))))</f>
        <v>Sergi Roura</v>
      </c>
      <c r="Y41" s="165" t="s">
        <v>994</v>
      </c>
      <c r="Z41" s="165" t="s">
        <v>994</v>
      </c>
      <c r="AA41" s="165" t="s">
        <v>994</v>
      </c>
      <c r="AB41" s="165" t="s">
        <v>994</v>
      </c>
      <c r="AC41" s="147"/>
    </row>
    <row r="42" spans="1:29" ht="48" customHeight="1">
      <c r="A42" s="13" t="s">
        <v>265</v>
      </c>
      <c r="B42" s="252"/>
      <c r="C42" s="334"/>
      <c r="D42" s="287"/>
      <c r="E42" s="271"/>
      <c r="F42" s="186" t="s">
        <v>350</v>
      </c>
      <c r="G42" s="187" t="s">
        <v>1535</v>
      </c>
      <c r="H42" s="188" t="s">
        <v>303</v>
      </c>
      <c r="I42" s="188" t="s">
        <v>304</v>
      </c>
      <c r="J42" s="56"/>
      <c r="K42" s="56"/>
      <c r="L42" s="31"/>
      <c r="M42" s="103"/>
      <c r="N42" s="31"/>
      <c r="O42" s="55"/>
      <c r="P42" s="54"/>
      <c r="Q42" s="54"/>
      <c r="R42" s="31"/>
      <c r="S42" s="163"/>
      <c r="T42" s="163"/>
      <c r="U42" s="163"/>
      <c r="V42" s="163"/>
      <c r="W42" s="60"/>
      <c r="X42" s="60"/>
      <c r="Y42" s="165"/>
      <c r="Z42" s="165"/>
      <c r="AA42" s="165"/>
      <c r="AB42" s="165"/>
      <c r="AC42" s="147"/>
    </row>
    <row r="43" spans="1:29" ht="43.5">
      <c r="A43" s="13" t="s">
        <v>265</v>
      </c>
      <c r="B43" s="252"/>
      <c r="C43" s="334"/>
      <c r="D43" s="288"/>
      <c r="E43" s="272"/>
      <c r="F43" s="186" t="s">
        <v>351</v>
      </c>
      <c r="G43" s="187" t="s">
        <v>1536</v>
      </c>
      <c r="H43" s="188" t="s">
        <v>303</v>
      </c>
      <c r="I43" s="188" t="s">
        <v>279</v>
      </c>
      <c r="J43" s="56"/>
      <c r="K43" s="56"/>
      <c r="L43" s="31"/>
      <c r="M43" s="103"/>
      <c r="N43" s="31"/>
      <c r="O43" s="55"/>
      <c r="P43" s="54"/>
      <c r="Q43" s="54"/>
      <c r="R43" s="31"/>
      <c r="S43" s="163"/>
      <c r="T43" s="163"/>
      <c r="U43" s="163"/>
      <c r="V43" s="163"/>
      <c r="W43" s="60"/>
      <c r="X43" s="60"/>
      <c r="Y43" s="165"/>
      <c r="Z43" s="165"/>
      <c r="AA43" s="165"/>
      <c r="AB43" s="165"/>
      <c r="AC43" s="147"/>
    </row>
    <row r="44" spans="1:29" ht="58">
      <c r="A44" s="13" t="s">
        <v>265</v>
      </c>
      <c r="B44" s="252"/>
      <c r="C44" s="334"/>
      <c r="D44" s="286" t="s">
        <v>352</v>
      </c>
      <c r="E44" s="338" t="s">
        <v>353</v>
      </c>
      <c r="F44" s="186" t="s">
        <v>354</v>
      </c>
      <c r="G44" s="187" t="s">
        <v>355</v>
      </c>
      <c r="H44" s="188" t="s">
        <v>271</v>
      </c>
      <c r="I44" s="188" t="s">
        <v>285</v>
      </c>
      <c r="J44" s="56" t="s">
        <v>356</v>
      </c>
      <c r="K44" s="56" t="s">
        <v>357</v>
      </c>
      <c r="L44" s="31"/>
      <c r="M44" s="57" t="s">
        <v>286</v>
      </c>
      <c r="N44" s="31" t="s">
        <v>358</v>
      </c>
      <c r="O44" s="58"/>
      <c r="P44" s="59"/>
      <c r="Q44" s="59" t="s">
        <v>1639</v>
      </c>
      <c r="R44" s="31" t="s">
        <v>1046</v>
      </c>
      <c r="S44" s="163">
        <v>2</v>
      </c>
      <c r="T44" s="163">
        <v>4</v>
      </c>
      <c r="U44" s="163">
        <v>4.4999999999999998E-2</v>
      </c>
      <c r="V44" s="163">
        <f>PLA!U44*Llistes!$L$11*Llistes!$L$12</f>
        <v>6</v>
      </c>
      <c r="W44" s="60" t="s">
        <v>291</v>
      </c>
      <c r="X44" s="60" t="str">
        <f>IF(W44=Llistes!$K$2,Llistes!$L$2,IF(W44=Llistes!$K$3,Llistes!$L$3,IF(W44=Llistes!$K$4,Llistes!$L$4,IF(W44=Llistes!$K$5,Llistes!$L$5,IF(W44=Llistes!$K$6,Llistes!$L$6,IF(W44=Llistes!$K$7,Llistes!$L$7,""))))))</f>
        <v>Gerard Carrion</v>
      </c>
      <c r="Y44" s="165" t="s">
        <v>994</v>
      </c>
      <c r="Z44" s="165" t="s">
        <v>994</v>
      </c>
      <c r="AA44" s="165" t="s">
        <v>994</v>
      </c>
      <c r="AB44" s="165" t="s">
        <v>994</v>
      </c>
      <c r="AC44" s="147"/>
    </row>
    <row r="45" spans="1:29" ht="69.650000000000006" customHeight="1">
      <c r="A45" s="13" t="s">
        <v>265</v>
      </c>
      <c r="B45" s="252"/>
      <c r="C45" s="334"/>
      <c r="D45" s="340"/>
      <c r="E45" s="339"/>
      <c r="F45" s="186" t="s">
        <v>354</v>
      </c>
      <c r="G45" s="187" t="s">
        <v>355</v>
      </c>
      <c r="H45" s="188" t="s">
        <v>271</v>
      </c>
      <c r="I45" s="188" t="s">
        <v>285</v>
      </c>
      <c r="J45" s="56" t="s">
        <v>356</v>
      </c>
      <c r="K45" s="56" t="s">
        <v>357</v>
      </c>
      <c r="L45" s="31"/>
      <c r="M45" s="57" t="s">
        <v>286</v>
      </c>
      <c r="N45" s="31" t="s">
        <v>358</v>
      </c>
      <c r="O45" s="58" t="s">
        <v>288</v>
      </c>
      <c r="P45" s="59" t="s">
        <v>359</v>
      </c>
      <c r="Q45" s="59" t="s">
        <v>1230</v>
      </c>
      <c r="R45" s="31" t="s">
        <v>1047</v>
      </c>
      <c r="S45" s="163">
        <v>1</v>
      </c>
      <c r="T45" s="163">
        <v>2</v>
      </c>
      <c r="U45" s="163">
        <v>4.4999999999999998E-2</v>
      </c>
      <c r="V45" s="163">
        <f>PLA!U45*Llistes!$L$11*Llistes!$L$12</f>
        <v>6</v>
      </c>
      <c r="W45" s="60" t="s">
        <v>291</v>
      </c>
      <c r="X45" s="60" t="str">
        <f>IF(W45=Llistes!$K$2,Llistes!$L$2,IF(W45=Llistes!$K$3,Llistes!$L$3,IF(W45=Llistes!$K$4,Llistes!$L$4,IF(W45=Llistes!$K$5,Llistes!$L$5,IF(W45=Llistes!$K$6,Llistes!$L$6,IF(W45=Llistes!$K$7,Llistes!$L$7,""))))))</f>
        <v>Gerard Carrion</v>
      </c>
      <c r="Y45" s="165" t="s">
        <v>994</v>
      </c>
      <c r="Z45" s="165" t="s">
        <v>994</v>
      </c>
      <c r="AA45" s="165" t="s">
        <v>994</v>
      </c>
      <c r="AB45" s="165" t="s">
        <v>994</v>
      </c>
      <c r="AC45" s="147"/>
    </row>
    <row r="46" spans="1:29" ht="58">
      <c r="A46" s="13" t="s">
        <v>265</v>
      </c>
      <c r="B46" s="252"/>
      <c r="C46" s="334"/>
      <c r="D46" s="340"/>
      <c r="E46" s="339"/>
      <c r="F46" s="186" t="s">
        <v>360</v>
      </c>
      <c r="G46" s="187" t="s">
        <v>361</v>
      </c>
      <c r="H46" s="188" t="s">
        <v>303</v>
      </c>
      <c r="I46" s="188" t="s">
        <v>285</v>
      </c>
      <c r="J46" s="56" t="s">
        <v>1416</v>
      </c>
      <c r="K46" s="56" t="s">
        <v>362</v>
      </c>
      <c r="L46" s="31"/>
      <c r="M46" s="57" t="s">
        <v>286</v>
      </c>
      <c r="N46" s="31" t="s">
        <v>363</v>
      </c>
      <c r="O46" s="58"/>
      <c r="P46" s="59" t="s">
        <v>364</v>
      </c>
      <c r="Q46" s="59" t="s">
        <v>365</v>
      </c>
      <c r="R46" s="31" t="s">
        <v>1004</v>
      </c>
      <c r="S46" s="163"/>
      <c r="T46" s="163">
        <v>1</v>
      </c>
      <c r="U46" s="163">
        <v>4.4999999999999998E-2</v>
      </c>
      <c r="V46" s="163">
        <f>PLA!U46*Llistes!$L$11*Llistes!$L$12</f>
        <v>6</v>
      </c>
      <c r="W46" s="60" t="s">
        <v>291</v>
      </c>
      <c r="X46" s="60" t="str">
        <f>IF(W46=Llistes!$K$2,Llistes!$L$2,IF(W46=Llistes!$K$3,Llistes!$L$3,IF(W46=Llistes!$K$4,Llistes!$L$4,IF(W46=Llistes!$K$5,Llistes!$L$5,IF(W46=Llistes!$K$6,Llistes!$L$6,IF(W46=Llistes!$K$7,Llistes!$L$7,""))))))</f>
        <v>Gerard Carrion</v>
      </c>
      <c r="Y46" s="165" t="s">
        <v>994</v>
      </c>
      <c r="Z46" s="165" t="s">
        <v>994</v>
      </c>
      <c r="AA46" s="165" t="s">
        <v>994</v>
      </c>
      <c r="AB46" s="165" t="s">
        <v>994</v>
      </c>
      <c r="AC46" s="147"/>
    </row>
    <row r="47" spans="1:29" ht="43.5">
      <c r="A47" s="13" t="s">
        <v>265</v>
      </c>
      <c r="B47" s="253"/>
      <c r="C47" s="335"/>
      <c r="D47" s="340"/>
      <c r="E47" s="339"/>
      <c r="F47" s="186" t="s">
        <v>366</v>
      </c>
      <c r="G47" s="187" t="s">
        <v>367</v>
      </c>
      <c r="H47" s="188" t="s">
        <v>271</v>
      </c>
      <c r="I47" s="188" t="s">
        <v>272</v>
      </c>
      <c r="J47" s="56" t="s">
        <v>1623</v>
      </c>
      <c r="K47" s="56" t="s">
        <v>1624</v>
      </c>
      <c r="L47" s="31"/>
      <c r="M47" s="57" t="s">
        <v>305</v>
      </c>
      <c r="N47" s="31"/>
      <c r="O47" s="58"/>
      <c r="P47" s="59"/>
      <c r="Q47" s="59" t="s">
        <v>1654</v>
      </c>
      <c r="R47" s="31" t="s">
        <v>1010</v>
      </c>
      <c r="S47" s="163" t="s">
        <v>1011</v>
      </c>
      <c r="T47" s="163" t="s">
        <v>1012</v>
      </c>
      <c r="U47" s="163">
        <v>4.4999999999999998E-2</v>
      </c>
      <c r="V47" s="163">
        <f>PLA!U47*Llistes!$L$11*Llistes!$L$12</f>
        <v>6</v>
      </c>
      <c r="W47" s="60" t="s">
        <v>291</v>
      </c>
      <c r="X47" s="60" t="str">
        <f>IF(W47=Llistes!$K$2,Llistes!$L$2,IF(W47=Llistes!$K$3,Llistes!$L$3,IF(W47=Llistes!$K$4,Llistes!$L$4,IF(W47=Llistes!$K$5,Llistes!$L$5,IF(W47=Llistes!$K$6,Llistes!$L$6,IF(W47=Llistes!$K$7,Llistes!$L$7,""))))))</f>
        <v>Gerard Carrion</v>
      </c>
      <c r="Y47" s="165" t="s">
        <v>994</v>
      </c>
      <c r="Z47" s="165" t="s">
        <v>994</v>
      </c>
      <c r="AA47" s="165" t="s">
        <v>994</v>
      </c>
      <c r="AB47" s="165" t="s">
        <v>994</v>
      </c>
      <c r="AC47" s="147"/>
    </row>
    <row r="48" spans="1:29" ht="43.5">
      <c r="A48" s="13" t="s">
        <v>265</v>
      </c>
      <c r="B48" s="353">
        <v>3</v>
      </c>
      <c r="C48" s="254" t="s">
        <v>368</v>
      </c>
      <c r="D48" s="343" t="s">
        <v>369</v>
      </c>
      <c r="E48" s="342" t="s">
        <v>370</v>
      </c>
      <c r="F48" s="186" t="s">
        <v>371</v>
      </c>
      <c r="G48" s="187" t="s">
        <v>372</v>
      </c>
      <c r="H48" s="188" t="s">
        <v>271</v>
      </c>
      <c r="I48" s="188" t="s">
        <v>285</v>
      </c>
      <c r="J48" s="56" t="s">
        <v>373</v>
      </c>
      <c r="K48" s="56" t="s">
        <v>374</v>
      </c>
      <c r="L48" s="60"/>
      <c r="M48" s="57" t="s">
        <v>305</v>
      </c>
      <c r="N48" s="31"/>
      <c r="O48" s="58"/>
      <c r="P48" s="59"/>
      <c r="Q48" s="59" t="s">
        <v>375</v>
      </c>
      <c r="R48" s="31" t="s">
        <v>1005</v>
      </c>
      <c r="S48" s="163" t="s">
        <v>1048</v>
      </c>
      <c r="T48" s="163" t="s">
        <v>1049</v>
      </c>
      <c r="U48" s="163">
        <v>4.4999999999999998E-2</v>
      </c>
      <c r="V48" s="163">
        <f>PLA!U48*Llistes!$L$11*Llistes!$L$12</f>
        <v>6</v>
      </c>
      <c r="W48" s="60" t="s">
        <v>291</v>
      </c>
      <c r="X48" s="60" t="str">
        <f>IF(W48=Llistes!$K$2,Llistes!$L$2,IF(W48=Llistes!$K$3,Llistes!$L$3,IF(W48=Llistes!$K$4,Llistes!$L$4,IF(W48=Llistes!$K$5,Llistes!$L$5,IF(W48=Llistes!$K$6,Llistes!$L$6,IF(W48=Llistes!$K$7,Llistes!$L$7,""))))))</f>
        <v>Gerard Carrion</v>
      </c>
      <c r="Y48" s="165" t="s">
        <v>994</v>
      </c>
      <c r="Z48" s="165" t="s">
        <v>994</v>
      </c>
      <c r="AA48" s="165" t="s">
        <v>994</v>
      </c>
      <c r="AB48" s="165" t="s">
        <v>994</v>
      </c>
      <c r="AC48" s="147"/>
    </row>
    <row r="49" spans="1:29" ht="58">
      <c r="A49" s="13" t="s">
        <v>265</v>
      </c>
      <c r="B49" s="354"/>
      <c r="C49" s="255"/>
      <c r="D49" s="343"/>
      <c r="E49" s="342"/>
      <c r="F49" s="186" t="s">
        <v>376</v>
      </c>
      <c r="G49" s="187" t="s">
        <v>377</v>
      </c>
      <c r="H49" s="188" t="s">
        <v>271</v>
      </c>
      <c r="I49" s="188" t="s">
        <v>285</v>
      </c>
      <c r="J49" s="56" t="s">
        <v>378</v>
      </c>
      <c r="K49" s="56" t="s">
        <v>379</v>
      </c>
      <c r="L49" s="31"/>
      <c r="M49" s="57" t="s">
        <v>305</v>
      </c>
      <c r="N49" s="31"/>
      <c r="O49" s="58"/>
      <c r="P49" s="59"/>
      <c r="Q49" s="59" t="s">
        <v>380</v>
      </c>
      <c r="R49" s="31" t="s">
        <v>1050</v>
      </c>
      <c r="S49" s="163">
        <v>1</v>
      </c>
      <c r="T49" s="163">
        <v>4</v>
      </c>
      <c r="U49" s="163">
        <v>0.51</v>
      </c>
      <c r="V49" s="163">
        <f>PLA!U49*Llistes!$L$11*Llistes!$L$12</f>
        <v>68</v>
      </c>
      <c r="W49" s="60" t="s">
        <v>291</v>
      </c>
      <c r="X49" s="60" t="str">
        <f>IF(W49=Llistes!$K$2,Llistes!$L$2,IF(W49=Llistes!$K$3,Llistes!$L$3,IF(W49=Llistes!$K$4,Llistes!$L$4,IF(W49=Llistes!$K$5,Llistes!$L$5,IF(W49=Llistes!$K$6,Llistes!$L$6,IF(W49=Llistes!$K$7,Llistes!$L$7,""))))))</f>
        <v>Gerard Carrion</v>
      </c>
      <c r="Y49" s="165" t="s">
        <v>994</v>
      </c>
      <c r="Z49" s="165" t="s">
        <v>994</v>
      </c>
      <c r="AA49" s="165" t="s">
        <v>994</v>
      </c>
      <c r="AB49" s="165" t="s">
        <v>994</v>
      </c>
      <c r="AC49" s="147"/>
    </row>
    <row r="50" spans="1:29" ht="72.5">
      <c r="A50" s="13" t="s">
        <v>265</v>
      </c>
      <c r="B50" s="354"/>
      <c r="C50" s="255"/>
      <c r="D50" s="343"/>
      <c r="E50" s="342"/>
      <c r="F50" s="186" t="s">
        <v>381</v>
      </c>
      <c r="G50" s="187" t="s">
        <v>382</v>
      </c>
      <c r="H50" s="188" t="s">
        <v>271</v>
      </c>
      <c r="I50" s="188" t="s">
        <v>285</v>
      </c>
      <c r="J50" s="56" t="str">
        <f>G50</f>
        <v>Participar en la compensació d'impactes residuals durant els processos d'avaluació ambiental mitjançant la identificació de necessitats d'actuació prioritària dins i fora dels límits de l’ENP</v>
      </c>
      <c r="K50" s="56"/>
      <c r="L50" s="31"/>
      <c r="M50" s="57" t="s">
        <v>305</v>
      </c>
      <c r="N50" s="31" t="s">
        <v>383</v>
      </c>
      <c r="O50" s="58"/>
      <c r="P50" s="59"/>
      <c r="Q50" s="59" t="s">
        <v>384</v>
      </c>
      <c r="R50" s="31" t="s">
        <v>1051</v>
      </c>
      <c r="S50" s="163"/>
      <c r="T50" s="163" t="s">
        <v>1043</v>
      </c>
      <c r="U50" s="163">
        <v>4.4999999999999998E-2</v>
      </c>
      <c r="V50" s="163">
        <f>PLA!U50*Llistes!$L$11*Llistes!$L$12</f>
        <v>6</v>
      </c>
      <c r="W50" s="60" t="s">
        <v>291</v>
      </c>
      <c r="X50" s="60" t="str">
        <f>IF(W50=Llistes!$K$2,Llistes!$L$2,IF(W50=Llistes!$K$3,Llistes!$L$3,IF(W50=Llistes!$K$4,Llistes!$L$4,IF(W50=Llistes!$K$5,Llistes!$L$5,IF(W50=Llistes!$K$6,Llistes!$L$6,IF(W50=Llistes!$K$7,Llistes!$L$7,""))))))</f>
        <v>Gerard Carrion</v>
      </c>
      <c r="Y50" s="165"/>
      <c r="Z50" s="165"/>
      <c r="AA50" s="165"/>
      <c r="AB50" s="165" t="s">
        <v>994</v>
      </c>
      <c r="AC50" s="147"/>
    </row>
    <row r="51" spans="1:29" ht="99" customHeight="1">
      <c r="A51" s="13" t="s">
        <v>265</v>
      </c>
      <c r="B51" s="354"/>
      <c r="C51" s="255"/>
      <c r="D51" s="286" t="s">
        <v>385</v>
      </c>
      <c r="E51" s="270" t="s">
        <v>386</v>
      </c>
      <c r="F51" s="186" t="s">
        <v>387</v>
      </c>
      <c r="G51" s="187" t="s">
        <v>388</v>
      </c>
      <c r="H51" s="188" t="s">
        <v>271</v>
      </c>
      <c r="I51" s="186" t="s">
        <v>285</v>
      </c>
      <c r="J51" s="56" t="str">
        <f>G51</f>
        <v>Participar en l'elaboració dels instruments de planificació de l'ENP</v>
      </c>
      <c r="K51" s="56" t="s">
        <v>389</v>
      </c>
      <c r="L51" s="31"/>
      <c r="M51" s="57" t="s">
        <v>273</v>
      </c>
      <c r="N51" s="31" t="s">
        <v>390</v>
      </c>
      <c r="O51" s="58"/>
      <c r="P51" s="59" t="s">
        <v>391</v>
      </c>
      <c r="Q51" s="59" t="s">
        <v>1232</v>
      </c>
      <c r="R51" s="31" t="s">
        <v>1052</v>
      </c>
      <c r="S51" s="163"/>
      <c r="T51" s="163" t="s">
        <v>1043</v>
      </c>
      <c r="U51" s="163">
        <v>0.45</v>
      </c>
      <c r="V51" s="163">
        <f>PLA!U51*Llistes!$L$11*Llistes!$L$12</f>
        <v>60.000000000000007</v>
      </c>
      <c r="W51" s="60" t="s">
        <v>291</v>
      </c>
      <c r="X51" s="60" t="str">
        <f>IF(W51=Llistes!$K$2,Llistes!$L$2,IF(W51=Llistes!$K$3,Llistes!$L$3,IF(W51=Llistes!$K$4,Llistes!$L$4,IF(W51=Llistes!$K$5,Llistes!$L$5,IF(W51=Llistes!$K$6,Llistes!$L$6,IF(W51=Llistes!$K$7,Llistes!$L$7,""))))))</f>
        <v>Gerard Carrion</v>
      </c>
      <c r="Y51" s="165" t="s">
        <v>994</v>
      </c>
      <c r="Z51" s="165" t="s">
        <v>994</v>
      </c>
      <c r="AA51" s="165" t="s">
        <v>994</v>
      </c>
      <c r="AB51" s="165" t="s">
        <v>994</v>
      </c>
      <c r="AC51" s="147"/>
    </row>
    <row r="52" spans="1:29" ht="29">
      <c r="A52" s="13" t="s">
        <v>265</v>
      </c>
      <c r="B52" s="354"/>
      <c r="C52" s="255"/>
      <c r="D52" s="287"/>
      <c r="E52" s="271"/>
      <c r="F52" s="186" t="s">
        <v>387</v>
      </c>
      <c r="G52" s="187" t="s">
        <v>388</v>
      </c>
      <c r="H52" s="188" t="s">
        <v>271</v>
      </c>
      <c r="I52" s="186" t="s">
        <v>285</v>
      </c>
      <c r="J52" s="56" t="str">
        <f t="shared" ref="J52:J54" si="9">G52</f>
        <v>Participar en l'elaboració dels instruments de planificació de l'ENP</v>
      </c>
      <c r="K52" s="56"/>
      <c r="L52" s="31"/>
      <c r="M52" s="57" t="s">
        <v>286</v>
      </c>
      <c r="N52" s="31"/>
      <c r="O52" s="58"/>
      <c r="P52" s="59"/>
      <c r="Q52" s="59" t="s">
        <v>1429</v>
      </c>
      <c r="R52" s="31" t="s">
        <v>1430</v>
      </c>
      <c r="S52" s="163"/>
      <c r="T52" s="163" t="s">
        <v>1043</v>
      </c>
      <c r="U52" s="163">
        <v>0.3</v>
      </c>
      <c r="V52" s="163">
        <f>PLA!U52*Llistes!$L$11*Llistes!$L$12</f>
        <v>40</v>
      </c>
      <c r="W52" s="60" t="s">
        <v>1082</v>
      </c>
      <c r="X52" s="60" t="str">
        <f>IF(W52=Llistes!$K$2,Llistes!$L$2,IF(W52=Llistes!$K$3,Llistes!$L$3,IF(W52=Llistes!$K$4,Llistes!$L$4,IF(W52=Llistes!$K$5,Llistes!$L$5,IF(W52=Llistes!$K$6,Llistes!$L$6,IF(W52=Llistes!$K$7,Llistes!$L$7,""))))))</f>
        <v>Montse Pascual</v>
      </c>
      <c r="Y52" s="165" t="s">
        <v>994</v>
      </c>
      <c r="Z52" s="165" t="s">
        <v>994</v>
      </c>
      <c r="AA52" s="165" t="s">
        <v>994</v>
      </c>
      <c r="AB52" s="165" t="s">
        <v>994</v>
      </c>
      <c r="AC52" s="147"/>
    </row>
    <row r="53" spans="1:29" ht="29">
      <c r="A53" s="13" t="s">
        <v>265</v>
      </c>
      <c r="B53" s="354"/>
      <c r="C53" s="255"/>
      <c r="D53" s="287"/>
      <c r="E53" s="271"/>
      <c r="F53" s="186" t="s">
        <v>387</v>
      </c>
      <c r="G53" s="187" t="s">
        <v>388</v>
      </c>
      <c r="H53" s="188" t="s">
        <v>271</v>
      </c>
      <c r="I53" s="186" t="s">
        <v>285</v>
      </c>
      <c r="J53" s="56" t="str">
        <f t="shared" si="9"/>
        <v>Participar en l'elaboració dels instruments de planificació de l'ENP</v>
      </c>
      <c r="K53" s="56"/>
      <c r="L53" s="31"/>
      <c r="M53" s="57" t="s">
        <v>286</v>
      </c>
      <c r="N53" s="31"/>
      <c r="O53" s="58"/>
      <c r="P53" s="59"/>
      <c r="Q53" s="59" t="s">
        <v>1431</v>
      </c>
      <c r="R53" s="31" t="s">
        <v>1432</v>
      </c>
      <c r="S53" s="163"/>
      <c r="T53" s="163" t="s">
        <v>1043</v>
      </c>
      <c r="U53" s="163">
        <v>0.15</v>
      </c>
      <c r="V53" s="163">
        <f>PLA!U53*Llistes!$L$11*Llistes!$L$12</f>
        <v>20</v>
      </c>
      <c r="W53" s="60" t="s">
        <v>1082</v>
      </c>
      <c r="X53" s="60" t="str">
        <f>IF(W53=Llistes!$K$2,Llistes!$L$2,IF(W53=Llistes!$K$3,Llistes!$L$3,IF(W53=Llistes!$K$4,Llistes!$L$4,IF(W53=Llistes!$K$5,Llistes!$L$5,IF(W53=Llistes!$K$6,Llistes!$L$6,IF(W53=Llistes!$K$7,Llistes!$L$7,""))))))</f>
        <v>Montse Pascual</v>
      </c>
      <c r="Y53" s="165" t="s">
        <v>994</v>
      </c>
      <c r="Z53" s="165" t="s">
        <v>994</v>
      </c>
      <c r="AA53" s="165" t="s">
        <v>994</v>
      </c>
      <c r="AB53" s="165" t="s">
        <v>994</v>
      </c>
      <c r="AC53" s="147"/>
    </row>
    <row r="54" spans="1:29" ht="29">
      <c r="A54" s="13" t="s">
        <v>265</v>
      </c>
      <c r="B54" s="354"/>
      <c r="C54" s="255"/>
      <c r="D54" s="288"/>
      <c r="E54" s="272"/>
      <c r="F54" s="186" t="s">
        <v>387</v>
      </c>
      <c r="G54" s="187" t="s">
        <v>388</v>
      </c>
      <c r="H54" s="188" t="s">
        <v>271</v>
      </c>
      <c r="I54" s="186" t="s">
        <v>285</v>
      </c>
      <c r="J54" s="56" t="str">
        <f t="shared" si="9"/>
        <v>Participar en l'elaboració dels instruments de planificació de l'ENP</v>
      </c>
      <c r="K54" s="56"/>
      <c r="L54" s="31"/>
      <c r="M54" s="57" t="s">
        <v>286</v>
      </c>
      <c r="N54" s="31"/>
      <c r="O54" s="58"/>
      <c r="P54" s="59"/>
      <c r="Q54" s="59" t="s">
        <v>1064</v>
      </c>
      <c r="R54" s="31" t="s">
        <v>1065</v>
      </c>
      <c r="S54" s="163"/>
      <c r="T54" s="163" t="s">
        <v>1043</v>
      </c>
      <c r="U54" s="163">
        <v>0.45</v>
      </c>
      <c r="V54" s="163">
        <f>PLA!U54*Llistes!$L$11*Llistes!$L$12</f>
        <v>60.000000000000007</v>
      </c>
      <c r="W54" s="60" t="s">
        <v>291</v>
      </c>
      <c r="X54" s="60" t="str">
        <f>IF(W54=Llistes!$K$2,Llistes!$L$2,IF(W54=Llistes!$K$3,Llistes!$L$3,IF(W54=Llistes!$K$4,Llistes!$L$4,IF(W54=Llistes!$K$5,Llistes!$L$5,IF(W54=Llistes!$K$6,Llistes!$L$6,IF(W54=Llistes!$K$7,Llistes!$L$7,""))))))</f>
        <v>Gerard Carrion</v>
      </c>
      <c r="Y54" s="165" t="s">
        <v>994</v>
      </c>
      <c r="Z54" s="165" t="s">
        <v>994</v>
      </c>
      <c r="AA54" s="165" t="s">
        <v>994</v>
      </c>
      <c r="AB54" s="165" t="s">
        <v>994</v>
      </c>
      <c r="AC54" s="147"/>
    </row>
    <row r="55" spans="1:29" ht="87">
      <c r="A55" s="13" t="s">
        <v>265</v>
      </c>
      <c r="B55" s="354"/>
      <c r="C55" s="255"/>
      <c r="D55" s="286" t="s">
        <v>1457</v>
      </c>
      <c r="E55" s="270" t="s">
        <v>1456</v>
      </c>
      <c r="F55" s="186" t="s">
        <v>392</v>
      </c>
      <c r="G55" s="187" t="s">
        <v>395</v>
      </c>
      <c r="H55" s="188" t="s">
        <v>303</v>
      </c>
      <c r="I55" s="188" t="s">
        <v>285</v>
      </c>
      <c r="J55" s="56" t="str">
        <f t="shared" si="2"/>
        <v>Avaluar i controlar les actuacions que produeixin drenatges, captacions o que puguin impedir l’arribada d’aigua tant superficial com freàtica</v>
      </c>
      <c r="K55" s="56"/>
      <c r="L55" s="31"/>
      <c r="M55" s="57" t="s">
        <v>286</v>
      </c>
      <c r="N55" s="31" t="s">
        <v>396</v>
      </c>
      <c r="O55" s="58"/>
      <c r="P55" s="59"/>
      <c r="Q55" s="59" t="s">
        <v>1233</v>
      </c>
      <c r="R55" s="31" t="s">
        <v>1053</v>
      </c>
      <c r="S55" s="163"/>
      <c r="T55" s="163">
        <v>0</v>
      </c>
      <c r="U55" s="163">
        <v>1.4999999999999999E-2</v>
      </c>
      <c r="V55" s="163">
        <f>PLA!U55*Llistes!$L$11*Llistes!$L$12</f>
        <v>2</v>
      </c>
      <c r="W55" s="60" t="s">
        <v>291</v>
      </c>
      <c r="X55" s="60" t="str">
        <f>IF(W55=Llistes!$K$2,Llistes!$L$2,IF(W55=Llistes!$K$3,Llistes!$L$3,IF(W55=Llistes!$K$4,Llistes!$L$4,IF(W55=Llistes!$K$5,Llistes!$L$5,IF(W55=Llistes!$K$6,Llistes!$L$6,IF(W55=Llistes!$K$7,Llistes!$L$7,""))))))</f>
        <v>Gerard Carrion</v>
      </c>
      <c r="Y55" s="165" t="s">
        <v>994</v>
      </c>
      <c r="Z55" s="165" t="s">
        <v>994</v>
      </c>
      <c r="AA55" s="165" t="s">
        <v>994</v>
      </c>
      <c r="AB55" s="165" t="s">
        <v>994</v>
      </c>
      <c r="AC55" s="147"/>
    </row>
    <row r="56" spans="1:29" ht="43.5">
      <c r="A56" s="13" t="s">
        <v>265</v>
      </c>
      <c r="B56" s="354"/>
      <c r="C56" s="255"/>
      <c r="D56" s="287"/>
      <c r="E56" s="271"/>
      <c r="F56" s="186" t="s">
        <v>393</v>
      </c>
      <c r="G56" s="187" t="s">
        <v>1525</v>
      </c>
      <c r="H56" s="188" t="s">
        <v>303</v>
      </c>
      <c r="I56" s="188" t="s">
        <v>304</v>
      </c>
      <c r="J56" s="56"/>
      <c r="K56" s="56"/>
      <c r="L56" s="31"/>
      <c r="M56" s="57"/>
      <c r="N56" s="31"/>
      <c r="O56" s="58"/>
      <c r="P56" s="59"/>
      <c r="Q56" s="59"/>
      <c r="R56" s="31"/>
      <c r="S56" s="163"/>
      <c r="T56" s="163"/>
      <c r="U56" s="163"/>
      <c r="V56" s="163"/>
      <c r="W56" s="60"/>
      <c r="X56" s="60"/>
      <c r="Y56" s="165"/>
      <c r="Z56" s="165"/>
      <c r="AA56" s="165"/>
      <c r="AB56" s="165"/>
      <c r="AC56" s="147"/>
    </row>
    <row r="57" spans="1:29" ht="43.5">
      <c r="A57" s="13" t="s">
        <v>265</v>
      </c>
      <c r="B57" s="354"/>
      <c r="C57" s="255"/>
      <c r="D57" s="287"/>
      <c r="E57" s="271"/>
      <c r="F57" s="186" t="s">
        <v>394</v>
      </c>
      <c r="G57" s="187" t="s">
        <v>395</v>
      </c>
      <c r="H57" s="188" t="s">
        <v>303</v>
      </c>
      <c r="I57" s="188" t="s">
        <v>304</v>
      </c>
      <c r="J57" s="56"/>
      <c r="K57" s="56"/>
      <c r="L57" s="31"/>
      <c r="M57" s="57"/>
      <c r="N57" s="31"/>
      <c r="O57" s="58"/>
      <c r="P57" s="59"/>
      <c r="Q57" s="59"/>
      <c r="R57" s="31"/>
      <c r="S57" s="163"/>
      <c r="T57" s="163"/>
      <c r="U57" s="163"/>
      <c r="V57" s="163"/>
      <c r="W57" s="60"/>
      <c r="X57" s="60"/>
      <c r="Y57" s="165"/>
      <c r="Z57" s="165"/>
      <c r="AA57" s="165"/>
      <c r="AB57" s="165"/>
      <c r="AC57" s="147"/>
    </row>
    <row r="58" spans="1:29" ht="43.5">
      <c r="A58" s="13" t="s">
        <v>265</v>
      </c>
      <c r="B58" s="354"/>
      <c r="C58" s="255"/>
      <c r="D58" s="287"/>
      <c r="E58" s="271"/>
      <c r="F58" s="186" t="s">
        <v>397</v>
      </c>
      <c r="G58" s="187" t="s">
        <v>1526</v>
      </c>
      <c r="H58" s="188" t="s">
        <v>303</v>
      </c>
      <c r="I58" s="188" t="s">
        <v>304</v>
      </c>
      <c r="J58" s="56"/>
      <c r="K58" s="56"/>
      <c r="L58" s="31"/>
      <c r="M58" s="57"/>
      <c r="N58" s="31"/>
      <c r="O58" s="58"/>
      <c r="P58" s="59"/>
      <c r="Q58" s="59"/>
      <c r="R58" s="31"/>
      <c r="S58" s="163"/>
      <c r="T58" s="163"/>
      <c r="U58" s="163"/>
      <c r="V58" s="163"/>
      <c r="W58" s="60"/>
      <c r="X58" s="60"/>
      <c r="Y58" s="165"/>
      <c r="Z58" s="165"/>
      <c r="AA58" s="165"/>
      <c r="AB58" s="165"/>
      <c r="AC58" s="147"/>
    </row>
    <row r="59" spans="1:29" ht="43.5">
      <c r="A59" s="13" t="s">
        <v>265</v>
      </c>
      <c r="B59" s="354"/>
      <c r="C59" s="255"/>
      <c r="D59" s="288"/>
      <c r="E59" s="272"/>
      <c r="F59" s="186" t="s">
        <v>1527</v>
      </c>
      <c r="G59" s="187" t="s">
        <v>1528</v>
      </c>
      <c r="H59" s="188" t="s">
        <v>271</v>
      </c>
      <c r="I59" s="188" t="s">
        <v>279</v>
      </c>
      <c r="J59" s="56"/>
      <c r="K59" s="56"/>
      <c r="L59" s="31"/>
      <c r="M59" s="57"/>
      <c r="N59" s="31"/>
      <c r="O59" s="58"/>
      <c r="P59" s="59"/>
      <c r="Q59" s="59"/>
      <c r="R59" s="31"/>
      <c r="S59" s="163"/>
      <c r="T59" s="163"/>
      <c r="U59" s="163"/>
      <c r="V59" s="163"/>
      <c r="W59" s="60"/>
      <c r="X59" s="60"/>
      <c r="Y59" s="165"/>
      <c r="Z59" s="165"/>
      <c r="AA59" s="165"/>
      <c r="AB59" s="165"/>
      <c r="AC59" s="147"/>
    </row>
    <row r="60" spans="1:29" ht="43.5">
      <c r="A60" s="13" t="s">
        <v>265</v>
      </c>
      <c r="B60" s="354"/>
      <c r="C60" s="255"/>
      <c r="D60" s="286" t="s">
        <v>398</v>
      </c>
      <c r="E60" s="270" t="s">
        <v>399</v>
      </c>
      <c r="F60" s="186" t="s">
        <v>400</v>
      </c>
      <c r="G60" s="187" t="s">
        <v>401</v>
      </c>
      <c r="H60" s="188" t="s">
        <v>271</v>
      </c>
      <c r="I60" s="188" t="s">
        <v>285</v>
      </c>
      <c r="J60" s="56" t="str">
        <f t="shared" si="2"/>
        <v xml:space="preserve">Identificar espais prioritaris per a la compra de terrenys de més valor dins l'ENP </v>
      </c>
      <c r="K60" s="56"/>
      <c r="L60" s="31"/>
      <c r="M60" s="57" t="s">
        <v>286</v>
      </c>
      <c r="N60" s="31" t="s">
        <v>402</v>
      </c>
      <c r="O60" s="58"/>
      <c r="P60" s="59" t="s">
        <v>403</v>
      </c>
      <c r="Q60" s="54" t="s">
        <v>1420</v>
      </c>
      <c r="R60" s="31" t="s">
        <v>1054</v>
      </c>
      <c r="S60" s="163">
        <v>1</v>
      </c>
      <c r="T60" s="163">
        <v>5</v>
      </c>
      <c r="U60" s="163">
        <v>4.4999999999999998E-2</v>
      </c>
      <c r="V60" s="163">
        <f>PLA!U60*Llistes!$L$11*Llistes!$L$12</f>
        <v>6</v>
      </c>
      <c r="W60" s="60" t="s">
        <v>291</v>
      </c>
      <c r="X60" s="60" t="str">
        <f>IF(W60=Llistes!$K$2,Llistes!$L$2,IF(W60=Llistes!$K$3,Llistes!$L$3,IF(W60=Llistes!$K$4,Llistes!$L$4,IF(W60=Llistes!$K$5,Llistes!$L$5,IF(W60=Llistes!$K$6,Llistes!$L$6,IF(W60=Llistes!$K$7,Llistes!$L$7,""))))))</f>
        <v>Gerard Carrion</v>
      </c>
      <c r="Y60" s="165" t="s">
        <v>994</v>
      </c>
      <c r="Z60" s="165" t="s">
        <v>994</v>
      </c>
      <c r="AA60" s="165" t="s">
        <v>994</v>
      </c>
      <c r="AB60" s="165" t="s">
        <v>994</v>
      </c>
      <c r="AC60" s="165"/>
    </row>
    <row r="61" spans="1:29">
      <c r="A61" s="184"/>
      <c r="B61" s="355"/>
      <c r="C61" s="256"/>
      <c r="D61" s="288"/>
      <c r="E61" s="272"/>
      <c r="F61" s="186" t="s">
        <v>404</v>
      </c>
      <c r="G61" s="187" t="s">
        <v>1537</v>
      </c>
      <c r="H61" s="188" t="s">
        <v>271</v>
      </c>
      <c r="I61" s="188" t="s">
        <v>279</v>
      </c>
      <c r="J61" s="56"/>
      <c r="K61" s="56"/>
      <c r="L61" s="31"/>
      <c r="M61" s="57"/>
      <c r="N61" s="31"/>
      <c r="O61" s="58"/>
      <c r="P61" s="59"/>
      <c r="Q61" s="54"/>
      <c r="R61" s="31"/>
      <c r="S61" s="163"/>
      <c r="T61" s="163"/>
      <c r="U61" s="163"/>
      <c r="V61" s="163"/>
      <c r="W61" s="60"/>
      <c r="X61" s="60"/>
      <c r="Y61" s="165"/>
      <c r="Z61" s="165"/>
      <c r="AA61" s="165"/>
      <c r="AB61" s="165"/>
      <c r="AC61" s="165"/>
    </row>
    <row r="62" spans="1:29" ht="87">
      <c r="A62" s="12" t="s">
        <v>405</v>
      </c>
      <c r="B62" s="359">
        <v>4</v>
      </c>
      <c r="C62" s="356" t="s">
        <v>406</v>
      </c>
      <c r="D62" s="347" t="s">
        <v>407</v>
      </c>
      <c r="E62" s="344" t="s">
        <v>408</v>
      </c>
      <c r="F62" s="186" t="s">
        <v>409</v>
      </c>
      <c r="G62" s="187" t="s">
        <v>410</v>
      </c>
      <c r="H62" s="188" t="s">
        <v>271</v>
      </c>
      <c r="I62" s="188" t="s">
        <v>285</v>
      </c>
      <c r="J62" s="56" t="s">
        <v>410</v>
      </c>
      <c r="K62" s="56"/>
      <c r="L62" s="31"/>
      <c r="M62" s="57" t="s">
        <v>305</v>
      </c>
      <c r="N62" s="31" t="s">
        <v>411</v>
      </c>
      <c r="O62" s="58"/>
      <c r="P62" s="59"/>
      <c r="Q62" s="59" t="s">
        <v>1234</v>
      </c>
      <c r="R62" s="31" t="s">
        <v>1087</v>
      </c>
      <c r="S62" s="163">
        <v>2</v>
      </c>
      <c r="T62" s="163">
        <v>5</v>
      </c>
      <c r="U62" s="163">
        <v>4.4999999999999998E-2</v>
      </c>
      <c r="V62" s="163">
        <f>PLA!U62*Llistes!$L$11*Llistes!$L$12</f>
        <v>6</v>
      </c>
      <c r="W62" s="60" t="s">
        <v>412</v>
      </c>
      <c r="X62" s="60" t="str">
        <f>IF(W62=Llistes!$K$2,Llistes!$L$2,IF(W62=Llistes!$K$3,Llistes!$L$3,IF(W62=Llistes!$K$4,Llistes!$L$4,IF(W62=Llistes!$K$5,Llistes!$L$5,IF(W62=Llistes!$K$6,Llistes!$L$6,IF(W62=Llistes!$K$7,Llistes!$L$7,""))))))</f>
        <v>Ivan Bustamante</v>
      </c>
      <c r="Y62" s="165" t="s">
        <v>994</v>
      </c>
      <c r="Z62" s="165" t="s">
        <v>994</v>
      </c>
      <c r="AA62" s="165"/>
      <c r="AB62" s="165"/>
      <c r="AC62" s="147"/>
    </row>
    <row r="63" spans="1:29" ht="87">
      <c r="A63" s="12" t="s">
        <v>405</v>
      </c>
      <c r="B63" s="360"/>
      <c r="C63" s="357"/>
      <c r="D63" s="348"/>
      <c r="E63" s="345"/>
      <c r="F63" s="186" t="s">
        <v>409</v>
      </c>
      <c r="G63" s="187" t="s">
        <v>410</v>
      </c>
      <c r="H63" s="188" t="s">
        <v>271</v>
      </c>
      <c r="I63" s="188" t="s">
        <v>285</v>
      </c>
      <c r="J63" s="56" t="str">
        <f>J64</f>
        <v>Elaborar l'inventari i cartografia de patrimoni cultural de l'ENP, que també inclogui el patrimoni etnològic i immaterial</v>
      </c>
      <c r="K63" s="56"/>
      <c r="L63" s="31"/>
      <c r="M63" s="57" t="s">
        <v>305</v>
      </c>
      <c r="N63" s="31" t="s">
        <v>411</v>
      </c>
      <c r="O63" s="58"/>
      <c r="P63" s="59"/>
      <c r="Q63" s="59" t="s">
        <v>1235</v>
      </c>
      <c r="R63" s="31" t="s">
        <v>1057</v>
      </c>
      <c r="S63" s="163"/>
      <c r="T63" s="163" t="s">
        <v>1043</v>
      </c>
      <c r="U63" s="163">
        <v>4.4999999999999998E-2</v>
      </c>
      <c r="V63" s="163">
        <f>PLA!U63*Llistes!$L$11*Llistes!$L$12</f>
        <v>6</v>
      </c>
      <c r="W63" s="60" t="s">
        <v>291</v>
      </c>
      <c r="X63" s="60" t="str">
        <f>IF(W63=Llistes!$K$2,Llistes!$L$2,IF(W63=Llistes!$K$3,Llistes!$L$3,IF(W63=Llistes!$K$4,Llistes!$L$4,IF(W63=Llistes!$K$5,Llistes!$L$5,IF(W63=Llistes!$K$6,Llistes!$L$6,IF(W63=Llistes!$K$7,Llistes!$L$7,""))))))</f>
        <v>Gerard Carrion</v>
      </c>
      <c r="Y63" s="165"/>
      <c r="Z63" s="165"/>
      <c r="AA63" s="165" t="s">
        <v>994</v>
      </c>
      <c r="AB63" s="165"/>
      <c r="AC63" s="147"/>
    </row>
    <row r="64" spans="1:29" ht="87">
      <c r="A64" s="12" t="s">
        <v>405</v>
      </c>
      <c r="B64" s="360"/>
      <c r="C64" s="357"/>
      <c r="D64" s="348"/>
      <c r="E64" s="345"/>
      <c r="F64" s="186" t="s">
        <v>409</v>
      </c>
      <c r="G64" s="187" t="s">
        <v>410</v>
      </c>
      <c r="H64" s="188" t="s">
        <v>271</v>
      </c>
      <c r="I64" s="188" t="s">
        <v>285</v>
      </c>
      <c r="J64" s="56" t="str">
        <f t="shared" si="2"/>
        <v>Elaborar l'inventari i cartografia de patrimoni cultural de l'ENP, que també inclogui el patrimoni etnològic i immaterial</v>
      </c>
      <c r="K64" s="56"/>
      <c r="L64" s="31"/>
      <c r="M64" s="57" t="s">
        <v>305</v>
      </c>
      <c r="N64" s="31" t="s">
        <v>411</v>
      </c>
      <c r="O64" s="58"/>
      <c r="P64" s="59"/>
      <c r="Q64" s="59" t="s">
        <v>1236</v>
      </c>
      <c r="R64" s="31" t="s">
        <v>1055</v>
      </c>
      <c r="S64" s="163"/>
      <c r="T64" s="163" t="s">
        <v>1043</v>
      </c>
      <c r="U64" s="163">
        <v>4.4999999999999998E-2</v>
      </c>
      <c r="V64" s="163">
        <f>PLA!U64*Llistes!$L$11*Llistes!$L$12</f>
        <v>6</v>
      </c>
      <c r="W64" s="60" t="s">
        <v>291</v>
      </c>
      <c r="X64" s="60" t="str">
        <f>IF(W64=Llistes!$K$2,Llistes!$L$2,IF(W64=Llistes!$K$3,Llistes!$L$3,IF(W64=Llistes!$K$4,Llistes!$L$4,IF(W64=Llistes!$K$5,Llistes!$L$5,IF(W64=Llistes!$K$6,Llistes!$L$6,IF(W64=Llistes!$K$7,Llistes!$L$7,""))))))</f>
        <v>Gerard Carrion</v>
      </c>
      <c r="Y64" s="165"/>
      <c r="Z64" s="165"/>
      <c r="AA64" s="165" t="s">
        <v>994</v>
      </c>
      <c r="AB64" s="165"/>
      <c r="AC64" s="147"/>
    </row>
    <row r="65" spans="1:29" ht="43.5">
      <c r="A65" s="12" t="s">
        <v>405</v>
      </c>
      <c r="B65" s="360"/>
      <c r="C65" s="357"/>
      <c r="D65" s="348"/>
      <c r="E65" s="345"/>
      <c r="F65" s="186" t="s">
        <v>413</v>
      </c>
      <c r="G65" s="187" t="s">
        <v>414</v>
      </c>
      <c r="H65" s="188" t="s">
        <v>271</v>
      </c>
      <c r="I65" s="188" t="s">
        <v>285</v>
      </c>
      <c r="J65" s="56" t="str">
        <f t="shared" si="2"/>
        <v>Elaborar el catàleg lingüístic (localismes) de patrimoni natural, geografia popular, festes i activitats tradicionals de l'ENP</v>
      </c>
      <c r="K65" s="56"/>
      <c r="L65" s="31"/>
      <c r="M65" s="57" t="s">
        <v>286</v>
      </c>
      <c r="N65" s="31"/>
      <c r="O65" s="58"/>
      <c r="P65" s="59"/>
      <c r="Q65" s="59" t="s">
        <v>1237</v>
      </c>
      <c r="R65" s="31" t="s">
        <v>1056</v>
      </c>
      <c r="S65" s="163"/>
      <c r="T65" s="163" t="s">
        <v>1043</v>
      </c>
      <c r="U65" s="163">
        <v>4.4999999999999998E-2</v>
      </c>
      <c r="V65" s="163">
        <f>PLA!U65*Llistes!$L$11*Llistes!$L$12</f>
        <v>6</v>
      </c>
      <c r="W65" s="60" t="s">
        <v>291</v>
      </c>
      <c r="X65" s="60" t="str">
        <f>IF(W65=Llistes!$K$2,Llistes!$L$2,IF(W65=Llistes!$K$3,Llistes!$L$3,IF(W65=Llistes!$K$4,Llistes!$L$4,IF(W65=Llistes!$K$5,Llistes!$L$5,IF(W65=Llistes!$K$6,Llistes!$L$6,IF(W65=Llistes!$K$7,Llistes!$L$7,""))))))</f>
        <v>Gerard Carrion</v>
      </c>
      <c r="Y65" s="165"/>
      <c r="Z65" s="165"/>
      <c r="AA65" s="165"/>
      <c r="AB65" s="165" t="s">
        <v>994</v>
      </c>
      <c r="AC65" s="147"/>
    </row>
    <row r="66" spans="1:29" ht="87">
      <c r="A66" s="185" t="s">
        <v>405</v>
      </c>
      <c r="B66" s="360"/>
      <c r="C66" s="357"/>
      <c r="D66" s="349"/>
      <c r="E66" s="346"/>
      <c r="F66" s="186" t="s">
        <v>415</v>
      </c>
      <c r="G66" s="187" t="s">
        <v>416</v>
      </c>
      <c r="H66" s="188" t="s">
        <v>271</v>
      </c>
      <c r="I66" s="188" t="s">
        <v>285</v>
      </c>
      <c r="J66" s="56" t="s">
        <v>417</v>
      </c>
      <c r="K66" s="56" t="s">
        <v>418</v>
      </c>
      <c r="L66" s="31"/>
      <c r="M66" s="57" t="s">
        <v>305</v>
      </c>
      <c r="N66" s="31"/>
      <c r="O66" s="58"/>
      <c r="P66" s="59"/>
      <c r="Q66" s="59" t="s">
        <v>1238</v>
      </c>
      <c r="R66" s="31" t="s">
        <v>1058</v>
      </c>
      <c r="S66" s="163"/>
      <c r="T66" s="163" t="s">
        <v>1043</v>
      </c>
      <c r="U66" s="163">
        <v>4.4999999999999998E-2</v>
      </c>
      <c r="V66" s="163">
        <f>PLA!U66*Llistes!$L$11*Llistes!$L$12</f>
        <v>6</v>
      </c>
      <c r="W66" s="60" t="s">
        <v>291</v>
      </c>
      <c r="X66" s="60" t="str">
        <f>IF(W66=Llistes!$K$2,Llistes!$L$2,IF(W66=Llistes!$K$3,Llistes!$L$3,IF(W66=Llistes!$K$4,Llistes!$L$4,IF(W66=Llistes!$K$5,Llistes!$L$5,IF(W66=Llistes!$K$6,Llistes!$L$6,IF(W66=Llistes!$K$7,Llistes!$L$7,""))))))</f>
        <v>Gerard Carrion</v>
      </c>
      <c r="Y66" s="165"/>
      <c r="Z66" s="165" t="s">
        <v>994</v>
      </c>
      <c r="AA66" s="165"/>
      <c r="AB66" s="165"/>
      <c r="AC66" s="147"/>
    </row>
    <row r="67" spans="1:29" ht="43.5">
      <c r="A67" s="12" t="s">
        <v>405</v>
      </c>
      <c r="B67" s="360"/>
      <c r="C67" s="357"/>
      <c r="D67" s="348" t="s">
        <v>419</v>
      </c>
      <c r="E67" s="345" t="s">
        <v>420</v>
      </c>
      <c r="F67" s="186" t="s">
        <v>421</v>
      </c>
      <c r="G67" s="187" t="s">
        <v>422</v>
      </c>
      <c r="H67" s="188" t="s">
        <v>271</v>
      </c>
      <c r="I67" s="188" t="s">
        <v>285</v>
      </c>
      <c r="J67" s="56" t="str">
        <f t="shared" si="2"/>
        <v>Identificar els ens de referència en patrimoni cultural (entitats, associacions, museus i ecomuseus, etc.) en l'àmbit de l'ENP</v>
      </c>
      <c r="K67" s="56" t="s">
        <v>423</v>
      </c>
      <c r="L67" s="31"/>
      <c r="M67" s="57" t="s">
        <v>305</v>
      </c>
      <c r="N67" s="31" t="s">
        <v>424</v>
      </c>
      <c r="O67" s="58"/>
      <c r="P67" s="59"/>
      <c r="Q67" s="59" t="s">
        <v>1239</v>
      </c>
      <c r="R67" s="31" t="s">
        <v>1059</v>
      </c>
      <c r="S67" s="163"/>
      <c r="T67" s="163" t="s">
        <v>1043</v>
      </c>
      <c r="U67" s="163">
        <v>4.4999999999999998E-2</v>
      </c>
      <c r="V67" s="163">
        <f>PLA!U67*Llistes!$L$11*Llistes!$L$12</f>
        <v>6</v>
      </c>
      <c r="W67" s="60" t="s">
        <v>412</v>
      </c>
      <c r="X67" s="60" t="str">
        <f>IF(W67=Llistes!$K$2,Llistes!$L$2,IF(W67=Llistes!$K$3,Llistes!$L$3,IF(W67=Llistes!$K$4,Llistes!$L$4,IF(W67=Llistes!$K$5,Llistes!$L$5,IF(W67=Llistes!$K$6,Llistes!$L$6,IF(W67=Llistes!$K$7,Llistes!$L$7,""))))))</f>
        <v>Ivan Bustamante</v>
      </c>
      <c r="Y67" s="165" t="s">
        <v>994</v>
      </c>
      <c r="Z67" s="165"/>
      <c r="AA67" s="165"/>
      <c r="AB67" s="165"/>
      <c r="AC67" s="147"/>
    </row>
    <row r="68" spans="1:29" ht="43.5">
      <c r="A68" s="12" t="s">
        <v>405</v>
      </c>
      <c r="B68" s="360"/>
      <c r="C68" s="357"/>
      <c r="D68" s="348"/>
      <c r="E68" s="345"/>
      <c r="F68" s="186" t="s">
        <v>421</v>
      </c>
      <c r="G68" s="187" t="s">
        <v>422</v>
      </c>
      <c r="H68" s="188" t="s">
        <v>271</v>
      </c>
      <c r="I68" s="188" t="s">
        <v>285</v>
      </c>
      <c r="J68" s="56" t="str">
        <f t="shared" ref="J68" si="10">G68</f>
        <v>Identificar els ens de referència en patrimoni cultural (entitats, associacions, museus i ecomuseus, etc.) en l'àmbit de l'ENP</v>
      </c>
      <c r="K68" s="56" t="s">
        <v>423</v>
      </c>
      <c r="L68" s="31"/>
      <c r="M68" s="57" t="s">
        <v>305</v>
      </c>
      <c r="N68" s="31" t="s">
        <v>424</v>
      </c>
      <c r="O68" s="58"/>
      <c r="P68" s="59"/>
      <c r="Q68" s="59" t="s">
        <v>1240</v>
      </c>
      <c r="R68" s="31" t="s">
        <v>1088</v>
      </c>
      <c r="S68" s="163">
        <v>2</v>
      </c>
      <c r="T68" s="163">
        <v>4</v>
      </c>
      <c r="U68" s="163">
        <v>1.4999999999999999E-2</v>
      </c>
      <c r="V68" s="163">
        <f>PLA!U68*Llistes!$L$11*Llistes!$L$12</f>
        <v>2</v>
      </c>
      <c r="W68" s="60" t="s">
        <v>412</v>
      </c>
      <c r="X68" s="60" t="str">
        <f>IF(W68=Llistes!$K$2,Llistes!$L$2,IF(W68=Llistes!$K$3,Llistes!$L$3,IF(W68=Llistes!$K$4,Llistes!$L$4,IF(W68=Llistes!$K$5,Llistes!$L$5,IF(W68=Llistes!$K$6,Llistes!$L$6,IF(W68=Llistes!$K$7,Llistes!$L$7,""))))))</f>
        <v>Ivan Bustamante</v>
      </c>
      <c r="Y68" s="165" t="s">
        <v>994</v>
      </c>
      <c r="Z68" s="165" t="s">
        <v>994</v>
      </c>
      <c r="AA68" s="165" t="s">
        <v>994</v>
      </c>
      <c r="AB68" s="165" t="s">
        <v>994</v>
      </c>
      <c r="AC68" s="147"/>
    </row>
    <row r="69" spans="1:29" ht="87">
      <c r="A69" s="12" t="s">
        <v>405</v>
      </c>
      <c r="B69" s="360"/>
      <c r="C69" s="357"/>
      <c r="D69" s="348"/>
      <c r="E69" s="345"/>
      <c r="F69" s="186" t="s">
        <v>425</v>
      </c>
      <c r="G69" s="187" t="s">
        <v>426</v>
      </c>
      <c r="H69" s="188" t="s">
        <v>271</v>
      </c>
      <c r="I69" s="188" t="s">
        <v>285</v>
      </c>
      <c r="J69" s="56" t="str">
        <f t="shared" si="2"/>
        <v>Articular treballs conjunts entre l'ENP i representants, gestors o custodis del patrimoni cultural per a la seva protecció i millora</v>
      </c>
      <c r="K69" s="56" t="s">
        <v>427</v>
      </c>
      <c r="L69" s="31"/>
      <c r="M69" s="57" t="s">
        <v>305</v>
      </c>
      <c r="N69" s="31" t="s">
        <v>428</v>
      </c>
      <c r="O69" s="58"/>
      <c r="P69" s="59"/>
      <c r="Q69" s="59" t="s">
        <v>1241</v>
      </c>
      <c r="R69" s="31" t="s">
        <v>1089</v>
      </c>
      <c r="S69" s="163">
        <v>2</v>
      </c>
      <c r="T69" s="163">
        <v>4</v>
      </c>
      <c r="U69" s="163">
        <v>1.4999999999999999E-2</v>
      </c>
      <c r="V69" s="163">
        <f>PLA!U69*Llistes!$L$11*Llistes!$L$12</f>
        <v>2</v>
      </c>
      <c r="W69" s="60" t="s">
        <v>412</v>
      </c>
      <c r="X69" s="60" t="str">
        <f>IF(W69=Llistes!$K$2,Llistes!$L$2,IF(W69=Llistes!$K$3,Llistes!$L$3,IF(W69=Llistes!$K$4,Llistes!$L$4,IF(W69=Llistes!$K$5,Llistes!$L$5,IF(W69=Llistes!$K$6,Llistes!$L$6,IF(W69=Llistes!$K$7,Llistes!$L$7,""))))))</f>
        <v>Ivan Bustamante</v>
      </c>
      <c r="Y69" s="165" t="s">
        <v>994</v>
      </c>
      <c r="Z69" s="165" t="s">
        <v>994</v>
      </c>
      <c r="AA69" s="165" t="s">
        <v>994</v>
      </c>
      <c r="AB69" s="165" t="s">
        <v>994</v>
      </c>
      <c r="AC69" s="147"/>
    </row>
    <row r="70" spans="1:29" ht="87">
      <c r="A70" s="12" t="s">
        <v>405</v>
      </c>
      <c r="B70" s="360"/>
      <c r="C70" s="357"/>
      <c r="D70" s="348"/>
      <c r="E70" s="345"/>
      <c r="F70" s="186" t="s">
        <v>425</v>
      </c>
      <c r="G70" s="187" t="s">
        <v>426</v>
      </c>
      <c r="H70" s="188" t="s">
        <v>271</v>
      </c>
      <c r="I70" s="188" t="s">
        <v>285</v>
      </c>
      <c r="J70" s="56" t="str">
        <f t="shared" ref="J70" si="11">G70</f>
        <v>Articular treballs conjunts entre l'ENP i representants, gestors o custodis del patrimoni cultural per a la seva protecció i millora</v>
      </c>
      <c r="K70" s="56" t="s">
        <v>427</v>
      </c>
      <c r="L70" s="31"/>
      <c r="M70" s="57" t="s">
        <v>305</v>
      </c>
      <c r="N70" s="31" t="s">
        <v>428</v>
      </c>
      <c r="O70" s="58"/>
      <c r="P70" s="59"/>
      <c r="Q70" s="59" t="s">
        <v>1242</v>
      </c>
      <c r="R70" s="31" t="s">
        <v>1090</v>
      </c>
      <c r="S70" s="163">
        <v>2</v>
      </c>
      <c r="T70" s="163">
        <v>4</v>
      </c>
      <c r="U70" s="163">
        <v>1.4999999999999999E-2</v>
      </c>
      <c r="V70" s="163">
        <f>PLA!U70*Llistes!$L$11*Llistes!$L$12</f>
        <v>2</v>
      </c>
      <c r="W70" s="60" t="s">
        <v>291</v>
      </c>
      <c r="X70" s="60" t="str">
        <f>IF(W70=Llistes!$K$2,Llistes!$L$2,IF(W70=Llistes!$K$3,Llistes!$L$3,IF(W70=Llistes!$K$4,Llistes!$L$4,IF(W70=Llistes!$K$5,Llistes!$L$5,IF(W70=Llistes!$K$6,Llistes!$L$6,IF(W70=Llistes!$K$7,Llistes!$L$7,""))))))</f>
        <v>Gerard Carrion</v>
      </c>
      <c r="Y70" s="165" t="s">
        <v>994</v>
      </c>
      <c r="Z70" s="165" t="s">
        <v>994</v>
      </c>
      <c r="AA70" s="165" t="s">
        <v>994</v>
      </c>
      <c r="AB70" s="165" t="s">
        <v>994</v>
      </c>
      <c r="AC70" s="147"/>
    </row>
    <row r="71" spans="1:29" ht="58">
      <c r="A71" s="12" t="s">
        <v>405</v>
      </c>
      <c r="B71" s="360"/>
      <c r="C71" s="357"/>
      <c r="D71" s="348"/>
      <c r="E71" s="345"/>
      <c r="F71" s="186" t="s">
        <v>429</v>
      </c>
      <c r="G71" s="187" t="s">
        <v>1462</v>
      </c>
      <c r="H71" s="188" t="s">
        <v>271</v>
      </c>
      <c r="I71" s="188" t="s">
        <v>285</v>
      </c>
      <c r="J71" s="56" t="str">
        <f>G71</f>
        <v>Impulsar i/o participar dels treballs de restauració arquitectònica, arqueològica i del patrimoni cultural</v>
      </c>
      <c r="K71" s="56"/>
      <c r="L71" s="31"/>
      <c r="M71" s="57" t="s">
        <v>305</v>
      </c>
      <c r="N71" s="31" t="s">
        <v>430</v>
      </c>
      <c r="O71" s="58"/>
      <c r="P71" s="59"/>
      <c r="Q71" s="59" t="s">
        <v>1243</v>
      </c>
      <c r="R71" s="31" t="s">
        <v>1091</v>
      </c>
      <c r="S71" s="163">
        <v>1</v>
      </c>
      <c r="T71" s="163">
        <v>2</v>
      </c>
      <c r="U71" s="163">
        <v>1.4999999999999999E-2</v>
      </c>
      <c r="V71" s="163">
        <f>PLA!U71*Llistes!$L$11*Llistes!$L$12</f>
        <v>2</v>
      </c>
      <c r="W71" s="60" t="s">
        <v>291</v>
      </c>
      <c r="X71" s="60" t="str">
        <f>IF(W71=Llistes!$K$2,Llistes!$L$2,IF(W71=Llistes!$K$3,Llistes!$L$3,IF(W71=Llistes!$K$4,Llistes!$L$4,IF(W71=Llistes!$K$5,Llistes!$L$5,IF(W71=Llistes!$K$6,Llistes!$L$6,IF(W71=Llistes!$K$7,Llistes!$L$7,""))))))</f>
        <v>Gerard Carrion</v>
      </c>
      <c r="Y71" s="165" t="s">
        <v>994</v>
      </c>
      <c r="Z71" s="165" t="s">
        <v>994</v>
      </c>
      <c r="AA71" s="165" t="s">
        <v>994</v>
      </c>
      <c r="AB71" s="165" t="s">
        <v>994</v>
      </c>
      <c r="AC71" s="147"/>
    </row>
    <row r="72" spans="1:29">
      <c r="A72" s="12"/>
      <c r="B72" s="360"/>
      <c r="C72" s="357"/>
      <c r="D72" s="352"/>
      <c r="E72" s="351"/>
      <c r="F72" s="186" t="s">
        <v>1538</v>
      </c>
      <c r="G72" s="187" t="s">
        <v>1539</v>
      </c>
      <c r="H72" s="188" t="s">
        <v>271</v>
      </c>
      <c r="I72" s="188" t="s">
        <v>272</v>
      </c>
      <c r="J72" s="56"/>
      <c r="K72" s="56"/>
      <c r="L72" s="31"/>
      <c r="M72" s="57"/>
      <c r="N72" s="31"/>
      <c r="O72" s="58"/>
      <c r="P72" s="59"/>
      <c r="Q72" s="59"/>
      <c r="R72" s="31"/>
      <c r="S72" s="163"/>
      <c r="T72" s="163"/>
      <c r="U72" s="163"/>
      <c r="V72" s="163"/>
      <c r="W72" s="60"/>
      <c r="X72" s="60"/>
      <c r="Y72" s="165"/>
      <c r="Z72" s="165"/>
      <c r="AA72" s="165"/>
      <c r="AB72" s="165"/>
      <c r="AC72" s="147"/>
    </row>
    <row r="73" spans="1:29" ht="43.5">
      <c r="A73" s="12" t="s">
        <v>405</v>
      </c>
      <c r="B73" s="360"/>
      <c r="C73" s="357"/>
      <c r="D73" s="238" t="s">
        <v>1446</v>
      </c>
      <c r="E73" s="235" t="s">
        <v>1445</v>
      </c>
      <c r="F73" s="186" t="s">
        <v>432</v>
      </c>
      <c r="G73" s="187" t="s">
        <v>1463</v>
      </c>
      <c r="H73" s="188" t="s">
        <v>303</v>
      </c>
      <c r="I73" s="188" t="s">
        <v>272</v>
      </c>
      <c r="J73" s="56" t="str">
        <f t="shared" si="2"/>
        <v>Recuperar i conservar el patrimoni cultural immaterial (associat a les activitats i aprofitaments rurals tradicionals) i els valors espirituals</v>
      </c>
      <c r="K73" s="56"/>
      <c r="L73" s="31"/>
      <c r="M73" s="57" t="s">
        <v>305</v>
      </c>
      <c r="N73" s="31"/>
      <c r="O73" s="58" t="s">
        <v>275</v>
      </c>
      <c r="P73" s="59"/>
      <c r="Q73" s="59" t="s">
        <v>1600</v>
      </c>
      <c r="R73" s="31" t="s">
        <v>1601</v>
      </c>
      <c r="S73" s="163">
        <v>4</v>
      </c>
      <c r="T73" s="163">
        <v>8</v>
      </c>
      <c r="U73" s="163">
        <v>1.4999999999999999E-2</v>
      </c>
      <c r="V73" s="163">
        <v>2</v>
      </c>
      <c r="W73" s="60" t="s">
        <v>349</v>
      </c>
      <c r="X73" s="60" t="str">
        <f>IF(W73=Llistes!$K$2,Llistes!$L$2,IF(W73=Llistes!$K$3,Llistes!$L$3,IF(W73=Llistes!$K$4,Llistes!$L$4,IF(W73=Llistes!$K$5,Llistes!$L$5,IF(W73=Llistes!$K$6,Llistes!$L$6,IF(W73=Llistes!$K$7,Llistes!$L$7,""))))))</f>
        <v>Sergi Roura</v>
      </c>
      <c r="Y73" s="165" t="s">
        <v>994</v>
      </c>
      <c r="Z73" s="165" t="s">
        <v>994</v>
      </c>
      <c r="AA73" s="165" t="s">
        <v>994</v>
      </c>
      <c r="AB73" s="165" t="s">
        <v>994</v>
      </c>
      <c r="AC73" s="165"/>
    </row>
    <row r="74" spans="1:29" ht="43.5" customHeight="1">
      <c r="A74" s="12" t="s">
        <v>405</v>
      </c>
      <c r="B74" s="360"/>
      <c r="C74" s="357"/>
      <c r="D74" s="239"/>
      <c r="E74" s="236"/>
      <c r="F74" s="186" t="s">
        <v>433</v>
      </c>
      <c r="G74" s="54" t="s">
        <v>434</v>
      </c>
      <c r="H74" s="188" t="s">
        <v>271</v>
      </c>
      <c r="I74" s="188" t="s">
        <v>285</v>
      </c>
      <c r="J74" s="56" t="str">
        <f t="shared" si="2"/>
        <v>Recuperar i conservar el patrimoni cultural rural vinculat específicament a construccions de pedra en sec</v>
      </c>
      <c r="K74" s="56"/>
      <c r="L74" s="31"/>
      <c r="M74" s="57" t="s">
        <v>305</v>
      </c>
      <c r="N74" s="31"/>
      <c r="O74" s="58"/>
      <c r="P74" s="59"/>
      <c r="Q74" s="59" t="s">
        <v>1244</v>
      </c>
      <c r="R74" s="31" t="s">
        <v>1060</v>
      </c>
      <c r="S74" s="163">
        <v>2</v>
      </c>
      <c r="T74" s="163">
        <v>4</v>
      </c>
      <c r="U74" s="163">
        <v>4.4999999999999998E-2</v>
      </c>
      <c r="V74" s="163">
        <f>PLA!U74*Llistes!$L$11*Llistes!$L$12</f>
        <v>6</v>
      </c>
      <c r="W74" s="60" t="s">
        <v>349</v>
      </c>
      <c r="X74" s="60" t="str">
        <f>IF(W74=Llistes!$K$2,Llistes!$L$2,IF(W74=Llistes!$K$3,Llistes!$L$3,IF(W74=Llistes!$K$4,Llistes!$L$4,IF(W74=Llistes!$K$5,Llistes!$L$5,IF(W74=Llistes!$K$6,Llistes!$L$6,IF(W74=Llistes!$K$7,Llistes!$L$7,""))))))</f>
        <v>Sergi Roura</v>
      </c>
      <c r="Y74" s="165" t="s">
        <v>994</v>
      </c>
      <c r="Z74" s="165" t="s">
        <v>994</v>
      </c>
      <c r="AA74" s="165" t="s">
        <v>994</v>
      </c>
      <c r="AB74" s="165" t="s">
        <v>994</v>
      </c>
      <c r="AC74" s="165"/>
    </row>
    <row r="75" spans="1:29" ht="58">
      <c r="A75" s="12" t="s">
        <v>405</v>
      </c>
      <c r="B75" s="360"/>
      <c r="C75" s="357"/>
      <c r="D75" s="239"/>
      <c r="E75" s="236"/>
      <c r="F75" s="186" t="s">
        <v>435</v>
      </c>
      <c r="G75" s="187" t="s">
        <v>436</v>
      </c>
      <c r="H75" s="188" t="s">
        <v>271</v>
      </c>
      <c r="I75" s="188" t="s">
        <v>285</v>
      </c>
      <c r="J75" s="56" t="str">
        <f t="shared" ref="J75" si="12">G75</f>
        <v xml:space="preserve">Fomentar la recuperació i conservació de l'arquitectura tradicional d'interès de les edificacions i construccions </v>
      </c>
      <c r="K75" s="56"/>
      <c r="L75" s="31"/>
      <c r="M75" s="57" t="s">
        <v>305</v>
      </c>
      <c r="N75" s="31"/>
      <c r="O75" s="58"/>
      <c r="P75" s="59"/>
      <c r="Q75" s="59" t="s">
        <v>1245</v>
      </c>
      <c r="R75" s="31" t="s">
        <v>1092</v>
      </c>
      <c r="S75" s="163">
        <v>2</v>
      </c>
      <c r="T75" s="163">
        <v>4</v>
      </c>
      <c r="U75" s="163">
        <v>1.4999999999999999E-2</v>
      </c>
      <c r="V75" s="163">
        <f>PLA!U75*Llistes!$L$11*Llistes!$L$12</f>
        <v>2</v>
      </c>
      <c r="W75" s="60" t="s">
        <v>349</v>
      </c>
      <c r="X75" s="60" t="str">
        <f>IF(W75=Llistes!$K$2,Llistes!$L$2,IF(W75=Llistes!$K$3,Llistes!$L$3,IF(W75=Llistes!$K$4,Llistes!$L$4,IF(W75=Llistes!$K$5,Llistes!$L$5,IF(W75=Llistes!$K$6,Llistes!$L$6,IF(W75=Llistes!$K$7,Llistes!$L$7,""))))))</f>
        <v>Sergi Roura</v>
      </c>
      <c r="Y75" s="165" t="s">
        <v>994</v>
      </c>
      <c r="Z75" s="165" t="s">
        <v>994</v>
      </c>
      <c r="AA75" s="165" t="s">
        <v>994</v>
      </c>
      <c r="AB75" s="165" t="s">
        <v>994</v>
      </c>
      <c r="AC75" s="165"/>
    </row>
    <row r="76" spans="1:29" ht="58">
      <c r="A76" s="12" t="s">
        <v>405</v>
      </c>
      <c r="B76" s="360"/>
      <c r="C76" s="357"/>
      <c r="D76" s="239"/>
      <c r="E76" s="236"/>
      <c r="F76" s="241" t="s">
        <v>437</v>
      </c>
      <c r="G76" s="243" t="s">
        <v>438</v>
      </c>
      <c r="H76" s="233" t="s">
        <v>271</v>
      </c>
      <c r="I76" s="233" t="s">
        <v>285</v>
      </c>
      <c r="J76" s="56" t="str">
        <f>G76</f>
        <v>Identificar i conservar la diversitat domesticada de varietats agrícoles i ramaderes locals</v>
      </c>
      <c r="K76" s="56" t="s">
        <v>439</v>
      </c>
      <c r="L76" s="31"/>
      <c r="M76" s="57" t="s">
        <v>280</v>
      </c>
      <c r="N76" s="31" t="s">
        <v>440</v>
      </c>
      <c r="O76" s="58" t="s">
        <v>288</v>
      </c>
      <c r="P76" s="59"/>
      <c r="Q76" s="59" t="s">
        <v>1247</v>
      </c>
      <c r="R76" s="31" t="s">
        <v>1094</v>
      </c>
      <c r="S76" s="163">
        <v>3</v>
      </c>
      <c r="T76" s="163">
        <v>6</v>
      </c>
      <c r="U76" s="163">
        <v>1.4999999999999999E-2</v>
      </c>
      <c r="V76" s="163">
        <f>PLA!U76*Llistes!$L$11*Llistes!$L$12</f>
        <v>2</v>
      </c>
      <c r="W76" s="60" t="s">
        <v>291</v>
      </c>
      <c r="X76" s="60" t="str">
        <f>IF(W76=Llistes!$K$2,Llistes!$L$2,IF(W76=Llistes!$K$3,Llistes!$L$3,IF(W76=Llistes!$K$4,Llistes!$L$4,IF(W76=Llistes!$K$5,Llistes!$L$5,IF(W76=Llistes!$K$6,Llistes!$L$6,IF(W76=Llistes!$K$7,Llistes!$L$7,""))))))</f>
        <v>Gerard Carrion</v>
      </c>
      <c r="Y76" s="165" t="s">
        <v>994</v>
      </c>
      <c r="Z76" s="165" t="s">
        <v>994</v>
      </c>
      <c r="AA76" s="165" t="s">
        <v>994</v>
      </c>
      <c r="AB76" s="165" t="s">
        <v>994</v>
      </c>
      <c r="AC76" s="165"/>
    </row>
    <row r="77" spans="1:29" ht="29">
      <c r="A77" s="12"/>
      <c r="B77" s="360"/>
      <c r="C77" s="357"/>
      <c r="D77" s="240"/>
      <c r="E77" s="237"/>
      <c r="F77" s="242"/>
      <c r="G77" s="244"/>
      <c r="H77" s="234"/>
      <c r="I77" s="234"/>
      <c r="J77" s="56"/>
      <c r="K77" s="56"/>
      <c r="L77" s="31"/>
      <c r="M77" s="57"/>
      <c r="N77" s="31"/>
      <c r="O77" s="58"/>
      <c r="P77" s="59"/>
      <c r="Q77" s="59" t="s">
        <v>1246</v>
      </c>
      <c r="R77" s="31" t="s">
        <v>1093</v>
      </c>
      <c r="S77" s="163">
        <v>5</v>
      </c>
      <c r="T77" s="163">
        <v>8</v>
      </c>
      <c r="U77" s="163">
        <v>1.4999999999999999E-2</v>
      </c>
      <c r="V77" s="163">
        <f>PLA!U77*Llistes!$L$11*Llistes!$L$12</f>
        <v>2</v>
      </c>
      <c r="W77" s="60" t="s">
        <v>291</v>
      </c>
      <c r="X77" s="60" t="str">
        <f>IF(W77=Llistes!$K$2,Llistes!$L$2,IF(W77=Llistes!$K$3,Llistes!$L$3,IF(W77=Llistes!$K$4,Llistes!$L$4,IF(W77=Llistes!$K$5,Llistes!$L$5,IF(W77=Llistes!$K$6,Llistes!$L$6,IF(W77=Llistes!$K$7,Llistes!$L$7,""))))))</f>
        <v>Gerard Carrion</v>
      </c>
      <c r="Y77" s="165" t="s">
        <v>994</v>
      </c>
      <c r="Z77" s="165" t="s">
        <v>994</v>
      </c>
      <c r="AA77" s="165" t="s">
        <v>994</v>
      </c>
      <c r="AB77" s="165" t="s">
        <v>994</v>
      </c>
      <c r="AC77" s="165"/>
    </row>
    <row r="78" spans="1:29" ht="58">
      <c r="A78" s="12" t="s">
        <v>405</v>
      </c>
      <c r="B78" s="360"/>
      <c r="C78" s="357"/>
      <c r="D78" s="350" t="s">
        <v>441</v>
      </c>
      <c r="E78" s="341" t="s">
        <v>442</v>
      </c>
      <c r="F78" s="188" t="s">
        <v>443</v>
      </c>
      <c r="G78" s="187" t="s">
        <v>444</v>
      </c>
      <c r="H78" s="188" t="s">
        <v>271</v>
      </c>
      <c r="I78" s="188" t="s">
        <v>272</v>
      </c>
      <c r="J78" s="56" t="str">
        <f t="shared" si="2"/>
        <v>Integrar el patrimoni cultural als itineraris i cartelleria de l'ENP.</v>
      </c>
      <c r="K78" s="56" t="s">
        <v>445</v>
      </c>
      <c r="L78" s="31"/>
      <c r="M78" s="57" t="s">
        <v>286</v>
      </c>
      <c r="N78" s="31"/>
      <c r="O78" s="58"/>
      <c r="P78" s="59"/>
      <c r="Q78" s="59" t="s">
        <v>446</v>
      </c>
      <c r="R78" s="31" t="s">
        <v>1095</v>
      </c>
      <c r="S78" s="163">
        <v>4</v>
      </c>
      <c r="T78" s="163">
        <v>10</v>
      </c>
      <c r="U78" s="163">
        <v>1.4999999999999999E-2</v>
      </c>
      <c r="V78" s="163">
        <f>PLA!U78*Llistes!$L$11*Llistes!$L$12</f>
        <v>2</v>
      </c>
      <c r="W78" s="60" t="s">
        <v>412</v>
      </c>
      <c r="X78" s="60" t="str">
        <f>IF(W78=Llistes!$K$2,Llistes!$L$2,IF(W78=Llistes!$K$3,Llistes!$L$3,IF(W78=Llistes!$K$4,Llistes!$L$4,IF(W78=Llistes!$K$5,Llistes!$L$5,IF(W78=Llistes!$K$6,Llistes!$L$6,IF(W78=Llistes!$K$7,Llistes!$L$7,""))))))</f>
        <v>Ivan Bustamante</v>
      </c>
      <c r="Y78" s="165" t="s">
        <v>994</v>
      </c>
      <c r="Z78" s="165" t="s">
        <v>994</v>
      </c>
      <c r="AA78" s="165" t="s">
        <v>994</v>
      </c>
      <c r="AB78" s="165" t="s">
        <v>994</v>
      </c>
      <c r="AC78" s="165"/>
    </row>
    <row r="79" spans="1:29" ht="43.5">
      <c r="A79" s="12" t="s">
        <v>405</v>
      </c>
      <c r="B79" s="360"/>
      <c r="C79" s="357"/>
      <c r="D79" s="350"/>
      <c r="E79" s="341"/>
      <c r="F79" s="188" t="s">
        <v>447</v>
      </c>
      <c r="G79" s="187" t="s">
        <v>448</v>
      </c>
      <c r="H79" s="188" t="s">
        <v>271</v>
      </c>
      <c r="I79" s="188" t="s">
        <v>272</v>
      </c>
      <c r="J79" s="56" t="str">
        <f t="shared" si="2"/>
        <v>Incorporar el patrimoni cultural en els plans d’ús públic i educació ambiental per fomentar-ne la seva conservació i divulgació.</v>
      </c>
      <c r="K79" s="56" t="s">
        <v>445</v>
      </c>
      <c r="L79" s="31"/>
      <c r="M79" s="57" t="s">
        <v>286</v>
      </c>
      <c r="N79" s="31"/>
      <c r="O79" s="58"/>
      <c r="P79" s="59"/>
      <c r="Q79" s="59" t="s">
        <v>449</v>
      </c>
      <c r="R79" s="31" t="s">
        <v>1061</v>
      </c>
      <c r="S79" s="163"/>
      <c r="T79" s="163" t="s">
        <v>1043</v>
      </c>
      <c r="U79" s="163">
        <v>1.4999999999999999E-2</v>
      </c>
      <c r="V79" s="163">
        <f>PLA!U79*Llistes!$L$11*Llistes!$L$12</f>
        <v>2</v>
      </c>
      <c r="W79" s="60" t="s">
        <v>412</v>
      </c>
      <c r="X79" s="60" t="str">
        <f>IF(W79=Llistes!$K$2,Llistes!$L$2,IF(W79=Llistes!$K$3,Llistes!$L$3,IF(W79=Llistes!$K$4,Llistes!$L$4,IF(W79=Llistes!$K$5,Llistes!$L$5,IF(W79=Llistes!$K$6,Llistes!$L$6,IF(W79=Llistes!$K$7,Llistes!$L$7,""))))))</f>
        <v>Ivan Bustamante</v>
      </c>
      <c r="Y79" s="165" t="s">
        <v>994</v>
      </c>
      <c r="Z79" s="165" t="s">
        <v>994</v>
      </c>
      <c r="AA79" s="165" t="s">
        <v>994</v>
      </c>
      <c r="AB79" s="165" t="s">
        <v>994</v>
      </c>
      <c r="AC79" s="165"/>
    </row>
    <row r="80" spans="1:29" ht="29">
      <c r="A80" s="12" t="s">
        <v>405</v>
      </c>
      <c r="B80" s="361"/>
      <c r="C80" s="358"/>
      <c r="D80" s="350"/>
      <c r="E80" s="341"/>
      <c r="F80" s="188" t="s">
        <v>450</v>
      </c>
      <c r="G80" s="187" t="s">
        <v>451</v>
      </c>
      <c r="H80" s="188" t="s">
        <v>271</v>
      </c>
      <c r="I80" s="188" t="s">
        <v>272</v>
      </c>
      <c r="J80" s="56" t="str">
        <f t="shared" si="2"/>
        <v>Formar el personal dels punts d’informació en els valors culturals de l'ENP</v>
      </c>
      <c r="K80" s="56"/>
      <c r="L80" s="31"/>
      <c r="M80" s="57" t="s">
        <v>273</v>
      </c>
      <c r="N80" s="31"/>
      <c r="O80" s="58"/>
      <c r="P80" s="59"/>
      <c r="Q80" s="59" t="s">
        <v>452</v>
      </c>
      <c r="R80" s="31" t="s">
        <v>1096</v>
      </c>
      <c r="S80" s="163">
        <v>2</v>
      </c>
      <c r="T80" s="163">
        <v>4</v>
      </c>
      <c r="U80" s="163">
        <v>1.4999999999999999E-2</v>
      </c>
      <c r="V80" s="163">
        <f>PLA!U80*Llistes!$L$11*Llistes!$L$12</f>
        <v>2</v>
      </c>
      <c r="W80" s="60" t="s">
        <v>412</v>
      </c>
      <c r="X80" s="60" t="str">
        <f>IF(W80=Llistes!$K$2,Llistes!$L$2,IF(W80=Llistes!$K$3,Llistes!$L$3,IF(W80=Llistes!$K$4,Llistes!$L$4,IF(W80=Llistes!$K$5,Llistes!$L$5,IF(W80=Llistes!$K$6,Llistes!$L$6,IF(W80=Llistes!$K$7,Llistes!$L$7,""))))))</f>
        <v>Ivan Bustamante</v>
      </c>
      <c r="Y80" s="165" t="s">
        <v>994</v>
      </c>
      <c r="Z80" s="165" t="s">
        <v>994</v>
      </c>
      <c r="AA80" s="165" t="s">
        <v>994</v>
      </c>
      <c r="AB80" s="165" t="s">
        <v>994</v>
      </c>
      <c r="AC80" s="165"/>
    </row>
    <row r="81" spans="1:29" ht="43.5">
      <c r="A81" s="12" t="s">
        <v>405</v>
      </c>
      <c r="B81" s="390">
        <v>5</v>
      </c>
      <c r="C81" s="387" t="s">
        <v>453</v>
      </c>
      <c r="D81" s="19" t="s">
        <v>454</v>
      </c>
      <c r="E81" s="18" t="s">
        <v>455</v>
      </c>
      <c r="F81" s="188" t="s">
        <v>456</v>
      </c>
      <c r="G81" s="187" t="s">
        <v>457</v>
      </c>
      <c r="H81" s="188" t="s">
        <v>271</v>
      </c>
      <c r="I81" s="188" t="s">
        <v>285</v>
      </c>
      <c r="J81" s="56" t="str">
        <f t="shared" si="2"/>
        <v xml:space="preserve">Elaborar un inventari d'elements d'interès paisatgístic de l'ENP d'acord amb el Catàleg de paisatge de la zona </v>
      </c>
      <c r="K81" s="56"/>
      <c r="L81" s="31"/>
      <c r="M81" s="57" t="s">
        <v>305</v>
      </c>
      <c r="N81" s="31"/>
      <c r="O81" s="58"/>
      <c r="P81" s="59"/>
      <c r="Q81" s="59" t="s">
        <v>458</v>
      </c>
      <c r="R81" s="31" t="s">
        <v>1062</v>
      </c>
      <c r="S81" s="163"/>
      <c r="T81" s="163" t="s">
        <v>1043</v>
      </c>
      <c r="U81" s="163">
        <v>1.4999999999999999E-2</v>
      </c>
      <c r="V81" s="163">
        <f>PLA!U81*Llistes!$L$11*Llistes!$L$12</f>
        <v>2</v>
      </c>
      <c r="W81" s="60" t="s">
        <v>412</v>
      </c>
      <c r="X81" s="60" t="str">
        <f>IF(W81=Llistes!$K$2,Llistes!$L$2,IF(W81=Llistes!$K$3,Llistes!$L$3,IF(W81=Llistes!$K$4,Llistes!$L$4,IF(W81=Llistes!$K$5,Llistes!$L$5,IF(W81=Llistes!$K$6,Llistes!$L$6,IF(W81=Llistes!$K$7,Llistes!$L$7,""))))))</f>
        <v>Ivan Bustamante</v>
      </c>
      <c r="Y81" s="165" t="s">
        <v>994</v>
      </c>
      <c r="Z81" s="165" t="s">
        <v>994</v>
      </c>
      <c r="AA81" s="165" t="s">
        <v>994</v>
      </c>
      <c r="AB81" s="165" t="s">
        <v>994</v>
      </c>
      <c r="AC81" s="165"/>
    </row>
    <row r="82" spans="1:29" ht="29">
      <c r="A82" s="12" t="s">
        <v>405</v>
      </c>
      <c r="B82" s="391"/>
      <c r="C82" s="388"/>
      <c r="D82" s="327" t="s">
        <v>1447</v>
      </c>
      <c r="E82" s="275" t="s">
        <v>1448</v>
      </c>
      <c r="F82" s="186" t="s">
        <v>459</v>
      </c>
      <c r="G82" s="187" t="s">
        <v>460</v>
      </c>
      <c r="H82" s="188" t="s">
        <v>271</v>
      </c>
      <c r="I82" s="188" t="s">
        <v>285</v>
      </c>
      <c r="J82" s="56" t="s">
        <v>460</v>
      </c>
      <c r="K82" s="56"/>
      <c r="L82" s="31"/>
      <c r="M82" s="57" t="s">
        <v>305</v>
      </c>
      <c r="N82" s="31"/>
      <c r="O82" s="58"/>
      <c r="P82" s="59"/>
      <c r="Q82" s="59" t="s">
        <v>1248</v>
      </c>
      <c r="R82" s="31" t="s">
        <v>1097</v>
      </c>
      <c r="S82" s="163">
        <v>0</v>
      </c>
      <c r="T82" s="163">
        <v>0</v>
      </c>
      <c r="U82" s="163">
        <v>1.4999999999999999E-2</v>
      </c>
      <c r="V82" s="163">
        <f>PLA!U82*Llistes!$L$11*Llistes!$L$12</f>
        <v>2</v>
      </c>
      <c r="W82" s="60" t="s">
        <v>349</v>
      </c>
      <c r="X82" s="60" t="str">
        <f>IF(W82=Llistes!$K$2,Llistes!$L$2,IF(W82=Llistes!$K$3,Llistes!$L$3,IF(W82=Llistes!$K$4,Llistes!$L$4,IF(W82=Llistes!$K$5,Llistes!$L$5,IF(W82=Llistes!$K$6,Llistes!$L$6,IF(W82=Llistes!$K$7,Llistes!$L$7,""))))))</f>
        <v>Sergi Roura</v>
      </c>
      <c r="Y82" s="165" t="s">
        <v>994</v>
      </c>
      <c r="Z82" s="165" t="s">
        <v>994</v>
      </c>
      <c r="AA82" s="165" t="s">
        <v>994</v>
      </c>
      <c r="AB82" s="165" t="s">
        <v>994</v>
      </c>
      <c r="AC82" s="147"/>
    </row>
    <row r="83" spans="1:29" ht="29">
      <c r="A83" s="12" t="s">
        <v>405</v>
      </c>
      <c r="B83" s="391"/>
      <c r="C83" s="388"/>
      <c r="D83" s="327"/>
      <c r="E83" s="276"/>
      <c r="F83" s="186" t="s">
        <v>459</v>
      </c>
      <c r="G83" s="187" t="s">
        <v>460</v>
      </c>
      <c r="H83" s="188" t="s">
        <v>271</v>
      </c>
      <c r="I83" s="188" t="s">
        <v>285</v>
      </c>
      <c r="J83" s="56" t="s">
        <v>460</v>
      </c>
      <c r="K83" s="56"/>
      <c r="L83" s="31"/>
      <c r="M83" s="57" t="s">
        <v>305</v>
      </c>
      <c r="N83" s="31"/>
      <c r="O83" s="58"/>
      <c r="P83" s="59"/>
      <c r="Q83" s="59" t="s">
        <v>1249</v>
      </c>
      <c r="R83" s="31" t="s">
        <v>1294</v>
      </c>
      <c r="S83" s="163"/>
      <c r="T83" s="163" t="s">
        <v>1043</v>
      </c>
      <c r="U83" s="163">
        <v>1.4999999999999999E-2</v>
      </c>
      <c r="V83" s="163">
        <f>PLA!U83*Llistes!$L$11*Llistes!$L$12</f>
        <v>2</v>
      </c>
      <c r="W83" s="60" t="s">
        <v>291</v>
      </c>
      <c r="X83" s="60" t="str">
        <f>IF(W83=Llistes!$K$2,Llistes!$L$2,IF(W83=Llistes!$K$3,Llistes!$L$3,IF(W83=Llistes!$K$4,Llistes!$L$4,IF(W83=Llistes!$K$5,Llistes!$L$5,IF(W83=Llistes!$K$6,Llistes!$L$6,IF(W83=Llistes!$K$7,Llistes!$L$7,""))))))</f>
        <v>Gerard Carrion</v>
      </c>
      <c r="Y83" s="165" t="s">
        <v>994</v>
      </c>
      <c r="Z83" s="165" t="s">
        <v>994</v>
      </c>
      <c r="AA83" s="165" t="s">
        <v>994</v>
      </c>
      <c r="AB83" s="165" t="s">
        <v>994</v>
      </c>
      <c r="AC83" s="147"/>
    </row>
    <row r="84" spans="1:29" ht="43.5">
      <c r="A84" s="12" t="s">
        <v>405</v>
      </c>
      <c r="B84" s="391"/>
      <c r="C84" s="388"/>
      <c r="D84" s="328"/>
      <c r="E84" s="382"/>
      <c r="F84" s="186" t="s">
        <v>459</v>
      </c>
      <c r="G84" s="187" t="s">
        <v>460</v>
      </c>
      <c r="H84" s="188" t="s">
        <v>271</v>
      </c>
      <c r="I84" s="188" t="s">
        <v>285</v>
      </c>
      <c r="J84" s="56" t="str">
        <f>G84</f>
        <v>Minimitzar la brutícia, deixalles, vandalisme i males praxis dins l'ENP</v>
      </c>
      <c r="K84" s="56"/>
      <c r="L84" s="31"/>
      <c r="M84" s="57" t="s">
        <v>305</v>
      </c>
      <c r="N84" s="31"/>
      <c r="O84" s="58"/>
      <c r="P84" s="59"/>
      <c r="Q84" s="59" t="s">
        <v>1250</v>
      </c>
      <c r="R84" s="31" t="s">
        <v>1063</v>
      </c>
      <c r="S84" s="163"/>
      <c r="T84" s="163" t="s">
        <v>1043</v>
      </c>
      <c r="U84" s="163">
        <v>1.4999999999999999E-2</v>
      </c>
      <c r="V84" s="163">
        <f>PLA!U84*Llistes!$L$11*Llistes!$L$12</f>
        <v>2</v>
      </c>
      <c r="W84" s="60" t="s">
        <v>349</v>
      </c>
      <c r="X84" s="60" t="str">
        <f>IF(W84=Llistes!$K$2,Llistes!$L$2,IF(W84=Llistes!$K$3,Llistes!$L$3,IF(W84=Llistes!$K$4,Llistes!$L$4,IF(W84=Llistes!$K$5,Llistes!$L$5,IF(W84=Llistes!$K$6,Llistes!$L$6,IF(W84=Llistes!$K$7,Llistes!$L$7,""))))))</f>
        <v>Sergi Roura</v>
      </c>
      <c r="Y84" s="165" t="s">
        <v>994</v>
      </c>
      <c r="Z84" s="165" t="s">
        <v>994</v>
      </c>
      <c r="AA84" s="165" t="s">
        <v>994</v>
      </c>
      <c r="AB84" s="165" t="s">
        <v>994</v>
      </c>
      <c r="AC84" s="147"/>
    </row>
    <row r="85" spans="1:29" ht="72.5">
      <c r="A85" s="12" t="s">
        <v>405</v>
      </c>
      <c r="B85" s="391"/>
      <c r="C85" s="388"/>
      <c r="D85" s="336" t="s">
        <v>1449</v>
      </c>
      <c r="E85" s="275" t="s">
        <v>1450</v>
      </c>
      <c r="F85" s="186" t="s">
        <v>461</v>
      </c>
      <c r="G85" s="187" t="s">
        <v>462</v>
      </c>
      <c r="H85" s="188" t="s">
        <v>303</v>
      </c>
      <c r="I85" s="188" t="s">
        <v>285</v>
      </c>
      <c r="J85" s="56" t="s">
        <v>463</v>
      </c>
      <c r="K85" s="56" t="s">
        <v>464</v>
      </c>
      <c r="L85" s="31"/>
      <c r="M85" s="57" t="s">
        <v>305</v>
      </c>
      <c r="N85" s="31"/>
      <c r="O85" s="58" t="s">
        <v>288</v>
      </c>
      <c r="P85" s="59"/>
      <c r="Q85" s="59" t="s">
        <v>1251</v>
      </c>
      <c r="R85" s="31" t="s">
        <v>1295</v>
      </c>
      <c r="S85" s="163"/>
      <c r="T85" s="163" t="s">
        <v>1043</v>
      </c>
      <c r="U85" s="163">
        <v>1.4999999999999999E-2</v>
      </c>
      <c r="V85" s="163">
        <f>PLA!U85*Llistes!$L$11*Llistes!$L$12</f>
        <v>2</v>
      </c>
      <c r="W85" s="60" t="s">
        <v>291</v>
      </c>
      <c r="X85" s="60" t="str">
        <f>IF(W85=Llistes!$K$2,Llistes!$L$2,IF(W85=Llistes!$K$3,Llistes!$L$3,IF(W85=Llistes!$K$4,Llistes!$L$4,IF(W85=Llistes!$K$5,Llistes!$L$5,IF(W85=Llistes!$K$6,Llistes!$L$6,IF(W85=Llistes!$K$7,Llistes!$L$7,""))))))</f>
        <v>Gerard Carrion</v>
      </c>
      <c r="Y85" s="165"/>
      <c r="Z85" s="165"/>
      <c r="AA85" s="165"/>
      <c r="AB85" s="165" t="s">
        <v>994</v>
      </c>
      <c r="AC85" s="147"/>
    </row>
    <row r="86" spans="1:29" ht="29">
      <c r="A86" s="12" t="s">
        <v>405</v>
      </c>
      <c r="B86" s="392"/>
      <c r="C86" s="389"/>
      <c r="D86" s="328"/>
      <c r="E86" s="276"/>
      <c r="F86" s="186" t="s">
        <v>1540</v>
      </c>
      <c r="G86" s="187" t="s">
        <v>462</v>
      </c>
      <c r="H86" s="188" t="s">
        <v>303</v>
      </c>
      <c r="I86" s="188" t="s">
        <v>279</v>
      </c>
      <c r="J86" s="56"/>
      <c r="K86" s="56"/>
      <c r="L86" s="31"/>
      <c r="M86" s="57"/>
      <c r="N86" s="31"/>
      <c r="O86" s="58"/>
      <c r="P86" s="59"/>
      <c r="Q86" s="59"/>
      <c r="R86" s="31"/>
      <c r="S86" s="163"/>
      <c r="T86" s="163"/>
      <c r="U86" s="163"/>
      <c r="V86" s="163"/>
      <c r="W86" s="60"/>
      <c r="X86" s="60"/>
      <c r="Y86" s="165"/>
      <c r="Z86" s="165"/>
      <c r="AA86" s="165"/>
      <c r="AB86" s="165"/>
      <c r="AC86" s="147"/>
    </row>
    <row r="87" spans="1:29" ht="58">
      <c r="A87" s="23" t="s">
        <v>465</v>
      </c>
      <c r="B87" s="365">
        <v>6</v>
      </c>
      <c r="C87" s="362" t="s">
        <v>466</v>
      </c>
      <c r="D87" s="280" t="s">
        <v>467</v>
      </c>
      <c r="E87" s="277" t="s">
        <v>468</v>
      </c>
      <c r="F87" s="186" t="s">
        <v>469</v>
      </c>
      <c r="G87" s="189" t="s">
        <v>470</v>
      </c>
      <c r="H87" s="188" t="s">
        <v>271</v>
      </c>
      <c r="I87" s="188" t="s">
        <v>285</v>
      </c>
      <c r="J87" s="56" t="str">
        <f t="shared" si="2"/>
        <v>Identificar i prioritzar els elements clau i d'interès per a la gestió de la biodiversitat i geodiversitat de Catalunya que es troben dins l'ENP (espècies amenaçades, espècies exòtiques invasores,.. )</v>
      </c>
      <c r="K87" s="56"/>
      <c r="L87" s="63"/>
      <c r="M87" s="57" t="s">
        <v>273</v>
      </c>
      <c r="N87" s="63" t="s">
        <v>471</v>
      </c>
      <c r="O87" s="62" t="s">
        <v>472</v>
      </c>
      <c r="P87" s="59" t="s">
        <v>473</v>
      </c>
      <c r="Q87" s="59" t="s">
        <v>1252</v>
      </c>
      <c r="R87" s="31" t="s">
        <v>1098</v>
      </c>
      <c r="S87" s="163">
        <v>2</v>
      </c>
      <c r="T87" s="163">
        <v>5</v>
      </c>
      <c r="U87" s="163">
        <v>1.4999999999999999E-2</v>
      </c>
      <c r="V87" s="163">
        <f>PLA!U87*Llistes!$L$11*Llistes!$L$12</f>
        <v>2</v>
      </c>
      <c r="W87" s="60" t="s">
        <v>277</v>
      </c>
      <c r="X87" s="60" t="str">
        <f>IF(W87=Llistes!$K$2,Llistes!$L$2,IF(W87=Llistes!$K$3,Llistes!$L$3,IF(W87=Llistes!$K$4,Llistes!$L$4,IF(W87=Llistes!$K$5,Llistes!$L$5,IF(W87=Llistes!$K$6,Llistes!$L$6,IF(W87=Llistes!$K$7,Llistes!$L$7,""))))))</f>
        <v>Pau Federico</v>
      </c>
      <c r="Y87" s="165" t="s">
        <v>994</v>
      </c>
      <c r="Z87" s="165" t="s">
        <v>994</v>
      </c>
      <c r="AA87" s="165" t="s">
        <v>994</v>
      </c>
      <c r="AB87" s="165" t="s">
        <v>994</v>
      </c>
      <c r="AC87" s="147"/>
    </row>
    <row r="88" spans="1:29" ht="58">
      <c r="A88" s="23" t="s">
        <v>465</v>
      </c>
      <c r="B88" s="366"/>
      <c r="C88" s="363"/>
      <c r="D88" s="281"/>
      <c r="E88" s="278"/>
      <c r="F88" s="186" t="s">
        <v>474</v>
      </c>
      <c r="G88" s="187" t="s">
        <v>475</v>
      </c>
      <c r="H88" s="188" t="s">
        <v>271</v>
      </c>
      <c r="I88" s="188" t="s">
        <v>285</v>
      </c>
      <c r="J88" s="56" t="str">
        <f t="shared" si="2"/>
        <v>Definir espais fràgils i zones d'especial atenció</v>
      </c>
      <c r="K88" s="56"/>
      <c r="L88" s="31"/>
      <c r="M88" s="57" t="s">
        <v>273</v>
      </c>
      <c r="N88" s="31" t="s">
        <v>476</v>
      </c>
      <c r="O88" s="58"/>
      <c r="P88" s="59" t="s">
        <v>477</v>
      </c>
      <c r="Q88" s="59" t="s">
        <v>1253</v>
      </c>
      <c r="R88" s="31" t="s">
        <v>1099</v>
      </c>
      <c r="S88" s="163">
        <v>2</v>
      </c>
      <c r="T88" s="163">
        <v>5</v>
      </c>
      <c r="U88" s="163">
        <v>1.4999999999999999E-2</v>
      </c>
      <c r="V88" s="163">
        <f>PLA!U88*Llistes!$L$11*Llistes!$L$12</f>
        <v>2</v>
      </c>
      <c r="W88" s="60" t="s">
        <v>291</v>
      </c>
      <c r="X88" s="60" t="str">
        <f>IF(W88=Llistes!$K$2,Llistes!$L$2,IF(W88=Llistes!$K$3,Llistes!$L$3,IF(W88=Llistes!$K$4,Llistes!$L$4,IF(W88=Llistes!$K$5,Llistes!$L$5,IF(W88=Llistes!$K$6,Llistes!$L$6,IF(W88=Llistes!$K$7,Llistes!$L$7,""))))))</f>
        <v>Gerard Carrion</v>
      </c>
      <c r="Y88" s="165" t="s">
        <v>994</v>
      </c>
      <c r="Z88" s="165" t="s">
        <v>994</v>
      </c>
      <c r="AA88" s="165" t="s">
        <v>994</v>
      </c>
      <c r="AB88" s="165" t="s">
        <v>994</v>
      </c>
      <c r="AC88" s="147"/>
    </row>
    <row r="89" spans="1:29" ht="58">
      <c r="A89" s="23" t="s">
        <v>465</v>
      </c>
      <c r="B89" s="366"/>
      <c r="C89" s="363"/>
      <c r="D89" s="282"/>
      <c r="E89" s="279"/>
      <c r="F89" s="186" t="s">
        <v>474</v>
      </c>
      <c r="G89" s="187" t="s">
        <v>475</v>
      </c>
      <c r="H89" s="188" t="s">
        <v>271</v>
      </c>
      <c r="I89" s="188" t="s">
        <v>285</v>
      </c>
      <c r="J89" s="56" t="str">
        <f t="shared" ref="J89" si="13">G89</f>
        <v>Definir espais fràgils i zones d'especial atenció</v>
      </c>
      <c r="K89" s="56"/>
      <c r="L89" s="31"/>
      <c r="M89" s="57" t="s">
        <v>273</v>
      </c>
      <c r="N89" s="31" t="s">
        <v>476</v>
      </c>
      <c r="O89" s="58"/>
      <c r="P89" s="59"/>
      <c r="Q89" s="59" t="s">
        <v>1072</v>
      </c>
      <c r="R89" s="31" t="s">
        <v>1073</v>
      </c>
      <c r="S89" s="164"/>
      <c r="T89" s="164" t="s">
        <v>1043</v>
      </c>
      <c r="U89" s="163">
        <v>0.15</v>
      </c>
      <c r="V89" s="163">
        <f>PLA!U89*Llistes!$L$11*Llistes!$L$12</f>
        <v>20</v>
      </c>
      <c r="W89" s="60" t="s">
        <v>1082</v>
      </c>
      <c r="X89" s="60" t="str">
        <f>IF(W89=Llistes!$K$2,Llistes!$L$2,IF(W89=Llistes!$K$3,Llistes!$L$3,IF(W89=Llistes!$K$4,Llistes!$L$4,IF(W89=Llistes!$K$5,Llistes!$L$5,IF(W89=Llistes!$K$6,Llistes!$L$6,IF(W89=Llistes!$K$7,Llistes!$L$7,""))))))</f>
        <v>Montse Pascual</v>
      </c>
      <c r="Y89" s="165" t="s">
        <v>994</v>
      </c>
      <c r="Z89" s="165"/>
      <c r="AA89" s="165"/>
      <c r="AB89" s="165"/>
      <c r="AC89" s="147"/>
    </row>
    <row r="90" spans="1:29" ht="43.5" customHeight="1">
      <c r="A90" s="23" t="s">
        <v>465</v>
      </c>
      <c r="B90" s="366"/>
      <c r="C90" s="363"/>
      <c r="D90" s="280" t="s">
        <v>478</v>
      </c>
      <c r="E90" s="283" t="s">
        <v>479</v>
      </c>
      <c r="F90" s="186" t="s">
        <v>480</v>
      </c>
      <c r="G90" s="187" t="s">
        <v>481</v>
      </c>
      <c r="H90" s="188" t="s">
        <v>271</v>
      </c>
      <c r="I90" s="188" t="s">
        <v>285</v>
      </c>
      <c r="J90" s="56" t="str">
        <f t="shared" si="2"/>
        <v>Participar en l'elaboració de la cartografia que elabora la UIC</v>
      </c>
      <c r="K90" s="56"/>
      <c r="L90" s="31"/>
      <c r="M90" s="57" t="s">
        <v>286</v>
      </c>
      <c r="N90" s="31" t="s">
        <v>482</v>
      </c>
      <c r="O90" s="58" t="s">
        <v>288</v>
      </c>
      <c r="P90" s="59" t="s">
        <v>483</v>
      </c>
      <c r="Q90" s="59" t="s">
        <v>1254</v>
      </c>
      <c r="R90" s="31" t="s">
        <v>1100</v>
      </c>
      <c r="S90" s="163">
        <v>1</v>
      </c>
      <c r="T90" s="163">
        <v>3</v>
      </c>
      <c r="U90" s="163">
        <v>1.4999999999999999E-2</v>
      </c>
      <c r="V90" s="163">
        <f>PLA!U90*Llistes!$L$11*Llistes!$L$12</f>
        <v>2</v>
      </c>
      <c r="W90" s="60" t="s">
        <v>291</v>
      </c>
      <c r="X90" s="60" t="str">
        <f>IF(W90=Llistes!$K$2,Llistes!$L$2,IF(W90=Llistes!$K$3,Llistes!$L$3,IF(W90=Llistes!$K$4,Llistes!$L$4,IF(W90=Llistes!$K$5,Llistes!$L$5,IF(W90=Llistes!$K$6,Llistes!$L$6,IF(W90=Llistes!$K$7,Llistes!$L$7,""))))))</f>
        <v>Gerard Carrion</v>
      </c>
      <c r="Y90" s="165" t="s">
        <v>994</v>
      </c>
      <c r="Z90" s="165" t="s">
        <v>994</v>
      </c>
      <c r="AA90" s="165" t="s">
        <v>994</v>
      </c>
      <c r="AB90" s="165" t="s">
        <v>994</v>
      </c>
      <c r="AC90" s="147"/>
    </row>
    <row r="91" spans="1:29" ht="130.5">
      <c r="A91" s="23" t="s">
        <v>465</v>
      </c>
      <c r="B91" s="366"/>
      <c r="C91" s="363"/>
      <c r="D91" s="281"/>
      <c r="E91" s="284"/>
      <c r="F91" s="186" t="s">
        <v>484</v>
      </c>
      <c r="G91" s="187" t="s">
        <v>485</v>
      </c>
      <c r="H91" s="188" t="s">
        <v>271</v>
      </c>
      <c r="I91" s="188" t="s">
        <v>285</v>
      </c>
      <c r="J91" s="56" t="str">
        <f t="shared" si="2"/>
        <v>Conèixer i estudiar els processos naturals propis de l’espai, la seva funcionalitat, i ecologia en referència als ecosistemes</v>
      </c>
      <c r="K91" s="56"/>
      <c r="L91" s="31"/>
      <c r="M91" s="57" t="s">
        <v>305</v>
      </c>
      <c r="N91" s="31" t="s">
        <v>486</v>
      </c>
      <c r="O91" s="58"/>
      <c r="P91" s="59"/>
      <c r="Q91" s="59" t="s">
        <v>1255</v>
      </c>
      <c r="R91" s="31" t="s">
        <v>1101</v>
      </c>
      <c r="S91" s="163">
        <v>1</v>
      </c>
      <c r="T91" s="163">
        <v>3</v>
      </c>
      <c r="U91" s="163">
        <v>1.4999999999999999E-2</v>
      </c>
      <c r="V91" s="163">
        <f>PLA!U91*Llistes!$L$11*Llistes!$L$12</f>
        <v>2</v>
      </c>
      <c r="W91" s="60" t="s">
        <v>291</v>
      </c>
      <c r="X91" s="60" t="str">
        <f>IF(W91=Llistes!$K$2,Llistes!$L$2,IF(W91=Llistes!$K$3,Llistes!$L$3,IF(W91=Llistes!$K$4,Llistes!$L$4,IF(W91=Llistes!$K$5,Llistes!$L$5,IF(W91=Llistes!$K$6,Llistes!$L$6,IF(W91=Llistes!$K$7,Llistes!$L$7,""))))))</f>
        <v>Gerard Carrion</v>
      </c>
      <c r="Y91" s="165" t="s">
        <v>994</v>
      </c>
      <c r="Z91" s="165" t="s">
        <v>994</v>
      </c>
      <c r="AA91" s="165" t="s">
        <v>994</v>
      </c>
      <c r="AB91" s="165" t="s">
        <v>994</v>
      </c>
      <c r="AC91" s="147"/>
    </row>
    <row r="92" spans="1:29" ht="130.5">
      <c r="A92" s="23" t="s">
        <v>465</v>
      </c>
      <c r="B92" s="366"/>
      <c r="C92" s="363"/>
      <c r="D92" s="281"/>
      <c r="E92" s="284"/>
      <c r="F92" s="186" t="s">
        <v>484</v>
      </c>
      <c r="G92" s="187" t="s">
        <v>485</v>
      </c>
      <c r="H92" s="188" t="s">
        <v>271</v>
      </c>
      <c r="I92" s="188" t="s">
        <v>285</v>
      </c>
      <c r="J92" s="56" t="str">
        <f t="shared" ref="J92" si="14">G92</f>
        <v>Conèixer i estudiar els processos naturals propis de l’espai, la seva funcionalitat, i ecologia en referència als ecosistemes</v>
      </c>
      <c r="K92" s="56"/>
      <c r="L92" s="31"/>
      <c r="M92" s="57" t="s">
        <v>305</v>
      </c>
      <c r="N92" s="31" t="s">
        <v>486</v>
      </c>
      <c r="O92" s="58"/>
      <c r="P92" s="59"/>
      <c r="Q92" s="59" t="s">
        <v>1256</v>
      </c>
      <c r="R92" s="31" t="s">
        <v>1102</v>
      </c>
      <c r="S92" s="163">
        <v>0</v>
      </c>
      <c r="T92" s="163">
        <v>1</v>
      </c>
      <c r="U92" s="163">
        <v>1.4999999999999999E-2</v>
      </c>
      <c r="V92" s="163">
        <f>PLA!U92*Llistes!$L$11*Llistes!$L$12</f>
        <v>2</v>
      </c>
      <c r="W92" s="60" t="s">
        <v>291</v>
      </c>
      <c r="X92" s="60" t="str">
        <f>IF(W92=Llistes!$K$2,Llistes!$L$2,IF(W92=Llistes!$K$3,Llistes!$L$3,IF(W92=Llistes!$K$4,Llistes!$L$4,IF(W92=Llistes!$K$5,Llistes!$L$5,IF(W92=Llistes!$K$6,Llistes!$L$6,IF(W92=Llistes!$K$7,Llistes!$L$7,""))))))</f>
        <v>Gerard Carrion</v>
      </c>
      <c r="Y92" s="165" t="s">
        <v>994</v>
      </c>
      <c r="Z92" s="165" t="s">
        <v>994</v>
      </c>
      <c r="AA92" s="165" t="s">
        <v>994</v>
      </c>
      <c r="AB92" s="165" t="s">
        <v>994</v>
      </c>
      <c r="AC92" s="147"/>
    </row>
    <row r="93" spans="1:29" ht="130.5">
      <c r="A93" s="23" t="s">
        <v>465</v>
      </c>
      <c r="B93" s="366"/>
      <c r="C93" s="363"/>
      <c r="D93" s="281"/>
      <c r="E93" s="284"/>
      <c r="F93" s="186" t="s">
        <v>484</v>
      </c>
      <c r="G93" s="187" t="s">
        <v>485</v>
      </c>
      <c r="H93" s="188" t="s">
        <v>271</v>
      </c>
      <c r="I93" s="188" t="s">
        <v>285</v>
      </c>
      <c r="J93" s="56" t="str">
        <f t="shared" si="2"/>
        <v>Conèixer i estudiar els processos naturals propis de l’espai, la seva funcionalitat, i ecologia en referència als ecosistemes</v>
      </c>
      <c r="K93" s="56"/>
      <c r="L93" s="31"/>
      <c r="M93" s="57" t="s">
        <v>305</v>
      </c>
      <c r="N93" s="31" t="s">
        <v>486</v>
      </c>
      <c r="O93" s="58"/>
      <c r="P93" s="59"/>
      <c r="Q93" s="59" t="s">
        <v>1257</v>
      </c>
      <c r="R93" s="31" t="s">
        <v>1296</v>
      </c>
      <c r="S93" s="163"/>
      <c r="T93" s="163" t="s">
        <v>1043</v>
      </c>
      <c r="U93" s="163">
        <v>1.4999999999999999E-2</v>
      </c>
      <c r="V93" s="163">
        <f>PLA!U93*Llistes!$L$11*Llistes!$L$12</f>
        <v>2</v>
      </c>
      <c r="W93" s="60" t="s">
        <v>277</v>
      </c>
      <c r="X93" s="60" t="str">
        <f>IF(W93=Llistes!$K$2,Llistes!$L$2,IF(W93=Llistes!$K$3,Llistes!$L$3,IF(W93=Llistes!$K$4,Llistes!$L$4,IF(W93=Llistes!$K$5,Llistes!$L$5,IF(W93=Llistes!$K$6,Llistes!$L$6,IF(W93=Llistes!$K$7,Llistes!$L$7,""))))))</f>
        <v>Pau Federico</v>
      </c>
      <c r="Y93" s="165" t="s">
        <v>994</v>
      </c>
      <c r="Z93" s="165" t="s">
        <v>994</v>
      </c>
      <c r="AA93" s="165" t="s">
        <v>994</v>
      </c>
      <c r="AB93" s="165" t="s">
        <v>994</v>
      </c>
      <c r="AC93" s="147"/>
    </row>
    <row r="94" spans="1:29" ht="159.5">
      <c r="A94" s="23" t="s">
        <v>465</v>
      </c>
      <c r="B94" s="366"/>
      <c r="C94" s="363"/>
      <c r="D94" s="281"/>
      <c r="E94" s="284"/>
      <c r="F94" s="186" t="s">
        <v>484</v>
      </c>
      <c r="G94" s="187" t="s">
        <v>485</v>
      </c>
      <c r="H94" s="188" t="s">
        <v>271</v>
      </c>
      <c r="I94" s="188" t="s">
        <v>285</v>
      </c>
      <c r="J94" s="56" t="str">
        <f t="shared" ref="J94:J96" si="15">G94</f>
        <v>Conèixer i estudiar els processos naturals propis de l’espai, la seva funcionalitat, i ecologia en referència als ecosistemes</v>
      </c>
      <c r="K94" s="56"/>
      <c r="L94" s="31"/>
      <c r="M94" s="57" t="s">
        <v>273</v>
      </c>
      <c r="N94" s="31" t="s">
        <v>489</v>
      </c>
      <c r="O94" s="58"/>
      <c r="P94" s="59"/>
      <c r="Q94" s="59" t="s">
        <v>1258</v>
      </c>
      <c r="R94" s="31" t="s">
        <v>1103</v>
      </c>
      <c r="S94" s="163">
        <v>1</v>
      </c>
      <c r="T94" s="163">
        <v>2</v>
      </c>
      <c r="U94" s="163">
        <v>1.4999999999999999E-2</v>
      </c>
      <c r="V94" s="163">
        <f>PLA!U94*Llistes!$L$11*Llistes!$L$12</f>
        <v>2</v>
      </c>
      <c r="W94" s="60" t="s">
        <v>277</v>
      </c>
      <c r="X94" s="60" t="str">
        <f>IF(W94=Llistes!$K$2,Llistes!$L$2,IF(W94=Llistes!$K$3,Llistes!$L$3,IF(W94=Llistes!$K$4,Llistes!$L$4,IF(W94=Llistes!$K$5,Llistes!$L$5,IF(W94=Llistes!$K$6,Llistes!$L$6,IF(W94=Llistes!$K$7,Llistes!$L$7,""))))))</f>
        <v>Pau Federico</v>
      </c>
      <c r="Y94" s="165" t="s">
        <v>994</v>
      </c>
      <c r="Z94" s="165" t="s">
        <v>994</v>
      </c>
      <c r="AA94" s="165" t="s">
        <v>994</v>
      </c>
      <c r="AB94" s="165" t="s">
        <v>994</v>
      </c>
      <c r="AC94" s="147"/>
    </row>
    <row r="95" spans="1:29" ht="159.5">
      <c r="A95" s="23" t="s">
        <v>465</v>
      </c>
      <c r="B95" s="366"/>
      <c r="C95" s="363"/>
      <c r="D95" s="281"/>
      <c r="E95" s="284"/>
      <c r="F95" s="186" t="s">
        <v>484</v>
      </c>
      <c r="G95" s="187" t="s">
        <v>485</v>
      </c>
      <c r="H95" s="188" t="s">
        <v>271</v>
      </c>
      <c r="I95" s="188" t="s">
        <v>285</v>
      </c>
      <c r="J95" s="56" t="str">
        <f t="shared" si="15"/>
        <v>Conèixer i estudiar els processos naturals propis de l’espai, la seva funcionalitat, i ecologia en referència als ecosistemes</v>
      </c>
      <c r="K95" s="56"/>
      <c r="L95" s="31"/>
      <c r="M95" s="57" t="s">
        <v>286</v>
      </c>
      <c r="N95" s="31" t="s">
        <v>489</v>
      </c>
      <c r="O95" s="58"/>
      <c r="P95" s="59"/>
      <c r="Q95" s="59" t="s">
        <v>1259</v>
      </c>
      <c r="R95" s="31" t="s">
        <v>1297</v>
      </c>
      <c r="S95" s="163"/>
      <c r="T95" s="163" t="s">
        <v>1043</v>
      </c>
      <c r="U95" s="163">
        <v>1.4999999999999999E-2</v>
      </c>
      <c r="V95" s="163">
        <f>PLA!U95*Llistes!$L$11*Llistes!$L$12</f>
        <v>2</v>
      </c>
      <c r="W95" s="60" t="s">
        <v>291</v>
      </c>
      <c r="X95" s="60" t="str">
        <f>IF(W95=Llistes!$K$2,Llistes!$L$2,IF(W95=Llistes!$K$3,Llistes!$L$3,IF(W95=Llistes!$K$4,Llistes!$L$4,IF(W95=Llistes!$K$5,Llistes!$L$5,IF(W95=Llistes!$K$6,Llistes!$L$6,IF(W95=Llistes!$K$7,Llistes!$L$7,""))))))</f>
        <v>Gerard Carrion</v>
      </c>
      <c r="Y95" s="165"/>
      <c r="Z95" s="165" t="s">
        <v>994</v>
      </c>
      <c r="AA95" s="165"/>
      <c r="AB95" s="165"/>
      <c r="AC95" s="147"/>
    </row>
    <row r="96" spans="1:29" ht="159.5">
      <c r="A96" s="23" t="s">
        <v>465</v>
      </c>
      <c r="B96" s="366"/>
      <c r="C96" s="363"/>
      <c r="D96" s="281"/>
      <c r="E96" s="284"/>
      <c r="F96" s="186" t="s">
        <v>484</v>
      </c>
      <c r="G96" s="187" t="s">
        <v>485</v>
      </c>
      <c r="H96" s="188" t="s">
        <v>271</v>
      </c>
      <c r="I96" s="188" t="s">
        <v>285</v>
      </c>
      <c r="J96" s="56" t="str">
        <f t="shared" si="15"/>
        <v>Conèixer i estudiar els processos naturals propis de l’espai, la seva funcionalitat, i ecologia en referència als ecosistemes</v>
      </c>
      <c r="K96" s="56"/>
      <c r="L96" s="31"/>
      <c r="M96" s="57" t="s">
        <v>286</v>
      </c>
      <c r="N96" s="31" t="s">
        <v>489</v>
      </c>
      <c r="O96" s="58"/>
      <c r="P96" s="59"/>
      <c r="Q96" s="59" t="s">
        <v>1260</v>
      </c>
      <c r="R96" s="31" t="s">
        <v>1298</v>
      </c>
      <c r="S96" s="163"/>
      <c r="T96" s="163" t="s">
        <v>1043</v>
      </c>
      <c r="U96" s="163">
        <v>1.4999999999999999E-2</v>
      </c>
      <c r="V96" s="163">
        <f>PLA!U96*Llistes!$L$11*Llistes!$L$12</f>
        <v>2</v>
      </c>
      <c r="W96" s="60" t="s">
        <v>291</v>
      </c>
      <c r="X96" s="60" t="str">
        <f>IF(W96=Llistes!$K$2,Llistes!$L$2,IF(W96=Llistes!$K$3,Llistes!$L$3,IF(W96=Llistes!$K$4,Llistes!$L$4,IF(W96=Llistes!$K$5,Llistes!$L$5,IF(W96=Llistes!$K$6,Llistes!$L$6,IF(W96=Llistes!$K$7,Llistes!$L$7,""))))))</f>
        <v>Gerard Carrion</v>
      </c>
      <c r="Y96" s="165"/>
      <c r="Z96" s="165"/>
      <c r="AA96" s="165"/>
      <c r="AB96" s="165" t="s">
        <v>994</v>
      </c>
      <c r="AC96" s="147"/>
    </row>
    <row r="97" spans="1:29" ht="159.5">
      <c r="A97" s="23" t="s">
        <v>465</v>
      </c>
      <c r="B97" s="366"/>
      <c r="C97" s="363"/>
      <c r="D97" s="281"/>
      <c r="E97" s="284"/>
      <c r="F97" s="186" t="s">
        <v>484</v>
      </c>
      <c r="G97" s="187" t="s">
        <v>488</v>
      </c>
      <c r="H97" s="188" t="s">
        <v>271</v>
      </c>
      <c r="I97" s="188" t="s">
        <v>285</v>
      </c>
      <c r="J97" s="56" t="str">
        <f t="shared" si="2"/>
        <v>Conèixer els usos i factors de canvi rellevants en l'evolució dels elements de conservació, i avaluar els efectes que generen en l’espai (pressions i amenaces)</v>
      </c>
      <c r="K97" s="56"/>
      <c r="L97" s="31"/>
      <c r="M97" s="57" t="s">
        <v>286</v>
      </c>
      <c r="N97" s="31" t="s">
        <v>489</v>
      </c>
      <c r="O97" s="58" t="s">
        <v>288</v>
      </c>
      <c r="P97" s="59" t="s">
        <v>490</v>
      </c>
      <c r="Q97" s="59" t="s">
        <v>1261</v>
      </c>
      <c r="R97" s="31" t="s">
        <v>1299</v>
      </c>
      <c r="S97" s="163"/>
      <c r="T97" s="163" t="s">
        <v>1043</v>
      </c>
      <c r="U97" s="163">
        <v>1.4999999999999999E-2</v>
      </c>
      <c r="V97" s="163">
        <f>PLA!U97*Llistes!$L$11*Llistes!$L$12</f>
        <v>2</v>
      </c>
      <c r="W97" s="60" t="s">
        <v>277</v>
      </c>
      <c r="X97" s="60" t="str">
        <f>IF(W97=Llistes!$K$2,Llistes!$L$2,IF(W97=Llistes!$K$3,Llistes!$L$3,IF(W97=Llistes!$K$4,Llistes!$L$4,IF(W97=Llistes!$K$5,Llistes!$L$5,IF(W97=Llistes!$K$6,Llistes!$L$6,IF(W97=Llistes!$K$7,Llistes!$L$7,""))))))</f>
        <v>Pau Federico</v>
      </c>
      <c r="Y97" s="165" t="s">
        <v>994</v>
      </c>
      <c r="Z97" s="165" t="s">
        <v>994</v>
      </c>
      <c r="AA97" s="165" t="s">
        <v>994</v>
      </c>
      <c r="AB97" s="165" t="s">
        <v>994</v>
      </c>
      <c r="AC97" s="147"/>
    </row>
    <row r="98" spans="1:29" ht="43.5">
      <c r="A98" s="23" t="s">
        <v>465</v>
      </c>
      <c r="B98" s="366"/>
      <c r="C98" s="363"/>
      <c r="D98" s="281"/>
      <c r="E98" s="284"/>
      <c r="F98" s="186" t="s">
        <v>487</v>
      </c>
      <c r="G98" s="187" t="s">
        <v>488</v>
      </c>
      <c r="H98" s="188" t="s">
        <v>271</v>
      </c>
      <c r="I98" s="188" t="s">
        <v>285</v>
      </c>
      <c r="J98" s="56"/>
      <c r="K98" s="56"/>
      <c r="L98" s="31"/>
      <c r="M98" s="57"/>
      <c r="N98" s="31"/>
      <c r="O98" s="58"/>
      <c r="P98" s="59"/>
      <c r="Q98" s="59"/>
      <c r="R98" s="31"/>
      <c r="S98" s="163"/>
      <c r="T98" s="163"/>
      <c r="U98" s="163"/>
      <c r="V98" s="163"/>
      <c r="W98" s="60"/>
      <c r="X98" s="60"/>
      <c r="Y98" s="165"/>
      <c r="Z98" s="165"/>
      <c r="AA98" s="165"/>
      <c r="AB98" s="165"/>
      <c r="AC98" s="147"/>
    </row>
    <row r="99" spans="1:29" ht="58">
      <c r="A99" s="23" t="s">
        <v>465</v>
      </c>
      <c r="B99" s="366"/>
      <c r="C99" s="363"/>
      <c r="D99" s="281"/>
      <c r="E99" s="284"/>
      <c r="F99" s="186" t="s">
        <v>491</v>
      </c>
      <c r="G99" s="187" t="s">
        <v>1593</v>
      </c>
      <c r="H99" s="188" t="s">
        <v>271</v>
      </c>
      <c r="I99" s="188" t="s">
        <v>285</v>
      </c>
      <c r="J99" s="56" t="str">
        <f t="shared" ref="J99" si="16">G99</f>
        <v>Conèixer l'impacte de les gestió de l'aigua, sobre la biodiversitat</v>
      </c>
      <c r="K99" s="56"/>
      <c r="L99" s="31"/>
      <c r="M99" s="57" t="s">
        <v>305</v>
      </c>
      <c r="N99" s="31" t="s">
        <v>492</v>
      </c>
      <c r="O99" s="58"/>
      <c r="P99" s="59"/>
      <c r="Q99" s="59" t="s">
        <v>1262</v>
      </c>
      <c r="R99" s="31" t="s">
        <v>1104</v>
      </c>
      <c r="S99" s="163">
        <v>1</v>
      </c>
      <c r="T99" s="163">
        <v>2</v>
      </c>
      <c r="U99" s="163">
        <v>1.4999999999999999E-2</v>
      </c>
      <c r="V99" s="163">
        <f>PLA!U99*Llistes!$L$11*Llistes!$L$12</f>
        <v>2</v>
      </c>
      <c r="W99" s="60" t="s">
        <v>291</v>
      </c>
      <c r="X99" s="60" t="str">
        <f>IF(W99=Llistes!$K$2,Llistes!$L$2,IF(W99=Llistes!$K$3,Llistes!$L$3,IF(W99=Llistes!$K$4,Llistes!$L$4,IF(W99=Llistes!$K$5,Llistes!$L$5,IF(W99=Llistes!$K$6,Llistes!$L$6,IF(W99=Llistes!$K$7,Llistes!$L$7,""))))))</f>
        <v>Gerard Carrion</v>
      </c>
      <c r="Y99" s="165" t="s">
        <v>994</v>
      </c>
      <c r="Z99" s="165" t="s">
        <v>994</v>
      </c>
      <c r="AA99" s="165" t="s">
        <v>994</v>
      </c>
      <c r="AB99" s="165" t="s">
        <v>994</v>
      </c>
      <c r="AC99" s="147"/>
    </row>
    <row r="100" spans="1:29" ht="72.5">
      <c r="A100" s="23" t="s">
        <v>465</v>
      </c>
      <c r="B100" s="366"/>
      <c r="C100" s="363"/>
      <c r="D100" s="281"/>
      <c r="E100" s="284"/>
      <c r="F100" s="186" t="s">
        <v>493</v>
      </c>
      <c r="G100" s="187" t="s">
        <v>494</v>
      </c>
      <c r="H100" s="188" t="s">
        <v>271</v>
      </c>
      <c r="I100" s="188" t="s">
        <v>285</v>
      </c>
      <c r="J100" s="56" t="str">
        <f>G100</f>
        <v>Participar en el coneixement de la tendència d'espècies plaga amb afectacions sobre ecosistemes o activitats econòmiques dins l'ENP</v>
      </c>
      <c r="K100" s="56"/>
      <c r="L100" s="31"/>
      <c r="M100" s="57" t="s">
        <v>305</v>
      </c>
      <c r="N100" s="31" t="s">
        <v>495</v>
      </c>
      <c r="O100" s="58"/>
      <c r="P100" s="59"/>
      <c r="Q100" s="59" t="s">
        <v>1263</v>
      </c>
      <c r="R100" s="31" t="s">
        <v>1105</v>
      </c>
      <c r="S100" s="163">
        <v>1</v>
      </c>
      <c r="T100" s="163">
        <v>2</v>
      </c>
      <c r="U100" s="163">
        <v>1.4999999999999999E-2</v>
      </c>
      <c r="V100" s="163">
        <f>PLA!U100*Llistes!$L$11*Llistes!$L$12</f>
        <v>2</v>
      </c>
      <c r="W100" s="60" t="s">
        <v>291</v>
      </c>
      <c r="X100" s="60" t="str">
        <f>IF(W100=Llistes!$K$2,Llistes!$L$2,IF(W100=Llistes!$K$3,Llistes!$L$3,IF(W100=Llistes!$K$4,Llistes!$L$4,IF(W100=Llistes!$K$5,Llistes!$L$5,IF(W100=Llistes!$K$6,Llistes!$L$6,IF(W100=Llistes!$K$7,Llistes!$L$7,""))))))</f>
        <v>Gerard Carrion</v>
      </c>
      <c r="Y100" s="165" t="s">
        <v>994</v>
      </c>
      <c r="Z100" s="165" t="s">
        <v>994</v>
      </c>
      <c r="AA100" s="165" t="s">
        <v>994</v>
      </c>
      <c r="AB100" s="165" t="s">
        <v>994</v>
      </c>
      <c r="AC100" s="147"/>
    </row>
    <row r="101" spans="1:29" ht="43.5">
      <c r="A101" s="23" t="s">
        <v>465</v>
      </c>
      <c r="B101" s="366"/>
      <c r="C101" s="363"/>
      <c r="D101" s="281"/>
      <c r="E101" s="284"/>
      <c r="F101" s="186" t="s">
        <v>496</v>
      </c>
      <c r="G101" s="187" t="s">
        <v>497</v>
      </c>
      <c r="H101" s="188" t="s">
        <v>271</v>
      </c>
      <c r="I101" s="188" t="s">
        <v>285</v>
      </c>
      <c r="J101" s="56" t="str">
        <f t="shared" si="2"/>
        <v>Conèixer la tendència d'espècies exòtiques invasores amb afectacions sobre ecosistemes o activitats econòmiques dins l'ENP</v>
      </c>
      <c r="K101" s="56"/>
      <c r="L101" s="31"/>
      <c r="M101" s="57" t="s">
        <v>286</v>
      </c>
      <c r="N101" s="31" t="s">
        <v>498</v>
      </c>
      <c r="O101" s="58" t="s">
        <v>288</v>
      </c>
      <c r="P101" s="59"/>
      <c r="Q101" s="59" t="s">
        <v>1264</v>
      </c>
      <c r="R101" s="31" t="s">
        <v>1106</v>
      </c>
      <c r="S101" s="163">
        <v>2</v>
      </c>
      <c r="T101" s="163">
        <v>4</v>
      </c>
      <c r="U101" s="163">
        <v>1.4999999999999999E-2</v>
      </c>
      <c r="V101" s="163">
        <f>PLA!U101*Llistes!$L$11*Llistes!$L$12</f>
        <v>2</v>
      </c>
      <c r="W101" s="60" t="s">
        <v>277</v>
      </c>
      <c r="X101" s="60" t="str">
        <f>IF(W101=Llistes!$K$2,Llistes!$L$2,IF(W101=Llistes!$K$3,Llistes!$L$3,IF(W101=Llistes!$K$4,Llistes!$L$4,IF(W101=Llistes!$K$5,Llistes!$L$5,IF(W101=Llistes!$K$6,Llistes!$L$6,IF(W101=Llistes!$K$7,Llistes!$L$7,""))))))</f>
        <v>Pau Federico</v>
      </c>
      <c r="Y101" s="165" t="s">
        <v>994</v>
      </c>
      <c r="Z101" s="165" t="s">
        <v>994</v>
      </c>
      <c r="AA101" s="165" t="s">
        <v>994</v>
      </c>
      <c r="AB101" s="165" t="s">
        <v>994</v>
      </c>
      <c r="AC101" s="147"/>
    </row>
    <row r="102" spans="1:29" ht="29">
      <c r="A102" s="23"/>
      <c r="B102" s="366"/>
      <c r="C102" s="363"/>
      <c r="D102" s="282"/>
      <c r="E102" s="285"/>
      <c r="F102" s="186" t="s">
        <v>1542</v>
      </c>
      <c r="G102" s="187" t="s">
        <v>1541</v>
      </c>
      <c r="H102" s="188" t="s">
        <v>271</v>
      </c>
      <c r="I102" s="188" t="s">
        <v>279</v>
      </c>
      <c r="J102" s="56"/>
      <c r="K102" s="56"/>
      <c r="L102" s="31"/>
      <c r="M102" s="57"/>
      <c r="N102" s="31"/>
      <c r="O102" s="58"/>
      <c r="P102" s="59"/>
      <c r="Q102" s="59"/>
      <c r="R102" s="31"/>
      <c r="S102" s="163"/>
      <c r="T102" s="163"/>
      <c r="U102" s="163"/>
      <c r="V102" s="163"/>
      <c r="W102" s="60"/>
      <c r="X102" s="60"/>
      <c r="Y102" s="165"/>
      <c r="Z102" s="165"/>
      <c r="AA102" s="165"/>
      <c r="AB102" s="165"/>
      <c r="AC102" s="147"/>
    </row>
    <row r="103" spans="1:29" ht="43.5">
      <c r="A103" s="23" t="s">
        <v>465</v>
      </c>
      <c r="B103" s="366"/>
      <c r="C103" s="363"/>
      <c r="D103" s="280" t="s">
        <v>499</v>
      </c>
      <c r="E103" s="277" t="s">
        <v>1640</v>
      </c>
      <c r="F103" s="186" t="s">
        <v>501</v>
      </c>
      <c r="G103" s="187" t="s">
        <v>502</v>
      </c>
      <c r="H103" s="188" t="s">
        <v>271</v>
      </c>
      <c r="I103" s="188" t="s">
        <v>285</v>
      </c>
      <c r="J103" s="56" t="str">
        <f t="shared" si="2"/>
        <v>Participar en la definició del sistema estàndard de seguiment de flora, fauna i hàbitats de la DG</v>
      </c>
      <c r="K103" s="56"/>
      <c r="L103" s="31"/>
      <c r="M103" s="57" t="s">
        <v>286</v>
      </c>
      <c r="N103" s="31" t="s">
        <v>503</v>
      </c>
      <c r="O103" s="58" t="s">
        <v>288</v>
      </c>
      <c r="P103" s="59" t="s">
        <v>504</v>
      </c>
      <c r="Q103" s="59" t="s">
        <v>1265</v>
      </c>
      <c r="R103" s="31" t="s">
        <v>1107</v>
      </c>
      <c r="S103" s="163">
        <v>1</v>
      </c>
      <c r="T103" s="163">
        <v>4</v>
      </c>
      <c r="U103" s="163">
        <v>1.4999999999999999E-2</v>
      </c>
      <c r="V103" s="163">
        <f>PLA!U103*Llistes!$L$11*Llistes!$L$12</f>
        <v>2</v>
      </c>
      <c r="W103" s="60" t="s">
        <v>277</v>
      </c>
      <c r="X103" s="60" t="str">
        <f>IF(W103=Llistes!$K$2,Llistes!$L$2,IF(W103=Llistes!$K$3,Llistes!$L$3,IF(W103=Llistes!$K$4,Llistes!$L$4,IF(W103=Llistes!$K$5,Llistes!$L$5,IF(W103=Llistes!$K$6,Llistes!$L$6,IF(W103=Llistes!$K$7,Llistes!$L$7,""))))))</f>
        <v>Pau Federico</v>
      </c>
      <c r="Y103" s="165" t="s">
        <v>994</v>
      </c>
      <c r="Z103" s="165" t="s">
        <v>994</v>
      </c>
      <c r="AA103" s="165" t="s">
        <v>994</v>
      </c>
      <c r="AB103" s="165" t="s">
        <v>994</v>
      </c>
      <c r="AC103" s="165"/>
    </row>
    <row r="104" spans="1:29" ht="217.5">
      <c r="A104" s="23" t="s">
        <v>465</v>
      </c>
      <c r="B104" s="366"/>
      <c r="C104" s="363"/>
      <c r="D104" s="281"/>
      <c r="E104" s="278"/>
      <c r="F104" s="186" t="s">
        <v>505</v>
      </c>
      <c r="G104" s="187" t="s">
        <v>506</v>
      </c>
      <c r="H104" s="188" t="s">
        <v>271</v>
      </c>
      <c r="I104" s="188" t="s">
        <v>285</v>
      </c>
      <c r="J104" s="56" t="str">
        <f t="shared" si="2"/>
        <v>Adequar i executar el sistema de seguiment periòdic dels grups clau de l'ENP al sistema estàndard de seguiment</v>
      </c>
      <c r="K104" s="56"/>
      <c r="L104" s="31"/>
      <c r="M104" s="57" t="s">
        <v>286</v>
      </c>
      <c r="N104" s="31" t="s">
        <v>507</v>
      </c>
      <c r="O104" s="58" t="s">
        <v>288</v>
      </c>
      <c r="P104" s="59" t="s">
        <v>508</v>
      </c>
      <c r="Q104" s="59" t="s">
        <v>1108</v>
      </c>
      <c r="R104" s="31" t="s">
        <v>1300</v>
      </c>
      <c r="S104" s="164">
        <v>0.5</v>
      </c>
      <c r="T104" s="164">
        <v>1</v>
      </c>
      <c r="U104" s="163">
        <v>10</v>
      </c>
      <c r="V104" s="163">
        <f>PLA!U104*Llistes!$L$11*Llistes!$L$12</f>
        <v>1333.3333333333335</v>
      </c>
      <c r="W104" s="60" t="s">
        <v>277</v>
      </c>
      <c r="X104" s="60" t="str">
        <f>IF(W104=Llistes!$K$2,Llistes!$L$2,IF(W104=Llistes!$K$3,Llistes!$L$3,IF(W104=Llistes!$K$4,Llistes!$L$4,IF(W104=Llistes!$K$5,Llistes!$L$5,IF(W104=Llistes!$K$6,Llistes!$L$6,IF(W104=Llistes!$K$7,Llistes!$L$7,""))))))</f>
        <v>Pau Federico</v>
      </c>
      <c r="Y104" s="165" t="s">
        <v>994</v>
      </c>
      <c r="Z104" s="165" t="s">
        <v>994</v>
      </c>
      <c r="AA104" s="165" t="s">
        <v>994</v>
      </c>
      <c r="AB104" s="165" t="s">
        <v>994</v>
      </c>
      <c r="AC104" s="165"/>
    </row>
    <row r="105" spans="1:29" ht="43.5">
      <c r="A105" s="23" t="s">
        <v>465</v>
      </c>
      <c r="B105" s="366"/>
      <c r="C105" s="363"/>
      <c r="D105" s="281"/>
      <c r="E105" s="278"/>
      <c r="F105" s="186" t="s">
        <v>509</v>
      </c>
      <c r="G105" s="187" t="s">
        <v>510</v>
      </c>
      <c r="H105" s="188" t="s">
        <v>271</v>
      </c>
      <c r="I105" s="188" t="s">
        <v>285</v>
      </c>
      <c r="J105" s="56" t="str">
        <f t="shared" si="2"/>
        <v xml:space="preserve">Mantenir una base de dades de seguiment de patrimoni natural de l'ENP actualitzada i ordenada </v>
      </c>
      <c r="K105" s="56"/>
      <c r="L105" s="31"/>
      <c r="M105" s="57" t="s">
        <v>273</v>
      </c>
      <c r="N105" s="31"/>
      <c r="O105" s="58"/>
      <c r="P105" s="59"/>
      <c r="Q105" s="59" t="s">
        <v>511</v>
      </c>
      <c r="R105" s="31" t="s">
        <v>1077</v>
      </c>
      <c r="S105" s="163"/>
      <c r="T105" s="163" t="s">
        <v>1043</v>
      </c>
      <c r="U105" s="163">
        <v>1.02</v>
      </c>
      <c r="V105" s="163">
        <f>PLA!U105*Llistes!$L$11*Llistes!$L$12</f>
        <v>136</v>
      </c>
      <c r="W105" s="60" t="s">
        <v>277</v>
      </c>
      <c r="X105" s="60" t="str">
        <f>IF(W105=Llistes!$K$2,Llistes!$L$2,IF(W105=Llistes!$K$3,Llistes!$L$3,IF(W105=Llistes!$K$4,Llistes!$L$4,IF(W105=Llistes!$K$5,Llistes!$L$5,IF(W105=Llistes!$K$6,Llistes!$L$6,IF(W105=Llistes!$K$7,Llistes!$L$7,""))))))</f>
        <v>Pau Federico</v>
      </c>
      <c r="Y105" s="165" t="s">
        <v>994</v>
      </c>
      <c r="Z105" s="165" t="s">
        <v>994</v>
      </c>
      <c r="AA105" s="165" t="s">
        <v>994</v>
      </c>
      <c r="AB105" s="165" t="s">
        <v>994</v>
      </c>
      <c r="AC105" s="165"/>
    </row>
    <row r="106" spans="1:29" ht="29">
      <c r="A106" s="23"/>
      <c r="B106" s="366"/>
      <c r="C106" s="363"/>
      <c r="D106" s="282"/>
      <c r="E106" s="279"/>
      <c r="F106" s="186" t="s">
        <v>1464</v>
      </c>
      <c r="G106" s="187" t="s">
        <v>1465</v>
      </c>
      <c r="H106" s="188" t="s">
        <v>271</v>
      </c>
      <c r="I106" s="188" t="s">
        <v>285</v>
      </c>
      <c r="J106" s="56" t="str">
        <f>G106</f>
        <v>Participar en la definició, organització i bolcatge de dades del SINATCAT</v>
      </c>
      <c r="K106" s="56"/>
      <c r="L106" s="31"/>
      <c r="M106" s="57" t="s">
        <v>305</v>
      </c>
      <c r="N106" s="31"/>
      <c r="O106" s="58"/>
      <c r="P106" s="59"/>
      <c r="Q106" s="59" t="s">
        <v>1627</v>
      </c>
      <c r="R106" s="31" t="s">
        <v>1628</v>
      </c>
      <c r="S106" s="163"/>
      <c r="T106" s="163" t="s">
        <v>1629</v>
      </c>
      <c r="U106" s="163">
        <v>1</v>
      </c>
      <c r="V106" s="163">
        <v>180</v>
      </c>
      <c r="W106" s="60" t="s">
        <v>825</v>
      </c>
      <c r="X106" s="60" t="str">
        <f>IF(W106=Llistes!$K$2,Llistes!$L$2,IF(W106=Llistes!$K$3,Llistes!$L$3,IF(W106=Llistes!$K$4,Llistes!$L$4,IF(W106=Llistes!$K$5,Llistes!$L$5,IF(W106=Llistes!$K$6,Llistes!$L$6,IF(W106=Llistes!$K$7,Llistes!$L$7,""))))))</f>
        <v>Pilar Sanllehí</v>
      </c>
      <c r="Y106" s="165"/>
      <c r="Z106" s="165"/>
      <c r="AA106" s="165"/>
      <c r="AB106" s="165"/>
      <c r="AC106" s="165"/>
    </row>
    <row r="107" spans="1:29" ht="58" customHeight="1">
      <c r="A107" s="23" t="s">
        <v>465</v>
      </c>
      <c r="B107" s="366"/>
      <c r="C107" s="363"/>
      <c r="D107" s="280" t="s">
        <v>512</v>
      </c>
      <c r="E107" s="277" t="s">
        <v>513</v>
      </c>
      <c r="F107" s="186" t="s">
        <v>514</v>
      </c>
      <c r="G107" s="187" t="s">
        <v>515</v>
      </c>
      <c r="H107" s="188" t="s">
        <v>271</v>
      </c>
      <c r="I107" s="188" t="s">
        <v>279</v>
      </c>
      <c r="J107" s="56" t="str">
        <f>G107</f>
        <v>Crear sinèrgies i col·laborar amb museus i equipaments de referència per definir línies d'actuació conjunta entre patrimoni cultural i natural</v>
      </c>
      <c r="K107" s="56"/>
      <c r="L107" s="31"/>
      <c r="M107" s="57" t="s">
        <v>305</v>
      </c>
      <c r="N107" s="31"/>
      <c r="O107" s="58"/>
      <c r="P107" s="59" t="s">
        <v>516</v>
      </c>
      <c r="Q107" s="54" t="s">
        <v>1109</v>
      </c>
      <c r="R107" s="31" t="s">
        <v>1110</v>
      </c>
      <c r="S107" s="163">
        <v>2</v>
      </c>
      <c r="T107" s="163">
        <v>4</v>
      </c>
      <c r="U107" s="163">
        <v>1.4999999999999999E-2</v>
      </c>
      <c r="V107" s="163">
        <f>PLA!U107*Llistes!$L$11*Llistes!$L$12</f>
        <v>2</v>
      </c>
      <c r="W107" s="60" t="s">
        <v>412</v>
      </c>
      <c r="X107" s="60" t="str">
        <f>IF(W107=Llistes!$K$2,Llistes!$L$2,IF(W107=Llistes!$K$3,Llistes!$L$3,IF(W107=Llistes!$K$4,Llistes!$L$4,IF(W107=Llistes!$K$5,Llistes!$L$5,IF(W107=Llistes!$K$6,Llistes!$L$6,IF(W107=Llistes!$K$7,Llistes!$L$7,""))))))</f>
        <v>Ivan Bustamante</v>
      </c>
      <c r="Y107" s="165" t="s">
        <v>994</v>
      </c>
      <c r="Z107" s="165" t="s">
        <v>994</v>
      </c>
      <c r="AA107" s="165" t="s">
        <v>994</v>
      </c>
      <c r="AB107" s="165" t="s">
        <v>994</v>
      </c>
      <c r="AC107" s="147"/>
    </row>
    <row r="108" spans="1:29" ht="43.5">
      <c r="A108" s="23" t="s">
        <v>465</v>
      </c>
      <c r="B108" s="366"/>
      <c r="C108" s="363"/>
      <c r="D108" s="281"/>
      <c r="E108" s="278"/>
      <c r="F108" s="186" t="s">
        <v>517</v>
      </c>
      <c r="G108" s="187" t="s">
        <v>518</v>
      </c>
      <c r="H108" s="188" t="s">
        <v>271</v>
      </c>
      <c r="I108" s="188" t="s">
        <v>285</v>
      </c>
      <c r="J108" s="56" t="s">
        <v>519</v>
      </c>
      <c r="K108" s="56" t="s">
        <v>520</v>
      </c>
      <c r="L108" s="31"/>
      <c r="M108" s="57" t="s">
        <v>305</v>
      </c>
      <c r="N108" s="31"/>
      <c r="O108" s="58"/>
      <c r="P108" s="59" t="s">
        <v>521</v>
      </c>
      <c r="Q108" s="59" t="s">
        <v>522</v>
      </c>
      <c r="R108" s="31" t="s">
        <v>1078</v>
      </c>
      <c r="S108" s="163">
        <v>1</v>
      </c>
      <c r="T108" s="163">
        <v>2</v>
      </c>
      <c r="U108" s="163">
        <v>1.4999999999999999E-2</v>
      </c>
      <c r="V108" s="163">
        <f>PLA!U108*Llistes!$L$11*Llistes!$L$12</f>
        <v>2</v>
      </c>
      <c r="W108" s="60" t="s">
        <v>291</v>
      </c>
      <c r="X108" s="60" t="str">
        <f>IF(W108=Llistes!$K$2,Llistes!$L$2,IF(W108=Llistes!$K$3,Llistes!$L$3,IF(W108=Llistes!$K$4,Llistes!$L$4,IF(W108=Llistes!$K$5,Llistes!$L$5,IF(W108=Llistes!$K$6,Llistes!$L$6,IF(W108=Llistes!$K$7,Llistes!$L$7,""))))))</f>
        <v>Gerard Carrion</v>
      </c>
      <c r="Y108" s="165" t="s">
        <v>994</v>
      </c>
      <c r="Z108" s="165" t="s">
        <v>994</v>
      </c>
      <c r="AA108" s="165" t="s">
        <v>994</v>
      </c>
      <c r="AB108" s="165" t="s">
        <v>994</v>
      </c>
      <c r="AC108" s="147"/>
    </row>
    <row r="109" spans="1:29" ht="29">
      <c r="A109" s="23" t="s">
        <v>465</v>
      </c>
      <c r="B109" s="366"/>
      <c r="C109" s="363"/>
      <c r="D109" s="281"/>
      <c r="E109" s="278"/>
      <c r="F109" s="186" t="s">
        <v>523</v>
      </c>
      <c r="G109" s="187" t="s">
        <v>524</v>
      </c>
      <c r="H109" s="188" t="s">
        <v>271</v>
      </c>
      <c r="I109" s="188" t="s">
        <v>285</v>
      </c>
      <c r="J109" s="56" t="str">
        <f>G109</f>
        <v xml:space="preserve">Potenciar la ciència ciutadana en l’ENP com a eina per generar coneixement </v>
      </c>
      <c r="K109" s="56"/>
      <c r="L109" s="31"/>
      <c r="M109" s="57" t="s">
        <v>305</v>
      </c>
      <c r="N109" s="31" t="s">
        <v>525</v>
      </c>
      <c r="O109" s="58"/>
      <c r="P109" s="59"/>
      <c r="Q109" s="59" t="s">
        <v>1266</v>
      </c>
      <c r="R109" s="31" t="s">
        <v>1079</v>
      </c>
      <c r="S109" s="163">
        <v>1</v>
      </c>
      <c r="T109" s="163">
        <v>3</v>
      </c>
      <c r="U109" s="163">
        <v>4.4999999999999998E-2</v>
      </c>
      <c r="V109" s="163">
        <f>PLA!U109*Llistes!$L$11*Llistes!$L$12</f>
        <v>6</v>
      </c>
      <c r="W109" s="60" t="s">
        <v>277</v>
      </c>
      <c r="X109" s="60" t="str">
        <f>IF(W109=Llistes!$K$2,Llistes!$L$2,IF(W109=Llistes!$K$3,Llistes!$L$3,IF(W109=Llistes!$K$4,Llistes!$L$4,IF(W109=Llistes!$K$5,Llistes!$L$5,IF(W109=Llistes!$K$6,Llistes!$L$6,IF(W109=Llistes!$K$7,Llistes!$L$7,""))))))</f>
        <v>Pau Federico</v>
      </c>
      <c r="Y109" s="165" t="s">
        <v>994</v>
      </c>
      <c r="Z109" s="165" t="s">
        <v>994</v>
      </c>
      <c r="AA109" s="165" t="s">
        <v>994</v>
      </c>
      <c r="AB109" s="165" t="s">
        <v>994</v>
      </c>
      <c r="AC109" s="147"/>
    </row>
    <row r="110" spans="1:29" ht="58">
      <c r="A110" s="23" t="s">
        <v>465</v>
      </c>
      <c r="B110" s="366"/>
      <c r="C110" s="363"/>
      <c r="D110" s="281"/>
      <c r="E110" s="278"/>
      <c r="F110" s="186" t="s">
        <v>526</v>
      </c>
      <c r="G110" s="187" t="s">
        <v>1641</v>
      </c>
      <c r="H110" s="188" t="s">
        <v>271</v>
      </c>
      <c r="I110" s="188" t="s">
        <v>285</v>
      </c>
      <c r="J110" s="56" t="s">
        <v>1642</v>
      </c>
      <c r="K110" s="56" t="s">
        <v>529</v>
      </c>
      <c r="L110" s="31"/>
      <c r="M110" s="57" t="s">
        <v>305</v>
      </c>
      <c r="N110" s="31"/>
      <c r="O110" s="58"/>
      <c r="P110" s="59" t="s">
        <v>530</v>
      </c>
      <c r="Q110" s="59" t="s">
        <v>1643</v>
      </c>
      <c r="R110" s="31" t="s">
        <v>1644</v>
      </c>
      <c r="S110" s="163"/>
      <c r="T110" s="163" t="s">
        <v>1043</v>
      </c>
      <c r="U110" s="163">
        <v>4.4999999999999998E-2</v>
      </c>
      <c r="V110" s="163">
        <f>PLA!U110*Llistes!$L$11*Llistes!$L$12</f>
        <v>6</v>
      </c>
      <c r="W110" s="60" t="s">
        <v>291</v>
      </c>
      <c r="X110" s="60" t="str">
        <f>IF(W110=Llistes!$K$2,Llistes!$L$2,IF(W110=Llistes!$K$3,Llistes!$L$3,IF(W110=Llistes!$K$4,Llistes!$L$4,IF(W110=Llistes!$K$5,Llistes!$L$5,IF(W110=Llistes!$K$6,Llistes!$L$6,IF(W110=Llistes!$K$7,Llistes!$L$7,""))))))</f>
        <v>Gerard Carrion</v>
      </c>
      <c r="Y110" s="165" t="s">
        <v>994</v>
      </c>
      <c r="Z110" s="165" t="s">
        <v>994</v>
      </c>
      <c r="AA110" s="165" t="s">
        <v>994</v>
      </c>
      <c r="AB110" s="165" t="s">
        <v>994</v>
      </c>
      <c r="AC110" s="147"/>
    </row>
    <row r="111" spans="1:29">
      <c r="A111" s="23"/>
      <c r="B111" s="366"/>
      <c r="C111" s="363"/>
      <c r="D111" s="281"/>
      <c r="E111" s="278"/>
      <c r="F111" s="186" t="s">
        <v>1543</v>
      </c>
      <c r="G111" s="187" t="s">
        <v>1544</v>
      </c>
      <c r="H111" s="188" t="s">
        <v>271</v>
      </c>
      <c r="I111" s="188" t="s">
        <v>279</v>
      </c>
      <c r="J111" s="56"/>
      <c r="K111" s="56"/>
      <c r="L111" s="31"/>
      <c r="M111" s="57"/>
      <c r="N111" s="31"/>
      <c r="O111" s="58"/>
      <c r="P111" s="59"/>
      <c r="Q111" s="59"/>
      <c r="R111" s="31"/>
      <c r="S111" s="163"/>
      <c r="T111" s="163"/>
      <c r="U111" s="163"/>
      <c r="V111" s="163"/>
      <c r="W111" s="60"/>
      <c r="X111" s="60"/>
      <c r="Y111" s="165"/>
      <c r="Z111" s="165"/>
      <c r="AA111" s="165"/>
      <c r="AB111" s="165"/>
      <c r="AC111" s="147"/>
    </row>
    <row r="112" spans="1:29" ht="29">
      <c r="A112" s="23" t="s">
        <v>465</v>
      </c>
      <c r="B112" s="366"/>
      <c r="C112" s="363"/>
      <c r="D112" s="282"/>
      <c r="E112" s="279"/>
      <c r="F112" s="186" t="s">
        <v>1545</v>
      </c>
      <c r="G112" s="187" t="s">
        <v>1546</v>
      </c>
      <c r="H112" s="188" t="s">
        <v>271</v>
      </c>
      <c r="I112" s="188" t="s">
        <v>279</v>
      </c>
      <c r="J112" s="56"/>
      <c r="K112" s="56"/>
      <c r="L112" s="31"/>
      <c r="M112" s="57"/>
      <c r="N112" s="31"/>
      <c r="O112" s="58"/>
      <c r="P112" s="59"/>
      <c r="Q112" s="59"/>
      <c r="R112" s="31"/>
      <c r="S112" s="163"/>
      <c r="T112" s="163"/>
      <c r="U112" s="163"/>
      <c r="V112" s="163"/>
      <c r="W112" s="60"/>
      <c r="X112" s="60"/>
      <c r="Y112" s="165"/>
      <c r="Z112" s="165"/>
      <c r="AA112" s="165"/>
      <c r="AB112" s="165"/>
      <c r="AC112" s="147"/>
    </row>
    <row r="113" spans="1:29" ht="43.5">
      <c r="A113" s="23" t="s">
        <v>465</v>
      </c>
      <c r="B113" s="366"/>
      <c r="C113" s="363"/>
      <c r="D113" s="329" t="s">
        <v>532</v>
      </c>
      <c r="E113" s="326" t="s">
        <v>533</v>
      </c>
      <c r="F113" s="186" t="s">
        <v>534</v>
      </c>
      <c r="G113" s="187" t="s">
        <v>535</v>
      </c>
      <c r="H113" s="188" t="s">
        <v>271</v>
      </c>
      <c r="I113" s="188" t="s">
        <v>285</v>
      </c>
      <c r="J113" s="56" t="str">
        <f t="shared" ref="J113:J119" si="17">G113</f>
        <v>Participar en la definició del sistema estàndard de seguiment de l'ús públic amb el SENP</v>
      </c>
      <c r="K113" s="56"/>
      <c r="L113" s="31"/>
      <c r="M113" s="57" t="s">
        <v>305</v>
      </c>
      <c r="N113" s="31"/>
      <c r="O113" s="58"/>
      <c r="P113" s="59" t="s">
        <v>536</v>
      </c>
      <c r="Q113" s="59" t="s">
        <v>537</v>
      </c>
      <c r="R113" s="31" t="s">
        <v>1112</v>
      </c>
      <c r="S113" s="163">
        <v>1</v>
      </c>
      <c r="T113" s="163">
        <v>3</v>
      </c>
      <c r="U113" s="163">
        <v>1.4999999999999999E-2</v>
      </c>
      <c r="V113" s="163">
        <f>PLA!U113*Llistes!$L$11*Llistes!$L$12</f>
        <v>2</v>
      </c>
      <c r="W113" s="60" t="s">
        <v>412</v>
      </c>
      <c r="X113" s="60" t="str">
        <f>IF(W113=Llistes!$K$2,Llistes!$L$2,IF(W113=Llistes!$K$3,Llistes!$L$3,IF(W113=Llistes!$K$4,Llistes!$L$4,IF(W113=Llistes!$K$5,Llistes!$L$5,IF(W113=Llistes!$K$6,Llistes!$L$6,IF(W113=Llistes!$K$7,Llistes!$L$7,""))))))</f>
        <v>Ivan Bustamante</v>
      </c>
      <c r="Y113" s="165" t="s">
        <v>994</v>
      </c>
      <c r="Z113" s="165" t="s">
        <v>994</v>
      </c>
      <c r="AA113" s="165" t="s">
        <v>994</v>
      </c>
      <c r="AB113" s="165" t="s">
        <v>994</v>
      </c>
      <c r="AC113" s="147"/>
    </row>
    <row r="114" spans="1:29" ht="43.5">
      <c r="A114" s="23" t="s">
        <v>465</v>
      </c>
      <c r="B114" s="366"/>
      <c r="C114" s="363"/>
      <c r="D114" s="329"/>
      <c r="E114" s="326"/>
      <c r="F114" s="186" t="s">
        <v>538</v>
      </c>
      <c r="G114" s="187" t="s">
        <v>535</v>
      </c>
      <c r="H114" s="188" t="s">
        <v>271</v>
      </c>
      <c r="I114" s="188" t="s">
        <v>285</v>
      </c>
      <c r="J114" s="56" t="str">
        <f t="shared" si="17"/>
        <v>Participar en la definició del sistema estàndard de seguiment de l'ús públic amb el SENP</v>
      </c>
      <c r="K114" s="56"/>
      <c r="L114" s="31"/>
      <c r="M114" s="57" t="s">
        <v>305</v>
      </c>
      <c r="N114" s="31"/>
      <c r="O114" s="58"/>
      <c r="P114" s="59"/>
      <c r="Q114" s="59" t="s">
        <v>1267</v>
      </c>
      <c r="R114" s="31" t="s">
        <v>1301</v>
      </c>
      <c r="S114" s="163"/>
      <c r="T114" s="163" t="s">
        <v>1043</v>
      </c>
      <c r="U114" s="163">
        <v>1.4999999999999999E-2</v>
      </c>
      <c r="V114" s="163">
        <f>PLA!U114*Llistes!$L$11*Llistes!$L$12</f>
        <v>2</v>
      </c>
      <c r="W114" s="60" t="s">
        <v>412</v>
      </c>
      <c r="X114" s="60" t="str">
        <f>IF(W114=Llistes!$K$2,Llistes!$L$2,IF(W114=Llistes!$K$3,Llistes!$L$3,IF(W114=Llistes!$K$4,Llistes!$L$4,IF(W114=Llistes!$K$5,Llistes!$L$5,IF(W114=Llistes!$K$6,Llistes!$L$6,IF(W114=Llistes!$K$7,Llistes!$L$7,""))))))</f>
        <v>Ivan Bustamante</v>
      </c>
      <c r="Y114" s="165" t="s">
        <v>994</v>
      </c>
      <c r="Z114" s="165" t="s">
        <v>994</v>
      </c>
      <c r="AA114" s="165" t="s">
        <v>994</v>
      </c>
      <c r="AB114" s="165" t="s">
        <v>994</v>
      </c>
      <c r="AC114" s="147"/>
    </row>
    <row r="115" spans="1:29" ht="58">
      <c r="A115" s="23" t="s">
        <v>465</v>
      </c>
      <c r="B115" s="366"/>
      <c r="C115" s="363"/>
      <c r="D115" s="329"/>
      <c r="E115" s="326"/>
      <c r="F115" s="186" t="s">
        <v>542</v>
      </c>
      <c r="G115" s="187" t="s">
        <v>539</v>
      </c>
      <c r="H115" s="188" t="s">
        <v>271</v>
      </c>
      <c r="I115" s="188" t="s">
        <v>285</v>
      </c>
      <c r="J115" s="56" t="str">
        <f t="shared" si="17"/>
        <v xml:space="preserve">Disposar de dades de freqüentació i perfil d'usuari en l'ENP i en especial en equipaments i en zones d'alta freqüentació segons el model de DG </v>
      </c>
      <c r="K115" s="56"/>
      <c r="L115" s="31"/>
      <c r="M115" s="57" t="s">
        <v>273</v>
      </c>
      <c r="N115" s="31" t="s">
        <v>540</v>
      </c>
      <c r="O115" s="58"/>
      <c r="P115" s="59" t="s">
        <v>541</v>
      </c>
      <c r="Q115" s="59" t="s">
        <v>1268</v>
      </c>
      <c r="R115" s="31" t="s">
        <v>1302</v>
      </c>
      <c r="S115" s="163"/>
      <c r="T115" s="163" t="s">
        <v>1043</v>
      </c>
      <c r="U115" s="163">
        <v>1.4999999999999999E-2</v>
      </c>
      <c r="V115" s="163">
        <f>PLA!U115*Llistes!$L$11*Llistes!$L$12</f>
        <v>2</v>
      </c>
      <c r="W115" s="60" t="s">
        <v>412</v>
      </c>
      <c r="X115" s="60" t="str">
        <f>IF(W115=Llistes!$K$2,Llistes!$L$2,IF(W115=Llistes!$K$3,Llistes!$L$3,IF(W115=Llistes!$K$4,Llistes!$L$4,IF(W115=Llistes!$K$5,Llistes!$L$5,IF(W115=Llistes!$K$6,Llistes!$L$6,IF(W115=Llistes!$K$7,Llistes!$L$7,""))))))</f>
        <v>Ivan Bustamante</v>
      </c>
      <c r="Y115" s="165" t="s">
        <v>994</v>
      </c>
      <c r="Z115" s="165" t="s">
        <v>994</v>
      </c>
      <c r="AA115" s="165" t="s">
        <v>994</v>
      </c>
      <c r="AB115" s="165" t="s">
        <v>994</v>
      </c>
      <c r="AC115" s="147"/>
    </row>
    <row r="116" spans="1:29" ht="29">
      <c r="A116" s="23" t="s">
        <v>465</v>
      </c>
      <c r="B116" s="366"/>
      <c r="C116" s="363"/>
      <c r="D116" s="329"/>
      <c r="E116" s="326"/>
      <c r="F116" s="186" t="s">
        <v>543</v>
      </c>
      <c r="G116" s="187" t="s">
        <v>1547</v>
      </c>
      <c r="H116" s="188"/>
      <c r="I116" s="188"/>
      <c r="J116" s="56"/>
      <c r="K116" s="56"/>
      <c r="L116" s="31"/>
      <c r="M116" s="57"/>
      <c r="N116" s="31"/>
      <c r="O116" s="58"/>
      <c r="P116" s="59"/>
      <c r="Q116" s="59"/>
      <c r="R116" s="31"/>
      <c r="S116" s="163"/>
      <c r="T116" s="163"/>
      <c r="U116" s="163"/>
      <c r="V116" s="163"/>
      <c r="W116" s="60"/>
      <c r="X116" s="60"/>
      <c r="Y116" s="165"/>
      <c r="Z116" s="165"/>
      <c r="AA116" s="165"/>
      <c r="AB116" s="165"/>
      <c r="AC116" s="147"/>
    </row>
    <row r="117" spans="1:29" ht="43.5">
      <c r="A117" s="23" t="s">
        <v>465</v>
      </c>
      <c r="B117" s="366"/>
      <c r="C117" s="363"/>
      <c r="D117" s="329"/>
      <c r="E117" s="326"/>
      <c r="F117" s="186" t="s">
        <v>544</v>
      </c>
      <c r="G117" s="187" t="s">
        <v>1594</v>
      </c>
      <c r="H117" s="188" t="s">
        <v>271</v>
      </c>
      <c r="I117" s="188" t="s">
        <v>285</v>
      </c>
      <c r="J117" s="56" t="str">
        <f t="shared" si="17"/>
        <v>Adaptar i mantenir un registre d'activitats, actors i incidències en ús públic (curses, conflictes, queixes, etc)</v>
      </c>
      <c r="K117" s="56"/>
      <c r="L117" s="31"/>
      <c r="M117" s="57" t="s">
        <v>286</v>
      </c>
      <c r="N117" s="31"/>
      <c r="O117" s="58"/>
      <c r="P117" s="59" t="s">
        <v>545</v>
      </c>
      <c r="Q117" s="59" t="s">
        <v>546</v>
      </c>
      <c r="R117" s="31" t="s">
        <v>1303</v>
      </c>
      <c r="S117" s="163"/>
      <c r="T117" s="163" t="s">
        <v>1043</v>
      </c>
      <c r="U117" s="163">
        <v>1.4999999999999999E-2</v>
      </c>
      <c r="V117" s="163">
        <f>PLA!U117*Llistes!$L$11*Llistes!$L$12</f>
        <v>2</v>
      </c>
      <c r="W117" s="60" t="s">
        <v>412</v>
      </c>
      <c r="X117" s="60" t="str">
        <f>IF(W117=Llistes!$K$2,Llistes!$L$2,IF(W117=Llistes!$K$3,Llistes!$L$3,IF(W117=Llistes!$K$4,Llistes!$L$4,IF(W117=Llistes!$K$5,Llistes!$L$5,IF(W117=Llistes!$K$6,Llistes!$L$6,IF(W117=Llistes!$K$7,Llistes!$L$7,""))))))</f>
        <v>Ivan Bustamante</v>
      </c>
      <c r="Y117" s="165" t="s">
        <v>994</v>
      </c>
      <c r="Z117" s="165" t="s">
        <v>994</v>
      </c>
      <c r="AA117" s="165" t="s">
        <v>994</v>
      </c>
      <c r="AB117" s="165" t="s">
        <v>994</v>
      </c>
      <c r="AC117" s="147"/>
    </row>
    <row r="118" spans="1:29" ht="43.5">
      <c r="A118" s="23" t="s">
        <v>465</v>
      </c>
      <c r="B118" s="367"/>
      <c r="C118" s="364"/>
      <c r="D118" s="329"/>
      <c r="E118" s="326"/>
      <c r="F118" s="186" t="s">
        <v>1548</v>
      </c>
      <c r="G118" s="187" t="s">
        <v>547</v>
      </c>
      <c r="H118" s="188" t="s">
        <v>271</v>
      </c>
      <c r="I118" s="188" t="s">
        <v>285</v>
      </c>
      <c r="J118" s="56" t="str">
        <f t="shared" si="17"/>
        <v>Identificar els impactes (positius i negatius) que generen les activitats d'ús públic dins l'ENP</v>
      </c>
      <c r="K118" s="56"/>
      <c r="L118" s="31"/>
      <c r="M118" s="57" t="s">
        <v>305</v>
      </c>
      <c r="N118" s="31"/>
      <c r="O118" s="58" t="s">
        <v>288</v>
      </c>
      <c r="P118" s="59"/>
      <c r="Q118" s="59" t="s">
        <v>548</v>
      </c>
      <c r="R118" s="31" t="s">
        <v>1304</v>
      </c>
      <c r="S118" s="163"/>
      <c r="T118" s="163" t="s">
        <v>1043</v>
      </c>
      <c r="U118" s="163">
        <v>4.4999999999999998E-2</v>
      </c>
      <c r="V118" s="163">
        <f>PLA!U118*Llistes!$L$11*Llistes!$L$12</f>
        <v>6</v>
      </c>
      <c r="W118" s="60" t="s">
        <v>412</v>
      </c>
      <c r="X118" s="60" t="str">
        <f>IF(W118=Llistes!$K$2,Llistes!$L$2,IF(W118=Llistes!$K$3,Llistes!$L$3,IF(W118=Llistes!$K$4,Llistes!$L$4,IF(W118=Llistes!$K$5,Llistes!$L$5,IF(W118=Llistes!$K$6,Llistes!$L$6,IF(W118=Llistes!$K$7,Llistes!$L$7,""))))))</f>
        <v>Ivan Bustamante</v>
      </c>
      <c r="Y118" s="165" t="s">
        <v>994</v>
      </c>
      <c r="Z118" s="165" t="s">
        <v>994</v>
      </c>
      <c r="AA118" s="165" t="s">
        <v>994</v>
      </c>
      <c r="AB118" s="165" t="s">
        <v>994</v>
      </c>
      <c r="AC118" s="147"/>
    </row>
    <row r="119" spans="1:29" ht="72.5">
      <c r="A119" s="24" t="s">
        <v>549</v>
      </c>
      <c r="B119" s="260">
        <v>7</v>
      </c>
      <c r="C119" s="260" t="s">
        <v>550</v>
      </c>
      <c r="D119" s="14" t="s">
        <v>551</v>
      </c>
      <c r="E119" s="44" t="s">
        <v>552</v>
      </c>
      <c r="F119" s="186" t="s">
        <v>553</v>
      </c>
      <c r="G119" s="187" t="s">
        <v>1466</v>
      </c>
      <c r="H119" s="188" t="s">
        <v>271</v>
      </c>
      <c r="I119" s="188" t="s">
        <v>279</v>
      </c>
      <c r="J119" s="56" t="str">
        <f t="shared" si="17"/>
        <v>Promoure i/o col·laborar en l'aplicació de Plans de Desenvolupament Local Sostenible</v>
      </c>
      <c r="K119" s="56"/>
      <c r="L119" s="31"/>
      <c r="M119" s="103" t="s">
        <v>305</v>
      </c>
      <c r="N119" s="31" t="s">
        <v>554</v>
      </c>
      <c r="O119" s="103"/>
      <c r="P119" s="56"/>
      <c r="Q119" s="59" t="s">
        <v>1269</v>
      </c>
      <c r="R119" s="31" t="s">
        <v>1305</v>
      </c>
      <c r="S119" s="163"/>
      <c r="T119" s="163" t="s">
        <v>1043</v>
      </c>
      <c r="U119" s="163">
        <v>1.4999999999999999E-2</v>
      </c>
      <c r="V119" s="163">
        <f>PLA!U119*Llistes!$L$11*Llistes!$L$12</f>
        <v>2</v>
      </c>
      <c r="W119" s="60" t="s">
        <v>412</v>
      </c>
      <c r="X119" s="60" t="str">
        <f>IF(W119=Llistes!$K$2,Llistes!$L$2,IF(W119=Llistes!$K$3,Llistes!$L$3,IF(W119=Llistes!$K$4,Llistes!$L$4,IF(W119=Llistes!$K$5,Llistes!$L$5,IF(W119=Llistes!$K$6,Llistes!$L$6,IF(W119=Llistes!$K$7,Llistes!$L$7,""))))))</f>
        <v>Ivan Bustamante</v>
      </c>
      <c r="Y119" s="165" t="s">
        <v>994</v>
      </c>
      <c r="Z119" s="165" t="s">
        <v>994</v>
      </c>
      <c r="AA119" s="165" t="s">
        <v>994</v>
      </c>
      <c r="AB119" s="165" t="s">
        <v>994</v>
      </c>
      <c r="AC119" s="147"/>
    </row>
    <row r="120" spans="1:29" ht="72.5">
      <c r="A120" s="24" t="s">
        <v>549</v>
      </c>
      <c r="B120" s="261"/>
      <c r="C120" s="261"/>
      <c r="D120" s="198" t="s">
        <v>1612</v>
      </c>
      <c r="E120" s="44" t="s">
        <v>1618</v>
      </c>
      <c r="F120" s="186" t="s">
        <v>1613</v>
      </c>
      <c r="G120" s="187"/>
      <c r="H120" s="188"/>
      <c r="I120" s="188"/>
      <c r="J120" s="56" t="s">
        <v>1614</v>
      </c>
      <c r="K120" s="56" t="s">
        <v>1615</v>
      </c>
      <c r="L120" s="31" t="s">
        <v>71</v>
      </c>
      <c r="M120" s="103" t="s">
        <v>286</v>
      </c>
      <c r="N120" s="31"/>
      <c r="O120" s="103"/>
      <c r="P120" s="56"/>
      <c r="Q120" s="59" t="s">
        <v>1616</v>
      </c>
      <c r="R120" s="31" t="s">
        <v>1617</v>
      </c>
      <c r="S120" s="163">
        <v>1</v>
      </c>
      <c r="T120" s="163">
        <v>3</v>
      </c>
      <c r="U120" s="163">
        <v>0.5</v>
      </c>
      <c r="V120" s="163">
        <f>0.5*45*4</f>
        <v>90</v>
      </c>
      <c r="W120" s="60" t="s">
        <v>412</v>
      </c>
      <c r="X120" s="60" t="str">
        <f>IF(W120=Llistes!$K$2,Llistes!$L$2,IF(W120=Llistes!$K$3,Llistes!$L$3,IF(W120=Llistes!$K$4,Llistes!$L$4,IF(W120=Llistes!$K$5,Llistes!$L$5,IF(W120=Llistes!$K$6,Llistes!$L$6,IF(W120=Llistes!$K$7,Llistes!$L$7,""))))))</f>
        <v>Ivan Bustamante</v>
      </c>
      <c r="Y120" s="165" t="s">
        <v>994</v>
      </c>
      <c r="Z120" s="165" t="s">
        <v>994</v>
      </c>
      <c r="AA120" s="165" t="s">
        <v>994</v>
      </c>
      <c r="AB120" s="165" t="s">
        <v>994</v>
      </c>
      <c r="AC120" s="147"/>
    </row>
    <row r="121" spans="1:29" ht="43.5" customHeight="1">
      <c r="A121" s="24" t="s">
        <v>549</v>
      </c>
      <c r="B121" s="201">
        <v>8</v>
      </c>
      <c r="C121" s="260" t="s">
        <v>1588</v>
      </c>
      <c r="D121" s="330" t="s">
        <v>1452</v>
      </c>
      <c r="E121" s="383" t="s">
        <v>1451</v>
      </c>
      <c r="F121" s="186" t="s">
        <v>555</v>
      </c>
      <c r="G121" s="187" t="s">
        <v>1550</v>
      </c>
      <c r="H121" s="188" t="s">
        <v>271</v>
      </c>
      <c r="I121" s="188" t="s">
        <v>272</v>
      </c>
      <c r="J121" s="56"/>
      <c r="K121" s="56"/>
      <c r="L121" s="31"/>
      <c r="M121" s="103"/>
      <c r="N121" s="31"/>
      <c r="O121" s="103"/>
      <c r="P121" s="56"/>
      <c r="Q121" s="59"/>
      <c r="R121" s="31"/>
      <c r="S121" s="163"/>
      <c r="T121" s="163"/>
      <c r="U121" s="163"/>
      <c r="V121" s="163"/>
      <c r="W121" s="60"/>
      <c r="X121" s="60"/>
      <c r="Y121" s="165"/>
      <c r="Z121" s="165"/>
      <c r="AA121" s="165"/>
      <c r="AB121" s="165"/>
      <c r="AC121" s="147"/>
    </row>
    <row r="122" spans="1:29" ht="78.650000000000006" customHeight="1">
      <c r="A122" s="24" t="s">
        <v>549</v>
      </c>
      <c r="B122" s="337"/>
      <c r="C122" s="294"/>
      <c r="D122" s="331"/>
      <c r="E122" s="402"/>
      <c r="F122" s="186" t="s">
        <v>556</v>
      </c>
      <c r="G122" s="187" t="s">
        <v>557</v>
      </c>
      <c r="H122" s="188" t="s">
        <v>271</v>
      </c>
      <c r="I122" s="188" t="s">
        <v>272</v>
      </c>
      <c r="J122" s="56" t="s">
        <v>558</v>
      </c>
      <c r="K122" s="56" t="s">
        <v>559</v>
      </c>
      <c r="L122" s="31"/>
      <c r="M122" s="57" t="s">
        <v>305</v>
      </c>
      <c r="N122" s="31" t="s">
        <v>560</v>
      </c>
      <c r="O122" s="58"/>
      <c r="P122" s="59"/>
      <c r="Q122" s="59" t="s">
        <v>558</v>
      </c>
      <c r="R122" s="31" t="s">
        <v>1306</v>
      </c>
      <c r="S122" s="163"/>
      <c r="T122" s="163" t="s">
        <v>1043</v>
      </c>
      <c r="U122" s="163">
        <v>1.4999999999999999E-2</v>
      </c>
      <c r="V122" s="163">
        <f>PLA!U122*Llistes!$L$11*Llistes!$L$12</f>
        <v>2</v>
      </c>
      <c r="W122" s="60" t="s">
        <v>291</v>
      </c>
      <c r="X122" s="60" t="str">
        <f>IF(W122=Llistes!$K$2,Llistes!$L$2,IF(W122=Llistes!$K$3,Llistes!$L$3,IF(W122=Llistes!$K$4,Llistes!$L$4,IF(W122=Llistes!$K$5,Llistes!$L$5,IF(W122=Llistes!$K$6,Llistes!$L$6,IF(W122=Llistes!$K$7,Llistes!$L$7,""))))))</f>
        <v>Gerard Carrion</v>
      </c>
      <c r="Y122" s="165" t="s">
        <v>994</v>
      </c>
      <c r="Z122" s="165" t="s">
        <v>994</v>
      </c>
      <c r="AA122" s="165" t="s">
        <v>994</v>
      </c>
      <c r="AB122" s="165" t="s">
        <v>994</v>
      </c>
      <c r="AC122" s="147"/>
    </row>
    <row r="123" spans="1:29" ht="43.5">
      <c r="A123" s="24" t="s">
        <v>549</v>
      </c>
      <c r="B123" s="337"/>
      <c r="C123" s="294"/>
      <c r="D123" s="332"/>
      <c r="E123" s="384"/>
      <c r="F123" s="186" t="s">
        <v>1549</v>
      </c>
      <c r="G123" s="187" t="s">
        <v>561</v>
      </c>
      <c r="H123" s="188" t="s">
        <v>303</v>
      </c>
      <c r="I123" s="188" t="s">
        <v>285</v>
      </c>
      <c r="J123" s="56" t="str">
        <f>G123</f>
        <v>Promoure la recuperació i conservació de marges i punts d'aigua associats a la ramaderia i l'agricultura i d'interès per a la biodiversitat</v>
      </c>
      <c r="K123" s="56"/>
      <c r="L123" s="31"/>
      <c r="M123" s="57" t="s">
        <v>305</v>
      </c>
      <c r="N123" s="31"/>
      <c r="O123" s="58"/>
      <c r="P123" s="59"/>
      <c r="Q123" s="59" t="s">
        <v>562</v>
      </c>
      <c r="R123" s="31" t="s">
        <v>1175</v>
      </c>
      <c r="S123" s="163">
        <v>2</v>
      </c>
      <c r="T123" s="163">
        <v>4</v>
      </c>
      <c r="U123" s="163">
        <v>4.4999999999999998E-2</v>
      </c>
      <c r="V123" s="163">
        <f>PLA!U123*Llistes!$L$11*Llistes!$L$12</f>
        <v>6</v>
      </c>
      <c r="W123" s="60" t="s">
        <v>349</v>
      </c>
      <c r="X123" s="60" t="str">
        <f>IF(W123=Llistes!$K$2,Llistes!$L$2,IF(W123=Llistes!$K$3,Llistes!$L$3,IF(W123=Llistes!$K$4,Llistes!$L$4,IF(W123=Llistes!$K$5,Llistes!$L$5,IF(W123=Llistes!$K$6,Llistes!$L$6,IF(W123=Llistes!$K$7,Llistes!$L$7,""))))))</f>
        <v>Sergi Roura</v>
      </c>
      <c r="Y123" s="165" t="s">
        <v>994</v>
      </c>
      <c r="Z123" s="165" t="s">
        <v>994</v>
      </c>
      <c r="AA123" s="165" t="s">
        <v>994</v>
      </c>
      <c r="AB123" s="165" t="s">
        <v>994</v>
      </c>
      <c r="AC123" s="147"/>
    </row>
    <row r="124" spans="1:29" ht="43.5">
      <c r="A124" s="24"/>
      <c r="B124" s="337"/>
      <c r="C124" s="294"/>
      <c r="D124" s="14" t="s">
        <v>1553</v>
      </c>
      <c r="E124" s="44" t="s">
        <v>1554</v>
      </c>
      <c r="F124" s="186" t="s">
        <v>1551</v>
      </c>
      <c r="G124" s="187" t="s">
        <v>1552</v>
      </c>
      <c r="H124" s="190"/>
      <c r="I124" s="190"/>
      <c r="J124" s="56"/>
      <c r="K124" s="56"/>
      <c r="L124" s="31"/>
      <c r="M124" s="57"/>
      <c r="N124" s="31"/>
      <c r="O124" s="58"/>
      <c r="P124" s="59"/>
      <c r="Q124" s="59"/>
      <c r="R124" s="31"/>
      <c r="S124" s="163"/>
      <c r="T124" s="163"/>
      <c r="U124" s="163"/>
      <c r="V124" s="163"/>
      <c r="W124" s="60"/>
      <c r="X124" s="60"/>
      <c r="Y124" s="165"/>
      <c r="Z124" s="165"/>
      <c r="AA124" s="165"/>
      <c r="AB124" s="165"/>
      <c r="AC124" s="147"/>
    </row>
    <row r="125" spans="1:29" ht="58">
      <c r="A125" s="24" t="s">
        <v>549</v>
      </c>
      <c r="B125" s="337"/>
      <c r="C125" s="294"/>
      <c r="D125" s="330" t="s">
        <v>563</v>
      </c>
      <c r="E125" s="319" t="s">
        <v>564</v>
      </c>
      <c r="F125" s="186" t="s">
        <v>565</v>
      </c>
      <c r="G125" s="187" t="s">
        <v>566</v>
      </c>
      <c r="H125" s="188" t="s">
        <v>271</v>
      </c>
      <c r="I125" s="188" t="s">
        <v>285</v>
      </c>
      <c r="J125" s="56" t="str">
        <f>G125</f>
        <v>Implantar un distintiu de qualitat i compatibilitat amb la conservació dels productes de la Xarxa d'ENP o criteris de qualitat propis de l'ENP</v>
      </c>
      <c r="K125" s="56" t="s">
        <v>567</v>
      </c>
      <c r="L125" s="31"/>
      <c r="M125" s="57" t="s">
        <v>305</v>
      </c>
      <c r="N125" s="31" t="s">
        <v>568</v>
      </c>
      <c r="O125" s="58" t="s">
        <v>288</v>
      </c>
      <c r="P125" s="59" t="s">
        <v>569</v>
      </c>
      <c r="Q125" s="59" t="s">
        <v>1270</v>
      </c>
      <c r="R125" s="31" t="s">
        <v>1176</v>
      </c>
      <c r="S125" s="163">
        <v>2</v>
      </c>
      <c r="T125" s="163">
        <v>5</v>
      </c>
      <c r="U125" s="163">
        <v>4.4999999999999998E-2</v>
      </c>
      <c r="V125" s="163">
        <f>PLA!U125*Llistes!$L$11*Llistes!$L$12</f>
        <v>6</v>
      </c>
      <c r="W125" s="60" t="s">
        <v>291</v>
      </c>
      <c r="X125" s="60" t="str">
        <f>IF(W125=Llistes!$K$2,Llistes!$L$2,IF(W125=Llistes!$K$3,Llistes!$L$3,IF(W125=Llistes!$K$4,Llistes!$L$4,IF(W125=Llistes!$K$5,Llistes!$L$5,IF(W125=Llistes!$K$6,Llistes!$L$6,IF(W125=Llistes!$K$7,Llistes!$L$7,""))))))</f>
        <v>Gerard Carrion</v>
      </c>
      <c r="Y125" s="165"/>
      <c r="Z125" s="165"/>
      <c r="AA125" s="165" t="s">
        <v>994</v>
      </c>
      <c r="AB125" s="165"/>
      <c r="AC125" s="147"/>
    </row>
    <row r="126" spans="1:29" ht="43.5">
      <c r="A126" s="24" t="s">
        <v>549</v>
      </c>
      <c r="B126" s="337"/>
      <c r="C126" s="294"/>
      <c r="D126" s="331"/>
      <c r="E126" s="320"/>
      <c r="F126" s="186" t="s">
        <v>570</v>
      </c>
      <c r="G126" s="187" t="s">
        <v>571</v>
      </c>
      <c r="H126" s="188" t="s">
        <v>271</v>
      </c>
      <c r="I126" s="188" t="s">
        <v>285</v>
      </c>
      <c r="J126" s="56" t="str">
        <f>G126</f>
        <v>Integrar els productes i activitats locals de qualitat en l'oferta d'activitats d'informació i turístiques de l'ENP</v>
      </c>
      <c r="K126" s="56"/>
      <c r="L126" s="31"/>
      <c r="M126" s="57" t="s">
        <v>305</v>
      </c>
      <c r="N126" s="31" t="s">
        <v>572</v>
      </c>
      <c r="O126" s="62" t="s">
        <v>573</v>
      </c>
      <c r="P126" s="59"/>
      <c r="Q126" s="59" t="s">
        <v>1271</v>
      </c>
      <c r="R126" s="31" t="s">
        <v>1177</v>
      </c>
      <c r="S126" s="163"/>
      <c r="T126" s="163" t="s">
        <v>1043</v>
      </c>
      <c r="U126" s="163">
        <v>0.03</v>
      </c>
      <c r="V126" s="163">
        <f>PLA!U126*Llistes!$L$11*Llistes!$L$12</f>
        <v>4</v>
      </c>
      <c r="W126" s="60" t="s">
        <v>412</v>
      </c>
      <c r="X126" s="60" t="str">
        <f>IF(W126=Llistes!$K$2,Llistes!$L$2,IF(W126=Llistes!$K$3,Llistes!$L$3,IF(W126=Llistes!$K$4,Llistes!$L$4,IF(W126=Llistes!$K$5,Llistes!$L$5,IF(W126=Llistes!$K$6,Llistes!$L$6,IF(W126=Llistes!$K$7,Llistes!$L$7,""))))))</f>
        <v>Ivan Bustamante</v>
      </c>
      <c r="Y126" s="165"/>
      <c r="Z126" s="165"/>
      <c r="AA126" s="165"/>
      <c r="AB126" s="165" t="s">
        <v>994</v>
      </c>
      <c r="AC126" s="147"/>
    </row>
    <row r="127" spans="1:29" ht="43.5">
      <c r="A127" s="24" t="s">
        <v>549</v>
      </c>
      <c r="B127" s="337"/>
      <c r="C127" s="294"/>
      <c r="D127" s="331"/>
      <c r="E127" s="320"/>
      <c r="F127" s="186" t="s">
        <v>570</v>
      </c>
      <c r="G127" s="187" t="s">
        <v>571</v>
      </c>
      <c r="H127" s="188" t="s">
        <v>271</v>
      </c>
      <c r="I127" s="188" t="s">
        <v>285</v>
      </c>
      <c r="J127" s="56" t="str">
        <f>G127</f>
        <v>Integrar els productes i activitats locals de qualitat en l'oferta d'activitats d'informació i turístiques de l'ENP</v>
      </c>
      <c r="K127" s="56"/>
      <c r="L127" s="31"/>
      <c r="M127" s="57" t="s">
        <v>305</v>
      </c>
      <c r="N127" s="31" t="s">
        <v>572</v>
      </c>
      <c r="O127" s="62"/>
      <c r="P127" s="59"/>
      <c r="Q127" s="59" t="s">
        <v>1272</v>
      </c>
      <c r="R127" s="31" t="s">
        <v>1178</v>
      </c>
      <c r="S127" s="163">
        <v>1</v>
      </c>
      <c r="T127" s="163">
        <v>3</v>
      </c>
      <c r="U127" s="163">
        <v>4.4999999999999998E-2</v>
      </c>
      <c r="V127" s="163">
        <f>PLA!U127*Llistes!$L$11*Llistes!$L$12</f>
        <v>6</v>
      </c>
      <c r="W127" s="60" t="s">
        <v>412</v>
      </c>
      <c r="X127" s="60" t="str">
        <f>IF(W127=Llistes!$K$2,Llistes!$L$2,IF(W127=Llistes!$K$3,Llistes!$L$3,IF(W127=Llistes!$K$4,Llistes!$L$4,IF(W127=Llistes!$K$5,Llistes!$L$5,IF(W127=Llistes!$K$6,Llistes!$L$6,IF(W127=Llistes!$K$7,Llistes!$L$7,""))))))</f>
        <v>Ivan Bustamante</v>
      </c>
      <c r="Y127" s="165"/>
      <c r="Z127" s="165"/>
      <c r="AA127" s="165"/>
      <c r="AB127" s="165" t="s">
        <v>994</v>
      </c>
      <c r="AC127" s="147"/>
    </row>
    <row r="128" spans="1:29" ht="43.5">
      <c r="A128" s="24" t="s">
        <v>549</v>
      </c>
      <c r="B128" s="337"/>
      <c r="C128" s="294"/>
      <c r="D128" s="331"/>
      <c r="E128" s="320"/>
      <c r="F128" s="186" t="s">
        <v>574</v>
      </c>
      <c r="G128" s="187" t="s">
        <v>575</v>
      </c>
      <c r="H128" s="188" t="s">
        <v>271</v>
      </c>
      <c r="I128" s="188" t="s">
        <v>285</v>
      </c>
      <c r="J128" s="56" t="s">
        <v>576</v>
      </c>
      <c r="K128" s="56" t="s">
        <v>577</v>
      </c>
      <c r="L128" s="60"/>
      <c r="M128" s="57" t="s">
        <v>305</v>
      </c>
      <c r="N128" s="31"/>
      <c r="O128" s="58"/>
      <c r="P128" s="59"/>
      <c r="Q128" s="59" t="s">
        <v>578</v>
      </c>
      <c r="R128" s="31" t="s">
        <v>1179</v>
      </c>
      <c r="S128" s="163"/>
      <c r="T128" s="163" t="s">
        <v>1043</v>
      </c>
      <c r="U128" s="163">
        <v>0.06</v>
      </c>
      <c r="V128" s="163">
        <f>PLA!U128*Llistes!$L$11*Llistes!$L$12</f>
        <v>8</v>
      </c>
      <c r="W128" s="60" t="s">
        <v>412</v>
      </c>
      <c r="X128" s="60" t="str">
        <f>IF(W128=Llistes!$K$2,Llistes!$L$2,IF(W128=Llistes!$K$3,Llistes!$L$3,IF(W128=Llistes!$K$4,Llistes!$L$4,IF(W128=Llistes!$K$5,Llistes!$L$5,IF(W128=Llistes!$K$6,Llistes!$L$6,IF(W128=Llistes!$K$7,Llistes!$L$7,""))))))</f>
        <v>Ivan Bustamante</v>
      </c>
      <c r="Y128" s="165" t="s">
        <v>994</v>
      </c>
      <c r="Z128" s="165" t="s">
        <v>994</v>
      </c>
      <c r="AA128" s="165" t="s">
        <v>994</v>
      </c>
      <c r="AB128" s="165" t="s">
        <v>994</v>
      </c>
      <c r="AC128" s="147"/>
    </row>
    <row r="129" spans="1:29" ht="58">
      <c r="A129" s="24" t="s">
        <v>549</v>
      </c>
      <c r="B129" s="337"/>
      <c r="C129" s="294"/>
      <c r="D129" s="331"/>
      <c r="E129" s="320"/>
      <c r="F129" s="186" t="s">
        <v>579</v>
      </c>
      <c r="G129" s="187" t="s">
        <v>580</v>
      </c>
      <c r="H129" s="188" t="s">
        <v>271</v>
      </c>
      <c r="I129" s="188" t="s">
        <v>285</v>
      </c>
      <c r="J129" s="56" t="s">
        <v>581</v>
      </c>
      <c r="K129" s="56" t="s">
        <v>582</v>
      </c>
      <c r="L129" s="31"/>
      <c r="M129" s="57" t="s">
        <v>305</v>
      </c>
      <c r="N129" s="31" t="s">
        <v>583</v>
      </c>
      <c r="O129" s="62" t="s">
        <v>573</v>
      </c>
      <c r="P129" s="59"/>
      <c r="Q129" s="59" t="s">
        <v>1273</v>
      </c>
      <c r="R129" s="31" t="s">
        <v>1180</v>
      </c>
      <c r="S129" s="163">
        <v>1</v>
      </c>
      <c r="T129" s="163">
        <v>2</v>
      </c>
      <c r="U129" s="163">
        <v>0.03</v>
      </c>
      <c r="V129" s="163">
        <f>PLA!U129*Llistes!$L$11*Llistes!$L$12</f>
        <v>4</v>
      </c>
      <c r="W129" s="60" t="s">
        <v>412</v>
      </c>
      <c r="X129" s="60" t="str">
        <f>IF(W129=Llistes!$K$2,Llistes!$L$2,IF(W129=Llistes!$K$3,Llistes!$L$3,IF(W129=Llistes!$K$4,Llistes!$L$4,IF(W129=Llistes!$K$5,Llistes!$L$5,IF(W129=Llistes!$K$6,Llistes!$L$6,IF(W129=Llistes!$K$7,Llistes!$L$7,""))))))</f>
        <v>Ivan Bustamante</v>
      </c>
      <c r="Y129" s="165" t="s">
        <v>994</v>
      </c>
      <c r="Z129" s="165" t="s">
        <v>994</v>
      </c>
      <c r="AA129" s="165" t="s">
        <v>994</v>
      </c>
      <c r="AB129" s="165" t="s">
        <v>994</v>
      </c>
      <c r="AC129" s="147"/>
    </row>
    <row r="130" spans="1:29" ht="47.15" customHeight="1">
      <c r="A130" s="24"/>
      <c r="B130" s="337"/>
      <c r="C130" s="294"/>
      <c r="D130" s="331"/>
      <c r="E130" s="320"/>
      <c r="F130" s="186" t="s">
        <v>584</v>
      </c>
      <c r="G130" s="187" t="s">
        <v>1555</v>
      </c>
      <c r="H130" s="188" t="s">
        <v>271</v>
      </c>
      <c r="I130" s="188" t="s">
        <v>279</v>
      </c>
      <c r="J130" s="56"/>
      <c r="K130" s="56"/>
      <c r="L130" s="31"/>
      <c r="M130" s="57"/>
      <c r="N130" s="31"/>
      <c r="O130" s="62"/>
      <c r="P130" s="59"/>
      <c r="Q130" s="59"/>
      <c r="R130" s="31"/>
      <c r="S130" s="163"/>
      <c r="T130" s="163"/>
      <c r="U130" s="163"/>
      <c r="V130" s="163"/>
      <c r="W130" s="60"/>
      <c r="X130" s="60"/>
      <c r="Y130" s="165"/>
      <c r="Z130" s="165"/>
      <c r="AA130" s="165"/>
      <c r="AB130" s="165"/>
      <c r="AC130" s="147"/>
    </row>
    <row r="131" spans="1:29" ht="58">
      <c r="A131" s="24" t="s">
        <v>549</v>
      </c>
      <c r="B131" s="337"/>
      <c r="C131" s="294"/>
      <c r="D131" s="332"/>
      <c r="E131" s="321"/>
      <c r="F131" s="186" t="s">
        <v>1467</v>
      </c>
      <c r="G131" s="187" t="s">
        <v>1468</v>
      </c>
      <c r="H131" s="188" t="s">
        <v>271</v>
      </c>
      <c r="I131" s="188" t="s">
        <v>279</v>
      </c>
      <c r="J131" s="56"/>
      <c r="K131" s="56"/>
      <c r="L131" s="31"/>
      <c r="M131" s="57"/>
      <c r="N131" s="31"/>
      <c r="O131" s="62"/>
      <c r="P131" s="59"/>
      <c r="Q131" s="59"/>
      <c r="R131" s="31"/>
      <c r="S131" s="163"/>
      <c r="T131" s="163"/>
      <c r="U131" s="163"/>
      <c r="V131" s="163"/>
      <c r="W131" s="60"/>
      <c r="X131" s="60"/>
      <c r="Y131" s="165"/>
      <c r="Z131" s="165"/>
      <c r="AA131" s="165"/>
      <c r="AB131" s="165"/>
      <c r="AC131" s="147"/>
    </row>
    <row r="132" spans="1:29" ht="43.5">
      <c r="A132" s="24" t="s">
        <v>549</v>
      </c>
      <c r="B132" s="337"/>
      <c r="C132" s="294"/>
      <c r="D132" s="330" t="s">
        <v>585</v>
      </c>
      <c r="E132" s="319" t="s">
        <v>586</v>
      </c>
      <c r="F132" s="186" t="s">
        <v>587</v>
      </c>
      <c r="G132" s="187" t="s">
        <v>588</v>
      </c>
      <c r="H132" s="188" t="s">
        <v>271</v>
      </c>
      <c r="I132" s="188" t="s">
        <v>285</v>
      </c>
      <c r="J132" s="56" t="str">
        <f>G132</f>
        <v>Treballar amb l'autoritat competent per garantir objectius de conservació d’espècies i hàbitats en la revisió dels Plans de Gestió Cinegètica</v>
      </c>
      <c r="K132" s="56"/>
      <c r="L132" s="31"/>
      <c r="M132" s="57" t="s">
        <v>286</v>
      </c>
      <c r="N132" s="31" t="s">
        <v>589</v>
      </c>
      <c r="O132" s="58" t="s">
        <v>275</v>
      </c>
      <c r="P132" s="59"/>
      <c r="Q132" s="59" t="s">
        <v>1274</v>
      </c>
      <c r="R132" s="31" t="s">
        <v>1181</v>
      </c>
      <c r="S132" s="163">
        <v>1</v>
      </c>
      <c r="T132" s="163">
        <v>2</v>
      </c>
      <c r="U132" s="163">
        <v>4.4999999999999998E-2</v>
      </c>
      <c r="V132" s="163">
        <f>PLA!U132*Llistes!$L$11*Llistes!$L$12</f>
        <v>6</v>
      </c>
      <c r="W132" s="60" t="s">
        <v>291</v>
      </c>
      <c r="X132" s="60" t="str">
        <f>IF(W132=Llistes!$K$2,Llistes!$L$2,IF(W132=Llistes!$K$3,Llistes!$L$3,IF(W132=Llistes!$K$4,Llistes!$L$4,IF(W132=Llistes!$K$5,Llistes!$L$5,IF(W132=Llistes!$K$6,Llistes!$L$6,IF(W132=Llistes!$K$7,Llistes!$L$7,""))))))</f>
        <v>Gerard Carrion</v>
      </c>
      <c r="Y132" s="165" t="s">
        <v>994</v>
      </c>
      <c r="Z132" s="165" t="s">
        <v>994</v>
      </c>
      <c r="AA132" s="165" t="s">
        <v>994</v>
      </c>
      <c r="AB132" s="165" t="s">
        <v>994</v>
      </c>
      <c r="AC132" s="147"/>
    </row>
    <row r="133" spans="1:29" ht="58">
      <c r="A133" s="24" t="s">
        <v>549</v>
      </c>
      <c r="B133" s="337"/>
      <c r="C133" s="294"/>
      <c r="D133" s="331"/>
      <c r="E133" s="320"/>
      <c r="F133" s="186" t="s">
        <v>590</v>
      </c>
      <c r="G133" s="187" t="s">
        <v>591</v>
      </c>
      <c r="H133" s="188" t="s">
        <v>271</v>
      </c>
      <c r="I133" s="188" t="s">
        <v>285</v>
      </c>
      <c r="J133" s="56" t="s">
        <v>592</v>
      </c>
      <c r="K133" s="56"/>
      <c r="L133" s="31"/>
      <c r="M133" s="57" t="s">
        <v>286</v>
      </c>
      <c r="N133" s="31" t="s">
        <v>593</v>
      </c>
      <c r="O133" s="58" t="s">
        <v>275</v>
      </c>
      <c r="P133" s="59"/>
      <c r="Q133" s="59" t="s">
        <v>594</v>
      </c>
      <c r="R133" s="31" t="s">
        <v>1182</v>
      </c>
      <c r="S133" s="163">
        <v>1</v>
      </c>
      <c r="T133" s="163">
        <v>2</v>
      </c>
      <c r="U133" s="163">
        <v>0.03</v>
      </c>
      <c r="V133" s="163">
        <f>PLA!U133*Llistes!$L$11*Llistes!$L$12</f>
        <v>4</v>
      </c>
      <c r="W133" s="60" t="s">
        <v>291</v>
      </c>
      <c r="X133" s="60" t="str">
        <f>IF(W133=Llistes!$K$2,Llistes!$L$2,IF(W133=Llistes!$K$3,Llistes!$L$3,IF(W133=Llistes!$K$4,Llistes!$L$4,IF(W133=Llistes!$K$5,Llistes!$L$5,IF(W133=Llistes!$K$6,Llistes!$L$6,IF(W133=Llistes!$K$7,Llistes!$L$7,""))))))</f>
        <v>Gerard Carrion</v>
      </c>
      <c r="Y133" s="165" t="s">
        <v>994</v>
      </c>
      <c r="Z133" s="165" t="s">
        <v>994</v>
      </c>
      <c r="AA133" s="165" t="s">
        <v>994</v>
      </c>
      <c r="AB133" s="165" t="s">
        <v>994</v>
      </c>
      <c r="AC133" s="147"/>
    </row>
    <row r="134" spans="1:29" ht="58">
      <c r="A134" s="24" t="s">
        <v>549</v>
      </c>
      <c r="B134" s="182"/>
      <c r="C134" s="294"/>
      <c r="D134" s="332"/>
      <c r="E134" s="321"/>
      <c r="F134" s="186" t="s">
        <v>1556</v>
      </c>
      <c r="G134" s="187" t="s">
        <v>1557</v>
      </c>
      <c r="H134" s="188" t="s">
        <v>271</v>
      </c>
      <c r="I134" s="188" t="s">
        <v>285</v>
      </c>
      <c r="J134" s="56" t="s">
        <v>1557</v>
      </c>
      <c r="K134" s="56"/>
      <c r="L134" s="31"/>
      <c r="M134" s="57" t="s">
        <v>305</v>
      </c>
      <c r="N134" s="31"/>
      <c r="O134" s="58"/>
      <c r="P134" s="59"/>
      <c r="Q134" s="59" t="s">
        <v>1597</v>
      </c>
      <c r="R134" s="31" t="s">
        <v>1598</v>
      </c>
      <c r="S134" s="163">
        <v>1</v>
      </c>
      <c r="T134" s="163">
        <v>4</v>
      </c>
      <c r="U134" s="163">
        <v>4.4999999999999998E-2</v>
      </c>
      <c r="V134" s="163">
        <v>4</v>
      </c>
      <c r="W134" s="60" t="s">
        <v>291</v>
      </c>
      <c r="X134" s="60" t="str">
        <f>IF(W134=Llistes!$K$2,Llistes!$L$2,IF(W134=Llistes!$K$3,Llistes!$L$3,IF(W134=Llistes!$K$4,Llistes!$L$4,IF(W134=Llistes!$K$5,Llistes!$L$5,IF(W134=Llistes!$K$6,Llistes!$L$6,IF(W134=Llistes!$K$7,Llistes!$L$7,""))))))</f>
        <v>Gerard Carrion</v>
      </c>
      <c r="Y134" s="165" t="s">
        <v>994</v>
      </c>
      <c r="Z134" s="165" t="s">
        <v>994</v>
      </c>
      <c r="AA134" s="165" t="s">
        <v>994</v>
      </c>
      <c r="AB134" s="165" t="s">
        <v>994</v>
      </c>
      <c r="AC134" s="147"/>
    </row>
    <row r="135" spans="1:29">
      <c r="A135" s="24" t="s">
        <v>549</v>
      </c>
      <c r="B135" s="368">
        <v>9</v>
      </c>
      <c r="C135" s="257" t="s">
        <v>1589</v>
      </c>
      <c r="D135" s="295" t="s">
        <v>1524</v>
      </c>
      <c r="E135" s="319" t="s">
        <v>1523</v>
      </c>
      <c r="F135" s="186" t="s">
        <v>1517</v>
      </c>
      <c r="G135" s="187" t="s">
        <v>1518</v>
      </c>
      <c r="H135" s="188" t="s">
        <v>271</v>
      </c>
      <c r="I135" s="188" t="s">
        <v>279</v>
      </c>
      <c r="J135" s="56"/>
      <c r="K135" s="56"/>
      <c r="L135" s="31"/>
      <c r="M135" s="57"/>
      <c r="N135" s="31"/>
      <c r="O135" s="58"/>
      <c r="P135" s="59"/>
      <c r="Q135" s="59"/>
      <c r="R135" s="31"/>
      <c r="S135" s="163"/>
      <c r="T135" s="163"/>
      <c r="U135" s="163"/>
      <c r="V135" s="163"/>
      <c r="W135" s="60"/>
      <c r="X135" s="60" t="str">
        <f>IF(W135=Llistes!$K$2,Llistes!$L$2,IF(W135=Llistes!$K$3,Llistes!$L$3,IF(W135=Llistes!$K$4,Llistes!$L$4,IF(W135=Llistes!$K$5,Llistes!$L$5,IF(W135=Llistes!$K$6,Llistes!$L$6,IF(W135=Llistes!$K$7,Llistes!$L$7,""))))))</f>
        <v/>
      </c>
      <c r="Y135" s="165"/>
      <c r="Z135" s="165"/>
      <c r="AA135" s="165"/>
      <c r="AB135" s="165"/>
      <c r="AC135" s="147"/>
    </row>
    <row r="136" spans="1:29" ht="14.5" customHeight="1">
      <c r="A136" s="24" t="s">
        <v>549</v>
      </c>
      <c r="B136" s="369"/>
      <c r="C136" s="258"/>
      <c r="D136" s="322"/>
      <c r="E136" s="320"/>
      <c r="F136" s="186" t="s">
        <v>1519</v>
      </c>
      <c r="G136" s="187" t="s">
        <v>1520</v>
      </c>
      <c r="H136" s="188" t="s">
        <v>271</v>
      </c>
      <c r="I136" s="188" t="s">
        <v>279</v>
      </c>
      <c r="J136" s="56"/>
      <c r="K136" s="56"/>
      <c r="L136" s="31"/>
      <c r="M136" s="57"/>
      <c r="N136" s="31"/>
      <c r="O136" s="58"/>
      <c r="P136" s="59"/>
      <c r="Q136" s="59"/>
      <c r="R136" s="31"/>
      <c r="S136" s="163"/>
      <c r="T136" s="163"/>
      <c r="U136" s="163"/>
      <c r="V136" s="163"/>
      <c r="W136" s="60"/>
      <c r="X136" s="60" t="str">
        <f>IF(W136=Llistes!$K$2,Llistes!$L$2,IF(W136=Llistes!$K$3,Llistes!$L$3,IF(W136=Llistes!$K$4,Llistes!$L$4,IF(W136=Llistes!$K$5,Llistes!$L$5,IF(W136=Llistes!$K$6,Llistes!$L$6,IF(W136=Llistes!$K$7,Llistes!$L$7,""))))))</f>
        <v/>
      </c>
      <c r="Y136" s="165"/>
      <c r="Z136" s="165"/>
      <c r="AA136" s="165"/>
      <c r="AB136" s="165"/>
      <c r="AC136" s="147"/>
    </row>
    <row r="137" spans="1:29" ht="43.5">
      <c r="A137" s="24"/>
      <c r="B137" s="369"/>
      <c r="C137" s="258"/>
      <c r="D137" s="296"/>
      <c r="E137" s="321"/>
      <c r="F137" s="186" t="s">
        <v>1521</v>
      </c>
      <c r="G137" s="187" t="s">
        <v>1522</v>
      </c>
      <c r="H137" s="188" t="s">
        <v>271</v>
      </c>
      <c r="I137" s="188" t="s">
        <v>279</v>
      </c>
      <c r="J137" s="56" t="str">
        <f>G137</f>
        <v>Fomentar la creació d'allotjaments i altres recursos turístics d'acord amb les necessitats i els agents turístics del territori que es vinculin als valors naturals de l'espai</v>
      </c>
      <c r="K137" s="56"/>
      <c r="L137" s="31"/>
      <c r="M137" s="57" t="s">
        <v>305</v>
      </c>
      <c r="N137" s="31"/>
      <c r="O137" s="58"/>
      <c r="P137" s="59"/>
      <c r="Q137" s="59" t="s">
        <v>1625</v>
      </c>
      <c r="R137" s="31" t="s">
        <v>1626</v>
      </c>
      <c r="S137" s="163">
        <v>1</v>
      </c>
      <c r="T137" s="163">
        <v>4</v>
      </c>
      <c r="U137" s="163">
        <v>0.5</v>
      </c>
      <c r="V137" s="163">
        <v>90</v>
      </c>
      <c r="W137" s="60" t="s">
        <v>412</v>
      </c>
      <c r="X137" s="60" t="str">
        <f>IF(W137=Llistes!$K$2,Llistes!$L$2,IF(W137=Llistes!$K$3,Llistes!$L$3,IF(W137=Llistes!$K$4,Llistes!$L$4,IF(W137=Llistes!$K$5,Llistes!$L$5,IF(W137=Llistes!$K$6,Llistes!$L$6,IF(W137=Llistes!$K$7,Llistes!$L$7,""))))))</f>
        <v>Ivan Bustamante</v>
      </c>
      <c r="Y137" s="165"/>
      <c r="Z137" s="165"/>
      <c r="AA137" s="165"/>
      <c r="AB137" s="165"/>
      <c r="AC137" s="147"/>
    </row>
    <row r="138" spans="1:29" ht="29">
      <c r="A138" s="24" t="s">
        <v>549</v>
      </c>
      <c r="B138" s="369"/>
      <c r="C138" s="258"/>
      <c r="D138" s="295" t="s">
        <v>1515</v>
      </c>
      <c r="E138" s="383" t="s">
        <v>1513</v>
      </c>
      <c r="F138" s="186" t="s">
        <v>1505</v>
      </c>
      <c r="G138" s="187" t="s">
        <v>1506</v>
      </c>
      <c r="H138" s="188" t="s">
        <v>271</v>
      </c>
      <c r="I138" s="188" t="s">
        <v>279</v>
      </c>
      <c r="J138" s="56"/>
      <c r="K138" s="56"/>
      <c r="L138" s="31"/>
      <c r="M138" s="57"/>
      <c r="N138" s="31"/>
      <c r="O138" s="58"/>
      <c r="P138" s="59"/>
      <c r="Q138" s="59"/>
      <c r="R138" s="31"/>
      <c r="S138" s="163"/>
      <c r="T138" s="163"/>
      <c r="U138" s="163"/>
      <c r="V138" s="163"/>
      <c r="W138" s="60"/>
      <c r="X138" s="60" t="str">
        <f>IF(W138=Llistes!$K$2,Llistes!$L$2,IF(W138=Llistes!$K$3,Llistes!$L$3,IF(W138=Llistes!$K$4,Llistes!$L$4,IF(W138=Llistes!$K$5,Llistes!$L$5,IF(W138=Llistes!$K$6,Llistes!$L$6,IF(W138=Llistes!$K$7,Llistes!$L$7,""))))))</f>
        <v/>
      </c>
      <c r="Y138" s="165"/>
      <c r="Z138" s="165"/>
      <c r="AA138" s="165"/>
      <c r="AB138" s="165"/>
      <c r="AC138" s="147"/>
    </row>
    <row r="139" spans="1:29" ht="29">
      <c r="A139" s="24"/>
      <c r="B139" s="369"/>
      <c r="C139" s="258"/>
      <c r="D139" s="296"/>
      <c r="E139" s="384"/>
      <c r="F139" s="186" t="s">
        <v>1507</v>
      </c>
      <c r="G139" s="187" t="s">
        <v>1508</v>
      </c>
      <c r="H139" s="188" t="s">
        <v>271</v>
      </c>
      <c r="I139" s="188" t="s">
        <v>279</v>
      </c>
      <c r="J139" s="56"/>
      <c r="K139" s="56"/>
      <c r="L139" s="31"/>
      <c r="M139" s="57"/>
      <c r="N139" s="31"/>
      <c r="O139" s="58"/>
      <c r="P139" s="59"/>
      <c r="Q139" s="59"/>
      <c r="R139" s="31"/>
      <c r="S139" s="163"/>
      <c r="T139" s="163"/>
      <c r="U139" s="163"/>
      <c r="V139" s="163"/>
      <c r="W139" s="60"/>
      <c r="X139" s="60" t="str">
        <f>IF(W139=Llistes!$K$2,Llistes!$L$2,IF(W139=Llistes!$K$3,Llistes!$L$3,IF(W139=Llistes!$K$4,Llistes!$L$4,IF(W139=Llistes!$K$5,Llistes!$L$5,IF(W139=Llistes!$K$6,Llistes!$L$6,IF(W139=Llistes!$K$7,Llistes!$L$7,""))))))</f>
        <v/>
      </c>
      <c r="Y139" s="165"/>
      <c r="Z139" s="165"/>
      <c r="AA139" s="165"/>
      <c r="AB139" s="165"/>
      <c r="AC139" s="147"/>
    </row>
    <row r="140" spans="1:29" ht="44.5" customHeight="1">
      <c r="A140" s="24"/>
      <c r="B140" s="370"/>
      <c r="C140" s="259"/>
      <c r="D140" s="199" t="s">
        <v>1605</v>
      </c>
      <c r="E140" s="200" t="s">
        <v>1606</v>
      </c>
      <c r="F140" s="186" t="s">
        <v>1607</v>
      </c>
      <c r="G140" s="187"/>
      <c r="H140" s="188"/>
      <c r="I140" s="188"/>
      <c r="J140" s="56" t="s">
        <v>1608</v>
      </c>
      <c r="K140" s="56" t="s">
        <v>1609</v>
      </c>
      <c r="L140" s="31" t="s">
        <v>71</v>
      </c>
      <c r="M140" s="57" t="s">
        <v>286</v>
      </c>
      <c r="N140" s="31"/>
      <c r="O140" s="58"/>
      <c r="P140" s="59"/>
      <c r="Q140" s="59" t="s">
        <v>1610</v>
      </c>
      <c r="R140" s="31" t="s">
        <v>1611</v>
      </c>
      <c r="S140" s="163">
        <v>16</v>
      </c>
      <c r="T140" s="163">
        <v>20</v>
      </c>
      <c r="U140" s="163">
        <v>0.5</v>
      </c>
      <c r="V140" s="163">
        <f>0.5*45*4</f>
        <v>90</v>
      </c>
      <c r="W140" s="60" t="s">
        <v>412</v>
      </c>
      <c r="X140" s="60" t="str">
        <f>IF(W140=Llistes!$K$2,Llistes!$L$2,IF(W140=Llistes!$K$3,Llistes!$L$3,IF(W140=Llistes!$K$4,Llistes!$L$4,IF(W140=Llistes!$K$5,Llistes!$L$5,IF(W140=Llistes!$K$6,Llistes!$L$6,IF(W140=Llistes!$K$7,Llistes!$L$7,""))))))</f>
        <v>Ivan Bustamante</v>
      </c>
      <c r="Y140" s="165"/>
      <c r="Z140" s="165"/>
      <c r="AA140" s="165"/>
      <c r="AB140" s="165"/>
      <c r="AC140" s="147"/>
    </row>
    <row r="141" spans="1:29" ht="29.15" customHeight="1">
      <c r="A141" s="318" t="s">
        <v>595</v>
      </c>
      <c r="B141" s="183">
        <v>10</v>
      </c>
      <c r="C141" s="27" t="s">
        <v>1590</v>
      </c>
      <c r="D141" s="249" t="s">
        <v>1516</v>
      </c>
      <c r="E141" s="385" t="s">
        <v>1514</v>
      </c>
      <c r="F141" s="186" t="s">
        <v>1509</v>
      </c>
      <c r="G141" s="187" t="s">
        <v>1510</v>
      </c>
      <c r="H141" s="188" t="s">
        <v>271</v>
      </c>
      <c r="I141" s="188" t="s">
        <v>285</v>
      </c>
      <c r="J141" s="56"/>
      <c r="K141" s="56"/>
      <c r="L141" s="31"/>
      <c r="M141" s="57"/>
      <c r="N141" s="31"/>
      <c r="O141" s="58"/>
      <c r="P141" s="59"/>
      <c r="Q141" s="59"/>
      <c r="R141" s="31"/>
      <c r="S141" s="163"/>
      <c r="T141" s="163"/>
      <c r="U141" s="163"/>
      <c r="V141" s="163"/>
      <c r="W141" s="60"/>
      <c r="X141" s="60"/>
      <c r="Y141" s="165"/>
      <c r="Z141" s="165"/>
      <c r="AA141" s="165"/>
      <c r="AB141" s="165"/>
      <c r="AC141" s="147"/>
    </row>
    <row r="142" spans="1:29">
      <c r="A142" s="318"/>
      <c r="B142" s="183"/>
      <c r="C142" s="27"/>
      <c r="D142" s="250"/>
      <c r="E142" s="386"/>
      <c r="F142" s="186" t="s">
        <v>1511</v>
      </c>
      <c r="G142" s="187" t="s">
        <v>1512</v>
      </c>
      <c r="H142" s="188" t="s">
        <v>271</v>
      </c>
      <c r="I142" s="188" t="s">
        <v>285</v>
      </c>
      <c r="J142" s="56"/>
      <c r="K142" s="56"/>
      <c r="L142" s="31"/>
      <c r="M142" s="57"/>
      <c r="N142" s="31"/>
      <c r="O142" s="58"/>
      <c r="P142" s="59"/>
      <c r="Q142" s="59"/>
      <c r="R142" s="31"/>
      <c r="S142" s="163"/>
      <c r="T142" s="163"/>
      <c r="U142" s="163"/>
      <c r="V142" s="163"/>
      <c r="W142" s="60"/>
      <c r="X142" s="60"/>
      <c r="Y142" s="165"/>
      <c r="Z142" s="165"/>
      <c r="AA142" s="165"/>
      <c r="AB142" s="165"/>
      <c r="AC142" s="147"/>
    </row>
    <row r="143" spans="1:29" ht="58">
      <c r="A143" s="318"/>
      <c r="B143" s="273">
        <v>11</v>
      </c>
      <c r="C143" s="274" t="s">
        <v>597</v>
      </c>
      <c r="D143" s="289" t="s">
        <v>598</v>
      </c>
      <c r="E143" s="291" t="s">
        <v>1645</v>
      </c>
      <c r="F143" s="186" t="s">
        <v>600</v>
      </c>
      <c r="G143" s="187" t="s">
        <v>1469</v>
      </c>
      <c r="H143" s="188" t="s">
        <v>271</v>
      </c>
      <c r="I143" s="188" t="s">
        <v>285</v>
      </c>
      <c r="J143" s="56" t="s">
        <v>601</v>
      </c>
      <c r="K143" s="56" t="s">
        <v>602</v>
      </c>
      <c r="L143" s="56"/>
      <c r="M143" s="57" t="s">
        <v>286</v>
      </c>
      <c r="N143" s="56" t="s">
        <v>603</v>
      </c>
      <c r="O143" s="58"/>
      <c r="P143" s="59" t="s">
        <v>596</v>
      </c>
      <c r="Q143" s="59" t="s">
        <v>604</v>
      </c>
      <c r="R143" s="31" t="s">
        <v>1352</v>
      </c>
      <c r="S143" s="163">
        <v>1</v>
      </c>
      <c r="T143" s="163">
        <v>2</v>
      </c>
      <c r="U143" s="163">
        <v>0.06</v>
      </c>
      <c r="V143" s="163">
        <f>PLA!U143*Llistes!$L$11*Llistes!$L$12</f>
        <v>8</v>
      </c>
      <c r="W143" s="60" t="s">
        <v>291</v>
      </c>
      <c r="X143" s="60" t="str">
        <f>IF(W143=Llistes!$K$2,Llistes!$L$2,IF(W143=Llistes!$K$3,Llistes!$L$3,IF(W143=Llistes!$K$4,Llistes!$L$4,IF(W143=Llistes!$K$5,Llistes!$L$5,IF(W143=Llistes!$K$6,Llistes!$L$6,IF(W143=Llistes!$K$7,Llistes!$L$7,""))))))</f>
        <v>Gerard Carrion</v>
      </c>
      <c r="Y143" s="165" t="s">
        <v>994</v>
      </c>
      <c r="Z143" s="165" t="s">
        <v>994</v>
      </c>
      <c r="AA143" s="165" t="s">
        <v>994</v>
      </c>
      <c r="AB143" s="165" t="s">
        <v>994</v>
      </c>
      <c r="AC143" s="147"/>
    </row>
    <row r="144" spans="1:29" ht="43.5">
      <c r="A144" s="25" t="s">
        <v>595</v>
      </c>
      <c r="B144" s="273"/>
      <c r="C144" s="274"/>
      <c r="D144" s="290"/>
      <c r="E144" s="292"/>
      <c r="F144" s="186" t="s">
        <v>605</v>
      </c>
      <c r="G144" s="187" t="s">
        <v>1470</v>
      </c>
      <c r="H144" s="188" t="s">
        <v>271</v>
      </c>
      <c r="I144" s="188" t="s">
        <v>285</v>
      </c>
      <c r="J144" s="56" t="s">
        <v>606</v>
      </c>
      <c r="K144" s="56" t="s">
        <v>607</v>
      </c>
      <c r="L144" s="56"/>
      <c r="M144" s="57" t="s">
        <v>286</v>
      </c>
      <c r="N144" s="56" t="s">
        <v>608</v>
      </c>
      <c r="O144" s="58"/>
      <c r="P144" s="59" t="s">
        <v>596</v>
      </c>
      <c r="Q144" s="59" t="s">
        <v>1275</v>
      </c>
      <c r="R144" s="31" t="s">
        <v>1353</v>
      </c>
      <c r="S144" s="163">
        <v>1</v>
      </c>
      <c r="T144" s="163">
        <v>2</v>
      </c>
      <c r="U144" s="163">
        <v>0.06</v>
      </c>
      <c r="V144" s="163">
        <f>PLA!U144*Llistes!$L$11*Llistes!$L$12</f>
        <v>8</v>
      </c>
      <c r="W144" s="60" t="s">
        <v>291</v>
      </c>
      <c r="X144" s="60" t="str">
        <f>IF(W144=Llistes!$K$2,Llistes!$L$2,IF(W144=Llistes!$K$3,Llistes!$L$3,IF(W144=Llistes!$K$4,Llistes!$L$4,IF(W144=Llistes!$K$5,Llistes!$L$5,IF(W144=Llistes!$K$6,Llistes!$L$6,IF(W144=Llistes!$K$7,Llistes!$L$7,""))))))</f>
        <v>Gerard Carrion</v>
      </c>
      <c r="Y144" s="165" t="s">
        <v>994</v>
      </c>
      <c r="Z144" s="165" t="s">
        <v>994</v>
      </c>
      <c r="AA144" s="165" t="s">
        <v>994</v>
      </c>
      <c r="AB144" s="165" t="s">
        <v>994</v>
      </c>
      <c r="AC144" s="147"/>
    </row>
    <row r="145" spans="1:29" ht="43.5">
      <c r="A145" s="204"/>
      <c r="B145" s="273"/>
      <c r="C145" s="274"/>
      <c r="D145" s="290"/>
      <c r="E145" s="292"/>
      <c r="F145" s="186" t="s">
        <v>605</v>
      </c>
      <c r="G145" s="187" t="s">
        <v>1470</v>
      </c>
      <c r="H145" s="188" t="s">
        <v>271</v>
      </c>
      <c r="I145" s="188" t="s">
        <v>285</v>
      </c>
      <c r="J145" s="56" t="s">
        <v>606</v>
      </c>
      <c r="K145" s="56" t="s">
        <v>607</v>
      </c>
      <c r="L145" s="56"/>
      <c r="M145" s="57" t="s">
        <v>286</v>
      </c>
      <c r="N145" s="56" t="s">
        <v>608</v>
      </c>
      <c r="O145" s="58"/>
      <c r="P145" s="59"/>
      <c r="Q145" s="59" t="s">
        <v>1276</v>
      </c>
      <c r="R145" s="31" t="s">
        <v>1183</v>
      </c>
      <c r="S145" s="163">
        <v>1</v>
      </c>
      <c r="T145" s="163">
        <v>3</v>
      </c>
      <c r="U145" s="163">
        <v>0.06</v>
      </c>
      <c r="V145" s="163">
        <f>PLA!U145*Llistes!$L$11*Llistes!$L$12</f>
        <v>8</v>
      </c>
      <c r="W145" s="60" t="s">
        <v>291</v>
      </c>
      <c r="X145" s="60" t="str">
        <f>IF(W145=Llistes!$K$2,Llistes!$L$2,IF(W145=Llistes!$K$3,Llistes!$L$3,IF(W145=Llistes!$K$4,Llistes!$L$4,IF(W145=Llistes!$K$5,Llistes!$L$5,IF(W145=Llistes!$K$6,Llistes!$L$6,IF(W145=Llistes!$K$7,Llistes!$L$7,""))))))</f>
        <v>Gerard Carrion</v>
      </c>
      <c r="Y145" s="165" t="s">
        <v>994</v>
      </c>
      <c r="Z145" s="165" t="s">
        <v>994</v>
      </c>
      <c r="AA145" s="165" t="s">
        <v>994</v>
      </c>
      <c r="AB145" s="165" t="s">
        <v>994</v>
      </c>
      <c r="AC145" s="147"/>
    </row>
    <row r="146" spans="1:29" ht="29">
      <c r="A146" s="25" t="s">
        <v>595</v>
      </c>
      <c r="B146" s="273"/>
      <c r="C146" s="274"/>
      <c r="D146" s="290"/>
      <c r="E146" s="292"/>
      <c r="F146" s="186" t="s">
        <v>609</v>
      </c>
      <c r="G146" s="187" t="s">
        <v>1471</v>
      </c>
      <c r="H146" s="188" t="s">
        <v>271</v>
      </c>
      <c r="I146" s="188" t="s">
        <v>285</v>
      </c>
      <c r="J146" s="56"/>
      <c r="K146" s="3"/>
      <c r="L146" s="56"/>
      <c r="M146" s="3"/>
      <c r="N146" s="56"/>
      <c r="O146" s="58"/>
      <c r="P146" s="59"/>
      <c r="Q146" s="59"/>
      <c r="R146" s="31"/>
      <c r="S146" s="163"/>
      <c r="T146" s="163"/>
      <c r="U146" s="163"/>
      <c r="V146" s="163"/>
      <c r="W146" s="60"/>
      <c r="X146" s="60"/>
      <c r="Y146" s="165"/>
      <c r="Z146" s="165"/>
      <c r="AA146" s="165"/>
      <c r="AB146" s="165"/>
      <c r="AC146" s="147"/>
    </row>
    <row r="147" spans="1:29" ht="58">
      <c r="A147" s="25" t="s">
        <v>595</v>
      </c>
      <c r="B147" s="273"/>
      <c r="C147" s="274"/>
      <c r="D147" s="290"/>
      <c r="E147" s="292"/>
      <c r="F147" s="186" t="s">
        <v>610</v>
      </c>
      <c r="G147" s="187" t="s">
        <v>1472</v>
      </c>
      <c r="H147" s="188" t="s">
        <v>271</v>
      </c>
      <c r="I147" s="188" t="s">
        <v>285</v>
      </c>
      <c r="J147" s="56" t="str">
        <f>G147</f>
        <v>Ordenar les curses i altres activitats esportives organitzades en base a un model estàndard de Pla de protecció</v>
      </c>
      <c r="K147" s="56" t="s">
        <v>611</v>
      </c>
      <c r="L147" s="56"/>
      <c r="M147" s="57" t="s">
        <v>286</v>
      </c>
      <c r="N147" s="56" t="s">
        <v>612</v>
      </c>
      <c r="O147" s="58"/>
      <c r="P147" s="59" t="s">
        <v>596</v>
      </c>
      <c r="Q147" s="59" t="s">
        <v>1184</v>
      </c>
      <c r="R147" s="31" t="s">
        <v>1187</v>
      </c>
      <c r="S147" s="163">
        <v>1</v>
      </c>
      <c r="T147" s="163">
        <v>2</v>
      </c>
      <c r="U147" s="163">
        <v>0.06</v>
      </c>
      <c r="V147" s="163">
        <f>PLA!U147*Llistes!$L$11*Llistes!$L$12</f>
        <v>8</v>
      </c>
      <c r="W147" s="60" t="s">
        <v>291</v>
      </c>
      <c r="X147" s="60" t="str">
        <f>IF(W147=Llistes!$K$2,Llistes!$L$2,IF(W147=Llistes!$K$3,Llistes!$L$3,IF(W147=Llistes!$K$4,Llistes!$L$4,IF(W147=Llistes!$K$5,Llistes!$L$5,IF(W147=Llistes!$K$6,Llistes!$L$6,IF(W147=Llistes!$K$7,Llistes!$L$7,""))))))</f>
        <v>Gerard Carrion</v>
      </c>
      <c r="Y147" s="165" t="s">
        <v>994</v>
      </c>
      <c r="Z147" s="165" t="s">
        <v>994</v>
      </c>
      <c r="AA147" s="165" t="s">
        <v>994</v>
      </c>
      <c r="AB147" s="165" t="s">
        <v>994</v>
      </c>
      <c r="AC147" s="147"/>
    </row>
    <row r="148" spans="1:29" ht="58">
      <c r="A148" s="25" t="s">
        <v>595</v>
      </c>
      <c r="B148" s="273"/>
      <c r="C148" s="274"/>
      <c r="D148" s="290"/>
      <c r="E148" s="292"/>
      <c r="F148" s="186" t="s">
        <v>613</v>
      </c>
      <c r="G148" s="187" t="s">
        <v>1473</v>
      </c>
      <c r="H148" s="188" t="s">
        <v>271</v>
      </c>
      <c r="I148" s="188" t="s">
        <v>285</v>
      </c>
      <c r="J148" s="56" t="str">
        <f>G148</f>
        <v>Ordenar els enregistraments i l'observació de fauna i natura en base a un model estàndard de Pla de protecció</v>
      </c>
      <c r="K148" s="56" t="s">
        <v>611</v>
      </c>
      <c r="L148" s="56"/>
      <c r="M148" s="57" t="s">
        <v>305</v>
      </c>
      <c r="N148" s="56" t="s">
        <v>614</v>
      </c>
      <c r="O148" s="58"/>
      <c r="P148" s="59" t="s">
        <v>596</v>
      </c>
      <c r="Q148" s="59" t="s">
        <v>1185</v>
      </c>
      <c r="R148" s="31" t="s">
        <v>1188</v>
      </c>
      <c r="S148" s="163">
        <v>8</v>
      </c>
      <c r="T148" s="163">
        <v>12</v>
      </c>
      <c r="U148" s="163">
        <v>0.15</v>
      </c>
      <c r="V148" s="163">
        <f>PLA!U148*Llistes!$L$11*Llistes!$L$12</f>
        <v>20</v>
      </c>
      <c r="W148" s="60" t="s">
        <v>291</v>
      </c>
      <c r="X148" s="60" t="str">
        <f>IF(W148=Llistes!$K$2,Llistes!$L$2,IF(W148=Llistes!$K$3,Llistes!$L$3,IF(W148=Llistes!$K$4,Llistes!$L$4,IF(W148=Llistes!$K$5,Llistes!$L$5,IF(W148=Llistes!$K$6,Llistes!$L$6,IF(W148=Llistes!$K$7,Llistes!$L$7,""))))))</f>
        <v>Gerard Carrion</v>
      </c>
      <c r="Y148" s="165" t="s">
        <v>994</v>
      </c>
      <c r="Z148" s="165" t="s">
        <v>994</v>
      </c>
      <c r="AA148" s="165" t="s">
        <v>994</v>
      </c>
      <c r="AB148" s="165" t="s">
        <v>994</v>
      </c>
      <c r="AC148" s="147"/>
    </row>
    <row r="149" spans="1:29" ht="43.5">
      <c r="A149" s="25" t="s">
        <v>595</v>
      </c>
      <c r="B149" s="273"/>
      <c r="C149" s="274"/>
      <c r="D149" s="290"/>
      <c r="E149" s="292"/>
      <c r="F149" s="186" t="s">
        <v>615</v>
      </c>
      <c r="G149" s="187" t="s">
        <v>1474</v>
      </c>
      <c r="H149" s="188" t="s">
        <v>271</v>
      </c>
      <c r="I149" s="188" t="s">
        <v>285</v>
      </c>
      <c r="J149" s="56" t="str">
        <f>G149</f>
        <v>Ordenar les activitats científiques en base a un model estàndard de Pla de protecció</v>
      </c>
      <c r="K149" s="56" t="s">
        <v>611</v>
      </c>
      <c r="L149" s="56"/>
      <c r="M149" s="57" t="s">
        <v>305</v>
      </c>
      <c r="N149" s="56" t="s">
        <v>616</v>
      </c>
      <c r="O149" s="58"/>
      <c r="P149" s="59" t="s">
        <v>596</v>
      </c>
      <c r="Q149" s="59" t="s">
        <v>1186</v>
      </c>
      <c r="R149" s="31" t="s">
        <v>1189</v>
      </c>
      <c r="S149" s="163">
        <v>8</v>
      </c>
      <c r="T149" s="163">
        <v>12</v>
      </c>
      <c r="U149" s="163">
        <v>0.15</v>
      </c>
      <c r="V149" s="163">
        <f>PLA!U149*Llistes!$L$11*Llistes!$L$12</f>
        <v>20</v>
      </c>
      <c r="W149" s="60" t="s">
        <v>291</v>
      </c>
      <c r="X149" s="60" t="str">
        <f>IF(W149=Llistes!$K$2,Llistes!$L$2,IF(W149=Llistes!$K$3,Llistes!$L$3,IF(W149=Llistes!$K$4,Llistes!$L$4,IF(W149=Llistes!$K$5,Llistes!$L$5,IF(W149=Llistes!$K$6,Llistes!$L$6,IF(W149=Llistes!$K$7,Llistes!$L$7,""))))))</f>
        <v>Gerard Carrion</v>
      </c>
      <c r="Y149" s="165" t="s">
        <v>994</v>
      </c>
      <c r="Z149" s="165" t="s">
        <v>994</v>
      </c>
      <c r="AA149" s="165" t="s">
        <v>994</v>
      </c>
      <c r="AB149" s="165" t="s">
        <v>994</v>
      </c>
      <c r="AC149" s="147"/>
    </row>
    <row r="150" spans="1:29">
      <c r="A150" s="25" t="s">
        <v>595</v>
      </c>
      <c r="B150" s="273"/>
      <c r="C150" s="274"/>
      <c r="D150" s="290"/>
      <c r="E150" s="292"/>
      <c r="F150" s="186" t="s">
        <v>617</v>
      </c>
      <c r="G150" s="187" t="s">
        <v>1475</v>
      </c>
      <c r="H150" s="188" t="s">
        <v>303</v>
      </c>
      <c r="I150" s="188" t="s">
        <v>285</v>
      </c>
      <c r="J150" s="56"/>
      <c r="K150" s="56"/>
      <c r="L150" s="56"/>
      <c r="M150" s="57"/>
      <c r="N150" s="56"/>
      <c r="O150" s="58"/>
      <c r="P150" s="59"/>
      <c r="Q150" s="59"/>
      <c r="R150" s="31"/>
      <c r="S150" s="163"/>
      <c r="T150" s="163"/>
      <c r="U150" s="163"/>
      <c r="V150" s="163"/>
      <c r="W150" s="60"/>
      <c r="X150" s="60"/>
      <c r="Y150" s="165"/>
      <c r="Z150" s="165"/>
      <c r="AA150" s="165"/>
      <c r="AB150" s="165"/>
      <c r="AC150" s="147"/>
    </row>
    <row r="151" spans="1:29" ht="43.5">
      <c r="A151" s="25" t="s">
        <v>595</v>
      </c>
      <c r="B151" s="273"/>
      <c r="C151" s="274"/>
      <c r="D151" s="290"/>
      <c r="E151" s="292"/>
      <c r="F151" s="186" t="s">
        <v>618</v>
      </c>
      <c r="G151" s="187" t="s">
        <v>1476</v>
      </c>
      <c r="H151" s="188" t="s">
        <v>303</v>
      </c>
      <c r="I151" s="188" t="s">
        <v>285</v>
      </c>
      <c r="J151" s="56" t="str">
        <f>G151</f>
        <v>Ordenar l'enlairament i aterratge sense motor</v>
      </c>
      <c r="K151" s="56" t="s">
        <v>611</v>
      </c>
      <c r="L151" s="56"/>
      <c r="M151" s="57" t="s">
        <v>305</v>
      </c>
      <c r="N151" s="56" t="s">
        <v>619</v>
      </c>
      <c r="O151" s="58"/>
      <c r="P151" s="59" t="s">
        <v>596</v>
      </c>
      <c r="Q151" s="59" t="s">
        <v>1190</v>
      </c>
      <c r="R151" s="31" t="s">
        <v>1191</v>
      </c>
      <c r="S151" s="163">
        <v>25</v>
      </c>
      <c r="T151" s="163">
        <v>30</v>
      </c>
      <c r="U151" s="163">
        <v>0.3</v>
      </c>
      <c r="V151" s="163">
        <f>PLA!U151*Llistes!$L$11*Llistes!$L$12</f>
        <v>40</v>
      </c>
      <c r="W151" s="60" t="s">
        <v>291</v>
      </c>
      <c r="X151" s="60" t="str">
        <f>IF(W151=Llistes!$K$2,Llistes!$L$2,IF(W151=Llistes!$K$3,Llistes!$L$3,IF(W151=Llistes!$K$4,Llistes!$L$4,IF(W151=Llistes!$K$5,Llistes!$L$5,IF(W151=Llistes!$K$6,Llistes!$L$6,IF(W151=Llistes!$K$7,Llistes!$L$7,""))))))</f>
        <v>Gerard Carrion</v>
      </c>
      <c r="Y151" s="165" t="s">
        <v>994</v>
      </c>
      <c r="Z151" s="165" t="s">
        <v>994</v>
      </c>
      <c r="AA151" s="165" t="s">
        <v>994</v>
      </c>
      <c r="AB151" s="165" t="s">
        <v>994</v>
      </c>
      <c r="AC151" s="147"/>
    </row>
    <row r="152" spans="1:29">
      <c r="A152" s="25" t="s">
        <v>595</v>
      </c>
      <c r="B152" s="273"/>
      <c r="C152" s="274"/>
      <c r="D152" s="290"/>
      <c r="E152" s="292"/>
      <c r="F152" s="186" t="s">
        <v>620</v>
      </c>
      <c r="G152" s="187" t="s">
        <v>1477</v>
      </c>
      <c r="H152" s="188" t="s">
        <v>303</v>
      </c>
      <c r="I152" s="188" t="s">
        <v>285</v>
      </c>
      <c r="J152" s="56"/>
      <c r="K152" s="56"/>
      <c r="L152" s="56"/>
      <c r="M152" s="57"/>
      <c r="N152" s="56"/>
      <c r="O152" s="58"/>
      <c r="P152" s="59"/>
      <c r="Q152" s="59"/>
      <c r="R152" s="31"/>
      <c r="S152" s="163"/>
      <c r="T152" s="163"/>
      <c r="U152" s="163"/>
      <c r="V152" s="163"/>
      <c r="W152" s="60"/>
      <c r="X152" s="60"/>
      <c r="Y152" s="165"/>
      <c r="Z152" s="165"/>
      <c r="AA152" s="165"/>
      <c r="AB152" s="165"/>
      <c r="AC152" s="147"/>
    </row>
    <row r="153" spans="1:29">
      <c r="A153" s="25" t="s">
        <v>595</v>
      </c>
      <c r="B153" s="273"/>
      <c r="C153" s="274"/>
      <c r="D153" s="290"/>
      <c r="E153" s="292"/>
      <c r="F153" s="186" t="s">
        <v>1478</v>
      </c>
      <c r="G153" s="187" t="s">
        <v>1479</v>
      </c>
      <c r="H153" s="188" t="s">
        <v>303</v>
      </c>
      <c r="I153" s="188" t="s">
        <v>285</v>
      </c>
      <c r="J153" s="56"/>
      <c r="K153" s="56"/>
      <c r="L153" s="56"/>
      <c r="M153" s="57"/>
      <c r="N153" s="56"/>
      <c r="O153" s="58"/>
      <c r="P153" s="59"/>
      <c r="Q153" s="59"/>
      <c r="R153" s="31"/>
      <c r="S153" s="163"/>
      <c r="T153" s="163"/>
      <c r="U153" s="163"/>
      <c r="V153" s="163"/>
      <c r="W153" s="60"/>
      <c r="X153" s="60"/>
      <c r="Y153" s="165"/>
      <c r="Z153" s="165"/>
      <c r="AA153" s="165"/>
      <c r="AB153" s="165"/>
      <c r="AC153" s="147"/>
    </row>
    <row r="154" spans="1:29" ht="29">
      <c r="A154" s="25" t="s">
        <v>595</v>
      </c>
      <c r="B154" s="273"/>
      <c r="C154" s="274"/>
      <c r="D154" s="290"/>
      <c r="E154" s="292"/>
      <c r="F154" s="186" t="s">
        <v>1480</v>
      </c>
      <c r="G154" s="187" t="s">
        <v>1481</v>
      </c>
      <c r="H154" s="188" t="s">
        <v>271</v>
      </c>
      <c r="I154" s="188" t="s">
        <v>285</v>
      </c>
      <c r="J154" s="56" t="s">
        <v>621</v>
      </c>
      <c r="K154" s="56" t="s">
        <v>622</v>
      </c>
      <c r="L154" s="56"/>
      <c r="M154" s="57" t="s">
        <v>286</v>
      </c>
      <c r="N154" s="56" t="s">
        <v>623</v>
      </c>
      <c r="O154" s="58"/>
      <c r="P154" s="59" t="s">
        <v>596</v>
      </c>
      <c r="Q154" s="59" t="s">
        <v>624</v>
      </c>
      <c r="R154" s="31" t="s">
        <v>1354</v>
      </c>
      <c r="S154" s="163">
        <v>8</v>
      </c>
      <c r="T154" s="163">
        <v>4</v>
      </c>
      <c r="U154" s="163">
        <v>0.09</v>
      </c>
      <c r="V154" s="163">
        <f>PLA!U154*Llistes!$L$11*Llistes!$L$12</f>
        <v>12</v>
      </c>
      <c r="W154" s="60" t="s">
        <v>291</v>
      </c>
      <c r="X154" s="60" t="str">
        <f>IF(W154=Llistes!$K$2,Llistes!$L$2,IF(W154=Llistes!$K$3,Llistes!$L$3,IF(W154=Llistes!$K$4,Llistes!$L$4,IF(W154=Llistes!$K$5,Llistes!$L$5,IF(W154=Llistes!$K$6,Llistes!$L$6,IF(W154=Llistes!$K$7,Llistes!$L$7,""))))))</f>
        <v>Gerard Carrion</v>
      </c>
      <c r="Y154" s="165" t="s">
        <v>994</v>
      </c>
      <c r="Z154" s="165" t="s">
        <v>994</v>
      </c>
      <c r="AA154" s="165" t="s">
        <v>994</v>
      </c>
      <c r="AB154" s="165" t="s">
        <v>994</v>
      </c>
      <c r="AC154" s="147"/>
    </row>
    <row r="155" spans="1:29" ht="58">
      <c r="A155" s="25" t="s">
        <v>595</v>
      </c>
      <c r="B155" s="273"/>
      <c r="C155" s="274"/>
      <c r="D155" s="250"/>
      <c r="E155" s="293"/>
      <c r="F155" s="186" t="s">
        <v>1482</v>
      </c>
      <c r="G155" s="187" t="s">
        <v>1483</v>
      </c>
      <c r="H155" s="188" t="s">
        <v>271</v>
      </c>
      <c r="I155" s="188" t="s">
        <v>285</v>
      </c>
      <c r="J155" s="56" t="str">
        <f>G155</f>
        <v>Ordenar lels activitats d'educació ambiental i el lleure educatiu</v>
      </c>
      <c r="K155" s="56" t="s">
        <v>611</v>
      </c>
      <c r="L155" s="56"/>
      <c r="M155" s="57" t="s">
        <v>305</v>
      </c>
      <c r="N155" s="56" t="s">
        <v>625</v>
      </c>
      <c r="O155" s="58"/>
      <c r="P155" s="59" t="s">
        <v>596</v>
      </c>
      <c r="Q155" s="59" t="s">
        <v>1192</v>
      </c>
      <c r="R155" s="31" t="s">
        <v>1355</v>
      </c>
      <c r="S155" s="163">
        <v>4</v>
      </c>
      <c r="T155" s="163">
        <v>8</v>
      </c>
      <c r="U155" s="163">
        <v>0.06</v>
      </c>
      <c r="V155" s="163">
        <f>PLA!U155*Llistes!$L$11*Llistes!$L$12</f>
        <v>8</v>
      </c>
      <c r="W155" s="60" t="s">
        <v>412</v>
      </c>
      <c r="X155" s="60" t="str">
        <f>IF(W155=Llistes!$K$2,Llistes!$L$2,IF(W155=Llistes!$K$3,Llistes!$L$3,IF(W155=Llistes!$K$4,Llistes!$L$4,IF(W155=Llistes!$K$5,Llistes!$L$5,IF(W155=Llistes!$K$6,Llistes!$L$6,IF(W155=Llistes!$K$7,Llistes!$L$7,""))))))</f>
        <v>Ivan Bustamante</v>
      </c>
      <c r="Y155" s="165" t="s">
        <v>994</v>
      </c>
      <c r="Z155" s="165" t="s">
        <v>994</v>
      </c>
      <c r="AA155" s="165" t="s">
        <v>994</v>
      </c>
      <c r="AB155" s="165" t="s">
        <v>994</v>
      </c>
      <c r="AC155" s="147"/>
    </row>
    <row r="156" spans="1:29" ht="87">
      <c r="A156" s="25" t="s">
        <v>595</v>
      </c>
      <c r="B156" s="273"/>
      <c r="C156" s="274"/>
      <c r="D156" s="289" t="s">
        <v>626</v>
      </c>
      <c r="E156" s="393" t="s">
        <v>627</v>
      </c>
      <c r="F156" s="188" t="s">
        <v>628</v>
      </c>
      <c r="G156" s="187" t="s">
        <v>629</v>
      </c>
      <c r="H156" s="188" t="s">
        <v>271</v>
      </c>
      <c r="I156" s="188" t="s">
        <v>285</v>
      </c>
      <c r="J156" s="56" t="str">
        <f>G156</f>
        <v xml:space="preserve">Identificar i classificar la xarxa viària bàsica, secundària, senders i itineraris senyalitzats d'acord amb els ajuntaments </v>
      </c>
      <c r="K156" s="56"/>
      <c r="L156" s="31"/>
      <c r="M156" s="57" t="s">
        <v>305</v>
      </c>
      <c r="N156" s="31" t="s">
        <v>630</v>
      </c>
      <c r="O156" s="58"/>
      <c r="P156" s="54" t="s">
        <v>631</v>
      </c>
      <c r="Q156" s="54" t="s">
        <v>1194</v>
      </c>
      <c r="R156" s="31" t="s">
        <v>1195</v>
      </c>
      <c r="S156" s="163"/>
      <c r="T156" s="163" t="s">
        <v>1043</v>
      </c>
      <c r="U156" s="163">
        <v>0.15</v>
      </c>
      <c r="V156" s="163">
        <f>PLA!U156*Llistes!$L$11*Llistes!$L$12</f>
        <v>20</v>
      </c>
      <c r="W156" s="60" t="s">
        <v>412</v>
      </c>
      <c r="X156" s="60" t="str">
        <f>IF(W156=Llistes!$K$2,Llistes!$L$2,IF(W156=Llistes!$K$3,Llistes!$L$3,IF(W156=Llistes!$K$4,Llistes!$L$4,IF(W156=Llistes!$K$5,Llistes!$L$5,IF(W156=Llistes!$K$6,Llistes!$L$6,IF(W156=Llistes!$K$7,Llistes!$L$7,""))))))</f>
        <v>Ivan Bustamante</v>
      </c>
      <c r="Y156" s="165"/>
      <c r="Z156" s="165" t="s">
        <v>994</v>
      </c>
      <c r="AA156" s="165"/>
      <c r="AB156" s="165"/>
      <c r="AC156" s="147"/>
    </row>
    <row r="157" spans="1:29" ht="58">
      <c r="A157" s="25" t="s">
        <v>595</v>
      </c>
      <c r="B157" s="273"/>
      <c r="C157" s="274"/>
      <c r="D157" s="290"/>
      <c r="E157" s="394"/>
      <c r="F157" s="188" t="s">
        <v>628</v>
      </c>
      <c r="G157" s="187" t="s">
        <v>629</v>
      </c>
      <c r="H157" s="188" t="s">
        <v>271</v>
      </c>
      <c r="I157" s="188" t="s">
        <v>285</v>
      </c>
      <c r="J157" s="56" t="str">
        <f>G157</f>
        <v xml:space="preserve">Identificar i classificar la xarxa viària bàsica, secundària, senders i itineraris senyalitzats d'acord amb els ajuntaments </v>
      </c>
      <c r="K157" s="56"/>
      <c r="L157" s="31"/>
      <c r="M157" s="57" t="s">
        <v>305</v>
      </c>
      <c r="N157" s="31" t="s">
        <v>630</v>
      </c>
      <c r="O157" s="58"/>
      <c r="P157" s="54"/>
      <c r="Q157" s="54" t="s">
        <v>1193</v>
      </c>
      <c r="R157" s="31" t="s">
        <v>1196</v>
      </c>
      <c r="S157" s="163"/>
      <c r="T157" s="163" t="s">
        <v>1043</v>
      </c>
      <c r="U157" s="163">
        <v>0.15</v>
      </c>
      <c r="V157" s="163">
        <f>PLA!U157*Llistes!$L$11*Llistes!$L$12</f>
        <v>20</v>
      </c>
      <c r="W157" s="60" t="s">
        <v>412</v>
      </c>
      <c r="X157" s="60" t="str">
        <f>IF(W157=Llistes!$K$2,Llistes!$L$2,IF(W157=Llistes!$K$3,Llistes!$L$3,IF(W157=Llistes!$K$4,Llistes!$L$4,IF(W157=Llistes!$K$5,Llistes!$L$5,IF(W157=Llistes!$K$6,Llistes!$L$6,IF(W157=Llistes!$K$7,Llistes!$L$7,""))))))</f>
        <v>Ivan Bustamante</v>
      </c>
      <c r="Y157" s="165"/>
      <c r="Z157" s="165"/>
      <c r="AA157" s="165" t="s">
        <v>994</v>
      </c>
      <c r="AB157" s="165"/>
      <c r="AC157" s="147"/>
    </row>
    <row r="158" spans="1:29" ht="43.5">
      <c r="A158" s="25" t="s">
        <v>595</v>
      </c>
      <c r="B158" s="273"/>
      <c r="C158" s="274"/>
      <c r="D158" s="250"/>
      <c r="E158" s="395"/>
      <c r="F158" s="188" t="s">
        <v>632</v>
      </c>
      <c r="G158" s="187" t="s">
        <v>633</v>
      </c>
      <c r="H158" s="188" t="s">
        <v>271</v>
      </c>
      <c r="I158" s="188" t="s">
        <v>285</v>
      </c>
      <c r="J158" s="56" t="str">
        <f>G158</f>
        <v>Treballar conjuntament amb els principals canals d’informació de rutes  per prioritzar itineraris oficials dins l’ENP</v>
      </c>
      <c r="K158" s="56"/>
      <c r="L158" s="31"/>
      <c r="M158" s="57" t="s">
        <v>286</v>
      </c>
      <c r="N158" s="31" t="s">
        <v>634</v>
      </c>
      <c r="O158" s="58"/>
      <c r="P158" s="54" t="s">
        <v>635</v>
      </c>
      <c r="Q158" s="54" t="s">
        <v>1197</v>
      </c>
      <c r="R158" s="31" t="s">
        <v>1198</v>
      </c>
      <c r="S158" s="163"/>
      <c r="T158" s="163" t="s">
        <v>1043</v>
      </c>
      <c r="U158" s="163">
        <v>0.15</v>
      </c>
      <c r="V158" s="163">
        <f>PLA!U158*Llistes!$L$11*Llistes!$L$12</f>
        <v>20</v>
      </c>
      <c r="W158" s="60" t="s">
        <v>412</v>
      </c>
      <c r="X158" s="60" t="str">
        <f>IF(W158=Llistes!$K$2,Llistes!$L$2,IF(W158=Llistes!$K$3,Llistes!$L$3,IF(W158=Llistes!$K$4,Llistes!$L$4,IF(W158=Llistes!$K$5,Llistes!$L$5,IF(W158=Llistes!$K$6,Llistes!$L$6,IF(W158=Llistes!$K$7,Llistes!$L$7,""))))))</f>
        <v>Ivan Bustamante</v>
      </c>
      <c r="Y158" s="165" t="s">
        <v>994</v>
      </c>
      <c r="Z158" s="165"/>
      <c r="AA158" s="165"/>
      <c r="AB158" s="165"/>
      <c r="AC158" s="147"/>
    </row>
    <row r="159" spans="1:29" ht="43.5">
      <c r="A159" s="25" t="s">
        <v>595</v>
      </c>
      <c r="B159" s="273"/>
      <c r="C159" s="274"/>
      <c r="D159" s="289" t="s">
        <v>636</v>
      </c>
      <c r="E159" s="291" t="s">
        <v>637</v>
      </c>
      <c r="F159" s="186" t="s">
        <v>638</v>
      </c>
      <c r="G159" s="187" t="s">
        <v>1484</v>
      </c>
      <c r="H159" s="188" t="s">
        <v>271</v>
      </c>
      <c r="I159" s="188" t="s">
        <v>279</v>
      </c>
      <c r="J159" s="56" t="s">
        <v>639</v>
      </c>
      <c r="K159" s="56" t="s">
        <v>640</v>
      </c>
      <c r="L159" s="56"/>
      <c r="M159" s="57" t="s">
        <v>273</v>
      </c>
      <c r="N159" s="56" t="s">
        <v>641</v>
      </c>
      <c r="O159" s="58"/>
      <c r="P159" s="59" t="s">
        <v>596</v>
      </c>
      <c r="Q159" s="59" t="s">
        <v>1199</v>
      </c>
      <c r="R159" s="31" t="s">
        <v>1356</v>
      </c>
      <c r="S159" s="163">
        <v>1</v>
      </c>
      <c r="T159" s="163">
        <v>2</v>
      </c>
      <c r="U159" s="163">
        <v>0.06</v>
      </c>
      <c r="V159" s="163">
        <f>PLA!U159*Llistes!$L$11*Llistes!$L$12</f>
        <v>8</v>
      </c>
      <c r="W159" s="60" t="s">
        <v>291</v>
      </c>
      <c r="X159" s="60" t="str">
        <f>IF(W159=Llistes!$K$2,Llistes!$L$2,IF(W159=Llistes!$K$3,Llistes!$L$3,IF(W159=Llistes!$K$4,Llistes!$L$4,IF(W159=Llistes!$K$5,Llistes!$L$5,IF(W159=Llistes!$K$6,Llistes!$L$6,IF(W159=Llistes!$K$7,Llistes!$L$7,""))))))</f>
        <v>Gerard Carrion</v>
      </c>
      <c r="Y159" s="165" t="s">
        <v>994</v>
      </c>
      <c r="Z159" s="165" t="s">
        <v>994</v>
      </c>
      <c r="AA159" s="165" t="s">
        <v>994</v>
      </c>
      <c r="AB159" s="165" t="s">
        <v>994</v>
      </c>
      <c r="AC159" s="147"/>
    </row>
    <row r="160" spans="1:29" ht="43.5">
      <c r="A160" s="25" t="s">
        <v>595</v>
      </c>
      <c r="B160" s="273"/>
      <c r="C160" s="274"/>
      <c r="D160" s="290"/>
      <c r="E160" s="292"/>
      <c r="F160" s="186" t="s">
        <v>638</v>
      </c>
      <c r="G160" s="187" t="s">
        <v>1484</v>
      </c>
      <c r="H160" s="188" t="s">
        <v>271</v>
      </c>
      <c r="I160" s="188" t="s">
        <v>279</v>
      </c>
      <c r="J160" s="56" t="s">
        <v>639</v>
      </c>
      <c r="K160" s="56" t="s">
        <v>640</v>
      </c>
      <c r="L160" s="56"/>
      <c r="M160" s="57" t="s">
        <v>273</v>
      </c>
      <c r="N160" s="56" t="s">
        <v>641</v>
      </c>
      <c r="O160" s="58"/>
      <c r="P160" s="59" t="s">
        <v>596</v>
      </c>
      <c r="Q160" s="59" t="s">
        <v>1200</v>
      </c>
      <c r="R160" s="31" t="s">
        <v>1204</v>
      </c>
      <c r="S160" s="163">
        <v>1</v>
      </c>
      <c r="T160" s="163">
        <v>3</v>
      </c>
      <c r="U160" s="163">
        <v>0.09</v>
      </c>
      <c r="V160" s="163">
        <f>PLA!U160*Llistes!$L$11*Llistes!$L$12</f>
        <v>12</v>
      </c>
      <c r="W160" s="60" t="s">
        <v>291</v>
      </c>
      <c r="X160" s="60" t="str">
        <f>IF(W160=Llistes!$K$2,Llistes!$L$2,IF(W160=Llistes!$K$3,Llistes!$L$3,IF(W160=Llistes!$K$4,Llistes!$L$4,IF(W160=Llistes!$K$5,Llistes!$L$5,IF(W160=Llistes!$K$6,Llistes!$L$6,IF(W160=Llistes!$K$7,Llistes!$L$7,""))))))</f>
        <v>Gerard Carrion</v>
      </c>
      <c r="Y160" s="165" t="s">
        <v>994</v>
      </c>
      <c r="Z160" s="165" t="s">
        <v>994</v>
      </c>
      <c r="AA160" s="165" t="s">
        <v>994</v>
      </c>
      <c r="AB160" s="165" t="s">
        <v>994</v>
      </c>
      <c r="AC160" s="147"/>
    </row>
    <row r="161" spans="1:29" ht="43.5">
      <c r="A161" s="25" t="s">
        <v>595</v>
      </c>
      <c r="B161" s="273"/>
      <c r="C161" s="274"/>
      <c r="D161" s="290"/>
      <c r="E161" s="292"/>
      <c r="F161" s="186" t="s">
        <v>642</v>
      </c>
      <c r="G161" s="187" t="s">
        <v>1485</v>
      </c>
      <c r="H161" s="188" t="s">
        <v>271</v>
      </c>
      <c r="I161" s="188" t="s">
        <v>285</v>
      </c>
      <c r="J161" s="56" t="s">
        <v>643</v>
      </c>
      <c r="K161" s="56" t="s">
        <v>644</v>
      </c>
      <c r="L161" s="56"/>
      <c r="M161" s="57" t="s">
        <v>286</v>
      </c>
      <c r="N161" s="56" t="s">
        <v>645</v>
      </c>
      <c r="O161" s="58"/>
      <c r="P161" s="59" t="s">
        <v>596</v>
      </c>
      <c r="Q161" s="59" t="s">
        <v>1201</v>
      </c>
      <c r="R161" s="31" t="s">
        <v>1205</v>
      </c>
      <c r="S161" s="163"/>
      <c r="T161" s="163" t="s">
        <v>1043</v>
      </c>
      <c r="U161" s="163">
        <v>0.09</v>
      </c>
      <c r="V161" s="163">
        <f>PLA!U161*Llistes!$L$11*Llistes!$L$12</f>
        <v>12</v>
      </c>
      <c r="W161" s="60" t="s">
        <v>349</v>
      </c>
      <c r="X161" s="60" t="str">
        <f>IF(W161=Llistes!$K$2,Llistes!$L$2,IF(W161=Llistes!$K$3,Llistes!$L$3,IF(W161=Llistes!$K$4,Llistes!$L$4,IF(W161=Llistes!$K$5,Llistes!$L$5,IF(W161=Llistes!$K$6,Llistes!$L$6,IF(W161=Llistes!$K$7,Llistes!$L$7,""))))))</f>
        <v>Sergi Roura</v>
      </c>
      <c r="Y161" s="165" t="s">
        <v>994</v>
      </c>
      <c r="Z161" s="165" t="s">
        <v>994</v>
      </c>
      <c r="AA161" s="165" t="s">
        <v>994</v>
      </c>
      <c r="AB161" s="165" t="s">
        <v>994</v>
      </c>
      <c r="AC161" s="147"/>
    </row>
    <row r="162" spans="1:29" ht="43.5">
      <c r="A162" s="25" t="s">
        <v>595</v>
      </c>
      <c r="B162" s="273"/>
      <c r="C162" s="274"/>
      <c r="D162" s="290"/>
      <c r="E162" s="292"/>
      <c r="F162" s="186" t="s">
        <v>646</v>
      </c>
      <c r="G162" s="187" t="s">
        <v>1486</v>
      </c>
      <c r="H162" s="188" t="s">
        <v>303</v>
      </c>
      <c r="I162" s="188" t="s">
        <v>285</v>
      </c>
      <c r="J162" s="56" t="str">
        <f>G162</f>
        <v>Ordenar l'ús de drons, l'enlairament i l'aterratge</v>
      </c>
      <c r="K162" s="56" t="s">
        <v>611</v>
      </c>
      <c r="L162" s="56"/>
      <c r="M162" s="57" t="s">
        <v>305</v>
      </c>
      <c r="N162" s="56" t="s">
        <v>647</v>
      </c>
      <c r="O162" s="58"/>
      <c r="P162" s="59" t="s">
        <v>596</v>
      </c>
      <c r="Q162" s="59" t="s">
        <v>1202</v>
      </c>
      <c r="R162" s="31" t="s">
        <v>1206</v>
      </c>
      <c r="S162" s="163">
        <v>12</v>
      </c>
      <c r="T162" s="163">
        <v>20</v>
      </c>
      <c r="U162" s="163">
        <v>0.18</v>
      </c>
      <c r="V162" s="163">
        <f>PLA!U162*Llistes!$L$11*Llistes!$L$12</f>
        <v>24</v>
      </c>
      <c r="W162" s="60" t="s">
        <v>291</v>
      </c>
      <c r="X162" s="60" t="str">
        <f>IF(W162=Llistes!$K$2,Llistes!$L$2,IF(W162=Llistes!$K$3,Llistes!$L$3,IF(W162=Llistes!$K$4,Llistes!$L$4,IF(W162=Llistes!$K$5,Llistes!$L$5,IF(W162=Llistes!$K$6,Llistes!$L$6,IF(W162=Llistes!$K$7,Llistes!$L$7,""))))))</f>
        <v>Gerard Carrion</v>
      </c>
      <c r="Y162" s="165" t="s">
        <v>994</v>
      </c>
      <c r="Z162" s="165" t="s">
        <v>994</v>
      </c>
      <c r="AA162" s="165" t="s">
        <v>994</v>
      </c>
      <c r="AB162" s="165" t="s">
        <v>994</v>
      </c>
      <c r="AC162" s="147"/>
    </row>
    <row r="163" spans="1:29" ht="43.5">
      <c r="A163" s="25" t="s">
        <v>595</v>
      </c>
      <c r="B163" s="273"/>
      <c r="C163" s="274"/>
      <c r="D163" s="290"/>
      <c r="E163" s="292"/>
      <c r="F163" s="186" t="s">
        <v>648</v>
      </c>
      <c r="G163" s="187" t="s">
        <v>649</v>
      </c>
      <c r="H163" s="188" t="s">
        <v>271</v>
      </c>
      <c r="I163" s="188" t="s">
        <v>285</v>
      </c>
      <c r="J163" s="56" t="str">
        <f>G163</f>
        <v>Aplicar limitacions temporals d'accés o circulació</v>
      </c>
      <c r="K163" s="56" t="s">
        <v>611</v>
      </c>
      <c r="L163" s="56"/>
      <c r="M163" s="57" t="s">
        <v>286</v>
      </c>
      <c r="N163" s="56" t="s">
        <v>650</v>
      </c>
      <c r="O163" s="58"/>
      <c r="P163" s="59" t="s">
        <v>596</v>
      </c>
      <c r="Q163" s="59" t="s">
        <v>1203</v>
      </c>
      <c r="R163" s="31" t="s">
        <v>1357</v>
      </c>
      <c r="S163" s="163">
        <v>10</v>
      </c>
      <c r="T163" s="163">
        <v>0</v>
      </c>
      <c r="U163" s="163">
        <v>1.05</v>
      </c>
      <c r="V163" s="163">
        <f>PLA!U163*Llistes!$L$11*Llistes!$L$12</f>
        <v>140.00000000000003</v>
      </c>
      <c r="W163" s="60" t="s">
        <v>277</v>
      </c>
      <c r="X163" s="60" t="str">
        <f>IF(W163=Llistes!$K$2,Llistes!$L$2,IF(W163=Llistes!$K$3,Llistes!$L$3,IF(W163=Llistes!$K$4,Llistes!$L$4,IF(W163=Llistes!$K$5,Llistes!$L$5,IF(W163=Llistes!$K$6,Llistes!$L$6,IF(W163=Llistes!$K$7,Llistes!$L$7,""))))))</f>
        <v>Pau Federico</v>
      </c>
      <c r="Y163" s="165" t="s">
        <v>994</v>
      </c>
      <c r="Z163" s="165" t="s">
        <v>994</v>
      </c>
      <c r="AA163" s="165" t="s">
        <v>994</v>
      </c>
      <c r="AB163" s="165" t="s">
        <v>994</v>
      </c>
      <c r="AC163" s="147"/>
    </row>
    <row r="164" spans="1:29" ht="43.5">
      <c r="A164" s="25" t="s">
        <v>595</v>
      </c>
      <c r="B164" s="273"/>
      <c r="C164" s="274"/>
      <c r="D164" s="250"/>
      <c r="E164" s="293"/>
      <c r="F164" s="186" t="s">
        <v>651</v>
      </c>
      <c r="G164" s="187" t="s">
        <v>1487</v>
      </c>
      <c r="H164" s="188" t="s">
        <v>271</v>
      </c>
      <c r="I164" s="188" t="s">
        <v>285</v>
      </c>
      <c r="J164" s="56" t="s">
        <v>652</v>
      </c>
      <c r="K164" s="56" t="s">
        <v>644</v>
      </c>
      <c r="L164" s="56"/>
      <c r="M164" s="57" t="s">
        <v>305</v>
      </c>
      <c r="N164" s="56" t="s">
        <v>653</v>
      </c>
      <c r="O164" s="58"/>
      <c r="P164" s="59" t="s">
        <v>596</v>
      </c>
      <c r="Q164" s="59" t="s">
        <v>1207</v>
      </c>
      <c r="R164" s="31" t="s">
        <v>1358</v>
      </c>
      <c r="S164" s="163">
        <v>1</v>
      </c>
      <c r="T164" s="163">
        <v>2</v>
      </c>
      <c r="U164" s="163">
        <v>0.03</v>
      </c>
      <c r="V164" s="163">
        <f>PLA!U164*Llistes!$L$11*Llistes!$L$12</f>
        <v>4</v>
      </c>
      <c r="W164" s="60" t="s">
        <v>291</v>
      </c>
      <c r="X164" s="60" t="str">
        <f>IF(W164=Llistes!$K$2,Llistes!$L$2,IF(W164=Llistes!$K$3,Llistes!$L$3,IF(W164=Llistes!$K$4,Llistes!$L$4,IF(W164=Llistes!$K$5,Llistes!$L$5,IF(W164=Llistes!$K$6,Llistes!$L$6,IF(W164=Llistes!$K$7,Llistes!$L$7,""))))))</f>
        <v>Gerard Carrion</v>
      </c>
      <c r="Y164" s="165" t="s">
        <v>994</v>
      </c>
      <c r="Z164" s="165" t="s">
        <v>994</v>
      </c>
      <c r="AA164" s="165" t="s">
        <v>994</v>
      </c>
      <c r="AB164" s="165" t="s">
        <v>994</v>
      </c>
      <c r="AC164" s="147"/>
    </row>
    <row r="165" spans="1:29" ht="29">
      <c r="A165" s="25" t="s">
        <v>595</v>
      </c>
      <c r="B165" s="273"/>
      <c r="C165" s="274"/>
      <c r="D165" s="289" t="s">
        <v>1562</v>
      </c>
      <c r="E165" s="374" t="s">
        <v>1563</v>
      </c>
      <c r="F165" s="186" t="s">
        <v>1558</v>
      </c>
      <c r="G165" s="187" t="s">
        <v>1559</v>
      </c>
      <c r="H165" s="188" t="s">
        <v>271</v>
      </c>
      <c r="I165" s="188" t="s">
        <v>285</v>
      </c>
      <c r="J165" s="56"/>
      <c r="K165" s="56"/>
      <c r="L165" s="56"/>
      <c r="M165" s="57"/>
      <c r="N165" s="56"/>
      <c r="O165" s="58"/>
      <c r="P165" s="59"/>
      <c r="Q165" s="59"/>
      <c r="R165" s="31"/>
      <c r="S165" s="163"/>
      <c r="T165" s="163"/>
      <c r="U165" s="163"/>
      <c r="V165" s="163"/>
      <c r="W165" s="60"/>
      <c r="X165" s="60"/>
      <c r="Y165" s="165"/>
      <c r="Z165" s="165"/>
      <c r="AA165" s="165"/>
      <c r="AB165" s="165"/>
      <c r="AC165" s="147"/>
    </row>
    <row r="166" spans="1:29" ht="29">
      <c r="A166" s="25" t="s">
        <v>595</v>
      </c>
      <c r="B166" s="273"/>
      <c r="C166" s="274"/>
      <c r="D166" s="250"/>
      <c r="E166" s="376"/>
      <c r="F166" s="186" t="s">
        <v>1560</v>
      </c>
      <c r="G166" s="187" t="s">
        <v>1561</v>
      </c>
      <c r="H166" s="188" t="s">
        <v>271</v>
      </c>
      <c r="I166" s="188" t="s">
        <v>285</v>
      </c>
      <c r="J166" s="56"/>
      <c r="K166" s="56"/>
      <c r="L166" s="56"/>
      <c r="M166" s="57"/>
      <c r="N166" s="56"/>
      <c r="O166" s="58"/>
      <c r="P166" s="59"/>
      <c r="Q166" s="59"/>
      <c r="R166" s="31"/>
      <c r="S166" s="163"/>
      <c r="T166" s="163"/>
      <c r="U166" s="163"/>
      <c r="V166" s="163"/>
      <c r="W166" s="60"/>
      <c r="X166" s="60"/>
      <c r="Y166" s="165"/>
      <c r="Z166" s="165"/>
      <c r="AA166" s="165"/>
      <c r="AB166" s="165"/>
      <c r="AC166" s="147"/>
    </row>
    <row r="167" spans="1:29" ht="29">
      <c r="A167" s="25" t="s">
        <v>595</v>
      </c>
      <c r="B167" s="273"/>
      <c r="C167" s="274"/>
      <c r="D167" s="289" t="s">
        <v>654</v>
      </c>
      <c r="E167" s="374" t="s">
        <v>655</v>
      </c>
      <c r="F167" s="186" t="s">
        <v>656</v>
      </c>
      <c r="G167" s="187" t="s">
        <v>657</v>
      </c>
      <c r="H167" s="188" t="s">
        <v>271</v>
      </c>
      <c r="I167" s="188" t="s">
        <v>285</v>
      </c>
      <c r="J167" s="56" t="str">
        <f>G167</f>
        <v>Realitzar l'inventari de senyalètica de l'ENP</v>
      </c>
      <c r="K167" s="56"/>
      <c r="L167" s="60"/>
      <c r="M167" s="57" t="s">
        <v>286</v>
      </c>
      <c r="N167" s="31"/>
      <c r="O167" s="58"/>
      <c r="P167" s="59"/>
      <c r="Q167" s="59" t="s">
        <v>1208</v>
      </c>
      <c r="R167" s="31" t="s">
        <v>1210</v>
      </c>
      <c r="S167" s="163"/>
      <c r="T167" s="163" t="s">
        <v>1043</v>
      </c>
      <c r="U167" s="163">
        <v>0.09</v>
      </c>
      <c r="V167" s="163">
        <f>PLA!U167*Llistes!$L$11*Llistes!$L$12</f>
        <v>12</v>
      </c>
      <c r="W167" s="60" t="s">
        <v>412</v>
      </c>
      <c r="X167" s="60" t="str">
        <f>IF(W167=Llistes!$K$2,Llistes!$L$2,IF(W167=Llistes!$K$3,Llistes!$L$3,IF(W167=Llistes!$K$4,Llistes!$L$4,IF(W167=Llistes!$K$5,Llistes!$L$5,IF(W167=Llistes!$K$6,Llistes!$L$6,IF(W167=Llistes!$K$7,Llistes!$L$7,""))))))</f>
        <v>Ivan Bustamante</v>
      </c>
      <c r="Y167" s="165"/>
      <c r="Z167" s="165" t="s">
        <v>994</v>
      </c>
      <c r="AA167" s="165"/>
      <c r="AB167" s="165"/>
      <c r="AC167" s="147"/>
    </row>
    <row r="168" spans="1:29" ht="29">
      <c r="A168" s="25" t="s">
        <v>595</v>
      </c>
      <c r="B168" s="273"/>
      <c r="C168" s="274"/>
      <c r="D168" s="290"/>
      <c r="E168" s="375"/>
      <c r="F168" s="186" t="s">
        <v>656</v>
      </c>
      <c r="G168" s="187" t="s">
        <v>657</v>
      </c>
      <c r="H168" s="188" t="s">
        <v>271</v>
      </c>
      <c r="I168" s="188" t="s">
        <v>285</v>
      </c>
      <c r="J168" s="56" t="str">
        <f>G168</f>
        <v>Realitzar l'inventari de senyalètica de l'ENP</v>
      </c>
      <c r="K168" s="56"/>
      <c r="L168" s="60"/>
      <c r="M168" s="57" t="s">
        <v>286</v>
      </c>
      <c r="N168" s="31"/>
      <c r="O168" s="58"/>
      <c r="P168" s="59"/>
      <c r="Q168" s="59" t="s">
        <v>1209</v>
      </c>
      <c r="R168" s="31" t="s">
        <v>1211</v>
      </c>
      <c r="S168" s="163"/>
      <c r="T168" s="163" t="s">
        <v>1043</v>
      </c>
      <c r="U168" s="163">
        <v>0.09</v>
      </c>
      <c r="V168" s="163">
        <f>PLA!U168*Llistes!$L$11*Llistes!$L$12</f>
        <v>12</v>
      </c>
      <c r="W168" s="60" t="s">
        <v>412</v>
      </c>
      <c r="X168" s="60" t="str">
        <f>IF(W168=Llistes!$K$2,Llistes!$L$2,IF(W168=Llistes!$K$3,Llistes!$L$3,IF(W168=Llistes!$K$4,Llistes!$L$4,IF(W168=Llistes!$K$5,Llistes!$L$5,IF(W168=Llistes!$K$6,Llistes!$L$6,IF(W168=Llistes!$K$7,Llistes!$L$7,""))))))</f>
        <v>Ivan Bustamante</v>
      </c>
      <c r="Y168" s="165"/>
      <c r="Z168" s="165"/>
      <c r="AA168" s="165" t="s">
        <v>994</v>
      </c>
      <c r="AB168" s="165"/>
      <c r="AC168" s="147"/>
    </row>
    <row r="169" spans="1:29" ht="43.5">
      <c r="A169" s="25" t="s">
        <v>595</v>
      </c>
      <c r="B169" s="273"/>
      <c r="C169" s="274"/>
      <c r="D169" s="250"/>
      <c r="E169" s="376"/>
      <c r="F169" s="186" t="s">
        <v>658</v>
      </c>
      <c r="G169" s="187" t="s">
        <v>659</v>
      </c>
      <c r="H169" s="188" t="s">
        <v>271</v>
      </c>
      <c r="I169" s="188" t="s">
        <v>285</v>
      </c>
      <c r="J169" s="56" t="str">
        <f>G169</f>
        <v xml:space="preserve">Implantar el programa de senyalització i manteniment </v>
      </c>
      <c r="K169" s="56"/>
      <c r="L169" s="31"/>
      <c r="M169" s="57" t="s">
        <v>305</v>
      </c>
      <c r="N169" s="31" t="s">
        <v>660</v>
      </c>
      <c r="O169" s="62" t="s">
        <v>299</v>
      </c>
      <c r="P169" s="54" t="s">
        <v>661</v>
      </c>
      <c r="Q169" s="54" t="s">
        <v>662</v>
      </c>
      <c r="R169" s="31" t="s">
        <v>1307</v>
      </c>
      <c r="S169" s="163"/>
      <c r="T169" s="163" t="s">
        <v>1043</v>
      </c>
      <c r="U169" s="163">
        <v>0.45</v>
      </c>
      <c r="V169" s="163">
        <f>PLA!U169*Llistes!$L$11*Llistes!$L$12</f>
        <v>60.000000000000007</v>
      </c>
      <c r="W169" s="60" t="s">
        <v>349</v>
      </c>
      <c r="X169" s="60" t="str">
        <f>IF(W169=Llistes!$K$2,Llistes!$L$2,IF(W169=Llistes!$K$3,Llistes!$L$3,IF(W169=Llistes!$K$4,Llistes!$L$4,IF(W169=Llistes!$K$5,Llistes!$L$5,IF(W169=Llistes!$K$6,Llistes!$L$6,IF(W169=Llistes!$K$7,Llistes!$L$7,""))))))</f>
        <v>Sergi Roura</v>
      </c>
      <c r="Y169" s="165"/>
      <c r="Z169" s="165"/>
      <c r="AA169" s="165"/>
      <c r="AB169" s="165" t="s">
        <v>994</v>
      </c>
      <c r="AC169" s="147"/>
    </row>
    <row r="170" spans="1:29" ht="58">
      <c r="A170" s="25" t="s">
        <v>595</v>
      </c>
      <c r="B170" s="273"/>
      <c r="C170" s="274"/>
      <c r="D170" s="289" t="s">
        <v>663</v>
      </c>
      <c r="E170" s="374" t="s">
        <v>1647</v>
      </c>
      <c r="F170" s="186" t="s">
        <v>665</v>
      </c>
      <c r="G170" s="187" t="s">
        <v>666</v>
      </c>
      <c r="H170" s="188" t="s">
        <v>271</v>
      </c>
      <c r="I170" s="188" t="s">
        <v>285</v>
      </c>
      <c r="J170" s="56" t="s">
        <v>667</v>
      </c>
      <c r="K170" s="56" t="s">
        <v>668</v>
      </c>
      <c r="L170" s="31"/>
      <c r="M170" s="57" t="s">
        <v>273</v>
      </c>
      <c r="N170" s="31" t="s">
        <v>669</v>
      </c>
      <c r="O170" s="58"/>
      <c r="P170" s="59"/>
      <c r="Q170" s="59" t="s">
        <v>1213</v>
      </c>
      <c r="R170" s="31" t="s">
        <v>1308</v>
      </c>
      <c r="S170" s="163"/>
      <c r="T170" s="163" t="s">
        <v>1043</v>
      </c>
      <c r="U170" s="163">
        <v>0.09</v>
      </c>
      <c r="V170" s="163">
        <f>PLA!U170*Llistes!$L$11*Llistes!$L$12</f>
        <v>12</v>
      </c>
      <c r="W170" s="60" t="s">
        <v>412</v>
      </c>
      <c r="X170" s="60" t="str">
        <f>IF(W170=Llistes!$K$2,Llistes!$L$2,IF(W170=Llistes!$K$3,Llistes!$L$3,IF(W170=Llistes!$K$4,Llistes!$L$4,IF(W170=Llistes!$K$5,Llistes!$L$5,IF(W170=Llistes!$K$6,Llistes!$L$6,IF(W170=Llistes!$K$7,Llistes!$L$7,""))))))</f>
        <v>Ivan Bustamante</v>
      </c>
      <c r="Y170" s="165"/>
      <c r="Z170" s="165" t="s">
        <v>994</v>
      </c>
      <c r="AA170" s="165"/>
      <c r="AB170" s="165"/>
      <c r="AC170" s="147"/>
    </row>
    <row r="171" spans="1:29" ht="58">
      <c r="A171" s="25" t="s">
        <v>595</v>
      </c>
      <c r="B171" s="273"/>
      <c r="C171" s="274"/>
      <c r="D171" s="290"/>
      <c r="E171" s="375"/>
      <c r="F171" s="186" t="s">
        <v>665</v>
      </c>
      <c r="G171" s="187" t="s">
        <v>666</v>
      </c>
      <c r="H171" s="188" t="s">
        <v>271</v>
      </c>
      <c r="I171" s="188" t="s">
        <v>285</v>
      </c>
      <c r="J171" s="56" t="s">
        <v>667</v>
      </c>
      <c r="K171" s="56" t="s">
        <v>668</v>
      </c>
      <c r="L171" s="31"/>
      <c r="M171" s="57" t="s">
        <v>273</v>
      </c>
      <c r="N171" s="31" t="s">
        <v>669</v>
      </c>
      <c r="O171" s="58"/>
      <c r="P171" s="59"/>
      <c r="Q171" s="59" t="s">
        <v>1212</v>
      </c>
      <c r="R171" s="31" t="s">
        <v>1359</v>
      </c>
      <c r="S171" s="163"/>
      <c r="T171" s="163" t="s">
        <v>1043</v>
      </c>
      <c r="U171" s="163">
        <v>0.09</v>
      </c>
      <c r="V171" s="163">
        <f>PLA!U171*Llistes!$L$11*Llistes!$L$12</f>
        <v>12</v>
      </c>
      <c r="W171" s="60" t="s">
        <v>412</v>
      </c>
      <c r="X171" s="60" t="str">
        <f>IF(W171=Llistes!$K$2,Llistes!$L$2,IF(W171=Llistes!$K$3,Llistes!$L$3,IF(W171=Llistes!$K$4,Llistes!$L$4,IF(W171=Llistes!$K$5,Llistes!$L$5,IF(W171=Llistes!$K$6,Llistes!$L$6,IF(W171=Llistes!$K$7,Llistes!$L$7,""))))))</f>
        <v>Ivan Bustamante</v>
      </c>
      <c r="Y171" s="165"/>
      <c r="Z171" s="165" t="s">
        <v>994</v>
      </c>
      <c r="AA171" s="165"/>
      <c r="AB171" s="165"/>
      <c r="AC171" s="147"/>
    </row>
    <row r="172" spans="1:29" ht="101.5">
      <c r="A172" s="25" t="s">
        <v>595</v>
      </c>
      <c r="B172" s="273"/>
      <c r="C172" s="274"/>
      <c r="D172" s="290"/>
      <c r="E172" s="375"/>
      <c r="F172" s="186" t="s">
        <v>670</v>
      </c>
      <c r="G172" s="189" t="s">
        <v>1488</v>
      </c>
      <c r="H172" s="188" t="s">
        <v>271</v>
      </c>
      <c r="I172" s="188" t="s">
        <v>285</v>
      </c>
      <c r="J172" s="56" t="str">
        <f t="shared" ref="J172:J178" si="18">G172</f>
        <v>Disposar i mantenir els serveis, equipaments i infraestructures necessàries i accessibles per acollir, informar, facilitar la visita i garantir la seguretat dels visitants i la protecció de l'entorn</v>
      </c>
      <c r="K172" s="56"/>
      <c r="L172" s="31"/>
      <c r="M172" s="57" t="s">
        <v>286</v>
      </c>
      <c r="N172" s="31" t="s">
        <v>672</v>
      </c>
      <c r="O172" s="58"/>
      <c r="P172" s="59"/>
      <c r="Q172" s="59" t="s">
        <v>1277</v>
      </c>
      <c r="R172" s="31" t="s">
        <v>1282</v>
      </c>
      <c r="S172" s="163"/>
      <c r="T172" s="163" t="s">
        <v>1043</v>
      </c>
      <c r="U172" s="163">
        <v>0.03</v>
      </c>
      <c r="V172" s="163">
        <f>PLA!U172*Llistes!$L$11*Llistes!$L$12</f>
        <v>4</v>
      </c>
      <c r="W172" s="60" t="s">
        <v>412</v>
      </c>
      <c r="X172" s="60" t="str">
        <f>IF(W172=Llistes!$K$2,Llistes!$L$2,IF(W172=Llistes!$K$3,Llistes!$L$3,IF(W172=Llistes!$K$4,Llistes!$L$4,IF(W172=Llistes!$K$5,Llistes!$L$5,IF(W172=Llistes!$K$6,Llistes!$L$6,IF(W172=Llistes!$K$7,Llistes!$L$7,""))))))</f>
        <v>Ivan Bustamante</v>
      </c>
      <c r="Y172" s="165" t="s">
        <v>994</v>
      </c>
      <c r="Z172" s="165" t="s">
        <v>994</v>
      </c>
      <c r="AA172" s="165" t="s">
        <v>994</v>
      </c>
      <c r="AB172" s="165" t="s">
        <v>994</v>
      </c>
      <c r="AC172" s="147"/>
    </row>
    <row r="173" spans="1:29" ht="58">
      <c r="A173" s="25" t="s">
        <v>595</v>
      </c>
      <c r="B173" s="273"/>
      <c r="C173" s="274"/>
      <c r="D173" s="290"/>
      <c r="E173" s="375"/>
      <c r="F173" s="186" t="s">
        <v>670</v>
      </c>
      <c r="G173" s="189" t="s">
        <v>671</v>
      </c>
      <c r="H173" s="188" t="s">
        <v>271</v>
      </c>
      <c r="I173" s="188" t="s">
        <v>285</v>
      </c>
      <c r="J173" s="56" t="str">
        <f t="shared" si="18"/>
        <v>Disposar dels equipaments i infraestructures necessàries i accessibles per acollir, informar, facilitar la visita i garantir la seguretat dels visitants i la protecció de l'entorn</v>
      </c>
      <c r="K173" s="56"/>
      <c r="L173" s="31"/>
      <c r="M173" s="57" t="s">
        <v>286</v>
      </c>
      <c r="N173" s="31"/>
      <c r="O173" s="58"/>
      <c r="P173" s="59"/>
      <c r="Q173" s="59" t="s">
        <v>1283</v>
      </c>
      <c r="R173" s="31" t="s">
        <v>1309</v>
      </c>
      <c r="S173" s="163"/>
      <c r="T173" s="163" t="s">
        <v>1043</v>
      </c>
      <c r="U173" s="163">
        <v>0.9</v>
      </c>
      <c r="V173" s="163">
        <f>PLA!U173*Llistes!$L$11*Llistes!$L$12</f>
        <v>120.00000000000001</v>
      </c>
      <c r="W173" s="60" t="s">
        <v>412</v>
      </c>
      <c r="X173" s="60" t="str">
        <f>IF(W173=Llistes!$K$2,Llistes!$L$2,IF(W173=Llistes!$K$3,Llistes!$L$3,IF(W173=Llistes!$K$4,Llistes!$L$4,IF(W173=Llistes!$K$5,Llistes!$L$5,IF(W173=Llistes!$K$6,Llistes!$L$6,IF(W173=Llistes!$K$7,Llistes!$L$7,""))))))</f>
        <v>Ivan Bustamante</v>
      </c>
      <c r="Y173" s="165" t="s">
        <v>994</v>
      </c>
      <c r="Z173" s="165" t="s">
        <v>994</v>
      </c>
      <c r="AA173" s="165" t="s">
        <v>994</v>
      </c>
      <c r="AB173" s="165" t="s">
        <v>994</v>
      </c>
      <c r="AC173" s="147"/>
    </row>
    <row r="174" spans="1:29" ht="58">
      <c r="A174" s="25" t="s">
        <v>595</v>
      </c>
      <c r="B174" s="273"/>
      <c r="C174" s="274"/>
      <c r="D174" s="290"/>
      <c r="E174" s="375"/>
      <c r="F174" s="186" t="s">
        <v>670</v>
      </c>
      <c r="G174" s="189" t="s">
        <v>671</v>
      </c>
      <c r="H174" s="188" t="s">
        <v>271</v>
      </c>
      <c r="I174" s="188" t="s">
        <v>285</v>
      </c>
      <c r="J174" s="56" t="str">
        <f t="shared" si="18"/>
        <v>Disposar dels equipaments i infraestructures necessàries i accessibles per acollir, informar, facilitar la visita i garantir la seguretat dels visitants i la protecció de l'entorn</v>
      </c>
      <c r="K174" s="56"/>
      <c r="L174" s="31"/>
      <c r="M174" s="57" t="s">
        <v>286</v>
      </c>
      <c r="N174" s="31"/>
      <c r="O174" s="58"/>
      <c r="P174" s="59"/>
      <c r="Q174" s="59" t="s">
        <v>1278</v>
      </c>
      <c r="R174" s="31" t="s">
        <v>1310</v>
      </c>
      <c r="S174" s="163"/>
      <c r="T174" s="163" t="s">
        <v>1043</v>
      </c>
      <c r="U174" s="163">
        <v>0.06</v>
      </c>
      <c r="V174" s="163">
        <f>PLA!U174*Llistes!$L$11*Llistes!$L$12</f>
        <v>8</v>
      </c>
      <c r="W174" s="60" t="s">
        <v>291</v>
      </c>
      <c r="X174" s="60" t="str">
        <f>IF(W174=Llistes!$K$2,Llistes!$L$2,IF(W174=Llistes!$K$3,Llistes!$L$3,IF(W174=Llistes!$K$4,Llistes!$L$4,IF(W174=Llistes!$K$5,Llistes!$L$5,IF(W174=Llistes!$K$6,Llistes!$L$6,IF(W174=Llistes!$K$7,Llistes!$L$7,""))))))</f>
        <v>Gerard Carrion</v>
      </c>
      <c r="Y174" s="165" t="s">
        <v>994</v>
      </c>
      <c r="Z174" s="165" t="s">
        <v>994</v>
      </c>
      <c r="AA174" s="165" t="s">
        <v>994</v>
      </c>
      <c r="AB174" s="165" t="s">
        <v>994</v>
      </c>
      <c r="AC174" s="147"/>
    </row>
    <row r="175" spans="1:29" ht="58">
      <c r="A175" s="25" t="s">
        <v>595</v>
      </c>
      <c r="B175" s="273"/>
      <c r="C175" s="274"/>
      <c r="D175" s="290"/>
      <c r="E175" s="375"/>
      <c r="F175" s="186" t="s">
        <v>670</v>
      </c>
      <c r="G175" s="189" t="s">
        <v>671</v>
      </c>
      <c r="H175" s="188" t="s">
        <v>271</v>
      </c>
      <c r="I175" s="188" t="s">
        <v>285</v>
      </c>
      <c r="J175" s="56" t="str">
        <f t="shared" si="18"/>
        <v>Disposar dels equipaments i infraestructures necessàries i accessibles per acollir, informar, facilitar la visita i garantir la seguretat dels visitants i la protecció de l'entorn</v>
      </c>
      <c r="K175" s="56"/>
      <c r="L175" s="31"/>
      <c r="M175" s="57" t="s">
        <v>286</v>
      </c>
      <c r="N175" s="31"/>
      <c r="O175" s="58"/>
      <c r="P175" s="59"/>
      <c r="Q175" s="59" t="s">
        <v>1279</v>
      </c>
      <c r="R175" s="31" t="s">
        <v>1360</v>
      </c>
      <c r="S175" s="163">
        <v>3</v>
      </c>
      <c r="T175" s="163">
        <v>5</v>
      </c>
      <c r="U175" s="163">
        <v>0.03</v>
      </c>
      <c r="V175" s="163">
        <f>PLA!U175*Llistes!$L$11*Llistes!$L$12</f>
        <v>4</v>
      </c>
      <c r="W175" s="60" t="s">
        <v>291</v>
      </c>
      <c r="X175" s="60" t="str">
        <f>IF(W175=Llistes!$K$2,Llistes!$L$2,IF(W175=Llistes!$K$3,Llistes!$L$3,IF(W175=Llistes!$K$4,Llistes!$L$4,IF(W175=Llistes!$K$5,Llistes!$L$5,IF(W175=Llistes!$K$6,Llistes!$L$6,IF(W175=Llistes!$K$7,Llistes!$L$7,""))))))</f>
        <v>Gerard Carrion</v>
      </c>
      <c r="Y175" s="165" t="s">
        <v>994</v>
      </c>
      <c r="Z175" s="165" t="s">
        <v>994</v>
      </c>
      <c r="AA175" s="165" t="s">
        <v>994</v>
      </c>
      <c r="AB175" s="165" t="s">
        <v>994</v>
      </c>
      <c r="AC175" s="147"/>
    </row>
    <row r="176" spans="1:29" ht="58">
      <c r="A176" s="25" t="s">
        <v>595</v>
      </c>
      <c r="B176" s="273"/>
      <c r="C176" s="274"/>
      <c r="D176" s="290"/>
      <c r="E176" s="375"/>
      <c r="F176" s="186" t="s">
        <v>670</v>
      </c>
      <c r="G176" s="189" t="s">
        <v>671</v>
      </c>
      <c r="H176" s="188" t="s">
        <v>271</v>
      </c>
      <c r="I176" s="188" t="s">
        <v>285</v>
      </c>
      <c r="J176" s="56" t="str">
        <f t="shared" si="18"/>
        <v>Disposar dels equipaments i infraestructures necessàries i accessibles per acollir, informar, facilitar la visita i garantir la seguretat dels visitants i la protecció de l'entorn</v>
      </c>
      <c r="K176" s="56"/>
      <c r="L176" s="31"/>
      <c r="M176" s="57" t="s">
        <v>286</v>
      </c>
      <c r="N176" s="31"/>
      <c r="O176" s="58"/>
      <c r="P176" s="59"/>
      <c r="Q176" s="59" t="s">
        <v>1280</v>
      </c>
      <c r="R176" s="31" t="s">
        <v>1284</v>
      </c>
      <c r="S176" s="163">
        <v>1</v>
      </c>
      <c r="T176" s="163">
        <v>3</v>
      </c>
      <c r="U176" s="163">
        <v>0.12</v>
      </c>
      <c r="V176" s="163">
        <f>PLA!U176*Llistes!$L$11*Llistes!$L$12</f>
        <v>16</v>
      </c>
      <c r="W176" s="60" t="s">
        <v>291</v>
      </c>
      <c r="X176" s="60" t="str">
        <f>IF(W176=Llistes!$K$2,Llistes!$L$2,IF(W176=Llistes!$K$3,Llistes!$L$3,IF(W176=Llistes!$K$4,Llistes!$L$4,IF(W176=Llistes!$K$5,Llistes!$L$5,IF(W176=Llistes!$K$6,Llistes!$L$6,IF(W176=Llistes!$K$7,Llistes!$L$7,""))))))</f>
        <v>Gerard Carrion</v>
      </c>
      <c r="Y176" s="165" t="s">
        <v>994</v>
      </c>
      <c r="Z176" s="165" t="s">
        <v>994</v>
      </c>
      <c r="AA176" s="165" t="s">
        <v>994</v>
      </c>
      <c r="AB176" s="165" t="s">
        <v>994</v>
      </c>
      <c r="AC176" s="147"/>
    </row>
    <row r="177" spans="1:29" ht="58">
      <c r="A177" s="25" t="s">
        <v>595</v>
      </c>
      <c r="B177" s="273"/>
      <c r="C177" s="274"/>
      <c r="D177" s="290"/>
      <c r="E177" s="375"/>
      <c r="F177" s="186" t="s">
        <v>670</v>
      </c>
      <c r="G177" s="189" t="s">
        <v>671</v>
      </c>
      <c r="H177" s="188" t="s">
        <v>271</v>
      </c>
      <c r="I177" s="188" t="s">
        <v>285</v>
      </c>
      <c r="J177" s="56" t="str">
        <f t="shared" si="18"/>
        <v>Disposar dels equipaments i infraestructures necessàries i accessibles per acollir, informar, facilitar la visita i garantir la seguretat dels visitants i la protecció de l'entorn</v>
      </c>
      <c r="K177" s="56"/>
      <c r="L177" s="31"/>
      <c r="M177" s="57" t="s">
        <v>286</v>
      </c>
      <c r="N177" s="31"/>
      <c r="O177" s="58"/>
      <c r="P177" s="59"/>
      <c r="Q177" s="59" t="s">
        <v>1281</v>
      </c>
      <c r="R177" s="31" t="s">
        <v>1285</v>
      </c>
      <c r="S177" s="163">
        <v>2</v>
      </c>
      <c r="T177" s="163">
        <v>3</v>
      </c>
      <c r="U177" s="163">
        <v>0.06</v>
      </c>
      <c r="V177" s="163">
        <f>PLA!U177*Llistes!$L$11*Llistes!$L$12</f>
        <v>8</v>
      </c>
      <c r="W177" s="60" t="s">
        <v>412</v>
      </c>
      <c r="X177" s="60" t="str">
        <f>IF(W177=Llistes!$K$2,Llistes!$L$2,IF(W177=Llistes!$K$3,Llistes!$L$3,IF(W177=Llistes!$K$4,Llistes!$L$4,IF(W177=Llistes!$K$5,Llistes!$L$5,IF(W177=Llistes!$K$6,Llistes!$L$6,IF(W177=Llistes!$K$7,Llistes!$L$7,""))))))</f>
        <v>Ivan Bustamante</v>
      </c>
      <c r="Y177" s="165" t="s">
        <v>994</v>
      </c>
      <c r="Z177" s="165" t="s">
        <v>994</v>
      </c>
      <c r="AA177" s="165" t="s">
        <v>994</v>
      </c>
      <c r="AB177" s="165" t="s">
        <v>994</v>
      </c>
      <c r="AC177" s="147"/>
    </row>
    <row r="178" spans="1:29" ht="29">
      <c r="A178" s="25" t="s">
        <v>595</v>
      </c>
      <c r="B178" s="273"/>
      <c r="C178" s="274"/>
      <c r="D178" s="290"/>
      <c r="E178" s="375"/>
      <c r="F178" s="186" t="s">
        <v>673</v>
      </c>
      <c r="G178" s="189" t="s">
        <v>674</v>
      </c>
      <c r="H178" s="188" t="s">
        <v>271</v>
      </c>
      <c r="I178" s="188" t="s">
        <v>285</v>
      </c>
      <c r="J178" s="56" t="str">
        <f t="shared" si="18"/>
        <v>Desenvolupar el Pla d'acollida als visitants en base al model de la DG</v>
      </c>
      <c r="K178" s="56"/>
      <c r="L178" s="64"/>
      <c r="M178" s="57" t="s">
        <v>273</v>
      </c>
      <c r="N178" s="64"/>
      <c r="O178" s="58"/>
      <c r="P178" s="54" t="s">
        <v>675</v>
      </c>
      <c r="Q178" s="54" t="s">
        <v>676</v>
      </c>
      <c r="R178" s="31" t="s">
        <v>1311</v>
      </c>
      <c r="S178" s="163"/>
      <c r="T178" s="163" t="s">
        <v>1043</v>
      </c>
      <c r="U178" s="163">
        <v>0.12</v>
      </c>
      <c r="V178" s="163">
        <f>PLA!U178*Llistes!$L$11*Llistes!$L$12</f>
        <v>16</v>
      </c>
      <c r="W178" s="60" t="s">
        <v>412</v>
      </c>
      <c r="X178" s="60" t="str">
        <f>IF(W178=Llistes!$K$2,Llistes!$L$2,IF(W178=Llistes!$K$3,Llistes!$L$3,IF(W178=Llistes!$K$4,Llistes!$L$4,IF(W178=Llistes!$K$5,Llistes!$L$5,IF(W178=Llistes!$K$6,Llistes!$L$6,IF(W178=Llistes!$K$7,Llistes!$L$7,""))))))</f>
        <v>Ivan Bustamante</v>
      </c>
      <c r="Y178" s="165"/>
      <c r="Z178" s="165"/>
      <c r="AA178" s="165" t="s">
        <v>994</v>
      </c>
      <c r="AB178" s="165" t="s">
        <v>994</v>
      </c>
      <c r="AC178" s="147"/>
    </row>
    <row r="179" spans="1:29" ht="43.5">
      <c r="A179" s="25" t="s">
        <v>595</v>
      </c>
      <c r="B179" s="273"/>
      <c r="C179" s="274"/>
      <c r="D179" s="250"/>
      <c r="E179" s="376"/>
      <c r="F179" s="186" t="s">
        <v>677</v>
      </c>
      <c r="G179" s="189" t="s">
        <v>678</v>
      </c>
      <c r="H179" s="188" t="s">
        <v>271</v>
      </c>
      <c r="I179" s="188" t="s">
        <v>285</v>
      </c>
      <c r="J179" s="56" t="s">
        <v>679</v>
      </c>
      <c r="K179" s="56" t="s">
        <v>680</v>
      </c>
      <c r="L179" s="31"/>
      <c r="M179" s="57" t="s">
        <v>286</v>
      </c>
      <c r="N179" s="31" t="s">
        <v>681</v>
      </c>
      <c r="O179" s="58" t="s">
        <v>275</v>
      </c>
      <c r="P179" s="54" t="s">
        <v>682</v>
      </c>
      <c r="Q179" s="54" t="s">
        <v>1286</v>
      </c>
      <c r="R179" s="31" t="s">
        <v>1361</v>
      </c>
      <c r="S179" s="163"/>
      <c r="T179" s="163" t="s">
        <v>1043</v>
      </c>
      <c r="U179" s="163">
        <v>0.03</v>
      </c>
      <c r="V179" s="163">
        <f>PLA!U179*Llistes!$L$11*Llistes!$L$12</f>
        <v>4</v>
      </c>
      <c r="W179" s="60" t="s">
        <v>412</v>
      </c>
      <c r="X179" s="60" t="str">
        <f>IF(W179=Llistes!$K$2,Llistes!$L$2,IF(W179=Llistes!$K$3,Llistes!$L$3,IF(W179=Llistes!$K$4,Llistes!$L$4,IF(W179=Llistes!$K$5,Llistes!$L$5,IF(W179=Llistes!$K$6,Llistes!$L$6,IF(W179=Llistes!$K$7,Llistes!$L$7,""))))))</f>
        <v>Ivan Bustamante</v>
      </c>
      <c r="Y179" s="165" t="s">
        <v>994</v>
      </c>
      <c r="Z179" s="165" t="s">
        <v>994</v>
      </c>
      <c r="AA179" s="165" t="s">
        <v>994</v>
      </c>
      <c r="AB179" s="165" t="s">
        <v>994</v>
      </c>
      <c r="AC179" s="147"/>
    </row>
    <row r="180" spans="1:29" ht="58">
      <c r="A180" s="25" t="s">
        <v>595</v>
      </c>
      <c r="B180" s="273"/>
      <c r="C180" s="274"/>
      <c r="D180" s="289" t="s">
        <v>683</v>
      </c>
      <c r="E180" s="300" t="s">
        <v>1646</v>
      </c>
      <c r="F180" s="186" t="s">
        <v>685</v>
      </c>
      <c r="G180" s="187" t="s">
        <v>686</v>
      </c>
      <c r="H180" s="188" t="s">
        <v>271</v>
      </c>
      <c r="I180" s="188" t="s">
        <v>285</v>
      </c>
      <c r="J180" s="56" t="s">
        <v>1655</v>
      </c>
      <c r="K180" s="56" t="s">
        <v>1656</v>
      </c>
      <c r="L180" s="31"/>
      <c r="M180" s="57" t="s">
        <v>280</v>
      </c>
      <c r="N180" s="31" t="s">
        <v>687</v>
      </c>
      <c r="O180" s="58"/>
      <c r="P180" s="59"/>
      <c r="Q180" s="59" t="s">
        <v>1287</v>
      </c>
      <c r="R180" s="31" t="s">
        <v>1362</v>
      </c>
      <c r="S180" s="163">
        <v>8</v>
      </c>
      <c r="T180" s="163">
        <v>12</v>
      </c>
      <c r="U180" s="163">
        <v>0.12</v>
      </c>
      <c r="V180" s="163">
        <f>PLA!U180*Llistes!$L$11*Llistes!$L$12</f>
        <v>16</v>
      </c>
      <c r="W180" s="60" t="s">
        <v>291</v>
      </c>
      <c r="X180" s="60" t="str">
        <f>IF(W180=Llistes!$K$2,Llistes!$L$2,IF(W180=Llistes!$K$3,Llistes!$L$3,IF(W180=Llistes!$K$4,Llistes!$L$4,IF(W180=Llistes!$K$5,Llistes!$L$5,IF(W180=Llistes!$K$6,Llistes!$L$6,IF(W180=Llistes!$K$7,Llistes!$L$7,""))))))</f>
        <v>Gerard Carrion</v>
      </c>
      <c r="Y180" s="165" t="s">
        <v>994</v>
      </c>
      <c r="Z180" s="165" t="s">
        <v>994</v>
      </c>
      <c r="AA180" s="165" t="s">
        <v>994</v>
      </c>
      <c r="AB180" s="165" t="s">
        <v>994</v>
      </c>
      <c r="AC180" s="147"/>
    </row>
    <row r="181" spans="1:29" ht="29">
      <c r="A181" s="25" t="s">
        <v>595</v>
      </c>
      <c r="B181" s="273"/>
      <c r="C181" s="274"/>
      <c r="D181" s="290"/>
      <c r="E181" s="301"/>
      <c r="F181" s="186" t="s">
        <v>688</v>
      </c>
      <c r="G181" s="187" t="s">
        <v>689</v>
      </c>
      <c r="H181" s="188" t="s">
        <v>271</v>
      </c>
      <c r="I181" s="188" t="s">
        <v>285</v>
      </c>
      <c r="J181" s="56" t="str">
        <f>G181</f>
        <v>Millorar la coordinació amb els cossos de seguretat per efectuar accions de control i vigilància</v>
      </c>
      <c r="K181" s="56"/>
      <c r="L181" s="31"/>
      <c r="M181" s="57" t="s">
        <v>305</v>
      </c>
      <c r="N181" s="31"/>
      <c r="O181" s="58"/>
      <c r="P181" s="59"/>
      <c r="Q181" s="59" t="s">
        <v>690</v>
      </c>
      <c r="R181" s="31" t="s">
        <v>1362</v>
      </c>
      <c r="S181" s="163">
        <v>8</v>
      </c>
      <c r="T181" s="163">
        <v>12</v>
      </c>
      <c r="U181" s="163">
        <v>0.12</v>
      </c>
      <c r="V181" s="163">
        <f>PLA!U181*Llistes!$L$11*Llistes!$L$12</f>
        <v>16</v>
      </c>
      <c r="W181" s="60" t="s">
        <v>291</v>
      </c>
      <c r="X181" s="60" t="str">
        <f>IF(W181=Llistes!$K$2,Llistes!$L$2,IF(W181=Llistes!$K$3,Llistes!$L$3,IF(W181=Llistes!$K$4,Llistes!$L$4,IF(W181=Llistes!$K$5,Llistes!$L$5,IF(W181=Llistes!$K$6,Llistes!$L$6,IF(W181=Llistes!$K$7,Llistes!$L$7,""))))))</f>
        <v>Gerard Carrion</v>
      </c>
      <c r="Y181" s="165" t="s">
        <v>994</v>
      </c>
      <c r="Z181" s="165" t="s">
        <v>994</v>
      </c>
      <c r="AA181" s="165" t="s">
        <v>994</v>
      </c>
      <c r="AB181" s="165" t="s">
        <v>994</v>
      </c>
      <c r="AC181" s="147"/>
    </row>
    <row r="182" spans="1:29" ht="58">
      <c r="A182" s="25" t="s">
        <v>595</v>
      </c>
      <c r="B182" s="273"/>
      <c r="C182" s="274"/>
      <c r="D182" s="290"/>
      <c r="E182" s="301"/>
      <c r="F182" s="186" t="s">
        <v>691</v>
      </c>
      <c r="G182" s="187" t="s">
        <v>692</v>
      </c>
      <c r="H182" s="188" t="s">
        <v>271</v>
      </c>
      <c r="I182" s="188" t="s">
        <v>285</v>
      </c>
      <c r="J182" s="56" t="str">
        <f>G182</f>
        <v>Vetllar pel compliment d'informes i la vigilància tècnica de l'espai</v>
      </c>
      <c r="K182" s="56"/>
      <c r="L182" s="31"/>
      <c r="M182" s="57" t="s">
        <v>305</v>
      </c>
      <c r="N182" s="31"/>
      <c r="O182" s="58"/>
      <c r="P182" s="59"/>
      <c r="Q182" s="59" t="s">
        <v>1288</v>
      </c>
      <c r="R182" s="31" t="s">
        <v>1290</v>
      </c>
      <c r="S182" s="163">
        <v>2</v>
      </c>
      <c r="T182" s="163">
        <v>4</v>
      </c>
      <c r="U182" s="163">
        <v>0.03</v>
      </c>
      <c r="V182" s="163">
        <f>PLA!U182*Llistes!$L$11*Llistes!$L$12</f>
        <v>4</v>
      </c>
      <c r="W182" s="60" t="s">
        <v>291</v>
      </c>
      <c r="X182" s="60" t="str">
        <f>IF(W182=Llistes!$K$2,Llistes!$L$2,IF(W182=Llistes!$K$3,Llistes!$L$3,IF(W182=Llistes!$K$4,Llistes!$L$4,IF(W182=Llistes!$K$5,Llistes!$L$5,IF(W182=Llistes!$K$6,Llistes!$L$6,IF(W182=Llistes!$K$7,Llistes!$L$7,""))))))</f>
        <v>Gerard Carrion</v>
      </c>
      <c r="Y182" s="165" t="s">
        <v>994</v>
      </c>
      <c r="Z182" s="165" t="s">
        <v>994</v>
      </c>
      <c r="AA182" s="165" t="s">
        <v>994</v>
      </c>
      <c r="AB182" s="165" t="s">
        <v>994</v>
      </c>
      <c r="AC182" s="147"/>
    </row>
    <row r="183" spans="1:29" ht="29">
      <c r="A183" s="25" t="s">
        <v>595</v>
      </c>
      <c r="B183" s="273"/>
      <c r="C183" s="274"/>
      <c r="D183" s="250"/>
      <c r="E183" s="302"/>
      <c r="F183" s="186" t="s">
        <v>691</v>
      </c>
      <c r="G183" s="187" t="s">
        <v>692</v>
      </c>
      <c r="H183" s="188" t="s">
        <v>271</v>
      </c>
      <c r="I183" s="188" t="s">
        <v>285</v>
      </c>
      <c r="J183" s="56" t="str">
        <f>G183</f>
        <v>Vetllar pel compliment d'informes i la vigilància tècnica de l'espai</v>
      </c>
      <c r="K183" s="56"/>
      <c r="L183" s="31"/>
      <c r="M183" s="57" t="s">
        <v>305</v>
      </c>
      <c r="N183" s="31"/>
      <c r="O183" s="58"/>
      <c r="P183" s="59"/>
      <c r="Q183" s="59" t="s">
        <v>1289</v>
      </c>
      <c r="R183" s="31" t="s">
        <v>1291</v>
      </c>
      <c r="S183" s="163"/>
      <c r="T183" s="163" t="s">
        <v>1043</v>
      </c>
      <c r="U183" s="163">
        <v>0.3</v>
      </c>
      <c r="V183" s="163">
        <f>PLA!U183*Llistes!$L$11*Llistes!$L$12</f>
        <v>40</v>
      </c>
      <c r="W183" s="60" t="s">
        <v>291</v>
      </c>
      <c r="X183" s="60" t="str">
        <f>IF(W183=Llistes!$K$2,Llistes!$L$2,IF(W183=Llistes!$K$3,Llistes!$L$3,IF(W183=Llistes!$K$4,Llistes!$L$4,IF(W183=Llistes!$K$5,Llistes!$L$5,IF(W183=Llistes!$K$6,Llistes!$L$6,IF(W183=Llistes!$K$7,Llistes!$L$7,""))))))</f>
        <v>Gerard Carrion</v>
      </c>
      <c r="Y183" s="165" t="s">
        <v>994</v>
      </c>
      <c r="Z183" s="165" t="s">
        <v>994</v>
      </c>
      <c r="AA183" s="165" t="s">
        <v>994</v>
      </c>
      <c r="AB183" s="165" t="s">
        <v>994</v>
      </c>
      <c r="AC183" s="147"/>
    </row>
    <row r="184" spans="1:29" ht="19.5" customHeight="1">
      <c r="A184" s="25" t="s">
        <v>595</v>
      </c>
      <c r="B184" s="273">
        <v>12</v>
      </c>
      <c r="C184" s="396" t="s">
        <v>1591</v>
      </c>
      <c r="D184" s="289" t="s">
        <v>1568</v>
      </c>
      <c r="E184" s="374" t="s">
        <v>1569</v>
      </c>
      <c r="F184" s="186" t="s">
        <v>1564</v>
      </c>
      <c r="G184" s="187" t="s">
        <v>1565</v>
      </c>
      <c r="H184" s="188" t="s">
        <v>271</v>
      </c>
      <c r="I184" s="188" t="s">
        <v>285</v>
      </c>
      <c r="J184" s="56"/>
      <c r="K184" s="56"/>
      <c r="L184" s="31"/>
      <c r="M184" s="57"/>
      <c r="N184" s="31"/>
      <c r="O184" s="58"/>
      <c r="P184" s="59"/>
      <c r="Q184" s="59"/>
      <c r="R184" s="31"/>
      <c r="S184" s="163"/>
      <c r="T184" s="163"/>
      <c r="U184" s="163"/>
      <c r="V184" s="163"/>
      <c r="W184" s="60"/>
      <c r="X184" s="60"/>
      <c r="Y184" s="165"/>
      <c r="Z184" s="165"/>
      <c r="AA184" s="165"/>
      <c r="AB184" s="165"/>
      <c r="AC184" s="147"/>
    </row>
    <row r="185" spans="1:29" ht="29">
      <c r="A185" s="25" t="s">
        <v>595</v>
      </c>
      <c r="B185" s="273"/>
      <c r="C185" s="396"/>
      <c r="D185" s="250"/>
      <c r="E185" s="376"/>
      <c r="F185" s="186" t="s">
        <v>1566</v>
      </c>
      <c r="G185" s="187" t="s">
        <v>1567</v>
      </c>
      <c r="H185" s="188" t="s">
        <v>271</v>
      </c>
      <c r="I185" s="188" t="s">
        <v>285</v>
      </c>
      <c r="J185" s="56"/>
      <c r="K185" s="56"/>
      <c r="L185" s="31"/>
      <c r="M185" s="57"/>
      <c r="N185" s="31"/>
      <c r="O185" s="58"/>
      <c r="P185" s="59"/>
      <c r="Q185" s="59"/>
      <c r="R185" s="31"/>
      <c r="S185" s="163"/>
      <c r="T185" s="163"/>
      <c r="U185" s="163"/>
      <c r="V185" s="163"/>
      <c r="W185" s="60"/>
      <c r="X185" s="60"/>
      <c r="Y185" s="165"/>
      <c r="Z185" s="165"/>
      <c r="AA185" s="165"/>
      <c r="AB185" s="165"/>
      <c r="AC185" s="147"/>
    </row>
    <row r="186" spans="1:29" ht="116">
      <c r="A186" s="26" t="s">
        <v>693</v>
      </c>
      <c r="B186" s="195">
        <v>13</v>
      </c>
      <c r="C186" s="194" t="s">
        <v>694</v>
      </c>
      <c r="D186" s="306" t="s">
        <v>695</v>
      </c>
      <c r="E186" s="314" t="s">
        <v>696</v>
      </c>
      <c r="F186" s="191" t="s">
        <v>697</v>
      </c>
      <c r="G186" s="187" t="s">
        <v>698</v>
      </c>
      <c r="H186" s="188" t="s">
        <v>271</v>
      </c>
      <c r="I186" s="188" t="s">
        <v>285</v>
      </c>
      <c r="J186" s="56" t="str">
        <f t="shared" ref="J186:J267" si="19">G186</f>
        <v>Definir el model de Xarxa d'Escoles de l'Espai Natural (XEEN) a l'ENP amb els agents educatius del territori</v>
      </c>
      <c r="K186" s="137" t="s">
        <v>699</v>
      </c>
      <c r="L186" s="31"/>
      <c r="M186" s="57" t="s">
        <v>286</v>
      </c>
      <c r="N186" s="31" t="s">
        <v>700</v>
      </c>
      <c r="O186" s="65" t="s">
        <v>701</v>
      </c>
      <c r="P186" s="59"/>
      <c r="Q186" s="54" t="s">
        <v>1364</v>
      </c>
      <c r="R186" s="31" t="s">
        <v>1363</v>
      </c>
      <c r="S186" s="163"/>
      <c r="T186" s="163" t="s">
        <v>1043</v>
      </c>
      <c r="U186" s="163">
        <v>0.3</v>
      </c>
      <c r="V186" s="163">
        <f>PLA!U186*Llistes!$L$11*Llistes!$L$12</f>
        <v>40</v>
      </c>
      <c r="W186" s="60" t="s">
        <v>412</v>
      </c>
      <c r="X186" s="60" t="str">
        <f>IF(W186=Llistes!$K$2,Llistes!$L$2,IF(W186=Llistes!$K$3,Llistes!$L$3,IF(W186=Llistes!$K$4,Llistes!$L$4,IF(W186=Llistes!$K$5,Llistes!$L$5,IF(W186=Llistes!$K$6,Llistes!$L$6,IF(W186=Llistes!$K$7,Llistes!$L$7,""))))))</f>
        <v>Ivan Bustamante</v>
      </c>
      <c r="Y186" s="165" t="s">
        <v>994</v>
      </c>
      <c r="Z186" s="165" t="s">
        <v>994</v>
      </c>
      <c r="AA186" s="165" t="s">
        <v>994</v>
      </c>
      <c r="AB186" s="165" t="s">
        <v>994</v>
      </c>
      <c r="AC186" s="147"/>
    </row>
    <row r="187" spans="1:29" ht="130.5">
      <c r="A187" s="26" t="s">
        <v>693</v>
      </c>
      <c r="B187" s="195"/>
      <c r="C187" s="194"/>
      <c r="D187" s="306"/>
      <c r="E187" s="314"/>
      <c r="F187" s="191" t="s">
        <v>702</v>
      </c>
      <c r="G187" s="189" t="s">
        <v>703</v>
      </c>
      <c r="H187" s="188" t="s">
        <v>271</v>
      </c>
      <c r="I187" s="188" t="s">
        <v>285</v>
      </c>
      <c r="J187" s="56" t="str">
        <f t="shared" si="19"/>
        <v>Desplegar el model de Xarxa d'Escoles de l'Espai Natural (XEEN) a l'ENP d'acord amb el model general</v>
      </c>
      <c r="K187" s="137" t="s">
        <v>699</v>
      </c>
      <c r="L187" s="66"/>
      <c r="M187" s="57" t="s">
        <v>286</v>
      </c>
      <c r="N187" s="66" t="s">
        <v>1365</v>
      </c>
      <c r="O187" s="65" t="s">
        <v>701</v>
      </c>
      <c r="P187" s="54" t="s">
        <v>704</v>
      </c>
      <c r="Q187" s="54" t="s">
        <v>1366</v>
      </c>
      <c r="R187" s="31" t="s">
        <v>1313</v>
      </c>
      <c r="S187" s="163">
        <v>3</v>
      </c>
      <c r="T187" s="163">
        <v>6</v>
      </c>
      <c r="U187" s="163">
        <v>0.3</v>
      </c>
      <c r="V187" s="163">
        <f>PLA!U187*Llistes!$L$11*Llistes!$L$12</f>
        <v>40</v>
      </c>
      <c r="W187" s="60" t="s">
        <v>412</v>
      </c>
      <c r="X187" s="60" t="str">
        <f>IF(W187=Llistes!$K$2,Llistes!$L$2,IF(W187=Llistes!$K$3,Llistes!$L$3,IF(W187=Llistes!$K$4,Llistes!$L$4,IF(W187=Llistes!$K$5,Llistes!$L$5,IF(W187=Llistes!$K$6,Llistes!$L$6,IF(W187=Llistes!$K$7,Llistes!$L$7,""))))))</f>
        <v>Ivan Bustamante</v>
      </c>
      <c r="Y187" s="165" t="s">
        <v>994</v>
      </c>
      <c r="Z187" s="165" t="s">
        <v>994</v>
      </c>
      <c r="AA187" s="165" t="s">
        <v>994</v>
      </c>
      <c r="AB187" s="165" t="s">
        <v>994</v>
      </c>
      <c r="AC187" s="147"/>
    </row>
    <row r="188" spans="1:29" ht="116">
      <c r="A188" s="26" t="s">
        <v>693</v>
      </c>
      <c r="B188" s="195"/>
      <c r="C188" s="194"/>
      <c r="D188" s="307"/>
      <c r="E188" s="315"/>
      <c r="F188" s="191" t="s">
        <v>705</v>
      </c>
      <c r="G188" s="187" t="s">
        <v>706</v>
      </c>
      <c r="H188" s="188" t="s">
        <v>271</v>
      </c>
      <c r="I188" s="188" t="s">
        <v>285</v>
      </c>
      <c r="J188" s="56" t="str">
        <f t="shared" si="19"/>
        <v xml:space="preserve">Formar i capacitar al professorat de la XEEN </v>
      </c>
      <c r="K188" s="137" t="s">
        <v>699</v>
      </c>
      <c r="L188" s="66"/>
      <c r="M188" s="57" t="s">
        <v>286</v>
      </c>
      <c r="N188" s="66" t="s">
        <v>1648</v>
      </c>
      <c r="O188" s="65" t="s">
        <v>701</v>
      </c>
      <c r="P188" s="54"/>
      <c r="Q188" s="54" t="s">
        <v>1649</v>
      </c>
      <c r="R188" s="31" t="s">
        <v>1367</v>
      </c>
      <c r="S188" s="163">
        <v>4</v>
      </c>
      <c r="T188" s="163">
        <v>8</v>
      </c>
      <c r="U188" s="163">
        <v>0.12</v>
      </c>
      <c r="V188" s="163">
        <f>PLA!U188*Llistes!$L$11*Llistes!$L$12</f>
        <v>16</v>
      </c>
      <c r="W188" s="60" t="s">
        <v>412</v>
      </c>
      <c r="X188" s="60" t="str">
        <f>IF(W188=Llistes!$K$2,Llistes!$L$2,IF(W188=Llistes!$K$3,Llistes!$L$3,IF(W188=Llistes!$K$4,Llistes!$L$4,IF(W188=Llistes!$K$5,Llistes!$L$5,IF(W188=Llistes!$K$6,Llistes!$L$6,IF(W188=Llistes!$K$7,Llistes!$L$7,""))))))</f>
        <v>Ivan Bustamante</v>
      </c>
      <c r="Y188" s="165" t="s">
        <v>994</v>
      </c>
      <c r="Z188" s="165" t="s">
        <v>994</v>
      </c>
      <c r="AA188" s="165" t="s">
        <v>994</v>
      </c>
      <c r="AB188" s="165" t="s">
        <v>994</v>
      </c>
      <c r="AC188" s="147"/>
    </row>
    <row r="189" spans="1:29" ht="43.5">
      <c r="A189" s="26" t="s">
        <v>693</v>
      </c>
      <c r="B189" s="195"/>
      <c r="C189" s="194"/>
      <c r="D189" s="267" t="s">
        <v>708</v>
      </c>
      <c r="E189" s="303" t="s">
        <v>709</v>
      </c>
      <c r="F189" s="186" t="s">
        <v>710</v>
      </c>
      <c r="G189" s="187" t="s">
        <v>711</v>
      </c>
      <c r="H189" s="188" t="s">
        <v>271</v>
      </c>
      <c r="I189" s="188" t="s">
        <v>285</v>
      </c>
      <c r="J189" s="56" t="str">
        <f t="shared" si="19"/>
        <v>Adaptar i millorar l'oferta pedagògica de l'ENP generant situacions d'aprenentatge i treballs per projecte</v>
      </c>
      <c r="K189" s="56"/>
      <c r="L189" s="31"/>
      <c r="M189" s="57" t="s">
        <v>273</v>
      </c>
      <c r="N189" s="31" t="s">
        <v>712</v>
      </c>
      <c r="O189" s="65" t="s">
        <v>701</v>
      </c>
      <c r="P189" s="54" t="s">
        <v>713</v>
      </c>
      <c r="Q189" s="54" t="s">
        <v>1314</v>
      </c>
      <c r="R189" s="31" t="s">
        <v>1316</v>
      </c>
      <c r="S189" s="163">
        <v>1</v>
      </c>
      <c r="T189" s="163">
        <v>2</v>
      </c>
      <c r="U189" s="163">
        <v>0.12</v>
      </c>
      <c r="V189" s="163">
        <f>PLA!U189*Llistes!$L$11*Llistes!$L$12</f>
        <v>16</v>
      </c>
      <c r="W189" s="60" t="s">
        <v>412</v>
      </c>
      <c r="X189" s="60" t="str">
        <f>IF(W189=Llistes!$K$2,Llistes!$L$2,IF(W189=Llistes!$K$3,Llistes!$L$3,IF(W189=Llistes!$K$4,Llistes!$L$4,IF(W189=Llistes!$K$5,Llistes!$L$5,IF(W189=Llistes!$K$6,Llistes!$L$6,IF(W189=Llistes!$K$7,Llistes!$L$7,""))))))</f>
        <v>Ivan Bustamante</v>
      </c>
      <c r="Y189" s="165" t="s">
        <v>994</v>
      </c>
      <c r="Z189" s="165" t="s">
        <v>994</v>
      </c>
      <c r="AA189" s="165" t="s">
        <v>994</v>
      </c>
      <c r="AB189" s="165" t="s">
        <v>994</v>
      </c>
      <c r="AC189" s="147"/>
    </row>
    <row r="190" spans="1:29" ht="29">
      <c r="A190" s="26"/>
      <c r="B190" s="195"/>
      <c r="C190" s="194"/>
      <c r="D190" s="306"/>
      <c r="E190" s="304"/>
      <c r="F190" s="186" t="s">
        <v>710</v>
      </c>
      <c r="G190" s="187" t="s">
        <v>711</v>
      </c>
      <c r="H190" s="188" t="s">
        <v>271</v>
      </c>
      <c r="I190" s="188" t="s">
        <v>285</v>
      </c>
      <c r="J190" s="56" t="str">
        <f t="shared" ref="J190" si="20">G190</f>
        <v>Adaptar i millorar l'oferta pedagògica de l'ENP generant situacions d'aprenentatge i treballs per projecte</v>
      </c>
      <c r="K190" s="56"/>
      <c r="L190" s="31"/>
      <c r="M190" s="57" t="s">
        <v>273</v>
      </c>
      <c r="N190" s="31"/>
      <c r="O190" s="65"/>
      <c r="P190" s="54"/>
      <c r="Q190" s="54" t="s">
        <v>1315</v>
      </c>
      <c r="R190" s="31" t="s">
        <v>1369</v>
      </c>
      <c r="S190" s="163">
        <v>12</v>
      </c>
      <c r="T190" s="163">
        <v>16</v>
      </c>
      <c r="U190" s="163">
        <v>0.12</v>
      </c>
      <c r="V190" s="163">
        <f>PLA!U190*Llistes!$L$11*Llistes!$L$12</f>
        <v>16</v>
      </c>
      <c r="W190" s="60" t="s">
        <v>412</v>
      </c>
      <c r="X190" s="60" t="str">
        <f>IF(W190=Llistes!$K$2,Llistes!$L$2,IF(W190=Llistes!$K$3,Llistes!$L$3,IF(W190=Llistes!$K$4,Llistes!$L$4,IF(W190=Llistes!$K$5,Llistes!$L$5,IF(W190=Llistes!$K$6,Llistes!$L$6,IF(W190=Llistes!$K$7,Llistes!$L$7,""))))))</f>
        <v>Ivan Bustamante</v>
      </c>
      <c r="Y190" s="165" t="s">
        <v>994</v>
      </c>
      <c r="Z190" s="165" t="s">
        <v>994</v>
      </c>
      <c r="AA190" s="165" t="s">
        <v>994</v>
      </c>
      <c r="AB190" s="165" t="s">
        <v>994</v>
      </c>
      <c r="AC190" s="147"/>
    </row>
    <row r="191" spans="1:29" ht="58">
      <c r="A191" s="26" t="s">
        <v>693</v>
      </c>
      <c r="B191" s="195"/>
      <c r="C191" s="194"/>
      <c r="D191" s="306"/>
      <c r="E191" s="304"/>
      <c r="F191" s="186" t="s">
        <v>714</v>
      </c>
      <c r="G191" s="187" t="s">
        <v>715</v>
      </c>
      <c r="H191" s="188" t="s">
        <v>271</v>
      </c>
      <c r="I191" s="188" t="s">
        <v>279</v>
      </c>
      <c r="J191" s="56" t="s">
        <v>716</v>
      </c>
      <c r="K191" s="56"/>
      <c r="L191" s="31"/>
      <c r="M191" s="57" t="s">
        <v>286</v>
      </c>
      <c r="N191" s="31" t="s">
        <v>717</v>
      </c>
      <c r="O191" s="65" t="s">
        <v>701</v>
      </c>
      <c r="P191" s="59"/>
      <c r="Q191" s="54" t="s">
        <v>1318</v>
      </c>
      <c r="R191" s="31" t="s">
        <v>1317</v>
      </c>
      <c r="S191" s="163">
        <v>1</v>
      </c>
      <c r="T191" s="163">
        <v>3</v>
      </c>
      <c r="U191" s="163">
        <v>0.06</v>
      </c>
      <c r="V191" s="163">
        <f>PLA!U191*Llistes!$L$11*Llistes!$L$12</f>
        <v>8</v>
      </c>
      <c r="W191" s="60" t="s">
        <v>412</v>
      </c>
      <c r="X191" s="60" t="str">
        <f>IF(W191=Llistes!$K$2,Llistes!$L$2,IF(W191=Llistes!$K$3,Llistes!$L$3,IF(W191=Llistes!$K$4,Llistes!$L$4,IF(W191=Llistes!$K$5,Llistes!$L$5,IF(W191=Llistes!$K$6,Llistes!$L$6,IF(W191=Llistes!$K$7,Llistes!$L$7,""))))))</f>
        <v>Ivan Bustamante</v>
      </c>
      <c r="Y191" s="165" t="s">
        <v>994</v>
      </c>
      <c r="Z191" s="165" t="s">
        <v>994</v>
      </c>
      <c r="AA191" s="165" t="s">
        <v>994</v>
      </c>
      <c r="AB191" s="165" t="s">
        <v>994</v>
      </c>
      <c r="AC191" s="147"/>
    </row>
    <row r="192" spans="1:29" ht="58">
      <c r="A192" s="26" t="s">
        <v>693</v>
      </c>
      <c r="B192" s="195"/>
      <c r="C192" s="194"/>
      <c r="D192" s="306"/>
      <c r="E192" s="304"/>
      <c r="F192" s="186" t="s">
        <v>714</v>
      </c>
      <c r="G192" s="187" t="s">
        <v>715</v>
      </c>
      <c r="H192" s="188" t="s">
        <v>271</v>
      </c>
      <c r="I192" s="188" t="s">
        <v>279</v>
      </c>
      <c r="J192" s="56" t="s">
        <v>716</v>
      </c>
      <c r="K192" s="56"/>
      <c r="L192" s="31"/>
      <c r="M192" s="57" t="s">
        <v>286</v>
      </c>
      <c r="N192" s="31" t="s">
        <v>717</v>
      </c>
      <c r="O192" s="65"/>
      <c r="P192" s="59"/>
      <c r="Q192" s="54" t="s">
        <v>1440</v>
      </c>
      <c r="R192" s="31" t="s">
        <v>1319</v>
      </c>
      <c r="S192" s="163">
        <v>1</v>
      </c>
      <c r="T192" s="163">
        <v>3</v>
      </c>
      <c r="U192" s="163">
        <v>0.12</v>
      </c>
      <c r="V192" s="163">
        <f>PLA!U192*Llistes!$L$11*Llistes!$L$12</f>
        <v>16</v>
      </c>
      <c r="W192" s="60" t="s">
        <v>412</v>
      </c>
      <c r="X192" s="60" t="str">
        <f>IF(W192=Llistes!$K$2,Llistes!$L$2,IF(W192=Llistes!$K$3,Llistes!$L$3,IF(W192=Llistes!$K$4,Llistes!$L$4,IF(W192=Llistes!$K$5,Llistes!$L$5,IF(W192=Llistes!$K$6,Llistes!$L$6,IF(W192=Llistes!$K$7,Llistes!$L$7,""))))))</f>
        <v>Ivan Bustamante</v>
      </c>
      <c r="Y192" s="165" t="s">
        <v>994</v>
      </c>
      <c r="Z192" s="165" t="s">
        <v>994</v>
      </c>
      <c r="AA192" s="165" t="s">
        <v>994</v>
      </c>
      <c r="AB192" s="165" t="s">
        <v>994</v>
      </c>
      <c r="AC192" s="147"/>
    </row>
    <row r="193" spans="1:29" ht="43.5">
      <c r="A193" s="26" t="s">
        <v>693</v>
      </c>
      <c r="B193" s="195"/>
      <c r="C193" s="194"/>
      <c r="D193" s="306"/>
      <c r="E193" s="304"/>
      <c r="F193" s="186" t="s">
        <v>718</v>
      </c>
      <c r="G193" s="187" t="s">
        <v>719</v>
      </c>
      <c r="H193" s="188" t="s">
        <v>271</v>
      </c>
      <c r="I193" s="188" t="s">
        <v>285</v>
      </c>
      <c r="J193" s="56" t="str">
        <f t="shared" si="19"/>
        <v>Elaborar recursos educatius sobre l’espai (que tinguin en compte les problemàtiques singulars del seu espai) i posar-los a disposició dels centres educatius</v>
      </c>
      <c r="K193" s="56"/>
      <c r="L193" s="31"/>
      <c r="M193" s="57" t="s">
        <v>286</v>
      </c>
      <c r="N193" s="31"/>
      <c r="O193" s="65" t="s">
        <v>701</v>
      </c>
      <c r="P193" s="59"/>
      <c r="Q193" s="54" t="s">
        <v>720</v>
      </c>
      <c r="R193" s="31" t="s">
        <v>1320</v>
      </c>
      <c r="S193" s="163">
        <v>4</v>
      </c>
      <c r="T193" s="163">
        <v>8</v>
      </c>
      <c r="U193" s="163">
        <v>0.12</v>
      </c>
      <c r="V193" s="163">
        <f>PLA!U193*Llistes!$L$11*Llistes!$L$12</f>
        <v>16</v>
      </c>
      <c r="W193" s="60" t="s">
        <v>412</v>
      </c>
      <c r="X193" s="60" t="str">
        <f>IF(W193=Llistes!$K$2,Llistes!$L$2,IF(W193=Llistes!$K$3,Llistes!$L$3,IF(W193=Llistes!$K$4,Llistes!$L$4,IF(W193=Llistes!$K$5,Llistes!$L$5,IF(W193=Llistes!$K$6,Llistes!$L$6,IF(W193=Llistes!$K$7,Llistes!$L$7,""))))))</f>
        <v>Ivan Bustamante</v>
      </c>
      <c r="Y193" s="165" t="s">
        <v>994</v>
      </c>
      <c r="Z193" s="165" t="s">
        <v>994</v>
      </c>
      <c r="AA193" s="165" t="s">
        <v>994</v>
      </c>
      <c r="AB193" s="165" t="s">
        <v>994</v>
      </c>
      <c r="AC193" s="147"/>
    </row>
    <row r="194" spans="1:29" ht="29">
      <c r="A194" s="26" t="s">
        <v>693</v>
      </c>
      <c r="B194" s="195"/>
      <c r="C194" s="194"/>
      <c r="D194" s="306"/>
      <c r="E194" s="304"/>
      <c r="F194" s="186" t="s">
        <v>1501</v>
      </c>
      <c r="G194" s="187" t="s">
        <v>1502</v>
      </c>
      <c r="H194" s="188" t="s">
        <v>271</v>
      </c>
      <c r="I194" s="188" t="s">
        <v>279</v>
      </c>
      <c r="J194" s="56"/>
      <c r="K194" s="56"/>
      <c r="L194" s="31"/>
      <c r="M194" s="57"/>
      <c r="N194" s="31"/>
      <c r="O194" s="65"/>
      <c r="P194" s="59"/>
      <c r="Q194" s="54"/>
      <c r="R194" s="31"/>
      <c r="S194" s="163"/>
      <c r="T194" s="163"/>
      <c r="U194" s="163"/>
      <c r="V194" s="163"/>
      <c r="W194" s="60"/>
      <c r="X194" s="60"/>
      <c r="Y194" s="165"/>
      <c r="Z194" s="165"/>
      <c r="AA194" s="165"/>
      <c r="AB194" s="165"/>
      <c r="AC194" s="147"/>
    </row>
    <row r="195" spans="1:29" ht="43.5">
      <c r="A195" s="26" t="s">
        <v>693</v>
      </c>
      <c r="B195" s="195"/>
      <c r="C195" s="194"/>
      <c r="D195" s="307"/>
      <c r="E195" s="305"/>
      <c r="F195" s="186" t="s">
        <v>1503</v>
      </c>
      <c r="G195" s="187" t="s">
        <v>1504</v>
      </c>
      <c r="H195" s="188" t="s">
        <v>271</v>
      </c>
      <c r="I195" s="188" t="s">
        <v>285</v>
      </c>
      <c r="J195" s="56"/>
      <c r="K195" s="56"/>
      <c r="L195" s="31"/>
      <c r="M195" s="57"/>
      <c r="N195" s="31"/>
      <c r="O195" s="65"/>
      <c r="P195" s="59"/>
      <c r="Q195" s="54"/>
      <c r="R195" s="31"/>
      <c r="S195" s="163"/>
      <c r="T195" s="163"/>
      <c r="U195" s="163"/>
      <c r="V195" s="163"/>
      <c r="W195" s="60"/>
      <c r="X195" s="60"/>
      <c r="Y195" s="165"/>
      <c r="Z195" s="165"/>
      <c r="AA195" s="165"/>
      <c r="AB195" s="165"/>
      <c r="AC195" s="147"/>
    </row>
    <row r="196" spans="1:29" ht="58">
      <c r="A196" s="26" t="s">
        <v>693</v>
      </c>
      <c r="B196" s="195"/>
      <c r="C196" s="194"/>
      <c r="D196" s="267" t="s">
        <v>721</v>
      </c>
      <c r="E196" s="303" t="s">
        <v>722</v>
      </c>
      <c r="F196" s="186" t="s">
        <v>723</v>
      </c>
      <c r="G196" s="187" t="s">
        <v>724</v>
      </c>
      <c r="H196" s="188" t="s">
        <v>271</v>
      </c>
      <c r="I196" s="188" t="s">
        <v>285</v>
      </c>
      <c r="J196" s="56" t="s">
        <v>725</v>
      </c>
      <c r="K196" s="56" t="s">
        <v>726</v>
      </c>
      <c r="L196" s="31"/>
      <c r="M196" s="57" t="s">
        <v>286</v>
      </c>
      <c r="N196" s="31" t="s">
        <v>727</v>
      </c>
      <c r="O196" s="65" t="s">
        <v>701</v>
      </c>
      <c r="P196" s="59"/>
      <c r="Q196" s="54" t="s">
        <v>1371</v>
      </c>
      <c r="R196" s="31" t="s">
        <v>1370</v>
      </c>
      <c r="S196" s="163">
        <v>12</v>
      </c>
      <c r="T196" s="163">
        <v>16</v>
      </c>
      <c r="U196" s="163">
        <v>0.3</v>
      </c>
      <c r="V196" s="163">
        <f>PLA!U196*Llistes!$L$11*Llistes!$L$12</f>
        <v>40</v>
      </c>
      <c r="W196" s="60" t="s">
        <v>412</v>
      </c>
      <c r="X196" s="60" t="str">
        <f>IF(W196=Llistes!$K$2,Llistes!$L$2,IF(W196=Llistes!$K$3,Llistes!$L$3,IF(W196=Llistes!$K$4,Llistes!$L$4,IF(W196=Llistes!$K$5,Llistes!$L$5,IF(W196=Llistes!$K$6,Llistes!$L$6,IF(W196=Llistes!$K$7,Llistes!$L$7,""))))))</f>
        <v>Ivan Bustamante</v>
      </c>
      <c r="Y196" s="165" t="s">
        <v>994</v>
      </c>
      <c r="Z196" s="165" t="s">
        <v>994</v>
      </c>
      <c r="AA196" s="165" t="s">
        <v>994</v>
      </c>
      <c r="AB196" s="165" t="s">
        <v>994</v>
      </c>
      <c r="AC196" s="147"/>
    </row>
    <row r="197" spans="1:29" ht="58.5" customHeight="1">
      <c r="A197" s="26" t="s">
        <v>693</v>
      </c>
      <c r="B197" s="195"/>
      <c r="C197" s="194"/>
      <c r="D197" s="306"/>
      <c r="E197" s="304"/>
      <c r="F197" s="186" t="s">
        <v>728</v>
      </c>
      <c r="G197" s="187" t="s">
        <v>729</v>
      </c>
      <c r="H197" s="188" t="s">
        <v>271</v>
      </c>
      <c r="I197" s="188" t="s">
        <v>285</v>
      </c>
      <c r="J197" s="56" t="s">
        <v>730</v>
      </c>
      <c r="K197" s="56" t="s">
        <v>731</v>
      </c>
      <c r="L197" s="31"/>
      <c r="M197" s="57" t="s">
        <v>305</v>
      </c>
      <c r="N197" s="31"/>
      <c r="O197" s="65" t="s">
        <v>701</v>
      </c>
      <c r="P197" s="59"/>
      <c r="Q197" s="54" t="s">
        <v>1321</v>
      </c>
      <c r="R197" s="31" t="s">
        <v>1325</v>
      </c>
      <c r="S197" s="163">
        <v>8</v>
      </c>
      <c r="T197" s="163">
        <v>12</v>
      </c>
      <c r="U197" s="163">
        <v>0.375</v>
      </c>
      <c r="V197" s="163">
        <f>PLA!U197*Llistes!$L$11*Llistes!$L$12</f>
        <v>50</v>
      </c>
      <c r="W197" s="60" t="s">
        <v>291</v>
      </c>
      <c r="X197" s="60" t="str">
        <f>IF(W197=Llistes!$K$2,Llistes!$L$2,IF(W197=Llistes!$K$3,Llistes!$L$3,IF(W197=Llistes!$K$4,Llistes!$L$4,IF(W197=Llistes!$K$5,Llistes!$L$5,IF(W197=Llistes!$K$6,Llistes!$L$6,IF(W197=Llistes!$K$7,Llistes!$L$7,""))))))</f>
        <v>Gerard Carrion</v>
      </c>
      <c r="Y197" s="165" t="s">
        <v>994</v>
      </c>
      <c r="Z197" s="165" t="s">
        <v>994</v>
      </c>
      <c r="AA197" s="165" t="s">
        <v>994</v>
      </c>
      <c r="AB197" s="165" t="s">
        <v>994</v>
      </c>
      <c r="AC197" s="147"/>
    </row>
    <row r="198" spans="1:29" ht="72.5">
      <c r="A198" s="26" t="s">
        <v>693</v>
      </c>
      <c r="B198" s="195"/>
      <c r="C198" s="194"/>
      <c r="D198" s="306"/>
      <c r="E198" s="304"/>
      <c r="F198" s="186" t="s">
        <v>732</v>
      </c>
      <c r="G198" s="187" t="s">
        <v>733</v>
      </c>
      <c r="H198" s="188" t="s">
        <v>271</v>
      </c>
      <c r="I198" s="188" t="s">
        <v>285</v>
      </c>
      <c r="J198" s="56" t="str">
        <f t="shared" si="19"/>
        <v>Elaborar formacions dirigides als informadors, educadors i altres prescriptors del territori</v>
      </c>
      <c r="K198" s="56"/>
      <c r="L198" s="31"/>
      <c r="M198" s="57" t="s">
        <v>273</v>
      </c>
      <c r="N198" s="31" t="s">
        <v>734</v>
      </c>
      <c r="O198" s="65" t="s">
        <v>701</v>
      </c>
      <c r="P198" s="54" t="s">
        <v>735</v>
      </c>
      <c r="Q198" s="54" t="s">
        <v>1322</v>
      </c>
      <c r="R198" s="31" t="s">
        <v>1372</v>
      </c>
      <c r="S198" s="163">
        <v>1</v>
      </c>
      <c r="T198" s="163">
        <v>1</v>
      </c>
      <c r="U198" s="163">
        <v>0.75</v>
      </c>
      <c r="V198" s="163">
        <f>PLA!U198*Llistes!$L$11*Llistes!$L$12</f>
        <v>100</v>
      </c>
      <c r="W198" s="60" t="s">
        <v>412</v>
      </c>
      <c r="X198" s="60" t="str">
        <f>IF(W198=Llistes!$K$2,Llistes!$L$2,IF(W198=Llistes!$K$3,Llistes!$L$3,IF(W198=Llistes!$K$4,Llistes!$L$4,IF(W198=Llistes!$K$5,Llistes!$L$5,IF(W198=Llistes!$K$6,Llistes!$L$6,IF(W198=Llistes!$K$7,Llistes!$L$7,""))))))</f>
        <v>Ivan Bustamante</v>
      </c>
      <c r="Y198" s="165" t="s">
        <v>994</v>
      </c>
      <c r="Z198" s="165" t="s">
        <v>994</v>
      </c>
      <c r="AA198" s="165" t="s">
        <v>994</v>
      </c>
      <c r="AB198" s="165" t="s">
        <v>994</v>
      </c>
      <c r="AC198" s="147"/>
    </row>
    <row r="199" spans="1:29" ht="43.5">
      <c r="A199" s="26" t="s">
        <v>693</v>
      </c>
      <c r="B199" s="195"/>
      <c r="C199" s="194"/>
      <c r="D199" s="268"/>
      <c r="E199" s="316"/>
      <c r="F199" s="186" t="s">
        <v>732</v>
      </c>
      <c r="G199" s="187" t="s">
        <v>733</v>
      </c>
      <c r="H199" s="188" t="s">
        <v>271</v>
      </c>
      <c r="I199" s="188" t="s">
        <v>285</v>
      </c>
      <c r="J199" s="56" t="str">
        <f t="shared" ref="J199:J200" si="21">G199</f>
        <v>Elaborar formacions dirigides als informadors, educadors i altres prescriptors del territori</v>
      </c>
      <c r="K199" s="56"/>
      <c r="L199" s="31"/>
      <c r="M199" s="57" t="s">
        <v>286</v>
      </c>
      <c r="N199" s="31"/>
      <c r="O199" s="65"/>
      <c r="P199" s="54"/>
      <c r="Q199" s="54" t="s">
        <v>1323</v>
      </c>
      <c r="R199" s="31" t="s">
        <v>1326</v>
      </c>
      <c r="S199" s="163">
        <v>2</v>
      </c>
      <c r="T199" s="163">
        <v>4</v>
      </c>
      <c r="U199" s="163">
        <v>0.3</v>
      </c>
      <c r="V199" s="163">
        <f>PLA!U199*Llistes!$L$11*Llistes!$L$12</f>
        <v>40</v>
      </c>
      <c r="W199" s="60" t="s">
        <v>412</v>
      </c>
      <c r="X199" s="60" t="str">
        <f>IF(W199=Llistes!$K$2,Llistes!$L$2,IF(W199=Llistes!$K$3,Llistes!$L$3,IF(W199=Llistes!$K$4,Llistes!$L$4,IF(W199=Llistes!$K$5,Llistes!$L$5,IF(W199=Llistes!$K$6,Llistes!$L$6,IF(W199=Llistes!$K$7,Llistes!$L$7,""))))))</f>
        <v>Ivan Bustamante</v>
      </c>
      <c r="Y199" s="165" t="s">
        <v>994</v>
      </c>
      <c r="Z199" s="165" t="s">
        <v>994</v>
      </c>
      <c r="AA199" s="165" t="s">
        <v>994</v>
      </c>
      <c r="AB199" s="165" t="s">
        <v>994</v>
      </c>
      <c r="AC199" s="147"/>
    </row>
    <row r="200" spans="1:29" ht="29">
      <c r="A200" s="26" t="s">
        <v>693</v>
      </c>
      <c r="B200" s="195"/>
      <c r="C200" s="194"/>
      <c r="D200" s="269"/>
      <c r="E200" s="317"/>
      <c r="F200" s="186" t="s">
        <v>732</v>
      </c>
      <c r="G200" s="187" t="s">
        <v>733</v>
      </c>
      <c r="H200" s="188" t="s">
        <v>271</v>
      </c>
      <c r="I200" s="188" t="s">
        <v>285</v>
      </c>
      <c r="J200" s="56" t="str">
        <f t="shared" si="21"/>
        <v>Elaborar formacions dirigides als informadors, educadors i altres prescriptors del territori</v>
      </c>
      <c r="K200" s="56"/>
      <c r="L200" s="31"/>
      <c r="M200" s="57" t="s">
        <v>286</v>
      </c>
      <c r="N200" s="31"/>
      <c r="O200" s="65"/>
      <c r="P200" s="54"/>
      <c r="Q200" s="54" t="s">
        <v>1324</v>
      </c>
      <c r="R200" s="31" t="s">
        <v>1327</v>
      </c>
      <c r="S200" s="163">
        <v>2</v>
      </c>
      <c r="T200" s="163">
        <v>4</v>
      </c>
      <c r="U200" s="163">
        <v>1.5</v>
      </c>
      <c r="V200" s="163">
        <f>PLA!U200*Llistes!$L$11*Llistes!$L$12</f>
        <v>200</v>
      </c>
      <c r="W200" s="60" t="s">
        <v>291</v>
      </c>
      <c r="X200" s="60" t="str">
        <f>IF(W200=Llistes!$K$2,Llistes!$L$2,IF(W200=Llistes!$K$3,Llistes!$L$3,IF(W200=Llistes!$K$4,Llistes!$L$4,IF(W200=Llistes!$K$5,Llistes!$L$5,IF(W200=Llistes!$K$6,Llistes!$L$6,IF(W200=Llistes!$K$7,Llistes!$L$7,""))))))</f>
        <v>Gerard Carrion</v>
      </c>
      <c r="Y200" s="165" t="s">
        <v>994</v>
      </c>
      <c r="Z200" s="165" t="s">
        <v>994</v>
      </c>
      <c r="AA200" s="165" t="s">
        <v>994</v>
      </c>
      <c r="AB200" s="165" t="s">
        <v>994</v>
      </c>
      <c r="AC200" s="147"/>
    </row>
    <row r="201" spans="1:29" ht="87">
      <c r="A201" s="26" t="s">
        <v>693</v>
      </c>
      <c r="B201" s="195"/>
      <c r="C201" s="194"/>
      <c r="D201" s="267" t="s">
        <v>736</v>
      </c>
      <c r="E201" s="404" t="s">
        <v>737</v>
      </c>
      <c r="F201" s="186" t="s">
        <v>738</v>
      </c>
      <c r="G201" s="187" t="s">
        <v>739</v>
      </c>
      <c r="H201" s="188" t="s">
        <v>271</v>
      </c>
      <c r="I201" s="188" t="s">
        <v>285</v>
      </c>
      <c r="J201" s="56" t="str">
        <f t="shared" si="19"/>
        <v>Desplegar en el territori les campanyes de sensibilització i bones pràctiques que s'impulsin des de la DG</v>
      </c>
      <c r="K201" s="56"/>
      <c r="L201" s="31"/>
      <c r="M201" s="57" t="s">
        <v>286</v>
      </c>
      <c r="N201" s="31" t="s">
        <v>740</v>
      </c>
      <c r="O201" s="65" t="s">
        <v>701</v>
      </c>
      <c r="P201" s="54" t="s">
        <v>741</v>
      </c>
      <c r="Q201" s="54" t="s">
        <v>1328</v>
      </c>
      <c r="R201" s="31" t="s">
        <v>1330</v>
      </c>
      <c r="S201" s="163">
        <v>4</v>
      </c>
      <c r="T201" s="163">
        <v>8</v>
      </c>
      <c r="U201" s="163">
        <v>0.12</v>
      </c>
      <c r="V201" s="163">
        <f>PLA!U201*Llistes!$L$11*Llistes!$L$12</f>
        <v>16</v>
      </c>
      <c r="W201" s="60" t="s">
        <v>412</v>
      </c>
      <c r="X201" s="60" t="str">
        <f>IF(W201=Llistes!$K$2,Llistes!$L$2,IF(W201=Llistes!$K$3,Llistes!$L$3,IF(W201=Llistes!$K$4,Llistes!$L$4,IF(W201=Llistes!$K$5,Llistes!$L$5,IF(W201=Llistes!$K$6,Llistes!$L$6,IF(W201=Llistes!$K$7,Llistes!$L$7,""))))))</f>
        <v>Ivan Bustamante</v>
      </c>
      <c r="Y201" s="165" t="s">
        <v>994</v>
      </c>
      <c r="Z201" s="165" t="s">
        <v>994</v>
      </c>
      <c r="AA201" s="165" t="s">
        <v>994</v>
      </c>
      <c r="AB201" s="165" t="s">
        <v>994</v>
      </c>
      <c r="AC201" s="147"/>
    </row>
    <row r="202" spans="1:29" ht="43.5">
      <c r="A202" s="26" t="s">
        <v>693</v>
      </c>
      <c r="B202" s="195"/>
      <c r="C202" s="194"/>
      <c r="D202" s="306"/>
      <c r="E202" s="405"/>
      <c r="F202" s="186" t="s">
        <v>738</v>
      </c>
      <c r="G202" s="187" t="s">
        <v>739</v>
      </c>
      <c r="H202" s="188" t="s">
        <v>271</v>
      </c>
      <c r="I202" s="188" t="s">
        <v>285</v>
      </c>
      <c r="J202" s="56" t="str">
        <f t="shared" ref="J202" si="22">G202</f>
        <v>Desplegar en el territori les campanyes de sensibilització i bones pràctiques que s'impulsin des de la DG</v>
      </c>
      <c r="K202" s="56"/>
      <c r="L202" s="31"/>
      <c r="M202" s="57" t="s">
        <v>286</v>
      </c>
      <c r="N202" s="31"/>
      <c r="O202" s="65"/>
      <c r="P202" s="54"/>
      <c r="Q202" s="54" t="s">
        <v>1329</v>
      </c>
      <c r="R202" s="31" t="s">
        <v>1331</v>
      </c>
      <c r="S202" s="163"/>
      <c r="T202" s="163" t="s">
        <v>1043</v>
      </c>
      <c r="U202" s="163">
        <v>0.03</v>
      </c>
      <c r="V202" s="163">
        <f>PLA!U202*Llistes!$L$11*Llistes!$L$12</f>
        <v>4</v>
      </c>
      <c r="W202" s="60" t="s">
        <v>412</v>
      </c>
      <c r="X202" s="60" t="str">
        <f>IF(W202=Llistes!$K$2,Llistes!$L$2,IF(W202=Llistes!$K$3,Llistes!$L$3,IF(W202=Llistes!$K$4,Llistes!$L$4,IF(W202=Llistes!$K$5,Llistes!$L$5,IF(W202=Llistes!$K$6,Llistes!$L$6,IF(W202=Llistes!$K$7,Llistes!$L$7,""))))))</f>
        <v>Ivan Bustamante</v>
      </c>
      <c r="Y202" s="165" t="s">
        <v>994</v>
      </c>
      <c r="Z202" s="165" t="s">
        <v>994</v>
      </c>
      <c r="AA202" s="165" t="s">
        <v>994</v>
      </c>
      <c r="AB202" s="165" t="s">
        <v>994</v>
      </c>
      <c r="AC202" s="147"/>
    </row>
    <row r="203" spans="1:29" ht="58">
      <c r="A203" s="26" t="s">
        <v>693</v>
      </c>
      <c r="B203" s="195"/>
      <c r="C203" s="194"/>
      <c r="D203" s="306"/>
      <c r="E203" s="405"/>
      <c r="F203" s="186" t="s">
        <v>742</v>
      </c>
      <c r="G203" s="187" t="s">
        <v>743</v>
      </c>
      <c r="H203" s="188" t="s">
        <v>271</v>
      </c>
      <c r="I203" s="188" t="s">
        <v>285</v>
      </c>
      <c r="J203" s="56" t="str">
        <f t="shared" si="19"/>
        <v xml:space="preserve">Adaptar el programa de divulgació i sensibilització de l'ENP perquè incorpori una oferta d’activitats adequada per a famílies </v>
      </c>
      <c r="K203" s="56"/>
      <c r="L203" s="31"/>
      <c r="M203" s="57" t="s">
        <v>273</v>
      </c>
      <c r="N203" s="31" t="s">
        <v>744</v>
      </c>
      <c r="O203" s="65" t="s">
        <v>701</v>
      </c>
      <c r="P203" s="67"/>
      <c r="Q203" s="54" t="s">
        <v>1332</v>
      </c>
      <c r="R203" s="31" t="s">
        <v>1373</v>
      </c>
      <c r="S203" s="163">
        <v>2</v>
      </c>
      <c r="T203" s="163">
        <v>4</v>
      </c>
      <c r="U203" s="163">
        <v>0.09</v>
      </c>
      <c r="V203" s="163">
        <f>PLA!U203*Llistes!$L$11*Llistes!$L$12</f>
        <v>12</v>
      </c>
      <c r="W203" s="60" t="s">
        <v>412</v>
      </c>
      <c r="X203" s="60" t="str">
        <f>IF(W203=Llistes!$K$2,Llistes!$L$2,IF(W203=Llistes!$K$3,Llistes!$L$3,IF(W203=Llistes!$K$4,Llistes!$L$4,IF(W203=Llistes!$K$5,Llistes!$L$5,IF(W203=Llistes!$K$6,Llistes!$L$6,IF(W203=Llistes!$K$7,Llistes!$L$7,""))))))</f>
        <v>Ivan Bustamante</v>
      </c>
      <c r="Y203" s="165" t="s">
        <v>994</v>
      </c>
      <c r="Z203" s="165" t="s">
        <v>994</v>
      </c>
      <c r="AA203" s="165" t="s">
        <v>994</v>
      </c>
      <c r="AB203" s="165" t="s">
        <v>994</v>
      </c>
      <c r="AC203" s="147"/>
    </row>
    <row r="204" spans="1:29" ht="43.5">
      <c r="A204" s="26" t="s">
        <v>693</v>
      </c>
      <c r="B204" s="195"/>
      <c r="C204" s="194"/>
      <c r="D204" s="306"/>
      <c r="E204" s="405"/>
      <c r="F204" s="186" t="s">
        <v>742</v>
      </c>
      <c r="G204" s="187" t="s">
        <v>743</v>
      </c>
      <c r="H204" s="188" t="s">
        <v>271</v>
      </c>
      <c r="I204" s="188" t="s">
        <v>285</v>
      </c>
      <c r="J204" s="56" t="str">
        <f t="shared" ref="J204:J205" si="23">G204</f>
        <v xml:space="preserve">Adaptar el programa de divulgació i sensibilització de l'ENP perquè incorpori una oferta d’activitats adequada per a famílies </v>
      </c>
      <c r="K204" s="56"/>
      <c r="L204" s="31"/>
      <c r="M204" s="57" t="s">
        <v>305</v>
      </c>
      <c r="N204" s="31"/>
      <c r="O204" s="65"/>
      <c r="P204" s="67"/>
      <c r="Q204" s="54" t="s">
        <v>1334</v>
      </c>
      <c r="R204" s="31" t="s">
        <v>1374</v>
      </c>
      <c r="S204" s="163"/>
      <c r="T204" s="163" t="s">
        <v>1043</v>
      </c>
      <c r="U204" s="163">
        <v>0.06</v>
      </c>
      <c r="V204" s="163">
        <f>PLA!U204*Llistes!$L$11*Llistes!$L$12</f>
        <v>8</v>
      </c>
      <c r="W204" s="60" t="s">
        <v>412</v>
      </c>
      <c r="X204" s="60" t="str">
        <f>IF(W204=Llistes!$K$2,Llistes!$L$2,IF(W204=Llistes!$K$3,Llistes!$L$3,IF(W204=Llistes!$K$4,Llistes!$L$4,IF(W204=Llistes!$K$5,Llistes!$L$5,IF(W204=Llistes!$K$6,Llistes!$L$6,IF(W204=Llistes!$K$7,Llistes!$L$7,""))))))</f>
        <v>Ivan Bustamante</v>
      </c>
      <c r="Y204" s="165" t="s">
        <v>994</v>
      </c>
      <c r="Z204" s="165" t="s">
        <v>994</v>
      </c>
      <c r="AA204" s="165" t="s">
        <v>994</v>
      </c>
      <c r="AB204" s="165" t="s">
        <v>994</v>
      </c>
      <c r="AC204" s="147"/>
    </row>
    <row r="205" spans="1:29" ht="43.5">
      <c r="A205" s="26" t="s">
        <v>693</v>
      </c>
      <c r="B205" s="195"/>
      <c r="C205" s="194"/>
      <c r="D205" s="306"/>
      <c r="E205" s="405"/>
      <c r="F205" s="186" t="s">
        <v>742</v>
      </c>
      <c r="G205" s="187" t="s">
        <v>743</v>
      </c>
      <c r="H205" s="188" t="s">
        <v>271</v>
      </c>
      <c r="I205" s="188" t="s">
        <v>285</v>
      </c>
      <c r="J205" s="56" t="str">
        <f t="shared" si="23"/>
        <v xml:space="preserve">Adaptar el programa de divulgació i sensibilització de l'ENP perquè incorpori una oferta d’activitats adequada per a famílies </v>
      </c>
      <c r="K205" s="56"/>
      <c r="L205" s="31"/>
      <c r="M205" s="57" t="s">
        <v>305</v>
      </c>
      <c r="N205" s="31"/>
      <c r="O205" s="65"/>
      <c r="P205" s="67"/>
      <c r="Q205" s="59" t="s">
        <v>1333</v>
      </c>
      <c r="R205" s="31" t="s">
        <v>1375</v>
      </c>
      <c r="S205" s="163">
        <v>2</v>
      </c>
      <c r="T205" s="163">
        <v>4</v>
      </c>
      <c r="U205" s="163">
        <v>0.06</v>
      </c>
      <c r="V205" s="163">
        <f>PLA!U205*Llistes!$L$11*Llistes!$L$12</f>
        <v>8</v>
      </c>
      <c r="W205" s="60" t="s">
        <v>412</v>
      </c>
      <c r="X205" s="60" t="str">
        <f>IF(W205=Llistes!$K$2,Llistes!$L$2,IF(W205=Llistes!$K$3,Llistes!$L$3,IF(W205=Llistes!$K$4,Llistes!$L$4,IF(W205=Llistes!$K$5,Llistes!$L$5,IF(W205=Llistes!$K$6,Llistes!$L$6,IF(W205=Llistes!$K$7,Llistes!$L$7,""))))))</f>
        <v>Ivan Bustamante</v>
      </c>
      <c r="Y205" s="165" t="s">
        <v>994</v>
      </c>
      <c r="Z205" s="165" t="s">
        <v>994</v>
      </c>
      <c r="AA205" s="165" t="s">
        <v>994</v>
      </c>
      <c r="AB205" s="165" t="s">
        <v>994</v>
      </c>
      <c r="AC205" s="147"/>
    </row>
    <row r="206" spans="1:29" ht="43.5">
      <c r="A206" s="26" t="s">
        <v>693</v>
      </c>
      <c r="B206" s="195"/>
      <c r="C206" s="194"/>
      <c r="D206" s="306"/>
      <c r="E206" s="405"/>
      <c r="F206" s="186" t="s">
        <v>1570</v>
      </c>
      <c r="G206" s="189" t="s">
        <v>1571</v>
      </c>
      <c r="H206" s="188" t="s">
        <v>271</v>
      </c>
      <c r="I206" s="188" t="s">
        <v>279</v>
      </c>
      <c r="J206" s="56"/>
      <c r="K206" s="56"/>
      <c r="L206" s="31"/>
      <c r="M206" s="57"/>
      <c r="N206" s="31"/>
      <c r="O206" s="65"/>
      <c r="P206" s="67"/>
      <c r="Q206" s="59"/>
      <c r="R206" s="31"/>
      <c r="S206" s="163"/>
      <c r="T206" s="163"/>
      <c r="U206" s="163"/>
      <c r="V206" s="163"/>
      <c r="W206" s="60"/>
      <c r="X206" s="60"/>
      <c r="Y206" s="165"/>
      <c r="Z206" s="165"/>
      <c r="AA206" s="165"/>
      <c r="AB206" s="165"/>
      <c r="AC206" s="147"/>
    </row>
    <row r="207" spans="1:29" ht="43.5">
      <c r="A207" s="26" t="s">
        <v>693</v>
      </c>
      <c r="B207" s="195"/>
      <c r="C207" s="194"/>
      <c r="D207" s="307"/>
      <c r="E207" s="406"/>
      <c r="F207" s="186" t="s">
        <v>1572</v>
      </c>
      <c r="G207" s="187" t="s">
        <v>1573</v>
      </c>
      <c r="H207" s="188" t="s">
        <v>271</v>
      </c>
      <c r="I207" s="188" t="s">
        <v>279</v>
      </c>
      <c r="J207" s="56"/>
      <c r="K207" s="56"/>
      <c r="L207" s="31"/>
      <c r="M207" s="57"/>
      <c r="N207" s="31"/>
      <c r="O207" s="65"/>
      <c r="P207" s="67"/>
      <c r="Q207" s="59"/>
      <c r="R207" s="31"/>
      <c r="S207" s="163"/>
      <c r="T207" s="163"/>
      <c r="U207" s="163"/>
      <c r="V207" s="163"/>
      <c r="W207" s="60"/>
      <c r="X207" s="60"/>
      <c r="Y207" s="165"/>
      <c r="Z207" s="165"/>
      <c r="AA207" s="165"/>
      <c r="AB207" s="165"/>
      <c r="AC207" s="147"/>
    </row>
    <row r="208" spans="1:29" ht="29.15" customHeight="1">
      <c r="A208" s="26" t="s">
        <v>693</v>
      </c>
      <c r="B208" s="195"/>
      <c r="C208" s="194"/>
      <c r="D208" s="267" t="s">
        <v>745</v>
      </c>
      <c r="E208" s="407" t="s">
        <v>746</v>
      </c>
      <c r="F208" s="186" t="s">
        <v>747</v>
      </c>
      <c r="G208" s="189" t="s">
        <v>748</v>
      </c>
      <c r="H208" s="188" t="s">
        <v>271</v>
      </c>
      <c r="I208" s="188" t="s">
        <v>285</v>
      </c>
      <c r="J208" s="56" t="str">
        <f t="shared" si="19"/>
        <v>Identificar col·lectius estratègics implicats en la gestió i l'ús del territori</v>
      </c>
      <c r="K208" s="56"/>
      <c r="L208" s="68"/>
      <c r="M208" s="57" t="s">
        <v>273</v>
      </c>
      <c r="N208" s="31" t="s">
        <v>749</v>
      </c>
      <c r="O208" s="65" t="s">
        <v>701</v>
      </c>
      <c r="P208" s="59"/>
      <c r="Q208" s="59" t="s">
        <v>749</v>
      </c>
      <c r="R208" s="31" t="s">
        <v>1376</v>
      </c>
      <c r="S208" s="163"/>
      <c r="T208" s="163" t="s">
        <v>1043</v>
      </c>
      <c r="U208" s="163">
        <v>0.03</v>
      </c>
      <c r="V208" s="163">
        <f>PLA!U208*Llistes!$L$11*Llistes!$L$12</f>
        <v>4</v>
      </c>
      <c r="W208" s="60" t="s">
        <v>291</v>
      </c>
      <c r="X208" s="60" t="str">
        <f>IF(W208=Llistes!$K$2,Llistes!$L$2,IF(W208=Llistes!$K$3,Llistes!$L$3,IF(W208=Llistes!$K$4,Llistes!$L$4,IF(W208=Llistes!$K$5,Llistes!$L$5,IF(W208=Llistes!$K$6,Llistes!$L$6,IF(W208=Llistes!$K$7,Llistes!$L$7,""))))))</f>
        <v>Gerard Carrion</v>
      </c>
      <c r="Y208" s="165" t="s">
        <v>994</v>
      </c>
      <c r="Z208" s="165" t="s">
        <v>994</v>
      </c>
      <c r="AA208" s="165" t="s">
        <v>994</v>
      </c>
      <c r="AB208" s="165" t="s">
        <v>994</v>
      </c>
      <c r="AC208" s="147"/>
    </row>
    <row r="209" spans="1:29" ht="58">
      <c r="A209" s="26" t="s">
        <v>693</v>
      </c>
      <c r="B209" s="195"/>
      <c r="C209" s="194"/>
      <c r="D209" s="306"/>
      <c r="E209" s="408"/>
      <c r="F209" s="186" t="s">
        <v>750</v>
      </c>
      <c r="G209" s="189" t="s">
        <v>751</v>
      </c>
      <c r="H209" s="188" t="s">
        <v>271</v>
      </c>
      <c r="I209" s="188" t="s">
        <v>285</v>
      </c>
      <c r="J209" s="56" t="str">
        <f t="shared" si="19"/>
        <v>Elaborar i renovar periòdicament un programa d’educació ambiental adreçat a la població local que contribueixi a fomentar el sentiment de pertinença i la implicació en la conservació de l'ENP.</v>
      </c>
      <c r="K209" s="56"/>
      <c r="L209" s="31"/>
      <c r="M209" s="57" t="s">
        <v>273</v>
      </c>
      <c r="N209" s="31" t="s">
        <v>752</v>
      </c>
      <c r="O209" s="65" t="s">
        <v>701</v>
      </c>
      <c r="P209" s="59"/>
      <c r="Q209" s="59" t="s">
        <v>1335</v>
      </c>
      <c r="R209" s="31" t="s">
        <v>1377</v>
      </c>
      <c r="S209" s="163"/>
      <c r="T209" s="163" t="s">
        <v>1043</v>
      </c>
      <c r="U209" s="163">
        <v>0.6</v>
      </c>
      <c r="V209" s="163">
        <f>PLA!U209*Llistes!$L$11*Llistes!$L$12</f>
        <v>80</v>
      </c>
      <c r="W209" s="60" t="s">
        <v>412</v>
      </c>
      <c r="X209" s="60" t="str">
        <f>IF(W209=Llistes!$K$2,Llistes!$L$2,IF(W209=Llistes!$K$3,Llistes!$L$3,IF(W209=Llistes!$K$4,Llistes!$L$4,IF(W209=Llistes!$K$5,Llistes!$L$5,IF(W209=Llistes!$K$6,Llistes!$L$6,IF(W209=Llistes!$K$7,Llistes!$L$7,""))))))</f>
        <v>Ivan Bustamante</v>
      </c>
      <c r="Y209" s="165" t="s">
        <v>994</v>
      </c>
      <c r="Z209" s="165" t="s">
        <v>994</v>
      </c>
      <c r="AA209" s="165" t="s">
        <v>994</v>
      </c>
      <c r="AB209" s="165" t="s">
        <v>994</v>
      </c>
      <c r="AC209" s="147"/>
    </row>
    <row r="210" spans="1:29" ht="29">
      <c r="A210" s="26" t="s">
        <v>693</v>
      </c>
      <c r="B210" s="195"/>
      <c r="C210" s="194"/>
      <c r="D210" s="306"/>
      <c r="E210" s="408"/>
      <c r="F210" s="186" t="s">
        <v>1574</v>
      </c>
      <c r="G210" s="187" t="s">
        <v>1575</v>
      </c>
      <c r="H210" s="188" t="s">
        <v>271</v>
      </c>
      <c r="I210" s="188" t="s">
        <v>279</v>
      </c>
      <c r="J210" s="56"/>
      <c r="K210" s="56"/>
      <c r="L210" s="31"/>
      <c r="M210" s="57"/>
      <c r="N210" s="31"/>
      <c r="O210" s="65"/>
      <c r="P210" s="59"/>
      <c r="Q210" s="59"/>
      <c r="R210" s="31"/>
      <c r="S210" s="163"/>
      <c r="T210" s="163"/>
      <c r="U210" s="163"/>
      <c r="V210" s="163"/>
      <c r="W210" s="60"/>
      <c r="X210" s="60"/>
      <c r="Y210" s="165"/>
      <c r="Z210" s="165"/>
      <c r="AA210" s="165"/>
      <c r="AB210" s="165"/>
      <c r="AC210" s="147"/>
    </row>
    <row r="211" spans="1:29" ht="29">
      <c r="A211" s="26" t="s">
        <v>693</v>
      </c>
      <c r="B211" s="195"/>
      <c r="C211" s="194"/>
      <c r="D211" s="306"/>
      <c r="E211" s="408"/>
      <c r="F211" s="186" t="s">
        <v>1576</v>
      </c>
      <c r="G211" s="187" t="s">
        <v>1577</v>
      </c>
      <c r="H211" s="188" t="s">
        <v>271</v>
      </c>
      <c r="I211" s="188" t="s">
        <v>279</v>
      </c>
      <c r="J211" s="56"/>
      <c r="K211" s="56"/>
      <c r="L211" s="31"/>
      <c r="M211" s="57"/>
      <c r="N211" s="31"/>
      <c r="O211" s="65"/>
      <c r="P211" s="59"/>
      <c r="Q211" s="59"/>
      <c r="R211" s="31"/>
      <c r="S211" s="163"/>
      <c r="T211" s="163"/>
      <c r="U211" s="163"/>
      <c r="V211" s="163"/>
      <c r="W211" s="60"/>
      <c r="X211" s="60"/>
      <c r="Y211" s="165"/>
      <c r="Z211" s="165"/>
      <c r="AA211" s="165"/>
      <c r="AB211" s="165"/>
      <c r="AC211" s="147"/>
    </row>
    <row r="212" spans="1:29" ht="58">
      <c r="A212" s="26" t="s">
        <v>693</v>
      </c>
      <c r="B212" s="195"/>
      <c r="C212" s="194"/>
      <c r="D212" s="307"/>
      <c r="E212" s="409"/>
      <c r="F212" s="186" t="s">
        <v>1578</v>
      </c>
      <c r="G212" s="189" t="s">
        <v>751</v>
      </c>
      <c r="H212" s="188" t="s">
        <v>271</v>
      </c>
      <c r="I212" s="188" t="s">
        <v>285</v>
      </c>
      <c r="J212" s="56"/>
      <c r="K212" s="56"/>
      <c r="L212" s="31"/>
      <c r="M212" s="57"/>
      <c r="N212" s="31"/>
      <c r="O212" s="65"/>
      <c r="P212" s="59"/>
      <c r="Q212" s="59"/>
      <c r="R212" s="31"/>
      <c r="S212" s="163"/>
      <c r="T212" s="163"/>
      <c r="U212" s="163"/>
      <c r="V212" s="163"/>
      <c r="W212" s="60"/>
      <c r="X212" s="60"/>
      <c r="Y212" s="165"/>
      <c r="Z212" s="165"/>
      <c r="AA212" s="165"/>
      <c r="AB212" s="165"/>
      <c r="AC212" s="147"/>
    </row>
    <row r="213" spans="1:29" ht="43.5">
      <c r="A213" s="26" t="s">
        <v>693</v>
      </c>
      <c r="B213" s="195"/>
      <c r="C213" s="194"/>
      <c r="D213" s="267" t="s">
        <v>753</v>
      </c>
      <c r="E213" s="410" t="s">
        <v>754</v>
      </c>
      <c r="F213" s="186" t="s">
        <v>755</v>
      </c>
      <c r="G213" s="187" t="s">
        <v>756</v>
      </c>
      <c r="H213" s="188" t="s">
        <v>271</v>
      </c>
      <c r="I213" s="188" t="s">
        <v>285</v>
      </c>
      <c r="J213" s="56" t="str">
        <f t="shared" si="19"/>
        <v>Identificar els programes, projectes i accions en marxa o previstos a l’ENP que poden rebre el suport del voluntariat</v>
      </c>
      <c r="K213" s="56" t="s">
        <v>757</v>
      </c>
      <c r="L213" s="31"/>
      <c r="M213" s="57" t="s">
        <v>273</v>
      </c>
      <c r="N213" s="31"/>
      <c r="O213" s="65" t="s">
        <v>701</v>
      </c>
      <c r="P213" s="59"/>
      <c r="Q213" s="59" t="s">
        <v>1336</v>
      </c>
      <c r="R213" s="31" t="s">
        <v>1378</v>
      </c>
      <c r="S213" s="163">
        <v>2</v>
      </c>
      <c r="T213" s="163">
        <v>3</v>
      </c>
      <c r="U213" s="163">
        <v>0.09</v>
      </c>
      <c r="V213" s="163">
        <f>PLA!U213*Llistes!$L$11*Llistes!$L$12</f>
        <v>12</v>
      </c>
      <c r="W213" s="60" t="s">
        <v>412</v>
      </c>
      <c r="X213" s="60" t="str">
        <f>IF(W213=Llistes!$K$2,Llistes!$L$2,IF(W213=Llistes!$K$3,Llistes!$L$3,IF(W213=Llistes!$K$4,Llistes!$L$4,IF(W213=Llistes!$K$5,Llistes!$L$5,IF(W213=Llistes!$K$6,Llistes!$L$6,IF(W213=Llistes!$K$7,Llistes!$L$7,""))))))</f>
        <v>Ivan Bustamante</v>
      </c>
      <c r="Y213" s="165" t="s">
        <v>994</v>
      </c>
      <c r="Z213" s="165" t="s">
        <v>994</v>
      </c>
      <c r="AA213" s="165" t="s">
        <v>994</v>
      </c>
      <c r="AB213" s="165" t="s">
        <v>994</v>
      </c>
      <c r="AC213" s="147"/>
    </row>
    <row r="214" spans="1:29" ht="58">
      <c r="A214" s="26" t="s">
        <v>693</v>
      </c>
      <c r="B214" s="195"/>
      <c r="C214" s="194"/>
      <c r="D214" s="306"/>
      <c r="E214" s="411"/>
      <c r="F214" s="186" t="s">
        <v>755</v>
      </c>
      <c r="G214" s="187" t="s">
        <v>756</v>
      </c>
      <c r="H214" s="188" t="s">
        <v>271</v>
      </c>
      <c r="I214" s="188" t="s">
        <v>285</v>
      </c>
      <c r="J214" s="56" t="str">
        <f t="shared" ref="J214" si="24">G214</f>
        <v>Identificar els programes, projectes i accions en marxa o previstos a l’ENP que poden rebre el suport del voluntariat</v>
      </c>
      <c r="K214" s="56" t="s">
        <v>757</v>
      </c>
      <c r="L214" s="31"/>
      <c r="M214" s="57" t="s">
        <v>286</v>
      </c>
      <c r="N214" s="31"/>
      <c r="O214" s="65"/>
      <c r="P214" s="59"/>
      <c r="Q214" s="59" t="s">
        <v>1337</v>
      </c>
      <c r="R214" s="31" t="s">
        <v>1379</v>
      </c>
      <c r="S214" s="163">
        <v>2</v>
      </c>
      <c r="T214" s="163">
        <v>3</v>
      </c>
      <c r="U214" s="163">
        <v>0.09</v>
      </c>
      <c r="V214" s="163">
        <f>PLA!U214*Llistes!$L$11*Llistes!$L$12</f>
        <v>12</v>
      </c>
      <c r="W214" s="60" t="s">
        <v>412</v>
      </c>
      <c r="X214" s="60" t="str">
        <f>IF(W214=Llistes!$K$2,Llistes!$L$2,IF(W214=Llistes!$K$3,Llistes!$L$3,IF(W214=Llistes!$K$4,Llistes!$L$4,IF(W214=Llistes!$K$5,Llistes!$L$5,IF(W214=Llistes!$K$6,Llistes!$L$6,IF(W214=Llistes!$K$7,Llistes!$L$7,""))))))</f>
        <v>Ivan Bustamante</v>
      </c>
      <c r="Y214" s="165" t="s">
        <v>994</v>
      </c>
      <c r="Z214" s="165" t="s">
        <v>994</v>
      </c>
      <c r="AA214" s="165" t="s">
        <v>994</v>
      </c>
      <c r="AB214" s="165" t="s">
        <v>994</v>
      </c>
      <c r="AC214" s="147"/>
    </row>
    <row r="215" spans="1:29" ht="116">
      <c r="A215" s="26" t="s">
        <v>693</v>
      </c>
      <c r="B215" s="195"/>
      <c r="C215" s="194"/>
      <c r="D215" s="306"/>
      <c r="E215" s="411"/>
      <c r="F215" s="186" t="s">
        <v>758</v>
      </c>
      <c r="G215" s="187" t="s">
        <v>759</v>
      </c>
      <c r="H215" s="188" t="s">
        <v>271</v>
      </c>
      <c r="I215" s="188" t="s">
        <v>285</v>
      </c>
      <c r="J215" s="56" t="s">
        <v>760</v>
      </c>
      <c r="K215" s="56" t="s">
        <v>761</v>
      </c>
      <c r="L215" s="31"/>
      <c r="M215" s="57" t="s">
        <v>286</v>
      </c>
      <c r="N215" s="31" t="s">
        <v>762</v>
      </c>
      <c r="O215" s="62" t="s">
        <v>763</v>
      </c>
      <c r="P215" s="59" t="s">
        <v>764</v>
      </c>
      <c r="Q215" s="59" t="s">
        <v>1338</v>
      </c>
      <c r="R215" s="31" t="s">
        <v>1406</v>
      </c>
      <c r="S215" s="163">
        <v>1</v>
      </c>
      <c r="T215" s="163">
        <v>2</v>
      </c>
      <c r="U215" s="163">
        <v>0.06</v>
      </c>
      <c r="V215" s="163">
        <f>PLA!U215*Llistes!$L$11*Llistes!$L$12</f>
        <v>8</v>
      </c>
      <c r="W215" s="60" t="s">
        <v>412</v>
      </c>
      <c r="X215" s="60" t="str">
        <f>IF(W215=Llistes!$K$2,Llistes!$L$2,IF(W215=Llistes!$K$3,Llistes!$L$3,IF(W215=Llistes!$K$4,Llistes!$L$4,IF(W215=Llistes!$K$5,Llistes!$L$5,IF(W215=Llistes!$K$6,Llistes!$L$6,IF(W215=Llistes!$K$7,Llistes!$L$7,""))))))</f>
        <v>Ivan Bustamante</v>
      </c>
      <c r="Y215" s="165" t="s">
        <v>994</v>
      </c>
      <c r="Z215" s="165" t="s">
        <v>994</v>
      </c>
      <c r="AA215" s="165" t="s">
        <v>994</v>
      </c>
      <c r="AB215" s="165" t="s">
        <v>994</v>
      </c>
      <c r="AC215" s="147"/>
    </row>
    <row r="216" spans="1:29" ht="29">
      <c r="A216" s="26"/>
      <c r="B216" s="195"/>
      <c r="C216" s="194"/>
      <c r="D216" s="307"/>
      <c r="E216" s="412"/>
      <c r="F216" s="186" t="s">
        <v>1499</v>
      </c>
      <c r="G216" s="187" t="s">
        <v>1500</v>
      </c>
      <c r="H216" s="188" t="s">
        <v>271</v>
      </c>
      <c r="I216" s="188" t="s">
        <v>285</v>
      </c>
      <c r="J216" s="56"/>
      <c r="K216" s="56"/>
      <c r="L216" s="31"/>
      <c r="M216" s="57"/>
      <c r="N216" s="31"/>
      <c r="O216" s="62"/>
      <c r="P216" s="59"/>
      <c r="Q216" s="59"/>
      <c r="R216" s="31"/>
      <c r="S216" s="163"/>
      <c r="T216" s="163"/>
      <c r="U216" s="163"/>
      <c r="V216" s="163"/>
      <c r="W216" s="60"/>
      <c r="X216" s="60"/>
      <c r="Y216" s="165"/>
      <c r="Z216" s="165"/>
      <c r="AA216" s="165"/>
      <c r="AB216" s="165"/>
      <c r="AC216" s="147"/>
    </row>
    <row r="217" spans="1:29" ht="29">
      <c r="A217" s="26" t="s">
        <v>693</v>
      </c>
      <c r="B217" s="195"/>
      <c r="C217" s="194"/>
      <c r="D217" s="267" t="s">
        <v>1459</v>
      </c>
      <c r="E217" s="413" t="s">
        <v>1458</v>
      </c>
      <c r="F217" s="192" t="s">
        <v>765</v>
      </c>
      <c r="G217" s="187" t="s">
        <v>1579</v>
      </c>
      <c r="H217" s="188" t="s">
        <v>271</v>
      </c>
      <c r="I217" s="188" t="s">
        <v>285</v>
      </c>
      <c r="J217" s="56"/>
      <c r="K217" s="56"/>
      <c r="L217" s="31"/>
      <c r="M217" s="57"/>
      <c r="N217" s="31"/>
      <c r="O217" s="62"/>
      <c r="P217" s="59"/>
      <c r="Q217" s="59"/>
      <c r="R217" s="31"/>
      <c r="S217" s="163"/>
      <c r="T217" s="163"/>
      <c r="U217" s="163"/>
      <c r="V217" s="163"/>
      <c r="W217" s="60"/>
      <c r="X217" s="60"/>
      <c r="Y217" s="165"/>
      <c r="Z217" s="165"/>
      <c r="AA217" s="165"/>
      <c r="AB217" s="165"/>
      <c r="AC217" s="147"/>
    </row>
    <row r="218" spans="1:29" ht="43.5">
      <c r="A218" s="26" t="s">
        <v>693</v>
      </c>
      <c r="B218" s="195"/>
      <c r="C218" s="194"/>
      <c r="D218" s="306"/>
      <c r="E218" s="314"/>
      <c r="F218" s="192" t="s">
        <v>1580</v>
      </c>
      <c r="G218" s="187" t="s">
        <v>1581</v>
      </c>
      <c r="H218" s="188" t="s">
        <v>271</v>
      </c>
      <c r="I218" s="188" t="s">
        <v>279</v>
      </c>
      <c r="J218" s="56"/>
      <c r="K218" s="56"/>
      <c r="L218" s="31"/>
      <c r="M218" s="57"/>
      <c r="N218" s="31"/>
      <c r="O218" s="62"/>
      <c r="P218" s="59"/>
      <c r="Q218" s="59"/>
      <c r="R218" s="31"/>
      <c r="S218" s="163"/>
      <c r="T218" s="163"/>
      <c r="U218" s="163"/>
      <c r="V218" s="163"/>
      <c r="W218" s="60"/>
      <c r="X218" s="60"/>
      <c r="Y218" s="165"/>
      <c r="Z218" s="165"/>
      <c r="AA218" s="165"/>
      <c r="AB218" s="165"/>
      <c r="AC218" s="147"/>
    </row>
    <row r="219" spans="1:29" ht="43.5">
      <c r="A219" s="26" t="s">
        <v>693</v>
      </c>
      <c r="B219" s="195"/>
      <c r="C219" s="194"/>
      <c r="D219" s="307"/>
      <c r="E219" s="315"/>
      <c r="F219" s="192" t="s">
        <v>1582</v>
      </c>
      <c r="G219" s="187" t="s">
        <v>766</v>
      </c>
      <c r="H219" s="188" t="s">
        <v>271</v>
      </c>
      <c r="I219" s="188" t="s">
        <v>285</v>
      </c>
      <c r="J219" s="56" t="str">
        <f t="shared" si="19"/>
        <v>Incorporar la perspectiva de gènere als continguts i activitats de l'ENP</v>
      </c>
      <c r="K219" s="56" t="s">
        <v>767</v>
      </c>
      <c r="L219" s="31"/>
      <c r="M219" s="57" t="s">
        <v>286</v>
      </c>
      <c r="N219" s="31"/>
      <c r="O219" s="65" t="s">
        <v>701</v>
      </c>
      <c r="P219" s="59"/>
      <c r="Q219" s="59" t="s">
        <v>768</v>
      </c>
      <c r="R219" s="31" t="s">
        <v>1380</v>
      </c>
      <c r="S219" s="163"/>
      <c r="T219" s="163" t="s">
        <v>1043</v>
      </c>
      <c r="U219" s="163">
        <v>0.03</v>
      </c>
      <c r="V219" s="163">
        <f>PLA!U219*Llistes!$L$11*Llistes!$L$12</f>
        <v>4</v>
      </c>
      <c r="W219" s="60" t="s">
        <v>412</v>
      </c>
      <c r="X219" s="60" t="str">
        <f>IF(W219=Llistes!$K$2,Llistes!$L$2,IF(W219=Llistes!$K$3,Llistes!$L$3,IF(W219=Llistes!$K$4,Llistes!$L$4,IF(W219=Llistes!$K$5,Llistes!$L$5,IF(W219=Llistes!$K$6,Llistes!$L$6,IF(W219=Llistes!$K$7,Llistes!$L$7,""))))))</f>
        <v>Ivan Bustamante</v>
      </c>
      <c r="Y219" s="165" t="s">
        <v>994</v>
      </c>
      <c r="Z219" s="165" t="s">
        <v>994</v>
      </c>
      <c r="AA219" s="165" t="s">
        <v>994</v>
      </c>
      <c r="AB219" s="165" t="s">
        <v>994</v>
      </c>
      <c r="AC219" s="147"/>
    </row>
    <row r="220" spans="1:29" ht="43.5">
      <c r="A220" s="26" t="s">
        <v>693</v>
      </c>
      <c r="B220" s="195"/>
      <c r="C220" s="194"/>
      <c r="D220" s="311" t="s">
        <v>769</v>
      </c>
      <c r="E220" s="308" t="s">
        <v>770</v>
      </c>
      <c r="F220" s="192" t="s">
        <v>771</v>
      </c>
      <c r="G220" s="187" t="s">
        <v>772</v>
      </c>
      <c r="H220" s="188" t="s">
        <v>271</v>
      </c>
      <c r="I220" s="188" t="s">
        <v>279</v>
      </c>
      <c r="J220" s="56" t="str">
        <f t="shared" si="19"/>
        <v>Dissenyar, implementar i fomentar itineraris saludables dins dels itineraris oficials dels ENP i en la zona d'influència</v>
      </c>
      <c r="K220" s="56"/>
      <c r="L220" s="31"/>
      <c r="M220" s="57" t="s">
        <v>305</v>
      </c>
      <c r="N220" s="31" t="s">
        <v>773</v>
      </c>
      <c r="O220" s="65" t="s">
        <v>701</v>
      </c>
      <c r="P220" s="59"/>
      <c r="Q220" s="59" t="s">
        <v>1339</v>
      </c>
      <c r="R220" s="31" t="s">
        <v>1381</v>
      </c>
      <c r="S220" s="163">
        <v>1</v>
      </c>
      <c r="T220" s="163">
        <v>1</v>
      </c>
      <c r="U220" s="163">
        <v>0.09</v>
      </c>
      <c r="V220" s="163">
        <f>PLA!U220*Llistes!$L$11*Llistes!$L$12</f>
        <v>12</v>
      </c>
      <c r="W220" s="60" t="s">
        <v>412</v>
      </c>
      <c r="X220" s="60" t="str">
        <f>IF(W220=Llistes!$K$2,Llistes!$L$2,IF(W220=Llistes!$K$3,Llistes!$L$3,IF(W220=Llistes!$K$4,Llistes!$L$4,IF(W220=Llistes!$K$5,Llistes!$L$5,IF(W220=Llistes!$K$6,Llistes!$L$6,IF(W220=Llistes!$K$7,Llistes!$L$7,""))))))</f>
        <v>Ivan Bustamante</v>
      </c>
      <c r="Y220" s="165" t="s">
        <v>994</v>
      </c>
      <c r="Z220" s="165" t="s">
        <v>994</v>
      </c>
      <c r="AA220" s="165" t="s">
        <v>994</v>
      </c>
      <c r="AB220" s="165" t="s">
        <v>994</v>
      </c>
      <c r="AC220" s="147"/>
    </row>
    <row r="221" spans="1:29" ht="43.5">
      <c r="A221" s="26" t="s">
        <v>693</v>
      </c>
      <c r="B221" s="195"/>
      <c r="C221" s="194"/>
      <c r="D221" s="312"/>
      <c r="E221" s="309"/>
      <c r="F221" s="192" t="s">
        <v>771</v>
      </c>
      <c r="G221" s="187" t="s">
        <v>772</v>
      </c>
      <c r="H221" s="188" t="s">
        <v>271</v>
      </c>
      <c r="I221" s="188" t="s">
        <v>279</v>
      </c>
      <c r="J221" s="56" t="str">
        <f t="shared" ref="J221" si="25">G221</f>
        <v>Dissenyar, implementar i fomentar itineraris saludables dins dels itineraris oficials dels ENP i en la zona d'influència</v>
      </c>
      <c r="K221" s="56"/>
      <c r="L221" s="31"/>
      <c r="M221" s="57" t="s">
        <v>305</v>
      </c>
      <c r="N221" s="31"/>
      <c r="O221" s="65"/>
      <c r="P221" s="59"/>
      <c r="Q221" s="59" t="s">
        <v>1340</v>
      </c>
      <c r="R221" s="31" t="s">
        <v>1382</v>
      </c>
      <c r="S221" s="163"/>
      <c r="T221" s="163" t="s">
        <v>1043</v>
      </c>
      <c r="U221" s="163">
        <v>0.09</v>
      </c>
      <c r="V221" s="163">
        <f>PLA!U221*Llistes!$L$11*Llistes!$L$12</f>
        <v>12</v>
      </c>
      <c r="W221" s="60" t="s">
        <v>412</v>
      </c>
      <c r="X221" s="60" t="str">
        <f>IF(W221=Llistes!$K$2,Llistes!$L$2,IF(W221=Llistes!$K$3,Llistes!$L$3,IF(W221=Llistes!$K$4,Llistes!$L$4,IF(W221=Llistes!$K$5,Llistes!$L$5,IF(W221=Llistes!$K$6,Llistes!$L$6,IF(W221=Llistes!$K$7,Llistes!$L$7,""))))))</f>
        <v>Ivan Bustamante</v>
      </c>
      <c r="Y221" s="165" t="s">
        <v>994</v>
      </c>
      <c r="Z221" s="165" t="s">
        <v>994</v>
      </c>
      <c r="AA221" s="165" t="s">
        <v>994</v>
      </c>
      <c r="AB221" s="165" t="s">
        <v>994</v>
      </c>
      <c r="AC221" s="147"/>
    </row>
    <row r="222" spans="1:29" ht="116">
      <c r="A222" s="26" t="s">
        <v>693</v>
      </c>
      <c r="B222" s="195"/>
      <c r="C222" s="194"/>
      <c r="D222" s="312"/>
      <c r="E222" s="309"/>
      <c r="F222" s="192" t="s">
        <v>774</v>
      </c>
      <c r="G222" s="189" t="s">
        <v>775</v>
      </c>
      <c r="H222" s="188" t="s">
        <v>271</v>
      </c>
      <c r="I222" s="188" t="s">
        <v>285</v>
      </c>
      <c r="J222" s="56" t="str">
        <f t="shared" si="19"/>
        <v>Identificar els agents clau i els àmbits de col·laboració per implementar el binomi salut i natura</v>
      </c>
      <c r="K222" s="56"/>
      <c r="L222" s="66"/>
      <c r="M222" s="57" t="s">
        <v>286</v>
      </c>
      <c r="N222" s="66" t="s">
        <v>776</v>
      </c>
      <c r="O222" s="65" t="s">
        <v>701</v>
      </c>
      <c r="P222" s="59"/>
      <c r="Q222" s="59" t="s">
        <v>1341</v>
      </c>
      <c r="R222" s="31" t="s">
        <v>1383</v>
      </c>
      <c r="S222" s="163">
        <v>1</v>
      </c>
      <c r="T222" s="163">
        <v>1</v>
      </c>
      <c r="U222" s="163">
        <v>0.12</v>
      </c>
      <c r="V222" s="163">
        <f>PLA!U222*Llistes!$L$11*Llistes!$L$12</f>
        <v>16</v>
      </c>
      <c r="W222" s="60" t="s">
        <v>412</v>
      </c>
      <c r="X222" s="60" t="str">
        <f>IF(W222=Llistes!$K$2,Llistes!$L$2,IF(W222=Llistes!$K$3,Llistes!$L$3,IF(W222=Llistes!$K$4,Llistes!$L$4,IF(W222=Llistes!$K$5,Llistes!$L$5,IF(W222=Llistes!$K$6,Llistes!$L$6,IF(W222=Llistes!$K$7,Llistes!$L$7,""))))))</f>
        <v>Ivan Bustamante</v>
      </c>
      <c r="Y222" s="165" t="s">
        <v>994</v>
      </c>
      <c r="Z222" s="165" t="s">
        <v>994</v>
      </c>
      <c r="AA222" s="165" t="s">
        <v>994</v>
      </c>
      <c r="AB222" s="165" t="s">
        <v>994</v>
      </c>
      <c r="AC222" s="147"/>
    </row>
    <row r="223" spans="1:29" ht="58">
      <c r="A223" s="26" t="s">
        <v>693</v>
      </c>
      <c r="B223" s="195"/>
      <c r="C223" s="194"/>
      <c r="D223" s="312"/>
      <c r="E223" s="309"/>
      <c r="F223" s="192" t="s">
        <v>774</v>
      </c>
      <c r="G223" s="189" t="s">
        <v>775</v>
      </c>
      <c r="H223" s="188" t="s">
        <v>271</v>
      </c>
      <c r="I223" s="188" t="s">
        <v>285</v>
      </c>
      <c r="J223" s="56" t="str">
        <f t="shared" ref="J223" si="26">G223</f>
        <v>Identificar els agents clau i els àmbits de col·laboració per implementar el binomi salut i natura</v>
      </c>
      <c r="K223" s="56"/>
      <c r="L223" s="66"/>
      <c r="M223" s="57" t="s">
        <v>286</v>
      </c>
      <c r="N223" s="66"/>
      <c r="O223" s="65"/>
      <c r="P223" s="59"/>
      <c r="Q223" s="59" t="s">
        <v>1342</v>
      </c>
      <c r="R223" s="31" t="s">
        <v>1384</v>
      </c>
      <c r="S223" s="163">
        <v>1</v>
      </c>
      <c r="T223" s="163">
        <v>2</v>
      </c>
      <c r="U223" s="163">
        <v>0.12</v>
      </c>
      <c r="V223" s="163">
        <f>PLA!U223*Llistes!$L$11*Llistes!$L$12</f>
        <v>16</v>
      </c>
      <c r="W223" s="60" t="s">
        <v>412</v>
      </c>
      <c r="X223" s="60" t="str">
        <f>IF(W223=Llistes!$K$2,Llistes!$L$2,IF(W223=Llistes!$K$3,Llistes!$L$3,IF(W223=Llistes!$K$4,Llistes!$L$4,IF(W223=Llistes!$K$5,Llistes!$L$5,IF(W223=Llistes!$K$6,Llistes!$L$6,IF(W223=Llistes!$K$7,Llistes!$L$7,""))))))</f>
        <v>Ivan Bustamante</v>
      </c>
      <c r="Y223" s="165" t="s">
        <v>994</v>
      </c>
      <c r="Z223" s="165" t="s">
        <v>994</v>
      </c>
      <c r="AA223" s="165" t="s">
        <v>994</v>
      </c>
      <c r="AB223" s="165" t="s">
        <v>994</v>
      </c>
      <c r="AC223" s="147"/>
    </row>
    <row r="224" spans="1:29" ht="101.5">
      <c r="A224" s="26" t="s">
        <v>693</v>
      </c>
      <c r="B224" s="195"/>
      <c r="C224" s="194"/>
      <c r="D224" s="312"/>
      <c r="E224" s="309"/>
      <c r="F224" s="192" t="s">
        <v>777</v>
      </c>
      <c r="G224" s="187" t="s">
        <v>778</v>
      </c>
      <c r="H224" s="188" t="s">
        <v>271</v>
      </c>
      <c r="I224" s="188" t="s">
        <v>285</v>
      </c>
      <c r="J224" s="56" t="str">
        <f t="shared" si="19"/>
        <v xml:space="preserve">Incloure el concepte de salut i natura en els missatges educatius i comunicatius de l'ENP </v>
      </c>
      <c r="K224" s="56"/>
      <c r="L224" s="31"/>
      <c r="M224" s="57" t="s">
        <v>286</v>
      </c>
      <c r="N224" s="31" t="s">
        <v>779</v>
      </c>
      <c r="O224" s="65" t="s">
        <v>701</v>
      </c>
      <c r="P224" s="59"/>
      <c r="Q224" s="59" t="s">
        <v>1343</v>
      </c>
      <c r="R224" s="31" t="s">
        <v>1385</v>
      </c>
      <c r="S224" s="163"/>
      <c r="T224" s="163" t="s">
        <v>1043</v>
      </c>
      <c r="U224" s="163">
        <v>0.09</v>
      </c>
      <c r="V224" s="163">
        <f>PLA!U224*Llistes!$L$11*Llistes!$L$12</f>
        <v>12</v>
      </c>
      <c r="W224" s="60" t="s">
        <v>412</v>
      </c>
      <c r="X224" s="60" t="str">
        <f>IF(W224=Llistes!$K$2,Llistes!$L$2,IF(W224=Llistes!$K$3,Llistes!$L$3,IF(W224=Llistes!$K$4,Llistes!$L$4,IF(W224=Llistes!$K$5,Llistes!$L$5,IF(W224=Llistes!$K$6,Llistes!$L$6,IF(W224=Llistes!$K$7,Llistes!$L$7,""))))))</f>
        <v>Ivan Bustamante</v>
      </c>
      <c r="Y224" s="165" t="s">
        <v>994</v>
      </c>
      <c r="Z224" s="165" t="s">
        <v>994</v>
      </c>
      <c r="AA224" s="165" t="s">
        <v>994</v>
      </c>
      <c r="AB224" s="165" t="s">
        <v>994</v>
      </c>
      <c r="AC224" s="147"/>
    </row>
    <row r="225" spans="1:29" ht="43.5">
      <c r="A225" s="26" t="s">
        <v>693</v>
      </c>
      <c r="B225" s="195"/>
      <c r="C225" s="194"/>
      <c r="D225" s="312"/>
      <c r="E225" s="309"/>
      <c r="F225" s="192" t="s">
        <v>777</v>
      </c>
      <c r="G225" s="187" t="s">
        <v>778</v>
      </c>
      <c r="H225" s="188" t="s">
        <v>271</v>
      </c>
      <c r="I225" s="188" t="s">
        <v>285</v>
      </c>
      <c r="J225" s="56" t="str">
        <f t="shared" ref="J225:J226" si="27">G225</f>
        <v xml:space="preserve">Incloure el concepte de salut i natura en els missatges educatius i comunicatius de l'ENP </v>
      </c>
      <c r="K225" s="56"/>
      <c r="L225" s="31"/>
      <c r="M225" s="57" t="s">
        <v>286</v>
      </c>
      <c r="N225" s="31"/>
      <c r="O225" s="65"/>
      <c r="P225" s="59"/>
      <c r="Q225" s="59" t="s">
        <v>1344</v>
      </c>
      <c r="R225" s="31" t="s">
        <v>1386</v>
      </c>
      <c r="S225" s="163"/>
      <c r="T225" s="163" t="s">
        <v>1043</v>
      </c>
      <c r="U225" s="163">
        <v>0.09</v>
      </c>
      <c r="V225" s="163">
        <f>PLA!U225*Llistes!$L$11*Llistes!$L$12</f>
        <v>12</v>
      </c>
      <c r="W225" s="60" t="s">
        <v>412</v>
      </c>
      <c r="X225" s="60" t="str">
        <f>IF(W225=Llistes!$K$2,Llistes!$L$2,IF(W225=Llistes!$K$3,Llistes!$L$3,IF(W225=Llistes!$K$4,Llistes!$L$4,IF(W225=Llistes!$K$5,Llistes!$L$5,IF(W225=Llistes!$K$6,Llistes!$L$6,IF(W225=Llistes!$K$7,Llistes!$L$7,""))))))</f>
        <v>Ivan Bustamante</v>
      </c>
      <c r="Y225" s="165" t="s">
        <v>994</v>
      </c>
      <c r="Z225" s="165" t="s">
        <v>994</v>
      </c>
      <c r="AA225" s="165" t="s">
        <v>994</v>
      </c>
      <c r="AB225" s="165" t="s">
        <v>994</v>
      </c>
      <c r="AC225" s="147"/>
    </row>
    <row r="226" spans="1:29" ht="73" customHeight="1">
      <c r="A226" s="26" t="s">
        <v>693</v>
      </c>
      <c r="B226" s="195"/>
      <c r="C226" s="194"/>
      <c r="D226" s="312"/>
      <c r="E226" s="309"/>
      <c r="F226" s="192" t="s">
        <v>777</v>
      </c>
      <c r="G226" s="187" t="s">
        <v>778</v>
      </c>
      <c r="H226" s="188" t="s">
        <v>271</v>
      </c>
      <c r="I226" s="188" t="s">
        <v>285</v>
      </c>
      <c r="J226" s="56" t="str">
        <f t="shared" si="27"/>
        <v xml:space="preserve">Incloure el concepte de salut i natura en els missatges educatius i comunicatius de l'ENP </v>
      </c>
      <c r="K226" s="56"/>
      <c r="L226" s="31"/>
      <c r="M226" s="57" t="s">
        <v>286</v>
      </c>
      <c r="N226" s="31"/>
      <c r="O226" s="65"/>
      <c r="P226" s="59"/>
      <c r="Q226" s="59" t="s">
        <v>1345</v>
      </c>
      <c r="R226" s="31" t="s">
        <v>1387</v>
      </c>
      <c r="S226" s="163"/>
      <c r="T226" s="163" t="s">
        <v>1043</v>
      </c>
      <c r="U226" s="163">
        <v>0.09</v>
      </c>
      <c r="V226" s="163">
        <f>PLA!U226*Llistes!$L$11*Llistes!$L$12</f>
        <v>12</v>
      </c>
      <c r="W226" s="60" t="s">
        <v>412</v>
      </c>
      <c r="X226" s="60" t="str">
        <f>IF(W226=Llistes!$K$2,Llistes!$L$2,IF(W226=Llistes!$K$3,Llistes!$L$3,IF(W226=Llistes!$K$4,Llistes!$L$4,IF(W226=Llistes!$K$5,Llistes!$L$5,IF(W226=Llistes!$K$6,Llistes!$L$6,IF(W226=Llistes!$K$7,Llistes!$L$7,""))))))</f>
        <v>Ivan Bustamante</v>
      </c>
      <c r="Y226" s="165" t="s">
        <v>994</v>
      </c>
      <c r="Z226" s="165" t="s">
        <v>994</v>
      </c>
      <c r="AA226" s="165" t="s">
        <v>994</v>
      </c>
      <c r="AB226" s="165" t="s">
        <v>994</v>
      </c>
      <c r="AC226" s="147"/>
    </row>
    <row r="227" spans="1:29" ht="73" customHeight="1">
      <c r="A227" s="26" t="s">
        <v>693</v>
      </c>
      <c r="B227" s="180"/>
      <c r="C227" s="179"/>
      <c r="D227" s="313"/>
      <c r="E227" s="310"/>
      <c r="F227" s="192" t="s">
        <v>1489</v>
      </c>
      <c r="G227" s="189" t="s">
        <v>1490</v>
      </c>
      <c r="H227" s="188" t="s">
        <v>271</v>
      </c>
      <c r="I227" s="188" t="s">
        <v>279</v>
      </c>
      <c r="J227" s="56"/>
      <c r="K227" s="56"/>
      <c r="L227" s="31"/>
      <c r="M227" s="57"/>
      <c r="N227" s="31"/>
      <c r="O227" s="65"/>
      <c r="P227" s="59"/>
      <c r="Q227" s="59"/>
      <c r="R227" s="31"/>
      <c r="S227" s="163"/>
      <c r="T227" s="163"/>
      <c r="U227" s="163"/>
      <c r="V227" s="163"/>
      <c r="W227" s="60"/>
      <c r="X227" s="60"/>
      <c r="Y227" s="165"/>
      <c r="Z227" s="165"/>
      <c r="AA227" s="165"/>
      <c r="AB227" s="165"/>
      <c r="AC227" s="147"/>
    </row>
    <row r="228" spans="1:29" ht="217.5">
      <c r="A228" s="26" t="s">
        <v>693</v>
      </c>
      <c r="B228" s="197">
        <v>14</v>
      </c>
      <c r="C228" s="196" t="s">
        <v>780</v>
      </c>
      <c r="D228" s="267" t="s">
        <v>781</v>
      </c>
      <c r="E228" s="303" t="s">
        <v>782</v>
      </c>
      <c r="F228" s="186" t="s">
        <v>783</v>
      </c>
      <c r="G228" s="187" t="s">
        <v>784</v>
      </c>
      <c r="H228" s="188" t="s">
        <v>271</v>
      </c>
      <c r="I228" s="188" t="s">
        <v>285</v>
      </c>
      <c r="J228" s="56" t="s">
        <v>785</v>
      </c>
      <c r="K228" s="56" t="s">
        <v>786</v>
      </c>
      <c r="L228" s="63"/>
      <c r="M228" s="57" t="s">
        <v>305</v>
      </c>
      <c r="N228" s="63" t="s">
        <v>787</v>
      </c>
      <c r="O228" s="58" t="s">
        <v>788</v>
      </c>
      <c r="P228" s="59" t="s">
        <v>789</v>
      </c>
      <c r="Q228" s="59" t="s">
        <v>1346</v>
      </c>
      <c r="R228" s="31" t="s">
        <v>1650</v>
      </c>
      <c r="S228" s="163">
        <v>1</v>
      </c>
      <c r="T228" s="163">
        <v>2</v>
      </c>
      <c r="U228" s="163">
        <v>0.9</v>
      </c>
      <c r="V228" s="163">
        <f>PLA!U228*Llistes!$L$11*Llistes!$L$12</f>
        <v>120.00000000000001</v>
      </c>
      <c r="W228" s="60" t="s">
        <v>291</v>
      </c>
      <c r="X228" s="60" t="str">
        <f>IF(W228=Llistes!$K$2,Llistes!$L$2,IF(W228=Llistes!$K$3,Llistes!$L$3,IF(W228=Llistes!$K$4,Llistes!$L$4,IF(W228=Llistes!$K$5,Llistes!$L$5,IF(W228=Llistes!$K$6,Llistes!$L$6,IF(W228=Llistes!$K$7,Llistes!$L$7,""))))))</f>
        <v>Gerard Carrion</v>
      </c>
      <c r="Y228" s="165" t="s">
        <v>994</v>
      </c>
      <c r="Z228" s="165" t="s">
        <v>994</v>
      </c>
      <c r="AA228" s="165" t="s">
        <v>994</v>
      </c>
      <c r="AB228" s="165" t="s">
        <v>994</v>
      </c>
      <c r="AC228" s="147"/>
    </row>
    <row r="229" spans="1:29" ht="87">
      <c r="A229" s="26" t="s">
        <v>693</v>
      </c>
      <c r="B229" s="197"/>
      <c r="C229" s="196"/>
      <c r="D229" s="306"/>
      <c r="E229" s="304"/>
      <c r="F229" s="186" t="s">
        <v>790</v>
      </c>
      <c r="G229" s="187" t="s">
        <v>791</v>
      </c>
      <c r="H229" s="188" t="s">
        <v>271</v>
      </c>
      <c r="I229" s="188" t="s">
        <v>285</v>
      </c>
      <c r="J229" s="56" t="str">
        <f>G229</f>
        <v>Garantir l'accessibilitat i gestió del coneixement disponible sobre l'ENP</v>
      </c>
      <c r="K229" s="56"/>
      <c r="L229" s="63"/>
      <c r="M229" s="57" t="s">
        <v>305</v>
      </c>
      <c r="N229" s="63" t="s">
        <v>792</v>
      </c>
      <c r="O229" s="58"/>
      <c r="P229" s="59"/>
      <c r="Q229" s="59" t="s">
        <v>1347</v>
      </c>
      <c r="R229" s="31" t="s">
        <v>1651</v>
      </c>
      <c r="S229" s="163"/>
      <c r="T229" s="163" t="s">
        <v>1043</v>
      </c>
      <c r="U229" s="163">
        <v>0.3</v>
      </c>
      <c r="V229" s="163">
        <f>PLA!U229*Llistes!$L$11*Llistes!$L$12</f>
        <v>40</v>
      </c>
      <c r="W229" s="60" t="s">
        <v>277</v>
      </c>
      <c r="X229" s="60" t="str">
        <f>IF(W229=Llistes!$K$2,Llistes!$L$2,IF(W229=Llistes!$K$3,Llistes!$L$3,IF(W229=Llistes!$K$4,Llistes!$L$4,IF(W229=Llistes!$K$5,Llistes!$L$5,IF(W229=Llistes!$K$6,Llistes!$L$6,IF(W229=Llistes!$K$7,Llistes!$L$7,""))))))</f>
        <v>Pau Federico</v>
      </c>
      <c r="Y229" s="165" t="s">
        <v>994</v>
      </c>
      <c r="Z229" s="165" t="s">
        <v>994</v>
      </c>
      <c r="AA229" s="165" t="s">
        <v>994</v>
      </c>
      <c r="AB229" s="165" t="s">
        <v>994</v>
      </c>
      <c r="AC229" s="147"/>
    </row>
    <row r="230" spans="1:29" ht="43.5">
      <c r="A230" s="26" t="s">
        <v>693</v>
      </c>
      <c r="B230" s="197"/>
      <c r="C230" s="196"/>
      <c r="D230" s="269"/>
      <c r="E230" s="317"/>
      <c r="F230" s="186" t="s">
        <v>790</v>
      </c>
      <c r="G230" s="187" t="s">
        <v>791</v>
      </c>
      <c r="H230" s="188" t="s">
        <v>271</v>
      </c>
      <c r="I230" s="188" t="s">
        <v>285</v>
      </c>
      <c r="J230" s="56" t="str">
        <f>G230</f>
        <v>Garantir l'accessibilitat i gestió del coneixement disponible sobre l'ENP</v>
      </c>
      <c r="K230" s="56"/>
      <c r="L230" s="63"/>
      <c r="M230" s="57" t="s">
        <v>305</v>
      </c>
      <c r="N230" s="63" t="s">
        <v>792</v>
      </c>
      <c r="O230" s="58"/>
      <c r="P230" s="59"/>
      <c r="Q230" s="59" t="s">
        <v>1348</v>
      </c>
      <c r="R230" s="31" t="s">
        <v>1388</v>
      </c>
      <c r="S230" s="163"/>
      <c r="T230" s="163" t="s">
        <v>1043</v>
      </c>
      <c r="U230" s="163">
        <v>0.03</v>
      </c>
      <c r="V230" s="163">
        <f>PLA!U230*Llistes!$L$11*Llistes!$L$12</f>
        <v>4</v>
      </c>
      <c r="W230" s="60" t="s">
        <v>277</v>
      </c>
      <c r="X230" s="60" t="str">
        <f>IF(W230=Llistes!$K$2,Llistes!$L$2,IF(W230=Llistes!$K$3,Llistes!$L$3,IF(W230=Llistes!$K$4,Llistes!$L$4,IF(W230=Llistes!$K$5,Llistes!$L$5,IF(W230=Llistes!$K$6,Llistes!$L$6,IF(W230=Llistes!$K$7,Llistes!$L$7,""))))))</f>
        <v>Pau Federico</v>
      </c>
      <c r="Y230" s="165" t="s">
        <v>994</v>
      </c>
      <c r="Z230" s="165" t="s">
        <v>994</v>
      </c>
      <c r="AA230" s="165" t="s">
        <v>994</v>
      </c>
      <c r="AB230" s="165" t="s">
        <v>994</v>
      </c>
      <c r="AC230" s="147"/>
    </row>
    <row r="231" spans="1:29" ht="116">
      <c r="A231" s="26" t="s">
        <v>693</v>
      </c>
      <c r="B231" s="197"/>
      <c r="C231" s="196"/>
      <c r="D231" s="267" t="s">
        <v>793</v>
      </c>
      <c r="E231" s="303" t="s">
        <v>794</v>
      </c>
      <c r="F231" s="186" t="s">
        <v>795</v>
      </c>
      <c r="G231" s="187" t="s">
        <v>796</v>
      </c>
      <c r="H231" s="188" t="s">
        <v>271</v>
      </c>
      <c r="I231" s="188" t="s">
        <v>285</v>
      </c>
      <c r="J231" s="56" t="str">
        <f t="shared" si="19"/>
        <v>Sensibilitzar als diferents agents sobre els valors de l'ENP</v>
      </c>
      <c r="K231" s="56"/>
      <c r="L231" s="63"/>
      <c r="M231" s="57" t="s">
        <v>305</v>
      </c>
      <c r="N231" s="63" t="s">
        <v>797</v>
      </c>
      <c r="O231" s="58"/>
      <c r="P231" s="59" t="s">
        <v>798</v>
      </c>
      <c r="Q231" s="59" t="s">
        <v>1349</v>
      </c>
      <c r="R231" s="31" t="s">
        <v>1389</v>
      </c>
      <c r="S231" s="163">
        <v>1</v>
      </c>
      <c r="T231" s="163">
        <v>4</v>
      </c>
      <c r="U231" s="163">
        <v>0.09</v>
      </c>
      <c r="V231" s="163">
        <f>PLA!U231*Llistes!$L$11*Llistes!$L$12</f>
        <v>12</v>
      </c>
      <c r="W231" s="60" t="s">
        <v>412</v>
      </c>
      <c r="X231" s="60" t="str">
        <f>IF(W231=Llistes!$K$2,Llistes!$L$2,IF(W231=Llistes!$K$3,Llistes!$L$3,IF(W231=Llistes!$K$4,Llistes!$L$4,IF(W231=Llistes!$K$5,Llistes!$L$5,IF(W231=Llistes!$K$6,Llistes!$L$6,IF(W231=Llistes!$K$7,Llistes!$L$7,""))))))</f>
        <v>Ivan Bustamante</v>
      </c>
      <c r="Y231" s="165" t="s">
        <v>994</v>
      </c>
      <c r="Z231" s="165" t="s">
        <v>994</v>
      </c>
      <c r="AA231" s="165" t="s">
        <v>994</v>
      </c>
      <c r="AB231" s="165" t="s">
        <v>994</v>
      </c>
      <c r="AC231" s="147"/>
    </row>
    <row r="232" spans="1:29" ht="43.5">
      <c r="A232" s="26" t="s">
        <v>693</v>
      </c>
      <c r="B232" s="197"/>
      <c r="C232" s="196"/>
      <c r="D232" s="268"/>
      <c r="E232" s="316"/>
      <c r="F232" s="186" t="s">
        <v>795</v>
      </c>
      <c r="G232" s="187" t="s">
        <v>796</v>
      </c>
      <c r="H232" s="188" t="s">
        <v>271</v>
      </c>
      <c r="I232" s="188" t="s">
        <v>285</v>
      </c>
      <c r="J232" s="56" t="str">
        <f t="shared" ref="J232:J234" si="28">G232</f>
        <v>Sensibilitzar als diferents agents sobre els valors de l'ENP</v>
      </c>
      <c r="K232" s="56"/>
      <c r="L232" s="63"/>
      <c r="M232" s="57" t="s">
        <v>305</v>
      </c>
      <c r="N232" s="63"/>
      <c r="O232" s="58"/>
      <c r="P232" s="59"/>
      <c r="Q232" s="59" t="s">
        <v>1350</v>
      </c>
      <c r="R232" s="31" t="s">
        <v>1390</v>
      </c>
      <c r="S232" s="163">
        <v>2</v>
      </c>
      <c r="T232" s="163">
        <v>4</v>
      </c>
      <c r="U232" s="163">
        <v>0.3</v>
      </c>
      <c r="V232" s="163">
        <f>PLA!U232*Llistes!$L$11*Llistes!$L$12</f>
        <v>40</v>
      </c>
      <c r="W232" s="60" t="s">
        <v>412</v>
      </c>
      <c r="X232" s="60" t="str">
        <f>IF(W232=Llistes!$K$2,Llistes!$L$2,IF(W232=Llistes!$K$3,Llistes!$L$3,IF(W232=Llistes!$K$4,Llistes!$L$4,IF(W232=Llistes!$K$5,Llistes!$L$5,IF(W232=Llistes!$K$6,Llistes!$L$6,IF(W232=Llistes!$K$7,Llistes!$L$7,""))))))</f>
        <v>Ivan Bustamante</v>
      </c>
      <c r="Y232" s="165" t="s">
        <v>994</v>
      </c>
      <c r="Z232" s="165" t="s">
        <v>994</v>
      </c>
      <c r="AA232" s="165" t="s">
        <v>994</v>
      </c>
      <c r="AB232" s="165" t="s">
        <v>994</v>
      </c>
      <c r="AC232" s="147"/>
    </row>
    <row r="233" spans="1:29" ht="43.5">
      <c r="A233" s="26" t="s">
        <v>693</v>
      </c>
      <c r="B233" s="197"/>
      <c r="C233" s="196"/>
      <c r="D233" s="268"/>
      <c r="E233" s="316"/>
      <c r="F233" s="186" t="s">
        <v>795</v>
      </c>
      <c r="G233" s="187" t="s">
        <v>796</v>
      </c>
      <c r="H233" s="188" t="s">
        <v>271</v>
      </c>
      <c r="I233" s="188" t="s">
        <v>285</v>
      </c>
      <c r="J233" s="56" t="str">
        <f t="shared" si="28"/>
        <v>Sensibilitzar als diferents agents sobre els valors de l'ENP</v>
      </c>
      <c r="K233" s="56"/>
      <c r="L233" s="63"/>
      <c r="M233" s="57" t="s">
        <v>305</v>
      </c>
      <c r="N233" s="63"/>
      <c r="O233" s="58"/>
      <c r="P233" s="59"/>
      <c r="Q233" s="59" t="s">
        <v>1351</v>
      </c>
      <c r="R233" s="31" t="s">
        <v>1391</v>
      </c>
      <c r="S233" s="163">
        <v>2</v>
      </c>
      <c r="T233" s="163">
        <v>4</v>
      </c>
      <c r="U233" s="163">
        <v>0.3</v>
      </c>
      <c r="V233" s="163">
        <f>PLA!U233*Llistes!$L$11*Llistes!$L$12</f>
        <v>40</v>
      </c>
      <c r="W233" s="60" t="s">
        <v>291</v>
      </c>
      <c r="X233" s="60" t="str">
        <f>IF(W233=Llistes!$K$2,Llistes!$L$2,IF(W233=Llistes!$K$3,Llistes!$L$3,IF(W233=Llistes!$K$4,Llistes!$L$4,IF(W233=Llistes!$K$5,Llistes!$L$5,IF(W233=Llistes!$K$6,Llistes!$L$6,IF(W233=Llistes!$K$7,Llistes!$L$7,""))))))</f>
        <v>Gerard Carrion</v>
      </c>
      <c r="Y233" s="165" t="s">
        <v>994</v>
      </c>
      <c r="Z233" s="165" t="s">
        <v>994</v>
      </c>
      <c r="AA233" s="165" t="s">
        <v>994</v>
      </c>
      <c r="AB233" s="165" t="s">
        <v>994</v>
      </c>
      <c r="AC233" s="147"/>
    </row>
    <row r="234" spans="1:29" ht="43.5">
      <c r="A234" s="26" t="s">
        <v>693</v>
      </c>
      <c r="B234" s="197"/>
      <c r="C234" s="196"/>
      <c r="D234" s="269"/>
      <c r="E234" s="317"/>
      <c r="F234" s="186" t="s">
        <v>795</v>
      </c>
      <c r="G234" s="187" t="s">
        <v>796</v>
      </c>
      <c r="H234" s="188" t="s">
        <v>271</v>
      </c>
      <c r="I234" s="188" t="s">
        <v>285</v>
      </c>
      <c r="J234" s="56" t="str">
        <f t="shared" si="28"/>
        <v>Sensibilitzar als diferents agents sobre els valors de l'ENP</v>
      </c>
      <c r="K234" s="56"/>
      <c r="L234" s="63"/>
      <c r="M234" s="57" t="s">
        <v>305</v>
      </c>
      <c r="N234" s="63"/>
      <c r="O234" s="58"/>
      <c r="P234" s="59"/>
      <c r="Q234" s="59" t="s">
        <v>1407</v>
      </c>
      <c r="R234" s="31" t="s">
        <v>1408</v>
      </c>
      <c r="S234" s="163"/>
      <c r="T234" s="163" t="s">
        <v>1043</v>
      </c>
      <c r="U234" s="163">
        <v>0.15</v>
      </c>
      <c r="V234" s="163">
        <f>PLA!U234*Llistes!$L$11*Llistes!$L$12</f>
        <v>20</v>
      </c>
      <c r="W234" s="60" t="s">
        <v>291</v>
      </c>
      <c r="X234" s="60" t="str">
        <f>IF(W234=Llistes!$K$2,Llistes!$L$2,IF(W234=Llistes!$K$3,Llistes!$L$3,IF(W234=Llistes!$K$4,Llistes!$L$4,IF(W234=Llistes!$K$5,Llistes!$L$5,IF(W234=Llistes!$K$6,Llistes!$L$6,IF(W234=Llistes!$K$7,Llistes!$L$7,""))))))</f>
        <v>Gerard Carrion</v>
      </c>
      <c r="Y234" s="165" t="s">
        <v>994</v>
      </c>
      <c r="Z234" s="165" t="s">
        <v>994</v>
      </c>
      <c r="AA234" s="165" t="s">
        <v>994</v>
      </c>
      <c r="AB234" s="165" t="s">
        <v>994</v>
      </c>
      <c r="AC234" s="147"/>
    </row>
    <row r="235" spans="1:29" ht="217.5">
      <c r="A235" s="26" t="s">
        <v>693</v>
      </c>
      <c r="B235" s="197"/>
      <c r="C235" s="196"/>
      <c r="D235" s="378" t="s">
        <v>799</v>
      </c>
      <c r="E235" s="303" t="s">
        <v>800</v>
      </c>
      <c r="F235" s="186" t="s">
        <v>801</v>
      </c>
      <c r="G235" s="187" t="s">
        <v>802</v>
      </c>
      <c r="H235" s="188" t="s">
        <v>271</v>
      </c>
      <c r="I235" s="188" t="s">
        <v>285</v>
      </c>
      <c r="J235" s="56" t="str">
        <f t="shared" si="19"/>
        <v>Optimitzar els canals de comunicació</v>
      </c>
      <c r="K235" s="56"/>
      <c r="L235" s="63"/>
      <c r="M235" s="57" t="s">
        <v>305</v>
      </c>
      <c r="N235" s="63" t="s">
        <v>803</v>
      </c>
      <c r="O235" s="58" t="s">
        <v>788</v>
      </c>
      <c r="P235" s="59"/>
      <c r="Q235" s="59" t="s">
        <v>1392</v>
      </c>
      <c r="R235" s="31" t="s">
        <v>1399</v>
      </c>
      <c r="S235" s="163"/>
      <c r="T235" s="163" t="s">
        <v>1043</v>
      </c>
      <c r="U235" s="163">
        <v>0.15</v>
      </c>
      <c r="V235" s="163">
        <f>PLA!U235*Llistes!$L$11*Llistes!$L$12</f>
        <v>20</v>
      </c>
      <c r="W235" s="60" t="s">
        <v>291</v>
      </c>
      <c r="X235" s="60" t="str">
        <f>IF(W235=Llistes!$K$2,Llistes!$L$2,IF(W235=Llistes!$K$3,Llistes!$L$3,IF(W235=Llistes!$K$4,Llistes!$L$4,IF(W235=Llistes!$K$5,Llistes!$L$5,IF(W235=Llistes!$K$6,Llistes!$L$6,IF(W235=Llistes!$K$7,Llistes!$L$7,""))))))</f>
        <v>Gerard Carrion</v>
      </c>
      <c r="Y235" s="165" t="s">
        <v>994</v>
      </c>
      <c r="Z235" s="165" t="s">
        <v>994</v>
      </c>
      <c r="AA235" s="165" t="s">
        <v>994</v>
      </c>
      <c r="AB235" s="165" t="s">
        <v>994</v>
      </c>
      <c r="AC235" s="147"/>
    </row>
    <row r="236" spans="1:29" ht="43.5">
      <c r="A236" s="26" t="s">
        <v>693</v>
      </c>
      <c r="B236" s="197"/>
      <c r="C236" s="196"/>
      <c r="D236" s="379"/>
      <c r="E236" s="304"/>
      <c r="F236" s="186" t="s">
        <v>801</v>
      </c>
      <c r="G236" s="187" t="s">
        <v>802</v>
      </c>
      <c r="H236" s="188" t="s">
        <v>271</v>
      </c>
      <c r="I236" s="188" t="s">
        <v>285</v>
      </c>
      <c r="J236" s="56" t="str">
        <f t="shared" ref="J236:J237" si="29">G236</f>
        <v>Optimitzar els canals de comunicació</v>
      </c>
      <c r="K236" s="56"/>
      <c r="L236" s="63"/>
      <c r="M236" s="57" t="s">
        <v>305</v>
      </c>
      <c r="N236" s="63"/>
      <c r="O236" s="58"/>
      <c r="P236" s="59"/>
      <c r="Q236" s="59" t="s">
        <v>1393</v>
      </c>
      <c r="R236" s="31" t="s">
        <v>1400</v>
      </c>
      <c r="S236" s="163"/>
      <c r="T236" s="163" t="s">
        <v>1043</v>
      </c>
      <c r="U236" s="163">
        <v>2.25</v>
      </c>
      <c r="V236" s="163">
        <f>PLA!U236*Llistes!$L$11*Llistes!$L$12</f>
        <v>300</v>
      </c>
      <c r="W236" s="60" t="s">
        <v>291</v>
      </c>
      <c r="X236" s="60" t="str">
        <f>IF(W236=Llistes!$K$2,Llistes!$L$2,IF(W236=Llistes!$K$3,Llistes!$L$3,IF(W236=Llistes!$K$4,Llistes!$L$4,IF(W236=Llistes!$K$5,Llistes!$L$5,IF(W236=Llistes!$K$6,Llistes!$L$6,IF(W236=Llistes!$K$7,Llistes!$L$7,""))))))</f>
        <v>Gerard Carrion</v>
      </c>
      <c r="Y236" s="165" t="s">
        <v>994</v>
      </c>
      <c r="Z236" s="165" t="s">
        <v>994</v>
      </c>
      <c r="AA236" s="165" t="s">
        <v>994</v>
      </c>
      <c r="AB236" s="165" t="s">
        <v>994</v>
      </c>
      <c r="AC236" s="147"/>
    </row>
    <row r="237" spans="1:29" ht="58">
      <c r="A237" s="26" t="s">
        <v>693</v>
      </c>
      <c r="B237" s="197"/>
      <c r="C237" s="196"/>
      <c r="D237" s="379"/>
      <c r="E237" s="304"/>
      <c r="F237" s="186" t="s">
        <v>801</v>
      </c>
      <c r="G237" s="187" t="s">
        <v>802</v>
      </c>
      <c r="H237" s="188" t="s">
        <v>271</v>
      </c>
      <c r="I237" s="188" t="s">
        <v>285</v>
      </c>
      <c r="J237" s="56" t="str">
        <f t="shared" si="29"/>
        <v>Optimitzar els canals de comunicació</v>
      </c>
      <c r="K237" s="56"/>
      <c r="L237" s="63"/>
      <c r="M237" s="57" t="s">
        <v>305</v>
      </c>
      <c r="N237" s="63"/>
      <c r="O237" s="58"/>
      <c r="P237" s="59"/>
      <c r="Q237" s="59" t="s">
        <v>1394</v>
      </c>
      <c r="R237" s="31" t="s">
        <v>1401</v>
      </c>
      <c r="S237" s="163"/>
      <c r="T237" s="163" t="s">
        <v>1043</v>
      </c>
      <c r="U237" s="163">
        <v>1.5</v>
      </c>
      <c r="V237" s="163">
        <f>PLA!U237*Llistes!$L$11*Llistes!$L$12</f>
        <v>200</v>
      </c>
      <c r="W237" s="60" t="s">
        <v>291</v>
      </c>
      <c r="X237" s="60" t="str">
        <f>IF(W237=Llistes!$K$2,Llistes!$L$2,IF(W237=Llistes!$K$3,Llistes!$L$3,IF(W237=Llistes!$K$4,Llistes!$L$4,IF(W237=Llistes!$K$5,Llistes!$L$5,IF(W237=Llistes!$K$6,Llistes!$L$6,IF(W237=Llistes!$K$7,Llistes!$L$7,""))))))</f>
        <v>Gerard Carrion</v>
      </c>
      <c r="Y237" s="165" t="s">
        <v>994</v>
      </c>
      <c r="Z237" s="165" t="s">
        <v>994</v>
      </c>
      <c r="AA237" s="165" t="s">
        <v>994</v>
      </c>
      <c r="AB237" s="165" t="s">
        <v>994</v>
      </c>
      <c r="AC237" s="147"/>
    </row>
    <row r="238" spans="1:29" ht="174">
      <c r="A238" s="26" t="s">
        <v>693</v>
      </c>
      <c r="B238" s="197"/>
      <c r="C238" s="196"/>
      <c r="D238" s="379"/>
      <c r="E238" s="304"/>
      <c r="F238" s="186" t="s">
        <v>804</v>
      </c>
      <c r="G238" s="187" t="s">
        <v>805</v>
      </c>
      <c r="H238" s="188" t="s">
        <v>271</v>
      </c>
      <c r="I238" s="188" t="s">
        <v>285</v>
      </c>
      <c r="J238" s="56" t="s">
        <v>806</v>
      </c>
      <c r="K238" s="56" t="s">
        <v>807</v>
      </c>
      <c r="L238" s="63"/>
      <c r="M238" s="57" t="s">
        <v>305</v>
      </c>
      <c r="N238" s="63" t="s">
        <v>808</v>
      </c>
      <c r="O238" s="58" t="s">
        <v>788</v>
      </c>
      <c r="P238" s="59"/>
      <c r="Q238" s="59" t="s">
        <v>1395</v>
      </c>
      <c r="R238" s="31" t="s">
        <v>1402</v>
      </c>
      <c r="S238" s="163"/>
      <c r="T238" s="163" t="s">
        <v>1043</v>
      </c>
      <c r="U238" s="163">
        <v>0.12</v>
      </c>
      <c r="V238" s="163">
        <f>PLA!U238*Llistes!$L$11*Llistes!$L$12</f>
        <v>16</v>
      </c>
      <c r="W238" s="60" t="s">
        <v>291</v>
      </c>
      <c r="X238" s="60" t="str">
        <f>IF(W238=Llistes!$K$2,Llistes!$L$2,IF(W238=Llistes!$K$3,Llistes!$L$3,IF(W238=Llistes!$K$4,Llistes!$L$4,IF(W238=Llistes!$K$5,Llistes!$L$5,IF(W238=Llistes!$K$6,Llistes!$L$6,IF(W238=Llistes!$K$7,Llistes!$L$7,""))))))</f>
        <v>Gerard Carrion</v>
      </c>
      <c r="Y238" s="165" t="s">
        <v>994</v>
      </c>
      <c r="Z238" s="165" t="s">
        <v>994</v>
      </c>
      <c r="AA238" s="165" t="s">
        <v>994</v>
      </c>
      <c r="AB238" s="165" t="s">
        <v>994</v>
      </c>
      <c r="AC238" s="147"/>
    </row>
    <row r="239" spans="1:29" ht="43.5">
      <c r="A239" s="26" t="s">
        <v>693</v>
      </c>
      <c r="B239" s="155"/>
      <c r="C239" s="156"/>
      <c r="D239" s="380"/>
      <c r="E239" s="316"/>
      <c r="F239" s="186" t="s">
        <v>804</v>
      </c>
      <c r="G239" s="187" t="s">
        <v>805</v>
      </c>
      <c r="H239" s="188" t="s">
        <v>271</v>
      </c>
      <c r="I239" s="188" t="s">
        <v>285</v>
      </c>
      <c r="J239" s="56" t="s">
        <v>806</v>
      </c>
      <c r="K239" s="56" t="s">
        <v>807</v>
      </c>
      <c r="L239" s="63"/>
      <c r="M239" s="57" t="s">
        <v>286</v>
      </c>
      <c r="N239" s="63"/>
      <c r="O239" s="58"/>
      <c r="P239" s="59"/>
      <c r="Q239" s="59" t="s">
        <v>1396</v>
      </c>
      <c r="R239" s="31" t="s">
        <v>1403</v>
      </c>
      <c r="S239" s="163"/>
      <c r="T239" s="163" t="s">
        <v>1043</v>
      </c>
      <c r="U239" s="163">
        <v>0.03</v>
      </c>
      <c r="V239" s="163">
        <f>PLA!U239*Llistes!$L$11*Llistes!$L$12</f>
        <v>4</v>
      </c>
      <c r="W239" s="60" t="s">
        <v>291</v>
      </c>
      <c r="X239" s="60" t="str">
        <f>IF(W239=Llistes!$K$2,Llistes!$L$2,IF(W239=Llistes!$K$3,Llistes!$L$3,IF(W239=Llistes!$K$4,Llistes!$L$4,IF(W239=Llistes!$K$5,Llistes!$L$5,IF(W239=Llistes!$K$6,Llistes!$L$6,IF(W239=Llistes!$K$7,Llistes!$L$7,""))))))</f>
        <v>Gerard Carrion</v>
      </c>
      <c r="Y239" s="165" t="s">
        <v>994</v>
      </c>
      <c r="Z239" s="165" t="s">
        <v>994</v>
      </c>
      <c r="AA239" s="165" t="s">
        <v>994</v>
      </c>
      <c r="AB239" s="165" t="s">
        <v>994</v>
      </c>
      <c r="AC239" s="147"/>
    </row>
    <row r="240" spans="1:29" ht="43.5">
      <c r="A240" s="26" t="s">
        <v>693</v>
      </c>
      <c r="B240" s="155"/>
      <c r="C240" s="156"/>
      <c r="D240" s="380"/>
      <c r="E240" s="316"/>
      <c r="F240" s="186" t="s">
        <v>804</v>
      </c>
      <c r="G240" s="187" t="s">
        <v>805</v>
      </c>
      <c r="H240" s="188" t="s">
        <v>271</v>
      </c>
      <c r="I240" s="188" t="s">
        <v>285</v>
      </c>
      <c r="J240" s="56" t="s">
        <v>806</v>
      </c>
      <c r="K240" s="56" t="s">
        <v>807</v>
      </c>
      <c r="L240" s="63"/>
      <c r="M240" s="57" t="s">
        <v>305</v>
      </c>
      <c r="N240" s="63"/>
      <c r="O240" s="58"/>
      <c r="P240" s="59"/>
      <c r="Q240" s="59" t="s">
        <v>1397</v>
      </c>
      <c r="R240" s="31" t="s">
        <v>1404</v>
      </c>
      <c r="S240" s="163"/>
      <c r="T240" s="163" t="s">
        <v>1043</v>
      </c>
      <c r="U240" s="163">
        <v>1.5</v>
      </c>
      <c r="V240" s="163">
        <f>PLA!U240*Llistes!$L$11*Llistes!$L$12</f>
        <v>200</v>
      </c>
      <c r="W240" s="60" t="s">
        <v>291</v>
      </c>
      <c r="X240" s="60" t="str">
        <f>IF(W240=Llistes!$K$2,Llistes!$L$2,IF(W240=Llistes!$K$3,Llistes!$L$3,IF(W240=Llistes!$K$4,Llistes!$L$4,IF(W240=Llistes!$K$5,Llistes!$L$5,IF(W240=Llistes!$K$6,Llistes!$L$6,IF(W240=Llistes!$K$7,Llistes!$L$7,""))))))</f>
        <v>Gerard Carrion</v>
      </c>
      <c r="Y240" s="165" t="s">
        <v>994</v>
      </c>
      <c r="Z240" s="165" t="s">
        <v>994</v>
      </c>
      <c r="AA240" s="165" t="s">
        <v>994</v>
      </c>
      <c r="AB240" s="165" t="s">
        <v>994</v>
      </c>
      <c r="AC240" s="147"/>
    </row>
    <row r="241" spans="1:29" ht="43.5">
      <c r="A241" s="26" t="s">
        <v>693</v>
      </c>
      <c r="B241" s="155"/>
      <c r="C241" s="156"/>
      <c r="D241" s="381"/>
      <c r="E241" s="377"/>
      <c r="F241" s="186" t="s">
        <v>804</v>
      </c>
      <c r="G241" s="187" t="s">
        <v>805</v>
      </c>
      <c r="H241" s="188" t="s">
        <v>271</v>
      </c>
      <c r="I241" s="188" t="s">
        <v>285</v>
      </c>
      <c r="J241" s="56" t="s">
        <v>806</v>
      </c>
      <c r="K241" s="56" t="s">
        <v>807</v>
      </c>
      <c r="L241" s="63"/>
      <c r="M241" s="57" t="s">
        <v>305</v>
      </c>
      <c r="N241" s="63"/>
      <c r="O241" s="58"/>
      <c r="P241" s="59"/>
      <c r="Q241" s="59" t="s">
        <v>1398</v>
      </c>
      <c r="R241" s="31" t="s">
        <v>1405</v>
      </c>
      <c r="S241" s="163"/>
      <c r="T241" s="163" t="s">
        <v>1043</v>
      </c>
      <c r="U241" s="163">
        <v>0.03</v>
      </c>
      <c r="V241" s="163">
        <f>PLA!U241*Llistes!$L$11*Llistes!$L$12</f>
        <v>4</v>
      </c>
      <c r="W241" s="60" t="s">
        <v>291</v>
      </c>
      <c r="X241" s="60" t="str">
        <f>IF(W241=Llistes!$K$2,Llistes!$L$2,IF(W241=Llistes!$K$3,Llistes!$L$3,IF(W241=Llistes!$K$4,Llistes!$L$4,IF(W241=Llistes!$K$5,Llistes!$L$5,IF(W241=Llistes!$K$6,Llistes!$L$6,IF(W241=Llistes!$K$7,Llistes!$L$7,""))))))</f>
        <v>Gerard Carrion</v>
      </c>
      <c r="Y241" s="165" t="s">
        <v>994</v>
      </c>
      <c r="Z241" s="165" t="s">
        <v>994</v>
      </c>
      <c r="AA241" s="165" t="s">
        <v>994</v>
      </c>
      <c r="AB241" s="165" t="s">
        <v>994</v>
      </c>
      <c r="AC241" s="147"/>
    </row>
    <row r="242" spans="1:29" ht="43.5">
      <c r="A242" s="21" t="s">
        <v>809</v>
      </c>
      <c r="B242" s="29">
        <v>15</v>
      </c>
      <c r="C242" s="262" t="s">
        <v>1592</v>
      </c>
      <c r="D242" s="371" t="s">
        <v>1461</v>
      </c>
      <c r="E242" s="372" t="s">
        <v>1460</v>
      </c>
      <c r="F242" s="186" t="s">
        <v>810</v>
      </c>
      <c r="G242" s="187" t="s">
        <v>812</v>
      </c>
      <c r="H242" s="188" t="s">
        <v>271</v>
      </c>
      <c r="I242" s="188" t="s">
        <v>279</v>
      </c>
      <c r="J242" s="56" t="s">
        <v>813</v>
      </c>
      <c r="K242" s="56"/>
      <c r="L242" s="63"/>
      <c r="M242" s="57" t="s">
        <v>305</v>
      </c>
      <c r="N242" s="63"/>
      <c r="O242" s="58"/>
      <c r="P242" s="61"/>
      <c r="Q242" s="59" t="s">
        <v>814</v>
      </c>
      <c r="R242" s="31" t="s">
        <v>1113</v>
      </c>
      <c r="S242" s="163">
        <v>4</v>
      </c>
      <c r="T242" s="163">
        <v>6</v>
      </c>
      <c r="U242" s="163">
        <v>4.4999999999999998E-2</v>
      </c>
      <c r="V242" s="163">
        <f>PLA!U242*Llistes!$L$11*Llistes!$L$12</f>
        <v>6</v>
      </c>
      <c r="W242" s="60" t="s">
        <v>277</v>
      </c>
      <c r="X242" s="60" t="str">
        <f>IF(W242=Llistes!$K$2,Llistes!$L$2,IF(W242=Llistes!$K$3,Llistes!$L$3,IF(W242=Llistes!$K$4,Llistes!$L$4,IF(W242=Llistes!$K$5,Llistes!$L$5,IF(W242=Llistes!$K$6,Llistes!$L$6,IF(W242=Llistes!$K$7,Llistes!$L$7,""))))))</f>
        <v>Pau Federico</v>
      </c>
      <c r="Y242" s="165" t="s">
        <v>994</v>
      </c>
      <c r="Z242" s="165" t="s">
        <v>994</v>
      </c>
      <c r="AA242" s="165" t="s">
        <v>994</v>
      </c>
      <c r="AB242" s="165" t="s">
        <v>994</v>
      </c>
      <c r="AC242" s="147"/>
    </row>
    <row r="243" spans="1:29" ht="29">
      <c r="A243" s="21" t="s">
        <v>809</v>
      </c>
      <c r="B243" s="29"/>
      <c r="C243" s="262"/>
      <c r="D243" s="298"/>
      <c r="E243" s="373"/>
      <c r="F243" s="186" t="s">
        <v>811</v>
      </c>
      <c r="G243" s="187" t="s">
        <v>1584</v>
      </c>
      <c r="H243" s="188" t="s">
        <v>271</v>
      </c>
      <c r="I243" s="188" t="s">
        <v>279</v>
      </c>
      <c r="J243" s="56"/>
      <c r="K243" s="56"/>
      <c r="L243" s="63"/>
      <c r="M243" s="57"/>
      <c r="N243" s="63"/>
      <c r="O243" s="58"/>
      <c r="P243" s="54"/>
      <c r="Q243" s="54"/>
      <c r="R243" s="31"/>
      <c r="S243" s="163"/>
      <c r="T243" s="163"/>
      <c r="U243" s="163"/>
      <c r="V243" s="163"/>
      <c r="W243" s="60"/>
      <c r="X243" s="60"/>
      <c r="Y243" s="165"/>
      <c r="Z243" s="165"/>
      <c r="AA243" s="165"/>
      <c r="AB243" s="165"/>
      <c r="AC243" s="147"/>
    </row>
    <row r="244" spans="1:29" ht="43.5">
      <c r="A244" s="21"/>
      <c r="B244" s="181"/>
      <c r="C244" s="263"/>
      <c r="D244" s="298"/>
      <c r="E244" s="373"/>
      <c r="F244" s="186" t="s">
        <v>1583</v>
      </c>
      <c r="G244" s="187" t="s">
        <v>815</v>
      </c>
      <c r="H244" s="188" t="s">
        <v>271</v>
      </c>
      <c r="I244" s="188" t="s">
        <v>285</v>
      </c>
      <c r="J244" s="56" t="str">
        <f t="shared" ref="J244" si="30">G244</f>
        <v>Adaptar i desplegar el model de governança dels espais naturals protegits</v>
      </c>
      <c r="K244" s="56" t="s">
        <v>816</v>
      </c>
      <c r="L244" s="63"/>
      <c r="M244" s="57" t="s">
        <v>305</v>
      </c>
      <c r="N244" s="63" t="s">
        <v>817</v>
      </c>
      <c r="O244" s="58"/>
      <c r="P244" s="54" t="s">
        <v>818</v>
      </c>
      <c r="Q244" s="54" t="s">
        <v>1116</v>
      </c>
      <c r="R244" s="31" t="s">
        <v>1117</v>
      </c>
      <c r="S244" s="163"/>
      <c r="T244" s="163" t="s">
        <v>1043</v>
      </c>
      <c r="U244" s="163">
        <v>4.4999999999999998E-2</v>
      </c>
      <c r="V244" s="163">
        <f>PLA!U244*Llistes!$L$11*Llistes!$L$12</f>
        <v>6</v>
      </c>
      <c r="W244" s="60" t="s">
        <v>291</v>
      </c>
      <c r="X244" s="60" t="str">
        <f>IF(W244=Llistes!$K$2,Llistes!$L$2,IF(W244=Llistes!$K$3,Llistes!$L$3,IF(W244=Llistes!$K$4,Llistes!$L$4,IF(W244=Llistes!$K$5,Llistes!$L$5,IF(W244=Llistes!$K$6,Llistes!$L$6,IF(W244=Llistes!$K$7,Llistes!$L$7,""))))))</f>
        <v>Gerard Carrion</v>
      </c>
      <c r="Y244" s="165" t="s">
        <v>994</v>
      </c>
      <c r="Z244" s="165" t="s">
        <v>994</v>
      </c>
      <c r="AA244" s="165" t="s">
        <v>994</v>
      </c>
      <c r="AB244" s="165" t="s">
        <v>994</v>
      </c>
      <c r="AC244" s="147"/>
    </row>
    <row r="245" spans="1:29" ht="29">
      <c r="A245" s="21" t="s">
        <v>809</v>
      </c>
      <c r="B245" s="181"/>
      <c r="C245" s="264"/>
      <c r="D245" s="415"/>
      <c r="E245" s="414"/>
      <c r="F245" s="186" t="s">
        <v>1585</v>
      </c>
      <c r="G245" s="187" t="s">
        <v>1619</v>
      </c>
      <c r="H245" s="188" t="s">
        <v>271</v>
      </c>
      <c r="I245" s="188" t="s">
        <v>279</v>
      </c>
      <c r="J245" s="56" t="str">
        <f t="shared" ref="J245" si="31">G245</f>
        <v>Mantenir i millorar la governança transfronterera</v>
      </c>
      <c r="K245" s="56" t="s">
        <v>1620</v>
      </c>
      <c r="L245" s="63"/>
      <c r="M245" s="57" t="s">
        <v>305</v>
      </c>
      <c r="N245" s="63"/>
      <c r="O245" s="58"/>
      <c r="P245" s="54" t="s">
        <v>818</v>
      </c>
      <c r="Q245" s="54" t="s">
        <v>1621</v>
      </c>
      <c r="R245" s="31" t="s">
        <v>1622</v>
      </c>
      <c r="S245" s="163">
        <v>1</v>
      </c>
      <c r="T245" s="163">
        <v>4</v>
      </c>
      <c r="U245" s="163">
        <v>4.4999999999999998E-2</v>
      </c>
      <c r="V245" s="163">
        <f>PLA!U245*Llistes!$L$11*Llistes!$L$12</f>
        <v>6</v>
      </c>
      <c r="W245" s="60" t="s">
        <v>291</v>
      </c>
      <c r="X245" s="60" t="str">
        <f>IF(W245=Llistes!$K$2,Llistes!$L$2,IF(W245=Llistes!$K$3,Llistes!$L$3,IF(W245=Llistes!$K$4,Llistes!$L$4,IF(W245=Llistes!$K$5,Llistes!$L$5,IF(W245=Llistes!$K$6,Llistes!$L$6,IF(W245=Llistes!$K$7,Llistes!$L$7,""))))))</f>
        <v>Gerard Carrion</v>
      </c>
      <c r="Y245" s="165" t="s">
        <v>994</v>
      </c>
      <c r="Z245" s="165" t="s">
        <v>994</v>
      </c>
      <c r="AA245" s="165" t="s">
        <v>994</v>
      </c>
      <c r="AB245" s="165" t="s">
        <v>994</v>
      </c>
      <c r="AC245" s="147"/>
    </row>
    <row r="246" spans="1:29" ht="116">
      <c r="A246" s="21" t="s">
        <v>809</v>
      </c>
      <c r="B246" s="28">
        <v>16</v>
      </c>
      <c r="C246" s="265" t="s">
        <v>819</v>
      </c>
      <c r="D246" s="371" t="s">
        <v>820</v>
      </c>
      <c r="E246" s="397" t="s">
        <v>821</v>
      </c>
      <c r="F246" s="186" t="s">
        <v>822</v>
      </c>
      <c r="G246" s="187" t="s">
        <v>1491</v>
      </c>
      <c r="H246" s="188" t="s">
        <v>271</v>
      </c>
      <c r="I246" s="188" t="s">
        <v>285</v>
      </c>
      <c r="J246" s="56" t="str">
        <f t="shared" si="19"/>
        <v xml:space="preserve">Gestionar i millorar administrativament els pressupostos anuals d'entrades i despeses </v>
      </c>
      <c r="K246" s="56"/>
      <c r="L246" s="63"/>
      <c r="M246" s="57" t="s">
        <v>273</v>
      </c>
      <c r="N246" s="63" t="s">
        <v>823</v>
      </c>
      <c r="O246" s="58"/>
      <c r="P246" s="61" t="s">
        <v>824</v>
      </c>
      <c r="Q246" s="54" t="s">
        <v>1120</v>
      </c>
      <c r="R246" s="31" t="s">
        <v>1121</v>
      </c>
      <c r="S246" s="163"/>
      <c r="T246" s="163" t="s">
        <v>1043</v>
      </c>
      <c r="U246" s="163">
        <v>4.4999999999999998E-2</v>
      </c>
      <c r="V246" s="163">
        <f>PLA!U246*Llistes!$L$11*Llistes!$L$12</f>
        <v>6</v>
      </c>
      <c r="W246" s="60" t="s">
        <v>825</v>
      </c>
      <c r="X246" s="60" t="str">
        <f>IF(W246=Llistes!$K$2,Llistes!$L$2,IF(W246=Llistes!$K$3,Llistes!$L$3,IF(W246=Llistes!$K$4,Llistes!$L$4,IF(W246=Llistes!$K$5,Llistes!$L$5,IF(W246=Llistes!$K$6,Llistes!$L$6,IF(W246=Llistes!$K$7,Llistes!$L$7,""))))))</f>
        <v>Pilar Sanllehí</v>
      </c>
      <c r="Y246" s="165" t="s">
        <v>994</v>
      </c>
      <c r="Z246" s="165" t="s">
        <v>994</v>
      </c>
      <c r="AA246" s="165" t="s">
        <v>994</v>
      </c>
      <c r="AB246" s="165" t="s">
        <v>994</v>
      </c>
      <c r="AC246" s="147"/>
    </row>
    <row r="247" spans="1:29" ht="43.5">
      <c r="A247" s="21"/>
      <c r="B247" s="29"/>
      <c r="C247" s="266"/>
      <c r="D247" s="298"/>
      <c r="E247" s="398"/>
      <c r="F247" s="186" t="s">
        <v>822</v>
      </c>
      <c r="G247" s="187" t="s">
        <v>1491</v>
      </c>
      <c r="H247" s="188" t="s">
        <v>271</v>
      </c>
      <c r="I247" s="188" t="s">
        <v>285</v>
      </c>
      <c r="J247" s="56" t="str">
        <f t="shared" ref="J247:J248" si="32">G247</f>
        <v xml:space="preserve">Gestionar i millorar administrativament els pressupostos anuals d'entrades i despeses </v>
      </c>
      <c r="K247" s="56"/>
      <c r="L247" s="63"/>
      <c r="M247" s="57" t="s">
        <v>273</v>
      </c>
      <c r="N247" s="63"/>
      <c r="O247" s="58"/>
      <c r="P247" s="61"/>
      <c r="Q247" s="54" t="s">
        <v>1118</v>
      </c>
      <c r="R247" s="31" t="s">
        <v>1122</v>
      </c>
      <c r="S247" s="163"/>
      <c r="T247" s="163" t="s">
        <v>1043</v>
      </c>
      <c r="U247" s="163">
        <v>4.4999999999999998E-2</v>
      </c>
      <c r="V247" s="163">
        <f>PLA!U247*Llistes!$L$11*Llistes!$L$12</f>
        <v>6</v>
      </c>
      <c r="W247" s="60" t="s">
        <v>825</v>
      </c>
      <c r="X247" s="60" t="str">
        <f>IF(W247=Llistes!$K$2,Llistes!$L$2,IF(W247=Llistes!$K$3,Llistes!$L$3,IF(W247=Llistes!$K$4,Llistes!$L$4,IF(W247=Llistes!$K$5,Llistes!$L$5,IF(W247=Llistes!$K$6,Llistes!$L$6,IF(W247=Llistes!$K$7,Llistes!$L$7,""))))))</f>
        <v>Pilar Sanllehí</v>
      </c>
      <c r="Y247" s="165" t="s">
        <v>994</v>
      </c>
      <c r="Z247" s="165" t="s">
        <v>994</v>
      </c>
      <c r="AA247" s="165" t="s">
        <v>994</v>
      </c>
      <c r="AB247" s="165" t="s">
        <v>994</v>
      </c>
      <c r="AC247" s="147"/>
    </row>
    <row r="248" spans="1:29" ht="43.5">
      <c r="A248" s="21"/>
      <c r="B248" s="29"/>
      <c r="C248" s="266"/>
      <c r="D248" s="298"/>
      <c r="E248" s="398"/>
      <c r="F248" s="186" t="s">
        <v>822</v>
      </c>
      <c r="G248" s="187" t="s">
        <v>1491</v>
      </c>
      <c r="H248" s="188" t="s">
        <v>271</v>
      </c>
      <c r="I248" s="188" t="s">
        <v>285</v>
      </c>
      <c r="J248" s="56" t="str">
        <f t="shared" si="32"/>
        <v xml:space="preserve">Gestionar i millorar administrativament els pressupostos anuals d'entrades i despeses </v>
      </c>
      <c r="K248" s="56"/>
      <c r="L248" s="63"/>
      <c r="M248" s="57" t="s">
        <v>273</v>
      </c>
      <c r="N248" s="63"/>
      <c r="O248" s="58"/>
      <c r="P248" s="61"/>
      <c r="Q248" s="54" t="s">
        <v>1119</v>
      </c>
      <c r="R248" s="31" t="s">
        <v>1123</v>
      </c>
      <c r="S248" s="163">
        <v>4</v>
      </c>
      <c r="T248" s="163">
        <v>6</v>
      </c>
      <c r="U248" s="163">
        <v>0.06</v>
      </c>
      <c r="V248" s="163">
        <f>PLA!U248*Llistes!$L$11*Llistes!$L$12</f>
        <v>8</v>
      </c>
      <c r="W248" s="60" t="s">
        <v>825</v>
      </c>
      <c r="X248" s="60" t="str">
        <f>IF(W248=Llistes!$K$2,Llistes!$L$2,IF(W248=Llistes!$K$3,Llistes!$L$3,IF(W248=Llistes!$K$4,Llistes!$L$4,IF(W248=Llistes!$K$5,Llistes!$L$5,IF(W248=Llistes!$K$6,Llistes!$L$6,IF(W248=Llistes!$K$7,Llistes!$L$7,""))))))</f>
        <v>Pilar Sanllehí</v>
      </c>
      <c r="Y248" s="165" t="s">
        <v>994</v>
      </c>
      <c r="Z248" s="165" t="s">
        <v>994</v>
      </c>
      <c r="AA248" s="165" t="s">
        <v>994</v>
      </c>
      <c r="AB248" s="165" t="s">
        <v>994</v>
      </c>
      <c r="AC248" s="147"/>
    </row>
    <row r="249" spans="1:29" ht="29">
      <c r="A249" s="21"/>
      <c r="B249" s="29"/>
      <c r="C249" s="266"/>
      <c r="D249" s="298"/>
      <c r="E249" s="398"/>
      <c r="F249" s="186" t="s">
        <v>1652</v>
      </c>
      <c r="G249" s="187" t="s">
        <v>1595</v>
      </c>
      <c r="H249" s="55" t="s">
        <v>303</v>
      </c>
      <c r="I249" s="55"/>
      <c r="J249" s="56" t="s">
        <v>878</v>
      </c>
      <c r="K249" s="103" t="s">
        <v>876</v>
      </c>
      <c r="L249" s="60"/>
      <c r="M249" s="57" t="s">
        <v>273</v>
      </c>
      <c r="N249" s="31"/>
      <c r="O249" s="57"/>
      <c r="P249" s="166"/>
      <c r="Q249" s="59" t="s">
        <v>1168</v>
      </c>
      <c r="R249" s="31" t="s">
        <v>1169</v>
      </c>
      <c r="S249" s="163">
        <v>80</v>
      </c>
      <c r="T249" s="163">
        <v>160</v>
      </c>
      <c r="U249" s="163">
        <v>1.05</v>
      </c>
      <c r="V249" s="163">
        <f>PLA!U249*Llistes!$L$11*Llistes!$L$12</f>
        <v>140.00000000000003</v>
      </c>
      <c r="W249" s="60" t="s">
        <v>291</v>
      </c>
      <c r="X249" s="60" t="str">
        <f>IF(W249=Llistes!$K$2,Llistes!$L$2,IF(W249=Llistes!$K$3,Llistes!$L$3,IF(W249=Llistes!$K$4,Llistes!$L$4,IF(W249=Llistes!$K$5,Llistes!$L$5,IF(W249=Llistes!$K$6,Llistes!$L$6,IF(W249=Llistes!$K$7,Llistes!$L$7,""))))))</f>
        <v>Gerard Carrion</v>
      </c>
      <c r="Y249" s="165" t="s">
        <v>994</v>
      </c>
      <c r="Z249" s="165" t="s">
        <v>994</v>
      </c>
      <c r="AA249" s="165" t="s">
        <v>994</v>
      </c>
      <c r="AB249" s="165" t="s">
        <v>994</v>
      </c>
      <c r="AC249" s="147"/>
    </row>
    <row r="250" spans="1:29" ht="29">
      <c r="A250" s="21"/>
      <c r="B250" s="29"/>
      <c r="C250" s="266"/>
      <c r="D250" s="299"/>
      <c r="E250" s="399"/>
      <c r="F250" s="186" t="s">
        <v>1652</v>
      </c>
      <c r="G250" s="187" t="s">
        <v>1595</v>
      </c>
      <c r="H250" s="55" t="s">
        <v>303</v>
      </c>
      <c r="I250" s="55"/>
      <c r="J250" s="56" t="str">
        <f>G250</f>
        <v xml:space="preserve">Revisar la gestió econòmica del RAE </v>
      </c>
      <c r="K250" s="103" t="s">
        <v>876</v>
      </c>
      <c r="L250" s="60"/>
      <c r="M250" s="57" t="s">
        <v>273</v>
      </c>
      <c r="N250" s="31"/>
      <c r="O250" s="57"/>
      <c r="P250" s="166"/>
      <c r="Q250" s="59" t="s">
        <v>1167</v>
      </c>
      <c r="R250" s="31" t="s">
        <v>1170</v>
      </c>
      <c r="S250" s="163"/>
      <c r="T250" s="163" t="s">
        <v>1171</v>
      </c>
      <c r="U250" s="163">
        <v>0.45</v>
      </c>
      <c r="V250" s="163">
        <f>PLA!U250*Llistes!$L$11*Llistes!$L$12</f>
        <v>60.000000000000007</v>
      </c>
      <c r="W250" s="60" t="s">
        <v>291</v>
      </c>
      <c r="X250" s="60" t="str">
        <f>IF(W250=Llistes!$K$2,Llistes!$L$2,IF(W250=Llistes!$K$3,Llistes!$L$3,IF(W250=Llistes!$K$4,Llistes!$L$4,IF(W250=Llistes!$K$5,Llistes!$L$5,IF(W250=Llistes!$K$6,Llistes!$L$6,IF(W250=Llistes!$K$7,Llistes!$L$7,""))))))</f>
        <v>Gerard Carrion</v>
      </c>
      <c r="Y250" s="165" t="s">
        <v>994</v>
      </c>
      <c r="Z250" s="165" t="s">
        <v>994</v>
      </c>
      <c r="AA250" s="165" t="s">
        <v>994</v>
      </c>
      <c r="AB250" s="165" t="s">
        <v>994</v>
      </c>
      <c r="AC250" s="147"/>
    </row>
    <row r="251" spans="1:29" ht="116">
      <c r="A251" s="21" t="s">
        <v>809</v>
      </c>
      <c r="B251" s="29"/>
      <c r="C251" s="266"/>
      <c r="D251" s="297" t="s">
        <v>826</v>
      </c>
      <c r="E251" s="403" t="s">
        <v>827</v>
      </c>
      <c r="F251" s="186" t="s">
        <v>828</v>
      </c>
      <c r="G251" s="187" t="s">
        <v>1492</v>
      </c>
      <c r="H251" s="188" t="s">
        <v>271</v>
      </c>
      <c r="I251" s="188" t="s">
        <v>285</v>
      </c>
      <c r="J251" s="56" t="str">
        <f t="shared" si="19"/>
        <v>Planificar, detectar les necessitats de contractació del l'ENP per a l'optimització dels contractes a nivell de Xarxa i gestionar els contractes</v>
      </c>
      <c r="K251" s="56" t="s">
        <v>829</v>
      </c>
      <c r="L251" s="63"/>
      <c r="M251" s="57" t="s">
        <v>286</v>
      </c>
      <c r="N251" s="63" t="s">
        <v>830</v>
      </c>
      <c r="O251" s="58"/>
      <c r="P251" s="59" t="s">
        <v>831</v>
      </c>
      <c r="Q251" s="59" t="s">
        <v>1131</v>
      </c>
      <c r="R251" s="31" t="s">
        <v>1124</v>
      </c>
      <c r="S251" s="163">
        <v>4</v>
      </c>
      <c r="T251" s="163">
        <v>6</v>
      </c>
      <c r="U251" s="163">
        <v>0.15</v>
      </c>
      <c r="V251" s="163">
        <f>PLA!U251*Llistes!$L$11*Llistes!$L$12</f>
        <v>20</v>
      </c>
      <c r="W251" s="60" t="s">
        <v>291</v>
      </c>
      <c r="X251" s="60" t="str">
        <f>IF(W251=Llistes!$K$2,Llistes!$L$2,IF(W251=Llistes!$K$3,Llistes!$L$3,IF(W251=Llistes!$K$4,Llistes!$L$4,IF(W251=Llistes!$K$5,Llistes!$L$5,IF(W251=Llistes!$K$6,Llistes!$L$6,IF(W251=Llistes!$K$7,Llistes!$L$7,""))))))</f>
        <v>Gerard Carrion</v>
      </c>
      <c r="Y251" s="165" t="s">
        <v>994</v>
      </c>
      <c r="Z251" s="165" t="s">
        <v>994</v>
      </c>
      <c r="AA251" s="165" t="s">
        <v>994</v>
      </c>
      <c r="AB251" s="165" t="s">
        <v>994</v>
      </c>
      <c r="AC251" s="147"/>
    </row>
    <row r="252" spans="1:29" ht="29">
      <c r="A252" s="21"/>
      <c r="B252" s="29"/>
      <c r="C252" s="266"/>
      <c r="D252" s="298"/>
      <c r="E252" s="398"/>
      <c r="F252" s="186" t="s">
        <v>832</v>
      </c>
      <c r="G252" s="187"/>
      <c r="H252" s="55" t="s">
        <v>303</v>
      </c>
      <c r="I252" s="55" t="s">
        <v>285</v>
      </c>
      <c r="J252" s="56" t="s">
        <v>1596</v>
      </c>
      <c r="K252" s="103" t="s">
        <v>876</v>
      </c>
      <c r="L252" s="60"/>
      <c r="M252" s="57" t="s">
        <v>273</v>
      </c>
      <c r="N252" s="31"/>
      <c r="O252" s="57"/>
      <c r="P252" s="166"/>
      <c r="Q252" s="59" t="s">
        <v>1163</v>
      </c>
      <c r="R252" s="31" t="s">
        <v>1166</v>
      </c>
      <c r="S252" s="163">
        <v>80</v>
      </c>
      <c r="T252" s="163">
        <v>160</v>
      </c>
      <c r="U252" s="163">
        <v>10.050000000000001</v>
      </c>
      <c r="V252" s="163">
        <f>PLA!U252*Llistes!$L$11*Llistes!$L$12</f>
        <v>1340.0000000000002</v>
      </c>
      <c r="W252" s="60" t="s">
        <v>825</v>
      </c>
      <c r="X252" s="60" t="str">
        <f>IF(W252=Llistes!$K$2,Llistes!$L$2,IF(W252=Llistes!$K$3,Llistes!$L$3,IF(W252=Llistes!$K$4,Llistes!$L$4,IF(W252=Llistes!$K$5,Llistes!$L$5,IF(W252=Llistes!$K$6,Llistes!$L$6,IF(W252=Llistes!$K$7,Llistes!$L$7,""))))))</f>
        <v>Pilar Sanllehí</v>
      </c>
      <c r="Y252" s="165" t="s">
        <v>994</v>
      </c>
      <c r="Z252" s="165" t="s">
        <v>994</v>
      </c>
      <c r="AA252" s="165" t="s">
        <v>994</v>
      </c>
      <c r="AB252" s="165" t="s">
        <v>994</v>
      </c>
      <c r="AC252" s="147"/>
    </row>
    <row r="253" spans="1:29" ht="43.5">
      <c r="A253" s="21"/>
      <c r="B253" s="29"/>
      <c r="C253" s="266"/>
      <c r="D253" s="298"/>
      <c r="E253" s="398"/>
      <c r="F253" s="186" t="s">
        <v>1586</v>
      </c>
      <c r="G253" s="187"/>
      <c r="H253" s="55" t="s">
        <v>303</v>
      </c>
      <c r="I253" s="55" t="s">
        <v>285</v>
      </c>
      <c r="J253" s="56" t="s">
        <v>879</v>
      </c>
      <c r="K253" s="103" t="s">
        <v>876</v>
      </c>
      <c r="L253" s="60"/>
      <c r="M253" s="57" t="s">
        <v>273</v>
      </c>
      <c r="N253" s="31"/>
      <c r="O253" s="57"/>
      <c r="P253" s="166"/>
      <c r="Q253" s="59" t="s">
        <v>1172</v>
      </c>
      <c r="R253" s="31" t="s">
        <v>1173</v>
      </c>
      <c r="S253" s="163">
        <v>4</v>
      </c>
      <c r="T253" s="163">
        <v>12</v>
      </c>
      <c r="U253" s="163">
        <v>1.02</v>
      </c>
      <c r="V253" s="163">
        <f>PLA!U253*Llistes!$L$11*Llistes!$L$12</f>
        <v>136</v>
      </c>
      <c r="W253" s="60" t="s">
        <v>291</v>
      </c>
      <c r="X253" s="60" t="str">
        <f>IF(W253=Llistes!$K$2,Llistes!$L$2,IF(W253=Llistes!$K$3,Llistes!$L$3,IF(W253=Llistes!$K$4,Llistes!$L$4,IF(W253=Llistes!$K$5,Llistes!$L$5,IF(W253=Llistes!$K$6,Llistes!$L$6,IF(W253=Llistes!$K$7,Llistes!$L$7,""))))))</f>
        <v>Gerard Carrion</v>
      </c>
      <c r="Y253" s="165" t="s">
        <v>994</v>
      </c>
      <c r="Z253" s="165" t="s">
        <v>994</v>
      </c>
      <c r="AA253" s="165" t="s">
        <v>994</v>
      </c>
      <c r="AB253" s="165" t="s">
        <v>994</v>
      </c>
      <c r="AC253" s="147"/>
    </row>
    <row r="254" spans="1:29" ht="87">
      <c r="A254" s="21" t="s">
        <v>809</v>
      </c>
      <c r="B254" s="29"/>
      <c r="C254" s="266"/>
      <c r="D254" s="298"/>
      <c r="E254" s="398"/>
      <c r="F254" s="186" t="s">
        <v>1630</v>
      </c>
      <c r="G254" s="193" t="s">
        <v>1493</v>
      </c>
      <c r="H254" s="188" t="s">
        <v>271</v>
      </c>
      <c r="I254" s="188" t="s">
        <v>285</v>
      </c>
      <c r="J254" s="56" t="s">
        <v>1633</v>
      </c>
      <c r="K254" s="56" t="s">
        <v>833</v>
      </c>
      <c r="L254" s="56"/>
      <c r="M254" s="57" t="s">
        <v>305</v>
      </c>
      <c r="N254" s="56" t="s">
        <v>834</v>
      </c>
      <c r="O254" s="58"/>
      <c r="P254" s="59"/>
      <c r="Q254" s="59" t="s">
        <v>1130</v>
      </c>
      <c r="R254" s="31" t="s">
        <v>1125</v>
      </c>
      <c r="S254" s="163">
        <v>1</v>
      </c>
      <c r="T254" s="163">
        <v>2</v>
      </c>
      <c r="U254" s="163">
        <v>0.03</v>
      </c>
      <c r="V254" s="163">
        <f>PLA!U254*Llistes!$L$11*Llistes!$L$12</f>
        <v>4</v>
      </c>
      <c r="W254" s="60" t="s">
        <v>291</v>
      </c>
      <c r="X254" s="60" t="str">
        <f>IF(W254=Llistes!$K$2,Llistes!$L$2,IF(W254=Llistes!$K$3,Llistes!$L$3,IF(W254=Llistes!$K$4,Llistes!$L$4,IF(W254=Llistes!$K$5,Llistes!$L$5,IF(W254=Llistes!$K$6,Llistes!$L$6,IF(W254=Llistes!$K$7,Llistes!$L$7,""))))))</f>
        <v>Gerard Carrion</v>
      </c>
      <c r="Y254" s="165" t="s">
        <v>994</v>
      </c>
      <c r="Z254" s="165" t="s">
        <v>994</v>
      </c>
      <c r="AA254" s="165" t="s">
        <v>994</v>
      </c>
      <c r="AB254" s="165" t="s">
        <v>994</v>
      </c>
      <c r="AC254" s="147"/>
    </row>
    <row r="255" spans="1:29" ht="43.5">
      <c r="A255" s="21"/>
      <c r="B255" s="29"/>
      <c r="C255" s="266"/>
      <c r="D255" s="298"/>
      <c r="E255" s="398"/>
      <c r="F255" s="186" t="s">
        <v>1631</v>
      </c>
      <c r="G255" s="193" t="s">
        <v>1587</v>
      </c>
      <c r="H255" s="188" t="s">
        <v>271</v>
      </c>
      <c r="I255" s="188" t="s">
        <v>285</v>
      </c>
      <c r="J255" s="56"/>
      <c r="K255" s="56"/>
      <c r="L255" s="56"/>
      <c r="M255" s="57"/>
      <c r="N255" s="56"/>
      <c r="O255" s="58"/>
      <c r="P255" s="59"/>
      <c r="Q255" s="59"/>
      <c r="R255" s="31"/>
      <c r="S255" s="163"/>
      <c r="T255" s="163"/>
      <c r="U255" s="163"/>
      <c r="V255" s="163"/>
      <c r="W255" s="60"/>
      <c r="X255" s="60"/>
      <c r="Y255" s="165"/>
      <c r="Z255" s="165"/>
      <c r="AA255" s="165"/>
      <c r="AB255" s="165"/>
      <c r="AC255" s="147"/>
    </row>
    <row r="256" spans="1:29" ht="29">
      <c r="A256" s="21"/>
      <c r="B256" s="29"/>
      <c r="C256" s="266"/>
      <c r="D256" s="299"/>
      <c r="E256" s="399"/>
      <c r="F256" s="186" t="s">
        <v>1632</v>
      </c>
      <c r="G256" s="193"/>
      <c r="H256" s="55" t="s">
        <v>303</v>
      </c>
      <c r="I256" s="55" t="s">
        <v>285</v>
      </c>
      <c r="J256" s="56" t="s">
        <v>877</v>
      </c>
      <c r="K256" s="103" t="s">
        <v>876</v>
      </c>
      <c r="L256" s="60"/>
      <c r="M256" s="57" t="s">
        <v>305</v>
      </c>
      <c r="N256" s="31"/>
      <c r="O256" s="57"/>
      <c r="P256" s="166"/>
      <c r="Q256" s="59" t="s">
        <v>1162</v>
      </c>
      <c r="R256" s="31" t="s">
        <v>1165</v>
      </c>
      <c r="S256" s="163">
        <v>1</v>
      </c>
      <c r="T256" s="163">
        <v>4</v>
      </c>
      <c r="U256" s="163">
        <v>0.45</v>
      </c>
      <c r="V256" s="163">
        <f>PLA!U256*Llistes!$L$11*Llistes!$L$12</f>
        <v>60.000000000000007</v>
      </c>
      <c r="W256" s="60" t="s">
        <v>291</v>
      </c>
      <c r="X256" s="60" t="str">
        <f>IF(W256=Llistes!$K$2,Llistes!$L$2,IF(W256=Llistes!$K$3,Llistes!$L$3,IF(W256=Llistes!$K$4,Llistes!$L$4,IF(W256=Llistes!$K$5,Llistes!$L$5,IF(W256=Llistes!$K$6,Llistes!$L$6,IF(W256=Llistes!$K$7,Llistes!$L$7,""))))))</f>
        <v>Gerard Carrion</v>
      </c>
      <c r="Y256" s="165" t="s">
        <v>994</v>
      </c>
      <c r="Z256" s="165" t="s">
        <v>994</v>
      </c>
      <c r="AA256" s="165" t="s">
        <v>994</v>
      </c>
      <c r="AB256" s="165" t="s">
        <v>994</v>
      </c>
      <c r="AC256" s="147"/>
    </row>
    <row r="257" spans="1:29" ht="130.5">
      <c r="A257" s="21" t="s">
        <v>809</v>
      </c>
      <c r="B257" s="29"/>
      <c r="C257" s="266"/>
      <c r="D257" s="297" t="s">
        <v>835</v>
      </c>
      <c r="E257" s="403" t="s">
        <v>836</v>
      </c>
      <c r="F257" s="186" t="s">
        <v>837</v>
      </c>
      <c r="G257" s="193" t="s">
        <v>838</v>
      </c>
      <c r="H257" s="188" t="s">
        <v>271</v>
      </c>
      <c r="I257" s="188" t="s">
        <v>285</v>
      </c>
      <c r="J257" s="56" t="s">
        <v>839</v>
      </c>
      <c r="K257" s="56" t="s">
        <v>840</v>
      </c>
      <c r="L257" s="56"/>
      <c r="M257" s="57" t="s">
        <v>286</v>
      </c>
      <c r="N257" s="56" t="s">
        <v>841</v>
      </c>
      <c r="O257" s="58"/>
      <c r="P257" s="59"/>
      <c r="Q257" s="59" t="s">
        <v>1128</v>
      </c>
      <c r="R257" s="31" t="s">
        <v>1126</v>
      </c>
      <c r="S257" s="163">
        <v>8</v>
      </c>
      <c r="T257" s="163">
        <v>20</v>
      </c>
      <c r="U257" s="163">
        <v>2.0099999999999998</v>
      </c>
      <c r="V257" s="163">
        <f>PLA!U257*Llistes!$L$11*Llistes!$L$12</f>
        <v>268</v>
      </c>
      <c r="W257" s="60" t="s">
        <v>291</v>
      </c>
      <c r="X257" s="60" t="str">
        <f>IF(W257=Llistes!$K$2,Llistes!$L$2,IF(W257=Llistes!$K$3,Llistes!$L$3,IF(W257=Llistes!$K$4,Llistes!$L$4,IF(W257=Llistes!$K$5,Llistes!$L$5,IF(W257=Llistes!$K$6,Llistes!$L$6,IF(W257=Llistes!$K$7,Llistes!$L$7,""))))))</f>
        <v>Gerard Carrion</v>
      </c>
      <c r="Y257" s="165" t="s">
        <v>994</v>
      </c>
      <c r="Z257" s="165" t="s">
        <v>994</v>
      </c>
      <c r="AA257" s="165" t="s">
        <v>994</v>
      </c>
      <c r="AB257" s="165" t="s">
        <v>994</v>
      </c>
      <c r="AC257" s="147"/>
    </row>
    <row r="258" spans="1:29" ht="29">
      <c r="A258" s="21"/>
      <c r="B258" s="29"/>
      <c r="C258" s="266"/>
      <c r="D258" s="298"/>
      <c r="E258" s="398"/>
      <c r="F258" s="186" t="s">
        <v>837</v>
      </c>
      <c r="G258" s="193" t="s">
        <v>838</v>
      </c>
      <c r="H258" s="188" t="s">
        <v>271</v>
      </c>
      <c r="I258" s="188" t="s">
        <v>285</v>
      </c>
      <c r="J258" s="56" t="s">
        <v>839</v>
      </c>
      <c r="K258" s="56" t="s">
        <v>840</v>
      </c>
      <c r="L258" s="56"/>
      <c r="M258" s="57" t="s">
        <v>286</v>
      </c>
      <c r="N258" s="56"/>
      <c r="O258" s="58"/>
      <c r="P258" s="59"/>
      <c r="Q258" s="59" t="s">
        <v>1129</v>
      </c>
      <c r="R258" s="31" t="s">
        <v>1127</v>
      </c>
      <c r="S258" s="163">
        <v>40</v>
      </c>
      <c r="T258" s="163">
        <v>60</v>
      </c>
      <c r="U258" s="163">
        <v>2.0099999999999998</v>
      </c>
      <c r="V258" s="163">
        <f>PLA!U258*Llistes!$L$11*Llistes!$L$12</f>
        <v>268</v>
      </c>
      <c r="W258" s="60" t="s">
        <v>291</v>
      </c>
      <c r="X258" s="60" t="str">
        <f>IF(W258=Llistes!$K$2,Llistes!$L$2,IF(W258=Llistes!$K$3,Llistes!$L$3,IF(W258=Llistes!$K$4,Llistes!$L$4,IF(W258=Llistes!$K$5,Llistes!$L$5,IF(W258=Llistes!$K$6,Llistes!$L$6,IF(W258=Llistes!$K$7,Llistes!$L$7,""))))))</f>
        <v>Gerard Carrion</v>
      </c>
      <c r="Y258" s="165" t="s">
        <v>994</v>
      </c>
      <c r="Z258" s="165" t="s">
        <v>994</v>
      </c>
      <c r="AA258" s="165" t="s">
        <v>994</v>
      </c>
      <c r="AB258" s="165" t="s">
        <v>994</v>
      </c>
      <c r="AC258" s="147"/>
    </row>
    <row r="259" spans="1:29" ht="43.5">
      <c r="A259" s="21" t="s">
        <v>809</v>
      </c>
      <c r="B259" s="29"/>
      <c r="C259" s="266"/>
      <c r="D259" s="298"/>
      <c r="E259" s="398"/>
      <c r="F259" s="186" t="s">
        <v>842</v>
      </c>
      <c r="G259" s="187" t="s">
        <v>843</v>
      </c>
      <c r="H259" s="188" t="s">
        <v>271</v>
      </c>
      <c r="I259" s="188" t="s">
        <v>285</v>
      </c>
      <c r="J259" s="56" t="str">
        <f t="shared" si="19"/>
        <v>Adequar i actualitzar els procediments i tramitacions realitzats des de l'ENP als nous processos i eines conjuntes proposades des de Serveis Centrals</v>
      </c>
      <c r="K259" s="56"/>
      <c r="L259" s="63"/>
      <c r="M259" s="57" t="s">
        <v>305</v>
      </c>
      <c r="N259" s="63" t="s">
        <v>844</v>
      </c>
      <c r="O259" s="58"/>
      <c r="P259" s="61" t="s">
        <v>845</v>
      </c>
      <c r="Q259" s="59" t="s">
        <v>1132</v>
      </c>
      <c r="R259" s="31" t="s">
        <v>1133</v>
      </c>
      <c r="S259" s="163"/>
      <c r="T259" s="163" t="s">
        <v>1043</v>
      </c>
      <c r="U259" s="163">
        <v>1.4999999999999999E-2</v>
      </c>
      <c r="V259" s="163">
        <f>PLA!U259*Llistes!$L$11*Llistes!$L$12</f>
        <v>2</v>
      </c>
      <c r="W259" s="60" t="s">
        <v>825</v>
      </c>
      <c r="X259" s="60" t="str">
        <f>IF(W259=Llistes!$K$2,Llistes!$L$2,IF(W259=Llistes!$K$3,Llistes!$L$3,IF(W259=Llistes!$K$4,Llistes!$L$4,IF(W259=Llistes!$K$5,Llistes!$L$5,IF(W259=Llistes!$K$6,Llistes!$L$6,IF(W259=Llistes!$K$7,Llistes!$L$7,""))))))</f>
        <v>Pilar Sanllehí</v>
      </c>
      <c r="Y259" s="165" t="s">
        <v>994</v>
      </c>
      <c r="Z259" s="165" t="s">
        <v>994</v>
      </c>
      <c r="AA259" s="165" t="s">
        <v>994</v>
      </c>
      <c r="AB259" s="165" t="s">
        <v>994</v>
      </c>
      <c r="AC259" s="147"/>
    </row>
    <row r="260" spans="1:29" ht="145">
      <c r="A260" s="21" t="s">
        <v>809</v>
      </c>
      <c r="B260" s="29"/>
      <c r="C260" s="266"/>
      <c r="D260" s="298"/>
      <c r="E260" s="398"/>
      <c r="F260" s="186" t="s">
        <v>846</v>
      </c>
      <c r="G260" s="193" t="s">
        <v>847</v>
      </c>
      <c r="H260" s="188" t="s">
        <v>271</v>
      </c>
      <c r="I260" s="188" t="s">
        <v>285</v>
      </c>
      <c r="J260" s="56" t="str">
        <f t="shared" si="19"/>
        <v>Augmentar el coneixement de l'equip de treball en matèria de procediment administratiu</v>
      </c>
      <c r="K260" s="56"/>
      <c r="L260" s="63"/>
      <c r="M260" s="57" t="s">
        <v>305</v>
      </c>
      <c r="N260" s="63" t="s">
        <v>848</v>
      </c>
      <c r="O260" s="58"/>
      <c r="P260" s="59"/>
      <c r="Q260" s="59" t="s">
        <v>1134</v>
      </c>
      <c r="R260" s="31" t="s">
        <v>1136</v>
      </c>
      <c r="S260" s="163">
        <v>1</v>
      </c>
      <c r="T260" s="163">
        <v>4</v>
      </c>
      <c r="U260" s="163">
        <v>0.15</v>
      </c>
      <c r="V260" s="163">
        <f>PLA!U260*Llistes!$L$11*Llistes!$L$12</f>
        <v>20</v>
      </c>
      <c r="W260" s="60" t="s">
        <v>825</v>
      </c>
      <c r="X260" s="60" t="str">
        <f>IF(W260=Llistes!$K$2,Llistes!$L$2,IF(W260=Llistes!$K$3,Llistes!$L$3,IF(W260=Llistes!$K$4,Llistes!$L$4,IF(W260=Llistes!$K$5,Llistes!$L$5,IF(W260=Llistes!$K$6,Llistes!$L$6,IF(W260=Llistes!$K$7,Llistes!$L$7,""))))))</f>
        <v>Pilar Sanllehí</v>
      </c>
      <c r="Y260" s="165" t="s">
        <v>994</v>
      </c>
      <c r="Z260" s="165" t="s">
        <v>994</v>
      </c>
      <c r="AA260" s="165" t="s">
        <v>994</v>
      </c>
      <c r="AB260" s="165" t="s">
        <v>994</v>
      </c>
      <c r="AC260" s="147"/>
    </row>
    <row r="261" spans="1:29" ht="87">
      <c r="A261" s="21"/>
      <c r="B261" s="29"/>
      <c r="C261" s="266"/>
      <c r="D261" s="298"/>
      <c r="E261" s="398"/>
      <c r="F261" s="186" t="s">
        <v>846</v>
      </c>
      <c r="G261" s="193" t="s">
        <v>847</v>
      </c>
      <c r="H261" s="188" t="s">
        <v>271</v>
      </c>
      <c r="I261" s="188" t="s">
        <v>285</v>
      </c>
      <c r="J261" s="56" t="str">
        <f t="shared" ref="J261" si="33">G261</f>
        <v>Augmentar el coneixement de l'equip de treball en matèria de procediment administratiu</v>
      </c>
      <c r="K261" s="56"/>
      <c r="L261" s="63"/>
      <c r="M261" s="57" t="s">
        <v>305</v>
      </c>
      <c r="N261" s="63"/>
      <c r="O261" s="58"/>
      <c r="P261" s="59"/>
      <c r="Q261" s="59" t="s">
        <v>1135</v>
      </c>
      <c r="R261" s="31" t="s">
        <v>1137</v>
      </c>
      <c r="S261" s="163">
        <v>1</v>
      </c>
      <c r="T261" s="163">
        <v>4</v>
      </c>
      <c r="U261" s="163">
        <v>0.15</v>
      </c>
      <c r="V261" s="163">
        <f>PLA!U261*Llistes!$L$11*Llistes!$L$12</f>
        <v>20</v>
      </c>
      <c r="W261" s="60" t="s">
        <v>825</v>
      </c>
      <c r="X261" s="60" t="str">
        <f>IF(W261=Llistes!$K$2,Llistes!$L$2,IF(W261=Llistes!$K$3,Llistes!$L$3,IF(W261=Llistes!$K$4,Llistes!$L$4,IF(W261=Llistes!$K$5,Llistes!$L$5,IF(W261=Llistes!$K$6,Llistes!$L$6,IF(W261=Llistes!$K$7,Llistes!$L$7,""))))))</f>
        <v>Pilar Sanllehí</v>
      </c>
      <c r="Y261" s="165" t="s">
        <v>994</v>
      </c>
      <c r="Z261" s="165" t="s">
        <v>994</v>
      </c>
      <c r="AA261" s="165" t="s">
        <v>994</v>
      </c>
      <c r="AB261" s="165" t="s">
        <v>994</v>
      </c>
      <c r="AC261" s="147"/>
    </row>
    <row r="262" spans="1:29" ht="29">
      <c r="A262" s="21" t="s">
        <v>809</v>
      </c>
      <c r="B262" s="29"/>
      <c r="C262" s="266"/>
      <c r="D262" s="298"/>
      <c r="E262" s="398"/>
      <c r="F262" s="186" t="s">
        <v>849</v>
      </c>
      <c r="G262" s="187" t="s">
        <v>850</v>
      </c>
      <c r="H262" s="188" t="s">
        <v>303</v>
      </c>
      <c r="I262" s="188" t="s">
        <v>285</v>
      </c>
      <c r="J262" s="56" t="str">
        <f t="shared" si="19"/>
        <v>Garantir la transparència administrativa</v>
      </c>
      <c r="K262" s="56"/>
      <c r="L262" s="63"/>
      <c r="M262" s="57" t="s">
        <v>305</v>
      </c>
      <c r="N262" s="63" t="s">
        <v>851</v>
      </c>
      <c r="O262" s="58"/>
      <c r="P262" s="59"/>
      <c r="Q262" s="59" t="s">
        <v>1138</v>
      </c>
      <c r="R262" s="31" t="s">
        <v>1139</v>
      </c>
      <c r="S262" s="163"/>
      <c r="T262" s="163">
        <v>1</v>
      </c>
      <c r="U262" s="163">
        <v>1.4999999999999999E-2</v>
      </c>
      <c r="V262" s="163">
        <f>PLA!U262*Llistes!$L$11*Llistes!$L$12</f>
        <v>2</v>
      </c>
      <c r="W262" s="60" t="s">
        <v>825</v>
      </c>
      <c r="X262" s="60" t="str">
        <f>IF(W262=Llistes!$K$2,Llistes!$L$2,IF(W262=Llistes!$K$3,Llistes!$L$3,IF(W262=Llistes!$K$4,Llistes!$L$4,IF(W262=Llistes!$K$5,Llistes!$L$5,IF(W262=Llistes!$K$6,Llistes!$L$6,IF(W262=Llistes!$K$7,Llistes!$L$7,""))))))</f>
        <v>Pilar Sanllehí</v>
      </c>
      <c r="Y262" s="165" t="s">
        <v>994</v>
      </c>
      <c r="Z262" s="165" t="s">
        <v>994</v>
      </c>
      <c r="AA262" s="165" t="s">
        <v>994</v>
      </c>
      <c r="AB262" s="165" t="s">
        <v>994</v>
      </c>
      <c r="AC262" s="147"/>
    </row>
    <row r="263" spans="1:29" ht="43.5">
      <c r="A263" s="21" t="s">
        <v>809</v>
      </c>
      <c r="B263" s="29"/>
      <c r="C263" s="266"/>
      <c r="D263" s="298"/>
      <c r="E263" s="398"/>
      <c r="F263" s="186" t="s">
        <v>852</v>
      </c>
      <c r="G263" s="187" t="s">
        <v>1494</v>
      </c>
      <c r="H263" s="188" t="s">
        <v>271</v>
      </c>
      <c r="I263" s="188" t="s">
        <v>285</v>
      </c>
      <c r="J263" s="56" t="str">
        <f t="shared" si="19"/>
        <v>Millorar i mantenir el material, infraestructures i equipaments de gestió de l'espai</v>
      </c>
      <c r="K263" s="56"/>
      <c r="L263" s="63"/>
      <c r="M263" s="57" t="s">
        <v>273</v>
      </c>
      <c r="N263" s="63" t="s">
        <v>853</v>
      </c>
      <c r="O263" s="58"/>
      <c r="P263" s="54"/>
      <c r="Q263" s="54" t="s">
        <v>1140</v>
      </c>
      <c r="R263" s="31" t="s">
        <v>1141</v>
      </c>
      <c r="S263" s="163">
        <v>12</v>
      </c>
      <c r="T263" s="163">
        <v>20</v>
      </c>
      <c r="U263" s="163">
        <v>4.4999999999999998E-2</v>
      </c>
      <c r="V263" s="163">
        <f>PLA!U263*Llistes!$L$11*Llistes!$L$12</f>
        <v>6</v>
      </c>
      <c r="W263" s="60" t="s">
        <v>291</v>
      </c>
      <c r="X263" s="60" t="str">
        <f>IF(W263=Llistes!$K$2,Llistes!$L$2,IF(W263=Llistes!$K$3,Llistes!$L$3,IF(W263=Llistes!$K$4,Llistes!$L$4,IF(W263=Llistes!$K$5,Llistes!$L$5,IF(W263=Llistes!$K$6,Llistes!$L$6,IF(W263=Llistes!$K$7,Llistes!$L$7,""))))))</f>
        <v>Gerard Carrion</v>
      </c>
      <c r="Y263" s="165" t="s">
        <v>994</v>
      </c>
      <c r="Z263" s="165" t="s">
        <v>994</v>
      </c>
      <c r="AA263" s="165" t="s">
        <v>994</v>
      </c>
      <c r="AB263" s="165" t="s">
        <v>994</v>
      </c>
      <c r="AC263" s="147"/>
    </row>
    <row r="264" spans="1:29" ht="58">
      <c r="A264" s="21"/>
      <c r="B264" s="29"/>
      <c r="C264" s="266"/>
      <c r="D264" s="415"/>
      <c r="E264" s="416"/>
      <c r="F264" s="186" t="s">
        <v>1653</v>
      </c>
      <c r="G264" s="187"/>
      <c r="H264" s="55" t="s">
        <v>303</v>
      </c>
      <c r="I264" s="188"/>
      <c r="J264" s="56" t="s">
        <v>880</v>
      </c>
      <c r="K264" s="103" t="s">
        <v>876</v>
      </c>
      <c r="L264" s="60"/>
      <c r="M264" s="57" t="s">
        <v>273</v>
      </c>
      <c r="N264" s="31"/>
      <c r="O264" s="57"/>
      <c r="P264" s="166"/>
      <c r="Q264" s="59" t="s">
        <v>1164</v>
      </c>
      <c r="R264" s="31" t="s">
        <v>1174</v>
      </c>
      <c r="S264" s="163"/>
      <c r="T264" s="163">
        <v>0</v>
      </c>
      <c r="U264" s="163">
        <v>0.45</v>
      </c>
      <c r="V264" s="163">
        <f>PLA!U264*Llistes!$L$11*Llistes!$L$12</f>
        <v>60.000000000000007</v>
      </c>
      <c r="W264" s="60" t="s">
        <v>291</v>
      </c>
      <c r="X264" s="60" t="str">
        <f>IF(W264=Llistes!$K$2,Llistes!$L$2,IF(W264=Llistes!$K$3,Llistes!$L$3,IF(W264=Llistes!$K$4,Llistes!$L$4,IF(W264=Llistes!$K$5,Llistes!$L$5,IF(W264=Llistes!$K$6,Llistes!$L$6,IF(W264=Llistes!$K$7,Llistes!$L$7,""))))))</f>
        <v>Gerard Carrion</v>
      </c>
      <c r="Y264" s="165" t="s">
        <v>994</v>
      </c>
      <c r="Z264" s="165" t="s">
        <v>994</v>
      </c>
      <c r="AA264" s="165" t="s">
        <v>994</v>
      </c>
      <c r="AB264" s="165" t="s">
        <v>994</v>
      </c>
      <c r="AC264" s="147"/>
    </row>
    <row r="265" spans="1:29" s="1" customFormat="1" ht="87">
      <c r="A265" s="21" t="s">
        <v>809</v>
      </c>
      <c r="B265" s="29"/>
      <c r="C265" s="266"/>
      <c r="D265" s="371" t="s">
        <v>854</v>
      </c>
      <c r="E265" s="372" t="s">
        <v>855</v>
      </c>
      <c r="F265" s="186" t="s">
        <v>856</v>
      </c>
      <c r="G265" s="187" t="s">
        <v>857</v>
      </c>
      <c r="H265" s="188" t="s">
        <v>271</v>
      </c>
      <c r="I265" s="188" t="s">
        <v>285</v>
      </c>
      <c r="J265" s="56" t="str">
        <f t="shared" si="19"/>
        <v>Revisar l’estat dels béns patrimonials i la situació administrativa-legal dels equipaments del parc</v>
      </c>
      <c r="K265" s="56"/>
      <c r="L265" s="63"/>
      <c r="M265" s="57" t="s">
        <v>273</v>
      </c>
      <c r="N265" s="63" t="s">
        <v>858</v>
      </c>
      <c r="O265" s="58"/>
      <c r="P265" s="61" t="s">
        <v>859</v>
      </c>
      <c r="Q265" s="54" t="s">
        <v>1142</v>
      </c>
      <c r="R265" s="31" t="s">
        <v>1143</v>
      </c>
      <c r="S265" s="163">
        <v>2</v>
      </c>
      <c r="T265" s="163">
        <v>4</v>
      </c>
      <c r="U265" s="163">
        <v>4.4999999999999998E-2</v>
      </c>
      <c r="V265" s="163">
        <f>PLA!U265*Llistes!$L$11*Llistes!$L$12</f>
        <v>6</v>
      </c>
      <c r="W265" s="60" t="s">
        <v>291</v>
      </c>
      <c r="X265" s="60" t="str">
        <f>IF(W265=Llistes!$K$2,Llistes!$L$2,IF(W265=Llistes!$K$3,Llistes!$L$3,IF(W265=Llistes!$K$4,Llistes!$L$4,IF(W265=Llistes!$K$5,Llistes!$L$5,IF(W265=Llistes!$K$6,Llistes!$L$6,IF(W265=Llistes!$K$7,Llistes!$L$7,""))))))</f>
        <v>Gerard Carrion</v>
      </c>
      <c r="Y265" s="165" t="s">
        <v>994</v>
      </c>
      <c r="Z265" s="165" t="s">
        <v>994</v>
      </c>
      <c r="AA265" s="165" t="s">
        <v>994</v>
      </c>
      <c r="AB265" s="165" t="s">
        <v>994</v>
      </c>
      <c r="AC265" s="148"/>
    </row>
    <row r="266" spans="1:29" ht="87">
      <c r="A266" s="21" t="s">
        <v>809</v>
      </c>
      <c r="B266" s="29"/>
      <c r="C266" s="266"/>
      <c r="D266" s="298"/>
      <c r="E266" s="373"/>
      <c r="F266" s="186" t="s">
        <v>860</v>
      </c>
      <c r="G266" s="187" t="s">
        <v>861</v>
      </c>
      <c r="H266" s="188" t="s">
        <v>271</v>
      </c>
      <c r="I266" s="188" t="s">
        <v>279</v>
      </c>
      <c r="J266" s="56" t="str">
        <f t="shared" si="19"/>
        <v>Tenir cobertes les pèrdues o danys materials del patrimoni de la Direcció General que hi ha a l'àmbit territorial del Parc, com a conseqüència de la materialització de qualsevol dels riscs emparats en el plec de prescripcions tècniques de la pòlissa.</v>
      </c>
      <c r="K266" s="56"/>
      <c r="L266" s="63"/>
      <c r="M266" s="57" t="s">
        <v>273</v>
      </c>
      <c r="N266" s="63" t="s">
        <v>862</v>
      </c>
      <c r="O266" s="58"/>
      <c r="P266" s="61" t="s">
        <v>863</v>
      </c>
      <c r="Q266" s="54" t="s">
        <v>1144</v>
      </c>
      <c r="R266" s="31" t="s">
        <v>1145</v>
      </c>
      <c r="S266" s="163">
        <v>1</v>
      </c>
      <c r="T266" s="163">
        <v>4</v>
      </c>
      <c r="U266" s="163">
        <v>1.4999999999999999E-2</v>
      </c>
      <c r="V266" s="163">
        <f>PLA!U266*Llistes!$L$11*Llistes!$L$12</f>
        <v>2</v>
      </c>
      <c r="W266" s="60" t="s">
        <v>291</v>
      </c>
      <c r="X266" s="60" t="str">
        <f>IF(W266=Llistes!$K$2,Llistes!$L$2,IF(W266=Llistes!$K$3,Llistes!$L$3,IF(W266=Llistes!$K$4,Llistes!$L$4,IF(W266=Llistes!$K$5,Llistes!$L$5,IF(W266=Llistes!$K$6,Llistes!$L$6,IF(W266=Llistes!$K$7,Llistes!$L$7,""))))))</f>
        <v>Gerard Carrion</v>
      </c>
      <c r="Y266" s="165" t="s">
        <v>994</v>
      </c>
      <c r="Z266" s="165" t="s">
        <v>994</v>
      </c>
      <c r="AA266" s="165" t="s">
        <v>994</v>
      </c>
      <c r="AB266" s="165" t="s">
        <v>994</v>
      </c>
      <c r="AC266" s="147"/>
    </row>
    <row r="267" spans="1:29" ht="72.5">
      <c r="A267" s="21" t="s">
        <v>809</v>
      </c>
      <c r="B267" s="29"/>
      <c r="C267" s="266"/>
      <c r="D267" s="20" t="s">
        <v>864</v>
      </c>
      <c r="E267" s="45" t="s">
        <v>865</v>
      </c>
      <c r="F267" s="186" t="s">
        <v>866</v>
      </c>
      <c r="G267" s="187" t="s">
        <v>1495</v>
      </c>
      <c r="H267" s="188" t="s">
        <v>271</v>
      </c>
      <c r="I267" s="188" t="s">
        <v>285</v>
      </c>
      <c r="J267" s="56" t="str">
        <f t="shared" si="19"/>
        <v>Millorar l'accessibilitat i de la gestió documental i digital de l'ENP</v>
      </c>
      <c r="K267" s="56"/>
      <c r="L267" s="31"/>
      <c r="M267" s="57" t="s">
        <v>305</v>
      </c>
      <c r="N267" s="31" t="s">
        <v>867</v>
      </c>
      <c r="O267" s="58"/>
      <c r="P267" s="59" t="s">
        <v>868</v>
      </c>
      <c r="Q267" s="59" t="s">
        <v>1146</v>
      </c>
      <c r="R267" s="31" t="s">
        <v>1312</v>
      </c>
      <c r="S267" s="163"/>
      <c r="T267" s="163" t="s">
        <v>1043</v>
      </c>
      <c r="U267" s="163">
        <v>1.4999999999999999E-2</v>
      </c>
      <c r="V267" s="163">
        <f>PLA!U267*Llistes!$L$11*Llistes!$L$12</f>
        <v>2</v>
      </c>
      <c r="W267" s="60" t="s">
        <v>825</v>
      </c>
      <c r="X267" s="60" t="str">
        <f>IF(W267=Llistes!$K$2,Llistes!$L$2,IF(W267=Llistes!$K$3,Llistes!$L$3,IF(W267=Llistes!$K$4,Llistes!$L$4,IF(W267=Llistes!$K$5,Llistes!$L$5,IF(W267=Llistes!$K$6,Llistes!$L$6,IF(W267=Llistes!$K$7,Llistes!$L$7,""))))))</f>
        <v>Pilar Sanllehí</v>
      </c>
      <c r="Y267" s="165" t="s">
        <v>994</v>
      </c>
      <c r="Z267" s="165" t="s">
        <v>994</v>
      </c>
      <c r="AA267" s="165" t="s">
        <v>994</v>
      </c>
      <c r="AB267" s="165" t="s">
        <v>994</v>
      </c>
      <c r="AC267" s="147"/>
    </row>
    <row r="268" spans="1:29" ht="43.5">
      <c r="A268" s="21" t="s">
        <v>809</v>
      </c>
      <c r="B268" s="29"/>
      <c r="C268" s="266"/>
      <c r="D268" s="400" t="s">
        <v>869</v>
      </c>
      <c r="E268" s="403" t="s">
        <v>870</v>
      </c>
      <c r="F268" s="186" t="s">
        <v>871</v>
      </c>
      <c r="G268" s="187" t="s">
        <v>872</v>
      </c>
      <c r="H268" s="188" t="s">
        <v>303</v>
      </c>
      <c r="I268" s="188" t="s">
        <v>285</v>
      </c>
      <c r="J268" s="56" t="s">
        <v>873</v>
      </c>
      <c r="K268" s="56" t="s">
        <v>874</v>
      </c>
      <c r="L268" s="31"/>
      <c r="M268" s="57" t="s">
        <v>273</v>
      </c>
      <c r="N268" s="31"/>
      <c r="O268" s="58"/>
      <c r="P268" s="59"/>
      <c r="Q268" s="59" t="s">
        <v>1147</v>
      </c>
      <c r="R268" s="31" t="s">
        <v>1150</v>
      </c>
      <c r="S268" s="163">
        <v>12</v>
      </c>
      <c r="T268" s="163">
        <v>16</v>
      </c>
      <c r="U268" s="163">
        <v>1.02</v>
      </c>
      <c r="V268" s="163">
        <f>PLA!U268*Llistes!$L$11*Llistes!$L$12</f>
        <v>136</v>
      </c>
      <c r="W268" s="60" t="s">
        <v>349</v>
      </c>
      <c r="X268" s="60" t="str">
        <f>IF(W268=Llistes!$K$2,Llistes!$L$2,IF(W268=Llistes!$K$3,Llistes!$L$3,IF(W268=Llistes!$K$4,Llistes!$L$4,IF(W268=Llistes!$K$5,Llistes!$L$5,IF(W268=Llistes!$K$6,Llistes!$L$6,IF(W268=Llistes!$K$7,Llistes!$L$7,""))))))</f>
        <v>Sergi Roura</v>
      </c>
      <c r="Y268" s="165" t="s">
        <v>994</v>
      </c>
      <c r="Z268" s="165" t="s">
        <v>994</v>
      </c>
      <c r="AA268" s="165" t="s">
        <v>994</v>
      </c>
      <c r="AB268" s="165" t="s">
        <v>994</v>
      </c>
      <c r="AC268" s="147"/>
    </row>
    <row r="269" spans="1:29" ht="29">
      <c r="A269" s="21"/>
      <c r="B269" s="29"/>
      <c r="C269" s="266"/>
      <c r="D269" s="401"/>
      <c r="E269" s="398"/>
      <c r="F269" s="186" t="s">
        <v>871</v>
      </c>
      <c r="G269" s="187" t="s">
        <v>872</v>
      </c>
      <c r="H269" s="188" t="s">
        <v>303</v>
      </c>
      <c r="I269" s="188" t="s">
        <v>285</v>
      </c>
      <c r="J269" s="56" t="s">
        <v>873</v>
      </c>
      <c r="K269" s="56" t="s">
        <v>874</v>
      </c>
      <c r="L269" s="31"/>
      <c r="M269" s="57" t="s">
        <v>273</v>
      </c>
      <c r="N269" s="31"/>
      <c r="O269" s="58"/>
      <c r="P269" s="59"/>
      <c r="Q269" s="59" t="s">
        <v>1148</v>
      </c>
      <c r="R269" s="31" t="s">
        <v>1151</v>
      </c>
      <c r="S269" s="163"/>
      <c r="T269" s="163" t="s">
        <v>1043</v>
      </c>
      <c r="U269" s="163">
        <v>1.02</v>
      </c>
      <c r="V269" s="163">
        <f>PLA!U269*Llistes!$L$11*Llistes!$L$12</f>
        <v>136</v>
      </c>
      <c r="W269" s="60" t="s">
        <v>349</v>
      </c>
      <c r="X269" s="60" t="str">
        <f>IF(W269=Llistes!$K$2,Llistes!$L$2,IF(W269=Llistes!$K$3,Llistes!$L$3,IF(W269=Llistes!$K$4,Llistes!$L$4,IF(W269=Llistes!$K$5,Llistes!$L$5,IF(W269=Llistes!$K$6,Llistes!$L$6,IF(W269=Llistes!$K$7,Llistes!$L$7,""))))))</f>
        <v>Sergi Roura</v>
      </c>
      <c r="Y269" s="165" t="s">
        <v>994</v>
      </c>
      <c r="Z269" s="165" t="s">
        <v>994</v>
      </c>
      <c r="AA269" s="165" t="s">
        <v>994</v>
      </c>
      <c r="AB269" s="165" t="s">
        <v>994</v>
      </c>
      <c r="AC269" s="147"/>
    </row>
    <row r="270" spans="1:29" ht="29">
      <c r="A270" s="21"/>
      <c r="B270" s="29"/>
      <c r="C270" s="266"/>
      <c r="D270" s="401"/>
      <c r="E270" s="398"/>
      <c r="F270" s="186" t="s">
        <v>871</v>
      </c>
      <c r="G270" s="187" t="s">
        <v>872</v>
      </c>
      <c r="H270" s="188" t="s">
        <v>303</v>
      </c>
      <c r="I270" s="188" t="s">
        <v>285</v>
      </c>
      <c r="J270" s="56" t="s">
        <v>873</v>
      </c>
      <c r="K270" s="56" t="s">
        <v>874</v>
      </c>
      <c r="L270" s="31"/>
      <c r="M270" s="57" t="s">
        <v>273</v>
      </c>
      <c r="N270" s="31"/>
      <c r="O270" s="58"/>
      <c r="P270" s="59"/>
      <c r="Q270" s="59" t="s">
        <v>1149</v>
      </c>
      <c r="R270" s="31" t="s">
        <v>1141</v>
      </c>
      <c r="S270" s="163">
        <v>12</v>
      </c>
      <c r="T270" s="163">
        <v>20</v>
      </c>
      <c r="U270" s="163">
        <v>4.4999999999999998E-2</v>
      </c>
      <c r="V270" s="163">
        <f>PLA!U270*Llistes!$L$11*Llistes!$L$12</f>
        <v>6</v>
      </c>
      <c r="W270" s="60" t="s">
        <v>291</v>
      </c>
      <c r="X270" s="60" t="str">
        <f>IF(W270=Llistes!$K$2,Llistes!$L$2,IF(W270=Llistes!$K$3,Llistes!$L$3,IF(W270=Llistes!$K$4,Llistes!$L$4,IF(W270=Llistes!$K$5,Llistes!$L$5,IF(W270=Llistes!$K$6,Llistes!$L$6,IF(W270=Llistes!$K$7,Llistes!$L$7,""))))))</f>
        <v>Gerard Carrion</v>
      </c>
      <c r="Y270" s="165" t="s">
        <v>994</v>
      </c>
      <c r="Z270" s="165" t="s">
        <v>994</v>
      </c>
      <c r="AA270" s="165" t="s">
        <v>994</v>
      </c>
      <c r="AB270" s="165" t="s">
        <v>994</v>
      </c>
      <c r="AC270" s="147"/>
    </row>
    <row r="271" spans="1:29" ht="72.5">
      <c r="A271" s="21" t="s">
        <v>809</v>
      </c>
      <c r="B271" s="29"/>
      <c r="C271" s="266"/>
      <c r="D271" s="401"/>
      <c r="E271" s="398"/>
      <c r="F271" s="186" t="s">
        <v>875</v>
      </c>
      <c r="G271" s="187" t="s">
        <v>1496</v>
      </c>
      <c r="H271" s="188" t="s">
        <v>303</v>
      </c>
      <c r="I271" s="188" t="s">
        <v>285</v>
      </c>
      <c r="J271" s="56" t="s">
        <v>1634</v>
      </c>
      <c r="K271" s="56" t="s">
        <v>874</v>
      </c>
      <c r="L271" s="31"/>
      <c r="M271" s="57" t="s">
        <v>273</v>
      </c>
      <c r="N271" s="31"/>
      <c r="O271" s="58"/>
      <c r="P271" s="59"/>
      <c r="Q271" s="59" t="s">
        <v>1152</v>
      </c>
      <c r="R271" s="31" t="s">
        <v>1156</v>
      </c>
      <c r="S271" s="163">
        <v>1</v>
      </c>
      <c r="T271" s="163">
        <v>5</v>
      </c>
      <c r="U271" s="163">
        <v>0.15</v>
      </c>
      <c r="V271" s="163">
        <f>PLA!U271*Llistes!$L$11*Llistes!$L$12</f>
        <v>20</v>
      </c>
      <c r="W271" s="60" t="s">
        <v>291</v>
      </c>
      <c r="X271" s="60" t="str">
        <f>IF(W271=Llistes!$K$2,Llistes!$L$2,IF(W271=Llistes!$K$3,Llistes!$L$3,IF(W271=Llistes!$K$4,Llistes!$L$4,IF(W271=Llistes!$K$5,Llistes!$L$5,IF(W271=Llistes!$K$6,Llistes!$L$6,IF(W271=Llistes!$K$7,Llistes!$L$7,""))))))</f>
        <v>Gerard Carrion</v>
      </c>
      <c r="Y271" s="165" t="s">
        <v>994</v>
      </c>
      <c r="Z271" s="165" t="s">
        <v>994</v>
      </c>
      <c r="AA271" s="165" t="s">
        <v>994</v>
      </c>
      <c r="AB271" s="165" t="s">
        <v>994</v>
      </c>
      <c r="AC271" s="147"/>
    </row>
    <row r="272" spans="1:29" ht="29">
      <c r="A272" s="21"/>
      <c r="B272" s="29"/>
      <c r="C272" s="266"/>
      <c r="D272" s="401"/>
      <c r="E272" s="398"/>
      <c r="F272" s="186" t="s">
        <v>1497</v>
      </c>
      <c r="G272" s="187"/>
      <c r="H272" s="55" t="s">
        <v>303</v>
      </c>
      <c r="I272" s="55"/>
      <c r="J272" s="56" t="s">
        <v>1441</v>
      </c>
      <c r="K272" s="103" t="s">
        <v>876</v>
      </c>
      <c r="L272" s="31"/>
      <c r="M272" s="57" t="s">
        <v>273</v>
      </c>
      <c r="N272" s="31"/>
      <c r="O272" s="58"/>
      <c r="P272" s="59"/>
      <c r="Q272" s="59" t="s">
        <v>1154</v>
      </c>
      <c r="R272" s="31" t="s">
        <v>1158</v>
      </c>
      <c r="S272" s="163">
        <v>1</v>
      </c>
      <c r="T272" s="163">
        <v>1</v>
      </c>
      <c r="U272" s="163">
        <v>0.21</v>
      </c>
      <c r="V272" s="163">
        <f>PLA!U272*Llistes!$L$11*Llistes!$L$12</f>
        <v>28</v>
      </c>
      <c r="W272" s="60" t="s">
        <v>291</v>
      </c>
      <c r="X272" s="60" t="str">
        <f>IF(W272=Llistes!$K$2,Llistes!$L$2,IF(W272=Llistes!$K$3,Llistes!$L$3,IF(W272=Llistes!$K$4,Llistes!$L$4,IF(W272=Llistes!$K$5,Llistes!$L$5,IF(W272=Llistes!$K$6,Llistes!$L$6,IF(W272=Llistes!$K$7,Llistes!$L$7,""))))))</f>
        <v>Gerard Carrion</v>
      </c>
      <c r="Y272" s="165" t="s">
        <v>994</v>
      </c>
      <c r="Z272" s="165" t="s">
        <v>994</v>
      </c>
      <c r="AA272" s="165" t="s">
        <v>994</v>
      </c>
      <c r="AB272" s="165" t="s">
        <v>994</v>
      </c>
      <c r="AC272" s="147"/>
    </row>
    <row r="273" spans="1:29" ht="29">
      <c r="A273" s="21"/>
      <c r="B273" s="29"/>
      <c r="C273" s="266"/>
      <c r="D273" s="401"/>
      <c r="E273" s="398"/>
      <c r="F273" s="186" t="s">
        <v>1497</v>
      </c>
      <c r="G273" s="187"/>
      <c r="H273" s="55" t="s">
        <v>303</v>
      </c>
      <c r="I273" s="55"/>
      <c r="J273" s="56" t="s">
        <v>1441</v>
      </c>
      <c r="K273" s="103" t="s">
        <v>876</v>
      </c>
      <c r="L273" s="31"/>
      <c r="M273" s="57" t="s">
        <v>273</v>
      </c>
      <c r="N273" s="31"/>
      <c r="O273" s="58"/>
      <c r="P273" s="59"/>
      <c r="Q273" s="59" t="s">
        <v>1155</v>
      </c>
      <c r="R273" s="31" t="s">
        <v>1159</v>
      </c>
      <c r="S273" s="163"/>
      <c r="T273" s="163" t="s">
        <v>1043</v>
      </c>
      <c r="U273" s="163">
        <v>7.4999999999999997E-2</v>
      </c>
      <c r="V273" s="163">
        <f>PLA!U273*Llistes!$L$11*Llistes!$L$12</f>
        <v>10</v>
      </c>
      <c r="W273" s="60" t="s">
        <v>291</v>
      </c>
      <c r="X273" s="60" t="str">
        <f>IF(W273=Llistes!$K$2,Llistes!$L$2,IF(W273=Llistes!$K$3,Llistes!$L$3,IF(W273=Llistes!$K$4,Llistes!$L$4,IF(W273=Llistes!$K$5,Llistes!$L$5,IF(W273=Llistes!$K$6,Llistes!$L$6,IF(W273=Llistes!$K$7,Llistes!$L$7,""))))))</f>
        <v>Gerard Carrion</v>
      </c>
      <c r="Y273" s="165" t="s">
        <v>994</v>
      </c>
      <c r="Z273" s="165" t="s">
        <v>994</v>
      </c>
      <c r="AA273" s="165" t="s">
        <v>994</v>
      </c>
      <c r="AB273" s="165" t="s">
        <v>994</v>
      </c>
      <c r="AC273" s="147"/>
    </row>
    <row r="274" spans="1:29" ht="29">
      <c r="A274" s="21"/>
      <c r="B274" s="29"/>
      <c r="C274" s="266"/>
      <c r="D274" s="401"/>
      <c r="E274" s="398"/>
      <c r="F274" s="186" t="s">
        <v>1497</v>
      </c>
      <c r="G274" s="54"/>
      <c r="H274" s="55" t="s">
        <v>303</v>
      </c>
      <c r="I274" s="55"/>
      <c r="J274" s="56" t="s">
        <v>1441</v>
      </c>
      <c r="K274" s="103" t="s">
        <v>876</v>
      </c>
      <c r="L274" s="31"/>
      <c r="M274" s="57" t="s">
        <v>273</v>
      </c>
      <c r="N274" s="31"/>
      <c r="O274" s="58"/>
      <c r="P274" s="59"/>
      <c r="Q274" s="59" t="s">
        <v>1153</v>
      </c>
      <c r="R274" s="31" t="s">
        <v>1157</v>
      </c>
      <c r="S274" s="163">
        <v>1</v>
      </c>
      <c r="T274" s="163">
        <v>3</v>
      </c>
      <c r="U274" s="163">
        <v>3</v>
      </c>
      <c r="V274" s="163">
        <f>PLA!U274*Llistes!$L$11*Llistes!$L$12</f>
        <v>400</v>
      </c>
      <c r="W274" s="60" t="s">
        <v>291</v>
      </c>
      <c r="X274" s="60" t="str">
        <f>IF(W274=Llistes!$K$2,Llistes!$L$2,IF(W274=Llistes!$K$3,Llistes!$L$3,IF(W274=Llistes!$K$4,Llistes!$L$4,IF(W274=Llistes!$K$5,Llistes!$L$5,IF(W274=Llistes!$K$6,Llistes!$L$6,IF(W274=Llistes!$K$7,Llistes!$L$7,""))))))</f>
        <v>Gerard Carrion</v>
      </c>
      <c r="Y274" s="165" t="s">
        <v>994</v>
      </c>
      <c r="Z274" s="165" t="s">
        <v>994</v>
      </c>
      <c r="AA274" s="165" t="s">
        <v>994</v>
      </c>
      <c r="AB274" s="165" t="s">
        <v>994</v>
      </c>
      <c r="AC274" s="147"/>
    </row>
    <row r="275" spans="1:29" ht="43.5">
      <c r="A275" s="21"/>
      <c r="B275" s="29"/>
      <c r="C275" s="266"/>
      <c r="D275" s="401"/>
      <c r="E275" s="398"/>
      <c r="F275" s="186" t="s">
        <v>1603</v>
      </c>
      <c r="G275" s="187"/>
      <c r="H275" s="55" t="s">
        <v>303</v>
      </c>
      <c r="I275" s="55"/>
      <c r="J275" s="56" t="s">
        <v>1635</v>
      </c>
      <c r="K275" s="103" t="s">
        <v>876</v>
      </c>
      <c r="L275" s="60"/>
      <c r="M275" s="57" t="s">
        <v>273</v>
      </c>
      <c r="N275" s="31"/>
      <c r="O275" s="57"/>
      <c r="P275" s="166"/>
      <c r="Q275" s="59" t="s">
        <v>1160</v>
      </c>
      <c r="R275" s="31" t="s">
        <v>1161</v>
      </c>
      <c r="S275" s="163"/>
      <c r="T275" s="163" t="s">
        <v>1043</v>
      </c>
      <c r="U275" s="163">
        <v>1.4999999999999999E-2</v>
      </c>
      <c r="V275" s="163">
        <f>PLA!U275*Llistes!$L$11*Llistes!$L$12</f>
        <v>2</v>
      </c>
      <c r="W275" s="5" t="s">
        <v>291</v>
      </c>
      <c r="X275" s="60" t="str">
        <f>IF(W275=Llistes!$K$2,Llistes!$L$2,IF(W275=Llistes!$K$3,Llistes!$L$3,IF(W275=Llistes!$K$4,Llistes!$L$4,IF(W275=Llistes!$K$5,Llistes!$L$5,IF(W275=Llistes!$K$6,Llistes!$L$6,IF(W275=Llistes!$K$7,Llistes!$L$7,""))))))</f>
        <v>Gerard Carrion</v>
      </c>
      <c r="Y275" s="165" t="s">
        <v>994</v>
      </c>
      <c r="Z275" s="165" t="s">
        <v>994</v>
      </c>
      <c r="AA275" s="165" t="s">
        <v>994</v>
      </c>
      <c r="AB275" s="165" t="s">
        <v>994</v>
      </c>
      <c r="AC275" s="147"/>
    </row>
    <row r="276" spans="1:29" ht="29">
      <c r="A276" s="21"/>
      <c r="B276" s="29"/>
      <c r="C276" s="266"/>
      <c r="D276" s="401"/>
      <c r="E276" s="398"/>
      <c r="F276" s="186" t="s">
        <v>1604</v>
      </c>
      <c r="G276" s="187" t="s">
        <v>1498</v>
      </c>
      <c r="H276" s="188" t="s">
        <v>271</v>
      </c>
      <c r="I276" s="188" t="s">
        <v>279</v>
      </c>
      <c r="J276" s="56"/>
      <c r="K276" s="103"/>
      <c r="L276" s="31"/>
      <c r="M276" s="57"/>
      <c r="N276" s="31"/>
      <c r="O276" s="58"/>
      <c r="P276" s="59"/>
      <c r="Q276" s="59"/>
      <c r="R276" s="31"/>
      <c r="S276" s="163"/>
      <c r="T276" s="163"/>
      <c r="U276" s="163"/>
      <c r="V276" s="163"/>
      <c r="W276" s="60"/>
      <c r="X276" s="60"/>
      <c r="Y276" s="165"/>
      <c r="Z276" s="165"/>
      <c r="AA276" s="165"/>
      <c r="AB276" s="165"/>
      <c r="AC276" s="147"/>
    </row>
    <row r="277" spans="1:29">
      <c r="S277" s="146"/>
      <c r="T277" s="146"/>
      <c r="U277" s="146"/>
      <c r="V277" s="146"/>
    </row>
  </sheetData>
  <autoFilter ref="A1:AC276" xr:uid="{00000000-0009-0000-0000-000005000000}"/>
  <dataConsolidate/>
  <customSheetViews>
    <customSheetView guid="{454D45DF-2512-4984-A7CE-B1F6D305C20E}" showGridLines="0" showAutoFilter="1" hiddenColumns="1" topLeftCell="H1">
      <pane ySplit="4" topLeftCell="A95" activePane="bottomLeft" state="frozen"/>
      <selection pane="bottomLeft" activeCell="Q97" sqref="Q97"/>
      <pageMargins left="0" right="0" top="0" bottom="0" header="0" footer="0"/>
      <pageSetup paperSize="9" orientation="portrait" r:id="rId1"/>
      <autoFilter ref="A4:P185" xr:uid="{79DC3339-EB47-4D39-9DD7-AC937911F977}"/>
    </customSheetView>
    <customSheetView guid="{D2A6C956-D027-4329-9FEA-635617D868B4}" showGridLines="0" showAutoFilter="1" hiddenColumns="1">
      <pane ySplit="4" topLeftCell="A149" activePane="bottomLeft" state="frozen"/>
      <selection pane="bottomLeft" activeCell="E24" sqref="E24:E26"/>
      <pageMargins left="0" right="0" top="0" bottom="0" header="0" footer="0"/>
      <pageSetup paperSize="9" orientation="portrait" r:id="rId2"/>
      <autoFilter ref="A4:P185" xr:uid="{877D15A2-6AB0-4957-B35C-EB159F4AE59E}"/>
    </customSheetView>
  </customSheetViews>
  <mergeCells count="152">
    <mergeCell ref="D268:D276"/>
    <mergeCell ref="E121:E123"/>
    <mergeCell ref="D121:D123"/>
    <mergeCell ref="E132:E134"/>
    <mergeCell ref="D132:D134"/>
    <mergeCell ref="E268:E276"/>
    <mergeCell ref="D184:D185"/>
    <mergeCell ref="E201:E207"/>
    <mergeCell ref="D201:D207"/>
    <mergeCell ref="E208:E212"/>
    <mergeCell ref="D208:D212"/>
    <mergeCell ref="E213:E216"/>
    <mergeCell ref="D213:D216"/>
    <mergeCell ref="E217:E219"/>
    <mergeCell ref="D217:D219"/>
    <mergeCell ref="E184:E185"/>
    <mergeCell ref="E242:E245"/>
    <mergeCell ref="D242:D245"/>
    <mergeCell ref="E231:E234"/>
    <mergeCell ref="E165:E166"/>
    <mergeCell ref="D246:D250"/>
    <mergeCell ref="E257:E264"/>
    <mergeCell ref="D257:D264"/>
    <mergeCell ref="E251:E256"/>
    <mergeCell ref="B62:B80"/>
    <mergeCell ref="C87:C118"/>
    <mergeCell ref="B87:B118"/>
    <mergeCell ref="B135:B140"/>
    <mergeCell ref="D265:D266"/>
    <mergeCell ref="E265:E266"/>
    <mergeCell ref="D170:D179"/>
    <mergeCell ref="E170:E179"/>
    <mergeCell ref="E235:E241"/>
    <mergeCell ref="D235:D241"/>
    <mergeCell ref="D107:D112"/>
    <mergeCell ref="E82:E84"/>
    <mergeCell ref="E138:E139"/>
    <mergeCell ref="E141:E142"/>
    <mergeCell ref="C81:C86"/>
    <mergeCell ref="B81:B86"/>
    <mergeCell ref="E167:E169"/>
    <mergeCell ref="D159:D164"/>
    <mergeCell ref="E156:E158"/>
    <mergeCell ref="C184:C185"/>
    <mergeCell ref="B184:B185"/>
    <mergeCell ref="E246:E250"/>
    <mergeCell ref="A141:A143"/>
    <mergeCell ref="E135:E137"/>
    <mergeCell ref="D135:D137"/>
    <mergeCell ref="S3:T3"/>
    <mergeCell ref="U3:X3"/>
    <mergeCell ref="E14:E22"/>
    <mergeCell ref="D14:D22"/>
    <mergeCell ref="E113:E118"/>
    <mergeCell ref="D82:D84"/>
    <mergeCell ref="D113:D118"/>
    <mergeCell ref="D103:D106"/>
    <mergeCell ref="D125:D131"/>
    <mergeCell ref="E125:E131"/>
    <mergeCell ref="C36:C47"/>
    <mergeCell ref="D85:D86"/>
    <mergeCell ref="E87:E89"/>
    <mergeCell ref="D87:D89"/>
    <mergeCell ref="E107:E112"/>
    <mergeCell ref="C5:C35"/>
    <mergeCell ref="B122:B133"/>
    <mergeCell ref="D5:D13"/>
    <mergeCell ref="E5:E13"/>
    <mergeCell ref="D31:D35"/>
    <mergeCell ref="E31:E35"/>
    <mergeCell ref="D251:D256"/>
    <mergeCell ref="E159:E164"/>
    <mergeCell ref="E180:E183"/>
    <mergeCell ref="D180:D183"/>
    <mergeCell ref="E189:E195"/>
    <mergeCell ref="D189:D195"/>
    <mergeCell ref="E220:E227"/>
    <mergeCell ref="D220:D227"/>
    <mergeCell ref="E186:E188"/>
    <mergeCell ref="D186:D188"/>
    <mergeCell ref="E196:E200"/>
    <mergeCell ref="D196:D200"/>
    <mergeCell ref="E228:E230"/>
    <mergeCell ref="D228:D230"/>
    <mergeCell ref="C242:C245"/>
    <mergeCell ref="C246:C276"/>
    <mergeCell ref="D231:D234"/>
    <mergeCell ref="E23:E30"/>
    <mergeCell ref="B143:B183"/>
    <mergeCell ref="C143:C183"/>
    <mergeCell ref="E85:E86"/>
    <mergeCell ref="E103:E106"/>
    <mergeCell ref="D90:D102"/>
    <mergeCell ref="E90:E102"/>
    <mergeCell ref="E36:E43"/>
    <mergeCell ref="D36:D43"/>
    <mergeCell ref="E55:E59"/>
    <mergeCell ref="D55:D59"/>
    <mergeCell ref="E60:E61"/>
    <mergeCell ref="D60:D61"/>
    <mergeCell ref="D23:D30"/>
    <mergeCell ref="D156:D158"/>
    <mergeCell ref="D167:D169"/>
    <mergeCell ref="E143:E155"/>
    <mergeCell ref="D143:D155"/>
    <mergeCell ref="D165:D166"/>
    <mergeCell ref="C121:C134"/>
    <mergeCell ref="D138:D139"/>
    <mergeCell ref="D141:D142"/>
    <mergeCell ref="B5:B35"/>
    <mergeCell ref="C48:C61"/>
    <mergeCell ref="C135:C140"/>
    <mergeCell ref="B119:B120"/>
    <mergeCell ref="C119:C120"/>
    <mergeCell ref="G76:G77"/>
    <mergeCell ref="F76:F77"/>
    <mergeCell ref="H76:H77"/>
    <mergeCell ref="B36:B47"/>
    <mergeCell ref="E44:E47"/>
    <mergeCell ref="D44:D47"/>
    <mergeCell ref="E78:E80"/>
    <mergeCell ref="E48:E50"/>
    <mergeCell ref="D48:D50"/>
    <mergeCell ref="E51:E54"/>
    <mergeCell ref="D51:D54"/>
    <mergeCell ref="E62:E66"/>
    <mergeCell ref="D62:D66"/>
    <mergeCell ref="D78:D80"/>
    <mergeCell ref="E67:E72"/>
    <mergeCell ref="D67:D72"/>
    <mergeCell ref="B48:B61"/>
    <mergeCell ref="C62:C80"/>
    <mergeCell ref="I76:I77"/>
    <mergeCell ref="E73:E77"/>
    <mergeCell ref="D73:D77"/>
    <mergeCell ref="F33:F34"/>
    <mergeCell ref="G33:G34"/>
    <mergeCell ref="H33:H34"/>
    <mergeCell ref="I33:I34"/>
    <mergeCell ref="J33:J34"/>
    <mergeCell ref="K33:K34"/>
    <mergeCell ref="W33:W34"/>
    <mergeCell ref="X33:X34"/>
    <mergeCell ref="L33:L34"/>
    <mergeCell ref="M33:M34"/>
    <mergeCell ref="N33:N34"/>
    <mergeCell ref="Q33:Q34"/>
    <mergeCell ref="R33:R34"/>
    <mergeCell ref="S33:S34"/>
    <mergeCell ref="T33:T34"/>
    <mergeCell ref="U33:U34"/>
    <mergeCell ref="V33:V34"/>
  </mergeCells>
  <phoneticPr fontId="2" type="noConversion"/>
  <conditionalFormatting sqref="H215:I215 K215:K218">
    <cfRule type="duplicateValues" dxfId="3" priority="2"/>
  </conditionalFormatting>
  <conditionalFormatting sqref="H216:I216">
    <cfRule type="duplicateValues" dxfId="2" priority="1"/>
  </conditionalFormatting>
  <pageMargins left="0.7" right="0.7" top="0.75" bottom="0.75" header="0.3" footer="0.3"/>
  <pageSetup paperSize="9" orientation="portrait"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Full1!$A$2:$A$3</xm:f>
          </x14:formula1>
          <xm:sqref>H125:H129 H186:H193 H219:H226 H213:H215 H132:H133 H78:H85 H44:H55 H28 H5:H12 H14:H26 H256:H275 H36:H41 H60 H62:H71 H143:H149 H87:H97 H99:H101 H103:H110 H113:H115 H117:H120 H122:H123 H156:H164 H167:H183 H196:H205 H208:H209 H228:H242 H31:H33 H73:H76 H244:H254</xm:sqref>
        </x14:dataValidation>
        <x14:dataValidation type="list" allowBlank="1" showInputMessage="1" showErrorMessage="1" xr:uid="{00000000-0002-0000-0500-000001000000}">
          <x14:formula1>
            <xm:f>Full1!$B$2:$B$3</xm:f>
          </x14:formula1>
          <xm:sqref>I125:I129 I186:I193 I219:I226 I213:I215 I132:I133 I78:I85 I44:I55 I28 I5:I12 I14:I26 I256:I275 I36:I41 I60 I62:I71 I244:I254 I87:I97 I99:I101 I103:I110 I113:I115 I117:I120 I122:I123 I156:I164 I167:I183 I196:I205 I208:I209 I228:I242 I143:I149 I73:I76 I31:I33</xm:sqref>
        </x14:dataValidation>
        <x14:dataValidation type="list" allowBlank="1" showInputMessage="1" showErrorMessage="1" xr:uid="{00000000-0002-0000-0500-000002000000}">
          <x14:formula1>
            <xm:f>'d:\36981662P\OneDrive - Generalitat de Catalunya\Plans estratègics\0Models\[Model Pla Estrategic ENP_v2024_final_revisat des2024.xlsx]Full1'!#REF!</xm:f>
          </x14:formula1>
          <xm:sqref>H150:I155 H227:I227 H276:I276 H29:I30 H194:I195 H56:I59 H13:I13 H27:I27 H35:I35 H42:I43 H61:I61 H72:I72 H86:I86 H98:I98 H102:I102 H111:I112 H116:I116 H121:I121 H124:I124 H130:I131 H134:I142 H165:I166 H184:I185 H206:I207 H210:I212 H216:I218 H255:I256 H243:I243</xm:sqref>
        </x14:dataValidation>
        <x14:dataValidation type="list" allowBlank="1" showInputMessage="1" showErrorMessage="1" xr:uid="{00000000-0002-0000-0500-000006000000}">
          <x14:formula1>
            <xm:f>Full1!$E$2:$E$3</xm:f>
          </x14:formula1>
          <xm:sqref>L276 L5:L33 L35:L274</xm:sqref>
        </x14:dataValidation>
        <x14:dataValidation type="list" allowBlank="1" showInputMessage="1" showErrorMessage="1" xr:uid="{00000000-0002-0000-0500-000007000000}">
          <x14:formula1>
            <xm:f>Llistes!$K$2:$K$7</xm:f>
          </x14:formula1>
          <xm:sqref>W5:W33 W35:W276</xm:sqref>
        </x14:dataValidation>
        <x14:dataValidation type="list" allowBlank="1" showInputMessage="1" showErrorMessage="1" xr:uid="{00000000-0002-0000-0500-000005000000}">
          <x14:formula1>
            <xm:f>Full1!$C$2:$C$6</xm:f>
          </x14:formula1>
          <xm:sqref>M147:M276 M5:M33 M35:M145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274"/>
  <sheetViews>
    <sheetView zoomScale="70" zoomScaleNormal="70" workbookViewId="0">
      <pane ySplit="1" topLeftCell="A243" activePane="bottomLeft" state="frozen"/>
      <selection pane="bottomLeft" activeCell="G246" sqref="G246"/>
    </sheetView>
  </sheetViews>
  <sheetFormatPr defaultColWidth="8.54296875" defaultRowHeight="14.5"/>
  <cols>
    <col min="1" max="1" width="27.54296875" style="22" customWidth="1"/>
    <col min="2" max="2" width="4" style="5" customWidth="1"/>
    <col min="3" max="3" width="34.1796875" style="6" customWidth="1"/>
    <col min="4" max="4" width="7.453125" style="11" customWidth="1"/>
    <col min="5" max="5" width="50" style="7" customWidth="1"/>
    <col min="6" max="6" width="7.81640625" style="9" customWidth="1"/>
    <col min="7" max="7" width="48.54296875" style="8" customWidth="1"/>
    <col min="8" max="8" width="47.54296875" style="217" customWidth="1"/>
    <col min="9" max="9" width="34.453125" style="3" customWidth="1"/>
    <col min="10" max="10" width="12.453125" style="208" customWidth="1"/>
    <col min="11" max="11" width="11.453125" style="208" customWidth="1"/>
    <col min="12" max="12" width="54.81640625" style="8" customWidth="1"/>
    <col min="13" max="13" width="15.453125" style="10" customWidth="1"/>
    <col min="14" max="14" width="18.1796875" style="10" customWidth="1"/>
    <col min="15" max="15" width="30.81640625" style="10" customWidth="1"/>
    <col min="16" max="16" width="28.1796875" style="5" customWidth="1"/>
    <col min="17" max="17" width="10.54296875" style="15" customWidth="1"/>
    <col min="18" max="18" width="56" style="6" customWidth="1"/>
    <col min="19" max="19" width="24.54296875" style="15" hidden="1" customWidth="1"/>
    <col min="20" max="20" width="47.54296875" style="17" hidden="1" customWidth="1"/>
    <col min="21" max="21" width="11.81640625" style="208" customWidth="1"/>
    <col min="22" max="22" width="11.453125" style="208" customWidth="1"/>
    <col min="23" max="23" width="15" style="3" customWidth="1"/>
    <col min="24" max="24" width="18.7265625" style="3" customWidth="1"/>
    <col min="25" max="29" width="8.54296875" style="208"/>
    <col min="30" max="16384" width="8.54296875" style="3"/>
  </cols>
  <sheetData>
    <row r="1" spans="1:29" s="16" customFormat="1" ht="58">
      <c r="A1" s="37" t="s">
        <v>247</v>
      </c>
      <c r="B1" s="39"/>
      <c r="C1" s="38" t="s">
        <v>248</v>
      </c>
      <c r="D1" s="40"/>
      <c r="E1" s="38" t="s">
        <v>1636</v>
      </c>
      <c r="F1" s="46" t="s">
        <v>883</v>
      </c>
      <c r="G1" s="49" t="s">
        <v>1637</v>
      </c>
      <c r="H1" s="214" t="s">
        <v>259</v>
      </c>
      <c r="I1" s="69" t="s">
        <v>1453</v>
      </c>
      <c r="J1" s="69" t="s">
        <v>1454</v>
      </c>
      <c r="K1" s="69" t="s">
        <v>1455</v>
      </c>
      <c r="L1" s="46" t="s">
        <v>1637</v>
      </c>
      <c r="M1" s="46" t="s">
        <v>250</v>
      </c>
      <c r="N1" s="47" t="s">
        <v>251</v>
      </c>
      <c r="O1" s="49" t="s">
        <v>253</v>
      </c>
      <c r="P1" s="49" t="s">
        <v>254</v>
      </c>
      <c r="Q1" s="50" t="s">
        <v>255</v>
      </c>
      <c r="R1" s="49" t="s">
        <v>256</v>
      </c>
      <c r="S1" s="51" t="s">
        <v>257</v>
      </c>
      <c r="T1" s="52" t="s">
        <v>258</v>
      </c>
      <c r="U1" s="69" t="s">
        <v>1075</v>
      </c>
      <c r="V1" s="69" t="s">
        <v>1076</v>
      </c>
      <c r="W1" s="69" t="s">
        <v>263</v>
      </c>
      <c r="X1" s="69" t="s">
        <v>264</v>
      </c>
      <c r="Y1" s="138">
        <v>2025</v>
      </c>
      <c r="Z1" s="138">
        <v>2026</v>
      </c>
      <c r="AA1" s="138">
        <v>2027</v>
      </c>
      <c r="AB1" s="138">
        <v>2028</v>
      </c>
      <c r="AC1" s="3"/>
    </row>
    <row r="2" spans="1:29" ht="312" customHeight="1">
      <c r="A2" s="13" t="s">
        <v>265</v>
      </c>
      <c r="B2" s="251">
        <v>1</v>
      </c>
      <c r="C2" s="333" t="s">
        <v>266</v>
      </c>
      <c r="D2" s="286" t="s">
        <v>267</v>
      </c>
      <c r="E2" s="270" t="s">
        <v>268</v>
      </c>
      <c r="F2" s="53" t="s">
        <v>269</v>
      </c>
      <c r="G2" s="56" t="str">
        <f t="shared" ref="G2:G9" si="0">L2</f>
        <v>Implementar i executar plans de gestió específics per a hàbitats i espècies de conservació prioritària dins l'ENP</v>
      </c>
      <c r="H2" s="215" t="s">
        <v>1214</v>
      </c>
      <c r="I2" s="31" t="s">
        <v>1080</v>
      </c>
      <c r="J2" s="164">
        <v>0.5</v>
      </c>
      <c r="K2" s="164">
        <v>1</v>
      </c>
      <c r="L2" s="54" t="s">
        <v>270</v>
      </c>
      <c r="M2" s="55" t="s">
        <v>271</v>
      </c>
      <c r="N2" s="55" t="s">
        <v>272</v>
      </c>
      <c r="O2" s="56"/>
      <c r="P2" s="31"/>
      <c r="Q2" s="103" t="s">
        <v>273</v>
      </c>
      <c r="R2" s="31" t="s">
        <v>274</v>
      </c>
      <c r="S2" s="55" t="s">
        <v>275</v>
      </c>
      <c r="T2" s="54" t="s">
        <v>276</v>
      </c>
      <c r="U2" s="163">
        <v>15</v>
      </c>
      <c r="V2" s="163">
        <f>PLA!U5*Llistes!$L$11*Llistes!$L$12</f>
        <v>2000.0000000000002</v>
      </c>
      <c r="W2" s="60" t="s">
        <v>277</v>
      </c>
      <c r="X2" s="60" t="str">
        <f>IF(W2=Llistes!$K$2,Llistes!$L$2,IF(W2=Llistes!$K$3,Llistes!$L$3,IF(W2=Llistes!$K$4,Llistes!$L$4,IF(W2=Llistes!$K$5,Llistes!$L$5,IF(W2=Llistes!$K$6,Llistes!$L$6,IF(W2=Llistes!$K$7,Llistes!$L$7,""))))))</f>
        <v>Pau Federico</v>
      </c>
      <c r="Y2" s="165" t="s">
        <v>994</v>
      </c>
      <c r="Z2" s="165" t="s">
        <v>994</v>
      </c>
      <c r="AA2" s="165" t="s">
        <v>994</v>
      </c>
      <c r="AB2" s="165" t="s">
        <v>994</v>
      </c>
      <c r="AC2" s="147"/>
    </row>
    <row r="3" spans="1:29" ht="42.65" customHeight="1">
      <c r="A3" s="13" t="s">
        <v>265</v>
      </c>
      <c r="B3" s="430"/>
      <c r="C3" s="428"/>
      <c r="D3" s="287"/>
      <c r="E3" s="271"/>
      <c r="F3" s="53" t="s">
        <v>269</v>
      </c>
      <c r="G3" s="56" t="str">
        <f t="shared" si="0"/>
        <v>Implementar i executar plans de gestió específics per a hàbitats i espècies de conservació prioritària dins l'ENP</v>
      </c>
      <c r="H3" s="215" t="s">
        <v>1428</v>
      </c>
      <c r="I3" s="31" t="s">
        <v>1084</v>
      </c>
      <c r="J3" s="164">
        <v>0.3</v>
      </c>
      <c r="K3" s="164">
        <v>0.6</v>
      </c>
      <c r="L3" s="54" t="s">
        <v>270</v>
      </c>
      <c r="M3" s="55" t="s">
        <v>271</v>
      </c>
      <c r="N3" s="55" t="s">
        <v>272</v>
      </c>
      <c r="O3" s="56"/>
      <c r="P3" s="31"/>
      <c r="Q3" s="103" t="s">
        <v>273</v>
      </c>
      <c r="R3" s="31"/>
      <c r="S3" s="55"/>
      <c r="T3" s="54"/>
      <c r="U3" s="163">
        <v>7.8</v>
      </c>
      <c r="V3" s="163">
        <f>PLA!U6*Llistes!$L$11*Llistes!$L$12</f>
        <v>1040</v>
      </c>
      <c r="W3" s="60" t="s">
        <v>1082</v>
      </c>
      <c r="X3" s="60" t="str">
        <f>IF(W3=Llistes!$K$2,Llistes!$L$2,IF(W3=Llistes!$K$3,Llistes!$L$3,IF(W3=Llistes!$K$4,Llistes!$L$4,IF(W3=Llistes!$K$5,Llistes!$L$5,IF(W3=Llistes!$K$6,Llistes!$L$6,IF(W3=Llistes!$K$7,Llistes!$L$7,""))))))</f>
        <v>Montse Pascual</v>
      </c>
      <c r="Y3" s="165" t="s">
        <v>994</v>
      </c>
      <c r="Z3" s="165" t="s">
        <v>994</v>
      </c>
      <c r="AA3" s="165" t="s">
        <v>994</v>
      </c>
      <c r="AB3" s="165" t="s">
        <v>994</v>
      </c>
      <c r="AC3" s="147"/>
    </row>
    <row r="4" spans="1:29" ht="42" customHeight="1">
      <c r="A4" s="13" t="s">
        <v>265</v>
      </c>
      <c r="B4" s="430"/>
      <c r="C4" s="428"/>
      <c r="D4" s="287"/>
      <c r="E4" s="271"/>
      <c r="F4" s="53" t="s">
        <v>269</v>
      </c>
      <c r="G4" s="56" t="str">
        <f t="shared" si="0"/>
        <v>Implementar i executar plans de gestió específics per a hàbitats i espècies de conservació prioritària dins l'ENP</v>
      </c>
      <c r="H4" s="215" t="s">
        <v>1070</v>
      </c>
      <c r="I4" s="31" t="s">
        <v>1071</v>
      </c>
      <c r="J4" s="163"/>
      <c r="K4" s="163" t="s">
        <v>1043</v>
      </c>
      <c r="L4" s="54" t="s">
        <v>270</v>
      </c>
      <c r="M4" s="55" t="s">
        <v>271</v>
      </c>
      <c r="N4" s="55" t="s">
        <v>272</v>
      </c>
      <c r="O4" s="56"/>
      <c r="P4" s="31"/>
      <c r="Q4" s="103" t="s">
        <v>273</v>
      </c>
      <c r="R4" s="31"/>
      <c r="S4" s="55"/>
      <c r="T4" s="54"/>
      <c r="U4" s="163">
        <v>0.15</v>
      </c>
      <c r="V4" s="163">
        <f>PLA!U7*Llistes!$L$11*Llistes!$L$12</f>
        <v>20</v>
      </c>
      <c r="W4" s="60" t="s">
        <v>1082</v>
      </c>
      <c r="X4" s="60" t="str">
        <f>IF(W4=Llistes!$K$2,Llistes!$L$2,IF(W4=Llistes!$K$3,Llistes!$L$3,IF(W4=Llistes!$K$4,Llistes!$L$4,IF(W4=Llistes!$K$5,Llistes!$L$5,IF(W4=Llistes!$K$6,Llistes!$L$6,IF(W4=Llistes!$K$7,Llistes!$L$7,""))))))</f>
        <v>Montse Pascual</v>
      </c>
      <c r="Y4" s="165" t="s">
        <v>994</v>
      </c>
      <c r="Z4" s="165" t="s">
        <v>994</v>
      </c>
      <c r="AA4" s="165" t="s">
        <v>994</v>
      </c>
      <c r="AB4" s="165" t="s">
        <v>994</v>
      </c>
      <c r="AC4" s="147"/>
    </row>
    <row r="5" spans="1:29" ht="40.5" customHeight="1">
      <c r="A5" s="13" t="s">
        <v>265</v>
      </c>
      <c r="B5" s="430"/>
      <c r="C5" s="428"/>
      <c r="D5" s="287"/>
      <c r="E5" s="271"/>
      <c r="F5" s="53" t="s">
        <v>269</v>
      </c>
      <c r="G5" s="56" t="str">
        <f t="shared" si="0"/>
        <v>Implementar i executar plans de gestió específics per a hàbitats i espècies de conservació prioritària dins l'ENP</v>
      </c>
      <c r="H5" s="215" t="s">
        <v>1083</v>
      </c>
      <c r="I5" s="31" t="s">
        <v>1067</v>
      </c>
      <c r="J5" s="163"/>
      <c r="K5" s="163" t="s">
        <v>1043</v>
      </c>
      <c r="L5" s="54" t="s">
        <v>270</v>
      </c>
      <c r="M5" s="55" t="s">
        <v>271</v>
      </c>
      <c r="N5" s="55" t="s">
        <v>272</v>
      </c>
      <c r="O5" s="56"/>
      <c r="P5" s="31"/>
      <c r="Q5" s="103" t="s">
        <v>273</v>
      </c>
      <c r="R5" s="31"/>
      <c r="S5" s="55"/>
      <c r="T5" s="54"/>
      <c r="U5" s="163">
        <v>0.15</v>
      </c>
      <c r="V5" s="163">
        <f>PLA!U8*Llistes!$L$11*Llistes!$L$12</f>
        <v>20</v>
      </c>
      <c r="W5" s="60" t="s">
        <v>1082</v>
      </c>
      <c r="X5" s="60" t="str">
        <f>IF(W5=Llistes!$K$2,Llistes!$L$2,IF(W5=Llistes!$K$3,Llistes!$L$3,IF(W5=Llistes!$K$4,Llistes!$L$4,IF(W5=Llistes!$K$5,Llistes!$L$5,IF(W5=Llistes!$K$6,Llistes!$L$6,IF(W5=Llistes!$K$7,Llistes!$L$7,""))))))</f>
        <v>Montse Pascual</v>
      </c>
      <c r="Y5" s="165" t="s">
        <v>994</v>
      </c>
      <c r="Z5" s="165" t="s">
        <v>994</v>
      </c>
      <c r="AA5" s="165" t="s">
        <v>994</v>
      </c>
      <c r="AB5" s="165" t="s">
        <v>994</v>
      </c>
      <c r="AC5" s="147"/>
    </row>
    <row r="6" spans="1:29" ht="41.15" customHeight="1">
      <c r="A6" s="13" t="s">
        <v>265</v>
      </c>
      <c r="B6" s="430"/>
      <c r="C6" s="428"/>
      <c r="D6" s="287"/>
      <c r="E6" s="271"/>
      <c r="F6" s="53" t="s">
        <v>269</v>
      </c>
      <c r="G6" s="56" t="str">
        <f t="shared" si="0"/>
        <v>Implementar i executar plans de gestió específics per a hàbitats i espècies de conservació prioritària dins l'ENP</v>
      </c>
      <c r="H6" s="215" t="s">
        <v>1085</v>
      </c>
      <c r="I6" s="31" t="s">
        <v>1066</v>
      </c>
      <c r="J6" s="163"/>
      <c r="K6" s="163" t="s">
        <v>1043</v>
      </c>
      <c r="L6" s="54" t="s">
        <v>270</v>
      </c>
      <c r="M6" s="55" t="s">
        <v>271</v>
      </c>
      <c r="N6" s="55" t="s">
        <v>272</v>
      </c>
      <c r="O6" s="56"/>
      <c r="P6" s="31"/>
      <c r="Q6" s="103" t="s">
        <v>273</v>
      </c>
      <c r="R6" s="31"/>
      <c r="S6" s="55"/>
      <c r="T6" s="54"/>
      <c r="U6" s="163">
        <v>0.15</v>
      </c>
      <c r="V6" s="163">
        <f>PLA!U9*Llistes!$L$11*Llistes!$L$12</f>
        <v>20</v>
      </c>
      <c r="W6" s="60" t="s">
        <v>1082</v>
      </c>
      <c r="X6" s="60" t="str">
        <f>IF(W6=Llistes!$K$2,Llistes!$L$2,IF(W6=Llistes!$K$3,Llistes!$L$3,IF(W6=Llistes!$K$4,Llistes!$L$4,IF(W6=Llistes!$K$5,Llistes!$L$5,IF(W6=Llistes!$K$6,Llistes!$L$6,IF(W6=Llistes!$K$7,Llistes!$L$7,""))))))</f>
        <v>Montse Pascual</v>
      </c>
      <c r="Y6" s="165" t="s">
        <v>994</v>
      </c>
      <c r="Z6" s="165" t="s">
        <v>994</v>
      </c>
      <c r="AA6" s="165" t="s">
        <v>994</v>
      </c>
      <c r="AB6" s="165" t="s">
        <v>994</v>
      </c>
      <c r="AC6" s="147"/>
    </row>
    <row r="7" spans="1:29" ht="45.65" customHeight="1">
      <c r="A7" s="13" t="s">
        <v>265</v>
      </c>
      <c r="B7" s="430"/>
      <c r="C7" s="428"/>
      <c r="D7" s="287"/>
      <c r="E7" s="271"/>
      <c r="F7" s="53" t="s">
        <v>269</v>
      </c>
      <c r="G7" s="56" t="str">
        <f t="shared" si="0"/>
        <v>Implementar i executar plans de gestió específics per a hàbitats i espècies de conservació prioritària dins l'ENP</v>
      </c>
      <c r="H7" s="215" t="s">
        <v>1086</v>
      </c>
      <c r="I7" s="31" t="s">
        <v>1067</v>
      </c>
      <c r="J7" s="163"/>
      <c r="K7" s="163" t="s">
        <v>1043</v>
      </c>
      <c r="L7" s="54" t="s">
        <v>270</v>
      </c>
      <c r="M7" s="55" t="s">
        <v>271</v>
      </c>
      <c r="N7" s="55" t="s">
        <v>272</v>
      </c>
      <c r="O7" s="56"/>
      <c r="P7" s="31"/>
      <c r="Q7" s="103" t="s">
        <v>273</v>
      </c>
      <c r="R7" s="31"/>
      <c r="S7" s="55"/>
      <c r="T7" s="54"/>
      <c r="U7" s="163">
        <v>0.15</v>
      </c>
      <c r="V7" s="163">
        <f>PLA!U10*Llistes!$L$11*Llistes!$L$12</f>
        <v>20</v>
      </c>
      <c r="W7" s="60" t="s">
        <v>1082</v>
      </c>
      <c r="X7" s="60" t="str">
        <f>IF(W7=Llistes!$K$2,Llistes!$L$2,IF(W7=Llistes!$K$3,Llistes!$L$3,IF(W7=Llistes!$K$4,Llistes!$L$4,IF(W7=Llistes!$K$5,Llistes!$L$5,IF(W7=Llistes!$K$6,Llistes!$L$6,IF(W7=Llistes!$K$7,Llistes!$L$7,""))))))</f>
        <v>Montse Pascual</v>
      </c>
      <c r="Y7" s="165" t="s">
        <v>994</v>
      </c>
      <c r="Z7" s="165" t="s">
        <v>994</v>
      </c>
      <c r="AA7" s="165" t="s">
        <v>994</v>
      </c>
      <c r="AB7" s="165" t="s">
        <v>994</v>
      </c>
      <c r="AC7" s="147"/>
    </row>
    <row r="8" spans="1:29" ht="43.5">
      <c r="A8" s="13" t="s">
        <v>265</v>
      </c>
      <c r="B8" s="430"/>
      <c r="C8" s="428"/>
      <c r="D8" s="287"/>
      <c r="E8" s="271"/>
      <c r="F8" s="53" t="s">
        <v>269</v>
      </c>
      <c r="G8" s="56" t="str">
        <f t="shared" si="0"/>
        <v>Implementar i executar plans de gestió específics per a hàbitats i espècies de conservació prioritària dins l'ENP</v>
      </c>
      <c r="H8" s="215" t="s">
        <v>1215</v>
      </c>
      <c r="I8" s="31" t="s">
        <v>1292</v>
      </c>
      <c r="J8" s="163" t="s">
        <v>1013</v>
      </c>
      <c r="K8" s="163" t="s">
        <v>1014</v>
      </c>
      <c r="L8" s="54" t="s">
        <v>270</v>
      </c>
      <c r="M8" s="55" t="s">
        <v>271</v>
      </c>
      <c r="N8" s="55" t="s">
        <v>272</v>
      </c>
      <c r="O8" s="56"/>
      <c r="P8" s="31"/>
      <c r="Q8" s="103" t="s">
        <v>273</v>
      </c>
      <c r="R8" s="31" t="s">
        <v>274</v>
      </c>
      <c r="S8" s="55"/>
      <c r="T8" s="54"/>
      <c r="U8" s="163">
        <v>7.02</v>
      </c>
      <c r="V8" s="163">
        <f>PLA!U11*Llistes!$L$11*Llistes!$L$12</f>
        <v>936</v>
      </c>
      <c r="W8" s="60" t="s">
        <v>277</v>
      </c>
      <c r="X8" s="60" t="str">
        <f>IF(W8=Llistes!$K$2,Llistes!$L$2,IF(W8=Llistes!$K$3,Llistes!$L$3,IF(W8=Llistes!$K$4,Llistes!$L$4,IF(W8=Llistes!$K$5,Llistes!$L$5,IF(W8=Llistes!$K$6,Llistes!$L$6,IF(W8=Llistes!$K$7,Llistes!$L$7,""))))))</f>
        <v>Pau Federico</v>
      </c>
      <c r="Y8" s="165" t="s">
        <v>994</v>
      </c>
      <c r="Z8" s="165" t="s">
        <v>994</v>
      </c>
      <c r="AA8" s="165" t="s">
        <v>994</v>
      </c>
      <c r="AB8" s="165" t="s">
        <v>994</v>
      </c>
      <c r="AC8" s="147"/>
    </row>
    <row r="9" spans="1:29" ht="58">
      <c r="A9" s="13" t="s">
        <v>265</v>
      </c>
      <c r="B9" s="430"/>
      <c r="C9" s="428"/>
      <c r="D9" s="287"/>
      <c r="E9" s="271"/>
      <c r="F9" s="53" t="s">
        <v>269</v>
      </c>
      <c r="G9" s="56" t="str">
        <f t="shared" si="0"/>
        <v>Implementar i executar plans de gestió específics per a hàbitats i espècies de conservació prioritària dins l'ENP</v>
      </c>
      <c r="H9" s="215" t="s">
        <v>1421</v>
      </c>
      <c r="I9" s="31" t="s">
        <v>1422</v>
      </c>
      <c r="J9" s="163" t="s">
        <v>1423</v>
      </c>
      <c r="K9" s="163" t="s">
        <v>1424</v>
      </c>
      <c r="L9" s="54" t="s">
        <v>270</v>
      </c>
      <c r="M9" s="55" t="s">
        <v>271</v>
      </c>
      <c r="N9" s="55" t="s">
        <v>272</v>
      </c>
      <c r="O9" s="56"/>
      <c r="P9" s="31"/>
      <c r="Q9" s="103" t="s">
        <v>286</v>
      </c>
      <c r="R9" s="31"/>
      <c r="S9" s="55"/>
      <c r="T9" s="54"/>
      <c r="U9" s="163">
        <v>0.15</v>
      </c>
      <c r="V9" s="163">
        <f>PLA!U12*Llistes!$L$11*Llistes!$L$12</f>
        <v>20</v>
      </c>
      <c r="W9" s="60" t="s">
        <v>1082</v>
      </c>
      <c r="X9" s="60" t="str">
        <f>IF(W9=Llistes!$K$2,Llistes!$L$2,IF(W9=Llistes!$K$3,Llistes!$L$3,IF(W9=Llistes!$K$4,Llistes!$L$4,IF(W9=Llistes!$K$5,Llistes!$L$5,IF(W9=Llistes!$K$6,Llistes!$L$6,IF(W9=Llistes!$K$7,Llistes!$L$7,""))))))</f>
        <v>Montse Pascual</v>
      </c>
      <c r="Y9" s="165"/>
      <c r="Z9" s="165"/>
      <c r="AA9" s="165"/>
      <c r="AB9" s="165"/>
      <c r="AC9" s="147"/>
    </row>
    <row r="10" spans="1:29" ht="29">
      <c r="A10" s="13" t="s">
        <v>265</v>
      </c>
      <c r="B10" s="430"/>
      <c r="C10" s="428"/>
      <c r="D10" s="288"/>
      <c r="E10" s="272"/>
      <c r="F10" s="186" t="s">
        <v>278</v>
      </c>
      <c r="G10" s="56"/>
      <c r="H10" s="215"/>
      <c r="I10" s="31"/>
      <c r="J10" s="163"/>
      <c r="K10" s="163"/>
      <c r="L10" s="187" t="s">
        <v>1532</v>
      </c>
      <c r="M10" s="188" t="s">
        <v>271</v>
      </c>
      <c r="N10" s="188" t="s">
        <v>272</v>
      </c>
      <c r="O10" s="56"/>
      <c r="P10" s="31"/>
      <c r="Q10" s="103"/>
      <c r="R10" s="31"/>
      <c r="S10" s="55"/>
      <c r="T10" s="54"/>
      <c r="U10" s="163"/>
      <c r="V10" s="163"/>
      <c r="W10" s="60"/>
      <c r="X10" s="60"/>
      <c r="Y10" s="165"/>
      <c r="Z10" s="165"/>
      <c r="AA10" s="165"/>
      <c r="AB10" s="165"/>
      <c r="AC10" s="147"/>
    </row>
    <row r="11" spans="1:29" ht="72.5">
      <c r="A11" s="13" t="s">
        <v>265</v>
      </c>
      <c r="B11" s="430"/>
      <c r="C11" s="428"/>
      <c r="D11" s="286" t="s">
        <v>281</v>
      </c>
      <c r="E11" s="270" t="s">
        <v>1638</v>
      </c>
      <c r="F11" s="55" t="s">
        <v>283</v>
      </c>
      <c r="G11" s="56" t="str">
        <f t="shared" ref="G11:G19" si="1">L11</f>
        <v>Implementar la metodologia de gestió adaptativa (Estàndards Oberts de Gestió Adaptativa a Catalunya) en tots els processos de l'ENP</v>
      </c>
      <c r="H11" s="215" t="s">
        <v>290</v>
      </c>
      <c r="I11" s="31" t="s">
        <v>999</v>
      </c>
      <c r="J11" s="163" t="s">
        <v>1015</v>
      </c>
      <c r="K11" s="163" t="s">
        <v>1016</v>
      </c>
      <c r="L11" s="54" t="s">
        <v>284</v>
      </c>
      <c r="M11" s="55" t="s">
        <v>271</v>
      </c>
      <c r="N11" s="55" t="s">
        <v>285</v>
      </c>
      <c r="O11" s="56"/>
      <c r="P11" s="60"/>
      <c r="Q11" s="103" t="s">
        <v>286</v>
      </c>
      <c r="R11" s="31" t="s">
        <v>287</v>
      </c>
      <c r="S11" s="55" t="s">
        <v>288</v>
      </c>
      <c r="T11" s="54" t="s">
        <v>289</v>
      </c>
      <c r="U11" s="163">
        <v>0.15</v>
      </c>
      <c r="V11" s="163">
        <f>PLA!U14*Llistes!$L$11*Llistes!$L$12</f>
        <v>20</v>
      </c>
      <c r="W11" s="60" t="s">
        <v>291</v>
      </c>
      <c r="X11" s="60" t="str">
        <f>IF(W11=Llistes!$K$2,Llistes!$L$2,IF(W11=Llistes!$K$3,Llistes!$L$3,IF(W11=Llistes!$K$4,Llistes!$L$4,IF(W11=Llistes!$K$5,Llistes!$L$5,IF(W11=Llistes!$K$6,Llistes!$L$6,IF(W11=Llistes!$K$7,Llistes!$L$7,""))))))</f>
        <v>Gerard Carrion</v>
      </c>
      <c r="Y11" s="165" t="s">
        <v>994</v>
      </c>
      <c r="Z11" s="165" t="s">
        <v>994</v>
      </c>
      <c r="AA11" s="165" t="s">
        <v>994</v>
      </c>
      <c r="AB11" s="165" t="s">
        <v>994</v>
      </c>
      <c r="AC11" s="147"/>
    </row>
    <row r="12" spans="1:29" ht="43.5">
      <c r="A12" s="13" t="s">
        <v>265</v>
      </c>
      <c r="B12" s="430"/>
      <c r="C12" s="428"/>
      <c r="D12" s="287"/>
      <c r="E12" s="271"/>
      <c r="F12" s="55" t="s">
        <v>283</v>
      </c>
      <c r="G12" s="56" t="str">
        <f t="shared" si="1"/>
        <v>Implementar la metodologia de gestió adaptativa (Estàndards Oberts de Gestió Adaptativa a Catalunya) en tots els processos de l'ENP</v>
      </c>
      <c r="H12" s="215" t="s">
        <v>1425</v>
      </c>
      <c r="I12" s="31" t="s">
        <v>1442</v>
      </c>
      <c r="J12" s="163"/>
      <c r="K12" s="163" t="s">
        <v>1043</v>
      </c>
      <c r="L12" s="54" t="s">
        <v>284</v>
      </c>
      <c r="M12" s="55" t="s">
        <v>271</v>
      </c>
      <c r="N12" s="55" t="s">
        <v>285</v>
      </c>
      <c r="O12" s="56"/>
      <c r="P12" s="60"/>
      <c r="Q12" s="103" t="s">
        <v>286</v>
      </c>
      <c r="R12" s="31"/>
      <c r="S12" s="55"/>
      <c r="T12" s="54"/>
      <c r="U12" s="163">
        <v>0.15</v>
      </c>
      <c r="V12" s="163">
        <f>PLA!U15*Llistes!$L$11*Llistes!$L$12</f>
        <v>20</v>
      </c>
      <c r="W12" s="60" t="s">
        <v>1082</v>
      </c>
      <c r="X12" s="60" t="str">
        <f>IF(W12=Llistes!$K$2,Llistes!$L$2,IF(W12=Llistes!$K$3,Llistes!$L$3,IF(W12=Llistes!$K$4,Llistes!$L$4,IF(W12=Llistes!$K$5,Llistes!$L$5,IF(W12=Llistes!$K$6,Llistes!$L$6,IF(W12=Llistes!$K$7,Llistes!$L$7,""))))))</f>
        <v>Montse Pascual</v>
      </c>
      <c r="Y12" s="165" t="s">
        <v>994</v>
      </c>
      <c r="Z12" s="165" t="s">
        <v>994</v>
      </c>
      <c r="AA12" s="165" t="s">
        <v>994</v>
      </c>
      <c r="AB12" s="165" t="s">
        <v>994</v>
      </c>
      <c r="AC12" s="147"/>
    </row>
    <row r="13" spans="1:29" ht="101.5">
      <c r="A13" s="13" t="s">
        <v>265</v>
      </c>
      <c r="B13" s="430"/>
      <c r="C13" s="428"/>
      <c r="D13" s="287"/>
      <c r="E13" s="271"/>
      <c r="F13" s="55" t="s">
        <v>292</v>
      </c>
      <c r="G13" s="56" t="str">
        <f t="shared" si="1"/>
        <v>Executar les mesures previstes en els plans de conservació o recuperació d'espècies amenaçades de forma coordinada amb el Servei de Flora i Fauna en l'àmbit de l'ENP</v>
      </c>
      <c r="H13" s="215" t="s">
        <v>1216</v>
      </c>
      <c r="I13" s="31" t="s">
        <v>1017</v>
      </c>
      <c r="J13" s="163" t="s">
        <v>1018</v>
      </c>
      <c r="K13" s="163" t="s">
        <v>1019</v>
      </c>
      <c r="L13" s="54" t="s">
        <v>293</v>
      </c>
      <c r="M13" s="55" t="s">
        <v>271</v>
      </c>
      <c r="N13" s="55" t="s">
        <v>272</v>
      </c>
      <c r="O13" s="56"/>
      <c r="P13" s="60"/>
      <c r="Q13" s="103" t="s">
        <v>273</v>
      </c>
      <c r="R13" s="31" t="s">
        <v>1000</v>
      </c>
      <c r="S13" s="55"/>
      <c r="T13" s="54"/>
      <c r="U13" s="163">
        <v>3</v>
      </c>
      <c r="V13" s="163">
        <f>PLA!U16*Llistes!$L$11*Llistes!$L$12</f>
        <v>400</v>
      </c>
      <c r="W13" s="60" t="s">
        <v>277</v>
      </c>
      <c r="X13" s="60" t="str">
        <f>IF(W13=Llistes!$K$2,Llistes!$L$2,IF(W13=Llistes!$K$3,Llistes!$L$3,IF(W13=Llistes!$K$4,Llistes!$L$4,IF(W13=Llistes!$K$5,Llistes!$L$5,IF(W13=Llistes!$K$6,Llistes!$L$6,IF(W13=Llistes!$K$7,Llistes!$L$7,""))))))</f>
        <v>Pau Federico</v>
      </c>
      <c r="Y13" s="165" t="s">
        <v>994</v>
      </c>
      <c r="Z13" s="165" t="s">
        <v>994</v>
      </c>
      <c r="AA13" s="165" t="s">
        <v>994</v>
      </c>
      <c r="AB13" s="165" t="s">
        <v>994</v>
      </c>
      <c r="AC13" s="147"/>
    </row>
    <row r="14" spans="1:29" ht="58">
      <c r="A14" s="13" t="s">
        <v>265</v>
      </c>
      <c r="B14" s="430"/>
      <c r="C14" s="428"/>
      <c r="D14" s="287"/>
      <c r="E14" s="271"/>
      <c r="F14" s="55" t="s">
        <v>292</v>
      </c>
      <c r="G14" s="56" t="str">
        <f t="shared" si="1"/>
        <v>Executar les mesures previstes en els plans de conservació o recuperació d'espècies amenaçades de forma coordinada amb el Servei de Flora i Fauna en l'àmbit de l'ENP</v>
      </c>
      <c r="H14" s="215" t="s">
        <v>1217</v>
      </c>
      <c r="I14" s="31" t="s">
        <v>1020</v>
      </c>
      <c r="J14" s="164" t="s">
        <v>1021</v>
      </c>
      <c r="K14" s="164" t="s">
        <v>1022</v>
      </c>
      <c r="L14" s="54" t="s">
        <v>293</v>
      </c>
      <c r="M14" s="55" t="s">
        <v>271</v>
      </c>
      <c r="N14" s="55" t="s">
        <v>272</v>
      </c>
      <c r="O14" s="56"/>
      <c r="P14" s="60"/>
      <c r="Q14" s="103" t="s">
        <v>273</v>
      </c>
      <c r="R14" s="31" t="s">
        <v>1001</v>
      </c>
      <c r="S14" s="55"/>
      <c r="T14" s="54"/>
      <c r="U14" s="163">
        <v>3</v>
      </c>
      <c r="V14" s="163">
        <f>PLA!U17*Llistes!$L$11*Llistes!$L$12</f>
        <v>400</v>
      </c>
      <c r="W14" s="60" t="s">
        <v>277</v>
      </c>
      <c r="X14" s="60" t="str">
        <f>IF(W14=Llistes!$K$2,Llistes!$L$2,IF(W14=Llistes!$K$3,Llistes!$L$3,IF(W14=Llistes!$K$4,Llistes!$L$4,IF(W14=Llistes!$K$5,Llistes!$L$5,IF(W14=Llistes!$K$6,Llistes!$L$6,IF(W14=Llistes!$K$7,Llistes!$L$7,""))))))</f>
        <v>Pau Federico</v>
      </c>
      <c r="Y14" s="165" t="s">
        <v>994</v>
      </c>
      <c r="Z14" s="165" t="s">
        <v>994</v>
      </c>
      <c r="AA14" s="165" t="s">
        <v>994</v>
      </c>
      <c r="AB14" s="165" t="s">
        <v>994</v>
      </c>
      <c r="AC14" s="147"/>
    </row>
    <row r="15" spans="1:29" ht="58">
      <c r="A15" s="13" t="s">
        <v>265</v>
      </c>
      <c r="B15" s="430"/>
      <c r="C15" s="428"/>
      <c r="D15" s="287"/>
      <c r="E15" s="271"/>
      <c r="F15" s="55" t="s">
        <v>292</v>
      </c>
      <c r="G15" s="56" t="str">
        <f t="shared" si="1"/>
        <v>Executar les mesures previstes en els plans de conservació o recuperació d'espècies amenaçades de forma coordinada amb el Servei de Flora i Fauna en l'àmbit de l'ENP</v>
      </c>
      <c r="H15" s="215" t="s">
        <v>1218</v>
      </c>
      <c r="I15" s="31" t="s">
        <v>1023</v>
      </c>
      <c r="J15" s="163" t="s">
        <v>1024</v>
      </c>
      <c r="K15" s="163" t="s">
        <v>1025</v>
      </c>
      <c r="L15" s="54" t="s">
        <v>293</v>
      </c>
      <c r="M15" s="55" t="s">
        <v>271</v>
      </c>
      <c r="N15" s="55" t="s">
        <v>272</v>
      </c>
      <c r="O15" s="56"/>
      <c r="P15" s="31"/>
      <c r="Q15" s="103" t="s">
        <v>273</v>
      </c>
      <c r="R15" s="31" t="s">
        <v>1002</v>
      </c>
      <c r="S15" s="53" t="s">
        <v>294</v>
      </c>
      <c r="T15" s="54" t="s">
        <v>295</v>
      </c>
      <c r="U15" s="163">
        <v>3</v>
      </c>
      <c r="V15" s="163">
        <f>PLA!U18*Llistes!$L$11*Llistes!$L$12</f>
        <v>400</v>
      </c>
      <c r="W15" s="60" t="s">
        <v>277</v>
      </c>
      <c r="X15" s="60" t="str">
        <f>IF(W15=Llistes!$K$2,Llistes!$L$2,IF(W15=Llistes!$K$3,Llistes!$L$3,IF(W15=Llistes!$K$4,Llistes!$L$4,IF(W15=Llistes!$K$5,Llistes!$L$5,IF(W15=Llistes!$K$6,Llistes!$L$6,IF(W15=Llistes!$K$7,Llistes!$L$7,""))))))</f>
        <v>Pau Federico</v>
      </c>
      <c r="Y15" s="165" t="s">
        <v>994</v>
      </c>
      <c r="Z15" s="165" t="s">
        <v>994</v>
      </c>
      <c r="AA15" s="165" t="s">
        <v>994</v>
      </c>
      <c r="AB15" s="165" t="s">
        <v>994</v>
      </c>
      <c r="AC15" s="147"/>
    </row>
    <row r="16" spans="1:29" ht="87">
      <c r="A16" s="13" t="s">
        <v>265</v>
      </c>
      <c r="B16" s="430"/>
      <c r="C16" s="428"/>
      <c r="D16" s="287"/>
      <c r="E16" s="271"/>
      <c r="F16" s="55" t="s">
        <v>296</v>
      </c>
      <c r="G16" s="56" t="str">
        <f t="shared" si="1"/>
        <v>Executar les mesures de gestió previstes en els plans de control i erradicació d'espècies exòtiques de forma coordinada amb el Servei de Flora i Fauna en l'àmbit de l'ENP</v>
      </c>
      <c r="H16" s="215" t="s">
        <v>1417</v>
      </c>
      <c r="I16" s="31" t="s">
        <v>1028</v>
      </c>
      <c r="J16" s="163" t="s">
        <v>1026</v>
      </c>
      <c r="K16" s="163" t="s">
        <v>1027</v>
      </c>
      <c r="L16" s="54" t="s">
        <v>297</v>
      </c>
      <c r="M16" s="55" t="s">
        <v>271</v>
      </c>
      <c r="N16" s="55" t="s">
        <v>272</v>
      </c>
      <c r="O16" s="56"/>
      <c r="P16" s="31"/>
      <c r="Q16" s="103" t="s">
        <v>273</v>
      </c>
      <c r="R16" s="31" t="s">
        <v>298</v>
      </c>
      <c r="S16" s="53"/>
      <c r="T16" s="54"/>
      <c r="U16" s="163">
        <v>1.02</v>
      </c>
      <c r="V16" s="163">
        <f>PLA!U19*Llistes!$L$11*Llistes!$L$12</f>
        <v>136</v>
      </c>
      <c r="W16" s="60" t="s">
        <v>277</v>
      </c>
      <c r="X16" s="60" t="str">
        <f>IF(W16=Llistes!$K$2,Llistes!$L$2,IF(W16=Llistes!$K$3,Llistes!$L$3,IF(W16=Llistes!$K$4,Llistes!$L$4,IF(W16=Llistes!$K$5,Llistes!$L$5,IF(W16=Llistes!$K$6,Llistes!$L$6,IF(W16=Llistes!$K$7,Llistes!$L$7,""))))))</f>
        <v>Pau Federico</v>
      </c>
      <c r="Y16" s="165" t="s">
        <v>994</v>
      </c>
      <c r="Z16" s="165" t="s">
        <v>994</v>
      </c>
      <c r="AA16" s="165" t="s">
        <v>994</v>
      </c>
      <c r="AB16" s="165" t="s">
        <v>994</v>
      </c>
      <c r="AC16" s="147"/>
    </row>
    <row r="17" spans="1:29" ht="87">
      <c r="A17" s="13" t="s">
        <v>265</v>
      </c>
      <c r="B17" s="430"/>
      <c r="C17" s="428"/>
      <c r="D17" s="287"/>
      <c r="E17" s="271"/>
      <c r="F17" s="55" t="s">
        <v>296</v>
      </c>
      <c r="G17" s="56" t="str">
        <f t="shared" si="1"/>
        <v>Executar les mesures de gestió previstes en els plans de control i erradicació d'espècies exòtiques de forma coordinada amb el Servei de Flora i Fauna en l'àmbit de l'ENP</v>
      </c>
      <c r="H17" s="215" t="s">
        <v>1219</v>
      </c>
      <c r="I17" s="31" t="s">
        <v>1006</v>
      </c>
      <c r="J17" s="163" t="s">
        <v>1029</v>
      </c>
      <c r="K17" s="163" t="s">
        <v>1030</v>
      </c>
      <c r="L17" s="54" t="s">
        <v>297</v>
      </c>
      <c r="M17" s="55" t="s">
        <v>271</v>
      </c>
      <c r="N17" s="55" t="s">
        <v>272</v>
      </c>
      <c r="O17" s="56"/>
      <c r="P17" s="31"/>
      <c r="Q17" s="103" t="s">
        <v>273</v>
      </c>
      <c r="R17" s="31" t="s">
        <v>298</v>
      </c>
      <c r="S17" s="53" t="s">
        <v>299</v>
      </c>
      <c r="T17" s="54" t="s">
        <v>300</v>
      </c>
      <c r="U17" s="163">
        <v>0.15</v>
      </c>
      <c r="V17" s="163">
        <f>PLA!U20*Llistes!$L$11*Llistes!$L$12</f>
        <v>20</v>
      </c>
      <c r="W17" s="60" t="s">
        <v>277</v>
      </c>
      <c r="X17" s="60" t="str">
        <f>IF(W17=Llistes!$K$2,Llistes!$L$2,IF(W17=Llistes!$K$3,Llistes!$L$3,IF(W17=Llistes!$K$4,Llistes!$L$4,IF(W17=Llistes!$K$5,Llistes!$L$5,IF(W17=Llistes!$K$6,Llistes!$L$6,IF(W17=Llistes!$K$7,Llistes!$L$7,""))))))</f>
        <v>Pau Federico</v>
      </c>
      <c r="Y17" s="165" t="s">
        <v>994</v>
      </c>
      <c r="Z17" s="165" t="s">
        <v>994</v>
      </c>
      <c r="AA17" s="165" t="s">
        <v>994</v>
      </c>
      <c r="AB17" s="165" t="s">
        <v>994</v>
      </c>
      <c r="AC17" s="147"/>
    </row>
    <row r="18" spans="1:29" ht="130.5">
      <c r="A18" s="13" t="s">
        <v>265</v>
      </c>
      <c r="B18" s="430"/>
      <c r="C18" s="428"/>
      <c r="D18" s="287"/>
      <c r="E18" s="271"/>
      <c r="F18" s="55" t="s">
        <v>301</v>
      </c>
      <c r="G18" s="56" t="str">
        <f t="shared" si="1"/>
        <v xml:space="preserve">Desplegar els objectius i tasques recollits en els instruments de referència i compromisos internacionals  </v>
      </c>
      <c r="H18" s="215" t="s">
        <v>1220</v>
      </c>
      <c r="I18" s="31" t="s">
        <v>1003</v>
      </c>
      <c r="J18" s="163" t="s">
        <v>1029</v>
      </c>
      <c r="K18" s="163" t="s">
        <v>1030</v>
      </c>
      <c r="L18" s="54" t="s">
        <v>302</v>
      </c>
      <c r="M18" s="55" t="s">
        <v>303</v>
      </c>
      <c r="N18" s="55" t="s">
        <v>304</v>
      </c>
      <c r="O18" s="56"/>
      <c r="P18" s="31"/>
      <c r="Q18" s="103" t="s">
        <v>305</v>
      </c>
      <c r="R18" s="31" t="s">
        <v>306</v>
      </c>
      <c r="S18" s="53"/>
      <c r="T18" s="54"/>
      <c r="U18" s="163">
        <v>0.15</v>
      </c>
      <c r="V18" s="163">
        <f>PLA!U21*Llistes!$L$11*Llistes!$L$12</f>
        <v>20</v>
      </c>
      <c r="W18" s="60" t="s">
        <v>291</v>
      </c>
      <c r="X18" s="60" t="str">
        <f>IF(W18=Llistes!$K$2,Llistes!$L$2,IF(W18=Llistes!$K$3,Llistes!$L$3,IF(W18=Llistes!$K$4,Llistes!$L$4,IF(W18=Llistes!$K$5,Llistes!$L$5,IF(W18=Llistes!$K$6,Llistes!$L$6,IF(W18=Llistes!$K$7,Llistes!$L$7,""))))))</f>
        <v>Gerard Carrion</v>
      </c>
      <c r="Y18" s="165" t="s">
        <v>994</v>
      </c>
      <c r="Z18" s="165" t="s">
        <v>994</v>
      </c>
      <c r="AA18" s="165" t="s">
        <v>994</v>
      </c>
      <c r="AB18" s="165" t="s">
        <v>994</v>
      </c>
      <c r="AC18" s="147"/>
    </row>
    <row r="19" spans="1:29" ht="40.5" customHeight="1">
      <c r="A19" s="13" t="s">
        <v>265</v>
      </c>
      <c r="B19" s="430"/>
      <c r="C19" s="428"/>
      <c r="D19" s="288"/>
      <c r="E19" s="272"/>
      <c r="F19" s="55" t="s">
        <v>301</v>
      </c>
      <c r="G19" s="56" t="str">
        <f t="shared" si="1"/>
        <v xml:space="preserve">Desplegar els objectius i tasques recollits en els instruments de referència i compromisos internacionals  </v>
      </c>
      <c r="H19" s="215" t="s">
        <v>1074</v>
      </c>
      <c r="I19" s="31" t="s">
        <v>1443</v>
      </c>
      <c r="J19" s="164">
        <v>0.5</v>
      </c>
      <c r="K19" s="164">
        <v>1</v>
      </c>
      <c r="L19" s="54" t="s">
        <v>302</v>
      </c>
      <c r="M19" s="55" t="s">
        <v>303</v>
      </c>
      <c r="N19" s="55" t="s">
        <v>304</v>
      </c>
      <c r="O19" s="56"/>
      <c r="P19" s="31"/>
      <c r="Q19" s="103" t="s">
        <v>305</v>
      </c>
      <c r="R19" s="31"/>
      <c r="S19" s="53"/>
      <c r="T19" s="54"/>
      <c r="U19" s="163">
        <v>0.15</v>
      </c>
      <c r="V19" s="163">
        <f>PLA!U22*Llistes!$L$11*Llistes!$L$12</f>
        <v>20</v>
      </c>
      <c r="W19" s="60" t="s">
        <v>1082</v>
      </c>
      <c r="X19" s="60" t="str">
        <f>IF(W19=Llistes!$K$2,Llistes!$L$2,IF(W19=Llistes!$K$3,Llistes!$L$3,IF(W19=Llistes!$K$4,Llistes!$L$4,IF(W19=Llistes!$K$5,Llistes!$L$5,IF(W19=Llistes!$K$6,Llistes!$L$6,IF(W19=Llistes!$K$7,Llistes!$L$7,""))))))</f>
        <v>Montse Pascual</v>
      </c>
      <c r="Y19" s="165"/>
      <c r="Z19" s="165"/>
      <c r="AA19" s="165"/>
      <c r="AB19" s="165"/>
      <c r="AC19" s="147"/>
    </row>
    <row r="20" spans="1:29" ht="72.650000000000006" customHeight="1">
      <c r="A20" s="13"/>
      <c r="B20" s="430"/>
      <c r="C20" s="428"/>
      <c r="D20" s="286" t="s">
        <v>307</v>
      </c>
      <c r="E20" s="270" t="s">
        <v>308</v>
      </c>
      <c r="F20" s="53" t="s">
        <v>309</v>
      </c>
      <c r="G20" s="56" t="s">
        <v>310</v>
      </c>
      <c r="H20" s="215" t="s">
        <v>1435</v>
      </c>
      <c r="I20" s="31" t="s">
        <v>1436</v>
      </c>
      <c r="J20" s="163" t="s">
        <v>1438</v>
      </c>
      <c r="K20" s="163" t="s">
        <v>1437</v>
      </c>
      <c r="L20" s="54" t="s">
        <v>310</v>
      </c>
      <c r="M20" s="55" t="s">
        <v>271</v>
      </c>
      <c r="N20" s="55" t="s">
        <v>272</v>
      </c>
      <c r="O20" s="56"/>
      <c r="P20" s="31"/>
      <c r="Q20" s="103" t="s">
        <v>286</v>
      </c>
      <c r="R20" s="31" t="s">
        <v>1434</v>
      </c>
      <c r="S20" s="53"/>
      <c r="T20" s="54"/>
      <c r="U20" s="163">
        <v>0.3</v>
      </c>
      <c r="V20" s="163">
        <f>PLA!U23*Llistes!$L$11*Llistes!$L$12</f>
        <v>40</v>
      </c>
      <c r="W20" s="60" t="s">
        <v>277</v>
      </c>
      <c r="X20" s="60" t="str">
        <f>IF(W20=Llistes!$K$2,Llistes!$L$2,IF(W20=Llistes!$K$3,Llistes!$L$3,IF(W20=Llistes!$K$4,Llistes!$L$4,IF(W20=Llistes!$K$5,Llistes!$L$5,IF(W20=Llistes!$K$6,Llistes!$L$6,IF(W20=Llistes!$K$7,Llistes!$L$7,""))))))</f>
        <v>Pau Federico</v>
      </c>
      <c r="Y20" s="165"/>
      <c r="Z20" s="165"/>
      <c r="AA20" s="165"/>
      <c r="AB20" s="165"/>
      <c r="AC20" s="147"/>
    </row>
    <row r="21" spans="1:29" ht="74.5" customHeight="1">
      <c r="A21" s="13" t="s">
        <v>265</v>
      </c>
      <c r="B21" s="430"/>
      <c r="C21" s="428"/>
      <c r="D21" s="287"/>
      <c r="E21" s="271"/>
      <c r="F21" s="186" t="s">
        <v>309</v>
      </c>
      <c r="G21" s="56" t="str">
        <f>L20</f>
        <v>Identificar espais pel foment de la dinàmica natural i l'aprofitament no extractiu</v>
      </c>
      <c r="H21" s="215" t="s">
        <v>1221</v>
      </c>
      <c r="I21" s="31" t="s">
        <v>1031</v>
      </c>
      <c r="J21" s="163" t="s">
        <v>1032</v>
      </c>
      <c r="K21" s="163" t="s">
        <v>1033</v>
      </c>
      <c r="L21" s="187" t="s">
        <v>310</v>
      </c>
      <c r="M21" s="188" t="s">
        <v>271</v>
      </c>
      <c r="N21" s="188" t="s">
        <v>272</v>
      </c>
      <c r="O21" s="56"/>
      <c r="P21" s="31"/>
      <c r="Q21" s="103" t="s">
        <v>286</v>
      </c>
      <c r="R21" s="31" t="s">
        <v>1433</v>
      </c>
      <c r="S21" s="55" t="s">
        <v>288</v>
      </c>
      <c r="T21" s="54" t="s">
        <v>311</v>
      </c>
      <c r="U21" s="163">
        <v>4.4999999999999998E-2</v>
      </c>
      <c r="V21" s="163">
        <f>PLA!U24*Llistes!$L$11*Llistes!$L$12</f>
        <v>6</v>
      </c>
      <c r="W21" s="60" t="s">
        <v>277</v>
      </c>
      <c r="X21" s="60" t="str">
        <f>IF(W21=Llistes!$K$2,Llistes!$L$2,IF(W21=Llistes!$K$3,Llistes!$L$3,IF(W21=Llistes!$K$4,Llistes!$L$4,IF(W21=Llistes!$K$5,Llistes!$L$5,IF(W21=Llistes!$K$6,Llistes!$L$6,IF(W21=Llistes!$K$7,Llistes!$L$7,""))))))</f>
        <v>Pau Federico</v>
      </c>
      <c r="Y21" s="165" t="s">
        <v>994</v>
      </c>
      <c r="Z21" s="165" t="s">
        <v>994</v>
      </c>
      <c r="AA21" s="165" t="s">
        <v>994</v>
      </c>
      <c r="AB21" s="165" t="s">
        <v>994</v>
      </c>
      <c r="AC21" s="147"/>
    </row>
    <row r="22" spans="1:29" ht="58">
      <c r="A22" s="13" t="s">
        <v>265</v>
      </c>
      <c r="B22" s="430"/>
      <c r="C22" s="428"/>
      <c r="D22" s="287"/>
      <c r="E22" s="271"/>
      <c r="F22" s="186" t="s">
        <v>312</v>
      </c>
      <c r="G22" s="56" t="str">
        <f>L22</f>
        <v>Afavorir la maduresa dels sistemes forestals</v>
      </c>
      <c r="H22" s="215" t="s">
        <v>315</v>
      </c>
      <c r="I22" s="31" t="s">
        <v>1034</v>
      </c>
      <c r="J22" s="163" t="s">
        <v>1418</v>
      </c>
      <c r="K22" s="163" t="s">
        <v>1419</v>
      </c>
      <c r="L22" s="187" t="s">
        <v>313</v>
      </c>
      <c r="M22" s="188" t="s">
        <v>303</v>
      </c>
      <c r="N22" s="188" t="s">
        <v>285</v>
      </c>
      <c r="O22" s="56"/>
      <c r="P22" s="31"/>
      <c r="Q22" s="103" t="s">
        <v>286</v>
      </c>
      <c r="R22" s="31" t="s">
        <v>314</v>
      </c>
      <c r="S22" s="55" t="s">
        <v>275</v>
      </c>
      <c r="T22" s="54" t="s">
        <v>311</v>
      </c>
      <c r="U22" s="163">
        <v>4.4999999999999998E-2</v>
      </c>
      <c r="V22" s="163">
        <f>PLA!U25*Llistes!$L$11*Llistes!$L$12</f>
        <v>6</v>
      </c>
      <c r="W22" s="60" t="s">
        <v>291</v>
      </c>
      <c r="X22" s="60" t="str">
        <f>IF(W22=Llistes!$K$2,Llistes!$L$2,IF(W22=Llistes!$K$3,Llistes!$L$3,IF(W22=Llistes!$K$4,Llistes!$L$4,IF(W22=Llistes!$K$5,Llistes!$L$5,IF(W22=Llistes!$K$6,Llistes!$L$6,IF(W22=Llistes!$K$7,Llistes!$L$7,""))))))</f>
        <v>Gerard Carrion</v>
      </c>
      <c r="Y22" s="165" t="s">
        <v>994</v>
      </c>
      <c r="Z22" s="165"/>
      <c r="AA22" s="165" t="s">
        <v>994</v>
      </c>
      <c r="AB22" s="165"/>
      <c r="AC22" s="147"/>
    </row>
    <row r="23" spans="1:29" ht="87">
      <c r="A23" s="13" t="s">
        <v>265</v>
      </c>
      <c r="B23" s="430"/>
      <c r="C23" s="428"/>
      <c r="D23" s="287"/>
      <c r="E23" s="271"/>
      <c r="F23" s="186" t="s">
        <v>316</v>
      </c>
      <c r="G23" s="56" t="str">
        <f>L23</f>
        <v>Generar pertorbacions controlades</v>
      </c>
      <c r="H23" s="215" t="s">
        <v>320</v>
      </c>
      <c r="I23" s="31" t="s">
        <v>1035</v>
      </c>
      <c r="J23" s="163" t="s">
        <v>1036</v>
      </c>
      <c r="K23" s="163" t="s">
        <v>1037</v>
      </c>
      <c r="L23" s="187" t="s">
        <v>317</v>
      </c>
      <c r="M23" s="188" t="s">
        <v>303</v>
      </c>
      <c r="N23" s="188" t="s">
        <v>279</v>
      </c>
      <c r="O23" s="56" t="s">
        <v>318</v>
      </c>
      <c r="P23" s="31"/>
      <c r="Q23" s="103" t="s">
        <v>305</v>
      </c>
      <c r="R23" s="31" t="s">
        <v>319</v>
      </c>
      <c r="S23" s="55" t="s">
        <v>275</v>
      </c>
      <c r="T23" s="54" t="s">
        <v>311</v>
      </c>
      <c r="U23" s="163">
        <v>4.4999999999999998E-2</v>
      </c>
      <c r="V23" s="163">
        <f>PLA!U26*Llistes!$L$11*Llistes!$L$12</f>
        <v>6</v>
      </c>
      <c r="W23" s="60" t="s">
        <v>291</v>
      </c>
      <c r="X23" s="60" t="str">
        <f>IF(W23=Llistes!$K$2,Llistes!$L$2,IF(W23=Llistes!$K$3,Llistes!$L$3,IF(W23=Llistes!$K$4,Llistes!$L$4,IF(W23=Llistes!$K$5,Llistes!$L$5,IF(W23=Llistes!$K$6,Llistes!$L$6,IF(W23=Llistes!$K$7,Llistes!$L$7,""))))))</f>
        <v>Gerard Carrion</v>
      </c>
      <c r="Y23" s="165" t="s">
        <v>994</v>
      </c>
      <c r="Z23" s="165" t="s">
        <v>994</v>
      </c>
      <c r="AA23" s="165" t="s">
        <v>994</v>
      </c>
      <c r="AB23" s="165" t="s">
        <v>994</v>
      </c>
      <c r="AC23" s="147"/>
    </row>
    <row r="24" spans="1:29">
      <c r="A24" s="13" t="s">
        <v>265</v>
      </c>
      <c r="B24" s="430"/>
      <c r="C24" s="428"/>
      <c r="D24" s="287"/>
      <c r="E24" s="271"/>
      <c r="F24" s="186" t="s">
        <v>321</v>
      </c>
      <c r="G24" s="56"/>
      <c r="H24" s="215"/>
      <c r="I24" s="31"/>
      <c r="J24" s="163"/>
      <c r="K24" s="163"/>
      <c r="L24" s="187" t="s">
        <v>1533</v>
      </c>
      <c r="M24" s="188" t="s">
        <v>303</v>
      </c>
      <c r="N24" s="188" t="s">
        <v>304</v>
      </c>
      <c r="O24" s="56"/>
      <c r="P24" s="31"/>
      <c r="Q24" s="103"/>
      <c r="R24" s="31"/>
      <c r="S24" s="55"/>
      <c r="T24" s="54"/>
      <c r="U24" s="163"/>
      <c r="V24" s="163"/>
      <c r="W24" s="60"/>
      <c r="X24" s="60"/>
      <c r="Y24" s="165"/>
      <c r="Z24" s="165"/>
      <c r="AA24" s="165"/>
      <c r="AB24" s="165"/>
      <c r="AC24" s="147"/>
    </row>
    <row r="25" spans="1:29" ht="126.65" customHeight="1">
      <c r="A25" s="13" t="s">
        <v>265</v>
      </c>
      <c r="B25" s="430"/>
      <c r="C25" s="428"/>
      <c r="D25" s="287"/>
      <c r="E25" s="271"/>
      <c r="F25" s="186" t="s">
        <v>322</v>
      </c>
      <c r="G25" s="56" t="str">
        <f>L25</f>
        <v>Fomentar el paisatge en mosaïc</v>
      </c>
      <c r="H25" s="215" t="s">
        <v>1222</v>
      </c>
      <c r="I25" s="31" t="s">
        <v>1038</v>
      </c>
      <c r="J25" s="163" t="s">
        <v>1036</v>
      </c>
      <c r="K25" s="163" t="s">
        <v>1039</v>
      </c>
      <c r="L25" s="187" t="s">
        <v>323</v>
      </c>
      <c r="M25" s="188" t="s">
        <v>303</v>
      </c>
      <c r="N25" s="188" t="s">
        <v>285</v>
      </c>
      <c r="O25" s="56"/>
      <c r="P25" s="31"/>
      <c r="Q25" s="103" t="s">
        <v>286</v>
      </c>
      <c r="R25" s="31" t="s">
        <v>324</v>
      </c>
      <c r="S25" s="55" t="s">
        <v>288</v>
      </c>
      <c r="T25" s="54" t="s">
        <v>311</v>
      </c>
      <c r="U25" s="163">
        <v>4.4999999999999998E-2</v>
      </c>
      <c r="V25" s="163">
        <f>PLA!U28*Llistes!$L$11*Llistes!$L$12</f>
        <v>6</v>
      </c>
      <c r="W25" s="60" t="s">
        <v>291</v>
      </c>
      <c r="X25" s="60" t="str">
        <f>IF(W25=Llistes!$K$2,Llistes!$L$2,IF(W25=Llistes!$K$3,Llistes!$L$3,IF(W25=Llistes!$K$4,Llistes!$L$4,IF(W25=Llistes!$K$5,Llistes!$L$5,IF(W25=Llistes!$K$6,Llistes!$L$6,IF(W25=Llistes!$K$7,Llistes!$L$7,""))))))</f>
        <v>Gerard Carrion</v>
      </c>
      <c r="Y25" s="165" t="s">
        <v>994</v>
      </c>
      <c r="Z25" s="165" t="s">
        <v>994</v>
      </c>
      <c r="AA25" s="165" t="s">
        <v>994</v>
      </c>
      <c r="AB25" s="165" t="s">
        <v>994</v>
      </c>
      <c r="AC25" s="147"/>
    </row>
    <row r="26" spans="1:29" ht="29">
      <c r="A26" s="13" t="s">
        <v>265</v>
      </c>
      <c r="B26" s="430"/>
      <c r="C26" s="428"/>
      <c r="D26" s="287"/>
      <c r="E26" s="271"/>
      <c r="F26" s="186" t="s">
        <v>325</v>
      </c>
      <c r="G26" s="56"/>
      <c r="H26" s="215"/>
      <c r="I26" s="31"/>
      <c r="J26" s="163"/>
      <c r="K26" s="163"/>
      <c r="L26" s="187" t="s">
        <v>1529</v>
      </c>
      <c r="M26" s="188" t="s">
        <v>303</v>
      </c>
      <c r="N26" s="188" t="s">
        <v>304</v>
      </c>
      <c r="O26" s="56"/>
      <c r="P26" s="31"/>
      <c r="Q26" s="103"/>
      <c r="R26" s="31"/>
      <c r="S26" s="55"/>
      <c r="T26" s="54"/>
      <c r="U26" s="163"/>
      <c r="V26" s="163"/>
      <c r="W26" s="60"/>
      <c r="X26" s="60"/>
      <c r="Y26" s="165"/>
      <c r="Z26" s="165"/>
      <c r="AA26" s="165"/>
      <c r="AB26" s="165"/>
      <c r="AC26" s="147"/>
    </row>
    <row r="27" spans="1:29">
      <c r="A27" s="13" t="s">
        <v>265</v>
      </c>
      <c r="B27" s="430"/>
      <c r="C27" s="428"/>
      <c r="D27" s="288"/>
      <c r="E27" s="272"/>
      <c r="F27" s="186" t="s">
        <v>1530</v>
      </c>
      <c r="G27" s="56"/>
      <c r="H27" s="215"/>
      <c r="I27" s="31"/>
      <c r="J27" s="163"/>
      <c r="K27" s="163"/>
      <c r="L27" s="187" t="s">
        <v>1531</v>
      </c>
      <c r="M27" s="188" t="s">
        <v>271</v>
      </c>
      <c r="N27" s="188" t="s">
        <v>285</v>
      </c>
      <c r="O27" s="56"/>
      <c r="P27" s="31"/>
      <c r="Q27" s="103"/>
      <c r="R27" s="31"/>
      <c r="S27" s="55"/>
      <c r="T27" s="54"/>
      <c r="U27" s="163"/>
      <c r="V27" s="163"/>
      <c r="W27" s="60"/>
      <c r="X27" s="60"/>
      <c r="Y27" s="165"/>
      <c r="Z27" s="165"/>
      <c r="AA27" s="165"/>
      <c r="AB27" s="165"/>
      <c r="AC27" s="147"/>
    </row>
    <row r="28" spans="1:29" ht="43.5">
      <c r="A28" s="13" t="s">
        <v>265</v>
      </c>
      <c r="B28" s="430"/>
      <c r="C28" s="428"/>
      <c r="D28" s="286" t="s">
        <v>326</v>
      </c>
      <c r="E28" s="270" t="s">
        <v>327</v>
      </c>
      <c r="F28" s="186" t="s">
        <v>328</v>
      </c>
      <c r="G28" s="56" t="str">
        <f>L28</f>
        <v>Fomentar acords de custòdia en espais d'alt valor dins l'ENP per a la gestió dels elements prioritaris</v>
      </c>
      <c r="H28" s="215" t="s">
        <v>1223</v>
      </c>
      <c r="I28" s="31" t="s">
        <v>1040</v>
      </c>
      <c r="J28" s="163">
        <v>1</v>
      </c>
      <c r="K28" s="163">
        <v>2</v>
      </c>
      <c r="L28" s="187" t="s">
        <v>329</v>
      </c>
      <c r="M28" s="188" t="s">
        <v>271</v>
      </c>
      <c r="N28" s="188" t="s">
        <v>285</v>
      </c>
      <c r="O28" s="56"/>
      <c r="P28" s="31"/>
      <c r="Q28" s="103" t="s">
        <v>273</v>
      </c>
      <c r="R28" s="31" t="s">
        <v>330</v>
      </c>
      <c r="S28" s="55" t="s">
        <v>275</v>
      </c>
      <c r="T28" s="54" t="s">
        <v>331</v>
      </c>
      <c r="U28" s="163">
        <v>4.4999999999999998E-2</v>
      </c>
      <c r="V28" s="163">
        <f>PLA!U31*Llistes!$L$11*Llistes!$L$12</f>
        <v>6</v>
      </c>
      <c r="W28" s="60" t="s">
        <v>291</v>
      </c>
      <c r="X28" s="60" t="str">
        <f>IF(W28=Llistes!$K$2,Llistes!$L$2,IF(W28=Llistes!$K$3,Llistes!$L$3,IF(W28=Llistes!$K$4,Llistes!$L$4,IF(W28=Llistes!$K$5,Llistes!$L$5,IF(W28=Llistes!$K$6,Llistes!$L$6,IF(W28=Llistes!$K$7,Llistes!$L$7,""))))))</f>
        <v>Gerard Carrion</v>
      </c>
      <c r="Y28" s="165"/>
      <c r="Z28" s="165"/>
      <c r="AA28" s="165"/>
      <c r="AB28" s="165"/>
      <c r="AC28" s="147"/>
    </row>
    <row r="29" spans="1:29" ht="58">
      <c r="A29" s="13" t="s">
        <v>265</v>
      </c>
      <c r="B29" s="430"/>
      <c r="C29" s="428"/>
      <c r="D29" s="287"/>
      <c r="E29" s="271"/>
      <c r="F29" s="186" t="s">
        <v>328</v>
      </c>
      <c r="G29" s="56" t="str">
        <f>L29</f>
        <v>Fomentar acords de custòdia en espais d'alt valor dins l'ENP per a la gestió dels elements prioritaris</v>
      </c>
      <c r="H29" s="215" t="s">
        <v>1224</v>
      </c>
      <c r="I29" s="31" t="s">
        <v>1041</v>
      </c>
      <c r="J29" s="163">
        <v>1</v>
      </c>
      <c r="K29" s="163">
        <v>3</v>
      </c>
      <c r="L29" s="187" t="s">
        <v>329</v>
      </c>
      <c r="M29" s="188" t="s">
        <v>271</v>
      </c>
      <c r="N29" s="188" t="s">
        <v>285</v>
      </c>
      <c r="O29" s="56"/>
      <c r="P29" s="31"/>
      <c r="Q29" s="103" t="s">
        <v>273</v>
      </c>
      <c r="R29" s="31" t="s">
        <v>330</v>
      </c>
      <c r="S29" s="55" t="s">
        <v>275</v>
      </c>
      <c r="T29" s="54" t="s">
        <v>331</v>
      </c>
      <c r="U29" s="163">
        <v>4.4999999999999998E-2</v>
      </c>
      <c r="V29" s="163">
        <f>PLA!U32*Llistes!$L$11*Llistes!$L$12</f>
        <v>6</v>
      </c>
      <c r="W29" s="60" t="s">
        <v>291</v>
      </c>
      <c r="X29" s="60" t="str">
        <f>IF(W29=Llistes!$K$2,Llistes!$L$2,IF(W29=Llistes!$K$3,Llistes!$L$3,IF(W29=Llistes!$K$4,Llistes!$L$4,IF(W29=Llistes!$K$5,Llistes!$L$5,IF(W29=Llistes!$K$6,Llistes!$L$6,IF(W29=Llistes!$K$7,Llistes!$L$7,""))))))</f>
        <v>Gerard Carrion</v>
      </c>
      <c r="Y29" s="165" t="s">
        <v>994</v>
      </c>
      <c r="Z29" s="165" t="s">
        <v>994</v>
      </c>
      <c r="AA29" s="165"/>
      <c r="AB29" s="165"/>
      <c r="AC29" s="147"/>
    </row>
    <row r="30" spans="1:29" ht="43.5">
      <c r="A30" s="13" t="s">
        <v>265</v>
      </c>
      <c r="B30" s="430"/>
      <c r="C30" s="428"/>
      <c r="D30" s="287"/>
      <c r="E30" s="271"/>
      <c r="F30" s="186" t="s">
        <v>332</v>
      </c>
      <c r="G30" s="56" t="str">
        <f>L30</f>
        <v>Fomentar bones pràctiques entre els col·lectius de propietaris i gestors del territori</v>
      </c>
      <c r="H30" s="215" t="s">
        <v>335</v>
      </c>
      <c r="I30" s="31" t="s">
        <v>1042</v>
      </c>
      <c r="J30" s="163">
        <v>1</v>
      </c>
      <c r="K30" s="163">
        <v>2</v>
      </c>
      <c r="L30" s="187" t="s">
        <v>333</v>
      </c>
      <c r="M30" s="188" t="s">
        <v>271</v>
      </c>
      <c r="N30" s="188" t="s">
        <v>285</v>
      </c>
      <c r="O30" s="56"/>
      <c r="P30" s="31"/>
      <c r="Q30" s="103" t="s">
        <v>286</v>
      </c>
      <c r="R30" s="31" t="s">
        <v>334</v>
      </c>
      <c r="S30" s="55"/>
      <c r="T30" s="54"/>
      <c r="U30" s="163">
        <v>0.15</v>
      </c>
      <c r="V30" s="163">
        <f>PLA!U33*Llistes!$L$11*Llistes!$L$12</f>
        <v>20</v>
      </c>
      <c r="W30" s="60" t="s">
        <v>277</v>
      </c>
      <c r="X30" s="60" t="str">
        <f>IF(W30=Llistes!$K$2,Llistes!$L$2,IF(W30=Llistes!$K$3,Llistes!$L$3,IF(W30=Llistes!$K$4,Llistes!$L$4,IF(W30=Llistes!$K$5,Llistes!$L$5,IF(W30=Llistes!$K$6,Llistes!$L$6,IF(W30=Llistes!$K$7,Llistes!$L$7,""))))))</f>
        <v>Pau Federico</v>
      </c>
      <c r="Y30" s="165" t="s">
        <v>994</v>
      </c>
      <c r="Z30" s="165"/>
      <c r="AA30" s="165" t="s">
        <v>994</v>
      </c>
      <c r="AB30" s="165"/>
      <c r="AC30" s="147"/>
    </row>
    <row r="31" spans="1:29" ht="29">
      <c r="A31" s="13" t="s">
        <v>265</v>
      </c>
      <c r="B31" s="430"/>
      <c r="C31" s="428"/>
      <c r="D31" s="287"/>
      <c r="E31" s="271"/>
      <c r="F31" s="186" t="s">
        <v>332</v>
      </c>
      <c r="G31" s="56"/>
      <c r="H31" s="215" t="s">
        <v>1426</v>
      </c>
      <c r="I31" s="31" t="s">
        <v>1427</v>
      </c>
      <c r="K31" s="163" t="s">
        <v>1043</v>
      </c>
      <c r="L31" s="187" t="s">
        <v>333</v>
      </c>
      <c r="M31" s="188" t="s">
        <v>271</v>
      </c>
      <c r="N31" s="188" t="s">
        <v>285</v>
      </c>
      <c r="O31" s="56"/>
      <c r="P31" s="31"/>
      <c r="Q31" s="103" t="s">
        <v>286</v>
      </c>
      <c r="R31" s="31"/>
      <c r="S31" s="55"/>
      <c r="T31" s="54"/>
      <c r="U31" s="163">
        <v>0.15</v>
      </c>
      <c r="V31" s="163">
        <f>PLA!U34*Llistes!$L$11*Llistes!$L$12</f>
        <v>0</v>
      </c>
      <c r="W31" s="60" t="s">
        <v>1082</v>
      </c>
      <c r="X31" s="60" t="str">
        <f>IF(W31=Llistes!$K$2,Llistes!$L$2,IF(W31=Llistes!$K$3,Llistes!$L$3,IF(W31=Llistes!$K$4,Llistes!$L$4,IF(W31=Llistes!$K$5,Llistes!$L$5,IF(W31=Llistes!$K$6,Llistes!$L$6,IF(W31=Llistes!$K$7,Llistes!$L$7,""))))))</f>
        <v>Montse Pascual</v>
      </c>
      <c r="Y31" s="165"/>
      <c r="Z31" s="165"/>
      <c r="AA31" s="165"/>
      <c r="AB31" s="165"/>
      <c r="AC31" s="147"/>
    </row>
    <row r="32" spans="1:29" ht="29">
      <c r="A32" s="13"/>
      <c r="B32" s="431"/>
      <c r="C32" s="429"/>
      <c r="D32" s="288"/>
      <c r="E32" s="272"/>
      <c r="F32" s="186" t="s">
        <v>336</v>
      </c>
      <c r="G32" s="56"/>
      <c r="H32" s="215"/>
      <c r="I32" s="31"/>
      <c r="K32" s="163"/>
      <c r="L32" s="187" t="s">
        <v>1534</v>
      </c>
      <c r="M32" s="188" t="s">
        <v>303</v>
      </c>
      <c r="N32" s="188" t="s">
        <v>304</v>
      </c>
      <c r="O32" s="56"/>
      <c r="P32" s="31"/>
      <c r="Q32" s="103"/>
      <c r="R32" s="31"/>
      <c r="S32" s="55"/>
      <c r="T32" s="54"/>
      <c r="U32" s="163"/>
      <c r="V32" s="163"/>
      <c r="W32" s="60"/>
      <c r="X32" s="60"/>
      <c r="Y32" s="165"/>
      <c r="Z32" s="165"/>
      <c r="AA32" s="165"/>
      <c r="AB32" s="165"/>
      <c r="AC32" s="147"/>
    </row>
    <row r="33" spans="1:29" ht="58">
      <c r="A33" s="13" t="s">
        <v>265</v>
      </c>
      <c r="B33" s="251">
        <v>2</v>
      </c>
      <c r="C33" s="333" t="s">
        <v>337</v>
      </c>
      <c r="D33" s="286" t="s">
        <v>338</v>
      </c>
      <c r="E33" s="270" t="s">
        <v>339</v>
      </c>
      <c r="F33" s="186" t="s">
        <v>340</v>
      </c>
      <c r="G33" s="56" t="s">
        <v>342</v>
      </c>
      <c r="H33" s="215" t="s">
        <v>1225</v>
      </c>
      <c r="I33" s="31" t="s">
        <v>1293</v>
      </c>
      <c r="J33" s="163"/>
      <c r="K33" s="163" t="s">
        <v>1043</v>
      </c>
      <c r="L33" s="187" t="s">
        <v>341</v>
      </c>
      <c r="M33" s="188" t="s">
        <v>271</v>
      </c>
      <c r="N33" s="188" t="s">
        <v>272</v>
      </c>
      <c r="O33" s="56" t="s">
        <v>343</v>
      </c>
      <c r="P33" s="31"/>
      <c r="Q33" s="103" t="s">
        <v>286</v>
      </c>
      <c r="R33" s="31" t="s">
        <v>344</v>
      </c>
      <c r="S33" s="55"/>
      <c r="T33" s="54"/>
      <c r="U33" s="163">
        <v>0.51</v>
      </c>
      <c r="V33" s="163">
        <f>PLA!U36*Llistes!$L$11*Llistes!$L$12</f>
        <v>68</v>
      </c>
      <c r="W33" s="60" t="s">
        <v>291</v>
      </c>
      <c r="X33" s="60" t="str">
        <f>IF(W33=Llistes!$K$2,Llistes!$L$2,IF(W33=Llistes!$K$3,Llistes!$L$3,IF(W33=Llistes!$K$4,Llistes!$L$4,IF(W33=Llistes!$K$5,Llistes!$L$5,IF(W33=Llistes!$K$6,Llistes!$L$6,IF(W33=Llistes!$K$7,Llistes!$L$7,""))))))</f>
        <v>Gerard Carrion</v>
      </c>
      <c r="Y33" s="165" t="s">
        <v>994</v>
      </c>
      <c r="Z33" s="165" t="s">
        <v>994</v>
      </c>
      <c r="AA33" s="165"/>
      <c r="AB33" s="165"/>
      <c r="AC33" s="147"/>
    </row>
    <row r="34" spans="1:29" ht="72.5">
      <c r="A34" s="13" t="s">
        <v>265</v>
      </c>
      <c r="B34" s="430"/>
      <c r="C34" s="428"/>
      <c r="D34" s="287"/>
      <c r="E34" s="271"/>
      <c r="F34" s="186" t="s">
        <v>340</v>
      </c>
      <c r="G34" s="56" t="s">
        <v>342</v>
      </c>
      <c r="H34" s="215" t="s">
        <v>1226</v>
      </c>
      <c r="I34" s="31" t="s">
        <v>1008</v>
      </c>
      <c r="J34" s="163">
        <v>1</v>
      </c>
      <c r="K34" s="163" t="s">
        <v>1009</v>
      </c>
      <c r="L34" s="187" t="s">
        <v>341</v>
      </c>
      <c r="M34" s="188" t="s">
        <v>271</v>
      </c>
      <c r="N34" s="188" t="s">
        <v>272</v>
      </c>
      <c r="O34" s="56" t="s">
        <v>343</v>
      </c>
      <c r="P34" s="31"/>
      <c r="Q34" s="103" t="s">
        <v>286</v>
      </c>
      <c r="R34" s="31" t="s">
        <v>344</v>
      </c>
      <c r="S34" s="55"/>
      <c r="T34" s="54"/>
      <c r="U34" s="163">
        <v>4.4999999999999998E-2</v>
      </c>
      <c r="V34" s="163">
        <f>PLA!U37*Llistes!$L$11*Llistes!$L$12</f>
        <v>6</v>
      </c>
      <c r="W34" s="60" t="s">
        <v>291</v>
      </c>
      <c r="X34" s="60" t="str">
        <f>IF(W34=Llistes!$K$2,Llistes!$L$2,IF(W34=Llistes!$K$3,Llistes!$L$3,IF(W34=Llistes!$K$4,Llistes!$L$4,IF(W34=Llistes!$K$5,Llistes!$L$5,IF(W34=Llistes!$K$6,Llistes!$L$6,IF(W34=Llistes!$K$7,Llistes!$L$7,""))))))</f>
        <v>Gerard Carrion</v>
      </c>
      <c r="Y34" s="165"/>
      <c r="Z34" s="165"/>
      <c r="AA34" s="165" t="s">
        <v>994</v>
      </c>
      <c r="AB34" s="165"/>
      <c r="AC34" s="147"/>
    </row>
    <row r="35" spans="1:29" ht="58">
      <c r="A35" s="13" t="s">
        <v>265</v>
      </c>
      <c r="B35" s="430"/>
      <c r="C35" s="428"/>
      <c r="D35" s="287"/>
      <c r="E35" s="271"/>
      <c r="F35" s="186" t="s">
        <v>340</v>
      </c>
      <c r="G35" s="56" t="s">
        <v>342</v>
      </c>
      <c r="H35" s="215" t="s">
        <v>1227</v>
      </c>
      <c r="I35" s="31" t="s">
        <v>1007</v>
      </c>
      <c r="J35" s="163">
        <v>1</v>
      </c>
      <c r="K35" s="163">
        <v>4</v>
      </c>
      <c r="L35" s="187" t="s">
        <v>341</v>
      </c>
      <c r="M35" s="188" t="s">
        <v>271</v>
      </c>
      <c r="N35" s="188" t="s">
        <v>272</v>
      </c>
      <c r="O35" s="56" t="s">
        <v>343</v>
      </c>
      <c r="P35" s="31"/>
      <c r="Q35" s="103" t="s">
        <v>286</v>
      </c>
      <c r="R35" s="31" t="s">
        <v>344</v>
      </c>
      <c r="S35" s="55"/>
      <c r="T35" s="54" t="s">
        <v>345</v>
      </c>
      <c r="U35" s="163">
        <v>4.4999999999999998E-2</v>
      </c>
      <c r="V35" s="163">
        <f>PLA!U38*Llistes!$L$11*Llistes!$L$12</f>
        <v>6</v>
      </c>
      <c r="W35" s="60" t="s">
        <v>291</v>
      </c>
      <c r="X35" s="60" t="str">
        <f>IF(W35=Llistes!$K$2,Llistes!$L$2,IF(W35=Llistes!$K$3,Llistes!$L$3,IF(W35=Llistes!$K$4,Llistes!$L$4,IF(W35=Llistes!$K$5,Llistes!$L$5,IF(W35=Llistes!$K$6,Llistes!$L$6,IF(W35=Llistes!$K$7,Llistes!$L$7,""))))))</f>
        <v>Gerard Carrion</v>
      </c>
      <c r="Y35" s="165"/>
      <c r="Z35" s="165"/>
      <c r="AA35" s="165" t="s">
        <v>994</v>
      </c>
      <c r="AB35" s="165" t="s">
        <v>994</v>
      </c>
      <c r="AC35" s="147"/>
    </row>
    <row r="36" spans="1:29" ht="101.5">
      <c r="A36" s="13" t="s">
        <v>265</v>
      </c>
      <c r="B36" s="430"/>
      <c r="C36" s="428"/>
      <c r="D36" s="287"/>
      <c r="E36" s="271"/>
      <c r="F36" s="186" t="s">
        <v>346</v>
      </c>
      <c r="G36" s="56" t="str">
        <f>L36</f>
        <v>Gestionar i planificar els recursos hídrics de l'ENP</v>
      </c>
      <c r="H36" s="215" t="s">
        <v>1228</v>
      </c>
      <c r="I36" s="31" t="s">
        <v>1044</v>
      </c>
      <c r="J36" s="163">
        <v>5</v>
      </c>
      <c r="K36" s="163">
        <v>10</v>
      </c>
      <c r="L36" s="187" t="s">
        <v>347</v>
      </c>
      <c r="M36" s="188" t="s">
        <v>271</v>
      </c>
      <c r="N36" s="188" t="s">
        <v>285</v>
      </c>
      <c r="O36" s="56" t="s">
        <v>348</v>
      </c>
      <c r="P36" s="31"/>
      <c r="Q36" s="103" t="s">
        <v>273</v>
      </c>
      <c r="R36" s="31"/>
      <c r="S36" s="55"/>
      <c r="T36" s="54"/>
      <c r="U36" s="163">
        <v>1.02</v>
      </c>
      <c r="V36" s="163">
        <f>PLA!U39*Llistes!$L$11*Llistes!$L$12</f>
        <v>136</v>
      </c>
      <c r="W36" s="60" t="s">
        <v>349</v>
      </c>
      <c r="X36" s="60" t="str">
        <f>IF(W36=Llistes!$K$2,Llistes!$L$2,IF(W36=Llistes!$K$3,Llistes!$L$3,IF(W36=Llistes!$K$4,Llistes!$L$4,IF(W36=Llistes!$K$5,Llistes!$L$5,IF(W36=Llistes!$K$6,Llistes!$L$6,IF(W36=Llistes!$K$7,Llistes!$L$7,""))))))</f>
        <v>Sergi Roura</v>
      </c>
      <c r="Y36" s="165" t="s">
        <v>994</v>
      </c>
      <c r="Z36" s="165" t="s">
        <v>994</v>
      </c>
      <c r="AA36" s="165" t="s">
        <v>994</v>
      </c>
      <c r="AB36" s="165" t="s">
        <v>994</v>
      </c>
      <c r="AC36" s="147"/>
    </row>
    <row r="37" spans="1:29" ht="101.5">
      <c r="A37" s="13" t="s">
        <v>265</v>
      </c>
      <c r="B37" s="430"/>
      <c r="C37" s="428"/>
      <c r="D37" s="287"/>
      <c r="E37" s="271"/>
      <c r="F37" s="186" t="s">
        <v>346</v>
      </c>
      <c r="G37" s="56" t="str">
        <f>L37</f>
        <v>Gestionar i planificar els recursos hídrics de l'ENP</v>
      </c>
      <c r="H37" s="215" t="s">
        <v>1068</v>
      </c>
      <c r="I37" s="31" t="s">
        <v>1069</v>
      </c>
      <c r="J37" s="163"/>
      <c r="K37" s="163"/>
      <c r="L37" s="187" t="s">
        <v>347</v>
      </c>
      <c r="M37" s="188" t="s">
        <v>271</v>
      </c>
      <c r="N37" s="188" t="s">
        <v>285</v>
      </c>
      <c r="O37" s="56" t="s">
        <v>348</v>
      </c>
      <c r="P37" s="31"/>
      <c r="Q37" s="103" t="s">
        <v>273</v>
      </c>
      <c r="R37" s="31"/>
      <c r="S37" s="55"/>
      <c r="T37" s="54"/>
      <c r="U37" s="163">
        <v>1.02</v>
      </c>
      <c r="V37" s="163">
        <f>PLA!U40*Llistes!$L$11*Llistes!$L$12</f>
        <v>136</v>
      </c>
      <c r="W37" s="60" t="s">
        <v>349</v>
      </c>
      <c r="X37" s="60" t="str">
        <f>IF(W37=Llistes!$K$2,Llistes!$L$2,IF(W37=Llistes!$K$3,Llistes!$L$3,IF(W37=Llistes!$K$4,Llistes!$L$4,IF(W37=Llistes!$K$5,Llistes!$L$5,IF(W37=Llistes!$K$6,Llistes!$L$6,IF(W37=Llistes!$K$7,Llistes!$L$7,""))))))</f>
        <v>Sergi Roura</v>
      </c>
      <c r="Y37" s="165"/>
      <c r="Z37" s="165"/>
      <c r="AA37" s="165"/>
      <c r="AB37" s="165"/>
      <c r="AC37" s="147"/>
    </row>
    <row r="38" spans="1:29" ht="101.5">
      <c r="A38" s="13" t="s">
        <v>265</v>
      </c>
      <c r="B38" s="430"/>
      <c r="C38" s="428"/>
      <c r="D38" s="287"/>
      <c r="E38" s="271"/>
      <c r="F38" s="186" t="s">
        <v>346</v>
      </c>
      <c r="G38" s="56" t="str">
        <f>L38</f>
        <v>Gestionar i planificar els recursos hídrics de l'ENP</v>
      </c>
      <c r="H38" s="215" t="s">
        <v>1602</v>
      </c>
      <c r="I38" s="31" t="s">
        <v>1045</v>
      </c>
      <c r="J38" s="163"/>
      <c r="K38" s="163" t="s">
        <v>1043</v>
      </c>
      <c r="L38" s="187" t="s">
        <v>347</v>
      </c>
      <c r="M38" s="188" t="s">
        <v>271</v>
      </c>
      <c r="N38" s="188" t="s">
        <v>285</v>
      </c>
      <c r="O38" s="56" t="s">
        <v>348</v>
      </c>
      <c r="P38" s="31"/>
      <c r="Q38" s="103" t="s">
        <v>273</v>
      </c>
      <c r="R38" s="31"/>
      <c r="S38" s="55"/>
      <c r="T38" s="54"/>
      <c r="U38" s="163">
        <v>1.02</v>
      </c>
      <c r="V38" s="163">
        <f>PLA!U41*Llistes!$L$11*Llistes!$L$12</f>
        <v>136</v>
      </c>
      <c r="W38" s="60" t="s">
        <v>349</v>
      </c>
      <c r="X38" s="60" t="str">
        <f>IF(W38=Llistes!$K$2,Llistes!$L$2,IF(W38=Llistes!$K$3,Llistes!$L$3,IF(W38=Llistes!$K$4,Llistes!$L$4,IF(W38=Llistes!$K$5,Llistes!$L$5,IF(W38=Llistes!$K$6,Llistes!$L$6,IF(W38=Llistes!$K$7,Llistes!$L$7,""))))))</f>
        <v>Sergi Roura</v>
      </c>
      <c r="Y38" s="165" t="s">
        <v>994</v>
      </c>
      <c r="Z38" s="165" t="s">
        <v>994</v>
      </c>
      <c r="AA38" s="165" t="s">
        <v>994</v>
      </c>
      <c r="AB38" s="165" t="s">
        <v>994</v>
      </c>
      <c r="AC38" s="147"/>
    </row>
    <row r="39" spans="1:29" ht="48" customHeight="1">
      <c r="A39" s="13" t="s">
        <v>265</v>
      </c>
      <c r="B39" s="430"/>
      <c r="C39" s="428"/>
      <c r="D39" s="287"/>
      <c r="E39" s="271"/>
      <c r="F39" s="186" t="s">
        <v>350</v>
      </c>
      <c r="G39" s="56"/>
      <c r="H39" s="215"/>
      <c r="I39" s="31"/>
      <c r="J39" s="163"/>
      <c r="K39" s="163"/>
      <c r="L39" s="187" t="s">
        <v>1535</v>
      </c>
      <c r="M39" s="188" t="s">
        <v>303</v>
      </c>
      <c r="N39" s="188" t="s">
        <v>304</v>
      </c>
      <c r="O39" s="56"/>
      <c r="P39" s="31"/>
      <c r="Q39" s="103"/>
      <c r="R39" s="31"/>
      <c r="S39" s="55"/>
      <c r="T39" s="54"/>
      <c r="U39" s="163"/>
      <c r="V39" s="163"/>
      <c r="W39" s="60"/>
      <c r="X39" s="60"/>
      <c r="Y39" s="165"/>
      <c r="Z39" s="165"/>
      <c r="AA39" s="165"/>
      <c r="AB39" s="165"/>
      <c r="AC39" s="147"/>
    </row>
    <row r="40" spans="1:29" ht="43.5">
      <c r="A40" s="13" t="s">
        <v>265</v>
      </c>
      <c r="B40" s="430"/>
      <c r="C40" s="428"/>
      <c r="D40" s="288"/>
      <c r="E40" s="272"/>
      <c r="F40" s="186" t="s">
        <v>351</v>
      </c>
      <c r="G40" s="56"/>
      <c r="H40" s="215"/>
      <c r="I40" s="31"/>
      <c r="J40" s="163"/>
      <c r="K40" s="163"/>
      <c r="L40" s="187" t="s">
        <v>1536</v>
      </c>
      <c r="M40" s="188" t="s">
        <v>303</v>
      </c>
      <c r="N40" s="188" t="s">
        <v>279</v>
      </c>
      <c r="O40" s="56"/>
      <c r="P40" s="31"/>
      <c r="Q40" s="103"/>
      <c r="R40" s="31"/>
      <c r="S40" s="55"/>
      <c r="T40" s="54"/>
      <c r="U40" s="163"/>
      <c r="V40" s="163"/>
      <c r="W40" s="60"/>
      <c r="X40" s="60"/>
      <c r="Y40" s="165"/>
      <c r="Z40" s="165"/>
      <c r="AA40" s="165"/>
      <c r="AB40" s="165"/>
      <c r="AC40" s="147"/>
    </row>
    <row r="41" spans="1:29" ht="58">
      <c r="A41" s="13" t="s">
        <v>265</v>
      </c>
      <c r="B41" s="430"/>
      <c r="C41" s="428"/>
      <c r="D41" s="286" t="s">
        <v>352</v>
      </c>
      <c r="E41" s="338" t="s">
        <v>353</v>
      </c>
      <c r="F41" s="186" t="s">
        <v>354</v>
      </c>
      <c r="G41" s="56" t="s">
        <v>356</v>
      </c>
      <c r="H41" s="216" t="s">
        <v>1229</v>
      </c>
      <c r="I41" s="31" t="s">
        <v>1046</v>
      </c>
      <c r="J41" s="163">
        <v>2</v>
      </c>
      <c r="K41" s="163">
        <v>4</v>
      </c>
      <c r="L41" s="187" t="s">
        <v>355</v>
      </c>
      <c r="M41" s="188" t="s">
        <v>271</v>
      </c>
      <c r="N41" s="188" t="s">
        <v>285</v>
      </c>
      <c r="O41" s="56" t="s">
        <v>357</v>
      </c>
      <c r="P41" s="31"/>
      <c r="Q41" s="57" t="s">
        <v>286</v>
      </c>
      <c r="R41" s="31" t="s">
        <v>358</v>
      </c>
      <c r="S41" s="58"/>
      <c r="T41" s="59"/>
      <c r="U41" s="163">
        <v>4.4999999999999998E-2</v>
      </c>
      <c r="V41" s="163">
        <f>PLA!U44*Llistes!$L$11*Llistes!$L$12</f>
        <v>6</v>
      </c>
      <c r="W41" s="60" t="s">
        <v>291</v>
      </c>
      <c r="X41" s="60" t="str">
        <f>IF(W41=Llistes!$K$2,Llistes!$L$2,IF(W41=Llistes!$K$3,Llistes!$L$3,IF(W41=Llistes!$K$4,Llistes!$L$4,IF(W41=Llistes!$K$5,Llistes!$L$5,IF(W41=Llistes!$K$6,Llistes!$L$6,IF(W41=Llistes!$K$7,Llistes!$L$7,""))))))</f>
        <v>Gerard Carrion</v>
      </c>
      <c r="Y41" s="165" t="s">
        <v>994</v>
      </c>
      <c r="Z41" s="165" t="s">
        <v>994</v>
      </c>
      <c r="AA41" s="165" t="s">
        <v>994</v>
      </c>
      <c r="AB41" s="165" t="s">
        <v>994</v>
      </c>
      <c r="AC41" s="147"/>
    </row>
    <row r="42" spans="1:29" ht="69.650000000000006" customHeight="1">
      <c r="A42" s="13" t="s">
        <v>265</v>
      </c>
      <c r="B42" s="430"/>
      <c r="C42" s="428"/>
      <c r="D42" s="340"/>
      <c r="E42" s="339"/>
      <c r="F42" s="186" t="s">
        <v>354</v>
      </c>
      <c r="G42" s="56" t="s">
        <v>356</v>
      </c>
      <c r="H42" s="216" t="s">
        <v>1230</v>
      </c>
      <c r="I42" s="31" t="s">
        <v>1047</v>
      </c>
      <c r="J42" s="163">
        <v>1</v>
      </c>
      <c r="K42" s="163">
        <v>2</v>
      </c>
      <c r="L42" s="187" t="s">
        <v>355</v>
      </c>
      <c r="M42" s="188" t="s">
        <v>271</v>
      </c>
      <c r="N42" s="188" t="s">
        <v>285</v>
      </c>
      <c r="O42" s="56" t="s">
        <v>357</v>
      </c>
      <c r="P42" s="31"/>
      <c r="Q42" s="57" t="s">
        <v>286</v>
      </c>
      <c r="R42" s="31" t="s">
        <v>358</v>
      </c>
      <c r="S42" s="58" t="s">
        <v>288</v>
      </c>
      <c r="T42" s="59" t="s">
        <v>359</v>
      </c>
      <c r="U42" s="163">
        <v>4.4999999999999998E-2</v>
      </c>
      <c r="V42" s="163">
        <f>PLA!U45*Llistes!$L$11*Llistes!$L$12</f>
        <v>6</v>
      </c>
      <c r="W42" s="60" t="s">
        <v>291</v>
      </c>
      <c r="X42" s="60" t="str">
        <f>IF(W42=Llistes!$K$2,Llistes!$L$2,IF(W42=Llistes!$K$3,Llistes!$L$3,IF(W42=Llistes!$K$4,Llistes!$L$4,IF(W42=Llistes!$K$5,Llistes!$L$5,IF(W42=Llistes!$K$6,Llistes!$L$6,IF(W42=Llistes!$K$7,Llistes!$L$7,""))))))</f>
        <v>Gerard Carrion</v>
      </c>
      <c r="Y42" s="165" t="s">
        <v>994</v>
      </c>
      <c r="Z42" s="165" t="s">
        <v>994</v>
      </c>
      <c r="AA42" s="165" t="s">
        <v>994</v>
      </c>
      <c r="AB42" s="165" t="s">
        <v>994</v>
      </c>
      <c r="AC42" s="147"/>
    </row>
    <row r="43" spans="1:29" ht="58">
      <c r="A43" s="13" t="s">
        <v>265</v>
      </c>
      <c r="B43" s="430"/>
      <c r="C43" s="428"/>
      <c r="D43" s="340"/>
      <c r="E43" s="339"/>
      <c r="F43" s="186" t="s">
        <v>360</v>
      </c>
      <c r="G43" s="56" t="s">
        <v>1416</v>
      </c>
      <c r="H43" s="216" t="s">
        <v>365</v>
      </c>
      <c r="I43" s="31" t="s">
        <v>1004</v>
      </c>
      <c r="J43" s="163"/>
      <c r="K43" s="163">
        <v>1</v>
      </c>
      <c r="L43" s="187" t="s">
        <v>361</v>
      </c>
      <c r="M43" s="188" t="s">
        <v>303</v>
      </c>
      <c r="N43" s="188" t="s">
        <v>285</v>
      </c>
      <c r="O43" s="56" t="s">
        <v>362</v>
      </c>
      <c r="P43" s="31"/>
      <c r="Q43" s="57" t="s">
        <v>286</v>
      </c>
      <c r="R43" s="31" t="s">
        <v>363</v>
      </c>
      <c r="S43" s="58"/>
      <c r="T43" s="59" t="s">
        <v>364</v>
      </c>
      <c r="U43" s="163">
        <v>4.4999999999999998E-2</v>
      </c>
      <c r="V43" s="163">
        <f>PLA!U46*Llistes!$L$11*Llistes!$L$12</f>
        <v>6</v>
      </c>
      <c r="W43" s="60" t="s">
        <v>291</v>
      </c>
      <c r="X43" s="60" t="str">
        <f>IF(W43=Llistes!$K$2,Llistes!$L$2,IF(W43=Llistes!$K$3,Llistes!$L$3,IF(W43=Llistes!$K$4,Llistes!$L$4,IF(W43=Llistes!$K$5,Llistes!$L$5,IF(W43=Llistes!$K$6,Llistes!$L$6,IF(W43=Llistes!$K$7,Llistes!$L$7,""))))))</f>
        <v>Gerard Carrion</v>
      </c>
      <c r="Y43" s="165" t="s">
        <v>994</v>
      </c>
      <c r="Z43" s="165" t="s">
        <v>994</v>
      </c>
      <c r="AA43" s="165" t="s">
        <v>994</v>
      </c>
      <c r="AB43" s="165" t="s">
        <v>994</v>
      </c>
      <c r="AC43" s="147"/>
    </row>
    <row r="44" spans="1:29" ht="43.5">
      <c r="A44" s="13" t="s">
        <v>265</v>
      </c>
      <c r="B44" s="431"/>
      <c r="C44" s="429"/>
      <c r="D44" s="340"/>
      <c r="E44" s="339"/>
      <c r="F44" s="186" t="s">
        <v>366</v>
      </c>
      <c r="G44" s="56" t="s">
        <v>1623</v>
      </c>
      <c r="H44" s="216" t="s">
        <v>1231</v>
      </c>
      <c r="I44" s="31" t="s">
        <v>1010</v>
      </c>
      <c r="J44" s="163" t="s">
        <v>1011</v>
      </c>
      <c r="K44" s="163" t="s">
        <v>1012</v>
      </c>
      <c r="L44" s="187" t="s">
        <v>367</v>
      </c>
      <c r="M44" s="188" t="s">
        <v>271</v>
      </c>
      <c r="N44" s="188" t="s">
        <v>272</v>
      </c>
      <c r="O44" s="56" t="s">
        <v>1624</v>
      </c>
      <c r="P44" s="31"/>
      <c r="Q44" s="57" t="s">
        <v>305</v>
      </c>
      <c r="R44" s="31"/>
      <c r="S44" s="58"/>
      <c r="T44" s="59"/>
      <c r="U44" s="163">
        <v>4.4999999999999998E-2</v>
      </c>
      <c r="V44" s="163">
        <f>PLA!U47*Llistes!$L$11*Llistes!$L$12</f>
        <v>6</v>
      </c>
      <c r="W44" s="60" t="s">
        <v>291</v>
      </c>
      <c r="X44" s="60" t="str">
        <f>IF(W44=Llistes!$K$2,Llistes!$L$2,IF(W44=Llistes!$K$3,Llistes!$L$3,IF(W44=Llistes!$K$4,Llistes!$L$4,IF(W44=Llistes!$K$5,Llistes!$L$5,IF(W44=Llistes!$K$6,Llistes!$L$6,IF(W44=Llistes!$K$7,Llistes!$L$7,""))))))</f>
        <v>Gerard Carrion</v>
      </c>
      <c r="Y44" s="165" t="s">
        <v>994</v>
      </c>
      <c r="Z44" s="165" t="s">
        <v>994</v>
      </c>
      <c r="AA44" s="165" t="s">
        <v>994</v>
      </c>
      <c r="AB44" s="165" t="s">
        <v>994</v>
      </c>
      <c r="AC44" s="147"/>
    </row>
    <row r="45" spans="1:29" ht="43.5">
      <c r="A45" s="13" t="s">
        <v>265</v>
      </c>
      <c r="B45" s="353">
        <v>3</v>
      </c>
      <c r="C45" s="426" t="s">
        <v>368</v>
      </c>
      <c r="D45" s="343" t="s">
        <v>369</v>
      </c>
      <c r="E45" s="342" t="s">
        <v>370</v>
      </c>
      <c r="F45" s="186" t="s">
        <v>371</v>
      </c>
      <c r="G45" s="56" t="s">
        <v>373</v>
      </c>
      <c r="H45" s="216" t="s">
        <v>375</v>
      </c>
      <c r="I45" s="31" t="s">
        <v>1005</v>
      </c>
      <c r="J45" s="163" t="s">
        <v>1048</v>
      </c>
      <c r="K45" s="163" t="s">
        <v>1049</v>
      </c>
      <c r="L45" s="187" t="s">
        <v>372</v>
      </c>
      <c r="M45" s="188" t="s">
        <v>271</v>
      </c>
      <c r="N45" s="188" t="s">
        <v>285</v>
      </c>
      <c r="O45" s="56" t="s">
        <v>374</v>
      </c>
      <c r="P45" s="60"/>
      <c r="Q45" s="57" t="s">
        <v>305</v>
      </c>
      <c r="R45" s="31"/>
      <c r="S45" s="58"/>
      <c r="T45" s="59"/>
      <c r="U45" s="163">
        <v>4.4999999999999998E-2</v>
      </c>
      <c r="V45" s="163">
        <f>PLA!U48*Llistes!$L$11*Llistes!$L$12</f>
        <v>6</v>
      </c>
      <c r="W45" s="60" t="s">
        <v>291</v>
      </c>
      <c r="X45" s="60" t="str">
        <f>IF(W45=Llistes!$K$2,Llistes!$L$2,IF(W45=Llistes!$K$3,Llistes!$L$3,IF(W45=Llistes!$K$4,Llistes!$L$4,IF(W45=Llistes!$K$5,Llistes!$L$5,IF(W45=Llistes!$K$6,Llistes!$L$6,IF(W45=Llistes!$K$7,Llistes!$L$7,""))))))</f>
        <v>Gerard Carrion</v>
      </c>
      <c r="Y45" s="165" t="s">
        <v>994</v>
      </c>
      <c r="Z45" s="165" t="s">
        <v>994</v>
      </c>
      <c r="AA45" s="165" t="s">
        <v>994</v>
      </c>
      <c r="AB45" s="165" t="s">
        <v>994</v>
      </c>
      <c r="AC45" s="147"/>
    </row>
    <row r="46" spans="1:29" ht="58">
      <c r="A46" s="13" t="s">
        <v>265</v>
      </c>
      <c r="B46" s="432"/>
      <c r="C46" s="427"/>
      <c r="D46" s="343"/>
      <c r="E46" s="342"/>
      <c r="F46" s="186" t="s">
        <v>376</v>
      </c>
      <c r="G46" s="56" t="s">
        <v>378</v>
      </c>
      <c r="H46" s="216" t="s">
        <v>380</v>
      </c>
      <c r="I46" s="31" t="s">
        <v>1050</v>
      </c>
      <c r="J46" s="163">
        <v>1</v>
      </c>
      <c r="K46" s="163">
        <v>4</v>
      </c>
      <c r="L46" s="187" t="s">
        <v>377</v>
      </c>
      <c r="M46" s="188" t="s">
        <v>271</v>
      </c>
      <c r="N46" s="188" t="s">
        <v>285</v>
      </c>
      <c r="O46" s="56" t="s">
        <v>379</v>
      </c>
      <c r="P46" s="31"/>
      <c r="Q46" s="57" t="s">
        <v>305</v>
      </c>
      <c r="R46" s="31"/>
      <c r="S46" s="58"/>
      <c r="T46" s="59"/>
      <c r="U46" s="163">
        <v>0.51</v>
      </c>
      <c r="V46" s="163">
        <f>PLA!U49*Llistes!$L$11*Llistes!$L$12</f>
        <v>68</v>
      </c>
      <c r="W46" s="60" t="s">
        <v>291</v>
      </c>
      <c r="X46" s="60" t="str">
        <f>IF(W46=Llistes!$K$2,Llistes!$L$2,IF(W46=Llistes!$K$3,Llistes!$L$3,IF(W46=Llistes!$K$4,Llistes!$L$4,IF(W46=Llistes!$K$5,Llistes!$L$5,IF(W46=Llistes!$K$6,Llistes!$L$6,IF(W46=Llistes!$K$7,Llistes!$L$7,""))))))</f>
        <v>Gerard Carrion</v>
      </c>
      <c r="Y46" s="165" t="s">
        <v>994</v>
      </c>
      <c r="Z46" s="165" t="s">
        <v>994</v>
      </c>
      <c r="AA46" s="165" t="s">
        <v>994</v>
      </c>
      <c r="AB46" s="165" t="s">
        <v>994</v>
      </c>
      <c r="AC46" s="147"/>
    </row>
    <row r="47" spans="1:29" ht="72.5">
      <c r="A47" s="13" t="s">
        <v>265</v>
      </c>
      <c r="B47" s="432"/>
      <c r="C47" s="427"/>
      <c r="D47" s="343"/>
      <c r="E47" s="342"/>
      <c r="F47" s="186" t="s">
        <v>381</v>
      </c>
      <c r="G47" s="56" t="str">
        <f t="shared" ref="G47:G52" si="2">L47</f>
        <v>Participar en la compensació d'impactes residuals durant els processos d'avaluació ambiental mitjançant la identificació de necessitats d'actuació prioritària dins i fora dels límits de l’ENP</v>
      </c>
      <c r="H47" s="216" t="s">
        <v>384</v>
      </c>
      <c r="I47" s="31" t="s">
        <v>1051</v>
      </c>
      <c r="J47" s="163"/>
      <c r="K47" s="163" t="s">
        <v>1043</v>
      </c>
      <c r="L47" s="187" t="s">
        <v>382</v>
      </c>
      <c r="M47" s="188" t="s">
        <v>271</v>
      </c>
      <c r="N47" s="188" t="s">
        <v>285</v>
      </c>
      <c r="O47" s="56"/>
      <c r="P47" s="31"/>
      <c r="Q47" s="57" t="s">
        <v>305</v>
      </c>
      <c r="R47" s="31" t="s">
        <v>383</v>
      </c>
      <c r="S47" s="58"/>
      <c r="T47" s="59"/>
      <c r="U47" s="163">
        <v>4.4999999999999998E-2</v>
      </c>
      <c r="V47" s="163">
        <f>PLA!U50*Llistes!$L$11*Llistes!$L$12</f>
        <v>6</v>
      </c>
      <c r="W47" s="60" t="s">
        <v>291</v>
      </c>
      <c r="X47" s="60" t="str">
        <f>IF(W47=Llistes!$K$2,Llistes!$L$2,IF(W47=Llistes!$K$3,Llistes!$L$3,IF(W47=Llistes!$K$4,Llistes!$L$4,IF(W47=Llistes!$K$5,Llistes!$L$5,IF(W47=Llistes!$K$6,Llistes!$L$6,IF(W47=Llistes!$K$7,Llistes!$L$7,""))))))</f>
        <v>Gerard Carrion</v>
      </c>
      <c r="Y47" s="165"/>
      <c r="Z47" s="165"/>
      <c r="AA47" s="165"/>
      <c r="AB47" s="165" t="s">
        <v>994</v>
      </c>
      <c r="AC47" s="147"/>
    </row>
    <row r="48" spans="1:29" ht="99" customHeight="1">
      <c r="A48" s="13" t="s">
        <v>265</v>
      </c>
      <c r="B48" s="432"/>
      <c r="C48" s="427"/>
      <c r="D48" s="286" t="s">
        <v>385</v>
      </c>
      <c r="E48" s="270" t="s">
        <v>386</v>
      </c>
      <c r="F48" s="186" t="s">
        <v>387</v>
      </c>
      <c r="G48" s="56" t="str">
        <f t="shared" si="2"/>
        <v>Participar en l'elaboració dels instruments de planificació de l'ENP</v>
      </c>
      <c r="H48" s="216" t="s">
        <v>1232</v>
      </c>
      <c r="I48" s="31" t="s">
        <v>1052</v>
      </c>
      <c r="J48" s="163"/>
      <c r="K48" s="163" t="s">
        <v>1043</v>
      </c>
      <c r="L48" s="187" t="s">
        <v>388</v>
      </c>
      <c r="M48" s="188" t="s">
        <v>271</v>
      </c>
      <c r="N48" s="186" t="s">
        <v>285</v>
      </c>
      <c r="O48" s="56" t="s">
        <v>389</v>
      </c>
      <c r="P48" s="31"/>
      <c r="Q48" s="57" t="s">
        <v>273</v>
      </c>
      <c r="R48" s="31" t="s">
        <v>390</v>
      </c>
      <c r="S48" s="58"/>
      <c r="T48" s="59" t="s">
        <v>391</v>
      </c>
      <c r="U48" s="163">
        <v>0.45</v>
      </c>
      <c r="V48" s="163">
        <f>PLA!U51*Llistes!$L$11*Llistes!$L$12</f>
        <v>60.000000000000007</v>
      </c>
      <c r="W48" s="60" t="s">
        <v>291</v>
      </c>
      <c r="X48" s="60" t="str">
        <f>IF(W48=Llistes!$K$2,Llistes!$L$2,IF(W48=Llistes!$K$3,Llistes!$L$3,IF(W48=Llistes!$K$4,Llistes!$L$4,IF(W48=Llistes!$K$5,Llistes!$L$5,IF(W48=Llistes!$K$6,Llistes!$L$6,IF(W48=Llistes!$K$7,Llistes!$L$7,""))))))</f>
        <v>Gerard Carrion</v>
      </c>
      <c r="Y48" s="165" t="s">
        <v>994</v>
      </c>
      <c r="Z48" s="165" t="s">
        <v>994</v>
      </c>
      <c r="AA48" s="165" t="s">
        <v>994</v>
      </c>
      <c r="AB48" s="165" t="s">
        <v>994</v>
      </c>
      <c r="AC48" s="147"/>
    </row>
    <row r="49" spans="1:29" ht="29">
      <c r="A49" s="13" t="s">
        <v>265</v>
      </c>
      <c r="B49" s="432"/>
      <c r="C49" s="427"/>
      <c r="D49" s="287"/>
      <c r="E49" s="271"/>
      <c r="F49" s="186" t="s">
        <v>387</v>
      </c>
      <c r="G49" s="56" t="str">
        <f t="shared" si="2"/>
        <v>Participar en l'elaboració dels instruments de planificació de l'ENP</v>
      </c>
      <c r="H49" s="216" t="s">
        <v>1429</v>
      </c>
      <c r="I49" s="31" t="s">
        <v>1430</v>
      </c>
      <c r="J49" s="163"/>
      <c r="K49" s="163" t="s">
        <v>1043</v>
      </c>
      <c r="L49" s="187" t="s">
        <v>388</v>
      </c>
      <c r="M49" s="188" t="s">
        <v>271</v>
      </c>
      <c r="N49" s="186" t="s">
        <v>285</v>
      </c>
      <c r="O49" s="56"/>
      <c r="P49" s="31"/>
      <c r="Q49" s="57" t="s">
        <v>286</v>
      </c>
      <c r="R49" s="31"/>
      <c r="S49" s="58"/>
      <c r="T49" s="59"/>
      <c r="U49" s="163">
        <v>0.3</v>
      </c>
      <c r="V49" s="163">
        <f>PLA!U52*Llistes!$L$11*Llistes!$L$12</f>
        <v>40</v>
      </c>
      <c r="W49" s="60" t="s">
        <v>1082</v>
      </c>
      <c r="X49" s="60" t="str">
        <f>IF(W49=Llistes!$K$2,Llistes!$L$2,IF(W49=Llistes!$K$3,Llistes!$L$3,IF(W49=Llistes!$K$4,Llistes!$L$4,IF(W49=Llistes!$K$5,Llistes!$L$5,IF(W49=Llistes!$K$6,Llistes!$L$6,IF(W49=Llistes!$K$7,Llistes!$L$7,""))))))</f>
        <v>Montse Pascual</v>
      </c>
      <c r="Y49" s="165" t="s">
        <v>994</v>
      </c>
      <c r="Z49" s="165" t="s">
        <v>994</v>
      </c>
      <c r="AA49" s="165" t="s">
        <v>994</v>
      </c>
      <c r="AB49" s="165" t="s">
        <v>994</v>
      </c>
      <c r="AC49" s="147"/>
    </row>
    <row r="50" spans="1:29" ht="29">
      <c r="A50" s="13" t="s">
        <v>265</v>
      </c>
      <c r="B50" s="432"/>
      <c r="C50" s="427"/>
      <c r="D50" s="287"/>
      <c r="E50" s="271"/>
      <c r="F50" s="186" t="s">
        <v>387</v>
      </c>
      <c r="G50" s="56" t="str">
        <f t="shared" si="2"/>
        <v>Participar en l'elaboració dels instruments de planificació de l'ENP</v>
      </c>
      <c r="H50" s="216" t="s">
        <v>1431</v>
      </c>
      <c r="I50" s="31" t="s">
        <v>1432</v>
      </c>
      <c r="J50" s="163"/>
      <c r="K50" s="163" t="s">
        <v>1043</v>
      </c>
      <c r="L50" s="187" t="s">
        <v>388</v>
      </c>
      <c r="M50" s="188" t="s">
        <v>271</v>
      </c>
      <c r="N50" s="186" t="s">
        <v>285</v>
      </c>
      <c r="O50" s="56"/>
      <c r="P50" s="31"/>
      <c r="Q50" s="57" t="s">
        <v>286</v>
      </c>
      <c r="R50" s="31"/>
      <c r="S50" s="58"/>
      <c r="T50" s="59"/>
      <c r="U50" s="163">
        <v>0.15</v>
      </c>
      <c r="V50" s="163">
        <f>PLA!U53*Llistes!$L$11*Llistes!$L$12</f>
        <v>20</v>
      </c>
      <c r="W50" s="60" t="s">
        <v>1082</v>
      </c>
      <c r="X50" s="60" t="str">
        <f>IF(W50=Llistes!$K$2,Llistes!$L$2,IF(W50=Llistes!$K$3,Llistes!$L$3,IF(W50=Llistes!$K$4,Llistes!$L$4,IF(W50=Llistes!$K$5,Llistes!$L$5,IF(W50=Llistes!$K$6,Llistes!$L$6,IF(W50=Llistes!$K$7,Llistes!$L$7,""))))))</f>
        <v>Montse Pascual</v>
      </c>
      <c r="Y50" s="165" t="s">
        <v>994</v>
      </c>
      <c r="Z50" s="165" t="s">
        <v>994</v>
      </c>
      <c r="AA50" s="165" t="s">
        <v>994</v>
      </c>
      <c r="AB50" s="165" t="s">
        <v>994</v>
      </c>
      <c r="AC50" s="147"/>
    </row>
    <row r="51" spans="1:29" ht="29">
      <c r="A51" s="13" t="s">
        <v>265</v>
      </c>
      <c r="B51" s="432"/>
      <c r="C51" s="427"/>
      <c r="D51" s="288"/>
      <c r="E51" s="272"/>
      <c r="F51" s="186" t="s">
        <v>387</v>
      </c>
      <c r="G51" s="56" t="str">
        <f t="shared" si="2"/>
        <v>Participar en l'elaboració dels instruments de planificació de l'ENP</v>
      </c>
      <c r="H51" s="216" t="s">
        <v>1064</v>
      </c>
      <c r="I51" s="31" t="s">
        <v>1065</v>
      </c>
      <c r="J51" s="163"/>
      <c r="K51" s="163" t="s">
        <v>1043</v>
      </c>
      <c r="L51" s="187" t="s">
        <v>388</v>
      </c>
      <c r="M51" s="188" t="s">
        <v>271</v>
      </c>
      <c r="N51" s="186" t="s">
        <v>285</v>
      </c>
      <c r="O51" s="56"/>
      <c r="P51" s="31"/>
      <c r="Q51" s="57" t="s">
        <v>286</v>
      </c>
      <c r="R51" s="31"/>
      <c r="S51" s="58"/>
      <c r="T51" s="59"/>
      <c r="U51" s="163">
        <v>0.45</v>
      </c>
      <c r="V51" s="163">
        <f>PLA!U54*Llistes!$L$11*Llistes!$L$12</f>
        <v>60.000000000000007</v>
      </c>
      <c r="W51" s="60" t="s">
        <v>291</v>
      </c>
      <c r="X51" s="60" t="str">
        <f>IF(W51=Llistes!$K$2,Llistes!$L$2,IF(W51=Llistes!$K$3,Llistes!$L$3,IF(W51=Llistes!$K$4,Llistes!$L$4,IF(W51=Llistes!$K$5,Llistes!$L$5,IF(W51=Llistes!$K$6,Llistes!$L$6,IF(W51=Llistes!$K$7,Llistes!$L$7,""))))))</f>
        <v>Gerard Carrion</v>
      </c>
      <c r="Y51" s="165" t="s">
        <v>994</v>
      </c>
      <c r="Z51" s="165" t="s">
        <v>994</v>
      </c>
      <c r="AA51" s="165" t="s">
        <v>994</v>
      </c>
      <c r="AB51" s="165" t="s">
        <v>994</v>
      </c>
      <c r="AC51" s="147"/>
    </row>
    <row r="52" spans="1:29" ht="87">
      <c r="A52" s="13" t="s">
        <v>265</v>
      </c>
      <c r="B52" s="432"/>
      <c r="C52" s="427"/>
      <c r="D52" s="286" t="s">
        <v>1457</v>
      </c>
      <c r="E52" s="270" t="s">
        <v>1456</v>
      </c>
      <c r="F52" s="186" t="s">
        <v>392</v>
      </c>
      <c r="G52" s="56" t="str">
        <f t="shared" si="2"/>
        <v>Avaluar i controlar les actuacions que produeixin drenatges, captacions o que puguin impedir l’arribada d’aigua tant superficial com freàtica</v>
      </c>
      <c r="H52" s="216" t="s">
        <v>1233</v>
      </c>
      <c r="I52" s="31" t="s">
        <v>1053</v>
      </c>
      <c r="J52" s="163"/>
      <c r="K52" s="163">
        <v>0</v>
      </c>
      <c r="L52" s="187" t="s">
        <v>395</v>
      </c>
      <c r="M52" s="188" t="s">
        <v>303</v>
      </c>
      <c r="N52" s="188" t="s">
        <v>285</v>
      </c>
      <c r="O52" s="56"/>
      <c r="P52" s="31"/>
      <c r="Q52" s="57" t="s">
        <v>286</v>
      </c>
      <c r="R52" s="31" t="s">
        <v>396</v>
      </c>
      <c r="S52" s="58"/>
      <c r="T52" s="59"/>
      <c r="U52" s="163">
        <v>1.4999999999999999E-2</v>
      </c>
      <c r="V52" s="163">
        <f>PLA!U55*Llistes!$L$11*Llistes!$L$12</f>
        <v>2</v>
      </c>
      <c r="W52" s="60" t="s">
        <v>291</v>
      </c>
      <c r="X52" s="60" t="str">
        <f>IF(W52=Llistes!$K$2,Llistes!$L$2,IF(W52=Llistes!$K$3,Llistes!$L$3,IF(W52=Llistes!$K$4,Llistes!$L$4,IF(W52=Llistes!$K$5,Llistes!$L$5,IF(W52=Llistes!$K$6,Llistes!$L$6,IF(W52=Llistes!$K$7,Llistes!$L$7,""))))))</f>
        <v>Gerard Carrion</v>
      </c>
      <c r="Y52" s="165" t="s">
        <v>994</v>
      </c>
      <c r="Z52" s="165" t="s">
        <v>994</v>
      </c>
      <c r="AA52" s="165" t="s">
        <v>994</v>
      </c>
      <c r="AB52" s="165" t="s">
        <v>994</v>
      </c>
      <c r="AC52" s="147"/>
    </row>
    <row r="53" spans="1:29" ht="43.5">
      <c r="A53" s="13" t="s">
        <v>265</v>
      </c>
      <c r="B53" s="432"/>
      <c r="C53" s="427"/>
      <c r="D53" s="287"/>
      <c r="E53" s="271"/>
      <c r="F53" s="186" t="s">
        <v>393</v>
      </c>
      <c r="G53" s="56"/>
      <c r="H53" s="216"/>
      <c r="I53" s="31"/>
      <c r="J53" s="163"/>
      <c r="K53" s="163"/>
      <c r="L53" s="187" t="s">
        <v>1525</v>
      </c>
      <c r="M53" s="188" t="s">
        <v>303</v>
      </c>
      <c r="N53" s="188" t="s">
        <v>304</v>
      </c>
      <c r="O53" s="56"/>
      <c r="P53" s="31"/>
      <c r="Q53" s="57"/>
      <c r="R53" s="31"/>
      <c r="S53" s="58"/>
      <c r="T53" s="59"/>
      <c r="U53" s="163"/>
      <c r="V53" s="163"/>
      <c r="W53" s="60"/>
      <c r="X53" s="60"/>
      <c r="Y53" s="165"/>
      <c r="Z53" s="165"/>
      <c r="AA53" s="165"/>
      <c r="AB53" s="165"/>
      <c r="AC53" s="147"/>
    </row>
    <row r="54" spans="1:29" ht="43.5">
      <c r="A54" s="13" t="s">
        <v>265</v>
      </c>
      <c r="B54" s="432"/>
      <c r="C54" s="427"/>
      <c r="D54" s="287"/>
      <c r="E54" s="271"/>
      <c r="F54" s="186" t="s">
        <v>394</v>
      </c>
      <c r="G54" s="56"/>
      <c r="H54" s="216"/>
      <c r="I54" s="31"/>
      <c r="J54" s="163"/>
      <c r="K54" s="163"/>
      <c r="L54" s="187" t="s">
        <v>395</v>
      </c>
      <c r="M54" s="188" t="s">
        <v>303</v>
      </c>
      <c r="N54" s="188" t="s">
        <v>304</v>
      </c>
      <c r="O54" s="56"/>
      <c r="P54" s="31"/>
      <c r="Q54" s="57"/>
      <c r="R54" s="31"/>
      <c r="S54" s="58"/>
      <c r="T54" s="59"/>
      <c r="U54" s="163"/>
      <c r="V54" s="163"/>
      <c r="W54" s="60"/>
      <c r="X54" s="60"/>
      <c r="Y54" s="165"/>
      <c r="Z54" s="165"/>
      <c r="AA54" s="165"/>
      <c r="AB54" s="165"/>
      <c r="AC54" s="147"/>
    </row>
    <row r="55" spans="1:29" ht="43.5">
      <c r="A55" s="13" t="s">
        <v>265</v>
      </c>
      <c r="B55" s="432"/>
      <c r="C55" s="427"/>
      <c r="D55" s="287"/>
      <c r="E55" s="271"/>
      <c r="F55" s="186" t="s">
        <v>397</v>
      </c>
      <c r="G55" s="56"/>
      <c r="H55" s="216"/>
      <c r="I55" s="31"/>
      <c r="J55" s="163"/>
      <c r="K55" s="163"/>
      <c r="L55" s="187" t="s">
        <v>1526</v>
      </c>
      <c r="M55" s="188" t="s">
        <v>303</v>
      </c>
      <c r="N55" s="188" t="s">
        <v>304</v>
      </c>
      <c r="O55" s="56"/>
      <c r="P55" s="31"/>
      <c r="Q55" s="57"/>
      <c r="R55" s="31"/>
      <c r="S55" s="58"/>
      <c r="T55" s="59"/>
      <c r="U55" s="163"/>
      <c r="V55" s="163"/>
      <c r="W55" s="60"/>
      <c r="X55" s="60"/>
      <c r="Y55" s="165"/>
      <c r="Z55" s="165"/>
      <c r="AA55" s="165"/>
      <c r="AB55" s="165"/>
      <c r="AC55" s="147"/>
    </row>
    <row r="56" spans="1:29" ht="43.5">
      <c r="A56" s="13" t="s">
        <v>265</v>
      </c>
      <c r="B56" s="432"/>
      <c r="C56" s="427"/>
      <c r="D56" s="288"/>
      <c r="E56" s="272"/>
      <c r="F56" s="186" t="s">
        <v>1527</v>
      </c>
      <c r="G56" s="56"/>
      <c r="H56" s="216"/>
      <c r="I56" s="31"/>
      <c r="J56" s="163"/>
      <c r="K56" s="163"/>
      <c r="L56" s="187" t="s">
        <v>1528</v>
      </c>
      <c r="M56" s="188" t="s">
        <v>271</v>
      </c>
      <c r="N56" s="188" t="s">
        <v>279</v>
      </c>
      <c r="O56" s="56"/>
      <c r="P56" s="31"/>
      <c r="Q56" s="57"/>
      <c r="R56" s="31"/>
      <c r="S56" s="58"/>
      <c r="T56" s="59"/>
      <c r="U56" s="163"/>
      <c r="V56" s="163"/>
      <c r="W56" s="60"/>
      <c r="X56" s="60"/>
      <c r="Y56" s="165"/>
      <c r="Z56" s="165"/>
      <c r="AA56" s="165"/>
      <c r="AB56" s="165"/>
      <c r="AC56" s="147"/>
    </row>
    <row r="57" spans="1:29" ht="43.5">
      <c r="A57" s="13" t="s">
        <v>265</v>
      </c>
      <c r="B57" s="432"/>
      <c r="C57" s="427"/>
      <c r="D57" s="286" t="s">
        <v>398</v>
      </c>
      <c r="E57" s="270" t="s">
        <v>399</v>
      </c>
      <c r="F57" s="186" t="s">
        <v>400</v>
      </c>
      <c r="G57" s="56" t="str">
        <f>L57</f>
        <v xml:space="preserve">Identificar espais prioritaris per a la compra de terrenys de més valor dins l'ENP </v>
      </c>
      <c r="H57" s="215" t="s">
        <v>1420</v>
      </c>
      <c r="I57" s="31" t="s">
        <v>1054</v>
      </c>
      <c r="J57" s="163">
        <v>1</v>
      </c>
      <c r="K57" s="163">
        <v>5</v>
      </c>
      <c r="L57" s="187" t="s">
        <v>401</v>
      </c>
      <c r="M57" s="188" t="s">
        <v>271</v>
      </c>
      <c r="N57" s="188" t="s">
        <v>285</v>
      </c>
      <c r="O57" s="56"/>
      <c r="P57" s="31"/>
      <c r="Q57" s="57" t="s">
        <v>286</v>
      </c>
      <c r="R57" s="31" t="s">
        <v>402</v>
      </c>
      <c r="S57" s="58"/>
      <c r="T57" s="59" t="s">
        <v>403</v>
      </c>
      <c r="U57" s="163">
        <v>4.4999999999999998E-2</v>
      </c>
      <c r="V57" s="163">
        <f>PLA!U60*Llistes!$L$11*Llistes!$L$12</f>
        <v>6</v>
      </c>
      <c r="W57" s="60" t="s">
        <v>291</v>
      </c>
      <c r="X57" s="60" t="str">
        <f>IF(W57=Llistes!$K$2,Llistes!$L$2,IF(W57=Llistes!$K$3,Llistes!$L$3,IF(W57=Llistes!$K$4,Llistes!$L$4,IF(W57=Llistes!$K$5,Llistes!$L$5,IF(W57=Llistes!$K$6,Llistes!$L$6,IF(W57=Llistes!$K$7,Llistes!$L$7,""))))))</f>
        <v>Gerard Carrion</v>
      </c>
      <c r="Y57" s="165" t="s">
        <v>994</v>
      </c>
      <c r="Z57" s="165" t="s">
        <v>994</v>
      </c>
      <c r="AA57" s="165" t="s">
        <v>994</v>
      </c>
      <c r="AB57" s="165" t="s">
        <v>994</v>
      </c>
      <c r="AC57" s="165"/>
    </row>
    <row r="58" spans="1:29">
      <c r="A58" s="184"/>
      <c r="B58" s="432"/>
      <c r="C58" s="427"/>
      <c r="D58" s="288"/>
      <c r="E58" s="272"/>
      <c r="F58" s="186" t="s">
        <v>404</v>
      </c>
      <c r="G58" s="56"/>
      <c r="H58" s="215"/>
      <c r="I58" s="31"/>
      <c r="J58" s="163"/>
      <c r="K58" s="163"/>
      <c r="L58" s="187" t="s">
        <v>1537</v>
      </c>
      <c r="M58" s="188" t="s">
        <v>271</v>
      </c>
      <c r="N58" s="188" t="s">
        <v>279</v>
      </c>
      <c r="O58" s="56"/>
      <c r="P58" s="31"/>
      <c r="Q58" s="57"/>
      <c r="R58" s="31"/>
      <c r="S58" s="58"/>
      <c r="T58" s="59"/>
      <c r="U58" s="163"/>
      <c r="V58" s="163"/>
      <c r="W58" s="60"/>
      <c r="X58" s="60"/>
      <c r="Y58" s="165"/>
      <c r="Z58" s="165"/>
      <c r="AA58" s="165"/>
      <c r="AB58" s="165"/>
      <c r="AC58" s="165"/>
    </row>
    <row r="59" spans="1:29" ht="87">
      <c r="A59" s="12" t="s">
        <v>405</v>
      </c>
      <c r="B59" s="359">
        <v>4</v>
      </c>
      <c r="C59" s="356" t="s">
        <v>406</v>
      </c>
      <c r="D59" s="347" t="s">
        <v>407</v>
      </c>
      <c r="E59" s="344" t="s">
        <v>408</v>
      </c>
      <c r="F59" s="186" t="s">
        <v>409</v>
      </c>
      <c r="G59" s="56" t="s">
        <v>410</v>
      </c>
      <c r="H59" s="216" t="s">
        <v>1234</v>
      </c>
      <c r="I59" s="31" t="s">
        <v>1087</v>
      </c>
      <c r="J59" s="163">
        <v>2</v>
      </c>
      <c r="K59" s="163">
        <v>5</v>
      </c>
      <c r="L59" s="187" t="s">
        <v>410</v>
      </c>
      <c r="M59" s="188" t="s">
        <v>271</v>
      </c>
      <c r="N59" s="188" t="s">
        <v>285</v>
      </c>
      <c r="O59" s="56"/>
      <c r="P59" s="31"/>
      <c r="Q59" s="57" t="s">
        <v>305</v>
      </c>
      <c r="R59" s="31" t="s">
        <v>411</v>
      </c>
      <c r="S59" s="58"/>
      <c r="T59" s="59"/>
      <c r="U59" s="163">
        <v>4.4999999999999998E-2</v>
      </c>
      <c r="V59" s="163">
        <f>PLA!U62*Llistes!$L$11*Llistes!$L$12</f>
        <v>6</v>
      </c>
      <c r="W59" s="60" t="s">
        <v>412</v>
      </c>
      <c r="X59" s="60" t="str">
        <f>IF(W59=Llistes!$K$2,Llistes!$L$2,IF(W59=Llistes!$K$3,Llistes!$L$3,IF(W59=Llistes!$K$4,Llistes!$L$4,IF(W59=Llistes!$K$5,Llistes!$L$5,IF(W59=Llistes!$K$6,Llistes!$L$6,IF(W59=Llistes!$K$7,Llistes!$L$7,""))))))</f>
        <v>Ivan Bustamante</v>
      </c>
      <c r="Y59" s="165" t="s">
        <v>994</v>
      </c>
      <c r="Z59" s="165" t="s">
        <v>994</v>
      </c>
      <c r="AA59" s="165"/>
      <c r="AB59" s="165"/>
      <c r="AC59" s="147"/>
    </row>
    <row r="60" spans="1:29" ht="87">
      <c r="A60" s="12" t="s">
        <v>405</v>
      </c>
      <c r="B60" s="359"/>
      <c r="C60" s="356"/>
      <c r="D60" s="348"/>
      <c r="E60" s="345"/>
      <c r="F60" s="186" t="s">
        <v>409</v>
      </c>
      <c r="G60" s="56" t="str">
        <f>G61</f>
        <v>Elaborar l'inventari i cartografia de patrimoni cultural de l'ENP, que també inclogui el patrimoni etnològic i immaterial</v>
      </c>
      <c r="H60" s="216" t="s">
        <v>1235</v>
      </c>
      <c r="I60" s="31" t="s">
        <v>1057</v>
      </c>
      <c r="J60" s="163"/>
      <c r="K60" s="163" t="s">
        <v>1043</v>
      </c>
      <c r="L60" s="187" t="s">
        <v>410</v>
      </c>
      <c r="M60" s="188" t="s">
        <v>271</v>
      </c>
      <c r="N60" s="188" t="s">
        <v>285</v>
      </c>
      <c r="O60" s="56"/>
      <c r="P60" s="31"/>
      <c r="Q60" s="57" t="s">
        <v>305</v>
      </c>
      <c r="R60" s="31" t="s">
        <v>411</v>
      </c>
      <c r="S60" s="58"/>
      <c r="T60" s="59"/>
      <c r="U60" s="163">
        <v>4.4999999999999998E-2</v>
      </c>
      <c r="V60" s="163">
        <f>PLA!U63*Llistes!$L$11*Llistes!$L$12</f>
        <v>6</v>
      </c>
      <c r="W60" s="60" t="s">
        <v>291</v>
      </c>
      <c r="X60" s="60" t="str">
        <f>IF(W60=Llistes!$K$2,Llistes!$L$2,IF(W60=Llistes!$K$3,Llistes!$L$3,IF(W60=Llistes!$K$4,Llistes!$L$4,IF(W60=Llistes!$K$5,Llistes!$L$5,IF(W60=Llistes!$K$6,Llistes!$L$6,IF(W60=Llistes!$K$7,Llistes!$L$7,""))))))</f>
        <v>Gerard Carrion</v>
      </c>
      <c r="Y60" s="165"/>
      <c r="Z60" s="165"/>
      <c r="AA60" s="165" t="s">
        <v>994</v>
      </c>
      <c r="AB60" s="165"/>
      <c r="AC60" s="147"/>
    </row>
    <row r="61" spans="1:29" ht="87">
      <c r="A61" s="12" t="s">
        <v>405</v>
      </c>
      <c r="B61" s="359"/>
      <c r="C61" s="356"/>
      <c r="D61" s="348"/>
      <c r="E61" s="345"/>
      <c r="F61" s="186" t="s">
        <v>409</v>
      </c>
      <c r="G61" s="56" t="str">
        <f>L61</f>
        <v>Elaborar l'inventari i cartografia de patrimoni cultural de l'ENP, que també inclogui el patrimoni etnològic i immaterial</v>
      </c>
      <c r="H61" s="216" t="s">
        <v>1236</v>
      </c>
      <c r="I61" s="31" t="s">
        <v>1055</v>
      </c>
      <c r="J61" s="163"/>
      <c r="K61" s="163" t="s">
        <v>1043</v>
      </c>
      <c r="L61" s="187" t="s">
        <v>410</v>
      </c>
      <c r="M61" s="188" t="s">
        <v>271</v>
      </c>
      <c r="N61" s="188" t="s">
        <v>285</v>
      </c>
      <c r="O61" s="56"/>
      <c r="P61" s="31"/>
      <c r="Q61" s="57" t="s">
        <v>305</v>
      </c>
      <c r="R61" s="31" t="s">
        <v>411</v>
      </c>
      <c r="S61" s="58"/>
      <c r="T61" s="59"/>
      <c r="U61" s="163">
        <v>4.4999999999999998E-2</v>
      </c>
      <c r="V61" s="163">
        <f>PLA!U64*Llistes!$L$11*Llistes!$L$12</f>
        <v>6</v>
      </c>
      <c r="W61" s="60" t="s">
        <v>291</v>
      </c>
      <c r="X61" s="60" t="str">
        <f>IF(W61=Llistes!$K$2,Llistes!$L$2,IF(W61=Llistes!$K$3,Llistes!$L$3,IF(W61=Llistes!$K$4,Llistes!$L$4,IF(W61=Llistes!$K$5,Llistes!$L$5,IF(W61=Llistes!$K$6,Llistes!$L$6,IF(W61=Llistes!$K$7,Llistes!$L$7,""))))))</f>
        <v>Gerard Carrion</v>
      </c>
      <c r="Y61" s="165"/>
      <c r="Z61" s="165"/>
      <c r="AA61" s="165" t="s">
        <v>994</v>
      </c>
      <c r="AB61" s="165"/>
      <c r="AC61" s="147"/>
    </row>
    <row r="62" spans="1:29" ht="43.5">
      <c r="A62" s="12" t="s">
        <v>405</v>
      </c>
      <c r="B62" s="359"/>
      <c r="C62" s="356"/>
      <c r="D62" s="348"/>
      <c r="E62" s="345"/>
      <c r="F62" s="186" t="s">
        <v>413</v>
      </c>
      <c r="G62" s="56" t="str">
        <f>L62</f>
        <v>Elaborar el catàleg lingüístic (localismes) de patrimoni natural, geografia popular, festes i activitats tradicionals de l'ENP</v>
      </c>
      <c r="H62" s="216" t="s">
        <v>1237</v>
      </c>
      <c r="I62" s="31" t="s">
        <v>1056</v>
      </c>
      <c r="J62" s="163"/>
      <c r="K62" s="163" t="s">
        <v>1043</v>
      </c>
      <c r="L62" s="187" t="s">
        <v>414</v>
      </c>
      <c r="M62" s="188" t="s">
        <v>271</v>
      </c>
      <c r="N62" s="188" t="s">
        <v>285</v>
      </c>
      <c r="O62" s="56"/>
      <c r="P62" s="31"/>
      <c r="Q62" s="57" t="s">
        <v>286</v>
      </c>
      <c r="R62" s="31"/>
      <c r="S62" s="58"/>
      <c r="T62" s="59"/>
      <c r="U62" s="163">
        <v>4.4999999999999998E-2</v>
      </c>
      <c r="V62" s="163">
        <f>PLA!U65*Llistes!$L$11*Llistes!$L$12</f>
        <v>6</v>
      </c>
      <c r="W62" s="60" t="s">
        <v>291</v>
      </c>
      <c r="X62" s="60" t="str">
        <f>IF(W62=Llistes!$K$2,Llistes!$L$2,IF(W62=Llistes!$K$3,Llistes!$L$3,IF(W62=Llistes!$K$4,Llistes!$L$4,IF(W62=Llistes!$K$5,Llistes!$L$5,IF(W62=Llistes!$K$6,Llistes!$L$6,IF(W62=Llistes!$K$7,Llistes!$L$7,""))))))</f>
        <v>Gerard Carrion</v>
      </c>
      <c r="Y62" s="165"/>
      <c r="Z62" s="165"/>
      <c r="AA62" s="165"/>
      <c r="AB62" s="165" t="s">
        <v>994</v>
      </c>
      <c r="AC62" s="147"/>
    </row>
    <row r="63" spans="1:29" ht="87">
      <c r="A63" s="185" t="s">
        <v>405</v>
      </c>
      <c r="B63" s="359"/>
      <c r="C63" s="356"/>
      <c r="D63" s="349"/>
      <c r="E63" s="346"/>
      <c r="F63" s="186" t="s">
        <v>415</v>
      </c>
      <c r="G63" s="56" t="s">
        <v>417</v>
      </c>
      <c r="H63" s="216" t="s">
        <v>1238</v>
      </c>
      <c r="I63" s="31" t="s">
        <v>1058</v>
      </c>
      <c r="J63" s="163"/>
      <c r="K63" s="163" t="s">
        <v>1043</v>
      </c>
      <c r="L63" s="187" t="s">
        <v>416</v>
      </c>
      <c r="M63" s="188" t="s">
        <v>271</v>
      </c>
      <c r="N63" s="188" t="s">
        <v>285</v>
      </c>
      <c r="O63" s="56" t="s">
        <v>418</v>
      </c>
      <c r="P63" s="31"/>
      <c r="Q63" s="57" t="s">
        <v>305</v>
      </c>
      <c r="R63" s="31"/>
      <c r="S63" s="58"/>
      <c r="T63" s="59"/>
      <c r="U63" s="163">
        <v>4.4999999999999998E-2</v>
      </c>
      <c r="V63" s="163">
        <f>PLA!U66*Llistes!$L$11*Llistes!$L$12</f>
        <v>6</v>
      </c>
      <c r="W63" s="60" t="s">
        <v>291</v>
      </c>
      <c r="X63" s="60" t="str">
        <f>IF(W63=Llistes!$K$2,Llistes!$L$2,IF(W63=Llistes!$K$3,Llistes!$L$3,IF(W63=Llistes!$K$4,Llistes!$L$4,IF(W63=Llistes!$K$5,Llistes!$L$5,IF(W63=Llistes!$K$6,Llistes!$L$6,IF(W63=Llistes!$K$7,Llistes!$L$7,""))))))</f>
        <v>Gerard Carrion</v>
      </c>
      <c r="Y63" s="165"/>
      <c r="Z63" s="165" t="s">
        <v>994</v>
      </c>
      <c r="AA63" s="165"/>
      <c r="AB63" s="165"/>
      <c r="AC63" s="147"/>
    </row>
    <row r="64" spans="1:29" ht="43.5">
      <c r="A64" s="12" t="s">
        <v>405</v>
      </c>
      <c r="B64" s="359"/>
      <c r="C64" s="356"/>
      <c r="D64" s="348" t="s">
        <v>419</v>
      </c>
      <c r="E64" s="345" t="s">
        <v>420</v>
      </c>
      <c r="F64" s="186" t="s">
        <v>421</v>
      </c>
      <c r="G64" s="56" t="str">
        <f>L64</f>
        <v>Identificar els ens de referència en patrimoni cultural (entitats, associacions, museus i ecomuseus, etc.) en l'àmbit de l'ENP</v>
      </c>
      <c r="H64" s="216" t="s">
        <v>1239</v>
      </c>
      <c r="I64" s="31" t="s">
        <v>1059</v>
      </c>
      <c r="J64" s="163"/>
      <c r="K64" s="163" t="s">
        <v>1043</v>
      </c>
      <c r="L64" s="187" t="s">
        <v>422</v>
      </c>
      <c r="M64" s="188" t="s">
        <v>271</v>
      </c>
      <c r="N64" s="188" t="s">
        <v>285</v>
      </c>
      <c r="O64" s="56" t="s">
        <v>423</v>
      </c>
      <c r="P64" s="31"/>
      <c r="Q64" s="57" t="s">
        <v>305</v>
      </c>
      <c r="R64" s="31" t="s">
        <v>424</v>
      </c>
      <c r="S64" s="58"/>
      <c r="T64" s="59"/>
      <c r="U64" s="163">
        <v>4.4999999999999998E-2</v>
      </c>
      <c r="V64" s="163">
        <f>PLA!U67*Llistes!$L$11*Llistes!$L$12</f>
        <v>6</v>
      </c>
      <c r="W64" s="60" t="s">
        <v>412</v>
      </c>
      <c r="X64" s="60" t="str">
        <f>IF(W64=Llistes!$K$2,Llistes!$L$2,IF(W64=Llistes!$K$3,Llistes!$L$3,IF(W64=Llistes!$K$4,Llistes!$L$4,IF(W64=Llistes!$K$5,Llistes!$L$5,IF(W64=Llistes!$K$6,Llistes!$L$6,IF(W64=Llistes!$K$7,Llistes!$L$7,""))))))</f>
        <v>Ivan Bustamante</v>
      </c>
      <c r="Y64" s="165" t="s">
        <v>994</v>
      </c>
      <c r="Z64" s="165"/>
      <c r="AA64" s="165"/>
      <c r="AB64" s="165"/>
      <c r="AC64" s="147"/>
    </row>
    <row r="65" spans="1:29" ht="43.5">
      <c r="A65" s="12" t="s">
        <v>405</v>
      </c>
      <c r="B65" s="359"/>
      <c r="C65" s="356"/>
      <c r="D65" s="348"/>
      <c r="E65" s="345"/>
      <c r="F65" s="186" t="s">
        <v>421</v>
      </c>
      <c r="G65" s="56" t="str">
        <f>L65</f>
        <v>Identificar els ens de referència en patrimoni cultural (entitats, associacions, museus i ecomuseus, etc.) en l'àmbit de l'ENP</v>
      </c>
      <c r="H65" s="216" t="s">
        <v>1240</v>
      </c>
      <c r="I65" s="31" t="s">
        <v>1088</v>
      </c>
      <c r="J65" s="163">
        <v>2</v>
      </c>
      <c r="K65" s="163">
        <v>4</v>
      </c>
      <c r="L65" s="187" t="s">
        <v>422</v>
      </c>
      <c r="M65" s="188" t="s">
        <v>271</v>
      </c>
      <c r="N65" s="188" t="s">
        <v>285</v>
      </c>
      <c r="O65" s="56" t="s">
        <v>423</v>
      </c>
      <c r="P65" s="31"/>
      <c r="Q65" s="57" t="s">
        <v>305</v>
      </c>
      <c r="R65" s="31" t="s">
        <v>424</v>
      </c>
      <c r="S65" s="58"/>
      <c r="T65" s="59"/>
      <c r="U65" s="163">
        <v>1.4999999999999999E-2</v>
      </c>
      <c r="V65" s="163">
        <f>PLA!U68*Llistes!$L$11*Llistes!$L$12</f>
        <v>2</v>
      </c>
      <c r="W65" s="60" t="s">
        <v>412</v>
      </c>
      <c r="X65" s="60" t="str">
        <f>IF(W65=Llistes!$K$2,Llistes!$L$2,IF(W65=Llistes!$K$3,Llistes!$L$3,IF(W65=Llistes!$K$4,Llistes!$L$4,IF(W65=Llistes!$K$5,Llistes!$L$5,IF(W65=Llistes!$K$6,Llistes!$L$6,IF(W65=Llistes!$K$7,Llistes!$L$7,""))))))</f>
        <v>Ivan Bustamante</v>
      </c>
      <c r="Y65" s="165" t="s">
        <v>994</v>
      </c>
      <c r="Z65" s="165" t="s">
        <v>994</v>
      </c>
      <c r="AA65" s="165" t="s">
        <v>994</v>
      </c>
      <c r="AB65" s="165" t="s">
        <v>994</v>
      </c>
      <c r="AC65" s="147"/>
    </row>
    <row r="66" spans="1:29" ht="87">
      <c r="A66" s="12" t="s">
        <v>405</v>
      </c>
      <c r="B66" s="359"/>
      <c r="C66" s="356"/>
      <c r="D66" s="348"/>
      <c r="E66" s="345"/>
      <c r="F66" s="186" t="s">
        <v>425</v>
      </c>
      <c r="G66" s="56" t="str">
        <f>L66</f>
        <v>Articular treballs conjunts entre l'ENP i representants, gestors o custodis del patrimoni cultural per a la seva protecció i millora</v>
      </c>
      <c r="H66" s="216" t="s">
        <v>1241</v>
      </c>
      <c r="I66" s="31" t="s">
        <v>1089</v>
      </c>
      <c r="J66" s="163">
        <v>2</v>
      </c>
      <c r="K66" s="163">
        <v>4</v>
      </c>
      <c r="L66" s="187" t="s">
        <v>426</v>
      </c>
      <c r="M66" s="188" t="s">
        <v>271</v>
      </c>
      <c r="N66" s="188" t="s">
        <v>285</v>
      </c>
      <c r="O66" s="56" t="s">
        <v>427</v>
      </c>
      <c r="P66" s="31"/>
      <c r="Q66" s="57" t="s">
        <v>305</v>
      </c>
      <c r="R66" s="31" t="s">
        <v>428</v>
      </c>
      <c r="S66" s="58"/>
      <c r="T66" s="59"/>
      <c r="U66" s="163">
        <v>1.4999999999999999E-2</v>
      </c>
      <c r="V66" s="163">
        <f>PLA!U69*Llistes!$L$11*Llistes!$L$12</f>
        <v>2</v>
      </c>
      <c r="W66" s="60" t="s">
        <v>412</v>
      </c>
      <c r="X66" s="60" t="str">
        <f>IF(W66=Llistes!$K$2,Llistes!$L$2,IF(W66=Llistes!$K$3,Llistes!$L$3,IF(W66=Llistes!$K$4,Llistes!$L$4,IF(W66=Llistes!$K$5,Llistes!$L$5,IF(W66=Llistes!$K$6,Llistes!$L$6,IF(W66=Llistes!$K$7,Llistes!$L$7,""))))))</f>
        <v>Ivan Bustamante</v>
      </c>
      <c r="Y66" s="165" t="s">
        <v>994</v>
      </c>
      <c r="Z66" s="165" t="s">
        <v>994</v>
      </c>
      <c r="AA66" s="165" t="s">
        <v>994</v>
      </c>
      <c r="AB66" s="165" t="s">
        <v>994</v>
      </c>
      <c r="AC66" s="147"/>
    </row>
    <row r="67" spans="1:29" ht="87">
      <c r="A67" s="12" t="s">
        <v>405</v>
      </c>
      <c r="B67" s="359"/>
      <c r="C67" s="356"/>
      <c r="D67" s="348"/>
      <c r="E67" s="345"/>
      <c r="F67" s="186" t="s">
        <v>425</v>
      </c>
      <c r="G67" s="56" t="str">
        <f>L67</f>
        <v>Articular treballs conjunts entre l'ENP i representants, gestors o custodis del patrimoni cultural per a la seva protecció i millora</v>
      </c>
      <c r="H67" s="216" t="s">
        <v>1242</v>
      </c>
      <c r="I67" s="31" t="s">
        <v>1090</v>
      </c>
      <c r="J67" s="163">
        <v>2</v>
      </c>
      <c r="K67" s="163">
        <v>4</v>
      </c>
      <c r="L67" s="187" t="s">
        <v>426</v>
      </c>
      <c r="M67" s="188" t="s">
        <v>271</v>
      </c>
      <c r="N67" s="188" t="s">
        <v>285</v>
      </c>
      <c r="O67" s="56" t="s">
        <v>427</v>
      </c>
      <c r="P67" s="31"/>
      <c r="Q67" s="57" t="s">
        <v>305</v>
      </c>
      <c r="R67" s="31" t="s">
        <v>428</v>
      </c>
      <c r="S67" s="58"/>
      <c r="T67" s="59"/>
      <c r="U67" s="163">
        <v>1.4999999999999999E-2</v>
      </c>
      <c r="V67" s="163">
        <f>PLA!U70*Llistes!$L$11*Llistes!$L$12</f>
        <v>2</v>
      </c>
      <c r="W67" s="60" t="s">
        <v>291</v>
      </c>
      <c r="X67" s="60" t="str">
        <f>IF(W67=Llistes!$K$2,Llistes!$L$2,IF(W67=Llistes!$K$3,Llistes!$L$3,IF(W67=Llistes!$K$4,Llistes!$L$4,IF(W67=Llistes!$K$5,Llistes!$L$5,IF(W67=Llistes!$K$6,Llistes!$L$6,IF(W67=Llistes!$K$7,Llistes!$L$7,""))))))</f>
        <v>Gerard Carrion</v>
      </c>
      <c r="Y67" s="165" t="s">
        <v>994</v>
      </c>
      <c r="Z67" s="165" t="s">
        <v>994</v>
      </c>
      <c r="AA67" s="165" t="s">
        <v>994</v>
      </c>
      <c r="AB67" s="165" t="s">
        <v>994</v>
      </c>
      <c r="AC67" s="147"/>
    </row>
    <row r="68" spans="1:29" ht="58">
      <c r="A68" s="12" t="s">
        <v>405</v>
      </c>
      <c r="B68" s="359"/>
      <c r="C68" s="356"/>
      <c r="D68" s="348"/>
      <c r="E68" s="345"/>
      <c r="F68" s="186" t="s">
        <v>429</v>
      </c>
      <c r="G68" s="56" t="str">
        <f>L68</f>
        <v>Impulsar i/o participar dels treballs de restauració arquitectònica, arqueològica i del patrimoni cultural</v>
      </c>
      <c r="H68" s="216" t="s">
        <v>1243</v>
      </c>
      <c r="I68" s="31" t="s">
        <v>1091</v>
      </c>
      <c r="J68" s="163">
        <v>1</v>
      </c>
      <c r="K68" s="163">
        <v>2</v>
      </c>
      <c r="L68" s="187" t="s">
        <v>1462</v>
      </c>
      <c r="M68" s="188" t="s">
        <v>271</v>
      </c>
      <c r="N68" s="188" t="s">
        <v>285</v>
      </c>
      <c r="O68" s="56"/>
      <c r="P68" s="31"/>
      <c r="Q68" s="57" t="s">
        <v>305</v>
      </c>
      <c r="R68" s="31" t="s">
        <v>430</v>
      </c>
      <c r="S68" s="58"/>
      <c r="T68" s="59"/>
      <c r="U68" s="163">
        <v>1.4999999999999999E-2</v>
      </c>
      <c r="V68" s="163">
        <f>PLA!U71*Llistes!$L$11*Llistes!$L$12</f>
        <v>2</v>
      </c>
      <c r="W68" s="60" t="s">
        <v>291</v>
      </c>
      <c r="X68" s="60" t="str">
        <f>IF(W68=Llistes!$K$2,Llistes!$L$2,IF(W68=Llistes!$K$3,Llistes!$L$3,IF(W68=Llistes!$K$4,Llistes!$L$4,IF(W68=Llistes!$K$5,Llistes!$L$5,IF(W68=Llistes!$K$6,Llistes!$L$6,IF(W68=Llistes!$K$7,Llistes!$L$7,""))))))</f>
        <v>Gerard Carrion</v>
      </c>
      <c r="Y68" s="165" t="s">
        <v>994</v>
      </c>
      <c r="Z68" s="165" t="s">
        <v>994</v>
      </c>
      <c r="AA68" s="165" t="s">
        <v>994</v>
      </c>
      <c r="AB68" s="165" t="s">
        <v>994</v>
      </c>
      <c r="AC68" s="147"/>
    </row>
    <row r="69" spans="1:29">
      <c r="A69" s="12"/>
      <c r="B69" s="359"/>
      <c r="C69" s="356"/>
      <c r="D69" s="352"/>
      <c r="E69" s="351"/>
      <c r="F69" s="186" t="s">
        <v>1538</v>
      </c>
      <c r="G69" s="56"/>
      <c r="H69" s="216"/>
      <c r="I69" s="31"/>
      <c r="J69" s="163"/>
      <c r="K69" s="163"/>
      <c r="L69" s="187" t="s">
        <v>1539</v>
      </c>
      <c r="M69" s="188" t="s">
        <v>271</v>
      </c>
      <c r="N69" s="188" t="s">
        <v>272</v>
      </c>
      <c r="O69" s="56"/>
      <c r="P69" s="31"/>
      <c r="Q69" s="57"/>
      <c r="R69" s="31"/>
      <c r="S69" s="58"/>
      <c r="T69" s="59"/>
      <c r="U69" s="163"/>
      <c r="V69" s="163"/>
      <c r="W69" s="60"/>
      <c r="X69" s="60"/>
      <c r="Y69" s="165"/>
      <c r="Z69" s="165"/>
      <c r="AA69" s="165"/>
      <c r="AB69" s="165"/>
      <c r="AC69" s="147"/>
    </row>
    <row r="70" spans="1:29" ht="43.5">
      <c r="A70" s="12" t="s">
        <v>405</v>
      </c>
      <c r="B70" s="359"/>
      <c r="C70" s="356"/>
      <c r="D70" s="238" t="s">
        <v>1446</v>
      </c>
      <c r="E70" s="235" t="s">
        <v>1445</v>
      </c>
      <c r="F70" s="186" t="s">
        <v>432</v>
      </c>
      <c r="G70" s="56" t="str">
        <f>L70</f>
        <v>Recuperar i conservar el patrimoni cultural immaterial (associat a les activitats i aprofitaments rurals tradicionals) i els valors espirituals</v>
      </c>
      <c r="H70" s="216" t="s">
        <v>1600</v>
      </c>
      <c r="I70" s="31" t="s">
        <v>1601</v>
      </c>
      <c r="J70" s="163">
        <v>4</v>
      </c>
      <c r="K70" s="163">
        <v>8</v>
      </c>
      <c r="L70" s="187" t="s">
        <v>1463</v>
      </c>
      <c r="M70" s="188" t="s">
        <v>303</v>
      </c>
      <c r="N70" s="188" t="s">
        <v>272</v>
      </c>
      <c r="O70" s="56"/>
      <c r="P70" s="31"/>
      <c r="Q70" s="57" t="s">
        <v>305</v>
      </c>
      <c r="R70" s="31"/>
      <c r="S70" s="58" t="s">
        <v>275</v>
      </c>
      <c r="T70" s="59"/>
      <c r="U70" s="163">
        <v>1.4999999999999999E-2</v>
      </c>
      <c r="V70" s="163">
        <v>2</v>
      </c>
      <c r="W70" s="60" t="s">
        <v>349</v>
      </c>
      <c r="X70" s="60" t="str">
        <f>IF(W70=Llistes!$K$2,Llistes!$L$2,IF(W70=Llistes!$K$3,Llistes!$L$3,IF(W70=Llistes!$K$4,Llistes!$L$4,IF(W70=Llistes!$K$5,Llistes!$L$5,IF(W70=Llistes!$K$6,Llistes!$L$6,IF(W70=Llistes!$K$7,Llistes!$L$7,""))))))</f>
        <v>Sergi Roura</v>
      </c>
      <c r="Y70" s="165" t="s">
        <v>994</v>
      </c>
      <c r="Z70" s="165" t="s">
        <v>994</v>
      </c>
      <c r="AA70" s="165" t="s">
        <v>994</v>
      </c>
      <c r="AB70" s="165" t="s">
        <v>994</v>
      </c>
      <c r="AC70" s="165"/>
    </row>
    <row r="71" spans="1:29" ht="43.5" customHeight="1">
      <c r="A71" s="12" t="s">
        <v>405</v>
      </c>
      <c r="B71" s="359"/>
      <c r="C71" s="356"/>
      <c r="D71" s="239"/>
      <c r="E71" s="236"/>
      <c r="F71" s="186" t="s">
        <v>433</v>
      </c>
      <c r="G71" s="56" t="str">
        <f>L71</f>
        <v>Recuperar i conservar el patrimoni cultural rural vinculat específicament a construccions de pedra en sec</v>
      </c>
      <c r="H71" s="216" t="s">
        <v>1244</v>
      </c>
      <c r="I71" s="31" t="s">
        <v>1060</v>
      </c>
      <c r="J71" s="163">
        <v>2</v>
      </c>
      <c r="K71" s="163">
        <v>4</v>
      </c>
      <c r="L71" s="54" t="s">
        <v>434</v>
      </c>
      <c r="M71" s="188" t="s">
        <v>271</v>
      </c>
      <c r="N71" s="188" t="s">
        <v>285</v>
      </c>
      <c r="O71" s="56"/>
      <c r="P71" s="31"/>
      <c r="Q71" s="57" t="s">
        <v>305</v>
      </c>
      <c r="R71" s="31"/>
      <c r="S71" s="58"/>
      <c r="T71" s="59"/>
      <c r="U71" s="163">
        <v>4.4999999999999998E-2</v>
      </c>
      <c r="V71" s="163">
        <f>PLA!U74*Llistes!$L$11*Llistes!$L$12</f>
        <v>6</v>
      </c>
      <c r="W71" s="60" t="s">
        <v>349</v>
      </c>
      <c r="X71" s="60" t="str">
        <f>IF(W71=Llistes!$K$2,Llistes!$L$2,IF(W71=Llistes!$K$3,Llistes!$L$3,IF(W71=Llistes!$K$4,Llistes!$L$4,IF(W71=Llistes!$K$5,Llistes!$L$5,IF(W71=Llistes!$K$6,Llistes!$L$6,IF(W71=Llistes!$K$7,Llistes!$L$7,""))))))</f>
        <v>Sergi Roura</v>
      </c>
      <c r="Y71" s="165" t="s">
        <v>994</v>
      </c>
      <c r="Z71" s="165" t="s">
        <v>994</v>
      </c>
      <c r="AA71" s="165" t="s">
        <v>994</v>
      </c>
      <c r="AB71" s="165" t="s">
        <v>994</v>
      </c>
      <c r="AC71" s="165"/>
    </row>
    <row r="72" spans="1:29" ht="58">
      <c r="A72" s="12" t="s">
        <v>405</v>
      </c>
      <c r="B72" s="359"/>
      <c r="C72" s="356"/>
      <c r="D72" s="239"/>
      <c r="E72" s="236"/>
      <c r="F72" s="186" t="s">
        <v>435</v>
      </c>
      <c r="G72" s="56" t="str">
        <f>L72</f>
        <v xml:space="preserve">Fomentar la recuperació i conservació de l'arquitectura tradicional d'interès de les edificacions i construccions </v>
      </c>
      <c r="H72" s="216" t="s">
        <v>1245</v>
      </c>
      <c r="I72" s="31" t="s">
        <v>1092</v>
      </c>
      <c r="J72" s="163">
        <v>2</v>
      </c>
      <c r="K72" s="163">
        <v>4</v>
      </c>
      <c r="L72" s="187" t="s">
        <v>436</v>
      </c>
      <c r="M72" s="188" t="s">
        <v>271</v>
      </c>
      <c r="N72" s="188" t="s">
        <v>285</v>
      </c>
      <c r="O72" s="56"/>
      <c r="P72" s="31"/>
      <c r="Q72" s="57" t="s">
        <v>305</v>
      </c>
      <c r="R72" s="31"/>
      <c r="S72" s="58"/>
      <c r="T72" s="59"/>
      <c r="U72" s="163">
        <v>1.4999999999999999E-2</v>
      </c>
      <c r="V72" s="163">
        <f>PLA!U75*Llistes!$L$11*Llistes!$L$12</f>
        <v>2</v>
      </c>
      <c r="W72" s="60" t="s">
        <v>349</v>
      </c>
      <c r="X72" s="60" t="str">
        <f>IF(W72=Llistes!$K$2,Llistes!$L$2,IF(W72=Llistes!$K$3,Llistes!$L$3,IF(W72=Llistes!$K$4,Llistes!$L$4,IF(W72=Llistes!$K$5,Llistes!$L$5,IF(W72=Llistes!$K$6,Llistes!$L$6,IF(W72=Llistes!$K$7,Llistes!$L$7,""))))))</f>
        <v>Sergi Roura</v>
      </c>
      <c r="Y72" s="165" t="s">
        <v>994</v>
      </c>
      <c r="Z72" s="165" t="s">
        <v>994</v>
      </c>
      <c r="AA72" s="165" t="s">
        <v>994</v>
      </c>
      <c r="AB72" s="165" t="s">
        <v>994</v>
      </c>
      <c r="AC72" s="165"/>
    </row>
    <row r="73" spans="1:29" ht="58">
      <c r="A73" s="12" t="s">
        <v>405</v>
      </c>
      <c r="B73" s="359"/>
      <c r="C73" s="356"/>
      <c r="D73" s="239"/>
      <c r="E73" s="236"/>
      <c r="F73" s="241" t="s">
        <v>437</v>
      </c>
      <c r="G73" s="56" t="str">
        <f>L73</f>
        <v>Identificar i conservar la diversitat domesticada de varietats agrícoles i ramaderes locals</v>
      </c>
      <c r="H73" s="216" t="s">
        <v>1247</v>
      </c>
      <c r="I73" s="31" t="s">
        <v>1094</v>
      </c>
      <c r="J73" s="163">
        <v>3</v>
      </c>
      <c r="K73" s="163">
        <v>6</v>
      </c>
      <c r="L73" s="243" t="s">
        <v>438</v>
      </c>
      <c r="M73" s="233" t="s">
        <v>271</v>
      </c>
      <c r="N73" s="233" t="s">
        <v>285</v>
      </c>
      <c r="O73" s="56" t="s">
        <v>439</v>
      </c>
      <c r="P73" s="31"/>
      <c r="Q73" s="57" t="s">
        <v>280</v>
      </c>
      <c r="R73" s="31" t="s">
        <v>440</v>
      </c>
      <c r="S73" s="58" t="s">
        <v>288</v>
      </c>
      <c r="T73" s="59"/>
      <c r="U73" s="163">
        <v>1.4999999999999999E-2</v>
      </c>
      <c r="V73" s="163">
        <f>PLA!U76*Llistes!$L$11*Llistes!$L$12</f>
        <v>2</v>
      </c>
      <c r="W73" s="60" t="s">
        <v>291</v>
      </c>
      <c r="X73" s="60" t="str">
        <f>IF(W73=Llistes!$K$2,Llistes!$L$2,IF(W73=Llistes!$K$3,Llistes!$L$3,IF(W73=Llistes!$K$4,Llistes!$L$4,IF(W73=Llistes!$K$5,Llistes!$L$5,IF(W73=Llistes!$K$6,Llistes!$L$6,IF(W73=Llistes!$K$7,Llistes!$L$7,""))))))</f>
        <v>Gerard Carrion</v>
      </c>
      <c r="Y73" s="165" t="s">
        <v>994</v>
      </c>
      <c r="Z73" s="165" t="s">
        <v>994</v>
      </c>
      <c r="AA73" s="165" t="s">
        <v>994</v>
      </c>
      <c r="AB73" s="165" t="s">
        <v>994</v>
      </c>
      <c r="AC73" s="165"/>
    </row>
    <row r="74" spans="1:29" ht="29">
      <c r="A74" s="12"/>
      <c r="B74" s="359"/>
      <c r="C74" s="356"/>
      <c r="D74" s="240"/>
      <c r="E74" s="237"/>
      <c r="F74" s="242"/>
      <c r="G74" s="56"/>
      <c r="H74" s="216" t="s">
        <v>1246</v>
      </c>
      <c r="I74" s="31" t="s">
        <v>1093</v>
      </c>
      <c r="J74" s="163">
        <v>5</v>
      </c>
      <c r="K74" s="163">
        <v>8</v>
      </c>
      <c r="L74" s="244"/>
      <c r="M74" s="234"/>
      <c r="N74" s="234"/>
      <c r="O74" s="56"/>
      <c r="P74" s="31"/>
      <c r="Q74" s="57"/>
      <c r="R74" s="31"/>
      <c r="S74" s="58"/>
      <c r="T74" s="59"/>
      <c r="U74" s="163">
        <v>1.4999999999999999E-2</v>
      </c>
      <c r="V74" s="163">
        <f>PLA!U77*Llistes!$L$11*Llistes!$L$12</f>
        <v>2</v>
      </c>
      <c r="W74" s="60" t="s">
        <v>291</v>
      </c>
      <c r="X74" s="60" t="str">
        <f>IF(W74=Llistes!$K$2,Llistes!$L$2,IF(W74=Llistes!$K$3,Llistes!$L$3,IF(W74=Llistes!$K$4,Llistes!$L$4,IF(W74=Llistes!$K$5,Llistes!$L$5,IF(W74=Llistes!$K$6,Llistes!$L$6,IF(W74=Llistes!$K$7,Llistes!$L$7,""))))))</f>
        <v>Gerard Carrion</v>
      </c>
      <c r="Y74" s="165" t="s">
        <v>994</v>
      </c>
      <c r="Z74" s="165" t="s">
        <v>994</v>
      </c>
      <c r="AA74" s="165" t="s">
        <v>994</v>
      </c>
      <c r="AB74" s="165" t="s">
        <v>994</v>
      </c>
      <c r="AC74" s="165"/>
    </row>
    <row r="75" spans="1:29" ht="58">
      <c r="A75" s="12" t="s">
        <v>405</v>
      </c>
      <c r="B75" s="359"/>
      <c r="C75" s="356"/>
      <c r="D75" s="350" t="s">
        <v>441</v>
      </c>
      <c r="E75" s="341" t="s">
        <v>442</v>
      </c>
      <c r="F75" s="188" t="s">
        <v>443</v>
      </c>
      <c r="G75" s="56" t="str">
        <f>L75</f>
        <v>Integrar el patrimoni cultural als itineraris i cartelleria de l'ENP.</v>
      </c>
      <c r="H75" s="216" t="s">
        <v>446</v>
      </c>
      <c r="I75" s="31" t="s">
        <v>1095</v>
      </c>
      <c r="J75" s="163">
        <v>4</v>
      </c>
      <c r="K75" s="163">
        <v>10</v>
      </c>
      <c r="L75" s="187" t="s">
        <v>444</v>
      </c>
      <c r="M75" s="188" t="s">
        <v>271</v>
      </c>
      <c r="N75" s="188" t="s">
        <v>272</v>
      </c>
      <c r="O75" s="56" t="s">
        <v>445</v>
      </c>
      <c r="P75" s="31"/>
      <c r="Q75" s="57" t="s">
        <v>286</v>
      </c>
      <c r="R75" s="31"/>
      <c r="S75" s="58"/>
      <c r="T75" s="59"/>
      <c r="U75" s="163">
        <v>1.4999999999999999E-2</v>
      </c>
      <c r="V75" s="163">
        <f>PLA!U78*Llistes!$L$11*Llistes!$L$12</f>
        <v>2</v>
      </c>
      <c r="W75" s="60" t="s">
        <v>412</v>
      </c>
      <c r="X75" s="60" t="str">
        <f>IF(W75=Llistes!$K$2,Llistes!$L$2,IF(W75=Llistes!$K$3,Llistes!$L$3,IF(W75=Llistes!$K$4,Llistes!$L$4,IF(W75=Llistes!$K$5,Llistes!$L$5,IF(W75=Llistes!$K$6,Llistes!$L$6,IF(W75=Llistes!$K$7,Llistes!$L$7,""))))))</f>
        <v>Ivan Bustamante</v>
      </c>
      <c r="Y75" s="165" t="s">
        <v>994</v>
      </c>
      <c r="Z75" s="165" t="s">
        <v>994</v>
      </c>
      <c r="AA75" s="165" t="s">
        <v>994</v>
      </c>
      <c r="AB75" s="165" t="s">
        <v>994</v>
      </c>
      <c r="AC75" s="165"/>
    </row>
    <row r="76" spans="1:29" ht="43.5">
      <c r="A76" s="12" t="s">
        <v>405</v>
      </c>
      <c r="B76" s="359"/>
      <c r="C76" s="356"/>
      <c r="D76" s="350"/>
      <c r="E76" s="341"/>
      <c r="F76" s="188" t="s">
        <v>447</v>
      </c>
      <c r="G76" s="56" t="str">
        <f>L76</f>
        <v>Incorporar el patrimoni cultural en els plans d’ús públic i educació ambiental per fomentar-ne la seva conservació i divulgació.</v>
      </c>
      <c r="H76" s="216" t="s">
        <v>449</v>
      </c>
      <c r="I76" s="31" t="s">
        <v>1061</v>
      </c>
      <c r="J76" s="163"/>
      <c r="K76" s="163" t="s">
        <v>1043</v>
      </c>
      <c r="L76" s="187" t="s">
        <v>448</v>
      </c>
      <c r="M76" s="188" t="s">
        <v>271</v>
      </c>
      <c r="N76" s="188" t="s">
        <v>272</v>
      </c>
      <c r="O76" s="56" t="s">
        <v>445</v>
      </c>
      <c r="P76" s="31"/>
      <c r="Q76" s="57" t="s">
        <v>286</v>
      </c>
      <c r="R76" s="31"/>
      <c r="S76" s="58"/>
      <c r="T76" s="59"/>
      <c r="U76" s="163">
        <v>1.4999999999999999E-2</v>
      </c>
      <c r="V76" s="163">
        <f>PLA!U79*Llistes!$L$11*Llistes!$L$12</f>
        <v>2</v>
      </c>
      <c r="W76" s="60" t="s">
        <v>412</v>
      </c>
      <c r="X76" s="60" t="str">
        <f>IF(W76=Llistes!$K$2,Llistes!$L$2,IF(W76=Llistes!$K$3,Llistes!$L$3,IF(W76=Llistes!$K$4,Llistes!$L$4,IF(W76=Llistes!$K$5,Llistes!$L$5,IF(W76=Llistes!$K$6,Llistes!$L$6,IF(W76=Llistes!$K$7,Llistes!$L$7,""))))))</f>
        <v>Ivan Bustamante</v>
      </c>
      <c r="Y76" s="165" t="s">
        <v>994</v>
      </c>
      <c r="Z76" s="165" t="s">
        <v>994</v>
      </c>
      <c r="AA76" s="165" t="s">
        <v>994</v>
      </c>
      <c r="AB76" s="165" t="s">
        <v>994</v>
      </c>
      <c r="AC76" s="165"/>
    </row>
    <row r="77" spans="1:29" ht="29">
      <c r="A77" s="12" t="s">
        <v>405</v>
      </c>
      <c r="B77" s="433"/>
      <c r="C77" s="425"/>
      <c r="D77" s="350"/>
      <c r="E77" s="341"/>
      <c r="F77" s="188" t="s">
        <v>450</v>
      </c>
      <c r="G77" s="56" t="str">
        <f>L77</f>
        <v>Formar el personal dels punts d’informació en els valors culturals de l'ENP</v>
      </c>
      <c r="H77" s="216" t="s">
        <v>452</v>
      </c>
      <c r="I77" s="31" t="s">
        <v>1096</v>
      </c>
      <c r="J77" s="163">
        <v>2</v>
      </c>
      <c r="K77" s="163">
        <v>4</v>
      </c>
      <c r="L77" s="187" t="s">
        <v>451</v>
      </c>
      <c r="M77" s="188" t="s">
        <v>271</v>
      </c>
      <c r="N77" s="188" t="s">
        <v>272</v>
      </c>
      <c r="O77" s="56"/>
      <c r="P77" s="31"/>
      <c r="Q77" s="57" t="s">
        <v>273</v>
      </c>
      <c r="R77" s="31"/>
      <c r="S77" s="58"/>
      <c r="T77" s="59"/>
      <c r="U77" s="163">
        <v>1.4999999999999999E-2</v>
      </c>
      <c r="V77" s="163">
        <f>PLA!U80*Llistes!$L$11*Llistes!$L$12</f>
        <v>2</v>
      </c>
      <c r="W77" s="60" t="s">
        <v>412</v>
      </c>
      <c r="X77" s="60" t="str">
        <f>IF(W77=Llistes!$K$2,Llistes!$L$2,IF(W77=Llistes!$K$3,Llistes!$L$3,IF(W77=Llistes!$K$4,Llistes!$L$4,IF(W77=Llistes!$K$5,Llistes!$L$5,IF(W77=Llistes!$K$6,Llistes!$L$6,IF(W77=Llistes!$K$7,Llistes!$L$7,""))))))</f>
        <v>Ivan Bustamante</v>
      </c>
      <c r="Y77" s="165" t="s">
        <v>994</v>
      </c>
      <c r="Z77" s="165" t="s">
        <v>994</v>
      </c>
      <c r="AA77" s="165" t="s">
        <v>994</v>
      </c>
      <c r="AB77" s="165" t="s">
        <v>994</v>
      </c>
      <c r="AC77" s="165"/>
    </row>
    <row r="78" spans="1:29" ht="43.5">
      <c r="A78" s="12" t="s">
        <v>405</v>
      </c>
      <c r="B78" s="390">
        <v>5</v>
      </c>
      <c r="C78" s="387" t="s">
        <v>453</v>
      </c>
      <c r="D78" s="19" t="s">
        <v>454</v>
      </c>
      <c r="E78" s="207" t="s">
        <v>455</v>
      </c>
      <c r="F78" s="188" t="s">
        <v>456</v>
      </c>
      <c r="G78" s="56" t="str">
        <f>L78</f>
        <v xml:space="preserve">Elaborar un inventari d'elements d'interès paisatgístic de l'ENP d'acord amb el Catàleg de paisatge de la zona </v>
      </c>
      <c r="H78" s="216" t="s">
        <v>458</v>
      </c>
      <c r="I78" s="31" t="s">
        <v>1062</v>
      </c>
      <c r="J78" s="163"/>
      <c r="K78" s="163" t="s">
        <v>1043</v>
      </c>
      <c r="L78" s="187" t="s">
        <v>457</v>
      </c>
      <c r="M78" s="188" t="s">
        <v>271</v>
      </c>
      <c r="N78" s="188" t="s">
        <v>285</v>
      </c>
      <c r="O78" s="56"/>
      <c r="P78" s="31"/>
      <c r="Q78" s="57" t="s">
        <v>305</v>
      </c>
      <c r="R78" s="31"/>
      <c r="S78" s="58"/>
      <c r="T78" s="59"/>
      <c r="U78" s="163">
        <v>1.4999999999999999E-2</v>
      </c>
      <c r="V78" s="163">
        <f>PLA!U81*Llistes!$L$11*Llistes!$L$12</f>
        <v>2</v>
      </c>
      <c r="W78" s="60" t="s">
        <v>412</v>
      </c>
      <c r="X78" s="60" t="str">
        <f>IF(W78=Llistes!$K$2,Llistes!$L$2,IF(W78=Llistes!$K$3,Llistes!$L$3,IF(W78=Llistes!$K$4,Llistes!$L$4,IF(W78=Llistes!$K$5,Llistes!$L$5,IF(W78=Llistes!$K$6,Llistes!$L$6,IF(W78=Llistes!$K$7,Llistes!$L$7,""))))))</f>
        <v>Ivan Bustamante</v>
      </c>
      <c r="Y78" s="165" t="s">
        <v>994</v>
      </c>
      <c r="Z78" s="165" t="s">
        <v>994</v>
      </c>
      <c r="AA78" s="165" t="s">
        <v>994</v>
      </c>
      <c r="AB78" s="165" t="s">
        <v>994</v>
      </c>
      <c r="AC78" s="165"/>
    </row>
    <row r="79" spans="1:29" ht="29">
      <c r="A79" s="12" t="s">
        <v>405</v>
      </c>
      <c r="B79" s="434"/>
      <c r="C79" s="388"/>
      <c r="D79" s="327" t="s">
        <v>1447</v>
      </c>
      <c r="E79" s="275" t="s">
        <v>1448</v>
      </c>
      <c r="F79" s="186" t="s">
        <v>459</v>
      </c>
      <c r="G79" s="56" t="s">
        <v>460</v>
      </c>
      <c r="H79" s="216" t="s">
        <v>1248</v>
      </c>
      <c r="I79" s="31" t="s">
        <v>1097</v>
      </c>
      <c r="J79" s="163">
        <v>0</v>
      </c>
      <c r="K79" s="163">
        <v>0</v>
      </c>
      <c r="L79" s="187" t="s">
        <v>460</v>
      </c>
      <c r="M79" s="188" t="s">
        <v>271</v>
      </c>
      <c r="N79" s="188" t="s">
        <v>285</v>
      </c>
      <c r="O79" s="56"/>
      <c r="P79" s="31"/>
      <c r="Q79" s="57" t="s">
        <v>305</v>
      </c>
      <c r="R79" s="31"/>
      <c r="S79" s="58"/>
      <c r="T79" s="59"/>
      <c r="U79" s="163">
        <v>1.4999999999999999E-2</v>
      </c>
      <c r="V79" s="163">
        <f>PLA!U82*Llistes!$L$11*Llistes!$L$12</f>
        <v>2</v>
      </c>
      <c r="W79" s="60" t="s">
        <v>349</v>
      </c>
      <c r="X79" s="60" t="str">
        <f>IF(W79=Llistes!$K$2,Llistes!$L$2,IF(W79=Llistes!$K$3,Llistes!$L$3,IF(W79=Llistes!$K$4,Llistes!$L$4,IF(W79=Llistes!$K$5,Llistes!$L$5,IF(W79=Llistes!$K$6,Llistes!$L$6,IF(W79=Llistes!$K$7,Llistes!$L$7,""))))))</f>
        <v>Sergi Roura</v>
      </c>
      <c r="Y79" s="165" t="s">
        <v>994</v>
      </c>
      <c r="Z79" s="165" t="s">
        <v>994</v>
      </c>
      <c r="AA79" s="165" t="s">
        <v>994</v>
      </c>
      <c r="AB79" s="165" t="s">
        <v>994</v>
      </c>
      <c r="AC79" s="147"/>
    </row>
    <row r="80" spans="1:29" ht="29">
      <c r="A80" s="12" t="s">
        <v>405</v>
      </c>
      <c r="B80" s="434"/>
      <c r="C80" s="388"/>
      <c r="D80" s="327"/>
      <c r="E80" s="276"/>
      <c r="F80" s="186" t="s">
        <v>459</v>
      </c>
      <c r="G80" s="56" t="s">
        <v>460</v>
      </c>
      <c r="H80" s="216" t="s">
        <v>1249</v>
      </c>
      <c r="I80" s="31" t="s">
        <v>1294</v>
      </c>
      <c r="J80" s="163"/>
      <c r="K80" s="163" t="s">
        <v>1043</v>
      </c>
      <c r="L80" s="187" t="s">
        <v>460</v>
      </c>
      <c r="M80" s="188" t="s">
        <v>271</v>
      </c>
      <c r="N80" s="188" t="s">
        <v>285</v>
      </c>
      <c r="O80" s="56"/>
      <c r="P80" s="31"/>
      <c r="Q80" s="57" t="s">
        <v>305</v>
      </c>
      <c r="R80" s="31"/>
      <c r="S80" s="58"/>
      <c r="T80" s="59"/>
      <c r="U80" s="163">
        <v>1.4999999999999999E-2</v>
      </c>
      <c r="V80" s="163">
        <f>PLA!U83*Llistes!$L$11*Llistes!$L$12</f>
        <v>2</v>
      </c>
      <c r="W80" s="60" t="s">
        <v>291</v>
      </c>
      <c r="X80" s="60" t="str">
        <f>IF(W80=Llistes!$K$2,Llistes!$L$2,IF(W80=Llistes!$K$3,Llistes!$L$3,IF(W80=Llistes!$K$4,Llistes!$L$4,IF(W80=Llistes!$K$5,Llistes!$L$5,IF(W80=Llistes!$K$6,Llistes!$L$6,IF(W80=Llistes!$K$7,Llistes!$L$7,""))))))</f>
        <v>Gerard Carrion</v>
      </c>
      <c r="Y80" s="165" t="s">
        <v>994</v>
      </c>
      <c r="Z80" s="165" t="s">
        <v>994</v>
      </c>
      <c r="AA80" s="165" t="s">
        <v>994</v>
      </c>
      <c r="AB80" s="165" t="s">
        <v>994</v>
      </c>
      <c r="AC80" s="147"/>
    </row>
    <row r="81" spans="1:29" ht="43.5">
      <c r="A81" s="12" t="s">
        <v>405</v>
      </c>
      <c r="B81" s="434"/>
      <c r="C81" s="388"/>
      <c r="D81" s="328"/>
      <c r="E81" s="382"/>
      <c r="F81" s="186" t="s">
        <v>459</v>
      </c>
      <c r="G81" s="56" t="str">
        <f>L81</f>
        <v>Minimitzar la brutícia, deixalles, vandalisme i males praxis dins l'ENP</v>
      </c>
      <c r="H81" s="216" t="s">
        <v>1250</v>
      </c>
      <c r="I81" s="31" t="s">
        <v>1063</v>
      </c>
      <c r="J81" s="163"/>
      <c r="K81" s="163" t="s">
        <v>1043</v>
      </c>
      <c r="L81" s="187" t="s">
        <v>460</v>
      </c>
      <c r="M81" s="188" t="s">
        <v>271</v>
      </c>
      <c r="N81" s="188" t="s">
        <v>285</v>
      </c>
      <c r="O81" s="56"/>
      <c r="P81" s="31"/>
      <c r="Q81" s="57" t="s">
        <v>305</v>
      </c>
      <c r="R81" s="31"/>
      <c r="S81" s="58"/>
      <c r="T81" s="59"/>
      <c r="U81" s="163">
        <v>1.4999999999999999E-2</v>
      </c>
      <c r="V81" s="163">
        <f>PLA!U84*Llistes!$L$11*Llistes!$L$12</f>
        <v>2</v>
      </c>
      <c r="W81" s="60" t="s">
        <v>349</v>
      </c>
      <c r="X81" s="60" t="str">
        <f>IF(W81=Llistes!$K$2,Llistes!$L$2,IF(W81=Llistes!$K$3,Llistes!$L$3,IF(W81=Llistes!$K$4,Llistes!$L$4,IF(W81=Llistes!$K$5,Llistes!$L$5,IF(W81=Llistes!$K$6,Llistes!$L$6,IF(W81=Llistes!$K$7,Llistes!$L$7,""))))))</f>
        <v>Sergi Roura</v>
      </c>
      <c r="Y81" s="165" t="s">
        <v>994</v>
      </c>
      <c r="Z81" s="165" t="s">
        <v>994</v>
      </c>
      <c r="AA81" s="165" t="s">
        <v>994</v>
      </c>
      <c r="AB81" s="165" t="s">
        <v>994</v>
      </c>
      <c r="AC81" s="147"/>
    </row>
    <row r="82" spans="1:29" ht="72.5">
      <c r="A82" s="12" t="s">
        <v>405</v>
      </c>
      <c r="B82" s="434"/>
      <c r="C82" s="388"/>
      <c r="D82" s="336" t="s">
        <v>1449</v>
      </c>
      <c r="E82" s="275" t="s">
        <v>1450</v>
      </c>
      <c r="F82" s="186" t="s">
        <v>461</v>
      </c>
      <c r="G82" s="56" t="s">
        <v>463</v>
      </c>
      <c r="H82" s="216" t="s">
        <v>1251</v>
      </c>
      <c r="I82" s="31" t="s">
        <v>1295</v>
      </c>
      <c r="J82" s="163"/>
      <c r="K82" s="163" t="s">
        <v>1043</v>
      </c>
      <c r="L82" s="187" t="s">
        <v>462</v>
      </c>
      <c r="M82" s="188" t="s">
        <v>303</v>
      </c>
      <c r="N82" s="188" t="s">
        <v>285</v>
      </c>
      <c r="O82" s="56" t="s">
        <v>464</v>
      </c>
      <c r="P82" s="31"/>
      <c r="Q82" s="57" t="s">
        <v>305</v>
      </c>
      <c r="R82" s="31"/>
      <c r="S82" s="58" t="s">
        <v>288</v>
      </c>
      <c r="T82" s="59"/>
      <c r="U82" s="163">
        <v>1.4999999999999999E-2</v>
      </c>
      <c r="V82" s="163">
        <f>PLA!U85*Llistes!$L$11*Llistes!$L$12</f>
        <v>2</v>
      </c>
      <c r="W82" s="60" t="s">
        <v>291</v>
      </c>
      <c r="X82" s="60" t="str">
        <f>IF(W82=Llistes!$K$2,Llistes!$L$2,IF(W82=Llistes!$K$3,Llistes!$L$3,IF(W82=Llistes!$K$4,Llistes!$L$4,IF(W82=Llistes!$K$5,Llistes!$L$5,IF(W82=Llistes!$K$6,Llistes!$L$6,IF(W82=Llistes!$K$7,Llistes!$L$7,""))))))</f>
        <v>Gerard Carrion</v>
      </c>
      <c r="Y82" s="165"/>
      <c r="Z82" s="165"/>
      <c r="AA82" s="165"/>
      <c r="AB82" s="165" t="s">
        <v>994</v>
      </c>
      <c r="AC82" s="147"/>
    </row>
    <row r="83" spans="1:29" ht="29">
      <c r="A83" s="12" t="s">
        <v>405</v>
      </c>
      <c r="B83" s="435"/>
      <c r="C83" s="388"/>
      <c r="D83" s="328"/>
      <c r="E83" s="276"/>
      <c r="F83" s="186" t="s">
        <v>1540</v>
      </c>
      <c r="G83" s="56"/>
      <c r="H83" s="216"/>
      <c r="I83" s="31"/>
      <c r="J83" s="163"/>
      <c r="K83" s="163"/>
      <c r="L83" s="187" t="s">
        <v>462</v>
      </c>
      <c r="M83" s="188" t="s">
        <v>303</v>
      </c>
      <c r="N83" s="188" t="s">
        <v>279</v>
      </c>
      <c r="O83" s="56"/>
      <c r="P83" s="31"/>
      <c r="Q83" s="57"/>
      <c r="R83" s="31"/>
      <c r="S83" s="58"/>
      <c r="T83" s="59"/>
      <c r="U83" s="163"/>
      <c r="V83" s="163"/>
      <c r="W83" s="60"/>
      <c r="X83" s="60"/>
      <c r="Y83" s="165"/>
      <c r="Z83" s="165"/>
      <c r="AA83" s="165"/>
      <c r="AB83" s="165"/>
      <c r="AC83" s="147"/>
    </row>
    <row r="84" spans="1:29" ht="58">
      <c r="A84" s="23" t="s">
        <v>465</v>
      </c>
      <c r="B84" s="365">
        <v>6</v>
      </c>
      <c r="C84" s="362" t="s">
        <v>466</v>
      </c>
      <c r="D84" s="280" t="s">
        <v>467</v>
      </c>
      <c r="E84" s="277" t="s">
        <v>468</v>
      </c>
      <c r="F84" s="186" t="s">
        <v>469</v>
      </c>
      <c r="G84" s="56" t="str">
        <f t="shared" ref="G84:G94" si="3">L84</f>
        <v>Identificar i prioritzar els elements clau i d'interès per a la gestió de la biodiversitat i geodiversitat de Catalunya que es troben dins l'ENP (espècies amenaçades, espècies exòtiques invasores,.. )</v>
      </c>
      <c r="H84" s="216" t="s">
        <v>1252</v>
      </c>
      <c r="I84" s="31" t="s">
        <v>1098</v>
      </c>
      <c r="J84" s="163">
        <v>2</v>
      </c>
      <c r="K84" s="163">
        <v>5</v>
      </c>
      <c r="L84" s="189" t="s">
        <v>470</v>
      </c>
      <c r="M84" s="188" t="s">
        <v>271</v>
      </c>
      <c r="N84" s="188" t="s">
        <v>285</v>
      </c>
      <c r="O84" s="56"/>
      <c r="P84" s="63"/>
      <c r="Q84" s="57" t="s">
        <v>273</v>
      </c>
      <c r="R84" s="63" t="s">
        <v>471</v>
      </c>
      <c r="S84" s="62" t="s">
        <v>472</v>
      </c>
      <c r="T84" s="59" t="s">
        <v>473</v>
      </c>
      <c r="U84" s="163">
        <v>1.4999999999999999E-2</v>
      </c>
      <c r="V84" s="163">
        <f>PLA!U87*Llistes!$L$11*Llistes!$L$12</f>
        <v>2</v>
      </c>
      <c r="W84" s="60" t="s">
        <v>277</v>
      </c>
      <c r="X84" s="60" t="str">
        <f>IF(W84=Llistes!$K$2,Llistes!$L$2,IF(W84=Llistes!$K$3,Llistes!$L$3,IF(W84=Llistes!$K$4,Llistes!$L$4,IF(W84=Llistes!$K$5,Llistes!$L$5,IF(W84=Llistes!$K$6,Llistes!$L$6,IF(W84=Llistes!$K$7,Llistes!$L$7,""))))))</f>
        <v>Pau Federico</v>
      </c>
      <c r="Y84" s="165" t="s">
        <v>994</v>
      </c>
      <c r="Z84" s="165" t="s">
        <v>994</v>
      </c>
      <c r="AA84" s="165" t="s">
        <v>994</v>
      </c>
      <c r="AB84" s="165" t="s">
        <v>994</v>
      </c>
      <c r="AC84" s="147"/>
    </row>
    <row r="85" spans="1:29" ht="58">
      <c r="A85" s="23" t="s">
        <v>465</v>
      </c>
      <c r="B85" s="436"/>
      <c r="C85" s="362"/>
      <c r="D85" s="281"/>
      <c r="E85" s="278"/>
      <c r="F85" s="186" t="s">
        <v>474</v>
      </c>
      <c r="G85" s="56" t="str">
        <f t="shared" si="3"/>
        <v>Definir espais fràgils i zones d'especial atenció</v>
      </c>
      <c r="H85" s="216" t="s">
        <v>1253</v>
      </c>
      <c r="I85" s="31" t="s">
        <v>1099</v>
      </c>
      <c r="J85" s="163">
        <v>2</v>
      </c>
      <c r="K85" s="163">
        <v>5</v>
      </c>
      <c r="L85" s="187" t="s">
        <v>475</v>
      </c>
      <c r="M85" s="188" t="s">
        <v>271</v>
      </c>
      <c r="N85" s="188" t="s">
        <v>285</v>
      </c>
      <c r="O85" s="56"/>
      <c r="P85" s="31"/>
      <c r="Q85" s="57" t="s">
        <v>273</v>
      </c>
      <c r="R85" s="31" t="s">
        <v>476</v>
      </c>
      <c r="S85" s="58"/>
      <c r="T85" s="59" t="s">
        <v>477</v>
      </c>
      <c r="U85" s="163">
        <v>1.4999999999999999E-2</v>
      </c>
      <c r="V85" s="163">
        <f>PLA!U88*Llistes!$L$11*Llistes!$L$12</f>
        <v>2</v>
      </c>
      <c r="W85" s="60" t="s">
        <v>291</v>
      </c>
      <c r="X85" s="60" t="str">
        <f>IF(W85=Llistes!$K$2,Llistes!$L$2,IF(W85=Llistes!$K$3,Llistes!$L$3,IF(W85=Llistes!$K$4,Llistes!$L$4,IF(W85=Llistes!$K$5,Llistes!$L$5,IF(W85=Llistes!$K$6,Llistes!$L$6,IF(W85=Llistes!$K$7,Llistes!$L$7,""))))))</f>
        <v>Gerard Carrion</v>
      </c>
      <c r="Y85" s="165" t="s">
        <v>994</v>
      </c>
      <c r="Z85" s="165" t="s">
        <v>994</v>
      </c>
      <c r="AA85" s="165" t="s">
        <v>994</v>
      </c>
      <c r="AB85" s="165" t="s">
        <v>994</v>
      </c>
      <c r="AC85" s="147"/>
    </row>
    <row r="86" spans="1:29" ht="58">
      <c r="A86" s="23" t="s">
        <v>465</v>
      </c>
      <c r="B86" s="436"/>
      <c r="C86" s="362"/>
      <c r="D86" s="282"/>
      <c r="E86" s="279"/>
      <c r="F86" s="186" t="s">
        <v>474</v>
      </c>
      <c r="G86" s="56" t="str">
        <f t="shared" si="3"/>
        <v>Definir espais fràgils i zones d'especial atenció</v>
      </c>
      <c r="H86" s="216" t="s">
        <v>1072</v>
      </c>
      <c r="I86" s="31" t="s">
        <v>1073</v>
      </c>
      <c r="J86" s="164"/>
      <c r="K86" s="164" t="s">
        <v>1043</v>
      </c>
      <c r="L86" s="187" t="s">
        <v>475</v>
      </c>
      <c r="M86" s="188" t="s">
        <v>271</v>
      </c>
      <c r="N86" s="188" t="s">
        <v>285</v>
      </c>
      <c r="O86" s="56"/>
      <c r="P86" s="31"/>
      <c r="Q86" s="57" t="s">
        <v>273</v>
      </c>
      <c r="R86" s="31" t="s">
        <v>476</v>
      </c>
      <c r="S86" s="58"/>
      <c r="T86" s="59"/>
      <c r="U86" s="163">
        <v>0.15</v>
      </c>
      <c r="V86" s="163">
        <f>PLA!U89*Llistes!$L$11*Llistes!$L$12</f>
        <v>20</v>
      </c>
      <c r="W86" s="60" t="s">
        <v>1082</v>
      </c>
      <c r="X86" s="60" t="str">
        <f>IF(W86=Llistes!$K$2,Llistes!$L$2,IF(W86=Llistes!$K$3,Llistes!$L$3,IF(W86=Llistes!$K$4,Llistes!$L$4,IF(W86=Llistes!$K$5,Llistes!$L$5,IF(W86=Llistes!$K$6,Llistes!$L$6,IF(W86=Llistes!$K$7,Llistes!$L$7,""))))))</f>
        <v>Montse Pascual</v>
      </c>
      <c r="Y86" s="165" t="s">
        <v>994</v>
      </c>
      <c r="Z86" s="165"/>
      <c r="AA86" s="165"/>
      <c r="AB86" s="165"/>
      <c r="AC86" s="147"/>
    </row>
    <row r="87" spans="1:29" ht="43.5" customHeight="1">
      <c r="A87" s="23" t="s">
        <v>465</v>
      </c>
      <c r="B87" s="436"/>
      <c r="C87" s="362"/>
      <c r="D87" s="280" t="s">
        <v>478</v>
      </c>
      <c r="E87" s="283" t="s">
        <v>479</v>
      </c>
      <c r="F87" s="186" t="s">
        <v>480</v>
      </c>
      <c r="G87" s="56" t="str">
        <f t="shared" si="3"/>
        <v>Participar en l'elaboració de la cartografia que elabora la UIC</v>
      </c>
      <c r="H87" s="216" t="s">
        <v>1254</v>
      </c>
      <c r="I87" s="31" t="s">
        <v>1100</v>
      </c>
      <c r="J87" s="163">
        <v>1</v>
      </c>
      <c r="K87" s="163">
        <v>3</v>
      </c>
      <c r="L87" s="187" t="s">
        <v>481</v>
      </c>
      <c r="M87" s="188" t="s">
        <v>271</v>
      </c>
      <c r="N87" s="188" t="s">
        <v>285</v>
      </c>
      <c r="O87" s="56"/>
      <c r="P87" s="31"/>
      <c r="Q87" s="57" t="s">
        <v>286</v>
      </c>
      <c r="R87" s="31" t="s">
        <v>482</v>
      </c>
      <c r="S87" s="58" t="s">
        <v>288</v>
      </c>
      <c r="T87" s="59" t="s">
        <v>483</v>
      </c>
      <c r="U87" s="163">
        <v>1.4999999999999999E-2</v>
      </c>
      <c r="V87" s="163">
        <f>PLA!U90*Llistes!$L$11*Llistes!$L$12</f>
        <v>2</v>
      </c>
      <c r="W87" s="60" t="s">
        <v>291</v>
      </c>
      <c r="X87" s="60" t="str">
        <f>IF(W87=Llistes!$K$2,Llistes!$L$2,IF(W87=Llistes!$K$3,Llistes!$L$3,IF(W87=Llistes!$K$4,Llistes!$L$4,IF(W87=Llistes!$K$5,Llistes!$L$5,IF(W87=Llistes!$K$6,Llistes!$L$6,IF(W87=Llistes!$K$7,Llistes!$L$7,""))))))</f>
        <v>Gerard Carrion</v>
      </c>
      <c r="Y87" s="165" t="s">
        <v>994</v>
      </c>
      <c r="Z87" s="165" t="s">
        <v>994</v>
      </c>
      <c r="AA87" s="165" t="s">
        <v>994</v>
      </c>
      <c r="AB87" s="165" t="s">
        <v>994</v>
      </c>
      <c r="AC87" s="147"/>
    </row>
    <row r="88" spans="1:29" ht="130.5">
      <c r="A88" s="23" t="s">
        <v>465</v>
      </c>
      <c r="B88" s="436"/>
      <c r="C88" s="362"/>
      <c r="D88" s="281"/>
      <c r="E88" s="284"/>
      <c r="F88" s="186" t="s">
        <v>484</v>
      </c>
      <c r="G88" s="56" t="str">
        <f t="shared" si="3"/>
        <v>Conèixer i estudiar els processos naturals propis de l’espai, la seva funcionalitat, i ecologia en referència als ecosistemes</v>
      </c>
      <c r="H88" s="216" t="s">
        <v>1255</v>
      </c>
      <c r="I88" s="31" t="s">
        <v>1101</v>
      </c>
      <c r="J88" s="163">
        <v>1</v>
      </c>
      <c r="K88" s="163">
        <v>3</v>
      </c>
      <c r="L88" s="187" t="s">
        <v>485</v>
      </c>
      <c r="M88" s="188" t="s">
        <v>271</v>
      </c>
      <c r="N88" s="188" t="s">
        <v>285</v>
      </c>
      <c r="O88" s="56"/>
      <c r="P88" s="31"/>
      <c r="Q88" s="57" t="s">
        <v>305</v>
      </c>
      <c r="R88" s="31" t="s">
        <v>486</v>
      </c>
      <c r="S88" s="58"/>
      <c r="T88" s="59"/>
      <c r="U88" s="163">
        <v>1.4999999999999999E-2</v>
      </c>
      <c r="V88" s="163">
        <f>PLA!U91*Llistes!$L$11*Llistes!$L$12</f>
        <v>2</v>
      </c>
      <c r="W88" s="60" t="s">
        <v>291</v>
      </c>
      <c r="X88" s="60" t="str">
        <f>IF(W88=Llistes!$K$2,Llistes!$L$2,IF(W88=Llistes!$K$3,Llistes!$L$3,IF(W88=Llistes!$K$4,Llistes!$L$4,IF(W88=Llistes!$K$5,Llistes!$L$5,IF(W88=Llistes!$K$6,Llistes!$L$6,IF(W88=Llistes!$K$7,Llistes!$L$7,""))))))</f>
        <v>Gerard Carrion</v>
      </c>
      <c r="Y88" s="165" t="s">
        <v>994</v>
      </c>
      <c r="Z88" s="165" t="s">
        <v>994</v>
      </c>
      <c r="AA88" s="165" t="s">
        <v>994</v>
      </c>
      <c r="AB88" s="165" t="s">
        <v>994</v>
      </c>
      <c r="AC88" s="147"/>
    </row>
    <row r="89" spans="1:29" ht="130.5">
      <c r="A89" s="23" t="s">
        <v>465</v>
      </c>
      <c r="B89" s="436"/>
      <c r="C89" s="362"/>
      <c r="D89" s="281"/>
      <c r="E89" s="284"/>
      <c r="F89" s="186" t="s">
        <v>484</v>
      </c>
      <c r="G89" s="56" t="str">
        <f t="shared" si="3"/>
        <v>Conèixer i estudiar els processos naturals propis de l’espai, la seva funcionalitat, i ecologia en referència als ecosistemes</v>
      </c>
      <c r="H89" s="216" t="s">
        <v>1256</v>
      </c>
      <c r="I89" s="31" t="s">
        <v>1102</v>
      </c>
      <c r="J89" s="163">
        <v>0</v>
      </c>
      <c r="K89" s="163">
        <v>1</v>
      </c>
      <c r="L89" s="187" t="s">
        <v>485</v>
      </c>
      <c r="M89" s="188" t="s">
        <v>271</v>
      </c>
      <c r="N89" s="188" t="s">
        <v>285</v>
      </c>
      <c r="O89" s="56"/>
      <c r="P89" s="31"/>
      <c r="Q89" s="57" t="s">
        <v>305</v>
      </c>
      <c r="R89" s="31" t="s">
        <v>486</v>
      </c>
      <c r="S89" s="58"/>
      <c r="T89" s="59"/>
      <c r="U89" s="163">
        <v>1.4999999999999999E-2</v>
      </c>
      <c r="V89" s="163">
        <f>PLA!U92*Llistes!$L$11*Llistes!$L$12</f>
        <v>2</v>
      </c>
      <c r="W89" s="60" t="s">
        <v>291</v>
      </c>
      <c r="X89" s="60" t="str">
        <f>IF(W89=Llistes!$K$2,Llistes!$L$2,IF(W89=Llistes!$K$3,Llistes!$L$3,IF(W89=Llistes!$K$4,Llistes!$L$4,IF(W89=Llistes!$K$5,Llistes!$L$5,IF(W89=Llistes!$K$6,Llistes!$L$6,IF(W89=Llistes!$K$7,Llistes!$L$7,""))))))</f>
        <v>Gerard Carrion</v>
      </c>
      <c r="Y89" s="165" t="s">
        <v>994</v>
      </c>
      <c r="Z89" s="165" t="s">
        <v>994</v>
      </c>
      <c r="AA89" s="165" t="s">
        <v>994</v>
      </c>
      <c r="AB89" s="165" t="s">
        <v>994</v>
      </c>
      <c r="AC89" s="147"/>
    </row>
    <row r="90" spans="1:29" ht="130.5">
      <c r="A90" s="23" t="s">
        <v>465</v>
      </c>
      <c r="B90" s="436"/>
      <c r="C90" s="362"/>
      <c r="D90" s="281"/>
      <c r="E90" s="284"/>
      <c r="F90" s="186" t="s">
        <v>484</v>
      </c>
      <c r="G90" s="56" t="str">
        <f t="shared" si="3"/>
        <v>Conèixer i estudiar els processos naturals propis de l’espai, la seva funcionalitat, i ecologia en referència als ecosistemes</v>
      </c>
      <c r="H90" s="216" t="s">
        <v>1257</v>
      </c>
      <c r="I90" s="31" t="s">
        <v>1296</v>
      </c>
      <c r="J90" s="163"/>
      <c r="K90" s="163" t="s">
        <v>1043</v>
      </c>
      <c r="L90" s="187" t="s">
        <v>485</v>
      </c>
      <c r="M90" s="188" t="s">
        <v>271</v>
      </c>
      <c r="N90" s="188" t="s">
        <v>285</v>
      </c>
      <c r="O90" s="56"/>
      <c r="P90" s="31"/>
      <c r="Q90" s="57" t="s">
        <v>305</v>
      </c>
      <c r="R90" s="31" t="s">
        <v>486</v>
      </c>
      <c r="S90" s="58"/>
      <c r="T90" s="59"/>
      <c r="U90" s="163">
        <v>1.4999999999999999E-2</v>
      </c>
      <c r="V90" s="163">
        <f>PLA!U93*Llistes!$L$11*Llistes!$L$12</f>
        <v>2</v>
      </c>
      <c r="W90" s="60" t="s">
        <v>277</v>
      </c>
      <c r="X90" s="60" t="str">
        <f>IF(W90=Llistes!$K$2,Llistes!$L$2,IF(W90=Llistes!$K$3,Llistes!$L$3,IF(W90=Llistes!$K$4,Llistes!$L$4,IF(W90=Llistes!$K$5,Llistes!$L$5,IF(W90=Llistes!$K$6,Llistes!$L$6,IF(W90=Llistes!$K$7,Llistes!$L$7,""))))))</f>
        <v>Pau Federico</v>
      </c>
      <c r="Y90" s="165" t="s">
        <v>994</v>
      </c>
      <c r="Z90" s="165" t="s">
        <v>994</v>
      </c>
      <c r="AA90" s="165" t="s">
        <v>994</v>
      </c>
      <c r="AB90" s="165" t="s">
        <v>994</v>
      </c>
      <c r="AC90" s="147"/>
    </row>
    <row r="91" spans="1:29" ht="159.5">
      <c r="A91" s="23" t="s">
        <v>465</v>
      </c>
      <c r="B91" s="436"/>
      <c r="C91" s="362"/>
      <c r="D91" s="281"/>
      <c r="E91" s="284"/>
      <c r="F91" s="186" t="s">
        <v>484</v>
      </c>
      <c r="G91" s="56" t="str">
        <f t="shared" si="3"/>
        <v>Conèixer i estudiar els processos naturals propis de l’espai, la seva funcionalitat, i ecologia en referència als ecosistemes</v>
      </c>
      <c r="H91" s="216" t="s">
        <v>1258</v>
      </c>
      <c r="I91" s="31" t="s">
        <v>1103</v>
      </c>
      <c r="J91" s="163">
        <v>1</v>
      </c>
      <c r="K91" s="163">
        <v>2</v>
      </c>
      <c r="L91" s="187" t="s">
        <v>485</v>
      </c>
      <c r="M91" s="188" t="s">
        <v>271</v>
      </c>
      <c r="N91" s="188" t="s">
        <v>285</v>
      </c>
      <c r="O91" s="56"/>
      <c r="P91" s="31"/>
      <c r="Q91" s="57" t="s">
        <v>273</v>
      </c>
      <c r="R91" s="31" t="s">
        <v>489</v>
      </c>
      <c r="S91" s="58"/>
      <c r="T91" s="59"/>
      <c r="U91" s="163">
        <v>1.4999999999999999E-2</v>
      </c>
      <c r="V91" s="163">
        <f>PLA!U94*Llistes!$L$11*Llistes!$L$12</f>
        <v>2</v>
      </c>
      <c r="W91" s="60" t="s">
        <v>277</v>
      </c>
      <c r="X91" s="60" t="str">
        <f>IF(W91=Llistes!$K$2,Llistes!$L$2,IF(W91=Llistes!$K$3,Llistes!$L$3,IF(W91=Llistes!$K$4,Llistes!$L$4,IF(W91=Llistes!$K$5,Llistes!$L$5,IF(W91=Llistes!$K$6,Llistes!$L$6,IF(W91=Llistes!$K$7,Llistes!$L$7,""))))))</f>
        <v>Pau Federico</v>
      </c>
      <c r="Y91" s="165" t="s">
        <v>994</v>
      </c>
      <c r="Z91" s="165" t="s">
        <v>994</v>
      </c>
      <c r="AA91" s="165" t="s">
        <v>994</v>
      </c>
      <c r="AB91" s="165" t="s">
        <v>994</v>
      </c>
      <c r="AC91" s="147"/>
    </row>
    <row r="92" spans="1:29" ht="159.5">
      <c r="A92" s="23" t="s">
        <v>465</v>
      </c>
      <c r="B92" s="436"/>
      <c r="C92" s="362"/>
      <c r="D92" s="281"/>
      <c r="E92" s="284"/>
      <c r="F92" s="186" t="s">
        <v>484</v>
      </c>
      <c r="G92" s="56" t="str">
        <f t="shared" si="3"/>
        <v>Conèixer i estudiar els processos naturals propis de l’espai, la seva funcionalitat, i ecologia en referència als ecosistemes</v>
      </c>
      <c r="H92" s="216" t="s">
        <v>1259</v>
      </c>
      <c r="I92" s="31" t="s">
        <v>1297</v>
      </c>
      <c r="J92" s="163"/>
      <c r="K92" s="163" t="s">
        <v>1043</v>
      </c>
      <c r="L92" s="187" t="s">
        <v>485</v>
      </c>
      <c r="M92" s="188" t="s">
        <v>271</v>
      </c>
      <c r="N92" s="188" t="s">
        <v>285</v>
      </c>
      <c r="O92" s="56"/>
      <c r="P92" s="31"/>
      <c r="Q92" s="57" t="s">
        <v>286</v>
      </c>
      <c r="R92" s="31" t="s">
        <v>489</v>
      </c>
      <c r="S92" s="58"/>
      <c r="T92" s="59"/>
      <c r="U92" s="163">
        <v>1.4999999999999999E-2</v>
      </c>
      <c r="V92" s="163">
        <f>PLA!U95*Llistes!$L$11*Llistes!$L$12</f>
        <v>2</v>
      </c>
      <c r="W92" s="60" t="s">
        <v>291</v>
      </c>
      <c r="X92" s="60" t="str">
        <f>IF(W92=Llistes!$K$2,Llistes!$L$2,IF(W92=Llistes!$K$3,Llistes!$L$3,IF(W92=Llistes!$K$4,Llistes!$L$4,IF(W92=Llistes!$K$5,Llistes!$L$5,IF(W92=Llistes!$K$6,Llistes!$L$6,IF(W92=Llistes!$K$7,Llistes!$L$7,""))))))</f>
        <v>Gerard Carrion</v>
      </c>
      <c r="Y92" s="165"/>
      <c r="Z92" s="165" t="s">
        <v>994</v>
      </c>
      <c r="AA92" s="165"/>
      <c r="AB92" s="165"/>
      <c r="AC92" s="147"/>
    </row>
    <row r="93" spans="1:29" ht="159.5">
      <c r="A93" s="23" t="s">
        <v>465</v>
      </c>
      <c r="B93" s="436"/>
      <c r="C93" s="362"/>
      <c r="D93" s="281"/>
      <c r="E93" s="284"/>
      <c r="F93" s="186" t="s">
        <v>484</v>
      </c>
      <c r="G93" s="56" t="str">
        <f t="shared" si="3"/>
        <v>Conèixer i estudiar els processos naturals propis de l’espai, la seva funcionalitat, i ecologia en referència als ecosistemes</v>
      </c>
      <c r="H93" s="216" t="s">
        <v>1260</v>
      </c>
      <c r="I93" s="31" t="s">
        <v>1298</v>
      </c>
      <c r="J93" s="163"/>
      <c r="K93" s="163" t="s">
        <v>1043</v>
      </c>
      <c r="L93" s="187" t="s">
        <v>485</v>
      </c>
      <c r="M93" s="188" t="s">
        <v>271</v>
      </c>
      <c r="N93" s="188" t="s">
        <v>285</v>
      </c>
      <c r="O93" s="56"/>
      <c r="P93" s="31"/>
      <c r="Q93" s="57" t="s">
        <v>286</v>
      </c>
      <c r="R93" s="31" t="s">
        <v>489</v>
      </c>
      <c r="S93" s="58"/>
      <c r="T93" s="59"/>
      <c r="U93" s="163">
        <v>1.4999999999999999E-2</v>
      </c>
      <c r="V93" s="163">
        <f>PLA!U96*Llistes!$L$11*Llistes!$L$12</f>
        <v>2</v>
      </c>
      <c r="W93" s="60" t="s">
        <v>291</v>
      </c>
      <c r="X93" s="60" t="str">
        <f>IF(W93=Llistes!$K$2,Llistes!$L$2,IF(W93=Llistes!$K$3,Llistes!$L$3,IF(W93=Llistes!$K$4,Llistes!$L$4,IF(W93=Llistes!$K$5,Llistes!$L$5,IF(W93=Llistes!$K$6,Llistes!$L$6,IF(W93=Llistes!$K$7,Llistes!$L$7,""))))))</f>
        <v>Gerard Carrion</v>
      </c>
      <c r="Y93" s="165"/>
      <c r="Z93" s="165"/>
      <c r="AA93" s="165"/>
      <c r="AB93" s="165" t="s">
        <v>994</v>
      </c>
      <c r="AC93" s="147"/>
    </row>
    <row r="94" spans="1:29" ht="159.5">
      <c r="A94" s="23" t="s">
        <v>465</v>
      </c>
      <c r="B94" s="436"/>
      <c r="C94" s="362"/>
      <c r="D94" s="281"/>
      <c r="E94" s="284"/>
      <c r="F94" s="186" t="s">
        <v>484</v>
      </c>
      <c r="G94" s="56" t="str">
        <f t="shared" si="3"/>
        <v>Conèixer els usos i factors de canvi rellevants en l'evolució dels elements de conservació, i avaluar els efectes que generen en l’espai (pressions i amenaces)</v>
      </c>
      <c r="H94" s="216" t="s">
        <v>1261</v>
      </c>
      <c r="I94" s="31" t="s">
        <v>1299</v>
      </c>
      <c r="J94" s="163"/>
      <c r="K94" s="163" t="s">
        <v>1043</v>
      </c>
      <c r="L94" s="187" t="s">
        <v>488</v>
      </c>
      <c r="M94" s="188" t="s">
        <v>271</v>
      </c>
      <c r="N94" s="188" t="s">
        <v>285</v>
      </c>
      <c r="O94" s="56"/>
      <c r="P94" s="31"/>
      <c r="Q94" s="57" t="s">
        <v>286</v>
      </c>
      <c r="R94" s="31" t="s">
        <v>489</v>
      </c>
      <c r="S94" s="58" t="s">
        <v>288</v>
      </c>
      <c r="T94" s="59" t="s">
        <v>490</v>
      </c>
      <c r="U94" s="163">
        <v>1.4999999999999999E-2</v>
      </c>
      <c r="V94" s="163">
        <f>PLA!U97*Llistes!$L$11*Llistes!$L$12</f>
        <v>2</v>
      </c>
      <c r="W94" s="60" t="s">
        <v>277</v>
      </c>
      <c r="X94" s="60" t="str">
        <f>IF(W94=Llistes!$K$2,Llistes!$L$2,IF(W94=Llistes!$K$3,Llistes!$L$3,IF(W94=Llistes!$K$4,Llistes!$L$4,IF(W94=Llistes!$K$5,Llistes!$L$5,IF(W94=Llistes!$K$6,Llistes!$L$6,IF(W94=Llistes!$K$7,Llistes!$L$7,""))))))</f>
        <v>Pau Federico</v>
      </c>
      <c r="Y94" s="165" t="s">
        <v>994</v>
      </c>
      <c r="Z94" s="165" t="s">
        <v>994</v>
      </c>
      <c r="AA94" s="165" t="s">
        <v>994</v>
      </c>
      <c r="AB94" s="165" t="s">
        <v>994</v>
      </c>
      <c r="AC94" s="147"/>
    </row>
    <row r="95" spans="1:29" ht="43.5">
      <c r="A95" s="23" t="s">
        <v>465</v>
      </c>
      <c r="B95" s="436"/>
      <c r="C95" s="362"/>
      <c r="D95" s="281"/>
      <c r="E95" s="284"/>
      <c r="F95" s="186" t="s">
        <v>487</v>
      </c>
      <c r="G95" s="56"/>
      <c r="H95" s="216"/>
      <c r="I95" s="31"/>
      <c r="J95" s="163"/>
      <c r="K95" s="163"/>
      <c r="L95" s="187" t="s">
        <v>488</v>
      </c>
      <c r="M95" s="188" t="s">
        <v>271</v>
      </c>
      <c r="N95" s="188" t="s">
        <v>285</v>
      </c>
      <c r="O95" s="56"/>
      <c r="P95" s="31"/>
      <c r="Q95" s="57"/>
      <c r="R95" s="31"/>
      <c r="S95" s="58"/>
      <c r="T95" s="59"/>
      <c r="U95" s="163"/>
      <c r="V95" s="163"/>
      <c r="W95" s="60"/>
      <c r="X95" s="60"/>
      <c r="Y95" s="165"/>
      <c r="Z95" s="165"/>
      <c r="AA95" s="165"/>
      <c r="AB95" s="165"/>
      <c r="AC95" s="147"/>
    </row>
    <row r="96" spans="1:29" ht="58">
      <c r="A96" s="23" t="s">
        <v>465</v>
      </c>
      <c r="B96" s="436"/>
      <c r="C96" s="362"/>
      <c r="D96" s="281"/>
      <c r="E96" s="284"/>
      <c r="F96" s="186" t="s">
        <v>491</v>
      </c>
      <c r="G96" s="56" t="str">
        <f>L96</f>
        <v>Conèixer l'impacte de les gestió de l'aigua, sobre la biodiversitat</v>
      </c>
      <c r="H96" s="216" t="s">
        <v>1262</v>
      </c>
      <c r="I96" s="31" t="s">
        <v>1104</v>
      </c>
      <c r="J96" s="163">
        <v>1</v>
      </c>
      <c r="K96" s="163">
        <v>2</v>
      </c>
      <c r="L96" s="187" t="s">
        <v>1593</v>
      </c>
      <c r="M96" s="188" t="s">
        <v>271</v>
      </c>
      <c r="N96" s="188" t="s">
        <v>285</v>
      </c>
      <c r="O96" s="56"/>
      <c r="P96" s="31"/>
      <c r="Q96" s="57" t="s">
        <v>305</v>
      </c>
      <c r="R96" s="31" t="s">
        <v>492</v>
      </c>
      <c r="S96" s="58"/>
      <c r="T96" s="59"/>
      <c r="U96" s="163">
        <v>1.4999999999999999E-2</v>
      </c>
      <c r="V96" s="163">
        <f>PLA!U99*Llistes!$L$11*Llistes!$L$12</f>
        <v>2</v>
      </c>
      <c r="W96" s="60" t="s">
        <v>291</v>
      </c>
      <c r="X96" s="60" t="str">
        <f>IF(W96=Llistes!$K$2,Llistes!$L$2,IF(W96=Llistes!$K$3,Llistes!$L$3,IF(W96=Llistes!$K$4,Llistes!$L$4,IF(W96=Llistes!$K$5,Llistes!$L$5,IF(W96=Llistes!$K$6,Llistes!$L$6,IF(W96=Llistes!$K$7,Llistes!$L$7,""))))))</f>
        <v>Gerard Carrion</v>
      </c>
      <c r="Y96" s="165" t="s">
        <v>994</v>
      </c>
      <c r="Z96" s="165" t="s">
        <v>994</v>
      </c>
      <c r="AA96" s="165" t="s">
        <v>994</v>
      </c>
      <c r="AB96" s="165" t="s">
        <v>994</v>
      </c>
      <c r="AC96" s="147"/>
    </row>
    <row r="97" spans="1:29" ht="72.5">
      <c r="A97" s="23" t="s">
        <v>465</v>
      </c>
      <c r="B97" s="436"/>
      <c r="C97" s="362"/>
      <c r="D97" s="281"/>
      <c r="E97" s="284"/>
      <c r="F97" s="186" t="s">
        <v>493</v>
      </c>
      <c r="G97" s="56" t="str">
        <f>L97</f>
        <v>Participar en el coneixement de la tendència d'espècies plaga amb afectacions sobre ecosistemes o activitats econòmiques dins l'ENP</v>
      </c>
      <c r="H97" s="216" t="s">
        <v>1263</v>
      </c>
      <c r="I97" s="31" t="s">
        <v>1105</v>
      </c>
      <c r="J97" s="163">
        <v>1</v>
      </c>
      <c r="K97" s="163">
        <v>2</v>
      </c>
      <c r="L97" s="187" t="s">
        <v>494</v>
      </c>
      <c r="M97" s="188" t="s">
        <v>271</v>
      </c>
      <c r="N97" s="188" t="s">
        <v>285</v>
      </c>
      <c r="O97" s="56"/>
      <c r="P97" s="31"/>
      <c r="Q97" s="57" t="s">
        <v>305</v>
      </c>
      <c r="R97" s="31" t="s">
        <v>495</v>
      </c>
      <c r="S97" s="58"/>
      <c r="T97" s="59"/>
      <c r="U97" s="163">
        <v>1.4999999999999999E-2</v>
      </c>
      <c r="V97" s="163">
        <f>PLA!U100*Llistes!$L$11*Llistes!$L$12</f>
        <v>2</v>
      </c>
      <c r="W97" s="60" t="s">
        <v>291</v>
      </c>
      <c r="X97" s="60" t="str">
        <f>IF(W97=Llistes!$K$2,Llistes!$L$2,IF(W97=Llistes!$K$3,Llistes!$L$3,IF(W97=Llistes!$K$4,Llistes!$L$4,IF(W97=Llistes!$K$5,Llistes!$L$5,IF(W97=Llistes!$K$6,Llistes!$L$6,IF(W97=Llistes!$K$7,Llistes!$L$7,""))))))</f>
        <v>Gerard Carrion</v>
      </c>
      <c r="Y97" s="165" t="s">
        <v>994</v>
      </c>
      <c r="Z97" s="165" t="s">
        <v>994</v>
      </c>
      <c r="AA97" s="165" t="s">
        <v>994</v>
      </c>
      <c r="AB97" s="165" t="s">
        <v>994</v>
      </c>
      <c r="AC97" s="147"/>
    </row>
    <row r="98" spans="1:29" ht="43.5">
      <c r="A98" s="23" t="s">
        <v>465</v>
      </c>
      <c r="B98" s="436"/>
      <c r="C98" s="362"/>
      <c r="D98" s="281"/>
      <c r="E98" s="284"/>
      <c r="F98" s="186" t="s">
        <v>496</v>
      </c>
      <c r="G98" s="56" t="str">
        <f>L98</f>
        <v>Conèixer la tendència d'espècies exòtiques invasores amb afectacions sobre ecosistemes o activitats econòmiques dins l'ENP</v>
      </c>
      <c r="H98" s="216" t="s">
        <v>1264</v>
      </c>
      <c r="I98" s="31" t="s">
        <v>1106</v>
      </c>
      <c r="J98" s="163">
        <v>2</v>
      </c>
      <c r="K98" s="163">
        <v>4</v>
      </c>
      <c r="L98" s="187" t="s">
        <v>497</v>
      </c>
      <c r="M98" s="188" t="s">
        <v>271</v>
      </c>
      <c r="N98" s="188" t="s">
        <v>285</v>
      </c>
      <c r="O98" s="56"/>
      <c r="P98" s="31"/>
      <c r="Q98" s="57" t="s">
        <v>286</v>
      </c>
      <c r="R98" s="31" t="s">
        <v>498</v>
      </c>
      <c r="S98" s="58" t="s">
        <v>288</v>
      </c>
      <c r="T98" s="59"/>
      <c r="U98" s="163">
        <v>1.4999999999999999E-2</v>
      </c>
      <c r="V98" s="163">
        <f>PLA!U101*Llistes!$L$11*Llistes!$L$12</f>
        <v>2</v>
      </c>
      <c r="W98" s="60" t="s">
        <v>277</v>
      </c>
      <c r="X98" s="60" t="str">
        <f>IF(W98=Llistes!$K$2,Llistes!$L$2,IF(W98=Llistes!$K$3,Llistes!$L$3,IF(W98=Llistes!$K$4,Llistes!$L$4,IF(W98=Llistes!$K$5,Llistes!$L$5,IF(W98=Llistes!$K$6,Llistes!$L$6,IF(W98=Llistes!$K$7,Llistes!$L$7,""))))))</f>
        <v>Pau Federico</v>
      </c>
      <c r="Y98" s="165" t="s">
        <v>994</v>
      </c>
      <c r="Z98" s="165" t="s">
        <v>994</v>
      </c>
      <c r="AA98" s="165" t="s">
        <v>994</v>
      </c>
      <c r="AB98" s="165" t="s">
        <v>994</v>
      </c>
      <c r="AC98" s="147"/>
    </row>
    <row r="99" spans="1:29" ht="29">
      <c r="A99" s="23"/>
      <c r="B99" s="436"/>
      <c r="C99" s="362"/>
      <c r="D99" s="282"/>
      <c r="E99" s="285"/>
      <c r="F99" s="186" t="s">
        <v>1542</v>
      </c>
      <c r="G99" s="56"/>
      <c r="H99" s="216"/>
      <c r="I99" s="31"/>
      <c r="J99" s="163"/>
      <c r="K99" s="163"/>
      <c r="L99" s="187" t="s">
        <v>1541</v>
      </c>
      <c r="M99" s="188" t="s">
        <v>271</v>
      </c>
      <c r="N99" s="188" t="s">
        <v>279</v>
      </c>
      <c r="O99" s="56"/>
      <c r="P99" s="31"/>
      <c r="Q99" s="57"/>
      <c r="R99" s="31"/>
      <c r="S99" s="58"/>
      <c r="T99" s="59"/>
      <c r="U99" s="163"/>
      <c r="V99" s="163"/>
      <c r="W99" s="60"/>
      <c r="X99" s="60"/>
      <c r="Y99" s="165"/>
      <c r="Z99" s="165"/>
      <c r="AA99" s="165"/>
      <c r="AB99" s="165"/>
      <c r="AC99" s="147"/>
    </row>
    <row r="100" spans="1:29" ht="43.5">
      <c r="A100" s="23" t="s">
        <v>465</v>
      </c>
      <c r="B100" s="436"/>
      <c r="C100" s="362"/>
      <c r="D100" s="280" t="s">
        <v>499</v>
      </c>
      <c r="E100" s="277" t="s">
        <v>500</v>
      </c>
      <c r="F100" s="186" t="s">
        <v>501</v>
      </c>
      <c r="G100" s="56" t="str">
        <f>L100</f>
        <v>Participar en la definició del sistema estàndard de seguiment de flora, fauna i hàbitats de la DG</v>
      </c>
      <c r="H100" s="216" t="s">
        <v>1265</v>
      </c>
      <c r="I100" s="31" t="s">
        <v>1107</v>
      </c>
      <c r="J100" s="163">
        <v>1</v>
      </c>
      <c r="K100" s="163">
        <v>4</v>
      </c>
      <c r="L100" s="187" t="s">
        <v>502</v>
      </c>
      <c r="M100" s="188" t="s">
        <v>271</v>
      </c>
      <c r="N100" s="188" t="s">
        <v>285</v>
      </c>
      <c r="O100" s="56"/>
      <c r="P100" s="31"/>
      <c r="Q100" s="57" t="s">
        <v>286</v>
      </c>
      <c r="R100" s="31" t="s">
        <v>503</v>
      </c>
      <c r="S100" s="58" t="s">
        <v>288</v>
      </c>
      <c r="T100" s="59" t="s">
        <v>504</v>
      </c>
      <c r="U100" s="163">
        <v>1.4999999999999999E-2</v>
      </c>
      <c r="V100" s="163">
        <f>PLA!U103*Llistes!$L$11*Llistes!$L$12</f>
        <v>2</v>
      </c>
      <c r="W100" s="60" t="s">
        <v>277</v>
      </c>
      <c r="X100" s="60" t="str">
        <f>IF(W100=Llistes!$K$2,Llistes!$L$2,IF(W100=Llistes!$K$3,Llistes!$L$3,IF(W100=Llistes!$K$4,Llistes!$L$4,IF(W100=Llistes!$K$5,Llistes!$L$5,IF(W100=Llistes!$K$6,Llistes!$L$6,IF(W100=Llistes!$K$7,Llistes!$L$7,""))))))</f>
        <v>Pau Federico</v>
      </c>
      <c r="Y100" s="165" t="s">
        <v>994</v>
      </c>
      <c r="Z100" s="165" t="s">
        <v>994</v>
      </c>
      <c r="AA100" s="165" t="s">
        <v>994</v>
      </c>
      <c r="AB100" s="165" t="s">
        <v>994</v>
      </c>
      <c r="AC100" s="165"/>
    </row>
    <row r="101" spans="1:29" ht="217.5">
      <c r="A101" s="23" t="s">
        <v>465</v>
      </c>
      <c r="B101" s="436"/>
      <c r="C101" s="362"/>
      <c r="D101" s="281"/>
      <c r="E101" s="278"/>
      <c r="F101" s="186" t="s">
        <v>505</v>
      </c>
      <c r="G101" s="56" t="str">
        <f>L101</f>
        <v>Adequar i executar el sistema de seguiment periòdic dels grups clau de l'ENP al sistema estàndard de seguiment</v>
      </c>
      <c r="H101" s="216" t="s">
        <v>1108</v>
      </c>
      <c r="I101" s="31" t="s">
        <v>1300</v>
      </c>
      <c r="J101" s="164">
        <v>0.5</v>
      </c>
      <c r="K101" s="164">
        <v>1</v>
      </c>
      <c r="L101" s="187" t="s">
        <v>506</v>
      </c>
      <c r="M101" s="188" t="s">
        <v>271</v>
      </c>
      <c r="N101" s="188" t="s">
        <v>285</v>
      </c>
      <c r="O101" s="56"/>
      <c r="P101" s="31"/>
      <c r="Q101" s="57" t="s">
        <v>286</v>
      </c>
      <c r="R101" s="31" t="s">
        <v>507</v>
      </c>
      <c r="S101" s="58" t="s">
        <v>288</v>
      </c>
      <c r="T101" s="59" t="s">
        <v>508</v>
      </c>
      <c r="U101" s="163">
        <v>10</v>
      </c>
      <c r="V101" s="163">
        <f>PLA!U104*Llistes!$L$11*Llistes!$L$12</f>
        <v>1333.3333333333335</v>
      </c>
      <c r="W101" s="60" t="s">
        <v>277</v>
      </c>
      <c r="X101" s="60" t="str">
        <f>IF(W101=Llistes!$K$2,Llistes!$L$2,IF(W101=Llistes!$K$3,Llistes!$L$3,IF(W101=Llistes!$K$4,Llistes!$L$4,IF(W101=Llistes!$K$5,Llistes!$L$5,IF(W101=Llistes!$K$6,Llistes!$L$6,IF(W101=Llistes!$K$7,Llistes!$L$7,""))))))</f>
        <v>Pau Federico</v>
      </c>
      <c r="Y101" s="165" t="s">
        <v>994</v>
      </c>
      <c r="Z101" s="165" t="s">
        <v>994</v>
      </c>
      <c r="AA101" s="165" t="s">
        <v>994</v>
      </c>
      <c r="AB101" s="165" t="s">
        <v>994</v>
      </c>
      <c r="AC101" s="165"/>
    </row>
    <row r="102" spans="1:29" ht="43.5">
      <c r="A102" s="23" t="s">
        <v>465</v>
      </c>
      <c r="B102" s="436"/>
      <c r="C102" s="362"/>
      <c r="D102" s="281"/>
      <c r="E102" s="278"/>
      <c r="F102" s="186" t="s">
        <v>509</v>
      </c>
      <c r="G102" s="56" t="str">
        <f>L102</f>
        <v xml:space="preserve">Mantenir una base de dades de seguiment de patrimoni natural de l'ENP actualitzada i ordenada </v>
      </c>
      <c r="H102" s="216" t="s">
        <v>511</v>
      </c>
      <c r="I102" s="31" t="s">
        <v>1077</v>
      </c>
      <c r="J102" s="163"/>
      <c r="K102" s="163" t="s">
        <v>1043</v>
      </c>
      <c r="L102" s="187" t="s">
        <v>510</v>
      </c>
      <c r="M102" s="188" t="s">
        <v>271</v>
      </c>
      <c r="N102" s="188" t="s">
        <v>285</v>
      </c>
      <c r="O102" s="56"/>
      <c r="P102" s="31"/>
      <c r="Q102" s="57" t="s">
        <v>273</v>
      </c>
      <c r="R102" s="31"/>
      <c r="S102" s="58"/>
      <c r="T102" s="59"/>
      <c r="U102" s="163">
        <v>1.02</v>
      </c>
      <c r="V102" s="163">
        <f>PLA!U105*Llistes!$L$11*Llistes!$L$12</f>
        <v>136</v>
      </c>
      <c r="W102" s="60" t="s">
        <v>277</v>
      </c>
      <c r="X102" s="60" t="str">
        <f>IF(W102=Llistes!$K$2,Llistes!$L$2,IF(W102=Llistes!$K$3,Llistes!$L$3,IF(W102=Llistes!$K$4,Llistes!$L$4,IF(W102=Llistes!$K$5,Llistes!$L$5,IF(W102=Llistes!$K$6,Llistes!$L$6,IF(W102=Llistes!$K$7,Llistes!$L$7,""))))))</f>
        <v>Pau Federico</v>
      </c>
      <c r="Y102" s="165" t="s">
        <v>994</v>
      </c>
      <c r="Z102" s="165" t="s">
        <v>994</v>
      </c>
      <c r="AA102" s="165" t="s">
        <v>994</v>
      </c>
      <c r="AB102" s="165" t="s">
        <v>994</v>
      </c>
      <c r="AC102" s="165"/>
    </row>
    <row r="103" spans="1:29" ht="29">
      <c r="A103" s="23"/>
      <c r="B103" s="436"/>
      <c r="C103" s="362"/>
      <c r="D103" s="282"/>
      <c r="E103" s="279"/>
      <c r="F103" s="186" t="s">
        <v>1464</v>
      </c>
      <c r="G103" s="56" t="str">
        <f>L103</f>
        <v>Participar en la definició, organització i bolcatge de dades del SINATCAT</v>
      </c>
      <c r="H103" s="216" t="s">
        <v>1627</v>
      </c>
      <c r="I103" s="31" t="s">
        <v>1628</v>
      </c>
      <c r="J103" s="163"/>
      <c r="K103" s="163" t="s">
        <v>1629</v>
      </c>
      <c r="L103" s="187" t="s">
        <v>1465</v>
      </c>
      <c r="M103" s="188" t="s">
        <v>271</v>
      </c>
      <c r="N103" s="188" t="s">
        <v>285</v>
      </c>
      <c r="O103" s="56"/>
      <c r="P103" s="31"/>
      <c r="Q103" s="57" t="s">
        <v>305</v>
      </c>
      <c r="R103" s="31"/>
      <c r="S103" s="58"/>
      <c r="T103" s="59"/>
      <c r="U103" s="163">
        <v>1</v>
      </c>
      <c r="V103" s="163">
        <v>180</v>
      </c>
      <c r="W103" s="60" t="s">
        <v>825</v>
      </c>
      <c r="X103" s="60" t="str">
        <f>IF(W103=Llistes!$K$2,Llistes!$L$2,IF(W103=Llistes!$K$3,Llistes!$L$3,IF(W103=Llistes!$K$4,Llistes!$L$4,IF(W103=Llistes!$K$5,Llistes!$L$5,IF(W103=Llistes!$K$6,Llistes!$L$6,IF(W103=Llistes!$K$7,Llistes!$L$7,""))))))</f>
        <v>Pilar Sanllehí</v>
      </c>
      <c r="Y103" s="165"/>
      <c r="Z103" s="165"/>
      <c r="AA103" s="165"/>
      <c r="AB103" s="165"/>
      <c r="AC103" s="165"/>
    </row>
    <row r="104" spans="1:29" ht="58" customHeight="1">
      <c r="A104" s="23" t="s">
        <v>465</v>
      </c>
      <c r="B104" s="436"/>
      <c r="C104" s="362"/>
      <c r="D104" s="280" t="s">
        <v>512</v>
      </c>
      <c r="E104" s="277" t="s">
        <v>513</v>
      </c>
      <c r="F104" s="186" t="s">
        <v>514</v>
      </c>
      <c r="G104" s="56" t="str">
        <f>L104</f>
        <v>Crear sinèrgies i col·laborar amb museus i equipaments de referència per definir línies d'actuació conjunta entre patrimoni cultural i natural</v>
      </c>
      <c r="H104" s="215" t="s">
        <v>1109</v>
      </c>
      <c r="I104" s="31" t="s">
        <v>1110</v>
      </c>
      <c r="J104" s="163">
        <v>2</v>
      </c>
      <c r="K104" s="163">
        <v>4</v>
      </c>
      <c r="L104" s="187" t="s">
        <v>515</v>
      </c>
      <c r="M104" s="188" t="s">
        <v>271</v>
      </c>
      <c r="N104" s="188" t="s">
        <v>279</v>
      </c>
      <c r="O104" s="56"/>
      <c r="P104" s="31"/>
      <c r="Q104" s="57" t="s">
        <v>305</v>
      </c>
      <c r="R104" s="31"/>
      <c r="S104" s="58"/>
      <c r="T104" s="59" t="s">
        <v>516</v>
      </c>
      <c r="U104" s="163">
        <v>1.4999999999999999E-2</v>
      </c>
      <c r="V104" s="163">
        <f>PLA!U107*Llistes!$L$11*Llistes!$L$12</f>
        <v>2</v>
      </c>
      <c r="W104" s="60" t="s">
        <v>412</v>
      </c>
      <c r="X104" s="60" t="str">
        <f>IF(W104=Llistes!$K$2,Llistes!$L$2,IF(W104=Llistes!$K$3,Llistes!$L$3,IF(W104=Llistes!$K$4,Llistes!$L$4,IF(W104=Llistes!$K$5,Llistes!$L$5,IF(W104=Llistes!$K$6,Llistes!$L$6,IF(W104=Llistes!$K$7,Llistes!$L$7,""))))))</f>
        <v>Ivan Bustamante</v>
      </c>
      <c r="Y104" s="165" t="s">
        <v>994</v>
      </c>
      <c r="Z104" s="165" t="s">
        <v>994</v>
      </c>
      <c r="AA104" s="165" t="s">
        <v>994</v>
      </c>
      <c r="AB104" s="165" t="s">
        <v>994</v>
      </c>
      <c r="AC104" s="147"/>
    </row>
    <row r="105" spans="1:29" ht="43.5">
      <c r="A105" s="23" t="s">
        <v>465</v>
      </c>
      <c r="B105" s="436"/>
      <c r="C105" s="362"/>
      <c r="D105" s="281"/>
      <c r="E105" s="278"/>
      <c r="F105" s="186" t="s">
        <v>517</v>
      </c>
      <c r="G105" s="56" t="s">
        <v>519</v>
      </c>
      <c r="H105" s="216" t="s">
        <v>522</v>
      </c>
      <c r="I105" s="31" t="s">
        <v>1078</v>
      </c>
      <c r="J105" s="163">
        <v>1</v>
      </c>
      <c r="K105" s="163">
        <v>2</v>
      </c>
      <c r="L105" s="187" t="s">
        <v>518</v>
      </c>
      <c r="M105" s="188" t="s">
        <v>271</v>
      </c>
      <c r="N105" s="188" t="s">
        <v>285</v>
      </c>
      <c r="O105" s="56" t="s">
        <v>520</v>
      </c>
      <c r="P105" s="31"/>
      <c r="Q105" s="57" t="s">
        <v>305</v>
      </c>
      <c r="R105" s="31"/>
      <c r="S105" s="58"/>
      <c r="T105" s="59" t="s">
        <v>521</v>
      </c>
      <c r="U105" s="163">
        <v>1.4999999999999999E-2</v>
      </c>
      <c r="V105" s="163">
        <f>PLA!U108*Llistes!$L$11*Llistes!$L$12</f>
        <v>2</v>
      </c>
      <c r="W105" s="60" t="s">
        <v>291</v>
      </c>
      <c r="X105" s="60" t="str">
        <f>IF(W105=Llistes!$K$2,Llistes!$L$2,IF(W105=Llistes!$K$3,Llistes!$L$3,IF(W105=Llistes!$K$4,Llistes!$L$4,IF(W105=Llistes!$K$5,Llistes!$L$5,IF(W105=Llistes!$K$6,Llistes!$L$6,IF(W105=Llistes!$K$7,Llistes!$L$7,""))))))</f>
        <v>Gerard Carrion</v>
      </c>
      <c r="Y105" s="165" t="s">
        <v>994</v>
      </c>
      <c r="Z105" s="165" t="s">
        <v>994</v>
      </c>
      <c r="AA105" s="165" t="s">
        <v>994</v>
      </c>
      <c r="AB105" s="165" t="s">
        <v>994</v>
      </c>
      <c r="AC105" s="147"/>
    </row>
    <row r="106" spans="1:29" ht="29">
      <c r="A106" s="23" t="s">
        <v>465</v>
      </c>
      <c r="B106" s="436"/>
      <c r="C106" s="362"/>
      <c r="D106" s="281"/>
      <c r="E106" s="278"/>
      <c r="F106" s="186" t="s">
        <v>523</v>
      </c>
      <c r="G106" s="56" t="str">
        <f>L106</f>
        <v xml:space="preserve">Potenciar la ciència ciutadana en l’ENP com a eina per generar coneixement </v>
      </c>
      <c r="H106" s="216" t="s">
        <v>1266</v>
      </c>
      <c r="I106" s="31" t="s">
        <v>1079</v>
      </c>
      <c r="J106" s="163">
        <v>1</v>
      </c>
      <c r="K106" s="163">
        <v>3</v>
      </c>
      <c r="L106" s="187" t="s">
        <v>524</v>
      </c>
      <c r="M106" s="188" t="s">
        <v>271</v>
      </c>
      <c r="N106" s="188" t="s">
        <v>285</v>
      </c>
      <c r="O106" s="56"/>
      <c r="P106" s="31"/>
      <c r="Q106" s="57" t="s">
        <v>305</v>
      </c>
      <c r="R106" s="31" t="s">
        <v>525</v>
      </c>
      <c r="S106" s="58"/>
      <c r="T106" s="59"/>
      <c r="U106" s="163">
        <v>4.4999999999999998E-2</v>
      </c>
      <c r="V106" s="163">
        <f>PLA!U109*Llistes!$L$11*Llistes!$L$12</f>
        <v>6</v>
      </c>
      <c r="W106" s="60" t="s">
        <v>277</v>
      </c>
      <c r="X106" s="60" t="str">
        <f>IF(W106=Llistes!$K$2,Llistes!$L$2,IF(W106=Llistes!$K$3,Llistes!$L$3,IF(W106=Llistes!$K$4,Llistes!$L$4,IF(W106=Llistes!$K$5,Llistes!$L$5,IF(W106=Llistes!$K$6,Llistes!$L$6,IF(W106=Llistes!$K$7,Llistes!$L$7,""))))))</f>
        <v>Pau Federico</v>
      </c>
      <c r="Y106" s="165" t="s">
        <v>994</v>
      </c>
      <c r="Z106" s="165" t="s">
        <v>994</v>
      </c>
      <c r="AA106" s="165" t="s">
        <v>994</v>
      </c>
      <c r="AB106" s="165" t="s">
        <v>994</v>
      </c>
      <c r="AC106" s="147"/>
    </row>
    <row r="107" spans="1:29" ht="58">
      <c r="A107" s="23" t="s">
        <v>465</v>
      </c>
      <c r="B107" s="436"/>
      <c r="C107" s="362"/>
      <c r="D107" s="281"/>
      <c r="E107" s="278"/>
      <c r="F107" s="186" t="s">
        <v>526</v>
      </c>
      <c r="G107" s="56" t="s">
        <v>528</v>
      </c>
      <c r="H107" s="216" t="s">
        <v>531</v>
      </c>
      <c r="I107" s="31" t="s">
        <v>1111</v>
      </c>
      <c r="J107" s="163"/>
      <c r="K107" s="163" t="s">
        <v>1043</v>
      </c>
      <c r="L107" s="187" t="s">
        <v>527</v>
      </c>
      <c r="M107" s="188" t="s">
        <v>271</v>
      </c>
      <c r="N107" s="188" t="s">
        <v>285</v>
      </c>
      <c r="O107" s="56" t="s">
        <v>529</v>
      </c>
      <c r="P107" s="31"/>
      <c r="Q107" s="57" t="s">
        <v>305</v>
      </c>
      <c r="R107" s="31"/>
      <c r="S107" s="58"/>
      <c r="T107" s="59" t="s">
        <v>530</v>
      </c>
      <c r="U107" s="163">
        <v>4.4999999999999998E-2</v>
      </c>
      <c r="V107" s="163">
        <f>PLA!U110*Llistes!$L$11*Llistes!$L$12</f>
        <v>6</v>
      </c>
      <c r="W107" s="60" t="s">
        <v>291</v>
      </c>
      <c r="X107" s="60" t="str">
        <f>IF(W107=Llistes!$K$2,Llistes!$L$2,IF(W107=Llistes!$K$3,Llistes!$L$3,IF(W107=Llistes!$K$4,Llistes!$L$4,IF(W107=Llistes!$K$5,Llistes!$L$5,IF(W107=Llistes!$K$6,Llistes!$L$6,IF(W107=Llistes!$K$7,Llistes!$L$7,""))))))</f>
        <v>Gerard Carrion</v>
      </c>
      <c r="Y107" s="165" t="s">
        <v>994</v>
      </c>
      <c r="Z107" s="165" t="s">
        <v>994</v>
      </c>
      <c r="AA107" s="165" t="s">
        <v>994</v>
      </c>
      <c r="AB107" s="165" t="s">
        <v>994</v>
      </c>
      <c r="AC107" s="147"/>
    </row>
    <row r="108" spans="1:29">
      <c r="A108" s="23"/>
      <c r="B108" s="436"/>
      <c r="C108" s="362"/>
      <c r="D108" s="281"/>
      <c r="E108" s="278"/>
      <c r="F108" s="186" t="s">
        <v>1543</v>
      </c>
      <c r="G108" s="56"/>
      <c r="H108" s="216"/>
      <c r="I108" s="31"/>
      <c r="J108" s="163"/>
      <c r="K108" s="163"/>
      <c r="L108" s="187" t="s">
        <v>1544</v>
      </c>
      <c r="M108" s="188" t="s">
        <v>271</v>
      </c>
      <c r="N108" s="188" t="s">
        <v>279</v>
      </c>
      <c r="O108" s="56"/>
      <c r="P108" s="31"/>
      <c r="Q108" s="57"/>
      <c r="R108" s="31"/>
      <c r="S108" s="58"/>
      <c r="T108" s="59"/>
      <c r="U108" s="163"/>
      <c r="V108" s="163"/>
      <c r="W108" s="60"/>
      <c r="X108" s="60"/>
      <c r="Y108" s="165"/>
      <c r="Z108" s="165"/>
      <c r="AA108" s="165"/>
      <c r="AB108" s="165"/>
      <c r="AC108" s="147"/>
    </row>
    <row r="109" spans="1:29" ht="29">
      <c r="A109" s="23" t="s">
        <v>465</v>
      </c>
      <c r="B109" s="436"/>
      <c r="C109" s="362"/>
      <c r="D109" s="282"/>
      <c r="E109" s="279"/>
      <c r="F109" s="186" t="s">
        <v>1545</v>
      </c>
      <c r="G109" s="56"/>
      <c r="H109" s="216"/>
      <c r="I109" s="31"/>
      <c r="J109" s="163"/>
      <c r="K109" s="163"/>
      <c r="L109" s="187" t="s">
        <v>1546</v>
      </c>
      <c r="M109" s="188" t="s">
        <v>271</v>
      </c>
      <c r="N109" s="188" t="s">
        <v>279</v>
      </c>
      <c r="O109" s="56"/>
      <c r="P109" s="31"/>
      <c r="Q109" s="57"/>
      <c r="R109" s="31"/>
      <c r="S109" s="58"/>
      <c r="T109" s="59"/>
      <c r="U109" s="163"/>
      <c r="V109" s="163"/>
      <c r="W109" s="60"/>
      <c r="X109" s="60"/>
      <c r="Y109" s="165"/>
      <c r="Z109" s="165"/>
      <c r="AA109" s="165"/>
      <c r="AB109" s="165"/>
      <c r="AC109" s="147"/>
    </row>
    <row r="110" spans="1:29" ht="43.5">
      <c r="A110" s="23" t="s">
        <v>465</v>
      </c>
      <c r="B110" s="436"/>
      <c r="C110" s="362"/>
      <c r="D110" s="329" t="s">
        <v>532</v>
      </c>
      <c r="E110" s="326" t="s">
        <v>533</v>
      </c>
      <c r="F110" s="186" t="s">
        <v>534</v>
      </c>
      <c r="G110" s="56" t="str">
        <f>L110</f>
        <v>Participar en la definició del sistema estàndard de seguiment de l'ús públic amb el SENP</v>
      </c>
      <c r="H110" s="216" t="s">
        <v>537</v>
      </c>
      <c r="I110" s="31" t="s">
        <v>1112</v>
      </c>
      <c r="J110" s="163">
        <v>1</v>
      </c>
      <c r="K110" s="163">
        <v>3</v>
      </c>
      <c r="L110" s="187" t="s">
        <v>535</v>
      </c>
      <c r="M110" s="188" t="s">
        <v>271</v>
      </c>
      <c r="N110" s="188" t="s">
        <v>285</v>
      </c>
      <c r="O110" s="56"/>
      <c r="P110" s="31"/>
      <c r="Q110" s="57" t="s">
        <v>305</v>
      </c>
      <c r="R110" s="31"/>
      <c r="S110" s="58"/>
      <c r="T110" s="59" t="s">
        <v>536</v>
      </c>
      <c r="U110" s="163">
        <v>1.4999999999999999E-2</v>
      </c>
      <c r="V110" s="163">
        <f>PLA!U113*Llistes!$L$11*Llistes!$L$12</f>
        <v>2</v>
      </c>
      <c r="W110" s="60" t="s">
        <v>412</v>
      </c>
      <c r="X110" s="60" t="str">
        <f>IF(W110=Llistes!$K$2,Llistes!$L$2,IF(W110=Llistes!$K$3,Llistes!$L$3,IF(W110=Llistes!$K$4,Llistes!$L$4,IF(W110=Llistes!$K$5,Llistes!$L$5,IF(W110=Llistes!$K$6,Llistes!$L$6,IF(W110=Llistes!$K$7,Llistes!$L$7,""))))))</f>
        <v>Ivan Bustamante</v>
      </c>
      <c r="Y110" s="165" t="s">
        <v>994</v>
      </c>
      <c r="Z110" s="165" t="s">
        <v>994</v>
      </c>
      <c r="AA110" s="165" t="s">
        <v>994</v>
      </c>
      <c r="AB110" s="165" t="s">
        <v>994</v>
      </c>
      <c r="AC110" s="147"/>
    </row>
    <row r="111" spans="1:29" ht="43.5">
      <c r="A111" s="23" t="s">
        <v>465</v>
      </c>
      <c r="B111" s="436"/>
      <c r="C111" s="362"/>
      <c r="D111" s="329"/>
      <c r="E111" s="326"/>
      <c r="F111" s="186" t="s">
        <v>538</v>
      </c>
      <c r="G111" s="56" t="str">
        <f>L111</f>
        <v>Participar en la definició del sistema estàndard de seguiment de l'ús públic amb el SENP</v>
      </c>
      <c r="H111" s="216" t="s">
        <v>1267</v>
      </c>
      <c r="I111" s="31" t="s">
        <v>1301</v>
      </c>
      <c r="J111" s="163"/>
      <c r="K111" s="163" t="s">
        <v>1043</v>
      </c>
      <c r="L111" s="187" t="s">
        <v>535</v>
      </c>
      <c r="M111" s="188" t="s">
        <v>271</v>
      </c>
      <c r="N111" s="188" t="s">
        <v>285</v>
      </c>
      <c r="O111" s="56"/>
      <c r="P111" s="31"/>
      <c r="Q111" s="57" t="s">
        <v>305</v>
      </c>
      <c r="R111" s="31"/>
      <c r="S111" s="58"/>
      <c r="T111" s="59"/>
      <c r="U111" s="163">
        <v>1.4999999999999999E-2</v>
      </c>
      <c r="V111" s="163">
        <f>PLA!U114*Llistes!$L$11*Llistes!$L$12</f>
        <v>2</v>
      </c>
      <c r="W111" s="60" t="s">
        <v>412</v>
      </c>
      <c r="X111" s="60" t="str">
        <f>IF(W111=Llistes!$K$2,Llistes!$L$2,IF(W111=Llistes!$K$3,Llistes!$L$3,IF(W111=Llistes!$K$4,Llistes!$L$4,IF(W111=Llistes!$K$5,Llistes!$L$5,IF(W111=Llistes!$K$6,Llistes!$L$6,IF(W111=Llistes!$K$7,Llistes!$L$7,""))))))</f>
        <v>Ivan Bustamante</v>
      </c>
      <c r="Y111" s="165" t="s">
        <v>994</v>
      </c>
      <c r="Z111" s="165" t="s">
        <v>994</v>
      </c>
      <c r="AA111" s="165" t="s">
        <v>994</v>
      </c>
      <c r="AB111" s="165" t="s">
        <v>994</v>
      </c>
      <c r="AC111" s="147"/>
    </row>
    <row r="112" spans="1:29" ht="58">
      <c r="A112" s="23" t="s">
        <v>465</v>
      </c>
      <c r="B112" s="436"/>
      <c r="C112" s="362"/>
      <c r="D112" s="329"/>
      <c r="E112" s="326"/>
      <c r="F112" s="186" t="s">
        <v>542</v>
      </c>
      <c r="G112" s="56" t="str">
        <f>L112</f>
        <v xml:space="preserve">Disposar de dades de freqüentació i perfil d'usuari en l'ENP i en especial en equipaments i en zones d'alta freqüentació segons el model de DG </v>
      </c>
      <c r="H112" s="216" t="s">
        <v>1268</v>
      </c>
      <c r="I112" s="31" t="s">
        <v>1302</v>
      </c>
      <c r="J112" s="163"/>
      <c r="K112" s="163" t="s">
        <v>1043</v>
      </c>
      <c r="L112" s="187" t="s">
        <v>539</v>
      </c>
      <c r="M112" s="188" t="s">
        <v>271</v>
      </c>
      <c r="N112" s="188" t="s">
        <v>285</v>
      </c>
      <c r="O112" s="56"/>
      <c r="P112" s="31"/>
      <c r="Q112" s="57" t="s">
        <v>273</v>
      </c>
      <c r="R112" s="31" t="s">
        <v>540</v>
      </c>
      <c r="S112" s="58"/>
      <c r="T112" s="59" t="s">
        <v>541</v>
      </c>
      <c r="U112" s="163">
        <v>1.4999999999999999E-2</v>
      </c>
      <c r="V112" s="163">
        <f>PLA!U115*Llistes!$L$11*Llistes!$L$12</f>
        <v>2</v>
      </c>
      <c r="W112" s="60" t="s">
        <v>412</v>
      </c>
      <c r="X112" s="60" t="str">
        <f>IF(W112=Llistes!$K$2,Llistes!$L$2,IF(W112=Llistes!$K$3,Llistes!$L$3,IF(W112=Llistes!$K$4,Llistes!$L$4,IF(W112=Llistes!$K$5,Llistes!$L$5,IF(W112=Llistes!$K$6,Llistes!$L$6,IF(W112=Llistes!$K$7,Llistes!$L$7,""))))))</f>
        <v>Ivan Bustamante</v>
      </c>
      <c r="Y112" s="165" t="s">
        <v>994</v>
      </c>
      <c r="Z112" s="165" t="s">
        <v>994</v>
      </c>
      <c r="AA112" s="165" t="s">
        <v>994</v>
      </c>
      <c r="AB112" s="165" t="s">
        <v>994</v>
      </c>
      <c r="AC112" s="147"/>
    </row>
    <row r="113" spans="1:29" ht="29">
      <c r="A113" s="23" t="s">
        <v>465</v>
      </c>
      <c r="B113" s="436"/>
      <c r="C113" s="362"/>
      <c r="D113" s="329"/>
      <c r="E113" s="326"/>
      <c r="F113" s="186" t="s">
        <v>543</v>
      </c>
      <c r="G113" s="56"/>
      <c r="H113" s="216"/>
      <c r="I113" s="31"/>
      <c r="J113" s="163"/>
      <c r="K113" s="163"/>
      <c r="L113" s="187" t="s">
        <v>1547</v>
      </c>
      <c r="M113" s="188"/>
      <c r="N113" s="188"/>
      <c r="O113" s="56"/>
      <c r="P113" s="31"/>
      <c r="Q113" s="57"/>
      <c r="R113" s="31"/>
      <c r="S113" s="58"/>
      <c r="T113" s="59"/>
      <c r="U113" s="163"/>
      <c r="V113" s="163"/>
      <c r="W113" s="60"/>
      <c r="X113" s="60"/>
      <c r="Y113" s="165"/>
      <c r="Z113" s="165"/>
      <c r="AA113" s="165"/>
      <c r="AB113" s="165"/>
      <c r="AC113" s="147"/>
    </row>
    <row r="114" spans="1:29" ht="43.5">
      <c r="A114" s="23" t="s">
        <v>465</v>
      </c>
      <c r="B114" s="436"/>
      <c r="C114" s="362"/>
      <c r="D114" s="329"/>
      <c r="E114" s="326"/>
      <c r="F114" s="186" t="s">
        <v>544</v>
      </c>
      <c r="G114" s="56" t="str">
        <f>L114</f>
        <v>Adaptar i mantenir un registre d'activitats, actors i incidències en ús públic (curses, conflictes, queixes, etc)</v>
      </c>
      <c r="H114" s="216" t="s">
        <v>546</v>
      </c>
      <c r="I114" s="31" t="s">
        <v>1303</v>
      </c>
      <c r="J114" s="163"/>
      <c r="K114" s="163" t="s">
        <v>1043</v>
      </c>
      <c r="L114" s="187" t="s">
        <v>1594</v>
      </c>
      <c r="M114" s="188" t="s">
        <v>271</v>
      </c>
      <c r="N114" s="188" t="s">
        <v>285</v>
      </c>
      <c r="O114" s="56"/>
      <c r="P114" s="31"/>
      <c r="Q114" s="57" t="s">
        <v>286</v>
      </c>
      <c r="R114" s="31"/>
      <c r="S114" s="58"/>
      <c r="T114" s="59" t="s">
        <v>545</v>
      </c>
      <c r="U114" s="163">
        <v>1.4999999999999999E-2</v>
      </c>
      <c r="V114" s="163">
        <f>PLA!U117*Llistes!$L$11*Llistes!$L$12</f>
        <v>2</v>
      </c>
      <c r="W114" s="60" t="s">
        <v>412</v>
      </c>
      <c r="X114" s="60" t="str">
        <f>IF(W114=Llistes!$K$2,Llistes!$L$2,IF(W114=Llistes!$K$3,Llistes!$L$3,IF(W114=Llistes!$K$4,Llistes!$L$4,IF(W114=Llistes!$K$5,Llistes!$L$5,IF(W114=Llistes!$K$6,Llistes!$L$6,IF(W114=Llistes!$K$7,Llistes!$L$7,""))))))</f>
        <v>Ivan Bustamante</v>
      </c>
      <c r="Y114" s="165" t="s">
        <v>994</v>
      </c>
      <c r="Z114" s="165" t="s">
        <v>994</v>
      </c>
      <c r="AA114" s="165" t="s">
        <v>994</v>
      </c>
      <c r="AB114" s="165" t="s">
        <v>994</v>
      </c>
      <c r="AC114" s="147"/>
    </row>
    <row r="115" spans="1:29" ht="43.5">
      <c r="A115" s="23" t="s">
        <v>465</v>
      </c>
      <c r="B115" s="437"/>
      <c r="C115" s="424"/>
      <c r="D115" s="329"/>
      <c r="E115" s="326"/>
      <c r="F115" s="186" t="s">
        <v>1548</v>
      </c>
      <c r="G115" s="56" t="str">
        <f>L115</f>
        <v>Identificar els impactes (positius i negatius) que generen les activitats d'ús públic dins l'ENP</v>
      </c>
      <c r="H115" s="216" t="s">
        <v>548</v>
      </c>
      <c r="I115" s="31" t="s">
        <v>1304</v>
      </c>
      <c r="J115" s="163"/>
      <c r="K115" s="163" t="s">
        <v>1043</v>
      </c>
      <c r="L115" s="187" t="s">
        <v>547</v>
      </c>
      <c r="M115" s="188" t="s">
        <v>271</v>
      </c>
      <c r="N115" s="188" t="s">
        <v>285</v>
      </c>
      <c r="O115" s="56"/>
      <c r="P115" s="31"/>
      <c r="Q115" s="57" t="s">
        <v>305</v>
      </c>
      <c r="R115" s="31"/>
      <c r="S115" s="58" t="s">
        <v>288</v>
      </c>
      <c r="T115" s="59"/>
      <c r="U115" s="163">
        <v>4.4999999999999998E-2</v>
      </c>
      <c r="V115" s="163">
        <f>PLA!U118*Llistes!$L$11*Llistes!$L$12</f>
        <v>6</v>
      </c>
      <c r="W115" s="60" t="s">
        <v>412</v>
      </c>
      <c r="X115" s="60" t="str">
        <f>IF(W115=Llistes!$K$2,Llistes!$L$2,IF(W115=Llistes!$K$3,Llistes!$L$3,IF(W115=Llistes!$K$4,Llistes!$L$4,IF(W115=Llistes!$K$5,Llistes!$L$5,IF(W115=Llistes!$K$6,Llistes!$L$6,IF(W115=Llistes!$K$7,Llistes!$L$7,""))))))</f>
        <v>Ivan Bustamante</v>
      </c>
      <c r="Y115" s="165" t="s">
        <v>994</v>
      </c>
      <c r="Z115" s="165" t="s">
        <v>994</v>
      </c>
      <c r="AA115" s="165" t="s">
        <v>994</v>
      </c>
      <c r="AB115" s="165" t="s">
        <v>994</v>
      </c>
      <c r="AC115" s="147"/>
    </row>
    <row r="116" spans="1:29" ht="72.5">
      <c r="A116" s="24" t="s">
        <v>549</v>
      </c>
      <c r="B116" s="260">
        <v>7</v>
      </c>
      <c r="C116" s="260" t="s">
        <v>550</v>
      </c>
      <c r="D116" s="14" t="s">
        <v>551</v>
      </c>
      <c r="E116" s="44" t="s">
        <v>552</v>
      </c>
      <c r="F116" s="186" t="s">
        <v>553</v>
      </c>
      <c r="G116" s="56" t="str">
        <f>L116</f>
        <v>Promoure i/o col·laborar en l'aplicació de Plans de Desenvolupament Local Sostenible</v>
      </c>
      <c r="H116" s="216" t="s">
        <v>1269</v>
      </c>
      <c r="I116" s="31" t="s">
        <v>1305</v>
      </c>
      <c r="J116" s="163"/>
      <c r="K116" s="163" t="s">
        <v>1043</v>
      </c>
      <c r="L116" s="187" t="s">
        <v>1466</v>
      </c>
      <c r="M116" s="188" t="s">
        <v>271</v>
      </c>
      <c r="N116" s="188" t="s">
        <v>279</v>
      </c>
      <c r="O116" s="56"/>
      <c r="P116" s="31"/>
      <c r="Q116" s="103" t="s">
        <v>305</v>
      </c>
      <c r="R116" s="31" t="s">
        <v>554</v>
      </c>
      <c r="S116" s="103"/>
      <c r="T116" s="56"/>
      <c r="U116" s="163">
        <v>1.4999999999999999E-2</v>
      </c>
      <c r="V116" s="163">
        <f>PLA!U119*Llistes!$L$11*Llistes!$L$12</f>
        <v>2</v>
      </c>
      <c r="W116" s="60" t="s">
        <v>412</v>
      </c>
      <c r="X116" s="60" t="str">
        <f>IF(W116=Llistes!$K$2,Llistes!$L$2,IF(W116=Llistes!$K$3,Llistes!$L$3,IF(W116=Llistes!$K$4,Llistes!$L$4,IF(W116=Llistes!$K$5,Llistes!$L$5,IF(W116=Llistes!$K$6,Llistes!$L$6,IF(W116=Llistes!$K$7,Llistes!$L$7,""))))))</f>
        <v>Ivan Bustamante</v>
      </c>
      <c r="Y116" s="165" t="s">
        <v>994</v>
      </c>
      <c r="Z116" s="165" t="s">
        <v>994</v>
      </c>
      <c r="AA116" s="165" t="s">
        <v>994</v>
      </c>
      <c r="AB116" s="165" t="s">
        <v>994</v>
      </c>
      <c r="AC116" s="147"/>
    </row>
    <row r="117" spans="1:29" ht="72.5">
      <c r="A117" s="24" t="s">
        <v>549</v>
      </c>
      <c r="B117" s="261"/>
      <c r="C117" s="261"/>
      <c r="D117" s="206" t="s">
        <v>1612</v>
      </c>
      <c r="E117" s="44" t="s">
        <v>1618</v>
      </c>
      <c r="F117" s="186" t="s">
        <v>1613</v>
      </c>
      <c r="G117" s="56" t="s">
        <v>1614</v>
      </c>
      <c r="H117" s="216" t="s">
        <v>1616</v>
      </c>
      <c r="I117" s="31" t="s">
        <v>1617</v>
      </c>
      <c r="J117" s="163">
        <v>1</v>
      </c>
      <c r="K117" s="163">
        <v>3</v>
      </c>
      <c r="L117" s="187"/>
      <c r="M117" s="188"/>
      <c r="N117" s="188"/>
      <c r="O117" s="56" t="s">
        <v>1615</v>
      </c>
      <c r="P117" s="31" t="s">
        <v>71</v>
      </c>
      <c r="Q117" s="103" t="s">
        <v>286</v>
      </c>
      <c r="R117" s="31"/>
      <c r="S117" s="103"/>
      <c r="T117" s="56"/>
      <c r="U117" s="163">
        <v>0.5</v>
      </c>
      <c r="V117" s="163">
        <f>0.5*45*4</f>
        <v>90</v>
      </c>
      <c r="W117" s="60" t="s">
        <v>412</v>
      </c>
      <c r="X117" s="60" t="str">
        <f>IF(W117=Llistes!$K$2,Llistes!$L$2,IF(W117=Llistes!$K$3,Llistes!$L$3,IF(W117=Llistes!$K$4,Llistes!$L$4,IF(W117=Llistes!$K$5,Llistes!$L$5,IF(W117=Llistes!$K$6,Llistes!$L$6,IF(W117=Llistes!$K$7,Llistes!$L$7,""))))))</f>
        <v>Ivan Bustamante</v>
      </c>
      <c r="Y117" s="165" t="s">
        <v>994</v>
      </c>
      <c r="Z117" s="165" t="s">
        <v>994</v>
      </c>
      <c r="AA117" s="165" t="s">
        <v>994</v>
      </c>
      <c r="AB117" s="165" t="s">
        <v>994</v>
      </c>
      <c r="AC117" s="147"/>
    </row>
    <row r="118" spans="1:29" ht="43.5" customHeight="1">
      <c r="A118" s="24" t="s">
        <v>549</v>
      </c>
      <c r="B118" s="201">
        <v>8</v>
      </c>
      <c r="C118" s="260" t="s">
        <v>1588</v>
      </c>
      <c r="D118" s="330" t="s">
        <v>1452</v>
      </c>
      <c r="E118" s="383" t="s">
        <v>1451</v>
      </c>
      <c r="F118" s="186" t="s">
        <v>555</v>
      </c>
      <c r="G118" s="56"/>
      <c r="H118" s="216"/>
      <c r="I118" s="31"/>
      <c r="J118" s="163"/>
      <c r="K118" s="163"/>
      <c r="L118" s="187" t="s">
        <v>1550</v>
      </c>
      <c r="M118" s="188" t="s">
        <v>271</v>
      </c>
      <c r="N118" s="188" t="s">
        <v>272</v>
      </c>
      <c r="O118" s="56"/>
      <c r="P118" s="31"/>
      <c r="Q118" s="103"/>
      <c r="R118" s="31"/>
      <c r="S118" s="103"/>
      <c r="T118" s="56"/>
      <c r="U118" s="163"/>
      <c r="V118" s="163"/>
      <c r="W118" s="60"/>
      <c r="X118" s="60"/>
      <c r="Y118" s="165"/>
      <c r="Z118" s="165"/>
      <c r="AA118" s="165"/>
      <c r="AB118" s="165"/>
      <c r="AC118" s="147"/>
    </row>
    <row r="119" spans="1:29" ht="78.650000000000006" customHeight="1">
      <c r="A119" s="24" t="s">
        <v>549</v>
      </c>
      <c r="B119" s="423"/>
      <c r="C119" s="294"/>
      <c r="D119" s="331"/>
      <c r="E119" s="402"/>
      <c r="F119" s="186" t="s">
        <v>556</v>
      </c>
      <c r="G119" s="56" t="s">
        <v>558</v>
      </c>
      <c r="H119" s="216" t="s">
        <v>558</v>
      </c>
      <c r="I119" s="31" t="s">
        <v>1306</v>
      </c>
      <c r="J119" s="163"/>
      <c r="K119" s="163" t="s">
        <v>1043</v>
      </c>
      <c r="L119" s="187" t="s">
        <v>557</v>
      </c>
      <c r="M119" s="188" t="s">
        <v>271</v>
      </c>
      <c r="N119" s="188" t="s">
        <v>272</v>
      </c>
      <c r="O119" s="56" t="s">
        <v>559</v>
      </c>
      <c r="P119" s="31"/>
      <c r="Q119" s="57" t="s">
        <v>305</v>
      </c>
      <c r="R119" s="31" t="s">
        <v>560</v>
      </c>
      <c r="S119" s="58"/>
      <c r="T119" s="59"/>
      <c r="U119" s="163">
        <v>1.4999999999999999E-2</v>
      </c>
      <c r="V119" s="163">
        <f>PLA!U122*Llistes!$L$11*Llistes!$L$12</f>
        <v>2</v>
      </c>
      <c r="W119" s="60" t="s">
        <v>291</v>
      </c>
      <c r="X119" s="60" t="str">
        <f>IF(W119=Llistes!$K$2,Llistes!$L$2,IF(W119=Llistes!$K$3,Llistes!$L$3,IF(W119=Llistes!$K$4,Llistes!$L$4,IF(W119=Llistes!$K$5,Llistes!$L$5,IF(W119=Llistes!$K$6,Llistes!$L$6,IF(W119=Llistes!$K$7,Llistes!$L$7,""))))))</f>
        <v>Gerard Carrion</v>
      </c>
      <c r="Y119" s="165" t="s">
        <v>994</v>
      </c>
      <c r="Z119" s="165" t="s">
        <v>994</v>
      </c>
      <c r="AA119" s="165" t="s">
        <v>994</v>
      </c>
      <c r="AB119" s="165" t="s">
        <v>994</v>
      </c>
      <c r="AC119" s="147"/>
    </row>
    <row r="120" spans="1:29" ht="43.5">
      <c r="A120" s="24" t="s">
        <v>549</v>
      </c>
      <c r="B120" s="423"/>
      <c r="C120" s="294"/>
      <c r="D120" s="332"/>
      <c r="E120" s="384"/>
      <c r="F120" s="186" t="s">
        <v>1549</v>
      </c>
      <c r="G120" s="56" t="str">
        <f>L120</f>
        <v>Promoure la recuperació i conservació de marges i punts d'aigua associats a la ramaderia i l'agricultura i d'interès per a la biodiversitat</v>
      </c>
      <c r="H120" s="216" t="s">
        <v>562</v>
      </c>
      <c r="I120" s="31" t="s">
        <v>1175</v>
      </c>
      <c r="J120" s="163">
        <v>2</v>
      </c>
      <c r="K120" s="163">
        <v>4</v>
      </c>
      <c r="L120" s="187" t="s">
        <v>561</v>
      </c>
      <c r="M120" s="188" t="s">
        <v>303</v>
      </c>
      <c r="N120" s="188" t="s">
        <v>285</v>
      </c>
      <c r="O120" s="56"/>
      <c r="P120" s="31"/>
      <c r="Q120" s="57" t="s">
        <v>305</v>
      </c>
      <c r="R120" s="31"/>
      <c r="S120" s="58"/>
      <c r="T120" s="59"/>
      <c r="U120" s="163">
        <v>4.4999999999999998E-2</v>
      </c>
      <c r="V120" s="163">
        <f>PLA!U123*Llistes!$L$11*Llistes!$L$12</f>
        <v>6</v>
      </c>
      <c r="W120" s="60" t="s">
        <v>349</v>
      </c>
      <c r="X120" s="60" t="str">
        <f>IF(W120=Llistes!$K$2,Llistes!$L$2,IF(W120=Llistes!$K$3,Llistes!$L$3,IF(W120=Llistes!$K$4,Llistes!$L$4,IF(W120=Llistes!$K$5,Llistes!$L$5,IF(W120=Llistes!$K$6,Llistes!$L$6,IF(W120=Llistes!$K$7,Llistes!$L$7,""))))))</f>
        <v>Sergi Roura</v>
      </c>
      <c r="Y120" s="165" t="s">
        <v>994</v>
      </c>
      <c r="Z120" s="165" t="s">
        <v>994</v>
      </c>
      <c r="AA120" s="165" t="s">
        <v>994</v>
      </c>
      <c r="AB120" s="165" t="s">
        <v>994</v>
      </c>
      <c r="AC120" s="147"/>
    </row>
    <row r="121" spans="1:29" ht="43.5">
      <c r="A121" s="24"/>
      <c r="B121" s="423"/>
      <c r="C121" s="294"/>
      <c r="D121" s="14" t="s">
        <v>1553</v>
      </c>
      <c r="E121" s="44" t="s">
        <v>1554</v>
      </c>
      <c r="F121" s="186" t="s">
        <v>1551</v>
      </c>
      <c r="G121" s="56"/>
      <c r="H121" s="216"/>
      <c r="I121" s="31"/>
      <c r="J121" s="163"/>
      <c r="K121" s="163"/>
      <c r="L121" s="187" t="s">
        <v>1552</v>
      </c>
      <c r="M121" s="190"/>
      <c r="N121" s="190"/>
      <c r="O121" s="56"/>
      <c r="P121" s="31"/>
      <c r="Q121" s="57"/>
      <c r="R121" s="31"/>
      <c r="S121" s="58"/>
      <c r="T121" s="59"/>
      <c r="U121" s="163"/>
      <c r="V121" s="163"/>
      <c r="W121" s="60"/>
      <c r="X121" s="60"/>
      <c r="Y121" s="165"/>
      <c r="Z121" s="165"/>
      <c r="AA121" s="165"/>
      <c r="AB121" s="165"/>
      <c r="AC121" s="147"/>
    </row>
    <row r="122" spans="1:29" ht="58">
      <c r="A122" s="24" t="s">
        <v>549</v>
      </c>
      <c r="B122" s="423"/>
      <c r="C122" s="294"/>
      <c r="D122" s="330" t="s">
        <v>563</v>
      </c>
      <c r="E122" s="319" t="s">
        <v>564</v>
      </c>
      <c r="F122" s="186" t="s">
        <v>565</v>
      </c>
      <c r="G122" s="56" t="str">
        <f>L122</f>
        <v>Implantar un distintiu de qualitat i compatibilitat amb la conservació dels productes de la Xarxa d'ENP o criteris de qualitat propis de l'ENP</v>
      </c>
      <c r="H122" s="216" t="s">
        <v>1270</v>
      </c>
      <c r="I122" s="31" t="s">
        <v>1176</v>
      </c>
      <c r="J122" s="163">
        <v>2</v>
      </c>
      <c r="K122" s="163">
        <v>5</v>
      </c>
      <c r="L122" s="187" t="s">
        <v>566</v>
      </c>
      <c r="M122" s="188" t="s">
        <v>271</v>
      </c>
      <c r="N122" s="188" t="s">
        <v>285</v>
      </c>
      <c r="O122" s="56" t="s">
        <v>567</v>
      </c>
      <c r="P122" s="31"/>
      <c r="Q122" s="57" t="s">
        <v>305</v>
      </c>
      <c r="R122" s="31" t="s">
        <v>568</v>
      </c>
      <c r="S122" s="58" t="s">
        <v>288</v>
      </c>
      <c r="T122" s="59" t="s">
        <v>569</v>
      </c>
      <c r="U122" s="163">
        <v>4.4999999999999998E-2</v>
      </c>
      <c r="V122" s="163">
        <f>PLA!U125*Llistes!$L$11*Llistes!$L$12</f>
        <v>6</v>
      </c>
      <c r="W122" s="60" t="s">
        <v>291</v>
      </c>
      <c r="X122" s="60" t="str">
        <f>IF(W122=Llistes!$K$2,Llistes!$L$2,IF(W122=Llistes!$K$3,Llistes!$L$3,IF(W122=Llistes!$K$4,Llistes!$L$4,IF(W122=Llistes!$K$5,Llistes!$L$5,IF(W122=Llistes!$K$6,Llistes!$L$6,IF(W122=Llistes!$K$7,Llistes!$L$7,""))))))</f>
        <v>Gerard Carrion</v>
      </c>
      <c r="Y122" s="165"/>
      <c r="Z122" s="165"/>
      <c r="AA122" s="165" t="s">
        <v>994</v>
      </c>
      <c r="AB122" s="165"/>
      <c r="AC122" s="147"/>
    </row>
    <row r="123" spans="1:29" ht="43.5">
      <c r="A123" s="24" t="s">
        <v>549</v>
      </c>
      <c r="B123" s="423"/>
      <c r="C123" s="294"/>
      <c r="D123" s="331"/>
      <c r="E123" s="320"/>
      <c r="F123" s="186" t="s">
        <v>570</v>
      </c>
      <c r="G123" s="56" t="str">
        <f>L123</f>
        <v>Integrar els productes i activitats locals de qualitat en l'oferta d'activitats d'informació i turístiques de l'ENP</v>
      </c>
      <c r="H123" s="216" t="s">
        <v>1271</v>
      </c>
      <c r="I123" s="31" t="s">
        <v>1177</v>
      </c>
      <c r="J123" s="163"/>
      <c r="K123" s="163" t="s">
        <v>1043</v>
      </c>
      <c r="L123" s="187" t="s">
        <v>571</v>
      </c>
      <c r="M123" s="188" t="s">
        <v>271</v>
      </c>
      <c r="N123" s="188" t="s">
        <v>285</v>
      </c>
      <c r="O123" s="56"/>
      <c r="P123" s="31"/>
      <c r="Q123" s="57" t="s">
        <v>305</v>
      </c>
      <c r="R123" s="31" t="s">
        <v>572</v>
      </c>
      <c r="S123" s="62" t="s">
        <v>573</v>
      </c>
      <c r="T123" s="59"/>
      <c r="U123" s="163">
        <v>0.03</v>
      </c>
      <c r="V123" s="163">
        <f>PLA!U126*Llistes!$L$11*Llistes!$L$12</f>
        <v>4</v>
      </c>
      <c r="W123" s="60" t="s">
        <v>412</v>
      </c>
      <c r="X123" s="60" t="str">
        <f>IF(W123=Llistes!$K$2,Llistes!$L$2,IF(W123=Llistes!$K$3,Llistes!$L$3,IF(W123=Llistes!$K$4,Llistes!$L$4,IF(W123=Llistes!$K$5,Llistes!$L$5,IF(W123=Llistes!$K$6,Llistes!$L$6,IF(W123=Llistes!$K$7,Llistes!$L$7,""))))))</f>
        <v>Ivan Bustamante</v>
      </c>
      <c r="Y123" s="165"/>
      <c r="Z123" s="165"/>
      <c r="AA123" s="165"/>
      <c r="AB123" s="165" t="s">
        <v>994</v>
      </c>
      <c r="AC123" s="147"/>
    </row>
    <row r="124" spans="1:29" ht="43.5">
      <c r="A124" s="24" t="s">
        <v>549</v>
      </c>
      <c r="B124" s="423"/>
      <c r="C124" s="294"/>
      <c r="D124" s="331"/>
      <c r="E124" s="320"/>
      <c r="F124" s="186" t="s">
        <v>570</v>
      </c>
      <c r="G124" s="56" t="str">
        <f>L124</f>
        <v>Integrar els productes i activitats locals de qualitat en l'oferta d'activitats d'informació i turístiques de l'ENP</v>
      </c>
      <c r="H124" s="216" t="s">
        <v>1272</v>
      </c>
      <c r="I124" s="31" t="s">
        <v>1178</v>
      </c>
      <c r="J124" s="163">
        <v>1</v>
      </c>
      <c r="K124" s="163">
        <v>3</v>
      </c>
      <c r="L124" s="187" t="s">
        <v>571</v>
      </c>
      <c r="M124" s="188" t="s">
        <v>271</v>
      </c>
      <c r="N124" s="188" t="s">
        <v>285</v>
      </c>
      <c r="O124" s="56"/>
      <c r="P124" s="31"/>
      <c r="Q124" s="57" t="s">
        <v>305</v>
      </c>
      <c r="R124" s="31" t="s">
        <v>572</v>
      </c>
      <c r="S124" s="62"/>
      <c r="T124" s="59"/>
      <c r="U124" s="163">
        <v>4.4999999999999998E-2</v>
      </c>
      <c r="V124" s="163">
        <f>PLA!U127*Llistes!$L$11*Llistes!$L$12</f>
        <v>6</v>
      </c>
      <c r="W124" s="60" t="s">
        <v>412</v>
      </c>
      <c r="X124" s="60" t="str">
        <f>IF(W124=Llistes!$K$2,Llistes!$L$2,IF(W124=Llistes!$K$3,Llistes!$L$3,IF(W124=Llistes!$K$4,Llistes!$L$4,IF(W124=Llistes!$K$5,Llistes!$L$5,IF(W124=Llistes!$K$6,Llistes!$L$6,IF(W124=Llistes!$K$7,Llistes!$L$7,""))))))</f>
        <v>Ivan Bustamante</v>
      </c>
      <c r="Y124" s="165"/>
      <c r="Z124" s="165"/>
      <c r="AA124" s="165"/>
      <c r="AB124" s="165" t="s">
        <v>994</v>
      </c>
      <c r="AC124" s="147"/>
    </row>
    <row r="125" spans="1:29" ht="43.5">
      <c r="A125" s="24" t="s">
        <v>549</v>
      </c>
      <c r="B125" s="423"/>
      <c r="C125" s="294"/>
      <c r="D125" s="331"/>
      <c r="E125" s="320"/>
      <c r="F125" s="186" t="s">
        <v>574</v>
      </c>
      <c r="G125" s="56" t="s">
        <v>576</v>
      </c>
      <c r="H125" s="216" t="s">
        <v>578</v>
      </c>
      <c r="I125" s="31" t="s">
        <v>1179</v>
      </c>
      <c r="J125" s="163"/>
      <c r="K125" s="163" t="s">
        <v>1043</v>
      </c>
      <c r="L125" s="187" t="s">
        <v>575</v>
      </c>
      <c r="M125" s="188" t="s">
        <v>271</v>
      </c>
      <c r="N125" s="188" t="s">
        <v>285</v>
      </c>
      <c r="O125" s="56" t="s">
        <v>577</v>
      </c>
      <c r="P125" s="60"/>
      <c r="Q125" s="57" t="s">
        <v>305</v>
      </c>
      <c r="R125" s="31"/>
      <c r="S125" s="58"/>
      <c r="T125" s="59"/>
      <c r="U125" s="163">
        <v>0.06</v>
      </c>
      <c r="V125" s="163">
        <f>PLA!U128*Llistes!$L$11*Llistes!$L$12</f>
        <v>8</v>
      </c>
      <c r="W125" s="60" t="s">
        <v>412</v>
      </c>
      <c r="X125" s="60" t="str">
        <f>IF(W125=Llistes!$K$2,Llistes!$L$2,IF(W125=Llistes!$K$3,Llistes!$L$3,IF(W125=Llistes!$K$4,Llistes!$L$4,IF(W125=Llistes!$K$5,Llistes!$L$5,IF(W125=Llistes!$K$6,Llistes!$L$6,IF(W125=Llistes!$K$7,Llistes!$L$7,""))))))</f>
        <v>Ivan Bustamante</v>
      </c>
      <c r="Y125" s="165" t="s">
        <v>994</v>
      </c>
      <c r="Z125" s="165" t="s">
        <v>994</v>
      </c>
      <c r="AA125" s="165" t="s">
        <v>994</v>
      </c>
      <c r="AB125" s="165" t="s">
        <v>994</v>
      </c>
      <c r="AC125" s="147"/>
    </row>
    <row r="126" spans="1:29" ht="58">
      <c r="A126" s="24" t="s">
        <v>549</v>
      </c>
      <c r="B126" s="423"/>
      <c r="C126" s="294"/>
      <c r="D126" s="331"/>
      <c r="E126" s="320"/>
      <c r="F126" s="186" t="s">
        <v>579</v>
      </c>
      <c r="G126" s="56" t="s">
        <v>581</v>
      </c>
      <c r="H126" s="216" t="s">
        <v>1273</v>
      </c>
      <c r="I126" s="31" t="s">
        <v>1180</v>
      </c>
      <c r="J126" s="163">
        <v>1</v>
      </c>
      <c r="K126" s="163">
        <v>2</v>
      </c>
      <c r="L126" s="187" t="s">
        <v>580</v>
      </c>
      <c r="M126" s="188" t="s">
        <v>271</v>
      </c>
      <c r="N126" s="188" t="s">
        <v>285</v>
      </c>
      <c r="O126" s="56" t="s">
        <v>582</v>
      </c>
      <c r="P126" s="31"/>
      <c r="Q126" s="57" t="s">
        <v>305</v>
      </c>
      <c r="R126" s="31" t="s">
        <v>583</v>
      </c>
      <c r="S126" s="62" t="s">
        <v>573</v>
      </c>
      <c r="T126" s="59"/>
      <c r="U126" s="163">
        <v>0.03</v>
      </c>
      <c r="V126" s="163">
        <f>PLA!U129*Llistes!$L$11*Llistes!$L$12</f>
        <v>4</v>
      </c>
      <c r="W126" s="60" t="s">
        <v>412</v>
      </c>
      <c r="X126" s="60" t="str">
        <f>IF(W126=Llistes!$K$2,Llistes!$L$2,IF(W126=Llistes!$K$3,Llistes!$L$3,IF(W126=Llistes!$K$4,Llistes!$L$4,IF(W126=Llistes!$K$5,Llistes!$L$5,IF(W126=Llistes!$K$6,Llistes!$L$6,IF(W126=Llistes!$K$7,Llistes!$L$7,""))))))</f>
        <v>Ivan Bustamante</v>
      </c>
      <c r="Y126" s="165" t="s">
        <v>994</v>
      </c>
      <c r="Z126" s="165" t="s">
        <v>994</v>
      </c>
      <c r="AA126" s="165" t="s">
        <v>994</v>
      </c>
      <c r="AB126" s="165" t="s">
        <v>994</v>
      </c>
      <c r="AC126" s="147"/>
    </row>
    <row r="127" spans="1:29" ht="47.15" customHeight="1">
      <c r="A127" s="24"/>
      <c r="B127" s="423"/>
      <c r="C127" s="294"/>
      <c r="D127" s="331"/>
      <c r="E127" s="320"/>
      <c r="F127" s="186" t="s">
        <v>584</v>
      </c>
      <c r="G127" s="56"/>
      <c r="H127" s="216"/>
      <c r="I127" s="31"/>
      <c r="J127" s="163"/>
      <c r="K127" s="163"/>
      <c r="L127" s="187" t="s">
        <v>1555</v>
      </c>
      <c r="M127" s="188" t="s">
        <v>271</v>
      </c>
      <c r="N127" s="188" t="s">
        <v>279</v>
      </c>
      <c r="O127" s="56"/>
      <c r="P127" s="31"/>
      <c r="Q127" s="57"/>
      <c r="R127" s="31"/>
      <c r="S127" s="62"/>
      <c r="T127" s="59"/>
      <c r="U127" s="163"/>
      <c r="V127" s="163"/>
      <c r="W127" s="60"/>
      <c r="X127" s="60"/>
      <c r="Y127" s="165"/>
      <c r="Z127" s="165"/>
      <c r="AA127" s="165"/>
      <c r="AB127" s="165"/>
      <c r="AC127" s="147"/>
    </row>
    <row r="128" spans="1:29" ht="58">
      <c r="A128" s="24" t="s">
        <v>549</v>
      </c>
      <c r="B128" s="423"/>
      <c r="C128" s="294"/>
      <c r="D128" s="332"/>
      <c r="E128" s="321"/>
      <c r="F128" s="186" t="s">
        <v>1467</v>
      </c>
      <c r="G128" s="56"/>
      <c r="H128" s="216"/>
      <c r="I128" s="31"/>
      <c r="J128" s="163"/>
      <c r="K128" s="163"/>
      <c r="L128" s="187" t="s">
        <v>1468</v>
      </c>
      <c r="M128" s="188" t="s">
        <v>271</v>
      </c>
      <c r="N128" s="188" t="s">
        <v>279</v>
      </c>
      <c r="O128" s="56"/>
      <c r="P128" s="31"/>
      <c r="Q128" s="57"/>
      <c r="R128" s="31"/>
      <c r="S128" s="62"/>
      <c r="T128" s="59"/>
      <c r="U128" s="163"/>
      <c r="V128" s="163"/>
      <c r="W128" s="60"/>
      <c r="X128" s="60"/>
      <c r="Y128" s="165"/>
      <c r="Z128" s="165"/>
      <c r="AA128" s="165"/>
      <c r="AB128" s="165"/>
      <c r="AC128" s="147"/>
    </row>
    <row r="129" spans="1:29" ht="43.5">
      <c r="A129" s="24" t="s">
        <v>549</v>
      </c>
      <c r="B129" s="423"/>
      <c r="C129" s="294"/>
      <c r="D129" s="330" t="s">
        <v>585</v>
      </c>
      <c r="E129" s="319" t="s">
        <v>586</v>
      </c>
      <c r="F129" s="186" t="s">
        <v>587</v>
      </c>
      <c r="G129" s="56" t="str">
        <f>L129</f>
        <v>Treballar amb l'autoritat competent per garantir objectius de conservació d’espècies i hàbitats en la revisió dels Plans de Gestió Cinegètica</v>
      </c>
      <c r="H129" s="216" t="s">
        <v>1274</v>
      </c>
      <c r="I129" s="31" t="s">
        <v>1181</v>
      </c>
      <c r="J129" s="163">
        <v>1</v>
      </c>
      <c r="K129" s="163">
        <v>2</v>
      </c>
      <c r="L129" s="187" t="s">
        <v>588</v>
      </c>
      <c r="M129" s="188" t="s">
        <v>271</v>
      </c>
      <c r="N129" s="188" t="s">
        <v>285</v>
      </c>
      <c r="O129" s="56"/>
      <c r="P129" s="31"/>
      <c r="Q129" s="57" t="s">
        <v>286</v>
      </c>
      <c r="R129" s="31" t="s">
        <v>589</v>
      </c>
      <c r="S129" s="58" t="s">
        <v>275</v>
      </c>
      <c r="T129" s="59"/>
      <c r="U129" s="163">
        <v>4.4999999999999998E-2</v>
      </c>
      <c r="V129" s="163">
        <f>PLA!U132*Llistes!$L$11*Llistes!$L$12</f>
        <v>6</v>
      </c>
      <c r="W129" s="60" t="s">
        <v>291</v>
      </c>
      <c r="X129" s="60" t="str">
        <f>IF(W129=Llistes!$K$2,Llistes!$L$2,IF(W129=Llistes!$K$3,Llistes!$L$3,IF(W129=Llistes!$K$4,Llistes!$L$4,IF(W129=Llistes!$K$5,Llistes!$L$5,IF(W129=Llistes!$K$6,Llistes!$L$6,IF(W129=Llistes!$K$7,Llistes!$L$7,""))))))</f>
        <v>Gerard Carrion</v>
      </c>
      <c r="Y129" s="165" t="s">
        <v>994</v>
      </c>
      <c r="Z129" s="165" t="s">
        <v>994</v>
      </c>
      <c r="AA129" s="165" t="s">
        <v>994</v>
      </c>
      <c r="AB129" s="165" t="s">
        <v>994</v>
      </c>
      <c r="AC129" s="147"/>
    </row>
    <row r="130" spans="1:29" ht="58">
      <c r="A130" s="24" t="s">
        <v>549</v>
      </c>
      <c r="B130" s="423"/>
      <c r="C130" s="294"/>
      <c r="D130" s="331"/>
      <c r="E130" s="320"/>
      <c r="F130" s="186" t="s">
        <v>590</v>
      </c>
      <c r="G130" s="56" t="s">
        <v>592</v>
      </c>
      <c r="H130" s="216" t="s">
        <v>594</v>
      </c>
      <c r="I130" s="31" t="s">
        <v>1182</v>
      </c>
      <c r="J130" s="163">
        <v>1</v>
      </c>
      <c r="K130" s="163">
        <v>2</v>
      </c>
      <c r="L130" s="187" t="s">
        <v>591</v>
      </c>
      <c r="M130" s="188" t="s">
        <v>271</v>
      </c>
      <c r="N130" s="188" t="s">
        <v>285</v>
      </c>
      <c r="O130" s="56"/>
      <c r="P130" s="31"/>
      <c r="Q130" s="57" t="s">
        <v>286</v>
      </c>
      <c r="R130" s="31" t="s">
        <v>593</v>
      </c>
      <c r="S130" s="58" t="s">
        <v>275</v>
      </c>
      <c r="T130" s="59"/>
      <c r="U130" s="163">
        <v>0.03</v>
      </c>
      <c r="V130" s="163">
        <f>PLA!U133*Llistes!$L$11*Llistes!$L$12</f>
        <v>4</v>
      </c>
      <c r="W130" s="60" t="s">
        <v>291</v>
      </c>
      <c r="X130" s="60" t="str">
        <f>IF(W130=Llistes!$K$2,Llistes!$L$2,IF(W130=Llistes!$K$3,Llistes!$L$3,IF(W130=Llistes!$K$4,Llistes!$L$4,IF(W130=Llistes!$K$5,Llistes!$L$5,IF(W130=Llistes!$K$6,Llistes!$L$6,IF(W130=Llistes!$K$7,Llistes!$L$7,""))))))</f>
        <v>Gerard Carrion</v>
      </c>
      <c r="Y130" s="165" t="s">
        <v>994</v>
      </c>
      <c r="Z130" s="165" t="s">
        <v>994</v>
      </c>
      <c r="AA130" s="165" t="s">
        <v>994</v>
      </c>
      <c r="AB130" s="165" t="s">
        <v>994</v>
      </c>
      <c r="AC130" s="147"/>
    </row>
    <row r="131" spans="1:29" ht="58">
      <c r="A131" s="24" t="s">
        <v>549</v>
      </c>
      <c r="B131" s="182"/>
      <c r="C131" s="261"/>
      <c r="D131" s="332"/>
      <c r="E131" s="321"/>
      <c r="F131" s="186" t="s">
        <v>1556</v>
      </c>
      <c r="G131" s="56" t="s">
        <v>1557</v>
      </c>
      <c r="H131" s="216" t="s">
        <v>1597</v>
      </c>
      <c r="I131" s="31" t="s">
        <v>1598</v>
      </c>
      <c r="J131" s="163">
        <v>1</v>
      </c>
      <c r="K131" s="163">
        <v>4</v>
      </c>
      <c r="L131" s="187" t="s">
        <v>1557</v>
      </c>
      <c r="M131" s="188" t="s">
        <v>271</v>
      </c>
      <c r="N131" s="188" t="s">
        <v>285</v>
      </c>
      <c r="O131" s="56"/>
      <c r="P131" s="31"/>
      <c r="Q131" s="57" t="s">
        <v>305</v>
      </c>
      <c r="R131" s="31"/>
      <c r="S131" s="58"/>
      <c r="T131" s="59"/>
      <c r="U131" s="163">
        <v>4.4999999999999998E-2</v>
      </c>
      <c r="V131" s="163">
        <v>4</v>
      </c>
      <c r="W131" s="60" t="s">
        <v>291</v>
      </c>
      <c r="X131" s="60" t="str">
        <f>IF(W131=Llistes!$K$2,Llistes!$L$2,IF(W131=Llistes!$K$3,Llistes!$L$3,IF(W131=Llistes!$K$4,Llistes!$L$4,IF(W131=Llistes!$K$5,Llistes!$L$5,IF(W131=Llistes!$K$6,Llistes!$L$6,IF(W131=Llistes!$K$7,Llistes!$L$7,""))))))</f>
        <v>Gerard Carrion</v>
      </c>
      <c r="Y131" s="165" t="s">
        <v>994</v>
      </c>
      <c r="Z131" s="165" t="s">
        <v>994</v>
      </c>
      <c r="AA131" s="165" t="s">
        <v>994</v>
      </c>
      <c r="AB131" s="165" t="s">
        <v>994</v>
      </c>
      <c r="AC131" s="147"/>
    </row>
    <row r="132" spans="1:29">
      <c r="A132" s="24" t="s">
        <v>549</v>
      </c>
      <c r="B132" s="368">
        <v>9</v>
      </c>
      <c r="C132" s="368" t="s">
        <v>1589</v>
      </c>
      <c r="D132" s="295" t="s">
        <v>1524</v>
      </c>
      <c r="E132" s="319" t="s">
        <v>1523</v>
      </c>
      <c r="F132" s="186" t="s">
        <v>1517</v>
      </c>
      <c r="G132" s="56"/>
      <c r="H132" s="216"/>
      <c r="I132" s="31"/>
      <c r="J132" s="163"/>
      <c r="K132" s="163"/>
      <c r="L132" s="187" t="s">
        <v>1518</v>
      </c>
      <c r="M132" s="188" t="s">
        <v>271</v>
      </c>
      <c r="N132" s="188" t="s">
        <v>279</v>
      </c>
      <c r="O132" s="56"/>
      <c r="P132" s="31"/>
      <c r="Q132" s="57"/>
      <c r="R132" s="31"/>
      <c r="S132" s="58"/>
      <c r="T132" s="59"/>
      <c r="U132" s="163"/>
      <c r="V132" s="163"/>
      <c r="W132" s="60"/>
      <c r="X132" s="60" t="str">
        <f>IF(W132=Llistes!$K$2,Llistes!$L$2,IF(W132=Llistes!$K$3,Llistes!$L$3,IF(W132=Llistes!$K$4,Llistes!$L$4,IF(W132=Llistes!$K$5,Llistes!$L$5,IF(W132=Llistes!$K$6,Llistes!$L$6,IF(W132=Llistes!$K$7,Llistes!$L$7,""))))))</f>
        <v/>
      </c>
      <c r="Y132" s="165"/>
      <c r="Z132" s="165"/>
      <c r="AA132" s="165"/>
      <c r="AB132" s="165"/>
      <c r="AC132" s="147"/>
    </row>
    <row r="133" spans="1:29" ht="14.5" customHeight="1">
      <c r="A133" s="24" t="s">
        <v>549</v>
      </c>
      <c r="B133" s="369"/>
      <c r="C133" s="369"/>
      <c r="D133" s="322"/>
      <c r="E133" s="320"/>
      <c r="F133" s="186" t="s">
        <v>1519</v>
      </c>
      <c r="G133" s="56"/>
      <c r="H133" s="216"/>
      <c r="I133" s="31"/>
      <c r="J133" s="163"/>
      <c r="K133" s="163"/>
      <c r="L133" s="187" t="s">
        <v>1520</v>
      </c>
      <c r="M133" s="188" t="s">
        <v>271</v>
      </c>
      <c r="N133" s="188" t="s">
        <v>279</v>
      </c>
      <c r="O133" s="56"/>
      <c r="P133" s="31"/>
      <c r="Q133" s="57"/>
      <c r="R133" s="31"/>
      <c r="S133" s="58"/>
      <c r="T133" s="59"/>
      <c r="U133" s="163"/>
      <c r="V133" s="163"/>
      <c r="W133" s="60"/>
      <c r="X133" s="60" t="str">
        <f>IF(W133=Llistes!$K$2,Llistes!$L$2,IF(W133=Llistes!$K$3,Llistes!$L$3,IF(W133=Llistes!$K$4,Llistes!$L$4,IF(W133=Llistes!$K$5,Llistes!$L$5,IF(W133=Llistes!$K$6,Llistes!$L$6,IF(W133=Llistes!$K$7,Llistes!$L$7,""))))))</f>
        <v/>
      </c>
      <c r="Y133" s="165"/>
      <c r="Z133" s="165"/>
      <c r="AA133" s="165"/>
      <c r="AB133" s="165"/>
      <c r="AC133" s="147"/>
    </row>
    <row r="134" spans="1:29" ht="43.5">
      <c r="A134" s="24"/>
      <c r="B134" s="369"/>
      <c r="C134" s="369"/>
      <c r="D134" s="296"/>
      <c r="E134" s="321"/>
      <c r="F134" s="186" t="s">
        <v>1521</v>
      </c>
      <c r="G134" s="56"/>
      <c r="H134" s="216" t="s">
        <v>1625</v>
      </c>
      <c r="I134" s="31" t="s">
        <v>1626</v>
      </c>
      <c r="J134" s="163">
        <v>1</v>
      </c>
      <c r="K134" s="163">
        <v>4</v>
      </c>
      <c r="L134" s="187" t="s">
        <v>1522</v>
      </c>
      <c r="M134" s="188" t="s">
        <v>271</v>
      </c>
      <c r="N134" s="188" t="s">
        <v>279</v>
      </c>
      <c r="O134" s="56"/>
      <c r="P134" s="31"/>
      <c r="Q134" s="57" t="s">
        <v>305</v>
      </c>
      <c r="R134" s="31"/>
      <c r="S134" s="58"/>
      <c r="T134" s="59"/>
      <c r="U134" s="163">
        <v>0.5</v>
      </c>
      <c r="V134" s="163">
        <v>90</v>
      </c>
      <c r="W134" s="60" t="s">
        <v>412</v>
      </c>
      <c r="X134" s="60" t="str">
        <f>IF(W134=Llistes!$K$2,Llistes!$L$2,IF(W134=Llistes!$K$3,Llistes!$L$3,IF(W134=Llistes!$K$4,Llistes!$L$4,IF(W134=Llistes!$K$5,Llistes!$L$5,IF(W134=Llistes!$K$6,Llistes!$L$6,IF(W134=Llistes!$K$7,Llistes!$L$7,""))))))</f>
        <v>Ivan Bustamante</v>
      </c>
      <c r="Y134" s="165"/>
      <c r="Z134" s="165"/>
      <c r="AA134" s="165"/>
      <c r="AB134" s="165"/>
      <c r="AC134" s="147"/>
    </row>
    <row r="135" spans="1:29" ht="29">
      <c r="A135" s="24" t="s">
        <v>549</v>
      </c>
      <c r="B135" s="369"/>
      <c r="C135" s="369"/>
      <c r="D135" s="295" t="s">
        <v>1515</v>
      </c>
      <c r="E135" s="383" t="s">
        <v>1513</v>
      </c>
      <c r="F135" s="186" t="s">
        <v>1505</v>
      </c>
      <c r="G135" s="56"/>
      <c r="H135" s="216"/>
      <c r="I135" s="31"/>
      <c r="J135" s="163"/>
      <c r="K135" s="163"/>
      <c r="L135" s="187" t="s">
        <v>1506</v>
      </c>
      <c r="M135" s="188" t="s">
        <v>271</v>
      </c>
      <c r="N135" s="188" t="s">
        <v>279</v>
      </c>
      <c r="O135" s="56"/>
      <c r="P135" s="31"/>
      <c r="Q135" s="57"/>
      <c r="R135" s="31"/>
      <c r="S135" s="58"/>
      <c r="T135" s="59"/>
      <c r="U135" s="163"/>
      <c r="V135" s="163"/>
      <c r="W135" s="60"/>
      <c r="X135" s="60" t="str">
        <f>IF(W135=Llistes!$K$2,Llistes!$L$2,IF(W135=Llistes!$K$3,Llistes!$L$3,IF(W135=Llistes!$K$4,Llistes!$L$4,IF(W135=Llistes!$K$5,Llistes!$L$5,IF(W135=Llistes!$K$6,Llistes!$L$6,IF(W135=Llistes!$K$7,Llistes!$L$7,""))))))</f>
        <v/>
      </c>
      <c r="Y135" s="165"/>
      <c r="Z135" s="165"/>
      <c r="AA135" s="165"/>
      <c r="AB135" s="165"/>
      <c r="AC135" s="147"/>
    </row>
    <row r="136" spans="1:29" ht="29">
      <c r="A136" s="24"/>
      <c r="B136" s="369"/>
      <c r="C136" s="369"/>
      <c r="D136" s="296"/>
      <c r="E136" s="384"/>
      <c r="F136" s="186" t="s">
        <v>1507</v>
      </c>
      <c r="G136" s="56"/>
      <c r="H136" s="216"/>
      <c r="I136" s="31"/>
      <c r="J136" s="163"/>
      <c r="K136" s="163"/>
      <c r="L136" s="187" t="s">
        <v>1508</v>
      </c>
      <c r="M136" s="188" t="s">
        <v>271</v>
      </c>
      <c r="N136" s="188" t="s">
        <v>279</v>
      </c>
      <c r="O136" s="56"/>
      <c r="P136" s="31"/>
      <c r="Q136" s="57"/>
      <c r="R136" s="31"/>
      <c r="S136" s="58"/>
      <c r="T136" s="59"/>
      <c r="U136" s="163"/>
      <c r="V136" s="163"/>
      <c r="W136" s="60"/>
      <c r="X136" s="60" t="str">
        <f>IF(W136=Llistes!$K$2,Llistes!$L$2,IF(W136=Llistes!$K$3,Llistes!$L$3,IF(W136=Llistes!$K$4,Llistes!$L$4,IF(W136=Llistes!$K$5,Llistes!$L$5,IF(W136=Llistes!$K$6,Llistes!$L$6,IF(W136=Llistes!$K$7,Llistes!$L$7,""))))))</f>
        <v/>
      </c>
      <c r="Y136" s="165"/>
      <c r="Z136" s="165"/>
      <c r="AA136" s="165"/>
      <c r="AB136" s="165"/>
      <c r="AC136" s="147"/>
    </row>
    <row r="137" spans="1:29" ht="44.5" customHeight="1">
      <c r="A137" s="24"/>
      <c r="B137" s="370"/>
      <c r="C137" s="370"/>
      <c r="D137" s="205" t="s">
        <v>1605</v>
      </c>
      <c r="E137" s="200" t="s">
        <v>1606</v>
      </c>
      <c r="F137" s="186" t="s">
        <v>1607</v>
      </c>
      <c r="G137" s="56" t="s">
        <v>1608</v>
      </c>
      <c r="H137" s="216" t="s">
        <v>1610</v>
      </c>
      <c r="I137" s="31" t="s">
        <v>1611</v>
      </c>
      <c r="J137" s="163">
        <v>16</v>
      </c>
      <c r="K137" s="163">
        <v>20</v>
      </c>
      <c r="L137" s="187"/>
      <c r="M137" s="188"/>
      <c r="N137" s="188"/>
      <c r="O137" s="56" t="s">
        <v>1609</v>
      </c>
      <c r="P137" s="31" t="s">
        <v>71</v>
      </c>
      <c r="Q137" s="57" t="s">
        <v>286</v>
      </c>
      <c r="R137" s="31"/>
      <c r="S137" s="58"/>
      <c r="T137" s="59"/>
      <c r="U137" s="163">
        <v>0.5</v>
      </c>
      <c r="V137" s="163">
        <f>0.5*45*4</f>
        <v>90</v>
      </c>
      <c r="W137" s="60" t="s">
        <v>412</v>
      </c>
      <c r="X137" s="60" t="str">
        <f>IF(W137=Llistes!$K$2,Llistes!$L$2,IF(W137=Llistes!$K$3,Llistes!$L$3,IF(W137=Llistes!$K$4,Llistes!$L$4,IF(W137=Llistes!$K$5,Llistes!$L$5,IF(W137=Llistes!$K$6,Llistes!$L$6,IF(W137=Llistes!$K$7,Llistes!$L$7,""))))))</f>
        <v>Ivan Bustamante</v>
      </c>
      <c r="Y137" s="165"/>
      <c r="Z137" s="165"/>
      <c r="AA137" s="165"/>
      <c r="AB137" s="165"/>
      <c r="AC137" s="147"/>
    </row>
    <row r="138" spans="1:29" ht="29.15" customHeight="1">
      <c r="A138" s="318" t="s">
        <v>595</v>
      </c>
      <c r="B138" s="183">
        <v>10</v>
      </c>
      <c r="C138" s="202" t="s">
        <v>1590</v>
      </c>
      <c r="D138" s="249" t="s">
        <v>1516</v>
      </c>
      <c r="E138" s="385" t="s">
        <v>1514</v>
      </c>
      <c r="F138" s="186" t="s">
        <v>1509</v>
      </c>
      <c r="G138" s="56"/>
      <c r="H138" s="216"/>
      <c r="I138" s="31"/>
      <c r="J138" s="163"/>
      <c r="K138" s="163"/>
      <c r="L138" s="187" t="s">
        <v>1510</v>
      </c>
      <c r="M138" s="188" t="s">
        <v>271</v>
      </c>
      <c r="N138" s="188" t="s">
        <v>285</v>
      </c>
      <c r="O138" s="56"/>
      <c r="P138" s="31"/>
      <c r="Q138" s="57"/>
      <c r="R138" s="31"/>
      <c r="S138" s="58"/>
      <c r="T138" s="59"/>
      <c r="U138" s="163"/>
      <c r="V138" s="163"/>
      <c r="W138" s="60"/>
      <c r="X138" s="60"/>
      <c r="Y138" s="165"/>
      <c r="Z138" s="165"/>
      <c r="AA138" s="165"/>
      <c r="AB138" s="165"/>
      <c r="AC138" s="147"/>
    </row>
    <row r="139" spans="1:29">
      <c r="A139" s="318"/>
      <c r="B139" s="183"/>
      <c r="C139" s="202"/>
      <c r="D139" s="250"/>
      <c r="E139" s="386"/>
      <c r="F139" s="186" t="s">
        <v>1511</v>
      </c>
      <c r="G139" s="56"/>
      <c r="H139" s="216"/>
      <c r="I139" s="31"/>
      <c r="J139" s="163"/>
      <c r="K139" s="163"/>
      <c r="L139" s="187" t="s">
        <v>1512</v>
      </c>
      <c r="M139" s="188" t="s">
        <v>271</v>
      </c>
      <c r="N139" s="188" t="s">
        <v>285</v>
      </c>
      <c r="O139" s="56"/>
      <c r="P139" s="31"/>
      <c r="Q139" s="57"/>
      <c r="R139" s="31"/>
      <c r="S139" s="58"/>
      <c r="T139" s="59"/>
      <c r="U139" s="163"/>
      <c r="V139" s="163"/>
      <c r="W139" s="60"/>
      <c r="X139" s="60"/>
      <c r="Y139" s="165"/>
      <c r="Z139" s="165"/>
      <c r="AA139" s="165"/>
      <c r="AB139" s="165"/>
      <c r="AC139" s="147"/>
    </row>
    <row r="140" spans="1:29" ht="58">
      <c r="A140" s="318"/>
      <c r="B140" s="273">
        <v>11</v>
      </c>
      <c r="C140" s="274" t="s">
        <v>597</v>
      </c>
      <c r="D140" s="289" t="s">
        <v>598</v>
      </c>
      <c r="E140" s="291" t="s">
        <v>599</v>
      </c>
      <c r="F140" s="186" t="s">
        <v>600</v>
      </c>
      <c r="G140" s="56" t="s">
        <v>601</v>
      </c>
      <c r="H140" s="216" t="s">
        <v>604</v>
      </c>
      <c r="I140" s="31" t="s">
        <v>1352</v>
      </c>
      <c r="J140" s="163">
        <v>1</v>
      </c>
      <c r="K140" s="163">
        <v>2</v>
      </c>
      <c r="L140" s="187" t="s">
        <v>1469</v>
      </c>
      <c r="M140" s="188" t="s">
        <v>271</v>
      </c>
      <c r="N140" s="188" t="s">
        <v>285</v>
      </c>
      <c r="O140" s="56" t="s">
        <v>602</v>
      </c>
      <c r="P140" s="56"/>
      <c r="Q140" s="57" t="s">
        <v>286</v>
      </c>
      <c r="R140" s="56" t="s">
        <v>603</v>
      </c>
      <c r="S140" s="58"/>
      <c r="T140" s="59" t="s">
        <v>596</v>
      </c>
      <c r="U140" s="163">
        <v>0.06</v>
      </c>
      <c r="V140" s="163">
        <f>PLA!U143*Llistes!$L$11*Llistes!$L$12</f>
        <v>8</v>
      </c>
      <c r="W140" s="60" t="s">
        <v>291</v>
      </c>
      <c r="X140" s="60" t="str">
        <f>IF(W140=Llistes!$K$2,Llistes!$L$2,IF(W140=Llistes!$K$3,Llistes!$L$3,IF(W140=Llistes!$K$4,Llistes!$L$4,IF(W140=Llistes!$K$5,Llistes!$L$5,IF(W140=Llistes!$K$6,Llistes!$L$6,IF(W140=Llistes!$K$7,Llistes!$L$7,""))))))</f>
        <v>Gerard Carrion</v>
      </c>
      <c r="Y140" s="165" t="s">
        <v>994</v>
      </c>
      <c r="Z140" s="165" t="s">
        <v>994</v>
      </c>
      <c r="AA140" s="165" t="s">
        <v>994</v>
      </c>
      <c r="AB140" s="165" t="s">
        <v>994</v>
      </c>
      <c r="AC140" s="147"/>
    </row>
    <row r="141" spans="1:29" ht="43.5">
      <c r="A141" s="204" t="s">
        <v>595</v>
      </c>
      <c r="B141" s="273"/>
      <c r="C141" s="274"/>
      <c r="D141" s="290"/>
      <c r="E141" s="292"/>
      <c r="F141" s="186" t="s">
        <v>605</v>
      </c>
      <c r="G141" s="56" t="s">
        <v>606</v>
      </c>
      <c r="H141" s="216" t="s">
        <v>1275</v>
      </c>
      <c r="I141" s="31" t="s">
        <v>1353</v>
      </c>
      <c r="J141" s="163">
        <v>1</v>
      </c>
      <c r="K141" s="163">
        <v>2</v>
      </c>
      <c r="L141" s="187" t="s">
        <v>1470</v>
      </c>
      <c r="M141" s="188" t="s">
        <v>271</v>
      </c>
      <c r="N141" s="188" t="s">
        <v>285</v>
      </c>
      <c r="O141" s="56" t="s">
        <v>607</v>
      </c>
      <c r="P141" s="56"/>
      <c r="Q141" s="57" t="s">
        <v>286</v>
      </c>
      <c r="R141" s="56" t="s">
        <v>608</v>
      </c>
      <c r="S141" s="58"/>
      <c r="T141" s="59" t="s">
        <v>596</v>
      </c>
      <c r="U141" s="163">
        <v>0.06</v>
      </c>
      <c r="V141" s="163">
        <f>PLA!U144*Llistes!$L$11*Llistes!$L$12</f>
        <v>8</v>
      </c>
      <c r="W141" s="60" t="s">
        <v>291</v>
      </c>
      <c r="X141" s="60" t="str">
        <f>IF(W141=Llistes!$K$2,Llistes!$L$2,IF(W141=Llistes!$K$3,Llistes!$L$3,IF(W141=Llistes!$K$4,Llistes!$L$4,IF(W141=Llistes!$K$5,Llistes!$L$5,IF(W141=Llistes!$K$6,Llistes!$L$6,IF(W141=Llistes!$K$7,Llistes!$L$7,""))))))</f>
        <v>Gerard Carrion</v>
      </c>
      <c r="Y141" s="165" t="s">
        <v>994</v>
      </c>
      <c r="Z141" s="165" t="s">
        <v>994</v>
      </c>
      <c r="AA141" s="165" t="s">
        <v>994</v>
      </c>
      <c r="AB141" s="165" t="s">
        <v>994</v>
      </c>
      <c r="AC141" s="147"/>
    </row>
    <row r="142" spans="1:29" ht="43.5">
      <c r="A142" s="204"/>
      <c r="B142" s="273"/>
      <c r="C142" s="274"/>
      <c r="D142" s="290"/>
      <c r="E142" s="292"/>
      <c r="F142" s="186" t="s">
        <v>605</v>
      </c>
      <c r="G142" s="56" t="s">
        <v>606</v>
      </c>
      <c r="H142" s="216" t="s">
        <v>1276</v>
      </c>
      <c r="I142" s="31" t="s">
        <v>1183</v>
      </c>
      <c r="J142" s="163">
        <v>1</v>
      </c>
      <c r="K142" s="163">
        <v>3</v>
      </c>
      <c r="L142" s="187" t="s">
        <v>1470</v>
      </c>
      <c r="M142" s="188" t="s">
        <v>271</v>
      </c>
      <c r="N142" s="188" t="s">
        <v>285</v>
      </c>
      <c r="O142" s="56" t="s">
        <v>607</v>
      </c>
      <c r="P142" s="56"/>
      <c r="Q142" s="57" t="s">
        <v>286</v>
      </c>
      <c r="R142" s="56" t="s">
        <v>608</v>
      </c>
      <c r="S142" s="58"/>
      <c r="T142" s="59"/>
      <c r="U142" s="163">
        <v>0.06</v>
      </c>
      <c r="V142" s="163">
        <f>PLA!U145*Llistes!$L$11*Llistes!$L$12</f>
        <v>8</v>
      </c>
      <c r="W142" s="60" t="s">
        <v>291</v>
      </c>
      <c r="X142" s="60" t="str">
        <f>IF(W142=Llistes!$K$2,Llistes!$L$2,IF(W142=Llistes!$K$3,Llistes!$L$3,IF(W142=Llistes!$K$4,Llistes!$L$4,IF(W142=Llistes!$K$5,Llistes!$L$5,IF(W142=Llistes!$K$6,Llistes!$L$6,IF(W142=Llistes!$K$7,Llistes!$L$7,""))))))</f>
        <v>Gerard Carrion</v>
      </c>
      <c r="Y142" s="165" t="s">
        <v>994</v>
      </c>
      <c r="Z142" s="165" t="s">
        <v>994</v>
      </c>
      <c r="AA142" s="165" t="s">
        <v>994</v>
      </c>
      <c r="AB142" s="165" t="s">
        <v>994</v>
      </c>
      <c r="AC142" s="147"/>
    </row>
    <row r="143" spans="1:29" ht="29">
      <c r="A143" s="204" t="s">
        <v>595</v>
      </c>
      <c r="B143" s="273"/>
      <c r="C143" s="274"/>
      <c r="D143" s="290"/>
      <c r="E143" s="292"/>
      <c r="F143" s="186" t="s">
        <v>609</v>
      </c>
      <c r="G143" s="56"/>
      <c r="H143" s="216"/>
      <c r="I143" s="31"/>
      <c r="J143" s="163"/>
      <c r="K143" s="163"/>
      <c r="L143" s="187" t="s">
        <v>1471</v>
      </c>
      <c r="M143" s="188" t="s">
        <v>271</v>
      </c>
      <c r="N143" s="188" t="s">
        <v>285</v>
      </c>
      <c r="O143" s="3"/>
      <c r="P143" s="56"/>
      <c r="Q143" s="3"/>
      <c r="R143" s="56"/>
      <c r="S143" s="58"/>
      <c r="T143" s="59"/>
      <c r="U143" s="163"/>
      <c r="V143" s="163"/>
      <c r="W143" s="60"/>
      <c r="X143" s="60"/>
      <c r="Y143" s="165"/>
      <c r="Z143" s="165"/>
      <c r="AA143" s="165"/>
      <c r="AB143" s="165"/>
      <c r="AC143" s="147"/>
    </row>
    <row r="144" spans="1:29" ht="58">
      <c r="A144" s="204" t="s">
        <v>595</v>
      </c>
      <c r="B144" s="273"/>
      <c r="C144" s="274"/>
      <c r="D144" s="290"/>
      <c r="E144" s="292"/>
      <c r="F144" s="186" t="s">
        <v>610</v>
      </c>
      <c r="G144" s="56" t="str">
        <f>L144</f>
        <v>Ordenar les curses i altres activitats esportives organitzades en base a un model estàndard de Pla de protecció</v>
      </c>
      <c r="H144" s="216" t="s">
        <v>1184</v>
      </c>
      <c r="I144" s="31" t="s">
        <v>1187</v>
      </c>
      <c r="J144" s="163">
        <v>1</v>
      </c>
      <c r="K144" s="163">
        <v>2</v>
      </c>
      <c r="L144" s="187" t="s">
        <v>1472</v>
      </c>
      <c r="M144" s="188" t="s">
        <v>271</v>
      </c>
      <c r="N144" s="188" t="s">
        <v>285</v>
      </c>
      <c r="O144" s="56" t="s">
        <v>611</v>
      </c>
      <c r="P144" s="56"/>
      <c r="Q144" s="57" t="s">
        <v>286</v>
      </c>
      <c r="R144" s="56" t="s">
        <v>612</v>
      </c>
      <c r="S144" s="58"/>
      <c r="T144" s="59" t="s">
        <v>596</v>
      </c>
      <c r="U144" s="163">
        <v>0.06</v>
      </c>
      <c r="V144" s="163">
        <f>PLA!U147*Llistes!$L$11*Llistes!$L$12</f>
        <v>8</v>
      </c>
      <c r="W144" s="60" t="s">
        <v>291</v>
      </c>
      <c r="X144" s="60" t="str">
        <f>IF(W144=Llistes!$K$2,Llistes!$L$2,IF(W144=Llistes!$K$3,Llistes!$L$3,IF(W144=Llistes!$K$4,Llistes!$L$4,IF(W144=Llistes!$K$5,Llistes!$L$5,IF(W144=Llistes!$K$6,Llistes!$L$6,IF(W144=Llistes!$K$7,Llistes!$L$7,""))))))</f>
        <v>Gerard Carrion</v>
      </c>
      <c r="Y144" s="165" t="s">
        <v>994</v>
      </c>
      <c r="Z144" s="165" t="s">
        <v>994</v>
      </c>
      <c r="AA144" s="165" t="s">
        <v>994</v>
      </c>
      <c r="AB144" s="165" t="s">
        <v>994</v>
      </c>
      <c r="AC144" s="147"/>
    </row>
    <row r="145" spans="1:29" ht="58">
      <c r="A145" s="204" t="s">
        <v>595</v>
      </c>
      <c r="B145" s="273"/>
      <c r="C145" s="274"/>
      <c r="D145" s="290"/>
      <c r="E145" s="292"/>
      <c r="F145" s="186" t="s">
        <v>613</v>
      </c>
      <c r="G145" s="56" t="str">
        <f>L145</f>
        <v>Ordenar els enregistraments i l'observació de fauna i natura en base a un model estàndard de Pla de protecció</v>
      </c>
      <c r="H145" s="216" t="s">
        <v>1185</v>
      </c>
      <c r="I145" s="31" t="s">
        <v>1188</v>
      </c>
      <c r="J145" s="163">
        <v>8</v>
      </c>
      <c r="K145" s="163">
        <v>12</v>
      </c>
      <c r="L145" s="187" t="s">
        <v>1473</v>
      </c>
      <c r="M145" s="188" t="s">
        <v>271</v>
      </c>
      <c r="N145" s="188" t="s">
        <v>285</v>
      </c>
      <c r="O145" s="56" t="s">
        <v>611</v>
      </c>
      <c r="P145" s="56"/>
      <c r="Q145" s="57" t="s">
        <v>305</v>
      </c>
      <c r="R145" s="56" t="s">
        <v>614</v>
      </c>
      <c r="S145" s="58"/>
      <c r="T145" s="59" t="s">
        <v>596</v>
      </c>
      <c r="U145" s="163">
        <v>0.15</v>
      </c>
      <c r="V145" s="163">
        <f>PLA!U148*Llistes!$L$11*Llistes!$L$12</f>
        <v>20</v>
      </c>
      <c r="W145" s="60" t="s">
        <v>291</v>
      </c>
      <c r="X145" s="60" t="str">
        <f>IF(W145=Llistes!$K$2,Llistes!$L$2,IF(W145=Llistes!$K$3,Llistes!$L$3,IF(W145=Llistes!$K$4,Llistes!$L$4,IF(W145=Llistes!$K$5,Llistes!$L$5,IF(W145=Llistes!$K$6,Llistes!$L$6,IF(W145=Llistes!$K$7,Llistes!$L$7,""))))))</f>
        <v>Gerard Carrion</v>
      </c>
      <c r="Y145" s="165" t="s">
        <v>994</v>
      </c>
      <c r="Z145" s="165" t="s">
        <v>994</v>
      </c>
      <c r="AA145" s="165" t="s">
        <v>994</v>
      </c>
      <c r="AB145" s="165" t="s">
        <v>994</v>
      </c>
      <c r="AC145" s="147"/>
    </row>
    <row r="146" spans="1:29" ht="43.5">
      <c r="A146" s="204" t="s">
        <v>595</v>
      </c>
      <c r="B146" s="273"/>
      <c r="C146" s="274"/>
      <c r="D146" s="290"/>
      <c r="E146" s="292"/>
      <c r="F146" s="186" t="s">
        <v>615</v>
      </c>
      <c r="G146" s="56" t="str">
        <f>L146</f>
        <v>Ordenar les activitats científiques en base a un model estàndard de Pla de protecció</v>
      </c>
      <c r="H146" s="216" t="s">
        <v>1186</v>
      </c>
      <c r="I146" s="31" t="s">
        <v>1189</v>
      </c>
      <c r="J146" s="163">
        <v>8</v>
      </c>
      <c r="K146" s="163">
        <v>12</v>
      </c>
      <c r="L146" s="187" t="s">
        <v>1474</v>
      </c>
      <c r="M146" s="188" t="s">
        <v>271</v>
      </c>
      <c r="N146" s="188" t="s">
        <v>285</v>
      </c>
      <c r="O146" s="56" t="s">
        <v>611</v>
      </c>
      <c r="P146" s="56"/>
      <c r="Q146" s="57" t="s">
        <v>305</v>
      </c>
      <c r="R146" s="56" t="s">
        <v>616</v>
      </c>
      <c r="S146" s="58"/>
      <c r="T146" s="59" t="s">
        <v>596</v>
      </c>
      <c r="U146" s="163">
        <v>0.15</v>
      </c>
      <c r="V146" s="163">
        <f>PLA!U149*Llistes!$L$11*Llistes!$L$12</f>
        <v>20</v>
      </c>
      <c r="W146" s="60" t="s">
        <v>291</v>
      </c>
      <c r="X146" s="60" t="str">
        <f>IF(W146=Llistes!$K$2,Llistes!$L$2,IF(W146=Llistes!$K$3,Llistes!$L$3,IF(W146=Llistes!$K$4,Llistes!$L$4,IF(W146=Llistes!$K$5,Llistes!$L$5,IF(W146=Llistes!$K$6,Llistes!$L$6,IF(W146=Llistes!$K$7,Llistes!$L$7,""))))))</f>
        <v>Gerard Carrion</v>
      </c>
      <c r="Y146" s="165" t="s">
        <v>994</v>
      </c>
      <c r="Z146" s="165" t="s">
        <v>994</v>
      </c>
      <c r="AA146" s="165" t="s">
        <v>994</v>
      </c>
      <c r="AB146" s="165" t="s">
        <v>994</v>
      </c>
      <c r="AC146" s="147"/>
    </row>
    <row r="147" spans="1:29">
      <c r="A147" s="204" t="s">
        <v>595</v>
      </c>
      <c r="B147" s="273"/>
      <c r="C147" s="274"/>
      <c r="D147" s="290"/>
      <c r="E147" s="292"/>
      <c r="F147" s="186" t="s">
        <v>617</v>
      </c>
      <c r="G147" s="56"/>
      <c r="H147" s="216"/>
      <c r="I147" s="31"/>
      <c r="J147" s="163"/>
      <c r="K147" s="163"/>
      <c r="L147" s="187" t="s">
        <v>1475</v>
      </c>
      <c r="M147" s="188" t="s">
        <v>303</v>
      </c>
      <c r="N147" s="188" t="s">
        <v>285</v>
      </c>
      <c r="O147" s="56"/>
      <c r="P147" s="56"/>
      <c r="Q147" s="57"/>
      <c r="R147" s="56"/>
      <c r="S147" s="58"/>
      <c r="T147" s="59"/>
      <c r="U147" s="163"/>
      <c r="V147" s="163"/>
      <c r="W147" s="60"/>
      <c r="X147" s="60"/>
      <c r="Y147" s="165"/>
      <c r="Z147" s="165"/>
      <c r="AA147" s="165"/>
      <c r="AB147" s="165"/>
      <c r="AC147" s="147"/>
    </row>
    <row r="148" spans="1:29" ht="43.5">
      <c r="A148" s="204" t="s">
        <v>595</v>
      </c>
      <c r="B148" s="273"/>
      <c r="C148" s="274"/>
      <c r="D148" s="290"/>
      <c r="E148" s="292"/>
      <c r="F148" s="186" t="s">
        <v>618</v>
      </c>
      <c r="G148" s="56" t="str">
        <f>L148</f>
        <v>Ordenar l'enlairament i aterratge sense motor</v>
      </c>
      <c r="H148" s="216" t="s">
        <v>1190</v>
      </c>
      <c r="I148" s="31" t="s">
        <v>1191</v>
      </c>
      <c r="J148" s="163">
        <v>25</v>
      </c>
      <c r="K148" s="163">
        <v>30</v>
      </c>
      <c r="L148" s="187" t="s">
        <v>1476</v>
      </c>
      <c r="M148" s="188" t="s">
        <v>303</v>
      </c>
      <c r="N148" s="188" t="s">
        <v>285</v>
      </c>
      <c r="O148" s="56" t="s">
        <v>611</v>
      </c>
      <c r="P148" s="56"/>
      <c r="Q148" s="57" t="s">
        <v>305</v>
      </c>
      <c r="R148" s="56" t="s">
        <v>619</v>
      </c>
      <c r="S148" s="58"/>
      <c r="T148" s="59" t="s">
        <v>596</v>
      </c>
      <c r="U148" s="163">
        <v>0.3</v>
      </c>
      <c r="V148" s="163">
        <f>PLA!U151*Llistes!$L$11*Llistes!$L$12</f>
        <v>40</v>
      </c>
      <c r="W148" s="60" t="s">
        <v>291</v>
      </c>
      <c r="X148" s="60" t="str">
        <f>IF(W148=Llistes!$K$2,Llistes!$L$2,IF(W148=Llistes!$K$3,Llistes!$L$3,IF(W148=Llistes!$K$4,Llistes!$L$4,IF(W148=Llistes!$K$5,Llistes!$L$5,IF(W148=Llistes!$K$6,Llistes!$L$6,IF(W148=Llistes!$K$7,Llistes!$L$7,""))))))</f>
        <v>Gerard Carrion</v>
      </c>
      <c r="Y148" s="165" t="s">
        <v>994</v>
      </c>
      <c r="Z148" s="165" t="s">
        <v>994</v>
      </c>
      <c r="AA148" s="165" t="s">
        <v>994</v>
      </c>
      <c r="AB148" s="165" t="s">
        <v>994</v>
      </c>
      <c r="AC148" s="147"/>
    </row>
    <row r="149" spans="1:29">
      <c r="A149" s="204" t="s">
        <v>595</v>
      </c>
      <c r="B149" s="273"/>
      <c r="C149" s="274"/>
      <c r="D149" s="290"/>
      <c r="E149" s="292"/>
      <c r="F149" s="186" t="s">
        <v>620</v>
      </c>
      <c r="G149" s="56"/>
      <c r="H149" s="216"/>
      <c r="I149" s="31"/>
      <c r="J149" s="163"/>
      <c r="K149" s="163"/>
      <c r="L149" s="187" t="s">
        <v>1477</v>
      </c>
      <c r="M149" s="188" t="s">
        <v>303</v>
      </c>
      <c r="N149" s="188" t="s">
        <v>285</v>
      </c>
      <c r="O149" s="56"/>
      <c r="P149" s="56"/>
      <c r="Q149" s="57"/>
      <c r="R149" s="56"/>
      <c r="S149" s="58"/>
      <c r="T149" s="59"/>
      <c r="U149" s="163"/>
      <c r="V149" s="163"/>
      <c r="W149" s="60"/>
      <c r="X149" s="60"/>
      <c r="Y149" s="165"/>
      <c r="Z149" s="165"/>
      <c r="AA149" s="165"/>
      <c r="AB149" s="165"/>
      <c r="AC149" s="147"/>
    </row>
    <row r="150" spans="1:29">
      <c r="A150" s="204" t="s">
        <v>595</v>
      </c>
      <c r="B150" s="273"/>
      <c r="C150" s="274"/>
      <c r="D150" s="290"/>
      <c r="E150" s="292"/>
      <c r="F150" s="186" t="s">
        <v>1478</v>
      </c>
      <c r="G150" s="56"/>
      <c r="H150" s="216"/>
      <c r="I150" s="31"/>
      <c r="J150" s="163"/>
      <c r="K150" s="163"/>
      <c r="L150" s="187" t="s">
        <v>1479</v>
      </c>
      <c r="M150" s="188" t="s">
        <v>303</v>
      </c>
      <c r="N150" s="188" t="s">
        <v>285</v>
      </c>
      <c r="O150" s="56"/>
      <c r="P150" s="56"/>
      <c r="Q150" s="57"/>
      <c r="R150" s="56"/>
      <c r="S150" s="58"/>
      <c r="T150" s="59"/>
      <c r="U150" s="163"/>
      <c r="V150" s="163"/>
      <c r="W150" s="60"/>
      <c r="X150" s="60"/>
      <c r="Y150" s="165"/>
      <c r="Z150" s="165"/>
      <c r="AA150" s="165"/>
      <c r="AB150" s="165"/>
      <c r="AC150" s="147"/>
    </row>
    <row r="151" spans="1:29" ht="29">
      <c r="A151" s="204" t="s">
        <v>595</v>
      </c>
      <c r="B151" s="273"/>
      <c r="C151" s="274"/>
      <c r="D151" s="290"/>
      <c r="E151" s="292"/>
      <c r="F151" s="186" t="s">
        <v>1480</v>
      </c>
      <c r="G151" s="56" t="s">
        <v>621</v>
      </c>
      <c r="H151" s="216" t="s">
        <v>624</v>
      </c>
      <c r="I151" s="31" t="s">
        <v>1354</v>
      </c>
      <c r="J151" s="163">
        <v>8</v>
      </c>
      <c r="K151" s="163">
        <v>4</v>
      </c>
      <c r="L151" s="187" t="s">
        <v>1481</v>
      </c>
      <c r="M151" s="188" t="s">
        <v>271</v>
      </c>
      <c r="N151" s="188" t="s">
        <v>285</v>
      </c>
      <c r="O151" s="56" t="s">
        <v>622</v>
      </c>
      <c r="P151" s="56"/>
      <c r="Q151" s="57" t="s">
        <v>286</v>
      </c>
      <c r="R151" s="56" t="s">
        <v>623</v>
      </c>
      <c r="S151" s="58"/>
      <c r="T151" s="59" t="s">
        <v>596</v>
      </c>
      <c r="U151" s="163">
        <v>0.09</v>
      </c>
      <c r="V151" s="163">
        <f>PLA!U154*Llistes!$L$11*Llistes!$L$12</f>
        <v>12</v>
      </c>
      <c r="W151" s="60" t="s">
        <v>291</v>
      </c>
      <c r="X151" s="60" t="str">
        <f>IF(W151=Llistes!$K$2,Llistes!$L$2,IF(W151=Llistes!$K$3,Llistes!$L$3,IF(W151=Llistes!$K$4,Llistes!$L$4,IF(W151=Llistes!$K$5,Llistes!$L$5,IF(W151=Llistes!$K$6,Llistes!$L$6,IF(W151=Llistes!$K$7,Llistes!$L$7,""))))))</f>
        <v>Gerard Carrion</v>
      </c>
      <c r="Y151" s="165" t="s">
        <v>994</v>
      </c>
      <c r="Z151" s="165" t="s">
        <v>994</v>
      </c>
      <c r="AA151" s="165" t="s">
        <v>994</v>
      </c>
      <c r="AB151" s="165" t="s">
        <v>994</v>
      </c>
      <c r="AC151" s="147"/>
    </row>
    <row r="152" spans="1:29" ht="58">
      <c r="A152" s="204" t="s">
        <v>595</v>
      </c>
      <c r="B152" s="273"/>
      <c r="C152" s="274"/>
      <c r="D152" s="250"/>
      <c r="E152" s="293"/>
      <c r="F152" s="186" t="s">
        <v>1482</v>
      </c>
      <c r="G152" s="56" t="str">
        <f>L152</f>
        <v>Ordenar lels activitats d'educació ambiental i el lleure educatiu</v>
      </c>
      <c r="H152" s="216" t="s">
        <v>1192</v>
      </c>
      <c r="I152" s="31" t="s">
        <v>1355</v>
      </c>
      <c r="J152" s="163">
        <v>4</v>
      </c>
      <c r="K152" s="163">
        <v>8</v>
      </c>
      <c r="L152" s="187" t="s">
        <v>1483</v>
      </c>
      <c r="M152" s="188" t="s">
        <v>271</v>
      </c>
      <c r="N152" s="188" t="s">
        <v>285</v>
      </c>
      <c r="O152" s="56" t="s">
        <v>611</v>
      </c>
      <c r="P152" s="56"/>
      <c r="Q152" s="57" t="s">
        <v>305</v>
      </c>
      <c r="R152" s="56" t="s">
        <v>625</v>
      </c>
      <c r="S152" s="58"/>
      <c r="T152" s="59" t="s">
        <v>596</v>
      </c>
      <c r="U152" s="163">
        <v>0.06</v>
      </c>
      <c r="V152" s="163">
        <f>PLA!U155*Llistes!$L$11*Llistes!$L$12</f>
        <v>8</v>
      </c>
      <c r="W152" s="60" t="s">
        <v>412</v>
      </c>
      <c r="X152" s="60" t="str">
        <f>IF(W152=Llistes!$K$2,Llistes!$L$2,IF(W152=Llistes!$K$3,Llistes!$L$3,IF(W152=Llistes!$K$4,Llistes!$L$4,IF(W152=Llistes!$K$5,Llistes!$L$5,IF(W152=Llistes!$K$6,Llistes!$L$6,IF(W152=Llistes!$K$7,Llistes!$L$7,""))))))</f>
        <v>Ivan Bustamante</v>
      </c>
      <c r="Y152" s="165" t="s">
        <v>994</v>
      </c>
      <c r="Z152" s="165" t="s">
        <v>994</v>
      </c>
      <c r="AA152" s="165" t="s">
        <v>994</v>
      </c>
      <c r="AB152" s="165" t="s">
        <v>994</v>
      </c>
      <c r="AC152" s="147"/>
    </row>
    <row r="153" spans="1:29" ht="87">
      <c r="A153" s="204" t="s">
        <v>595</v>
      </c>
      <c r="B153" s="273"/>
      <c r="C153" s="274"/>
      <c r="D153" s="289" t="s">
        <v>626</v>
      </c>
      <c r="E153" s="393" t="s">
        <v>627</v>
      </c>
      <c r="F153" s="188" t="s">
        <v>628</v>
      </c>
      <c r="G153" s="56" t="str">
        <f>L153</f>
        <v xml:space="preserve">Identificar i classificar la xarxa viària bàsica, secundària, senders i itineraris senyalitzats d'acord amb els ajuntaments </v>
      </c>
      <c r="H153" s="215" t="s">
        <v>1194</v>
      </c>
      <c r="I153" s="31" t="s">
        <v>1195</v>
      </c>
      <c r="J153" s="163"/>
      <c r="K153" s="163" t="s">
        <v>1043</v>
      </c>
      <c r="L153" s="187" t="s">
        <v>629</v>
      </c>
      <c r="M153" s="188" t="s">
        <v>271</v>
      </c>
      <c r="N153" s="188" t="s">
        <v>285</v>
      </c>
      <c r="O153" s="56"/>
      <c r="P153" s="31"/>
      <c r="Q153" s="57" t="s">
        <v>305</v>
      </c>
      <c r="R153" s="31" t="s">
        <v>630</v>
      </c>
      <c r="S153" s="58"/>
      <c r="T153" s="54" t="s">
        <v>631</v>
      </c>
      <c r="U153" s="163">
        <v>0.15</v>
      </c>
      <c r="V153" s="163">
        <f>PLA!U156*Llistes!$L$11*Llistes!$L$12</f>
        <v>20</v>
      </c>
      <c r="W153" s="60" t="s">
        <v>412</v>
      </c>
      <c r="X153" s="60" t="str">
        <f>IF(W153=Llistes!$K$2,Llistes!$L$2,IF(W153=Llistes!$K$3,Llistes!$L$3,IF(W153=Llistes!$K$4,Llistes!$L$4,IF(W153=Llistes!$K$5,Llistes!$L$5,IF(W153=Llistes!$K$6,Llistes!$L$6,IF(W153=Llistes!$K$7,Llistes!$L$7,""))))))</f>
        <v>Ivan Bustamante</v>
      </c>
      <c r="Y153" s="165"/>
      <c r="Z153" s="165" t="s">
        <v>994</v>
      </c>
      <c r="AA153" s="165"/>
      <c r="AB153" s="165"/>
      <c r="AC153" s="147"/>
    </row>
    <row r="154" spans="1:29" ht="58">
      <c r="A154" s="204" t="s">
        <v>595</v>
      </c>
      <c r="B154" s="273"/>
      <c r="C154" s="274"/>
      <c r="D154" s="290"/>
      <c r="E154" s="394"/>
      <c r="F154" s="188" t="s">
        <v>628</v>
      </c>
      <c r="G154" s="56" t="str">
        <f>L154</f>
        <v xml:space="preserve">Identificar i classificar la xarxa viària bàsica, secundària, senders i itineraris senyalitzats d'acord amb els ajuntaments </v>
      </c>
      <c r="H154" s="215" t="s">
        <v>1193</v>
      </c>
      <c r="I154" s="31" t="s">
        <v>1196</v>
      </c>
      <c r="J154" s="163"/>
      <c r="K154" s="163" t="s">
        <v>1043</v>
      </c>
      <c r="L154" s="187" t="s">
        <v>629</v>
      </c>
      <c r="M154" s="188" t="s">
        <v>271</v>
      </c>
      <c r="N154" s="188" t="s">
        <v>285</v>
      </c>
      <c r="O154" s="56"/>
      <c r="P154" s="31"/>
      <c r="Q154" s="57" t="s">
        <v>305</v>
      </c>
      <c r="R154" s="31" t="s">
        <v>630</v>
      </c>
      <c r="S154" s="58"/>
      <c r="T154" s="54"/>
      <c r="U154" s="163">
        <v>0.15</v>
      </c>
      <c r="V154" s="163">
        <f>PLA!U157*Llistes!$L$11*Llistes!$L$12</f>
        <v>20</v>
      </c>
      <c r="W154" s="60" t="s">
        <v>412</v>
      </c>
      <c r="X154" s="60" t="str">
        <f>IF(W154=Llistes!$K$2,Llistes!$L$2,IF(W154=Llistes!$K$3,Llistes!$L$3,IF(W154=Llistes!$K$4,Llistes!$L$4,IF(W154=Llistes!$K$5,Llistes!$L$5,IF(W154=Llistes!$K$6,Llistes!$L$6,IF(W154=Llistes!$K$7,Llistes!$L$7,""))))))</f>
        <v>Ivan Bustamante</v>
      </c>
      <c r="Y154" s="165"/>
      <c r="Z154" s="165"/>
      <c r="AA154" s="165" t="s">
        <v>994</v>
      </c>
      <c r="AB154" s="165"/>
      <c r="AC154" s="147"/>
    </row>
    <row r="155" spans="1:29" ht="43.5">
      <c r="A155" s="204" t="s">
        <v>595</v>
      </c>
      <c r="B155" s="273"/>
      <c r="C155" s="274"/>
      <c r="D155" s="250"/>
      <c r="E155" s="395"/>
      <c r="F155" s="188" t="s">
        <v>632</v>
      </c>
      <c r="G155" s="56" t="str">
        <f>L155</f>
        <v>Treballar conjuntament amb els principals canals d’informació de rutes  per prioritzar itineraris oficials dins l’ENP</v>
      </c>
      <c r="H155" s="215" t="s">
        <v>1197</v>
      </c>
      <c r="I155" s="31" t="s">
        <v>1198</v>
      </c>
      <c r="J155" s="163"/>
      <c r="K155" s="163" t="s">
        <v>1043</v>
      </c>
      <c r="L155" s="187" t="s">
        <v>633</v>
      </c>
      <c r="M155" s="188" t="s">
        <v>271</v>
      </c>
      <c r="N155" s="188" t="s">
        <v>285</v>
      </c>
      <c r="O155" s="56"/>
      <c r="P155" s="31"/>
      <c r="Q155" s="57" t="s">
        <v>286</v>
      </c>
      <c r="R155" s="31" t="s">
        <v>634</v>
      </c>
      <c r="S155" s="58"/>
      <c r="T155" s="54" t="s">
        <v>635</v>
      </c>
      <c r="U155" s="163">
        <v>0.15</v>
      </c>
      <c r="V155" s="163">
        <f>PLA!U158*Llistes!$L$11*Llistes!$L$12</f>
        <v>20</v>
      </c>
      <c r="W155" s="60" t="s">
        <v>412</v>
      </c>
      <c r="X155" s="60" t="str">
        <f>IF(W155=Llistes!$K$2,Llistes!$L$2,IF(W155=Llistes!$K$3,Llistes!$L$3,IF(W155=Llistes!$K$4,Llistes!$L$4,IF(W155=Llistes!$K$5,Llistes!$L$5,IF(W155=Llistes!$K$6,Llistes!$L$6,IF(W155=Llistes!$K$7,Llistes!$L$7,""))))))</f>
        <v>Ivan Bustamante</v>
      </c>
      <c r="Y155" s="165" t="s">
        <v>994</v>
      </c>
      <c r="Z155" s="165"/>
      <c r="AA155" s="165"/>
      <c r="AB155" s="165"/>
      <c r="AC155" s="147"/>
    </row>
    <row r="156" spans="1:29" ht="43.5">
      <c r="A156" s="204" t="s">
        <v>595</v>
      </c>
      <c r="B156" s="273"/>
      <c r="C156" s="274"/>
      <c r="D156" s="289" t="s">
        <v>636</v>
      </c>
      <c r="E156" s="291" t="s">
        <v>637</v>
      </c>
      <c r="F156" s="186" t="s">
        <v>638</v>
      </c>
      <c r="G156" s="56" t="s">
        <v>639</v>
      </c>
      <c r="H156" s="216" t="s">
        <v>1199</v>
      </c>
      <c r="I156" s="31" t="s">
        <v>1356</v>
      </c>
      <c r="J156" s="163">
        <v>1</v>
      </c>
      <c r="K156" s="163">
        <v>2</v>
      </c>
      <c r="L156" s="187" t="s">
        <v>1484</v>
      </c>
      <c r="M156" s="188" t="s">
        <v>271</v>
      </c>
      <c r="N156" s="188" t="s">
        <v>279</v>
      </c>
      <c r="O156" s="56" t="s">
        <v>640</v>
      </c>
      <c r="P156" s="56"/>
      <c r="Q156" s="57" t="s">
        <v>273</v>
      </c>
      <c r="R156" s="56" t="s">
        <v>641</v>
      </c>
      <c r="S156" s="58"/>
      <c r="T156" s="59" t="s">
        <v>596</v>
      </c>
      <c r="U156" s="163">
        <v>0.06</v>
      </c>
      <c r="V156" s="163">
        <f>PLA!U159*Llistes!$L$11*Llistes!$L$12</f>
        <v>8</v>
      </c>
      <c r="W156" s="60" t="s">
        <v>291</v>
      </c>
      <c r="X156" s="60" t="str">
        <f>IF(W156=Llistes!$K$2,Llistes!$L$2,IF(W156=Llistes!$K$3,Llistes!$L$3,IF(W156=Llistes!$K$4,Llistes!$L$4,IF(W156=Llistes!$K$5,Llistes!$L$5,IF(W156=Llistes!$K$6,Llistes!$L$6,IF(W156=Llistes!$K$7,Llistes!$L$7,""))))))</f>
        <v>Gerard Carrion</v>
      </c>
      <c r="Y156" s="165" t="s">
        <v>994</v>
      </c>
      <c r="Z156" s="165" t="s">
        <v>994</v>
      </c>
      <c r="AA156" s="165" t="s">
        <v>994</v>
      </c>
      <c r="AB156" s="165" t="s">
        <v>994</v>
      </c>
      <c r="AC156" s="147"/>
    </row>
    <row r="157" spans="1:29" ht="43.5">
      <c r="A157" s="204" t="s">
        <v>595</v>
      </c>
      <c r="B157" s="273"/>
      <c r="C157" s="274"/>
      <c r="D157" s="290"/>
      <c r="E157" s="292"/>
      <c r="F157" s="186" t="s">
        <v>638</v>
      </c>
      <c r="G157" s="56" t="s">
        <v>639</v>
      </c>
      <c r="H157" s="216" t="s">
        <v>1200</v>
      </c>
      <c r="I157" s="31" t="s">
        <v>1204</v>
      </c>
      <c r="J157" s="163">
        <v>1</v>
      </c>
      <c r="K157" s="163">
        <v>3</v>
      </c>
      <c r="L157" s="187" t="s">
        <v>1484</v>
      </c>
      <c r="M157" s="188" t="s">
        <v>271</v>
      </c>
      <c r="N157" s="188" t="s">
        <v>279</v>
      </c>
      <c r="O157" s="56" t="s">
        <v>640</v>
      </c>
      <c r="P157" s="56"/>
      <c r="Q157" s="57" t="s">
        <v>273</v>
      </c>
      <c r="R157" s="56" t="s">
        <v>641</v>
      </c>
      <c r="S157" s="58"/>
      <c r="T157" s="59" t="s">
        <v>596</v>
      </c>
      <c r="U157" s="163">
        <v>0.09</v>
      </c>
      <c r="V157" s="163">
        <f>PLA!U160*Llistes!$L$11*Llistes!$L$12</f>
        <v>12</v>
      </c>
      <c r="W157" s="60" t="s">
        <v>291</v>
      </c>
      <c r="X157" s="60" t="str">
        <f>IF(W157=Llistes!$K$2,Llistes!$L$2,IF(W157=Llistes!$K$3,Llistes!$L$3,IF(W157=Llistes!$K$4,Llistes!$L$4,IF(W157=Llistes!$K$5,Llistes!$L$5,IF(W157=Llistes!$K$6,Llistes!$L$6,IF(W157=Llistes!$K$7,Llistes!$L$7,""))))))</f>
        <v>Gerard Carrion</v>
      </c>
      <c r="Y157" s="165" t="s">
        <v>994</v>
      </c>
      <c r="Z157" s="165" t="s">
        <v>994</v>
      </c>
      <c r="AA157" s="165" t="s">
        <v>994</v>
      </c>
      <c r="AB157" s="165" t="s">
        <v>994</v>
      </c>
      <c r="AC157" s="147"/>
    </row>
    <row r="158" spans="1:29" ht="43.5">
      <c r="A158" s="204" t="s">
        <v>595</v>
      </c>
      <c r="B158" s="273"/>
      <c r="C158" s="274"/>
      <c r="D158" s="290"/>
      <c r="E158" s="292"/>
      <c r="F158" s="186" t="s">
        <v>642</v>
      </c>
      <c r="G158" s="56" t="s">
        <v>643</v>
      </c>
      <c r="H158" s="216" t="s">
        <v>1201</v>
      </c>
      <c r="I158" s="31" t="s">
        <v>1205</v>
      </c>
      <c r="J158" s="163"/>
      <c r="K158" s="163" t="s">
        <v>1043</v>
      </c>
      <c r="L158" s="187" t="s">
        <v>1485</v>
      </c>
      <c r="M158" s="188" t="s">
        <v>271</v>
      </c>
      <c r="N158" s="188" t="s">
        <v>285</v>
      </c>
      <c r="O158" s="56" t="s">
        <v>644</v>
      </c>
      <c r="P158" s="56"/>
      <c r="Q158" s="57" t="s">
        <v>286</v>
      </c>
      <c r="R158" s="56" t="s">
        <v>645</v>
      </c>
      <c r="S158" s="58"/>
      <c r="T158" s="59" t="s">
        <v>596</v>
      </c>
      <c r="U158" s="163">
        <v>0.09</v>
      </c>
      <c r="V158" s="163">
        <f>PLA!U161*Llistes!$L$11*Llistes!$L$12</f>
        <v>12</v>
      </c>
      <c r="W158" s="60" t="s">
        <v>349</v>
      </c>
      <c r="X158" s="60" t="str">
        <f>IF(W158=Llistes!$K$2,Llistes!$L$2,IF(W158=Llistes!$K$3,Llistes!$L$3,IF(W158=Llistes!$K$4,Llistes!$L$4,IF(W158=Llistes!$K$5,Llistes!$L$5,IF(W158=Llistes!$K$6,Llistes!$L$6,IF(W158=Llistes!$K$7,Llistes!$L$7,""))))))</f>
        <v>Sergi Roura</v>
      </c>
      <c r="Y158" s="165" t="s">
        <v>994</v>
      </c>
      <c r="Z158" s="165" t="s">
        <v>994</v>
      </c>
      <c r="AA158" s="165" t="s">
        <v>994</v>
      </c>
      <c r="AB158" s="165" t="s">
        <v>994</v>
      </c>
      <c r="AC158" s="147"/>
    </row>
    <row r="159" spans="1:29" ht="43.5">
      <c r="A159" s="204" t="s">
        <v>595</v>
      </c>
      <c r="B159" s="273"/>
      <c r="C159" s="274"/>
      <c r="D159" s="290"/>
      <c r="E159" s="292"/>
      <c r="F159" s="186" t="s">
        <v>646</v>
      </c>
      <c r="G159" s="56" t="str">
        <f>L159</f>
        <v>Ordenar l'ús de drons, l'enlairament i l'aterratge</v>
      </c>
      <c r="H159" s="216" t="s">
        <v>1202</v>
      </c>
      <c r="I159" s="31" t="s">
        <v>1206</v>
      </c>
      <c r="J159" s="163">
        <v>12</v>
      </c>
      <c r="K159" s="163">
        <v>20</v>
      </c>
      <c r="L159" s="187" t="s">
        <v>1486</v>
      </c>
      <c r="M159" s="188" t="s">
        <v>303</v>
      </c>
      <c r="N159" s="188" t="s">
        <v>285</v>
      </c>
      <c r="O159" s="56" t="s">
        <v>611</v>
      </c>
      <c r="P159" s="56"/>
      <c r="Q159" s="57" t="s">
        <v>305</v>
      </c>
      <c r="R159" s="56" t="s">
        <v>647</v>
      </c>
      <c r="S159" s="58"/>
      <c r="T159" s="59" t="s">
        <v>596</v>
      </c>
      <c r="U159" s="163">
        <v>0.18</v>
      </c>
      <c r="V159" s="163">
        <f>PLA!U162*Llistes!$L$11*Llistes!$L$12</f>
        <v>24</v>
      </c>
      <c r="W159" s="60" t="s">
        <v>291</v>
      </c>
      <c r="X159" s="60" t="str">
        <f>IF(W159=Llistes!$K$2,Llistes!$L$2,IF(W159=Llistes!$K$3,Llistes!$L$3,IF(W159=Llistes!$K$4,Llistes!$L$4,IF(W159=Llistes!$K$5,Llistes!$L$5,IF(W159=Llistes!$K$6,Llistes!$L$6,IF(W159=Llistes!$K$7,Llistes!$L$7,""))))))</f>
        <v>Gerard Carrion</v>
      </c>
      <c r="Y159" s="165" t="s">
        <v>994</v>
      </c>
      <c r="Z159" s="165" t="s">
        <v>994</v>
      </c>
      <c r="AA159" s="165" t="s">
        <v>994</v>
      </c>
      <c r="AB159" s="165" t="s">
        <v>994</v>
      </c>
      <c r="AC159" s="147"/>
    </row>
    <row r="160" spans="1:29" ht="43.5">
      <c r="A160" s="204" t="s">
        <v>595</v>
      </c>
      <c r="B160" s="273"/>
      <c r="C160" s="274"/>
      <c r="D160" s="290"/>
      <c r="E160" s="292"/>
      <c r="F160" s="186" t="s">
        <v>648</v>
      </c>
      <c r="G160" s="56" t="str">
        <f>L160</f>
        <v>Aplicar limitacions temporals d'accés o circulació</v>
      </c>
      <c r="H160" s="216" t="s">
        <v>1203</v>
      </c>
      <c r="I160" s="31" t="s">
        <v>1357</v>
      </c>
      <c r="J160" s="163">
        <v>10</v>
      </c>
      <c r="K160" s="163">
        <v>0</v>
      </c>
      <c r="L160" s="187" t="s">
        <v>649</v>
      </c>
      <c r="M160" s="188" t="s">
        <v>271</v>
      </c>
      <c r="N160" s="188" t="s">
        <v>285</v>
      </c>
      <c r="O160" s="56" t="s">
        <v>611</v>
      </c>
      <c r="P160" s="56"/>
      <c r="Q160" s="57" t="s">
        <v>286</v>
      </c>
      <c r="R160" s="56" t="s">
        <v>650</v>
      </c>
      <c r="S160" s="58"/>
      <c r="T160" s="59" t="s">
        <v>596</v>
      </c>
      <c r="U160" s="163">
        <v>1.05</v>
      </c>
      <c r="V160" s="163">
        <f>PLA!U163*Llistes!$L$11*Llistes!$L$12</f>
        <v>140.00000000000003</v>
      </c>
      <c r="W160" s="60" t="s">
        <v>277</v>
      </c>
      <c r="X160" s="60" t="str">
        <f>IF(W160=Llistes!$K$2,Llistes!$L$2,IF(W160=Llistes!$K$3,Llistes!$L$3,IF(W160=Llistes!$K$4,Llistes!$L$4,IF(W160=Llistes!$K$5,Llistes!$L$5,IF(W160=Llistes!$K$6,Llistes!$L$6,IF(W160=Llistes!$K$7,Llistes!$L$7,""))))))</f>
        <v>Pau Federico</v>
      </c>
      <c r="Y160" s="165" t="s">
        <v>994</v>
      </c>
      <c r="Z160" s="165" t="s">
        <v>994</v>
      </c>
      <c r="AA160" s="165" t="s">
        <v>994</v>
      </c>
      <c r="AB160" s="165" t="s">
        <v>994</v>
      </c>
      <c r="AC160" s="147"/>
    </row>
    <row r="161" spans="1:29" ht="43.5">
      <c r="A161" s="204" t="s">
        <v>595</v>
      </c>
      <c r="B161" s="273"/>
      <c r="C161" s="274"/>
      <c r="D161" s="250"/>
      <c r="E161" s="293"/>
      <c r="F161" s="186" t="s">
        <v>651</v>
      </c>
      <c r="G161" s="56" t="s">
        <v>652</v>
      </c>
      <c r="H161" s="216" t="s">
        <v>1207</v>
      </c>
      <c r="I161" s="31" t="s">
        <v>1358</v>
      </c>
      <c r="J161" s="163">
        <v>1</v>
      </c>
      <c r="K161" s="163">
        <v>2</v>
      </c>
      <c r="L161" s="187" t="s">
        <v>1487</v>
      </c>
      <c r="M161" s="188" t="s">
        <v>271</v>
      </c>
      <c r="N161" s="188" t="s">
        <v>285</v>
      </c>
      <c r="O161" s="56" t="s">
        <v>644</v>
      </c>
      <c r="P161" s="56"/>
      <c r="Q161" s="57" t="s">
        <v>305</v>
      </c>
      <c r="R161" s="56" t="s">
        <v>653</v>
      </c>
      <c r="S161" s="58"/>
      <c r="T161" s="59" t="s">
        <v>596</v>
      </c>
      <c r="U161" s="163">
        <v>0.03</v>
      </c>
      <c r="V161" s="163">
        <f>PLA!U164*Llistes!$L$11*Llistes!$L$12</f>
        <v>4</v>
      </c>
      <c r="W161" s="60" t="s">
        <v>291</v>
      </c>
      <c r="X161" s="60" t="str">
        <f>IF(W161=Llistes!$K$2,Llistes!$L$2,IF(W161=Llistes!$K$3,Llistes!$L$3,IF(W161=Llistes!$K$4,Llistes!$L$4,IF(W161=Llistes!$K$5,Llistes!$L$5,IF(W161=Llistes!$K$6,Llistes!$L$6,IF(W161=Llistes!$K$7,Llistes!$L$7,""))))))</f>
        <v>Gerard Carrion</v>
      </c>
      <c r="Y161" s="165" t="s">
        <v>994</v>
      </c>
      <c r="Z161" s="165" t="s">
        <v>994</v>
      </c>
      <c r="AA161" s="165" t="s">
        <v>994</v>
      </c>
      <c r="AB161" s="165" t="s">
        <v>994</v>
      </c>
      <c r="AC161" s="147"/>
    </row>
    <row r="162" spans="1:29" ht="29">
      <c r="A162" s="204" t="s">
        <v>595</v>
      </c>
      <c r="B162" s="273"/>
      <c r="C162" s="274"/>
      <c r="D162" s="289" t="s">
        <v>1562</v>
      </c>
      <c r="E162" s="374" t="s">
        <v>1563</v>
      </c>
      <c r="F162" s="186" t="s">
        <v>1558</v>
      </c>
      <c r="G162" s="56"/>
      <c r="H162" s="216"/>
      <c r="I162" s="31"/>
      <c r="J162" s="163"/>
      <c r="K162" s="163"/>
      <c r="L162" s="187" t="s">
        <v>1559</v>
      </c>
      <c r="M162" s="188" t="s">
        <v>271</v>
      </c>
      <c r="N162" s="188" t="s">
        <v>285</v>
      </c>
      <c r="O162" s="56"/>
      <c r="P162" s="56"/>
      <c r="Q162" s="57"/>
      <c r="R162" s="56"/>
      <c r="S162" s="58"/>
      <c r="T162" s="59"/>
      <c r="U162" s="163"/>
      <c r="V162" s="163"/>
      <c r="W162" s="60"/>
      <c r="X162" s="60"/>
      <c r="Y162" s="165"/>
      <c r="Z162" s="165"/>
      <c r="AA162" s="165"/>
      <c r="AB162" s="165"/>
      <c r="AC162" s="147"/>
    </row>
    <row r="163" spans="1:29" ht="29">
      <c r="A163" s="204" t="s">
        <v>595</v>
      </c>
      <c r="B163" s="273"/>
      <c r="C163" s="274"/>
      <c r="D163" s="250"/>
      <c r="E163" s="376"/>
      <c r="F163" s="186" t="s">
        <v>1560</v>
      </c>
      <c r="G163" s="56"/>
      <c r="H163" s="216"/>
      <c r="I163" s="31"/>
      <c r="J163" s="163"/>
      <c r="K163" s="163"/>
      <c r="L163" s="187" t="s">
        <v>1561</v>
      </c>
      <c r="M163" s="188" t="s">
        <v>271</v>
      </c>
      <c r="N163" s="188" t="s">
        <v>285</v>
      </c>
      <c r="O163" s="56"/>
      <c r="P163" s="56"/>
      <c r="Q163" s="57"/>
      <c r="R163" s="56"/>
      <c r="S163" s="58"/>
      <c r="T163" s="59"/>
      <c r="U163" s="163"/>
      <c r="V163" s="163"/>
      <c r="W163" s="60"/>
      <c r="X163" s="60"/>
      <c r="Y163" s="165"/>
      <c r="Z163" s="165"/>
      <c r="AA163" s="165"/>
      <c r="AB163" s="165"/>
      <c r="AC163" s="147"/>
    </row>
    <row r="164" spans="1:29" ht="29">
      <c r="A164" s="204" t="s">
        <v>595</v>
      </c>
      <c r="B164" s="273"/>
      <c r="C164" s="274"/>
      <c r="D164" s="289" t="s">
        <v>654</v>
      </c>
      <c r="E164" s="374" t="s">
        <v>655</v>
      </c>
      <c r="F164" s="186" t="s">
        <v>656</v>
      </c>
      <c r="G164" s="56" t="str">
        <f>L164</f>
        <v>Realitzar l'inventari de senyalètica de l'ENP</v>
      </c>
      <c r="H164" s="216" t="s">
        <v>1208</v>
      </c>
      <c r="I164" s="31" t="s">
        <v>1210</v>
      </c>
      <c r="J164" s="163"/>
      <c r="K164" s="163" t="s">
        <v>1043</v>
      </c>
      <c r="L164" s="187" t="s">
        <v>657</v>
      </c>
      <c r="M164" s="188" t="s">
        <v>271</v>
      </c>
      <c r="N164" s="188" t="s">
        <v>285</v>
      </c>
      <c r="O164" s="56"/>
      <c r="P164" s="60"/>
      <c r="Q164" s="57" t="s">
        <v>286</v>
      </c>
      <c r="R164" s="31"/>
      <c r="S164" s="58"/>
      <c r="T164" s="59"/>
      <c r="U164" s="163">
        <v>0.09</v>
      </c>
      <c r="V164" s="163">
        <f>PLA!U167*Llistes!$L$11*Llistes!$L$12</f>
        <v>12</v>
      </c>
      <c r="W164" s="60" t="s">
        <v>412</v>
      </c>
      <c r="X164" s="60" t="str">
        <f>IF(W164=Llistes!$K$2,Llistes!$L$2,IF(W164=Llistes!$K$3,Llistes!$L$3,IF(W164=Llistes!$K$4,Llistes!$L$4,IF(W164=Llistes!$K$5,Llistes!$L$5,IF(W164=Llistes!$K$6,Llistes!$L$6,IF(W164=Llistes!$K$7,Llistes!$L$7,""))))))</f>
        <v>Ivan Bustamante</v>
      </c>
      <c r="Y164" s="165"/>
      <c r="Z164" s="165" t="s">
        <v>994</v>
      </c>
      <c r="AA164" s="165"/>
      <c r="AB164" s="165"/>
      <c r="AC164" s="147"/>
    </row>
    <row r="165" spans="1:29" ht="29">
      <c r="A165" s="204" t="s">
        <v>595</v>
      </c>
      <c r="B165" s="273"/>
      <c r="C165" s="274"/>
      <c r="D165" s="290"/>
      <c r="E165" s="375"/>
      <c r="F165" s="186" t="s">
        <v>656</v>
      </c>
      <c r="G165" s="56" t="str">
        <f>L165</f>
        <v>Realitzar l'inventari de senyalètica de l'ENP</v>
      </c>
      <c r="H165" s="216" t="s">
        <v>1209</v>
      </c>
      <c r="I165" s="31" t="s">
        <v>1211</v>
      </c>
      <c r="J165" s="163"/>
      <c r="K165" s="163" t="s">
        <v>1043</v>
      </c>
      <c r="L165" s="187" t="s">
        <v>657</v>
      </c>
      <c r="M165" s="188" t="s">
        <v>271</v>
      </c>
      <c r="N165" s="188" t="s">
        <v>285</v>
      </c>
      <c r="O165" s="56"/>
      <c r="P165" s="60"/>
      <c r="Q165" s="57" t="s">
        <v>286</v>
      </c>
      <c r="R165" s="31"/>
      <c r="S165" s="58"/>
      <c r="T165" s="59"/>
      <c r="U165" s="163">
        <v>0.09</v>
      </c>
      <c r="V165" s="163">
        <f>PLA!U168*Llistes!$L$11*Llistes!$L$12</f>
        <v>12</v>
      </c>
      <c r="W165" s="60" t="s">
        <v>412</v>
      </c>
      <c r="X165" s="60" t="str">
        <f>IF(W165=Llistes!$K$2,Llistes!$L$2,IF(W165=Llistes!$K$3,Llistes!$L$3,IF(W165=Llistes!$K$4,Llistes!$L$4,IF(W165=Llistes!$K$5,Llistes!$L$5,IF(W165=Llistes!$K$6,Llistes!$L$6,IF(W165=Llistes!$K$7,Llistes!$L$7,""))))))</f>
        <v>Ivan Bustamante</v>
      </c>
      <c r="Y165" s="165"/>
      <c r="Z165" s="165"/>
      <c r="AA165" s="165" t="s">
        <v>994</v>
      </c>
      <c r="AB165" s="165"/>
      <c r="AC165" s="147"/>
    </row>
    <row r="166" spans="1:29" ht="43.5">
      <c r="A166" s="204" t="s">
        <v>595</v>
      </c>
      <c r="B166" s="273"/>
      <c r="C166" s="274"/>
      <c r="D166" s="250"/>
      <c r="E166" s="376"/>
      <c r="F166" s="186" t="s">
        <v>658</v>
      </c>
      <c r="G166" s="56" t="str">
        <f>L166</f>
        <v xml:space="preserve">Implantar el programa de senyalització i manteniment </v>
      </c>
      <c r="H166" s="215" t="s">
        <v>662</v>
      </c>
      <c r="I166" s="31" t="s">
        <v>1307</v>
      </c>
      <c r="J166" s="163"/>
      <c r="K166" s="163" t="s">
        <v>1043</v>
      </c>
      <c r="L166" s="187" t="s">
        <v>659</v>
      </c>
      <c r="M166" s="188" t="s">
        <v>271</v>
      </c>
      <c r="N166" s="188" t="s">
        <v>285</v>
      </c>
      <c r="O166" s="56"/>
      <c r="P166" s="31"/>
      <c r="Q166" s="57" t="s">
        <v>305</v>
      </c>
      <c r="R166" s="31" t="s">
        <v>660</v>
      </c>
      <c r="S166" s="62" t="s">
        <v>299</v>
      </c>
      <c r="T166" s="54" t="s">
        <v>661</v>
      </c>
      <c r="U166" s="163">
        <v>0.45</v>
      </c>
      <c r="V166" s="163">
        <f>PLA!U169*Llistes!$L$11*Llistes!$L$12</f>
        <v>60.000000000000007</v>
      </c>
      <c r="W166" s="60" t="s">
        <v>349</v>
      </c>
      <c r="X166" s="60" t="str">
        <f>IF(W166=Llistes!$K$2,Llistes!$L$2,IF(W166=Llistes!$K$3,Llistes!$L$3,IF(W166=Llistes!$K$4,Llistes!$L$4,IF(W166=Llistes!$K$5,Llistes!$L$5,IF(W166=Llistes!$K$6,Llistes!$L$6,IF(W166=Llistes!$K$7,Llistes!$L$7,""))))))</f>
        <v>Sergi Roura</v>
      </c>
      <c r="Y166" s="165"/>
      <c r="Z166" s="165"/>
      <c r="AA166" s="165"/>
      <c r="AB166" s="165" t="s">
        <v>994</v>
      </c>
      <c r="AC166" s="147"/>
    </row>
    <row r="167" spans="1:29" ht="58">
      <c r="A167" s="204" t="s">
        <v>595</v>
      </c>
      <c r="B167" s="273"/>
      <c r="C167" s="274"/>
      <c r="D167" s="289" t="s">
        <v>663</v>
      </c>
      <c r="E167" s="374" t="s">
        <v>664</v>
      </c>
      <c r="F167" s="186" t="s">
        <v>665</v>
      </c>
      <c r="G167" s="56" t="s">
        <v>667</v>
      </c>
      <c r="H167" s="216" t="s">
        <v>1213</v>
      </c>
      <c r="I167" s="31" t="s">
        <v>1308</v>
      </c>
      <c r="J167" s="163"/>
      <c r="K167" s="163" t="s">
        <v>1043</v>
      </c>
      <c r="L167" s="187" t="s">
        <v>666</v>
      </c>
      <c r="M167" s="188" t="s">
        <v>271</v>
      </c>
      <c r="N167" s="188" t="s">
        <v>285</v>
      </c>
      <c r="O167" s="56" t="s">
        <v>668</v>
      </c>
      <c r="P167" s="31"/>
      <c r="Q167" s="57" t="s">
        <v>273</v>
      </c>
      <c r="R167" s="31" t="s">
        <v>669</v>
      </c>
      <c r="S167" s="58"/>
      <c r="T167" s="59"/>
      <c r="U167" s="163">
        <v>0.09</v>
      </c>
      <c r="V167" s="163">
        <f>PLA!U170*Llistes!$L$11*Llistes!$L$12</f>
        <v>12</v>
      </c>
      <c r="W167" s="60" t="s">
        <v>412</v>
      </c>
      <c r="X167" s="60" t="str">
        <f>IF(W167=Llistes!$K$2,Llistes!$L$2,IF(W167=Llistes!$K$3,Llistes!$L$3,IF(W167=Llistes!$K$4,Llistes!$L$4,IF(W167=Llistes!$K$5,Llistes!$L$5,IF(W167=Llistes!$K$6,Llistes!$L$6,IF(W167=Llistes!$K$7,Llistes!$L$7,""))))))</f>
        <v>Ivan Bustamante</v>
      </c>
      <c r="Y167" s="165"/>
      <c r="Z167" s="165" t="s">
        <v>994</v>
      </c>
      <c r="AA167" s="165"/>
      <c r="AB167" s="165"/>
      <c r="AC167" s="147"/>
    </row>
    <row r="168" spans="1:29" ht="58">
      <c r="A168" s="204" t="s">
        <v>595</v>
      </c>
      <c r="B168" s="273"/>
      <c r="C168" s="274"/>
      <c r="D168" s="290"/>
      <c r="E168" s="375"/>
      <c r="F168" s="186" t="s">
        <v>665</v>
      </c>
      <c r="G168" s="56" t="s">
        <v>667</v>
      </c>
      <c r="H168" s="216" t="s">
        <v>1212</v>
      </c>
      <c r="I168" s="31" t="s">
        <v>1359</v>
      </c>
      <c r="J168" s="163"/>
      <c r="K168" s="163" t="s">
        <v>1043</v>
      </c>
      <c r="L168" s="187" t="s">
        <v>666</v>
      </c>
      <c r="M168" s="188" t="s">
        <v>271</v>
      </c>
      <c r="N168" s="188" t="s">
        <v>285</v>
      </c>
      <c r="O168" s="56" t="s">
        <v>668</v>
      </c>
      <c r="P168" s="31"/>
      <c r="Q168" s="57" t="s">
        <v>273</v>
      </c>
      <c r="R168" s="31" t="s">
        <v>669</v>
      </c>
      <c r="S168" s="58"/>
      <c r="T168" s="59"/>
      <c r="U168" s="163">
        <v>0.09</v>
      </c>
      <c r="V168" s="163">
        <f>PLA!U171*Llistes!$L$11*Llistes!$L$12</f>
        <v>12</v>
      </c>
      <c r="W168" s="60" t="s">
        <v>412</v>
      </c>
      <c r="X168" s="60" t="str">
        <f>IF(W168=Llistes!$K$2,Llistes!$L$2,IF(W168=Llistes!$K$3,Llistes!$L$3,IF(W168=Llistes!$K$4,Llistes!$L$4,IF(W168=Llistes!$K$5,Llistes!$L$5,IF(W168=Llistes!$K$6,Llistes!$L$6,IF(W168=Llistes!$K$7,Llistes!$L$7,""))))))</f>
        <v>Ivan Bustamante</v>
      </c>
      <c r="Y168" s="165"/>
      <c r="Z168" s="165" t="s">
        <v>994</v>
      </c>
      <c r="AA168" s="165"/>
      <c r="AB168" s="165"/>
      <c r="AC168" s="147"/>
    </row>
    <row r="169" spans="1:29" ht="101.5">
      <c r="A169" s="204" t="s">
        <v>595</v>
      </c>
      <c r="B169" s="273"/>
      <c r="C169" s="274"/>
      <c r="D169" s="290"/>
      <c r="E169" s="375"/>
      <c r="F169" s="186" t="s">
        <v>670</v>
      </c>
      <c r="G169" s="56" t="str">
        <f t="shared" ref="G169:G175" si="4">L169</f>
        <v>Disposar i mantenir els serveis, equipaments i infraestructures necessàries i accessibles per acollir, informar, facilitar la visita i garantir la seguretat dels visitants i la protecció de l'entorn</v>
      </c>
      <c r="H169" s="216" t="s">
        <v>1277</v>
      </c>
      <c r="I169" s="31" t="s">
        <v>1282</v>
      </c>
      <c r="J169" s="163"/>
      <c r="K169" s="163" t="s">
        <v>1043</v>
      </c>
      <c r="L169" s="189" t="s">
        <v>1488</v>
      </c>
      <c r="M169" s="188" t="s">
        <v>271</v>
      </c>
      <c r="N169" s="188" t="s">
        <v>285</v>
      </c>
      <c r="O169" s="56"/>
      <c r="P169" s="31"/>
      <c r="Q169" s="57" t="s">
        <v>286</v>
      </c>
      <c r="R169" s="31" t="s">
        <v>672</v>
      </c>
      <c r="S169" s="58"/>
      <c r="T169" s="59"/>
      <c r="U169" s="163">
        <v>0.03</v>
      </c>
      <c r="V169" s="163">
        <f>PLA!U172*Llistes!$L$11*Llistes!$L$12</f>
        <v>4</v>
      </c>
      <c r="W169" s="60" t="s">
        <v>412</v>
      </c>
      <c r="X169" s="60" t="str">
        <f>IF(W169=Llistes!$K$2,Llistes!$L$2,IF(W169=Llistes!$K$3,Llistes!$L$3,IF(W169=Llistes!$K$4,Llistes!$L$4,IF(W169=Llistes!$K$5,Llistes!$L$5,IF(W169=Llistes!$K$6,Llistes!$L$6,IF(W169=Llistes!$K$7,Llistes!$L$7,""))))))</f>
        <v>Ivan Bustamante</v>
      </c>
      <c r="Y169" s="165" t="s">
        <v>994</v>
      </c>
      <c r="Z169" s="165" t="s">
        <v>994</v>
      </c>
      <c r="AA169" s="165" t="s">
        <v>994</v>
      </c>
      <c r="AB169" s="165" t="s">
        <v>994</v>
      </c>
      <c r="AC169" s="147"/>
    </row>
    <row r="170" spans="1:29" ht="58">
      <c r="A170" s="204" t="s">
        <v>595</v>
      </c>
      <c r="B170" s="273"/>
      <c r="C170" s="274"/>
      <c r="D170" s="290"/>
      <c r="E170" s="375"/>
      <c r="F170" s="186" t="s">
        <v>670</v>
      </c>
      <c r="G170" s="56" t="str">
        <f t="shared" si="4"/>
        <v>Disposar dels equipaments i infraestructures necessàries i accessibles per acollir, informar, facilitar la visita i garantir la seguretat dels visitants i la protecció de l'entorn</v>
      </c>
      <c r="H170" s="216" t="s">
        <v>1283</v>
      </c>
      <c r="I170" s="31" t="s">
        <v>1309</v>
      </c>
      <c r="J170" s="163"/>
      <c r="K170" s="163" t="s">
        <v>1043</v>
      </c>
      <c r="L170" s="189" t="s">
        <v>671</v>
      </c>
      <c r="M170" s="188" t="s">
        <v>271</v>
      </c>
      <c r="N170" s="188" t="s">
        <v>285</v>
      </c>
      <c r="O170" s="56"/>
      <c r="P170" s="31"/>
      <c r="Q170" s="57" t="s">
        <v>286</v>
      </c>
      <c r="R170" s="31"/>
      <c r="S170" s="58"/>
      <c r="T170" s="59"/>
      <c r="U170" s="163">
        <v>0.9</v>
      </c>
      <c r="V170" s="163">
        <f>PLA!U173*Llistes!$L$11*Llistes!$L$12</f>
        <v>120.00000000000001</v>
      </c>
      <c r="W170" s="60" t="s">
        <v>412</v>
      </c>
      <c r="X170" s="60" t="str">
        <f>IF(W170=Llistes!$K$2,Llistes!$L$2,IF(W170=Llistes!$K$3,Llistes!$L$3,IF(W170=Llistes!$K$4,Llistes!$L$4,IF(W170=Llistes!$K$5,Llistes!$L$5,IF(W170=Llistes!$K$6,Llistes!$L$6,IF(W170=Llistes!$K$7,Llistes!$L$7,""))))))</f>
        <v>Ivan Bustamante</v>
      </c>
      <c r="Y170" s="165" t="s">
        <v>994</v>
      </c>
      <c r="Z170" s="165" t="s">
        <v>994</v>
      </c>
      <c r="AA170" s="165" t="s">
        <v>994</v>
      </c>
      <c r="AB170" s="165" t="s">
        <v>994</v>
      </c>
      <c r="AC170" s="147"/>
    </row>
    <row r="171" spans="1:29" ht="58">
      <c r="A171" s="204" t="s">
        <v>595</v>
      </c>
      <c r="B171" s="273"/>
      <c r="C171" s="274"/>
      <c r="D171" s="290"/>
      <c r="E171" s="375"/>
      <c r="F171" s="186" t="s">
        <v>670</v>
      </c>
      <c r="G171" s="56" t="str">
        <f t="shared" si="4"/>
        <v>Disposar dels equipaments i infraestructures necessàries i accessibles per acollir, informar, facilitar la visita i garantir la seguretat dels visitants i la protecció de l'entorn</v>
      </c>
      <c r="H171" s="216" t="s">
        <v>1278</v>
      </c>
      <c r="I171" s="31" t="s">
        <v>1310</v>
      </c>
      <c r="J171" s="163"/>
      <c r="K171" s="163" t="s">
        <v>1043</v>
      </c>
      <c r="L171" s="189" t="s">
        <v>671</v>
      </c>
      <c r="M171" s="188" t="s">
        <v>271</v>
      </c>
      <c r="N171" s="188" t="s">
        <v>285</v>
      </c>
      <c r="O171" s="56"/>
      <c r="P171" s="31"/>
      <c r="Q171" s="57" t="s">
        <v>286</v>
      </c>
      <c r="R171" s="31"/>
      <c r="S171" s="58"/>
      <c r="T171" s="59"/>
      <c r="U171" s="163">
        <v>0.06</v>
      </c>
      <c r="V171" s="163">
        <f>PLA!U174*Llistes!$L$11*Llistes!$L$12</f>
        <v>8</v>
      </c>
      <c r="W171" s="60" t="s">
        <v>291</v>
      </c>
      <c r="X171" s="60" t="str">
        <f>IF(W171=Llistes!$K$2,Llistes!$L$2,IF(W171=Llistes!$K$3,Llistes!$L$3,IF(W171=Llistes!$K$4,Llistes!$L$4,IF(W171=Llistes!$K$5,Llistes!$L$5,IF(W171=Llistes!$K$6,Llistes!$L$6,IF(W171=Llistes!$K$7,Llistes!$L$7,""))))))</f>
        <v>Gerard Carrion</v>
      </c>
      <c r="Y171" s="165" t="s">
        <v>994</v>
      </c>
      <c r="Z171" s="165" t="s">
        <v>994</v>
      </c>
      <c r="AA171" s="165" t="s">
        <v>994</v>
      </c>
      <c r="AB171" s="165" t="s">
        <v>994</v>
      </c>
      <c r="AC171" s="147"/>
    </row>
    <row r="172" spans="1:29" ht="58">
      <c r="A172" s="204" t="s">
        <v>595</v>
      </c>
      <c r="B172" s="273"/>
      <c r="C172" s="274"/>
      <c r="D172" s="290"/>
      <c r="E172" s="375"/>
      <c r="F172" s="186" t="s">
        <v>670</v>
      </c>
      <c r="G172" s="56" t="str">
        <f t="shared" si="4"/>
        <v>Disposar dels equipaments i infraestructures necessàries i accessibles per acollir, informar, facilitar la visita i garantir la seguretat dels visitants i la protecció de l'entorn</v>
      </c>
      <c r="H172" s="216" t="s">
        <v>1279</v>
      </c>
      <c r="I172" s="31" t="s">
        <v>1360</v>
      </c>
      <c r="J172" s="163">
        <v>3</v>
      </c>
      <c r="K172" s="163">
        <v>5</v>
      </c>
      <c r="L172" s="189" t="s">
        <v>671</v>
      </c>
      <c r="M172" s="188" t="s">
        <v>271</v>
      </c>
      <c r="N172" s="188" t="s">
        <v>285</v>
      </c>
      <c r="O172" s="56"/>
      <c r="P172" s="31"/>
      <c r="Q172" s="57" t="s">
        <v>286</v>
      </c>
      <c r="R172" s="31"/>
      <c r="S172" s="58"/>
      <c r="T172" s="59"/>
      <c r="U172" s="163">
        <v>0.03</v>
      </c>
      <c r="V172" s="163">
        <f>PLA!U175*Llistes!$L$11*Llistes!$L$12</f>
        <v>4</v>
      </c>
      <c r="W172" s="60" t="s">
        <v>291</v>
      </c>
      <c r="X172" s="60" t="str">
        <f>IF(W172=Llistes!$K$2,Llistes!$L$2,IF(W172=Llistes!$K$3,Llistes!$L$3,IF(W172=Llistes!$K$4,Llistes!$L$4,IF(W172=Llistes!$K$5,Llistes!$L$5,IF(W172=Llistes!$K$6,Llistes!$L$6,IF(W172=Llistes!$K$7,Llistes!$L$7,""))))))</f>
        <v>Gerard Carrion</v>
      </c>
      <c r="Y172" s="165" t="s">
        <v>994</v>
      </c>
      <c r="Z172" s="165" t="s">
        <v>994</v>
      </c>
      <c r="AA172" s="165" t="s">
        <v>994</v>
      </c>
      <c r="AB172" s="165" t="s">
        <v>994</v>
      </c>
      <c r="AC172" s="147"/>
    </row>
    <row r="173" spans="1:29" ht="58">
      <c r="A173" s="204" t="s">
        <v>595</v>
      </c>
      <c r="B173" s="273"/>
      <c r="C173" s="274"/>
      <c r="D173" s="290"/>
      <c r="E173" s="375"/>
      <c r="F173" s="186" t="s">
        <v>670</v>
      </c>
      <c r="G173" s="56" t="str">
        <f t="shared" si="4"/>
        <v>Disposar dels equipaments i infraestructures necessàries i accessibles per acollir, informar, facilitar la visita i garantir la seguretat dels visitants i la protecció de l'entorn</v>
      </c>
      <c r="H173" s="216" t="s">
        <v>1280</v>
      </c>
      <c r="I173" s="31" t="s">
        <v>1284</v>
      </c>
      <c r="J173" s="163">
        <v>1</v>
      </c>
      <c r="K173" s="163">
        <v>3</v>
      </c>
      <c r="L173" s="189" t="s">
        <v>671</v>
      </c>
      <c r="M173" s="188" t="s">
        <v>271</v>
      </c>
      <c r="N173" s="188" t="s">
        <v>285</v>
      </c>
      <c r="O173" s="56"/>
      <c r="P173" s="31"/>
      <c r="Q173" s="57" t="s">
        <v>286</v>
      </c>
      <c r="R173" s="31"/>
      <c r="S173" s="58"/>
      <c r="T173" s="59"/>
      <c r="U173" s="163">
        <v>0.12</v>
      </c>
      <c r="V173" s="163">
        <f>PLA!U176*Llistes!$L$11*Llistes!$L$12</f>
        <v>16</v>
      </c>
      <c r="W173" s="60" t="s">
        <v>291</v>
      </c>
      <c r="X173" s="60" t="str">
        <f>IF(W173=Llistes!$K$2,Llistes!$L$2,IF(W173=Llistes!$K$3,Llistes!$L$3,IF(W173=Llistes!$K$4,Llistes!$L$4,IF(W173=Llistes!$K$5,Llistes!$L$5,IF(W173=Llistes!$K$6,Llistes!$L$6,IF(W173=Llistes!$K$7,Llistes!$L$7,""))))))</f>
        <v>Gerard Carrion</v>
      </c>
      <c r="Y173" s="165" t="s">
        <v>994</v>
      </c>
      <c r="Z173" s="165" t="s">
        <v>994</v>
      </c>
      <c r="AA173" s="165" t="s">
        <v>994</v>
      </c>
      <c r="AB173" s="165" t="s">
        <v>994</v>
      </c>
      <c r="AC173" s="147"/>
    </row>
    <row r="174" spans="1:29" ht="58">
      <c r="A174" s="204" t="s">
        <v>595</v>
      </c>
      <c r="B174" s="273"/>
      <c r="C174" s="274"/>
      <c r="D174" s="290"/>
      <c r="E174" s="375"/>
      <c r="F174" s="186" t="s">
        <v>670</v>
      </c>
      <c r="G174" s="56" t="str">
        <f t="shared" si="4"/>
        <v>Disposar dels equipaments i infraestructures necessàries i accessibles per acollir, informar, facilitar la visita i garantir la seguretat dels visitants i la protecció de l'entorn</v>
      </c>
      <c r="H174" s="216" t="s">
        <v>1281</v>
      </c>
      <c r="I174" s="31" t="s">
        <v>1285</v>
      </c>
      <c r="J174" s="163">
        <v>2</v>
      </c>
      <c r="K174" s="163">
        <v>3</v>
      </c>
      <c r="L174" s="189" t="s">
        <v>671</v>
      </c>
      <c r="M174" s="188" t="s">
        <v>271</v>
      </c>
      <c r="N174" s="188" t="s">
        <v>285</v>
      </c>
      <c r="O174" s="56"/>
      <c r="P174" s="31"/>
      <c r="Q174" s="57" t="s">
        <v>286</v>
      </c>
      <c r="R174" s="31"/>
      <c r="S174" s="58"/>
      <c r="T174" s="59"/>
      <c r="U174" s="163">
        <v>0.06</v>
      </c>
      <c r="V174" s="163">
        <f>PLA!U177*Llistes!$L$11*Llistes!$L$12</f>
        <v>8</v>
      </c>
      <c r="W174" s="60" t="s">
        <v>412</v>
      </c>
      <c r="X174" s="60" t="str">
        <f>IF(W174=Llistes!$K$2,Llistes!$L$2,IF(W174=Llistes!$K$3,Llistes!$L$3,IF(W174=Llistes!$K$4,Llistes!$L$4,IF(W174=Llistes!$K$5,Llistes!$L$5,IF(W174=Llistes!$K$6,Llistes!$L$6,IF(W174=Llistes!$K$7,Llistes!$L$7,""))))))</f>
        <v>Ivan Bustamante</v>
      </c>
      <c r="Y174" s="165" t="s">
        <v>994</v>
      </c>
      <c r="Z174" s="165" t="s">
        <v>994</v>
      </c>
      <c r="AA174" s="165" t="s">
        <v>994</v>
      </c>
      <c r="AB174" s="165" t="s">
        <v>994</v>
      </c>
      <c r="AC174" s="147"/>
    </row>
    <row r="175" spans="1:29" ht="29">
      <c r="A175" s="204" t="s">
        <v>595</v>
      </c>
      <c r="B175" s="273"/>
      <c r="C175" s="274"/>
      <c r="D175" s="290"/>
      <c r="E175" s="375"/>
      <c r="F175" s="186" t="s">
        <v>673</v>
      </c>
      <c r="G175" s="56" t="str">
        <f t="shared" si="4"/>
        <v>Desenvolupar el Pla d'acollida als visitants en base al model de la DG</v>
      </c>
      <c r="H175" s="215" t="s">
        <v>676</v>
      </c>
      <c r="I175" s="31" t="s">
        <v>1311</v>
      </c>
      <c r="J175" s="163"/>
      <c r="K175" s="163" t="s">
        <v>1043</v>
      </c>
      <c r="L175" s="189" t="s">
        <v>674</v>
      </c>
      <c r="M175" s="188" t="s">
        <v>271</v>
      </c>
      <c r="N175" s="188" t="s">
        <v>285</v>
      </c>
      <c r="O175" s="56"/>
      <c r="P175" s="64"/>
      <c r="Q175" s="57" t="s">
        <v>273</v>
      </c>
      <c r="R175" s="64"/>
      <c r="S175" s="58"/>
      <c r="T175" s="54" t="s">
        <v>675</v>
      </c>
      <c r="U175" s="163">
        <v>0.12</v>
      </c>
      <c r="V175" s="163">
        <f>PLA!U178*Llistes!$L$11*Llistes!$L$12</f>
        <v>16</v>
      </c>
      <c r="W175" s="60" t="s">
        <v>412</v>
      </c>
      <c r="X175" s="60" t="str">
        <f>IF(W175=Llistes!$K$2,Llistes!$L$2,IF(W175=Llistes!$K$3,Llistes!$L$3,IF(W175=Llistes!$K$4,Llistes!$L$4,IF(W175=Llistes!$K$5,Llistes!$L$5,IF(W175=Llistes!$K$6,Llistes!$L$6,IF(W175=Llistes!$K$7,Llistes!$L$7,""))))))</f>
        <v>Ivan Bustamante</v>
      </c>
      <c r="Y175" s="165"/>
      <c r="Z175" s="165"/>
      <c r="AA175" s="165" t="s">
        <v>994</v>
      </c>
      <c r="AB175" s="165" t="s">
        <v>994</v>
      </c>
      <c r="AC175" s="147"/>
    </row>
    <row r="176" spans="1:29" ht="43.5">
      <c r="A176" s="204" t="s">
        <v>595</v>
      </c>
      <c r="B176" s="273"/>
      <c r="C176" s="274"/>
      <c r="D176" s="250"/>
      <c r="E176" s="376"/>
      <c r="F176" s="186" t="s">
        <v>677</v>
      </c>
      <c r="G176" s="56" t="s">
        <v>679</v>
      </c>
      <c r="H176" s="215" t="s">
        <v>1286</v>
      </c>
      <c r="I176" s="31" t="s">
        <v>1361</v>
      </c>
      <c r="J176" s="163"/>
      <c r="K176" s="163" t="s">
        <v>1043</v>
      </c>
      <c r="L176" s="189" t="s">
        <v>678</v>
      </c>
      <c r="M176" s="188" t="s">
        <v>271</v>
      </c>
      <c r="N176" s="188" t="s">
        <v>285</v>
      </c>
      <c r="O176" s="56" t="s">
        <v>680</v>
      </c>
      <c r="P176" s="31"/>
      <c r="Q176" s="57" t="s">
        <v>286</v>
      </c>
      <c r="R176" s="31" t="s">
        <v>681</v>
      </c>
      <c r="S176" s="58" t="s">
        <v>275</v>
      </c>
      <c r="T176" s="54" t="s">
        <v>682</v>
      </c>
      <c r="U176" s="163">
        <v>0.03</v>
      </c>
      <c r="V176" s="163">
        <f>PLA!U179*Llistes!$L$11*Llistes!$L$12</f>
        <v>4</v>
      </c>
      <c r="W176" s="60" t="s">
        <v>412</v>
      </c>
      <c r="X176" s="60" t="str">
        <f>IF(W176=Llistes!$K$2,Llistes!$L$2,IF(W176=Llistes!$K$3,Llistes!$L$3,IF(W176=Llistes!$K$4,Llistes!$L$4,IF(W176=Llistes!$K$5,Llistes!$L$5,IF(W176=Llistes!$K$6,Llistes!$L$6,IF(W176=Llistes!$K$7,Llistes!$L$7,""))))))</f>
        <v>Ivan Bustamante</v>
      </c>
      <c r="Y176" s="165" t="s">
        <v>994</v>
      </c>
      <c r="Z176" s="165" t="s">
        <v>994</v>
      </c>
      <c r="AA176" s="165" t="s">
        <v>994</v>
      </c>
      <c r="AB176" s="165" t="s">
        <v>994</v>
      </c>
      <c r="AC176" s="147"/>
    </row>
    <row r="177" spans="1:29" ht="58">
      <c r="A177" s="204" t="s">
        <v>595</v>
      </c>
      <c r="B177" s="273"/>
      <c r="C177" s="274"/>
      <c r="D177" s="289" t="s">
        <v>683</v>
      </c>
      <c r="E177" s="300" t="s">
        <v>684</v>
      </c>
      <c r="F177" s="186" t="s">
        <v>685</v>
      </c>
      <c r="G177" s="56" t="str">
        <f>L177</f>
        <v>Elaborar i executar el Pla de vigilància de l’espai d'acord amb els cossos d’inspecció i seguretat</v>
      </c>
      <c r="H177" s="216" t="s">
        <v>1287</v>
      </c>
      <c r="I177" s="31" t="s">
        <v>1362</v>
      </c>
      <c r="J177" s="163">
        <v>8</v>
      </c>
      <c r="K177" s="163">
        <v>12</v>
      </c>
      <c r="L177" s="187" t="s">
        <v>686</v>
      </c>
      <c r="M177" s="188" t="s">
        <v>271</v>
      </c>
      <c r="N177" s="188" t="s">
        <v>285</v>
      </c>
      <c r="O177" s="56"/>
      <c r="P177" s="31"/>
      <c r="Q177" s="57" t="s">
        <v>280</v>
      </c>
      <c r="R177" s="31" t="s">
        <v>687</v>
      </c>
      <c r="S177" s="58"/>
      <c r="T177" s="59"/>
      <c r="U177" s="163">
        <v>0.12</v>
      </c>
      <c r="V177" s="163">
        <f>PLA!U180*Llistes!$L$11*Llistes!$L$12</f>
        <v>16</v>
      </c>
      <c r="W177" s="60" t="s">
        <v>291</v>
      </c>
      <c r="X177" s="60" t="str">
        <f>IF(W177=Llistes!$K$2,Llistes!$L$2,IF(W177=Llistes!$K$3,Llistes!$L$3,IF(W177=Llistes!$K$4,Llistes!$L$4,IF(W177=Llistes!$K$5,Llistes!$L$5,IF(W177=Llistes!$K$6,Llistes!$L$6,IF(W177=Llistes!$K$7,Llistes!$L$7,""))))))</f>
        <v>Gerard Carrion</v>
      </c>
      <c r="Y177" s="165" t="s">
        <v>994</v>
      </c>
      <c r="Z177" s="165" t="s">
        <v>994</v>
      </c>
      <c r="AA177" s="165" t="s">
        <v>994</v>
      </c>
      <c r="AB177" s="165" t="s">
        <v>994</v>
      </c>
      <c r="AC177" s="147"/>
    </row>
    <row r="178" spans="1:29" ht="29">
      <c r="A178" s="204" t="s">
        <v>595</v>
      </c>
      <c r="B178" s="273"/>
      <c r="C178" s="274"/>
      <c r="D178" s="290"/>
      <c r="E178" s="301"/>
      <c r="F178" s="186" t="s">
        <v>688</v>
      </c>
      <c r="G178" s="56" t="str">
        <f>L178</f>
        <v>Millorar la coordinació amb els cossos de seguretat per efectuar accions de control i vigilància</v>
      </c>
      <c r="H178" s="216" t="s">
        <v>690</v>
      </c>
      <c r="I178" s="31" t="s">
        <v>1362</v>
      </c>
      <c r="J178" s="163">
        <v>8</v>
      </c>
      <c r="K178" s="163">
        <v>12</v>
      </c>
      <c r="L178" s="187" t="s">
        <v>689</v>
      </c>
      <c r="M178" s="188" t="s">
        <v>271</v>
      </c>
      <c r="N178" s="188" t="s">
        <v>285</v>
      </c>
      <c r="O178" s="56"/>
      <c r="P178" s="31"/>
      <c r="Q178" s="57" t="s">
        <v>305</v>
      </c>
      <c r="R178" s="31"/>
      <c r="S178" s="58"/>
      <c r="T178" s="59"/>
      <c r="U178" s="163">
        <v>0.12</v>
      </c>
      <c r="V178" s="163">
        <f>PLA!U181*Llistes!$L$11*Llistes!$L$12</f>
        <v>16</v>
      </c>
      <c r="W178" s="60" t="s">
        <v>291</v>
      </c>
      <c r="X178" s="60" t="str">
        <f>IF(W178=Llistes!$K$2,Llistes!$L$2,IF(W178=Llistes!$K$3,Llistes!$L$3,IF(W178=Llistes!$K$4,Llistes!$L$4,IF(W178=Llistes!$K$5,Llistes!$L$5,IF(W178=Llistes!$K$6,Llistes!$L$6,IF(W178=Llistes!$K$7,Llistes!$L$7,""))))))</f>
        <v>Gerard Carrion</v>
      </c>
      <c r="Y178" s="165" t="s">
        <v>994</v>
      </c>
      <c r="Z178" s="165" t="s">
        <v>994</v>
      </c>
      <c r="AA178" s="165" t="s">
        <v>994</v>
      </c>
      <c r="AB178" s="165" t="s">
        <v>994</v>
      </c>
      <c r="AC178" s="147"/>
    </row>
    <row r="179" spans="1:29" ht="58">
      <c r="A179" s="204" t="s">
        <v>595</v>
      </c>
      <c r="B179" s="273"/>
      <c r="C179" s="274"/>
      <c r="D179" s="290"/>
      <c r="E179" s="301"/>
      <c r="F179" s="186" t="s">
        <v>691</v>
      </c>
      <c r="G179" s="56" t="str">
        <f>L179</f>
        <v>Vetllar pel compliment d'informes i la vigilància tècnica de l'espai</v>
      </c>
      <c r="H179" s="216" t="s">
        <v>1288</v>
      </c>
      <c r="I179" s="31" t="s">
        <v>1290</v>
      </c>
      <c r="J179" s="163">
        <v>2</v>
      </c>
      <c r="K179" s="163">
        <v>4</v>
      </c>
      <c r="L179" s="187" t="s">
        <v>692</v>
      </c>
      <c r="M179" s="188" t="s">
        <v>271</v>
      </c>
      <c r="N179" s="188" t="s">
        <v>285</v>
      </c>
      <c r="O179" s="56"/>
      <c r="P179" s="31"/>
      <c r="Q179" s="57" t="s">
        <v>305</v>
      </c>
      <c r="R179" s="31"/>
      <c r="S179" s="58"/>
      <c r="T179" s="59"/>
      <c r="U179" s="163">
        <v>0.03</v>
      </c>
      <c r="V179" s="163">
        <f>PLA!U182*Llistes!$L$11*Llistes!$L$12</f>
        <v>4</v>
      </c>
      <c r="W179" s="60" t="s">
        <v>291</v>
      </c>
      <c r="X179" s="60" t="str">
        <f>IF(W179=Llistes!$K$2,Llistes!$L$2,IF(W179=Llistes!$K$3,Llistes!$L$3,IF(W179=Llistes!$K$4,Llistes!$L$4,IF(W179=Llistes!$K$5,Llistes!$L$5,IF(W179=Llistes!$K$6,Llistes!$L$6,IF(W179=Llistes!$K$7,Llistes!$L$7,""))))))</f>
        <v>Gerard Carrion</v>
      </c>
      <c r="Y179" s="165" t="s">
        <v>994</v>
      </c>
      <c r="Z179" s="165" t="s">
        <v>994</v>
      </c>
      <c r="AA179" s="165" t="s">
        <v>994</v>
      </c>
      <c r="AB179" s="165" t="s">
        <v>994</v>
      </c>
      <c r="AC179" s="147"/>
    </row>
    <row r="180" spans="1:29" ht="29">
      <c r="A180" s="204" t="s">
        <v>595</v>
      </c>
      <c r="B180" s="273"/>
      <c r="C180" s="274"/>
      <c r="D180" s="250"/>
      <c r="E180" s="302"/>
      <c r="F180" s="186" t="s">
        <v>691</v>
      </c>
      <c r="G180" s="56" t="str">
        <f>L180</f>
        <v>Vetllar pel compliment d'informes i la vigilància tècnica de l'espai</v>
      </c>
      <c r="H180" s="216" t="s">
        <v>1289</v>
      </c>
      <c r="I180" s="31" t="s">
        <v>1291</v>
      </c>
      <c r="J180" s="163"/>
      <c r="K180" s="163" t="s">
        <v>1043</v>
      </c>
      <c r="L180" s="187" t="s">
        <v>692</v>
      </c>
      <c r="M180" s="188" t="s">
        <v>271</v>
      </c>
      <c r="N180" s="188" t="s">
        <v>285</v>
      </c>
      <c r="O180" s="56"/>
      <c r="P180" s="31"/>
      <c r="Q180" s="57" t="s">
        <v>305</v>
      </c>
      <c r="R180" s="31"/>
      <c r="S180" s="58"/>
      <c r="T180" s="59"/>
      <c r="U180" s="163">
        <v>0.3</v>
      </c>
      <c r="V180" s="163">
        <f>PLA!U183*Llistes!$L$11*Llistes!$L$12</f>
        <v>40</v>
      </c>
      <c r="W180" s="60" t="s">
        <v>291</v>
      </c>
      <c r="X180" s="60" t="str">
        <f>IF(W180=Llistes!$K$2,Llistes!$L$2,IF(W180=Llistes!$K$3,Llistes!$L$3,IF(W180=Llistes!$K$4,Llistes!$L$4,IF(W180=Llistes!$K$5,Llistes!$L$5,IF(W180=Llistes!$K$6,Llistes!$L$6,IF(W180=Llistes!$K$7,Llistes!$L$7,""))))))</f>
        <v>Gerard Carrion</v>
      </c>
      <c r="Y180" s="165" t="s">
        <v>994</v>
      </c>
      <c r="Z180" s="165" t="s">
        <v>994</v>
      </c>
      <c r="AA180" s="165" t="s">
        <v>994</v>
      </c>
      <c r="AB180" s="165" t="s">
        <v>994</v>
      </c>
      <c r="AC180" s="147"/>
    </row>
    <row r="181" spans="1:29" ht="19.5" customHeight="1">
      <c r="A181" s="204" t="s">
        <v>595</v>
      </c>
      <c r="B181" s="273">
        <v>12</v>
      </c>
      <c r="C181" s="396" t="s">
        <v>1591</v>
      </c>
      <c r="D181" s="289" t="s">
        <v>1568</v>
      </c>
      <c r="E181" s="374" t="s">
        <v>1569</v>
      </c>
      <c r="F181" s="186" t="s">
        <v>1564</v>
      </c>
      <c r="G181" s="56"/>
      <c r="H181" s="216"/>
      <c r="I181" s="31"/>
      <c r="J181" s="163"/>
      <c r="K181" s="163"/>
      <c r="L181" s="187" t="s">
        <v>1565</v>
      </c>
      <c r="M181" s="188" t="s">
        <v>271</v>
      </c>
      <c r="N181" s="188" t="s">
        <v>285</v>
      </c>
      <c r="O181" s="56"/>
      <c r="P181" s="31"/>
      <c r="Q181" s="57"/>
      <c r="R181" s="31"/>
      <c r="S181" s="58"/>
      <c r="T181" s="59"/>
      <c r="U181" s="163"/>
      <c r="V181" s="163"/>
      <c r="W181" s="60"/>
      <c r="X181" s="60"/>
      <c r="Y181" s="165"/>
      <c r="Z181" s="165"/>
      <c r="AA181" s="165"/>
      <c r="AB181" s="165"/>
      <c r="AC181" s="147"/>
    </row>
    <row r="182" spans="1:29" ht="29">
      <c r="A182" s="204" t="s">
        <v>595</v>
      </c>
      <c r="B182" s="273"/>
      <c r="C182" s="396"/>
      <c r="D182" s="250"/>
      <c r="E182" s="376"/>
      <c r="F182" s="186" t="s">
        <v>1566</v>
      </c>
      <c r="G182" s="56"/>
      <c r="H182" s="216"/>
      <c r="I182" s="31"/>
      <c r="J182" s="163"/>
      <c r="K182" s="163"/>
      <c r="L182" s="187" t="s">
        <v>1567</v>
      </c>
      <c r="M182" s="188" t="s">
        <v>271</v>
      </c>
      <c r="N182" s="188" t="s">
        <v>285</v>
      </c>
      <c r="O182" s="56"/>
      <c r="P182" s="31"/>
      <c r="Q182" s="57"/>
      <c r="R182" s="31"/>
      <c r="S182" s="58"/>
      <c r="T182" s="59"/>
      <c r="U182" s="163"/>
      <c r="V182" s="163"/>
      <c r="W182" s="60"/>
      <c r="X182" s="60"/>
      <c r="Y182" s="165"/>
      <c r="Z182" s="165"/>
      <c r="AA182" s="165"/>
      <c r="AB182" s="165"/>
      <c r="AC182" s="147"/>
    </row>
    <row r="183" spans="1:29" ht="116">
      <c r="A183" s="26" t="s">
        <v>693</v>
      </c>
      <c r="B183" s="195">
        <v>13</v>
      </c>
      <c r="C183" s="194" t="s">
        <v>694</v>
      </c>
      <c r="D183" s="306" t="s">
        <v>695</v>
      </c>
      <c r="E183" s="314" t="s">
        <v>696</v>
      </c>
      <c r="F183" s="191" t="s">
        <v>697</v>
      </c>
      <c r="G183" s="56" t="str">
        <f>L183</f>
        <v>Definir el model de Xarxa d'Escoles de l'Espai Natural (XEEN) a l'ENP amb els agents educatius del territori</v>
      </c>
      <c r="H183" s="215" t="s">
        <v>1364</v>
      </c>
      <c r="I183" s="31" t="s">
        <v>1363</v>
      </c>
      <c r="J183" s="163"/>
      <c r="K183" s="163" t="s">
        <v>1043</v>
      </c>
      <c r="L183" s="187" t="s">
        <v>698</v>
      </c>
      <c r="M183" s="188" t="s">
        <v>271</v>
      </c>
      <c r="N183" s="188" t="s">
        <v>285</v>
      </c>
      <c r="O183" s="137" t="s">
        <v>699</v>
      </c>
      <c r="P183" s="31"/>
      <c r="Q183" s="57" t="s">
        <v>286</v>
      </c>
      <c r="R183" s="31" t="s">
        <v>700</v>
      </c>
      <c r="S183" s="65" t="s">
        <v>701</v>
      </c>
      <c r="T183" s="59"/>
      <c r="U183" s="163">
        <v>0.3</v>
      </c>
      <c r="V183" s="163">
        <f>PLA!U186*Llistes!$L$11*Llistes!$L$12</f>
        <v>40</v>
      </c>
      <c r="W183" s="60" t="s">
        <v>412</v>
      </c>
      <c r="X183" s="60" t="str">
        <f>IF(W183=Llistes!$K$2,Llistes!$L$2,IF(W183=Llistes!$K$3,Llistes!$L$3,IF(W183=Llistes!$K$4,Llistes!$L$4,IF(W183=Llistes!$K$5,Llistes!$L$5,IF(W183=Llistes!$K$6,Llistes!$L$6,IF(W183=Llistes!$K$7,Llistes!$L$7,""))))))</f>
        <v>Ivan Bustamante</v>
      </c>
      <c r="Y183" s="165" t="s">
        <v>994</v>
      </c>
      <c r="Z183" s="165" t="s">
        <v>994</v>
      </c>
      <c r="AA183" s="165" t="s">
        <v>994</v>
      </c>
      <c r="AB183" s="165" t="s">
        <v>994</v>
      </c>
      <c r="AC183" s="147"/>
    </row>
    <row r="184" spans="1:29" ht="130.5">
      <c r="A184" s="26" t="s">
        <v>693</v>
      </c>
      <c r="B184" s="195"/>
      <c r="C184" s="194"/>
      <c r="D184" s="306"/>
      <c r="E184" s="314"/>
      <c r="F184" s="191" t="s">
        <v>702</v>
      </c>
      <c r="G184" s="56" t="str">
        <f>L184</f>
        <v>Desplegar el model de Xarxa d'Escoles de l'Espai Natural (XEEN) a l'ENP d'acord amb el model general</v>
      </c>
      <c r="H184" s="215" t="s">
        <v>1366</v>
      </c>
      <c r="I184" s="31" t="s">
        <v>1313</v>
      </c>
      <c r="J184" s="163">
        <v>3</v>
      </c>
      <c r="K184" s="163">
        <v>6</v>
      </c>
      <c r="L184" s="189" t="s">
        <v>703</v>
      </c>
      <c r="M184" s="188" t="s">
        <v>271</v>
      </c>
      <c r="N184" s="188" t="s">
        <v>285</v>
      </c>
      <c r="O184" s="137" t="s">
        <v>699</v>
      </c>
      <c r="P184" s="66"/>
      <c r="Q184" s="57" t="s">
        <v>286</v>
      </c>
      <c r="R184" s="66" t="s">
        <v>1365</v>
      </c>
      <c r="S184" s="65" t="s">
        <v>701</v>
      </c>
      <c r="T184" s="54" t="s">
        <v>704</v>
      </c>
      <c r="U184" s="163">
        <v>0.3</v>
      </c>
      <c r="V184" s="163">
        <f>PLA!U187*Llistes!$L$11*Llistes!$L$12</f>
        <v>40</v>
      </c>
      <c r="W184" s="60" t="s">
        <v>412</v>
      </c>
      <c r="X184" s="60" t="str">
        <f>IF(W184=Llistes!$K$2,Llistes!$L$2,IF(W184=Llistes!$K$3,Llistes!$L$3,IF(W184=Llistes!$K$4,Llistes!$L$4,IF(W184=Llistes!$K$5,Llistes!$L$5,IF(W184=Llistes!$K$6,Llistes!$L$6,IF(W184=Llistes!$K$7,Llistes!$L$7,""))))))</f>
        <v>Ivan Bustamante</v>
      </c>
      <c r="Y184" s="165" t="s">
        <v>994</v>
      </c>
      <c r="Z184" s="165" t="s">
        <v>994</v>
      </c>
      <c r="AA184" s="165" t="s">
        <v>994</v>
      </c>
      <c r="AB184" s="165" t="s">
        <v>994</v>
      </c>
      <c r="AC184" s="147"/>
    </row>
    <row r="185" spans="1:29" ht="116">
      <c r="A185" s="26" t="s">
        <v>693</v>
      </c>
      <c r="B185" s="195"/>
      <c r="C185" s="194"/>
      <c r="D185" s="307"/>
      <c r="E185" s="315"/>
      <c r="F185" s="191" t="s">
        <v>705</v>
      </c>
      <c r="G185" s="56" t="str">
        <f>L185</f>
        <v xml:space="preserve">Formar i capacitar al professorat de la XEEN </v>
      </c>
      <c r="H185" s="215" t="s">
        <v>1368</v>
      </c>
      <c r="I185" s="31" t="s">
        <v>1367</v>
      </c>
      <c r="J185" s="163">
        <v>4</v>
      </c>
      <c r="K185" s="163">
        <v>8</v>
      </c>
      <c r="L185" s="187" t="s">
        <v>706</v>
      </c>
      <c r="M185" s="188" t="s">
        <v>271</v>
      </c>
      <c r="N185" s="188" t="s">
        <v>285</v>
      </c>
      <c r="O185" s="137" t="s">
        <v>699</v>
      </c>
      <c r="P185" s="66"/>
      <c r="Q185" s="57" t="s">
        <v>286</v>
      </c>
      <c r="R185" s="66" t="s">
        <v>707</v>
      </c>
      <c r="S185" s="65" t="s">
        <v>701</v>
      </c>
      <c r="T185" s="54"/>
      <c r="U185" s="163">
        <v>0.12</v>
      </c>
      <c r="V185" s="163">
        <f>PLA!U188*Llistes!$L$11*Llistes!$L$12</f>
        <v>16</v>
      </c>
      <c r="W185" s="60" t="s">
        <v>412</v>
      </c>
      <c r="X185" s="60" t="str">
        <f>IF(W185=Llistes!$K$2,Llistes!$L$2,IF(W185=Llistes!$K$3,Llistes!$L$3,IF(W185=Llistes!$K$4,Llistes!$L$4,IF(W185=Llistes!$K$5,Llistes!$L$5,IF(W185=Llistes!$K$6,Llistes!$L$6,IF(W185=Llistes!$K$7,Llistes!$L$7,""))))))</f>
        <v>Ivan Bustamante</v>
      </c>
      <c r="Y185" s="165" t="s">
        <v>994</v>
      </c>
      <c r="Z185" s="165" t="s">
        <v>994</v>
      </c>
      <c r="AA185" s="165" t="s">
        <v>994</v>
      </c>
      <c r="AB185" s="165" t="s">
        <v>994</v>
      </c>
      <c r="AC185" s="147"/>
    </row>
    <row r="186" spans="1:29" ht="43.5">
      <c r="A186" s="26" t="s">
        <v>693</v>
      </c>
      <c r="B186" s="195"/>
      <c r="C186" s="194"/>
      <c r="D186" s="267" t="s">
        <v>708</v>
      </c>
      <c r="E186" s="303" t="s">
        <v>709</v>
      </c>
      <c r="F186" s="186" t="s">
        <v>710</v>
      </c>
      <c r="G186" s="56" t="str">
        <f>L186</f>
        <v>Adaptar i millorar l'oferta pedagògica de l'ENP generant situacions d'aprenentatge i treballs per projecte</v>
      </c>
      <c r="H186" s="215" t="s">
        <v>1314</v>
      </c>
      <c r="I186" s="31" t="s">
        <v>1316</v>
      </c>
      <c r="J186" s="163">
        <v>1</v>
      </c>
      <c r="K186" s="163">
        <v>2</v>
      </c>
      <c r="L186" s="187" t="s">
        <v>711</v>
      </c>
      <c r="M186" s="188" t="s">
        <v>271</v>
      </c>
      <c r="N186" s="188" t="s">
        <v>285</v>
      </c>
      <c r="O186" s="56"/>
      <c r="P186" s="31"/>
      <c r="Q186" s="57" t="s">
        <v>273</v>
      </c>
      <c r="R186" s="31" t="s">
        <v>712</v>
      </c>
      <c r="S186" s="65" t="s">
        <v>701</v>
      </c>
      <c r="T186" s="54" t="s">
        <v>713</v>
      </c>
      <c r="U186" s="163">
        <v>0.12</v>
      </c>
      <c r="V186" s="163">
        <f>PLA!U189*Llistes!$L$11*Llistes!$L$12</f>
        <v>16</v>
      </c>
      <c r="W186" s="60" t="s">
        <v>412</v>
      </c>
      <c r="X186" s="60" t="str">
        <f>IF(W186=Llistes!$K$2,Llistes!$L$2,IF(W186=Llistes!$K$3,Llistes!$L$3,IF(W186=Llistes!$K$4,Llistes!$L$4,IF(W186=Llistes!$K$5,Llistes!$L$5,IF(W186=Llistes!$K$6,Llistes!$L$6,IF(W186=Llistes!$K$7,Llistes!$L$7,""))))))</f>
        <v>Ivan Bustamante</v>
      </c>
      <c r="Y186" s="165" t="s">
        <v>994</v>
      </c>
      <c r="Z186" s="165" t="s">
        <v>994</v>
      </c>
      <c r="AA186" s="165" t="s">
        <v>994</v>
      </c>
      <c r="AB186" s="165" t="s">
        <v>994</v>
      </c>
      <c r="AC186" s="147"/>
    </row>
    <row r="187" spans="1:29" ht="29">
      <c r="A187" s="26"/>
      <c r="B187" s="195"/>
      <c r="C187" s="194"/>
      <c r="D187" s="306"/>
      <c r="E187" s="304"/>
      <c r="F187" s="186" t="s">
        <v>710</v>
      </c>
      <c r="G187" s="56" t="str">
        <f>L187</f>
        <v>Adaptar i millorar l'oferta pedagògica de l'ENP generant situacions d'aprenentatge i treballs per projecte</v>
      </c>
      <c r="H187" s="215" t="s">
        <v>1315</v>
      </c>
      <c r="I187" s="31" t="s">
        <v>1369</v>
      </c>
      <c r="J187" s="163">
        <v>12</v>
      </c>
      <c r="K187" s="163">
        <v>16</v>
      </c>
      <c r="L187" s="187" t="s">
        <v>711</v>
      </c>
      <c r="M187" s="188" t="s">
        <v>271</v>
      </c>
      <c r="N187" s="188" t="s">
        <v>285</v>
      </c>
      <c r="O187" s="56"/>
      <c r="P187" s="31"/>
      <c r="Q187" s="57" t="s">
        <v>273</v>
      </c>
      <c r="R187" s="31"/>
      <c r="S187" s="65"/>
      <c r="T187" s="54"/>
      <c r="U187" s="163">
        <v>0.12</v>
      </c>
      <c r="V187" s="163">
        <f>PLA!U190*Llistes!$L$11*Llistes!$L$12</f>
        <v>16</v>
      </c>
      <c r="W187" s="60" t="s">
        <v>412</v>
      </c>
      <c r="X187" s="60" t="str">
        <f>IF(W187=Llistes!$K$2,Llistes!$L$2,IF(W187=Llistes!$K$3,Llistes!$L$3,IF(W187=Llistes!$K$4,Llistes!$L$4,IF(W187=Llistes!$K$5,Llistes!$L$5,IF(W187=Llistes!$K$6,Llistes!$L$6,IF(W187=Llistes!$K$7,Llistes!$L$7,""))))))</f>
        <v>Ivan Bustamante</v>
      </c>
      <c r="Y187" s="165" t="s">
        <v>994</v>
      </c>
      <c r="Z187" s="165" t="s">
        <v>994</v>
      </c>
      <c r="AA187" s="165" t="s">
        <v>994</v>
      </c>
      <c r="AB187" s="165" t="s">
        <v>994</v>
      </c>
      <c r="AC187" s="147"/>
    </row>
    <row r="188" spans="1:29" ht="58">
      <c r="A188" s="26" t="s">
        <v>693</v>
      </c>
      <c r="B188" s="195"/>
      <c r="C188" s="194"/>
      <c r="D188" s="306"/>
      <c r="E188" s="304"/>
      <c r="F188" s="186" t="s">
        <v>714</v>
      </c>
      <c r="G188" s="56" t="s">
        <v>716</v>
      </c>
      <c r="H188" s="215" t="s">
        <v>1318</v>
      </c>
      <c r="I188" s="31" t="s">
        <v>1317</v>
      </c>
      <c r="J188" s="163">
        <v>1</v>
      </c>
      <c r="K188" s="163">
        <v>3</v>
      </c>
      <c r="L188" s="187" t="s">
        <v>715</v>
      </c>
      <c r="M188" s="188" t="s">
        <v>271</v>
      </c>
      <c r="N188" s="188" t="s">
        <v>279</v>
      </c>
      <c r="O188" s="56"/>
      <c r="P188" s="31"/>
      <c r="Q188" s="57" t="s">
        <v>286</v>
      </c>
      <c r="R188" s="31" t="s">
        <v>717</v>
      </c>
      <c r="S188" s="65" t="s">
        <v>701</v>
      </c>
      <c r="T188" s="59"/>
      <c r="U188" s="163">
        <v>0.06</v>
      </c>
      <c r="V188" s="163">
        <f>PLA!U191*Llistes!$L$11*Llistes!$L$12</f>
        <v>8</v>
      </c>
      <c r="W188" s="60" t="s">
        <v>412</v>
      </c>
      <c r="X188" s="60" t="str">
        <f>IF(W188=Llistes!$K$2,Llistes!$L$2,IF(W188=Llistes!$K$3,Llistes!$L$3,IF(W188=Llistes!$K$4,Llistes!$L$4,IF(W188=Llistes!$K$5,Llistes!$L$5,IF(W188=Llistes!$K$6,Llistes!$L$6,IF(W188=Llistes!$K$7,Llistes!$L$7,""))))))</f>
        <v>Ivan Bustamante</v>
      </c>
      <c r="Y188" s="165" t="s">
        <v>994</v>
      </c>
      <c r="Z188" s="165" t="s">
        <v>994</v>
      </c>
      <c r="AA188" s="165" t="s">
        <v>994</v>
      </c>
      <c r="AB188" s="165" t="s">
        <v>994</v>
      </c>
      <c r="AC188" s="147"/>
    </row>
    <row r="189" spans="1:29" ht="58">
      <c r="A189" s="26" t="s">
        <v>693</v>
      </c>
      <c r="B189" s="195"/>
      <c r="C189" s="194"/>
      <c r="D189" s="306"/>
      <c r="E189" s="304"/>
      <c r="F189" s="186" t="s">
        <v>714</v>
      </c>
      <c r="G189" s="56" t="s">
        <v>716</v>
      </c>
      <c r="H189" s="215" t="s">
        <v>1440</v>
      </c>
      <c r="I189" s="31" t="s">
        <v>1319</v>
      </c>
      <c r="J189" s="163">
        <v>1</v>
      </c>
      <c r="K189" s="163">
        <v>3</v>
      </c>
      <c r="L189" s="187" t="s">
        <v>715</v>
      </c>
      <c r="M189" s="188" t="s">
        <v>271</v>
      </c>
      <c r="N189" s="188" t="s">
        <v>279</v>
      </c>
      <c r="O189" s="56"/>
      <c r="P189" s="31"/>
      <c r="Q189" s="57" t="s">
        <v>286</v>
      </c>
      <c r="R189" s="31" t="s">
        <v>717</v>
      </c>
      <c r="S189" s="65"/>
      <c r="T189" s="59"/>
      <c r="U189" s="163">
        <v>0.12</v>
      </c>
      <c r="V189" s="163">
        <f>PLA!U192*Llistes!$L$11*Llistes!$L$12</f>
        <v>16</v>
      </c>
      <c r="W189" s="60" t="s">
        <v>412</v>
      </c>
      <c r="X189" s="60" t="str">
        <f>IF(W189=Llistes!$K$2,Llistes!$L$2,IF(W189=Llistes!$K$3,Llistes!$L$3,IF(W189=Llistes!$K$4,Llistes!$L$4,IF(W189=Llistes!$K$5,Llistes!$L$5,IF(W189=Llistes!$K$6,Llistes!$L$6,IF(W189=Llistes!$K$7,Llistes!$L$7,""))))))</f>
        <v>Ivan Bustamante</v>
      </c>
      <c r="Y189" s="165" t="s">
        <v>994</v>
      </c>
      <c r="Z189" s="165" t="s">
        <v>994</v>
      </c>
      <c r="AA189" s="165" t="s">
        <v>994</v>
      </c>
      <c r="AB189" s="165" t="s">
        <v>994</v>
      </c>
      <c r="AC189" s="147"/>
    </row>
    <row r="190" spans="1:29" ht="43.5">
      <c r="A190" s="26" t="s">
        <v>693</v>
      </c>
      <c r="B190" s="195"/>
      <c r="C190" s="194"/>
      <c r="D190" s="306"/>
      <c r="E190" s="304"/>
      <c r="F190" s="186" t="s">
        <v>718</v>
      </c>
      <c r="G190" s="56" t="str">
        <f>L190</f>
        <v>Elaborar recursos educatius sobre l’espai (que tinguin en compte les problemàtiques singulars del seu espai) i posar-los a disposició dels centres educatius</v>
      </c>
      <c r="H190" s="215" t="s">
        <v>720</v>
      </c>
      <c r="I190" s="31" t="s">
        <v>1320</v>
      </c>
      <c r="J190" s="163">
        <v>4</v>
      </c>
      <c r="K190" s="163">
        <v>8</v>
      </c>
      <c r="L190" s="187" t="s">
        <v>719</v>
      </c>
      <c r="M190" s="188" t="s">
        <v>271</v>
      </c>
      <c r="N190" s="188" t="s">
        <v>285</v>
      </c>
      <c r="O190" s="56"/>
      <c r="P190" s="31"/>
      <c r="Q190" s="57" t="s">
        <v>286</v>
      </c>
      <c r="R190" s="31"/>
      <c r="S190" s="65" t="s">
        <v>701</v>
      </c>
      <c r="T190" s="59"/>
      <c r="U190" s="163">
        <v>0.12</v>
      </c>
      <c r="V190" s="163">
        <f>PLA!U193*Llistes!$L$11*Llistes!$L$12</f>
        <v>16</v>
      </c>
      <c r="W190" s="60" t="s">
        <v>412</v>
      </c>
      <c r="X190" s="60" t="str">
        <f>IF(W190=Llistes!$K$2,Llistes!$L$2,IF(W190=Llistes!$K$3,Llistes!$L$3,IF(W190=Llistes!$K$4,Llistes!$L$4,IF(W190=Llistes!$K$5,Llistes!$L$5,IF(W190=Llistes!$K$6,Llistes!$L$6,IF(W190=Llistes!$K$7,Llistes!$L$7,""))))))</f>
        <v>Ivan Bustamante</v>
      </c>
      <c r="Y190" s="165" t="s">
        <v>994</v>
      </c>
      <c r="Z190" s="165" t="s">
        <v>994</v>
      </c>
      <c r="AA190" s="165" t="s">
        <v>994</v>
      </c>
      <c r="AB190" s="165" t="s">
        <v>994</v>
      </c>
      <c r="AC190" s="147"/>
    </row>
    <row r="191" spans="1:29" ht="29">
      <c r="A191" s="26" t="s">
        <v>693</v>
      </c>
      <c r="B191" s="195"/>
      <c r="C191" s="194"/>
      <c r="D191" s="306"/>
      <c r="E191" s="304"/>
      <c r="F191" s="186" t="s">
        <v>1501</v>
      </c>
      <c r="G191" s="56"/>
      <c r="H191" s="215"/>
      <c r="I191" s="31"/>
      <c r="J191" s="163"/>
      <c r="K191" s="163"/>
      <c r="L191" s="187" t="s">
        <v>1502</v>
      </c>
      <c r="M191" s="188" t="s">
        <v>271</v>
      </c>
      <c r="N191" s="188" t="s">
        <v>279</v>
      </c>
      <c r="O191" s="56"/>
      <c r="P191" s="31"/>
      <c r="Q191" s="57"/>
      <c r="R191" s="31"/>
      <c r="S191" s="65"/>
      <c r="T191" s="59"/>
      <c r="U191" s="163"/>
      <c r="V191" s="163"/>
      <c r="W191" s="60"/>
      <c r="X191" s="60"/>
      <c r="Y191" s="165"/>
      <c r="Z191" s="165"/>
      <c r="AA191" s="165"/>
      <c r="AB191" s="165"/>
      <c r="AC191" s="147"/>
    </row>
    <row r="192" spans="1:29" ht="43.5">
      <c r="A192" s="26" t="s">
        <v>693</v>
      </c>
      <c r="B192" s="195"/>
      <c r="C192" s="194"/>
      <c r="D192" s="307"/>
      <c r="E192" s="305"/>
      <c r="F192" s="186" t="s">
        <v>1503</v>
      </c>
      <c r="G192" s="56"/>
      <c r="H192" s="215"/>
      <c r="I192" s="31"/>
      <c r="J192" s="163"/>
      <c r="K192" s="163"/>
      <c r="L192" s="187" t="s">
        <v>1504</v>
      </c>
      <c r="M192" s="188" t="s">
        <v>271</v>
      </c>
      <c r="N192" s="188" t="s">
        <v>285</v>
      </c>
      <c r="O192" s="56"/>
      <c r="P192" s="31"/>
      <c r="Q192" s="57"/>
      <c r="R192" s="31"/>
      <c r="S192" s="65"/>
      <c r="T192" s="59"/>
      <c r="U192" s="163"/>
      <c r="V192" s="163"/>
      <c r="W192" s="60"/>
      <c r="X192" s="60"/>
      <c r="Y192" s="165"/>
      <c r="Z192" s="165"/>
      <c r="AA192" s="165"/>
      <c r="AB192" s="165"/>
      <c r="AC192" s="147"/>
    </row>
    <row r="193" spans="1:29" ht="58">
      <c r="A193" s="26" t="s">
        <v>693</v>
      </c>
      <c r="B193" s="195"/>
      <c r="C193" s="194"/>
      <c r="D193" s="267" t="s">
        <v>721</v>
      </c>
      <c r="E193" s="303" t="s">
        <v>722</v>
      </c>
      <c r="F193" s="186" t="s">
        <v>723</v>
      </c>
      <c r="G193" s="56" t="s">
        <v>725</v>
      </c>
      <c r="H193" s="215" t="s">
        <v>1371</v>
      </c>
      <c r="I193" s="31" t="s">
        <v>1370</v>
      </c>
      <c r="J193" s="163">
        <v>12</v>
      </c>
      <c r="K193" s="163">
        <v>16</v>
      </c>
      <c r="L193" s="187" t="s">
        <v>724</v>
      </c>
      <c r="M193" s="188" t="s">
        <v>271</v>
      </c>
      <c r="N193" s="188" t="s">
        <v>285</v>
      </c>
      <c r="O193" s="56" t="s">
        <v>726</v>
      </c>
      <c r="P193" s="31"/>
      <c r="Q193" s="57" t="s">
        <v>286</v>
      </c>
      <c r="R193" s="31" t="s">
        <v>727</v>
      </c>
      <c r="S193" s="65" t="s">
        <v>701</v>
      </c>
      <c r="T193" s="59"/>
      <c r="U193" s="163">
        <v>0.3</v>
      </c>
      <c r="V193" s="163">
        <f>PLA!U196*Llistes!$L$11*Llistes!$L$12</f>
        <v>40</v>
      </c>
      <c r="W193" s="60" t="s">
        <v>412</v>
      </c>
      <c r="X193" s="60" t="str">
        <f>IF(W193=Llistes!$K$2,Llistes!$L$2,IF(W193=Llistes!$K$3,Llistes!$L$3,IF(W193=Llistes!$K$4,Llistes!$L$4,IF(W193=Llistes!$K$5,Llistes!$L$5,IF(W193=Llistes!$K$6,Llistes!$L$6,IF(W193=Llistes!$K$7,Llistes!$L$7,""))))))</f>
        <v>Ivan Bustamante</v>
      </c>
      <c r="Y193" s="165" t="s">
        <v>994</v>
      </c>
      <c r="Z193" s="165" t="s">
        <v>994</v>
      </c>
      <c r="AA193" s="165" t="s">
        <v>994</v>
      </c>
      <c r="AB193" s="165" t="s">
        <v>994</v>
      </c>
      <c r="AC193" s="147"/>
    </row>
    <row r="194" spans="1:29" ht="58.5" customHeight="1">
      <c r="A194" s="26" t="s">
        <v>693</v>
      </c>
      <c r="B194" s="195"/>
      <c r="C194" s="194"/>
      <c r="D194" s="306"/>
      <c r="E194" s="304"/>
      <c r="F194" s="186" t="s">
        <v>728</v>
      </c>
      <c r="G194" s="56" t="s">
        <v>730</v>
      </c>
      <c r="H194" s="215" t="s">
        <v>1321</v>
      </c>
      <c r="I194" s="31" t="s">
        <v>1325</v>
      </c>
      <c r="J194" s="163">
        <v>8</v>
      </c>
      <c r="K194" s="163">
        <v>12</v>
      </c>
      <c r="L194" s="187" t="s">
        <v>729</v>
      </c>
      <c r="M194" s="188" t="s">
        <v>271</v>
      </c>
      <c r="N194" s="188" t="s">
        <v>285</v>
      </c>
      <c r="O194" s="56" t="s">
        <v>731</v>
      </c>
      <c r="P194" s="31"/>
      <c r="Q194" s="57" t="s">
        <v>305</v>
      </c>
      <c r="R194" s="31"/>
      <c r="S194" s="65" t="s">
        <v>701</v>
      </c>
      <c r="T194" s="59"/>
      <c r="U194" s="163">
        <v>0.375</v>
      </c>
      <c r="V194" s="163">
        <f>PLA!U197*Llistes!$L$11*Llistes!$L$12</f>
        <v>50</v>
      </c>
      <c r="W194" s="60" t="s">
        <v>291</v>
      </c>
      <c r="X194" s="60" t="str">
        <f>IF(W194=Llistes!$K$2,Llistes!$L$2,IF(W194=Llistes!$K$3,Llistes!$L$3,IF(W194=Llistes!$K$4,Llistes!$L$4,IF(W194=Llistes!$K$5,Llistes!$L$5,IF(W194=Llistes!$K$6,Llistes!$L$6,IF(W194=Llistes!$K$7,Llistes!$L$7,""))))))</f>
        <v>Gerard Carrion</v>
      </c>
      <c r="Y194" s="165" t="s">
        <v>994</v>
      </c>
      <c r="Z194" s="165" t="s">
        <v>994</v>
      </c>
      <c r="AA194" s="165" t="s">
        <v>994</v>
      </c>
      <c r="AB194" s="165" t="s">
        <v>994</v>
      </c>
      <c r="AC194" s="147"/>
    </row>
    <row r="195" spans="1:29" ht="72.5">
      <c r="A195" s="26" t="s">
        <v>693</v>
      </c>
      <c r="B195" s="195"/>
      <c r="C195" s="194"/>
      <c r="D195" s="306"/>
      <c r="E195" s="304"/>
      <c r="F195" s="186" t="s">
        <v>732</v>
      </c>
      <c r="G195" s="56" t="str">
        <f t="shared" ref="G195:G202" si="5">L195</f>
        <v>Elaborar formacions dirigides als informadors, educadors i altres prescriptors del territori</v>
      </c>
      <c r="H195" s="215" t="s">
        <v>1322</v>
      </c>
      <c r="I195" s="31" t="s">
        <v>1372</v>
      </c>
      <c r="J195" s="163">
        <v>1</v>
      </c>
      <c r="K195" s="163">
        <v>1</v>
      </c>
      <c r="L195" s="187" t="s">
        <v>733</v>
      </c>
      <c r="M195" s="188" t="s">
        <v>271</v>
      </c>
      <c r="N195" s="188" t="s">
        <v>285</v>
      </c>
      <c r="O195" s="56"/>
      <c r="P195" s="31"/>
      <c r="Q195" s="57" t="s">
        <v>273</v>
      </c>
      <c r="R195" s="31" t="s">
        <v>734</v>
      </c>
      <c r="S195" s="65" t="s">
        <v>701</v>
      </c>
      <c r="T195" s="54" t="s">
        <v>735</v>
      </c>
      <c r="U195" s="163">
        <v>0.75</v>
      </c>
      <c r="V195" s="163">
        <f>PLA!U198*Llistes!$L$11*Llistes!$L$12</f>
        <v>100</v>
      </c>
      <c r="W195" s="60" t="s">
        <v>412</v>
      </c>
      <c r="X195" s="60" t="str">
        <f>IF(W195=Llistes!$K$2,Llistes!$L$2,IF(W195=Llistes!$K$3,Llistes!$L$3,IF(W195=Llistes!$K$4,Llistes!$L$4,IF(W195=Llistes!$K$5,Llistes!$L$5,IF(W195=Llistes!$K$6,Llistes!$L$6,IF(W195=Llistes!$K$7,Llistes!$L$7,""))))))</f>
        <v>Ivan Bustamante</v>
      </c>
      <c r="Y195" s="165" t="s">
        <v>994</v>
      </c>
      <c r="Z195" s="165" t="s">
        <v>994</v>
      </c>
      <c r="AA195" s="165" t="s">
        <v>994</v>
      </c>
      <c r="AB195" s="165" t="s">
        <v>994</v>
      </c>
      <c r="AC195" s="147"/>
    </row>
    <row r="196" spans="1:29" ht="43.5">
      <c r="A196" s="26" t="s">
        <v>693</v>
      </c>
      <c r="B196" s="195"/>
      <c r="C196" s="194"/>
      <c r="D196" s="268"/>
      <c r="E196" s="316"/>
      <c r="F196" s="186" t="s">
        <v>732</v>
      </c>
      <c r="G196" s="56" t="str">
        <f t="shared" si="5"/>
        <v>Elaborar formacions dirigides als informadors, educadors i altres prescriptors del territori</v>
      </c>
      <c r="H196" s="215" t="s">
        <v>1323</v>
      </c>
      <c r="I196" s="31" t="s">
        <v>1326</v>
      </c>
      <c r="J196" s="163">
        <v>2</v>
      </c>
      <c r="K196" s="163">
        <v>4</v>
      </c>
      <c r="L196" s="187" t="s">
        <v>733</v>
      </c>
      <c r="M196" s="188" t="s">
        <v>271</v>
      </c>
      <c r="N196" s="188" t="s">
        <v>285</v>
      </c>
      <c r="O196" s="56"/>
      <c r="P196" s="31"/>
      <c r="Q196" s="57" t="s">
        <v>286</v>
      </c>
      <c r="R196" s="31"/>
      <c r="S196" s="65"/>
      <c r="T196" s="54"/>
      <c r="U196" s="163">
        <v>0.3</v>
      </c>
      <c r="V196" s="163">
        <f>PLA!U199*Llistes!$L$11*Llistes!$L$12</f>
        <v>40</v>
      </c>
      <c r="W196" s="60" t="s">
        <v>412</v>
      </c>
      <c r="X196" s="60" t="str">
        <f>IF(W196=Llistes!$K$2,Llistes!$L$2,IF(W196=Llistes!$K$3,Llistes!$L$3,IF(W196=Llistes!$K$4,Llistes!$L$4,IF(W196=Llistes!$K$5,Llistes!$L$5,IF(W196=Llistes!$K$6,Llistes!$L$6,IF(W196=Llistes!$K$7,Llistes!$L$7,""))))))</f>
        <v>Ivan Bustamante</v>
      </c>
      <c r="Y196" s="165" t="s">
        <v>994</v>
      </c>
      <c r="Z196" s="165" t="s">
        <v>994</v>
      </c>
      <c r="AA196" s="165" t="s">
        <v>994</v>
      </c>
      <c r="AB196" s="165" t="s">
        <v>994</v>
      </c>
      <c r="AC196" s="147"/>
    </row>
    <row r="197" spans="1:29" ht="29">
      <c r="A197" s="26" t="s">
        <v>693</v>
      </c>
      <c r="B197" s="195"/>
      <c r="C197" s="194"/>
      <c r="D197" s="269"/>
      <c r="E197" s="317"/>
      <c r="F197" s="186" t="s">
        <v>732</v>
      </c>
      <c r="G197" s="56" t="str">
        <f t="shared" si="5"/>
        <v>Elaborar formacions dirigides als informadors, educadors i altres prescriptors del territori</v>
      </c>
      <c r="H197" s="215" t="s">
        <v>1324</v>
      </c>
      <c r="I197" s="31" t="s">
        <v>1327</v>
      </c>
      <c r="J197" s="163">
        <v>2</v>
      </c>
      <c r="K197" s="163">
        <v>4</v>
      </c>
      <c r="L197" s="187" t="s">
        <v>733</v>
      </c>
      <c r="M197" s="188" t="s">
        <v>271</v>
      </c>
      <c r="N197" s="188" t="s">
        <v>285</v>
      </c>
      <c r="O197" s="56"/>
      <c r="P197" s="31"/>
      <c r="Q197" s="57" t="s">
        <v>286</v>
      </c>
      <c r="R197" s="31"/>
      <c r="S197" s="65"/>
      <c r="T197" s="54"/>
      <c r="U197" s="163">
        <v>1.5</v>
      </c>
      <c r="V197" s="163">
        <f>PLA!U200*Llistes!$L$11*Llistes!$L$12</f>
        <v>200</v>
      </c>
      <c r="W197" s="60" t="s">
        <v>291</v>
      </c>
      <c r="X197" s="60" t="str">
        <f>IF(W197=Llistes!$K$2,Llistes!$L$2,IF(W197=Llistes!$K$3,Llistes!$L$3,IF(W197=Llistes!$K$4,Llistes!$L$4,IF(W197=Llistes!$K$5,Llistes!$L$5,IF(W197=Llistes!$K$6,Llistes!$L$6,IF(W197=Llistes!$K$7,Llistes!$L$7,""))))))</f>
        <v>Gerard Carrion</v>
      </c>
      <c r="Y197" s="165" t="s">
        <v>994</v>
      </c>
      <c r="Z197" s="165" t="s">
        <v>994</v>
      </c>
      <c r="AA197" s="165" t="s">
        <v>994</v>
      </c>
      <c r="AB197" s="165" t="s">
        <v>994</v>
      </c>
      <c r="AC197" s="147"/>
    </row>
    <row r="198" spans="1:29" ht="87">
      <c r="A198" s="26" t="s">
        <v>693</v>
      </c>
      <c r="B198" s="195"/>
      <c r="C198" s="194"/>
      <c r="D198" s="267" t="s">
        <v>736</v>
      </c>
      <c r="E198" s="404" t="s">
        <v>737</v>
      </c>
      <c r="F198" s="186" t="s">
        <v>738</v>
      </c>
      <c r="G198" s="56" t="str">
        <f t="shared" si="5"/>
        <v>Desplegar en el territori les campanyes de sensibilització i bones pràctiques que s'impulsin des de la DG</v>
      </c>
      <c r="H198" s="215" t="s">
        <v>1328</v>
      </c>
      <c r="I198" s="31" t="s">
        <v>1330</v>
      </c>
      <c r="J198" s="163">
        <v>4</v>
      </c>
      <c r="K198" s="163">
        <v>8</v>
      </c>
      <c r="L198" s="187" t="s">
        <v>739</v>
      </c>
      <c r="M198" s="188" t="s">
        <v>271</v>
      </c>
      <c r="N198" s="188" t="s">
        <v>285</v>
      </c>
      <c r="O198" s="56"/>
      <c r="P198" s="31"/>
      <c r="Q198" s="57" t="s">
        <v>286</v>
      </c>
      <c r="R198" s="31" t="s">
        <v>740</v>
      </c>
      <c r="S198" s="65" t="s">
        <v>701</v>
      </c>
      <c r="T198" s="54" t="s">
        <v>741</v>
      </c>
      <c r="U198" s="163">
        <v>0.12</v>
      </c>
      <c r="V198" s="163">
        <f>PLA!U201*Llistes!$L$11*Llistes!$L$12</f>
        <v>16</v>
      </c>
      <c r="W198" s="60" t="s">
        <v>412</v>
      </c>
      <c r="X198" s="60" t="str">
        <f>IF(W198=Llistes!$K$2,Llistes!$L$2,IF(W198=Llistes!$K$3,Llistes!$L$3,IF(W198=Llistes!$K$4,Llistes!$L$4,IF(W198=Llistes!$K$5,Llistes!$L$5,IF(W198=Llistes!$K$6,Llistes!$L$6,IF(W198=Llistes!$K$7,Llistes!$L$7,""))))))</f>
        <v>Ivan Bustamante</v>
      </c>
      <c r="Y198" s="165" t="s">
        <v>994</v>
      </c>
      <c r="Z198" s="165" t="s">
        <v>994</v>
      </c>
      <c r="AA198" s="165" t="s">
        <v>994</v>
      </c>
      <c r="AB198" s="165" t="s">
        <v>994</v>
      </c>
      <c r="AC198" s="147"/>
    </row>
    <row r="199" spans="1:29" ht="43.5">
      <c r="A199" s="26" t="s">
        <v>693</v>
      </c>
      <c r="B199" s="195"/>
      <c r="C199" s="194"/>
      <c r="D199" s="306"/>
      <c r="E199" s="405"/>
      <c r="F199" s="186" t="s">
        <v>738</v>
      </c>
      <c r="G199" s="56" t="str">
        <f t="shared" si="5"/>
        <v>Desplegar en el territori les campanyes de sensibilització i bones pràctiques que s'impulsin des de la DG</v>
      </c>
      <c r="H199" s="215" t="s">
        <v>1329</v>
      </c>
      <c r="I199" s="31" t="s">
        <v>1331</v>
      </c>
      <c r="J199" s="163"/>
      <c r="K199" s="163" t="s">
        <v>1043</v>
      </c>
      <c r="L199" s="187" t="s">
        <v>739</v>
      </c>
      <c r="M199" s="188" t="s">
        <v>271</v>
      </c>
      <c r="N199" s="188" t="s">
        <v>285</v>
      </c>
      <c r="O199" s="56"/>
      <c r="P199" s="31"/>
      <c r="Q199" s="57" t="s">
        <v>286</v>
      </c>
      <c r="R199" s="31"/>
      <c r="S199" s="65"/>
      <c r="T199" s="54"/>
      <c r="U199" s="163">
        <v>0.03</v>
      </c>
      <c r="V199" s="163">
        <f>PLA!U202*Llistes!$L$11*Llistes!$L$12</f>
        <v>4</v>
      </c>
      <c r="W199" s="60" t="s">
        <v>412</v>
      </c>
      <c r="X199" s="60" t="str">
        <f>IF(W199=Llistes!$K$2,Llistes!$L$2,IF(W199=Llistes!$K$3,Llistes!$L$3,IF(W199=Llistes!$K$4,Llistes!$L$4,IF(W199=Llistes!$K$5,Llistes!$L$5,IF(W199=Llistes!$K$6,Llistes!$L$6,IF(W199=Llistes!$K$7,Llistes!$L$7,""))))))</f>
        <v>Ivan Bustamante</v>
      </c>
      <c r="Y199" s="165" t="s">
        <v>994</v>
      </c>
      <c r="Z199" s="165" t="s">
        <v>994</v>
      </c>
      <c r="AA199" s="165" t="s">
        <v>994</v>
      </c>
      <c r="AB199" s="165" t="s">
        <v>994</v>
      </c>
      <c r="AC199" s="147"/>
    </row>
    <row r="200" spans="1:29" ht="58">
      <c r="A200" s="26" t="s">
        <v>693</v>
      </c>
      <c r="B200" s="195"/>
      <c r="C200" s="194"/>
      <c r="D200" s="306"/>
      <c r="E200" s="405"/>
      <c r="F200" s="186" t="s">
        <v>742</v>
      </c>
      <c r="G200" s="56" t="str">
        <f t="shared" si="5"/>
        <v xml:space="preserve">Adaptar el programa de divulgació i sensibilització de l'ENP perquè incorpori una oferta d’activitats adequada per a famílies </v>
      </c>
      <c r="H200" s="215" t="s">
        <v>1332</v>
      </c>
      <c r="I200" s="31" t="s">
        <v>1373</v>
      </c>
      <c r="J200" s="163">
        <v>2</v>
      </c>
      <c r="K200" s="163">
        <v>4</v>
      </c>
      <c r="L200" s="187" t="s">
        <v>743</v>
      </c>
      <c r="M200" s="188" t="s">
        <v>271</v>
      </c>
      <c r="N200" s="188" t="s">
        <v>285</v>
      </c>
      <c r="O200" s="56"/>
      <c r="P200" s="31"/>
      <c r="Q200" s="57" t="s">
        <v>273</v>
      </c>
      <c r="R200" s="31" t="s">
        <v>744</v>
      </c>
      <c r="S200" s="65" t="s">
        <v>701</v>
      </c>
      <c r="T200" s="67"/>
      <c r="U200" s="163">
        <v>0.09</v>
      </c>
      <c r="V200" s="163">
        <f>PLA!U203*Llistes!$L$11*Llistes!$L$12</f>
        <v>12</v>
      </c>
      <c r="W200" s="60" t="s">
        <v>412</v>
      </c>
      <c r="X200" s="60" t="str">
        <f>IF(W200=Llistes!$K$2,Llistes!$L$2,IF(W200=Llistes!$K$3,Llistes!$L$3,IF(W200=Llistes!$K$4,Llistes!$L$4,IF(W200=Llistes!$K$5,Llistes!$L$5,IF(W200=Llistes!$K$6,Llistes!$L$6,IF(W200=Llistes!$K$7,Llistes!$L$7,""))))))</f>
        <v>Ivan Bustamante</v>
      </c>
      <c r="Y200" s="165" t="s">
        <v>994</v>
      </c>
      <c r="Z200" s="165" t="s">
        <v>994</v>
      </c>
      <c r="AA200" s="165" t="s">
        <v>994</v>
      </c>
      <c r="AB200" s="165" t="s">
        <v>994</v>
      </c>
      <c r="AC200" s="147"/>
    </row>
    <row r="201" spans="1:29" ht="43.5">
      <c r="A201" s="26" t="s">
        <v>693</v>
      </c>
      <c r="B201" s="195"/>
      <c r="C201" s="194"/>
      <c r="D201" s="306"/>
      <c r="E201" s="405"/>
      <c r="F201" s="186" t="s">
        <v>742</v>
      </c>
      <c r="G201" s="56" t="str">
        <f t="shared" si="5"/>
        <v xml:space="preserve">Adaptar el programa de divulgació i sensibilització de l'ENP perquè incorpori una oferta d’activitats adequada per a famílies </v>
      </c>
      <c r="H201" s="215" t="s">
        <v>1334</v>
      </c>
      <c r="I201" s="31" t="s">
        <v>1374</v>
      </c>
      <c r="J201" s="163"/>
      <c r="K201" s="163" t="s">
        <v>1043</v>
      </c>
      <c r="L201" s="187" t="s">
        <v>743</v>
      </c>
      <c r="M201" s="188" t="s">
        <v>271</v>
      </c>
      <c r="N201" s="188" t="s">
        <v>285</v>
      </c>
      <c r="O201" s="56"/>
      <c r="P201" s="31"/>
      <c r="Q201" s="57" t="s">
        <v>305</v>
      </c>
      <c r="R201" s="31"/>
      <c r="S201" s="65"/>
      <c r="T201" s="67"/>
      <c r="U201" s="163">
        <v>0.06</v>
      </c>
      <c r="V201" s="163">
        <f>PLA!U204*Llistes!$L$11*Llistes!$L$12</f>
        <v>8</v>
      </c>
      <c r="W201" s="60" t="s">
        <v>412</v>
      </c>
      <c r="X201" s="60" t="str">
        <f>IF(W201=Llistes!$K$2,Llistes!$L$2,IF(W201=Llistes!$K$3,Llistes!$L$3,IF(W201=Llistes!$K$4,Llistes!$L$4,IF(W201=Llistes!$K$5,Llistes!$L$5,IF(W201=Llistes!$K$6,Llistes!$L$6,IF(W201=Llistes!$K$7,Llistes!$L$7,""))))))</f>
        <v>Ivan Bustamante</v>
      </c>
      <c r="Y201" s="165" t="s">
        <v>994</v>
      </c>
      <c r="Z201" s="165" t="s">
        <v>994</v>
      </c>
      <c r="AA201" s="165" t="s">
        <v>994</v>
      </c>
      <c r="AB201" s="165" t="s">
        <v>994</v>
      </c>
      <c r="AC201" s="147"/>
    </row>
    <row r="202" spans="1:29" ht="43.5">
      <c r="A202" s="26" t="s">
        <v>693</v>
      </c>
      <c r="B202" s="195"/>
      <c r="C202" s="194"/>
      <c r="D202" s="306"/>
      <c r="E202" s="405"/>
      <c r="F202" s="186" t="s">
        <v>742</v>
      </c>
      <c r="G202" s="56" t="str">
        <f t="shared" si="5"/>
        <v xml:space="preserve">Adaptar el programa de divulgació i sensibilització de l'ENP perquè incorpori una oferta d’activitats adequada per a famílies </v>
      </c>
      <c r="H202" s="216" t="s">
        <v>1333</v>
      </c>
      <c r="I202" s="31" t="s">
        <v>1375</v>
      </c>
      <c r="J202" s="163">
        <v>2</v>
      </c>
      <c r="K202" s="163">
        <v>4</v>
      </c>
      <c r="L202" s="187" t="s">
        <v>743</v>
      </c>
      <c r="M202" s="188" t="s">
        <v>271</v>
      </c>
      <c r="N202" s="188" t="s">
        <v>285</v>
      </c>
      <c r="O202" s="56"/>
      <c r="P202" s="31"/>
      <c r="Q202" s="57" t="s">
        <v>305</v>
      </c>
      <c r="R202" s="31"/>
      <c r="S202" s="65"/>
      <c r="T202" s="67"/>
      <c r="U202" s="163">
        <v>0.06</v>
      </c>
      <c r="V202" s="163">
        <f>PLA!U205*Llistes!$L$11*Llistes!$L$12</f>
        <v>8</v>
      </c>
      <c r="W202" s="60" t="s">
        <v>412</v>
      </c>
      <c r="X202" s="60" t="str">
        <f>IF(W202=Llistes!$K$2,Llistes!$L$2,IF(W202=Llistes!$K$3,Llistes!$L$3,IF(W202=Llistes!$K$4,Llistes!$L$4,IF(W202=Llistes!$K$5,Llistes!$L$5,IF(W202=Llistes!$K$6,Llistes!$L$6,IF(W202=Llistes!$K$7,Llistes!$L$7,""))))))</f>
        <v>Ivan Bustamante</v>
      </c>
      <c r="Y202" s="165" t="s">
        <v>994</v>
      </c>
      <c r="Z202" s="165" t="s">
        <v>994</v>
      </c>
      <c r="AA202" s="165" t="s">
        <v>994</v>
      </c>
      <c r="AB202" s="165" t="s">
        <v>994</v>
      </c>
      <c r="AC202" s="147"/>
    </row>
    <row r="203" spans="1:29" ht="43.5">
      <c r="A203" s="26" t="s">
        <v>693</v>
      </c>
      <c r="B203" s="195"/>
      <c r="C203" s="194"/>
      <c r="D203" s="306"/>
      <c r="E203" s="405"/>
      <c r="F203" s="186" t="s">
        <v>1570</v>
      </c>
      <c r="G203" s="56"/>
      <c r="H203" s="216"/>
      <c r="I203" s="31"/>
      <c r="J203" s="163"/>
      <c r="K203" s="163"/>
      <c r="L203" s="189" t="s">
        <v>1571</v>
      </c>
      <c r="M203" s="188" t="s">
        <v>271</v>
      </c>
      <c r="N203" s="188" t="s">
        <v>279</v>
      </c>
      <c r="O203" s="56"/>
      <c r="P203" s="31"/>
      <c r="Q203" s="57"/>
      <c r="R203" s="31"/>
      <c r="S203" s="65"/>
      <c r="T203" s="67"/>
      <c r="U203" s="163"/>
      <c r="V203" s="163"/>
      <c r="W203" s="60"/>
      <c r="X203" s="60"/>
      <c r="Y203" s="165"/>
      <c r="Z203" s="165"/>
      <c r="AA203" s="165"/>
      <c r="AB203" s="165"/>
      <c r="AC203" s="147"/>
    </row>
    <row r="204" spans="1:29" ht="43.5">
      <c r="A204" s="26" t="s">
        <v>693</v>
      </c>
      <c r="B204" s="195"/>
      <c r="C204" s="194"/>
      <c r="D204" s="307"/>
      <c r="E204" s="406"/>
      <c r="F204" s="186" t="s">
        <v>1572</v>
      </c>
      <c r="G204" s="56"/>
      <c r="H204" s="216"/>
      <c r="I204" s="31"/>
      <c r="J204" s="163"/>
      <c r="K204" s="163"/>
      <c r="L204" s="187" t="s">
        <v>1573</v>
      </c>
      <c r="M204" s="188" t="s">
        <v>271</v>
      </c>
      <c r="N204" s="188" t="s">
        <v>279</v>
      </c>
      <c r="O204" s="56"/>
      <c r="P204" s="31"/>
      <c r="Q204" s="57"/>
      <c r="R204" s="31"/>
      <c r="S204" s="65"/>
      <c r="T204" s="67"/>
      <c r="U204" s="163"/>
      <c r="V204" s="163"/>
      <c r="W204" s="60"/>
      <c r="X204" s="60"/>
      <c r="Y204" s="165"/>
      <c r="Z204" s="165"/>
      <c r="AA204" s="165"/>
      <c r="AB204" s="165"/>
      <c r="AC204" s="147"/>
    </row>
    <row r="205" spans="1:29" ht="29.15" customHeight="1">
      <c r="A205" s="26" t="s">
        <v>693</v>
      </c>
      <c r="B205" s="195"/>
      <c r="C205" s="194"/>
      <c r="D205" s="267" t="s">
        <v>745</v>
      </c>
      <c r="E205" s="407" t="s">
        <v>746</v>
      </c>
      <c r="F205" s="186" t="s">
        <v>747</v>
      </c>
      <c r="G205" s="56" t="str">
        <f>L205</f>
        <v>Identificar col·lectius estratègics implicats en la gestió i l'ús del territori</v>
      </c>
      <c r="H205" s="216" t="s">
        <v>749</v>
      </c>
      <c r="I205" s="31" t="s">
        <v>1376</v>
      </c>
      <c r="J205" s="163"/>
      <c r="K205" s="163" t="s">
        <v>1043</v>
      </c>
      <c r="L205" s="189" t="s">
        <v>748</v>
      </c>
      <c r="M205" s="188" t="s">
        <v>271</v>
      </c>
      <c r="N205" s="188" t="s">
        <v>285</v>
      </c>
      <c r="O205" s="56"/>
      <c r="P205" s="68"/>
      <c r="Q205" s="57" t="s">
        <v>273</v>
      </c>
      <c r="R205" s="31" t="s">
        <v>749</v>
      </c>
      <c r="S205" s="65" t="s">
        <v>701</v>
      </c>
      <c r="T205" s="59"/>
      <c r="U205" s="163">
        <v>0.03</v>
      </c>
      <c r="V205" s="163">
        <f>PLA!U208*Llistes!$L$11*Llistes!$L$12</f>
        <v>4</v>
      </c>
      <c r="W205" s="60" t="s">
        <v>291</v>
      </c>
      <c r="X205" s="60" t="str">
        <f>IF(W205=Llistes!$K$2,Llistes!$L$2,IF(W205=Llistes!$K$3,Llistes!$L$3,IF(W205=Llistes!$K$4,Llistes!$L$4,IF(W205=Llistes!$K$5,Llistes!$L$5,IF(W205=Llistes!$K$6,Llistes!$L$6,IF(W205=Llistes!$K$7,Llistes!$L$7,""))))))</f>
        <v>Gerard Carrion</v>
      </c>
      <c r="Y205" s="165" t="s">
        <v>994</v>
      </c>
      <c r="Z205" s="165" t="s">
        <v>994</v>
      </c>
      <c r="AA205" s="165" t="s">
        <v>994</v>
      </c>
      <c r="AB205" s="165" t="s">
        <v>994</v>
      </c>
      <c r="AC205" s="147"/>
    </row>
    <row r="206" spans="1:29" ht="58">
      <c r="A206" s="26" t="s">
        <v>693</v>
      </c>
      <c r="B206" s="195"/>
      <c r="C206" s="194"/>
      <c r="D206" s="306"/>
      <c r="E206" s="408"/>
      <c r="F206" s="186" t="s">
        <v>750</v>
      </c>
      <c r="G206" s="56" t="str">
        <f>L206</f>
        <v>Elaborar i renovar periòdicament un programa d’educació ambiental adreçat a la població local que contribueixi a fomentar el sentiment de pertinença i la implicació en la conservació de l'ENP.</v>
      </c>
      <c r="H206" s="216" t="s">
        <v>1335</v>
      </c>
      <c r="I206" s="31" t="s">
        <v>1377</v>
      </c>
      <c r="J206" s="163"/>
      <c r="K206" s="163" t="s">
        <v>1043</v>
      </c>
      <c r="L206" s="189" t="s">
        <v>751</v>
      </c>
      <c r="M206" s="188" t="s">
        <v>271</v>
      </c>
      <c r="N206" s="188" t="s">
        <v>285</v>
      </c>
      <c r="O206" s="56"/>
      <c r="P206" s="31"/>
      <c r="Q206" s="57" t="s">
        <v>273</v>
      </c>
      <c r="R206" s="31" t="s">
        <v>752</v>
      </c>
      <c r="S206" s="65" t="s">
        <v>701</v>
      </c>
      <c r="T206" s="59"/>
      <c r="U206" s="163">
        <v>0.6</v>
      </c>
      <c r="V206" s="163">
        <f>PLA!U209*Llistes!$L$11*Llistes!$L$12</f>
        <v>80</v>
      </c>
      <c r="W206" s="60" t="s">
        <v>412</v>
      </c>
      <c r="X206" s="60" t="str">
        <f>IF(W206=Llistes!$K$2,Llistes!$L$2,IF(W206=Llistes!$K$3,Llistes!$L$3,IF(W206=Llistes!$K$4,Llistes!$L$4,IF(W206=Llistes!$K$5,Llistes!$L$5,IF(W206=Llistes!$K$6,Llistes!$L$6,IF(W206=Llistes!$K$7,Llistes!$L$7,""))))))</f>
        <v>Ivan Bustamante</v>
      </c>
      <c r="Y206" s="165" t="s">
        <v>994</v>
      </c>
      <c r="Z206" s="165" t="s">
        <v>994</v>
      </c>
      <c r="AA206" s="165" t="s">
        <v>994</v>
      </c>
      <c r="AB206" s="165" t="s">
        <v>994</v>
      </c>
      <c r="AC206" s="147"/>
    </row>
    <row r="207" spans="1:29" ht="29">
      <c r="A207" s="26" t="s">
        <v>693</v>
      </c>
      <c r="B207" s="195"/>
      <c r="C207" s="194"/>
      <c r="D207" s="306"/>
      <c r="E207" s="408"/>
      <c r="F207" s="186" t="s">
        <v>1574</v>
      </c>
      <c r="G207" s="56"/>
      <c r="H207" s="216"/>
      <c r="I207" s="31"/>
      <c r="J207" s="163"/>
      <c r="K207" s="163"/>
      <c r="L207" s="187" t="s">
        <v>1575</v>
      </c>
      <c r="M207" s="188" t="s">
        <v>271</v>
      </c>
      <c r="N207" s="188" t="s">
        <v>279</v>
      </c>
      <c r="O207" s="56"/>
      <c r="P207" s="31"/>
      <c r="Q207" s="57"/>
      <c r="R207" s="31"/>
      <c r="S207" s="65"/>
      <c r="T207" s="59"/>
      <c r="U207" s="163"/>
      <c r="V207" s="163"/>
      <c r="W207" s="60"/>
      <c r="X207" s="60"/>
      <c r="Y207" s="165"/>
      <c r="Z207" s="165"/>
      <c r="AA207" s="165"/>
      <c r="AB207" s="165"/>
      <c r="AC207" s="147"/>
    </row>
    <row r="208" spans="1:29" ht="29">
      <c r="A208" s="26" t="s">
        <v>693</v>
      </c>
      <c r="B208" s="195"/>
      <c r="C208" s="194"/>
      <c r="D208" s="306"/>
      <c r="E208" s="408"/>
      <c r="F208" s="186" t="s">
        <v>1576</v>
      </c>
      <c r="G208" s="56"/>
      <c r="H208" s="216"/>
      <c r="I208" s="31"/>
      <c r="J208" s="163"/>
      <c r="K208" s="163"/>
      <c r="L208" s="187" t="s">
        <v>1577</v>
      </c>
      <c r="M208" s="188" t="s">
        <v>271</v>
      </c>
      <c r="N208" s="188" t="s">
        <v>279</v>
      </c>
      <c r="O208" s="56"/>
      <c r="P208" s="31"/>
      <c r="Q208" s="57"/>
      <c r="R208" s="31"/>
      <c r="S208" s="65"/>
      <c r="T208" s="59"/>
      <c r="U208" s="163"/>
      <c r="V208" s="163"/>
      <c r="W208" s="60"/>
      <c r="X208" s="60"/>
      <c r="Y208" s="165"/>
      <c r="Z208" s="165"/>
      <c r="AA208" s="165"/>
      <c r="AB208" s="165"/>
      <c r="AC208" s="147"/>
    </row>
    <row r="209" spans="1:29" ht="58">
      <c r="A209" s="26" t="s">
        <v>693</v>
      </c>
      <c r="B209" s="195"/>
      <c r="C209" s="194"/>
      <c r="D209" s="307"/>
      <c r="E209" s="409"/>
      <c r="F209" s="186" t="s">
        <v>1578</v>
      </c>
      <c r="G209" s="56"/>
      <c r="H209" s="216"/>
      <c r="I209" s="31"/>
      <c r="J209" s="163"/>
      <c r="K209" s="163"/>
      <c r="L209" s="189" t="s">
        <v>751</v>
      </c>
      <c r="M209" s="188" t="s">
        <v>271</v>
      </c>
      <c r="N209" s="188" t="s">
        <v>285</v>
      </c>
      <c r="O209" s="56"/>
      <c r="P209" s="31"/>
      <c r="Q209" s="57"/>
      <c r="R209" s="31"/>
      <c r="S209" s="65"/>
      <c r="T209" s="59"/>
      <c r="U209" s="163"/>
      <c r="V209" s="163"/>
      <c r="W209" s="60"/>
      <c r="X209" s="60"/>
      <c r="Y209" s="165"/>
      <c r="Z209" s="165"/>
      <c r="AA209" s="165"/>
      <c r="AB209" s="165"/>
      <c r="AC209" s="147"/>
    </row>
    <row r="210" spans="1:29" ht="43.5">
      <c r="A210" s="26" t="s">
        <v>693</v>
      </c>
      <c r="B210" s="195"/>
      <c r="C210" s="194"/>
      <c r="D210" s="267" t="s">
        <v>753</v>
      </c>
      <c r="E210" s="410" t="s">
        <v>754</v>
      </c>
      <c r="F210" s="186" t="s">
        <v>755</v>
      </c>
      <c r="G210" s="56" t="str">
        <f>L210</f>
        <v>Identificar els programes, projectes i accions en marxa o previstos a l’ENP que poden rebre el suport del voluntariat</v>
      </c>
      <c r="H210" s="216" t="s">
        <v>1336</v>
      </c>
      <c r="I210" s="31" t="s">
        <v>1378</v>
      </c>
      <c r="J210" s="163">
        <v>2</v>
      </c>
      <c r="K210" s="163">
        <v>3</v>
      </c>
      <c r="L210" s="187" t="s">
        <v>756</v>
      </c>
      <c r="M210" s="188" t="s">
        <v>271</v>
      </c>
      <c r="N210" s="188" t="s">
        <v>285</v>
      </c>
      <c r="O210" s="56" t="s">
        <v>757</v>
      </c>
      <c r="P210" s="31"/>
      <c r="Q210" s="57" t="s">
        <v>273</v>
      </c>
      <c r="R210" s="31"/>
      <c r="S210" s="65" t="s">
        <v>701</v>
      </c>
      <c r="T210" s="59"/>
      <c r="U210" s="163">
        <v>0.09</v>
      </c>
      <c r="V210" s="163">
        <f>PLA!U213*Llistes!$L$11*Llistes!$L$12</f>
        <v>12</v>
      </c>
      <c r="W210" s="60" t="s">
        <v>412</v>
      </c>
      <c r="X210" s="60" t="str">
        <f>IF(W210=Llistes!$K$2,Llistes!$L$2,IF(W210=Llistes!$K$3,Llistes!$L$3,IF(W210=Llistes!$K$4,Llistes!$L$4,IF(W210=Llistes!$K$5,Llistes!$L$5,IF(W210=Llistes!$K$6,Llistes!$L$6,IF(W210=Llistes!$K$7,Llistes!$L$7,""))))))</f>
        <v>Ivan Bustamante</v>
      </c>
      <c r="Y210" s="165" t="s">
        <v>994</v>
      </c>
      <c r="Z210" s="165" t="s">
        <v>994</v>
      </c>
      <c r="AA210" s="165" t="s">
        <v>994</v>
      </c>
      <c r="AB210" s="165" t="s">
        <v>994</v>
      </c>
      <c r="AC210" s="147"/>
    </row>
    <row r="211" spans="1:29" ht="58">
      <c r="A211" s="26" t="s">
        <v>693</v>
      </c>
      <c r="B211" s="195"/>
      <c r="C211" s="194"/>
      <c r="D211" s="306"/>
      <c r="E211" s="411"/>
      <c r="F211" s="186" t="s">
        <v>755</v>
      </c>
      <c r="G211" s="56" t="str">
        <f>L211</f>
        <v>Identificar els programes, projectes i accions en marxa o previstos a l’ENP que poden rebre el suport del voluntariat</v>
      </c>
      <c r="H211" s="216" t="s">
        <v>1337</v>
      </c>
      <c r="I211" s="31" t="s">
        <v>1379</v>
      </c>
      <c r="J211" s="163">
        <v>2</v>
      </c>
      <c r="K211" s="163">
        <v>3</v>
      </c>
      <c r="L211" s="187" t="s">
        <v>756</v>
      </c>
      <c r="M211" s="188" t="s">
        <v>271</v>
      </c>
      <c r="N211" s="188" t="s">
        <v>285</v>
      </c>
      <c r="O211" s="56" t="s">
        <v>757</v>
      </c>
      <c r="P211" s="31"/>
      <c r="Q211" s="57" t="s">
        <v>286</v>
      </c>
      <c r="R211" s="31"/>
      <c r="S211" s="65"/>
      <c r="T211" s="59"/>
      <c r="U211" s="163">
        <v>0.09</v>
      </c>
      <c r="V211" s="163">
        <f>PLA!U214*Llistes!$L$11*Llistes!$L$12</f>
        <v>12</v>
      </c>
      <c r="W211" s="60" t="s">
        <v>412</v>
      </c>
      <c r="X211" s="60" t="str">
        <f>IF(W211=Llistes!$K$2,Llistes!$L$2,IF(W211=Llistes!$K$3,Llistes!$L$3,IF(W211=Llistes!$K$4,Llistes!$L$4,IF(W211=Llistes!$K$5,Llistes!$L$5,IF(W211=Llistes!$K$6,Llistes!$L$6,IF(W211=Llistes!$K$7,Llistes!$L$7,""))))))</f>
        <v>Ivan Bustamante</v>
      </c>
      <c r="Y211" s="165" t="s">
        <v>994</v>
      </c>
      <c r="Z211" s="165" t="s">
        <v>994</v>
      </c>
      <c r="AA211" s="165" t="s">
        <v>994</v>
      </c>
      <c r="AB211" s="165" t="s">
        <v>994</v>
      </c>
      <c r="AC211" s="147"/>
    </row>
    <row r="212" spans="1:29" ht="116">
      <c r="A212" s="26" t="s">
        <v>693</v>
      </c>
      <c r="B212" s="195"/>
      <c r="C212" s="194"/>
      <c r="D212" s="306"/>
      <c r="E212" s="411"/>
      <c r="F212" s="186" t="s">
        <v>758</v>
      </c>
      <c r="G212" s="56" t="s">
        <v>760</v>
      </c>
      <c r="H212" s="216" t="s">
        <v>1338</v>
      </c>
      <c r="I212" s="31" t="s">
        <v>1406</v>
      </c>
      <c r="J212" s="163">
        <v>1</v>
      </c>
      <c r="K212" s="163">
        <v>2</v>
      </c>
      <c r="L212" s="187" t="s">
        <v>759</v>
      </c>
      <c r="M212" s="188" t="s">
        <v>271</v>
      </c>
      <c r="N212" s="188" t="s">
        <v>285</v>
      </c>
      <c r="O212" s="56" t="s">
        <v>761</v>
      </c>
      <c r="P212" s="31"/>
      <c r="Q212" s="57" t="s">
        <v>286</v>
      </c>
      <c r="R212" s="31" t="s">
        <v>762</v>
      </c>
      <c r="S212" s="62" t="s">
        <v>763</v>
      </c>
      <c r="T212" s="59" t="s">
        <v>764</v>
      </c>
      <c r="U212" s="163">
        <v>0.06</v>
      </c>
      <c r="V212" s="163">
        <f>PLA!U215*Llistes!$L$11*Llistes!$L$12</f>
        <v>8</v>
      </c>
      <c r="W212" s="60" t="s">
        <v>412</v>
      </c>
      <c r="X212" s="60" t="str">
        <f>IF(W212=Llistes!$K$2,Llistes!$L$2,IF(W212=Llistes!$K$3,Llistes!$L$3,IF(W212=Llistes!$K$4,Llistes!$L$4,IF(W212=Llistes!$K$5,Llistes!$L$5,IF(W212=Llistes!$K$6,Llistes!$L$6,IF(W212=Llistes!$K$7,Llistes!$L$7,""))))))</f>
        <v>Ivan Bustamante</v>
      </c>
      <c r="Y212" s="165" t="s">
        <v>994</v>
      </c>
      <c r="Z212" s="165" t="s">
        <v>994</v>
      </c>
      <c r="AA212" s="165" t="s">
        <v>994</v>
      </c>
      <c r="AB212" s="165" t="s">
        <v>994</v>
      </c>
      <c r="AC212" s="147"/>
    </row>
    <row r="213" spans="1:29" ht="29">
      <c r="A213" s="26"/>
      <c r="B213" s="195"/>
      <c r="C213" s="194"/>
      <c r="D213" s="307"/>
      <c r="E213" s="412"/>
      <c r="F213" s="186" t="s">
        <v>1499</v>
      </c>
      <c r="G213" s="56"/>
      <c r="H213" s="216"/>
      <c r="I213" s="31"/>
      <c r="J213" s="163"/>
      <c r="K213" s="163"/>
      <c r="L213" s="187" t="s">
        <v>1500</v>
      </c>
      <c r="M213" s="188" t="s">
        <v>271</v>
      </c>
      <c r="N213" s="188" t="s">
        <v>285</v>
      </c>
      <c r="O213" s="56"/>
      <c r="P213" s="31"/>
      <c r="Q213" s="57"/>
      <c r="R213" s="31"/>
      <c r="S213" s="62"/>
      <c r="T213" s="59"/>
      <c r="U213" s="163"/>
      <c r="V213" s="163"/>
      <c r="W213" s="60"/>
      <c r="X213" s="60"/>
      <c r="Y213" s="165"/>
      <c r="Z213" s="165"/>
      <c r="AA213" s="165"/>
      <c r="AB213" s="165"/>
      <c r="AC213" s="147"/>
    </row>
    <row r="214" spans="1:29" ht="29">
      <c r="A214" s="26" t="s">
        <v>693</v>
      </c>
      <c r="B214" s="195"/>
      <c r="C214" s="194"/>
      <c r="D214" s="267" t="s">
        <v>1459</v>
      </c>
      <c r="E214" s="413" t="s">
        <v>1458</v>
      </c>
      <c r="F214" s="192" t="s">
        <v>765</v>
      </c>
      <c r="G214" s="56"/>
      <c r="H214" s="216"/>
      <c r="I214" s="31"/>
      <c r="J214" s="163"/>
      <c r="K214" s="163"/>
      <c r="L214" s="187" t="s">
        <v>1579</v>
      </c>
      <c r="M214" s="188" t="s">
        <v>271</v>
      </c>
      <c r="N214" s="188" t="s">
        <v>285</v>
      </c>
      <c r="O214" s="56"/>
      <c r="P214" s="31"/>
      <c r="Q214" s="57"/>
      <c r="R214" s="31"/>
      <c r="S214" s="62"/>
      <c r="T214" s="59"/>
      <c r="U214" s="163"/>
      <c r="V214" s="163"/>
      <c r="W214" s="60"/>
      <c r="X214" s="60"/>
      <c r="Y214" s="165"/>
      <c r="Z214" s="165"/>
      <c r="AA214" s="165"/>
      <c r="AB214" s="165"/>
      <c r="AC214" s="147"/>
    </row>
    <row r="215" spans="1:29" ht="43.5">
      <c r="A215" s="26" t="s">
        <v>693</v>
      </c>
      <c r="B215" s="195"/>
      <c r="C215" s="194"/>
      <c r="D215" s="306"/>
      <c r="E215" s="314"/>
      <c r="F215" s="192" t="s">
        <v>1580</v>
      </c>
      <c r="G215" s="56"/>
      <c r="H215" s="216"/>
      <c r="I215" s="31"/>
      <c r="J215" s="163"/>
      <c r="K215" s="163"/>
      <c r="L215" s="187" t="s">
        <v>1581</v>
      </c>
      <c r="M215" s="188" t="s">
        <v>271</v>
      </c>
      <c r="N215" s="188" t="s">
        <v>279</v>
      </c>
      <c r="O215" s="56"/>
      <c r="P215" s="31"/>
      <c r="Q215" s="57"/>
      <c r="R215" s="31"/>
      <c r="S215" s="62"/>
      <c r="T215" s="59"/>
      <c r="U215" s="163"/>
      <c r="V215" s="163"/>
      <c r="W215" s="60"/>
      <c r="X215" s="60"/>
      <c r="Y215" s="165"/>
      <c r="Z215" s="165"/>
      <c r="AA215" s="165"/>
      <c r="AB215" s="165"/>
      <c r="AC215" s="147"/>
    </row>
    <row r="216" spans="1:29" ht="43.5">
      <c r="A216" s="26" t="s">
        <v>693</v>
      </c>
      <c r="B216" s="195"/>
      <c r="C216" s="194"/>
      <c r="D216" s="307"/>
      <c r="E216" s="315"/>
      <c r="F216" s="192" t="s">
        <v>1582</v>
      </c>
      <c r="G216" s="56" t="str">
        <f t="shared" ref="G216:G223" si="6">L216</f>
        <v>Incorporar la perspectiva de gènere als continguts i activitats de l'ENP</v>
      </c>
      <c r="H216" s="216" t="s">
        <v>768</v>
      </c>
      <c r="I216" s="31" t="s">
        <v>1380</v>
      </c>
      <c r="J216" s="163"/>
      <c r="K216" s="163" t="s">
        <v>1043</v>
      </c>
      <c r="L216" s="187" t="s">
        <v>766</v>
      </c>
      <c r="M216" s="188" t="s">
        <v>271</v>
      </c>
      <c r="N216" s="188" t="s">
        <v>285</v>
      </c>
      <c r="O216" s="56" t="s">
        <v>767</v>
      </c>
      <c r="P216" s="31"/>
      <c r="Q216" s="57" t="s">
        <v>286</v>
      </c>
      <c r="R216" s="31"/>
      <c r="S216" s="65" t="s">
        <v>701</v>
      </c>
      <c r="T216" s="59"/>
      <c r="U216" s="163">
        <v>0.03</v>
      </c>
      <c r="V216" s="163">
        <f>PLA!U219*Llistes!$L$11*Llistes!$L$12</f>
        <v>4</v>
      </c>
      <c r="W216" s="60" t="s">
        <v>412</v>
      </c>
      <c r="X216" s="60" t="str">
        <f>IF(W216=Llistes!$K$2,Llistes!$L$2,IF(W216=Llistes!$K$3,Llistes!$L$3,IF(W216=Llistes!$K$4,Llistes!$L$4,IF(W216=Llistes!$K$5,Llistes!$L$5,IF(W216=Llistes!$K$6,Llistes!$L$6,IF(W216=Llistes!$K$7,Llistes!$L$7,""))))))</f>
        <v>Ivan Bustamante</v>
      </c>
      <c r="Y216" s="165" t="s">
        <v>994</v>
      </c>
      <c r="Z216" s="165" t="s">
        <v>994</v>
      </c>
      <c r="AA216" s="165" t="s">
        <v>994</v>
      </c>
      <c r="AB216" s="165" t="s">
        <v>994</v>
      </c>
      <c r="AC216" s="147"/>
    </row>
    <row r="217" spans="1:29" ht="43.5">
      <c r="A217" s="26" t="s">
        <v>693</v>
      </c>
      <c r="B217" s="195"/>
      <c r="C217" s="194"/>
      <c r="D217" s="311" t="s">
        <v>769</v>
      </c>
      <c r="E217" s="308" t="s">
        <v>770</v>
      </c>
      <c r="F217" s="192" t="s">
        <v>771</v>
      </c>
      <c r="G217" s="56" t="str">
        <f t="shared" si="6"/>
        <v>Dissenyar, implementar i fomentar itineraris saludables dins dels itineraris oficials dels ENP i en la zona d'influència</v>
      </c>
      <c r="H217" s="216" t="s">
        <v>1339</v>
      </c>
      <c r="I217" s="31" t="s">
        <v>1381</v>
      </c>
      <c r="J217" s="163">
        <v>1</v>
      </c>
      <c r="K217" s="163">
        <v>1</v>
      </c>
      <c r="L217" s="187" t="s">
        <v>772</v>
      </c>
      <c r="M217" s="188" t="s">
        <v>271</v>
      </c>
      <c r="N217" s="188" t="s">
        <v>279</v>
      </c>
      <c r="O217" s="56"/>
      <c r="P217" s="31"/>
      <c r="Q217" s="57" t="s">
        <v>305</v>
      </c>
      <c r="R217" s="31" t="s">
        <v>773</v>
      </c>
      <c r="S217" s="65" t="s">
        <v>701</v>
      </c>
      <c r="T217" s="59"/>
      <c r="U217" s="163">
        <v>0.09</v>
      </c>
      <c r="V217" s="163">
        <f>PLA!U220*Llistes!$L$11*Llistes!$L$12</f>
        <v>12</v>
      </c>
      <c r="W217" s="60" t="s">
        <v>412</v>
      </c>
      <c r="X217" s="60" t="str">
        <f>IF(W217=Llistes!$K$2,Llistes!$L$2,IF(W217=Llistes!$K$3,Llistes!$L$3,IF(W217=Llistes!$K$4,Llistes!$L$4,IF(W217=Llistes!$K$5,Llistes!$L$5,IF(W217=Llistes!$K$6,Llistes!$L$6,IF(W217=Llistes!$K$7,Llistes!$L$7,""))))))</f>
        <v>Ivan Bustamante</v>
      </c>
      <c r="Y217" s="165" t="s">
        <v>994</v>
      </c>
      <c r="Z217" s="165" t="s">
        <v>994</v>
      </c>
      <c r="AA217" s="165" t="s">
        <v>994</v>
      </c>
      <c r="AB217" s="165" t="s">
        <v>994</v>
      </c>
      <c r="AC217" s="147"/>
    </row>
    <row r="218" spans="1:29" ht="43.5">
      <c r="A218" s="26" t="s">
        <v>693</v>
      </c>
      <c r="B218" s="195"/>
      <c r="C218" s="194"/>
      <c r="D218" s="312"/>
      <c r="E218" s="309"/>
      <c r="F218" s="192" t="s">
        <v>771</v>
      </c>
      <c r="G218" s="56" t="str">
        <f t="shared" si="6"/>
        <v>Dissenyar, implementar i fomentar itineraris saludables dins dels itineraris oficials dels ENP i en la zona d'influència</v>
      </c>
      <c r="H218" s="216" t="s">
        <v>1340</v>
      </c>
      <c r="I218" s="31" t="s">
        <v>1382</v>
      </c>
      <c r="J218" s="163"/>
      <c r="K218" s="163" t="s">
        <v>1043</v>
      </c>
      <c r="L218" s="187" t="s">
        <v>772</v>
      </c>
      <c r="M218" s="188" t="s">
        <v>271</v>
      </c>
      <c r="N218" s="188" t="s">
        <v>279</v>
      </c>
      <c r="O218" s="56"/>
      <c r="P218" s="31"/>
      <c r="Q218" s="57" t="s">
        <v>305</v>
      </c>
      <c r="R218" s="31"/>
      <c r="S218" s="65"/>
      <c r="T218" s="59"/>
      <c r="U218" s="163">
        <v>0.09</v>
      </c>
      <c r="V218" s="163">
        <f>PLA!U221*Llistes!$L$11*Llistes!$L$12</f>
        <v>12</v>
      </c>
      <c r="W218" s="60" t="s">
        <v>412</v>
      </c>
      <c r="X218" s="60" t="str">
        <f>IF(W218=Llistes!$K$2,Llistes!$L$2,IF(W218=Llistes!$K$3,Llistes!$L$3,IF(W218=Llistes!$K$4,Llistes!$L$4,IF(W218=Llistes!$K$5,Llistes!$L$5,IF(W218=Llistes!$K$6,Llistes!$L$6,IF(W218=Llistes!$K$7,Llistes!$L$7,""))))))</f>
        <v>Ivan Bustamante</v>
      </c>
      <c r="Y218" s="165" t="s">
        <v>994</v>
      </c>
      <c r="Z218" s="165" t="s">
        <v>994</v>
      </c>
      <c r="AA218" s="165" t="s">
        <v>994</v>
      </c>
      <c r="AB218" s="165" t="s">
        <v>994</v>
      </c>
      <c r="AC218" s="147"/>
    </row>
    <row r="219" spans="1:29" ht="116">
      <c r="A219" s="26" t="s">
        <v>693</v>
      </c>
      <c r="B219" s="195"/>
      <c r="C219" s="194"/>
      <c r="D219" s="312"/>
      <c r="E219" s="309"/>
      <c r="F219" s="192" t="s">
        <v>774</v>
      </c>
      <c r="G219" s="56" t="str">
        <f t="shared" si="6"/>
        <v>Identificar els agents clau i els àmbits de col·laboració per implementar el binomi salut i natura</v>
      </c>
      <c r="H219" s="216" t="s">
        <v>1341</v>
      </c>
      <c r="I219" s="31" t="s">
        <v>1383</v>
      </c>
      <c r="J219" s="163">
        <v>1</v>
      </c>
      <c r="K219" s="163">
        <v>1</v>
      </c>
      <c r="L219" s="189" t="s">
        <v>775</v>
      </c>
      <c r="M219" s="188" t="s">
        <v>271</v>
      </c>
      <c r="N219" s="188" t="s">
        <v>285</v>
      </c>
      <c r="O219" s="56"/>
      <c r="P219" s="66"/>
      <c r="Q219" s="57" t="s">
        <v>286</v>
      </c>
      <c r="R219" s="66" t="s">
        <v>776</v>
      </c>
      <c r="S219" s="65" t="s">
        <v>701</v>
      </c>
      <c r="T219" s="59"/>
      <c r="U219" s="163">
        <v>0.12</v>
      </c>
      <c r="V219" s="163">
        <f>PLA!U222*Llistes!$L$11*Llistes!$L$12</f>
        <v>16</v>
      </c>
      <c r="W219" s="60" t="s">
        <v>412</v>
      </c>
      <c r="X219" s="60" t="str">
        <f>IF(W219=Llistes!$K$2,Llistes!$L$2,IF(W219=Llistes!$K$3,Llistes!$L$3,IF(W219=Llistes!$K$4,Llistes!$L$4,IF(W219=Llistes!$K$5,Llistes!$L$5,IF(W219=Llistes!$K$6,Llistes!$L$6,IF(W219=Llistes!$K$7,Llistes!$L$7,""))))))</f>
        <v>Ivan Bustamante</v>
      </c>
      <c r="Y219" s="165" t="s">
        <v>994</v>
      </c>
      <c r="Z219" s="165" t="s">
        <v>994</v>
      </c>
      <c r="AA219" s="165" t="s">
        <v>994</v>
      </c>
      <c r="AB219" s="165" t="s">
        <v>994</v>
      </c>
      <c r="AC219" s="147"/>
    </row>
    <row r="220" spans="1:29" ht="58">
      <c r="A220" s="26" t="s">
        <v>693</v>
      </c>
      <c r="B220" s="195"/>
      <c r="C220" s="194"/>
      <c r="D220" s="312"/>
      <c r="E220" s="309"/>
      <c r="F220" s="192" t="s">
        <v>774</v>
      </c>
      <c r="G220" s="56" t="str">
        <f t="shared" si="6"/>
        <v>Identificar els agents clau i els àmbits de col·laboració per implementar el binomi salut i natura</v>
      </c>
      <c r="H220" s="216" t="s">
        <v>1342</v>
      </c>
      <c r="I220" s="31" t="s">
        <v>1384</v>
      </c>
      <c r="J220" s="163">
        <v>1</v>
      </c>
      <c r="K220" s="163">
        <v>2</v>
      </c>
      <c r="L220" s="189" t="s">
        <v>775</v>
      </c>
      <c r="M220" s="188" t="s">
        <v>271</v>
      </c>
      <c r="N220" s="188" t="s">
        <v>285</v>
      </c>
      <c r="O220" s="56"/>
      <c r="P220" s="66"/>
      <c r="Q220" s="57" t="s">
        <v>286</v>
      </c>
      <c r="R220" s="66"/>
      <c r="S220" s="65"/>
      <c r="T220" s="59"/>
      <c r="U220" s="163">
        <v>0.12</v>
      </c>
      <c r="V220" s="163">
        <f>PLA!U223*Llistes!$L$11*Llistes!$L$12</f>
        <v>16</v>
      </c>
      <c r="W220" s="60" t="s">
        <v>412</v>
      </c>
      <c r="X220" s="60" t="str">
        <f>IF(W220=Llistes!$K$2,Llistes!$L$2,IF(W220=Llistes!$K$3,Llistes!$L$3,IF(W220=Llistes!$K$4,Llistes!$L$4,IF(W220=Llistes!$K$5,Llistes!$L$5,IF(W220=Llistes!$K$6,Llistes!$L$6,IF(W220=Llistes!$K$7,Llistes!$L$7,""))))))</f>
        <v>Ivan Bustamante</v>
      </c>
      <c r="Y220" s="165" t="s">
        <v>994</v>
      </c>
      <c r="Z220" s="165" t="s">
        <v>994</v>
      </c>
      <c r="AA220" s="165" t="s">
        <v>994</v>
      </c>
      <c r="AB220" s="165" t="s">
        <v>994</v>
      </c>
      <c r="AC220" s="147"/>
    </row>
    <row r="221" spans="1:29" ht="101.5">
      <c r="A221" s="26" t="s">
        <v>693</v>
      </c>
      <c r="B221" s="195"/>
      <c r="C221" s="194"/>
      <c r="D221" s="312"/>
      <c r="E221" s="309"/>
      <c r="F221" s="192" t="s">
        <v>777</v>
      </c>
      <c r="G221" s="56" t="str">
        <f t="shared" si="6"/>
        <v xml:space="preserve">Incloure el concepte de salut i natura en els missatges educatius i comunicatius de l'ENP </v>
      </c>
      <c r="H221" s="216" t="s">
        <v>1343</v>
      </c>
      <c r="I221" s="31" t="s">
        <v>1385</v>
      </c>
      <c r="J221" s="163"/>
      <c r="K221" s="163" t="s">
        <v>1043</v>
      </c>
      <c r="L221" s="187" t="s">
        <v>778</v>
      </c>
      <c r="M221" s="188" t="s">
        <v>271</v>
      </c>
      <c r="N221" s="188" t="s">
        <v>285</v>
      </c>
      <c r="O221" s="56"/>
      <c r="P221" s="31"/>
      <c r="Q221" s="57" t="s">
        <v>286</v>
      </c>
      <c r="R221" s="31" t="s">
        <v>779</v>
      </c>
      <c r="S221" s="65" t="s">
        <v>701</v>
      </c>
      <c r="T221" s="59"/>
      <c r="U221" s="163">
        <v>0.09</v>
      </c>
      <c r="V221" s="163">
        <f>PLA!U224*Llistes!$L$11*Llistes!$L$12</f>
        <v>12</v>
      </c>
      <c r="W221" s="60" t="s">
        <v>412</v>
      </c>
      <c r="X221" s="60" t="str">
        <f>IF(W221=Llistes!$K$2,Llistes!$L$2,IF(W221=Llistes!$K$3,Llistes!$L$3,IF(W221=Llistes!$K$4,Llistes!$L$4,IF(W221=Llistes!$K$5,Llistes!$L$5,IF(W221=Llistes!$K$6,Llistes!$L$6,IF(W221=Llistes!$K$7,Llistes!$L$7,""))))))</f>
        <v>Ivan Bustamante</v>
      </c>
      <c r="Y221" s="165" t="s">
        <v>994</v>
      </c>
      <c r="Z221" s="165" t="s">
        <v>994</v>
      </c>
      <c r="AA221" s="165" t="s">
        <v>994</v>
      </c>
      <c r="AB221" s="165" t="s">
        <v>994</v>
      </c>
      <c r="AC221" s="147"/>
    </row>
    <row r="222" spans="1:29" ht="43.5">
      <c r="A222" s="26" t="s">
        <v>693</v>
      </c>
      <c r="B222" s="195"/>
      <c r="C222" s="194"/>
      <c r="D222" s="312"/>
      <c r="E222" s="309"/>
      <c r="F222" s="192" t="s">
        <v>777</v>
      </c>
      <c r="G222" s="56" t="str">
        <f t="shared" si="6"/>
        <v xml:space="preserve">Incloure el concepte de salut i natura en els missatges educatius i comunicatius de l'ENP </v>
      </c>
      <c r="H222" s="216" t="s">
        <v>1344</v>
      </c>
      <c r="I222" s="31" t="s">
        <v>1386</v>
      </c>
      <c r="J222" s="163"/>
      <c r="K222" s="163" t="s">
        <v>1043</v>
      </c>
      <c r="L222" s="187" t="s">
        <v>778</v>
      </c>
      <c r="M222" s="188" t="s">
        <v>271</v>
      </c>
      <c r="N222" s="188" t="s">
        <v>285</v>
      </c>
      <c r="O222" s="56"/>
      <c r="P222" s="31"/>
      <c r="Q222" s="57" t="s">
        <v>286</v>
      </c>
      <c r="R222" s="31"/>
      <c r="S222" s="65"/>
      <c r="T222" s="59"/>
      <c r="U222" s="163">
        <v>0.09</v>
      </c>
      <c r="V222" s="163">
        <f>PLA!U225*Llistes!$L$11*Llistes!$L$12</f>
        <v>12</v>
      </c>
      <c r="W222" s="60" t="s">
        <v>412</v>
      </c>
      <c r="X222" s="60" t="str">
        <f>IF(W222=Llistes!$K$2,Llistes!$L$2,IF(W222=Llistes!$K$3,Llistes!$L$3,IF(W222=Llistes!$K$4,Llistes!$L$4,IF(W222=Llistes!$K$5,Llistes!$L$5,IF(W222=Llistes!$K$6,Llistes!$L$6,IF(W222=Llistes!$K$7,Llistes!$L$7,""))))))</f>
        <v>Ivan Bustamante</v>
      </c>
      <c r="Y222" s="165" t="s">
        <v>994</v>
      </c>
      <c r="Z222" s="165" t="s">
        <v>994</v>
      </c>
      <c r="AA222" s="165" t="s">
        <v>994</v>
      </c>
      <c r="AB222" s="165" t="s">
        <v>994</v>
      </c>
      <c r="AC222" s="147"/>
    </row>
    <row r="223" spans="1:29" ht="73" customHeight="1">
      <c r="A223" s="26" t="s">
        <v>693</v>
      </c>
      <c r="B223" s="195"/>
      <c r="C223" s="194"/>
      <c r="D223" s="312"/>
      <c r="E223" s="309"/>
      <c r="F223" s="192" t="s">
        <v>777</v>
      </c>
      <c r="G223" s="56" t="str">
        <f t="shared" si="6"/>
        <v xml:space="preserve">Incloure el concepte de salut i natura en els missatges educatius i comunicatius de l'ENP </v>
      </c>
      <c r="H223" s="216" t="s">
        <v>1345</v>
      </c>
      <c r="I223" s="31" t="s">
        <v>1387</v>
      </c>
      <c r="J223" s="163"/>
      <c r="K223" s="163" t="s">
        <v>1043</v>
      </c>
      <c r="L223" s="187" t="s">
        <v>778</v>
      </c>
      <c r="M223" s="188" t="s">
        <v>271</v>
      </c>
      <c r="N223" s="188" t="s">
        <v>285</v>
      </c>
      <c r="O223" s="56"/>
      <c r="P223" s="31"/>
      <c r="Q223" s="57" t="s">
        <v>286</v>
      </c>
      <c r="R223" s="31"/>
      <c r="S223" s="65"/>
      <c r="T223" s="59"/>
      <c r="U223" s="163">
        <v>0.09</v>
      </c>
      <c r="V223" s="163">
        <f>PLA!U226*Llistes!$L$11*Llistes!$L$12</f>
        <v>12</v>
      </c>
      <c r="W223" s="60" t="s">
        <v>412</v>
      </c>
      <c r="X223" s="60" t="str">
        <f>IF(W223=Llistes!$K$2,Llistes!$L$2,IF(W223=Llistes!$K$3,Llistes!$L$3,IF(W223=Llistes!$K$4,Llistes!$L$4,IF(W223=Llistes!$K$5,Llistes!$L$5,IF(W223=Llistes!$K$6,Llistes!$L$6,IF(W223=Llistes!$K$7,Llistes!$L$7,""))))))</f>
        <v>Ivan Bustamante</v>
      </c>
      <c r="Y223" s="165" t="s">
        <v>994</v>
      </c>
      <c r="Z223" s="165" t="s">
        <v>994</v>
      </c>
      <c r="AA223" s="165" t="s">
        <v>994</v>
      </c>
      <c r="AB223" s="165" t="s">
        <v>994</v>
      </c>
      <c r="AC223" s="147"/>
    </row>
    <row r="224" spans="1:29" ht="73" customHeight="1">
      <c r="A224" s="26" t="s">
        <v>693</v>
      </c>
      <c r="B224" s="180"/>
      <c r="C224" s="179"/>
      <c r="D224" s="313"/>
      <c r="E224" s="310"/>
      <c r="F224" s="192" t="s">
        <v>1489</v>
      </c>
      <c r="G224" s="56"/>
      <c r="H224" s="216"/>
      <c r="I224" s="31"/>
      <c r="J224" s="163"/>
      <c r="K224" s="163"/>
      <c r="L224" s="189" t="s">
        <v>1490</v>
      </c>
      <c r="M224" s="188" t="s">
        <v>271</v>
      </c>
      <c r="N224" s="188" t="s">
        <v>279</v>
      </c>
      <c r="O224" s="56"/>
      <c r="P224" s="31"/>
      <c r="Q224" s="57"/>
      <c r="R224" s="31"/>
      <c r="S224" s="65"/>
      <c r="T224" s="59"/>
      <c r="U224" s="163"/>
      <c r="V224" s="163"/>
      <c r="W224" s="60"/>
      <c r="X224" s="60"/>
      <c r="Y224" s="165"/>
      <c r="Z224" s="165"/>
      <c r="AA224" s="165"/>
      <c r="AB224" s="165"/>
      <c r="AC224" s="147"/>
    </row>
    <row r="225" spans="1:29" ht="217.5">
      <c r="A225" s="26" t="s">
        <v>693</v>
      </c>
      <c r="B225" s="419">
        <v>14</v>
      </c>
      <c r="C225" s="417" t="s">
        <v>780</v>
      </c>
      <c r="D225" s="267" t="s">
        <v>781</v>
      </c>
      <c r="E225" s="303" t="s">
        <v>782</v>
      </c>
      <c r="F225" s="186" t="s">
        <v>783</v>
      </c>
      <c r="G225" s="56" t="s">
        <v>785</v>
      </c>
      <c r="H225" s="216" t="s">
        <v>1346</v>
      </c>
      <c r="I225" s="31" t="s">
        <v>1650</v>
      </c>
      <c r="J225" s="163">
        <v>1</v>
      </c>
      <c r="K225" s="163">
        <v>2</v>
      </c>
      <c r="L225" s="187" t="s">
        <v>784</v>
      </c>
      <c r="M225" s="188" t="s">
        <v>271</v>
      </c>
      <c r="N225" s="188" t="s">
        <v>285</v>
      </c>
      <c r="O225" s="56" t="s">
        <v>786</v>
      </c>
      <c r="P225" s="63"/>
      <c r="Q225" s="57" t="s">
        <v>305</v>
      </c>
      <c r="R225" s="63" t="s">
        <v>787</v>
      </c>
      <c r="S225" s="58" t="s">
        <v>788</v>
      </c>
      <c r="T225" s="59" t="s">
        <v>789</v>
      </c>
      <c r="U225" s="163">
        <v>0.9</v>
      </c>
      <c r="V225" s="163">
        <f>PLA!U228*Llistes!$L$11*Llistes!$L$12</f>
        <v>120.00000000000001</v>
      </c>
      <c r="W225" s="60" t="s">
        <v>291</v>
      </c>
      <c r="X225" s="60" t="str">
        <f>IF(W225=Llistes!$K$2,Llistes!$L$2,IF(W225=Llistes!$K$3,Llistes!$L$3,IF(W225=Llistes!$K$4,Llistes!$L$4,IF(W225=Llistes!$K$5,Llistes!$L$5,IF(W225=Llistes!$K$6,Llistes!$L$6,IF(W225=Llistes!$K$7,Llistes!$L$7,""))))))</f>
        <v>Gerard Carrion</v>
      </c>
      <c r="Y225" s="165" t="s">
        <v>994</v>
      </c>
      <c r="Z225" s="165" t="s">
        <v>994</v>
      </c>
      <c r="AA225" s="165" t="s">
        <v>994</v>
      </c>
      <c r="AB225" s="165" t="s">
        <v>994</v>
      </c>
      <c r="AC225" s="147"/>
    </row>
    <row r="226" spans="1:29" ht="87">
      <c r="A226" s="26" t="s">
        <v>693</v>
      </c>
      <c r="B226" s="420"/>
      <c r="C226" s="418"/>
      <c r="D226" s="306"/>
      <c r="E226" s="304"/>
      <c r="F226" s="186" t="s">
        <v>790</v>
      </c>
      <c r="G226" s="56" t="str">
        <f t="shared" ref="G226:G234" si="7">L226</f>
        <v>Garantir l'accessibilitat i gestió del coneixement disponible sobre l'ENP</v>
      </c>
      <c r="H226" s="216" t="s">
        <v>1347</v>
      </c>
      <c r="I226" s="31" t="s">
        <v>1651</v>
      </c>
      <c r="J226" s="163"/>
      <c r="K226" s="163" t="s">
        <v>1043</v>
      </c>
      <c r="L226" s="187" t="s">
        <v>791</v>
      </c>
      <c r="M226" s="188" t="s">
        <v>271</v>
      </c>
      <c r="N226" s="188" t="s">
        <v>285</v>
      </c>
      <c r="O226" s="56"/>
      <c r="P226" s="63"/>
      <c r="Q226" s="57" t="s">
        <v>305</v>
      </c>
      <c r="R226" s="63" t="s">
        <v>792</v>
      </c>
      <c r="S226" s="58"/>
      <c r="T226" s="59"/>
      <c r="U226" s="163">
        <v>0.3</v>
      </c>
      <c r="V226" s="163">
        <f>PLA!U229*Llistes!$L$11*Llistes!$L$12</f>
        <v>40</v>
      </c>
      <c r="W226" s="60" t="s">
        <v>277</v>
      </c>
      <c r="X226" s="60" t="str">
        <f>IF(W226=Llistes!$K$2,Llistes!$L$2,IF(W226=Llistes!$K$3,Llistes!$L$3,IF(W226=Llistes!$K$4,Llistes!$L$4,IF(W226=Llistes!$K$5,Llistes!$L$5,IF(W226=Llistes!$K$6,Llistes!$L$6,IF(W226=Llistes!$K$7,Llistes!$L$7,""))))))</f>
        <v>Pau Federico</v>
      </c>
      <c r="Y226" s="165" t="s">
        <v>994</v>
      </c>
      <c r="Z226" s="165" t="s">
        <v>994</v>
      </c>
      <c r="AA226" s="165" t="s">
        <v>994</v>
      </c>
      <c r="AB226" s="165" t="s">
        <v>994</v>
      </c>
      <c r="AC226" s="147"/>
    </row>
    <row r="227" spans="1:29" ht="43.5">
      <c r="A227" s="26" t="s">
        <v>693</v>
      </c>
      <c r="B227" s="420"/>
      <c r="C227" s="418"/>
      <c r="D227" s="269"/>
      <c r="E227" s="317"/>
      <c r="F227" s="186" t="s">
        <v>790</v>
      </c>
      <c r="G227" s="56" t="str">
        <f t="shared" si="7"/>
        <v>Garantir l'accessibilitat i gestió del coneixement disponible sobre l'ENP</v>
      </c>
      <c r="H227" s="216" t="s">
        <v>1348</v>
      </c>
      <c r="I227" s="31" t="s">
        <v>1388</v>
      </c>
      <c r="J227" s="163"/>
      <c r="K227" s="163" t="s">
        <v>1043</v>
      </c>
      <c r="L227" s="187" t="s">
        <v>791</v>
      </c>
      <c r="M227" s="188" t="s">
        <v>271</v>
      </c>
      <c r="N227" s="188" t="s">
        <v>285</v>
      </c>
      <c r="O227" s="56"/>
      <c r="P227" s="63"/>
      <c r="Q227" s="57" t="s">
        <v>305</v>
      </c>
      <c r="R227" s="63" t="s">
        <v>792</v>
      </c>
      <c r="S227" s="58"/>
      <c r="T227" s="59"/>
      <c r="U227" s="163">
        <v>0.03</v>
      </c>
      <c r="V227" s="163">
        <f>PLA!U230*Llistes!$L$11*Llistes!$L$12</f>
        <v>4</v>
      </c>
      <c r="W227" s="60" t="s">
        <v>277</v>
      </c>
      <c r="X227" s="60" t="str">
        <f>IF(W227=Llistes!$K$2,Llistes!$L$2,IF(W227=Llistes!$K$3,Llistes!$L$3,IF(W227=Llistes!$K$4,Llistes!$L$4,IF(W227=Llistes!$K$5,Llistes!$L$5,IF(W227=Llistes!$K$6,Llistes!$L$6,IF(W227=Llistes!$K$7,Llistes!$L$7,""))))))</f>
        <v>Pau Federico</v>
      </c>
      <c r="Y227" s="165" t="s">
        <v>994</v>
      </c>
      <c r="Z227" s="165" t="s">
        <v>994</v>
      </c>
      <c r="AA227" s="165" t="s">
        <v>994</v>
      </c>
      <c r="AB227" s="165" t="s">
        <v>994</v>
      </c>
      <c r="AC227" s="147"/>
    </row>
    <row r="228" spans="1:29" ht="116">
      <c r="A228" s="26" t="s">
        <v>693</v>
      </c>
      <c r="B228" s="420"/>
      <c r="C228" s="418"/>
      <c r="D228" s="267" t="s">
        <v>793</v>
      </c>
      <c r="E228" s="303" t="s">
        <v>794</v>
      </c>
      <c r="F228" s="186" t="s">
        <v>795</v>
      </c>
      <c r="G228" s="56" t="str">
        <f t="shared" si="7"/>
        <v>Sensibilitzar als diferents agents sobre els valors de l'ENP</v>
      </c>
      <c r="H228" s="216" t="s">
        <v>1349</v>
      </c>
      <c r="I228" s="31" t="s">
        <v>1389</v>
      </c>
      <c r="J228" s="163">
        <v>1</v>
      </c>
      <c r="K228" s="163">
        <v>4</v>
      </c>
      <c r="L228" s="187" t="s">
        <v>796</v>
      </c>
      <c r="M228" s="188" t="s">
        <v>271</v>
      </c>
      <c r="N228" s="188" t="s">
        <v>285</v>
      </c>
      <c r="O228" s="56"/>
      <c r="P228" s="63"/>
      <c r="Q228" s="57" t="s">
        <v>305</v>
      </c>
      <c r="R228" s="63" t="s">
        <v>797</v>
      </c>
      <c r="S228" s="58"/>
      <c r="T228" s="59" t="s">
        <v>798</v>
      </c>
      <c r="U228" s="163">
        <v>0.09</v>
      </c>
      <c r="V228" s="163">
        <f>PLA!U231*Llistes!$L$11*Llistes!$L$12</f>
        <v>12</v>
      </c>
      <c r="W228" s="60" t="s">
        <v>412</v>
      </c>
      <c r="X228" s="60" t="str">
        <f>IF(W228=Llistes!$K$2,Llistes!$L$2,IF(W228=Llistes!$K$3,Llistes!$L$3,IF(W228=Llistes!$K$4,Llistes!$L$4,IF(W228=Llistes!$K$5,Llistes!$L$5,IF(W228=Llistes!$K$6,Llistes!$L$6,IF(W228=Llistes!$K$7,Llistes!$L$7,""))))))</f>
        <v>Ivan Bustamante</v>
      </c>
      <c r="Y228" s="165" t="s">
        <v>994</v>
      </c>
      <c r="Z228" s="165" t="s">
        <v>994</v>
      </c>
      <c r="AA228" s="165" t="s">
        <v>994</v>
      </c>
      <c r="AB228" s="165" t="s">
        <v>994</v>
      </c>
      <c r="AC228" s="147"/>
    </row>
    <row r="229" spans="1:29" ht="43.5">
      <c r="A229" s="26" t="s">
        <v>693</v>
      </c>
      <c r="B229" s="420"/>
      <c r="C229" s="418"/>
      <c r="D229" s="268"/>
      <c r="E229" s="316"/>
      <c r="F229" s="186" t="s">
        <v>795</v>
      </c>
      <c r="G229" s="56" t="str">
        <f t="shared" si="7"/>
        <v>Sensibilitzar als diferents agents sobre els valors de l'ENP</v>
      </c>
      <c r="H229" s="216" t="s">
        <v>1350</v>
      </c>
      <c r="I229" s="31" t="s">
        <v>1390</v>
      </c>
      <c r="J229" s="163">
        <v>2</v>
      </c>
      <c r="K229" s="163">
        <v>4</v>
      </c>
      <c r="L229" s="187" t="s">
        <v>796</v>
      </c>
      <c r="M229" s="188" t="s">
        <v>271</v>
      </c>
      <c r="N229" s="188" t="s">
        <v>285</v>
      </c>
      <c r="O229" s="56"/>
      <c r="P229" s="63"/>
      <c r="Q229" s="57" t="s">
        <v>305</v>
      </c>
      <c r="R229" s="63"/>
      <c r="S229" s="58"/>
      <c r="T229" s="59"/>
      <c r="U229" s="163">
        <v>0.3</v>
      </c>
      <c r="V229" s="163">
        <f>PLA!U232*Llistes!$L$11*Llistes!$L$12</f>
        <v>40</v>
      </c>
      <c r="W229" s="60" t="s">
        <v>412</v>
      </c>
      <c r="X229" s="60" t="str">
        <f>IF(W229=Llistes!$K$2,Llistes!$L$2,IF(W229=Llistes!$K$3,Llistes!$L$3,IF(W229=Llistes!$K$4,Llistes!$L$4,IF(W229=Llistes!$K$5,Llistes!$L$5,IF(W229=Llistes!$K$6,Llistes!$L$6,IF(W229=Llistes!$K$7,Llistes!$L$7,""))))))</f>
        <v>Ivan Bustamante</v>
      </c>
      <c r="Y229" s="165" t="s">
        <v>994</v>
      </c>
      <c r="Z229" s="165" t="s">
        <v>994</v>
      </c>
      <c r="AA229" s="165" t="s">
        <v>994</v>
      </c>
      <c r="AB229" s="165" t="s">
        <v>994</v>
      </c>
      <c r="AC229" s="147"/>
    </row>
    <row r="230" spans="1:29" ht="43.5">
      <c r="A230" s="26" t="s">
        <v>693</v>
      </c>
      <c r="B230" s="420"/>
      <c r="C230" s="418"/>
      <c r="D230" s="268"/>
      <c r="E230" s="316"/>
      <c r="F230" s="186" t="s">
        <v>795</v>
      </c>
      <c r="G230" s="56" t="str">
        <f t="shared" si="7"/>
        <v>Sensibilitzar als diferents agents sobre els valors de l'ENP</v>
      </c>
      <c r="H230" s="216" t="s">
        <v>1351</v>
      </c>
      <c r="I230" s="31" t="s">
        <v>1391</v>
      </c>
      <c r="J230" s="163">
        <v>2</v>
      </c>
      <c r="K230" s="163">
        <v>4</v>
      </c>
      <c r="L230" s="187" t="s">
        <v>796</v>
      </c>
      <c r="M230" s="188" t="s">
        <v>271</v>
      </c>
      <c r="N230" s="188" t="s">
        <v>285</v>
      </c>
      <c r="O230" s="56"/>
      <c r="P230" s="63"/>
      <c r="Q230" s="57" t="s">
        <v>305</v>
      </c>
      <c r="R230" s="63"/>
      <c r="S230" s="58"/>
      <c r="T230" s="59"/>
      <c r="U230" s="163">
        <v>0.3</v>
      </c>
      <c r="V230" s="163">
        <f>PLA!U233*Llistes!$L$11*Llistes!$L$12</f>
        <v>40</v>
      </c>
      <c r="W230" s="60" t="s">
        <v>291</v>
      </c>
      <c r="X230" s="60" t="str">
        <f>IF(W230=Llistes!$K$2,Llistes!$L$2,IF(W230=Llistes!$K$3,Llistes!$L$3,IF(W230=Llistes!$K$4,Llistes!$L$4,IF(W230=Llistes!$K$5,Llistes!$L$5,IF(W230=Llistes!$K$6,Llistes!$L$6,IF(W230=Llistes!$K$7,Llistes!$L$7,""))))))</f>
        <v>Gerard Carrion</v>
      </c>
      <c r="Y230" s="165" t="s">
        <v>994</v>
      </c>
      <c r="Z230" s="165" t="s">
        <v>994</v>
      </c>
      <c r="AA230" s="165" t="s">
        <v>994</v>
      </c>
      <c r="AB230" s="165" t="s">
        <v>994</v>
      </c>
      <c r="AC230" s="147"/>
    </row>
    <row r="231" spans="1:29" ht="43.5">
      <c r="A231" s="26" t="s">
        <v>693</v>
      </c>
      <c r="B231" s="420"/>
      <c r="C231" s="418"/>
      <c r="D231" s="269"/>
      <c r="E231" s="317"/>
      <c r="F231" s="186" t="s">
        <v>795</v>
      </c>
      <c r="G231" s="56" t="str">
        <f t="shared" si="7"/>
        <v>Sensibilitzar als diferents agents sobre els valors de l'ENP</v>
      </c>
      <c r="H231" s="216" t="s">
        <v>1407</v>
      </c>
      <c r="I231" s="31" t="s">
        <v>1408</v>
      </c>
      <c r="J231" s="163"/>
      <c r="K231" s="163" t="s">
        <v>1043</v>
      </c>
      <c r="L231" s="187" t="s">
        <v>796</v>
      </c>
      <c r="M231" s="188" t="s">
        <v>271</v>
      </c>
      <c r="N231" s="188" t="s">
        <v>285</v>
      </c>
      <c r="O231" s="56"/>
      <c r="P231" s="63"/>
      <c r="Q231" s="57" t="s">
        <v>305</v>
      </c>
      <c r="R231" s="63"/>
      <c r="S231" s="58"/>
      <c r="T231" s="59"/>
      <c r="U231" s="163">
        <v>0.15</v>
      </c>
      <c r="V231" s="163">
        <f>PLA!U234*Llistes!$L$11*Llistes!$L$12</f>
        <v>20</v>
      </c>
      <c r="W231" s="60" t="s">
        <v>291</v>
      </c>
      <c r="X231" s="60" t="str">
        <f>IF(W231=Llistes!$K$2,Llistes!$L$2,IF(W231=Llistes!$K$3,Llistes!$L$3,IF(W231=Llistes!$K$4,Llistes!$L$4,IF(W231=Llistes!$K$5,Llistes!$L$5,IF(W231=Llistes!$K$6,Llistes!$L$6,IF(W231=Llistes!$K$7,Llistes!$L$7,""))))))</f>
        <v>Gerard Carrion</v>
      </c>
      <c r="Y231" s="165" t="s">
        <v>994</v>
      </c>
      <c r="Z231" s="165" t="s">
        <v>994</v>
      </c>
      <c r="AA231" s="165" t="s">
        <v>994</v>
      </c>
      <c r="AB231" s="165" t="s">
        <v>994</v>
      </c>
      <c r="AC231" s="147"/>
    </row>
    <row r="232" spans="1:29" ht="217.5">
      <c r="A232" s="26" t="s">
        <v>693</v>
      </c>
      <c r="B232" s="420"/>
      <c r="C232" s="418"/>
      <c r="D232" s="378" t="s">
        <v>799</v>
      </c>
      <c r="E232" s="303" t="s">
        <v>800</v>
      </c>
      <c r="F232" s="186" t="s">
        <v>801</v>
      </c>
      <c r="G232" s="56" t="str">
        <f t="shared" si="7"/>
        <v>Optimitzar els canals de comunicació</v>
      </c>
      <c r="H232" s="216" t="s">
        <v>1392</v>
      </c>
      <c r="I232" s="31" t="s">
        <v>1399</v>
      </c>
      <c r="J232" s="163"/>
      <c r="K232" s="163" t="s">
        <v>1043</v>
      </c>
      <c r="L232" s="187" t="s">
        <v>802</v>
      </c>
      <c r="M232" s="188" t="s">
        <v>271</v>
      </c>
      <c r="N232" s="188" t="s">
        <v>285</v>
      </c>
      <c r="O232" s="56"/>
      <c r="P232" s="63"/>
      <c r="Q232" s="57" t="s">
        <v>305</v>
      </c>
      <c r="R232" s="63" t="s">
        <v>803</v>
      </c>
      <c r="S232" s="58" t="s">
        <v>788</v>
      </c>
      <c r="T232" s="59"/>
      <c r="U232" s="163">
        <v>0.15</v>
      </c>
      <c r="V232" s="163">
        <f>PLA!U235*Llistes!$L$11*Llistes!$L$12</f>
        <v>20</v>
      </c>
      <c r="W232" s="60" t="s">
        <v>291</v>
      </c>
      <c r="X232" s="60" t="str">
        <f>IF(W232=Llistes!$K$2,Llistes!$L$2,IF(W232=Llistes!$K$3,Llistes!$L$3,IF(W232=Llistes!$K$4,Llistes!$L$4,IF(W232=Llistes!$K$5,Llistes!$L$5,IF(W232=Llistes!$K$6,Llistes!$L$6,IF(W232=Llistes!$K$7,Llistes!$L$7,""))))))</f>
        <v>Gerard Carrion</v>
      </c>
      <c r="Y232" s="165" t="s">
        <v>994</v>
      </c>
      <c r="Z232" s="165" t="s">
        <v>994</v>
      </c>
      <c r="AA232" s="165" t="s">
        <v>994</v>
      </c>
      <c r="AB232" s="165" t="s">
        <v>994</v>
      </c>
      <c r="AC232" s="147"/>
    </row>
    <row r="233" spans="1:29" ht="43.5">
      <c r="A233" s="26" t="s">
        <v>693</v>
      </c>
      <c r="B233" s="420"/>
      <c r="C233" s="418"/>
      <c r="D233" s="379"/>
      <c r="E233" s="304"/>
      <c r="F233" s="186" t="s">
        <v>801</v>
      </c>
      <c r="G233" s="56" t="str">
        <f t="shared" si="7"/>
        <v>Optimitzar els canals de comunicació</v>
      </c>
      <c r="H233" s="216" t="s">
        <v>1393</v>
      </c>
      <c r="I233" s="31" t="s">
        <v>1400</v>
      </c>
      <c r="J233" s="163"/>
      <c r="K233" s="163" t="s">
        <v>1043</v>
      </c>
      <c r="L233" s="187" t="s">
        <v>802</v>
      </c>
      <c r="M233" s="188" t="s">
        <v>271</v>
      </c>
      <c r="N233" s="188" t="s">
        <v>285</v>
      </c>
      <c r="O233" s="56"/>
      <c r="P233" s="63"/>
      <c r="Q233" s="57" t="s">
        <v>305</v>
      </c>
      <c r="R233" s="63"/>
      <c r="S233" s="58"/>
      <c r="T233" s="59"/>
      <c r="U233" s="163">
        <v>2.25</v>
      </c>
      <c r="V233" s="163">
        <f>PLA!U236*Llistes!$L$11*Llistes!$L$12</f>
        <v>300</v>
      </c>
      <c r="W233" s="60" t="s">
        <v>291</v>
      </c>
      <c r="X233" s="60" t="str">
        <f>IF(W233=Llistes!$K$2,Llistes!$L$2,IF(W233=Llistes!$K$3,Llistes!$L$3,IF(W233=Llistes!$K$4,Llistes!$L$4,IF(W233=Llistes!$K$5,Llistes!$L$5,IF(W233=Llistes!$K$6,Llistes!$L$6,IF(W233=Llistes!$K$7,Llistes!$L$7,""))))))</f>
        <v>Gerard Carrion</v>
      </c>
      <c r="Y233" s="165" t="s">
        <v>994</v>
      </c>
      <c r="Z233" s="165" t="s">
        <v>994</v>
      </c>
      <c r="AA233" s="165" t="s">
        <v>994</v>
      </c>
      <c r="AB233" s="165" t="s">
        <v>994</v>
      </c>
      <c r="AC233" s="147"/>
    </row>
    <row r="234" spans="1:29" ht="58">
      <c r="A234" s="26" t="s">
        <v>693</v>
      </c>
      <c r="B234" s="420"/>
      <c r="C234" s="418"/>
      <c r="D234" s="379"/>
      <c r="E234" s="304"/>
      <c r="F234" s="186" t="s">
        <v>801</v>
      </c>
      <c r="G234" s="56" t="str">
        <f t="shared" si="7"/>
        <v>Optimitzar els canals de comunicació</v>
      </c>
      <c r="H234" s="216" t="s">
        <v>1394</v>
      </c>
      <c r="I234" s="31" t="s">
        <v>1401</v>
      </c>
      <c r="J234" s="163"/>
      <c r="K234" s="163" t="s">
        <v>1043</v>
      </c>
      <c r="L234" s="187" t="s">
        <v>802</v>
      </c>
      <c r="M234" s="188" t="s">
        <v>271</v>
      </c>
      <c r="N234" s="188" t="s">
        <v>285</v>
      </c>
      <c r="O234" s="56"/>
      <c r="P234" s="63"/>
      <c r="Q234" s="57" t="s">
        <v>305</v>
      </c>
      <c r="R234" s="63"/>
      <c r="S234" s="58"/>
      <c r="T234" s="59"/>
      <c r="U234" s="163">
        <v>1.5</v>
      </c>
      <c r="V234" s="163">
        <f>PLA!U237*Llistes!$L$11*Llistes!$L$12</f>
        <v>200</v>
      </c>
      <c r="W234" s="60" t="s">
        <v>291</v>
      </c>
      <c r="X234" s="60" t="str">
        <f>IF(W234=Llistes!$K$2,Llistes!$L$2,IF(W234=Llistes!$K$3,Llistes!$L$3,IF(W234=Llistes!$K$4,Llistes!$L$4,IF(W234=Llistes!$K$5,Llistes!$L$5,IF(W234=Llistes!$K$6,Llistes!$L$6,IF(W234=Llistes!$K$7,Llistes!$L$7,""))))))</f>
        <v>Gerard Carrion</v>
      </c>
      <c r="Y234" s="165" t="s">
        <v>994</v>
      </c>
      <c r="Z234" s="165" t="s">
        <v>994</v>
      </c>
      <c r="AA234" s="165" t="s">
        <v>994</v>
      </c>
      <c r="AB234" s="165" t="s">
        <v>994</v>
      </c>
      <c r="AC234" s="147"/>
    </row>
    <row r="235" spans="1:29" ht="174">
      <c r="A235" s="26" t="s">
        <v>693</v>
      </c>
      <c r="B235" s="420"/>
      <c r="C235" s="418"/>
      <c r="D235" s="379"/>
      <c r="E235" s="304"/>
      <c r="F235" s="186" t="s">
        <v>804</v>
      </c>
      <c r="G235" s="56" t="s">
        <v>806</v>
      </c>
      <c r="H235" s="216" t="s">
        <v>1395</v>
      </c>
      <c r="I235" s="31" t="s">
        <v>1402</v>
      </c>
      <c r="J235" s="163"/>
      <c r="K235" s="163" t="s">
        <v>1043</v>
      </c>
      <c r="L235" s="187" t="s">
        <v>805</v>
      </c>
      <c r="M235" s="188" t="s">
        <v>271</v>
      </c>
      <c r="N235" s="188" t="s">
        <v>285</v>
      </c>
      <c r="O235" s="56" t="s">
        <v>807</v>
      </c>
      <c r="P235" s="63"/>
      <c r="Q235" s="57" t="s">
        <v>305</v>
      </c>
      <c r="R235" s="63" t="s">
        <v>808</v>
      </c>
      <c r="S235" s="58" t="s">
        <v>788</v>
      </c>
      <c r="T235" s="59"/>
      <c r="U235" s="163">
        <v>0.12</v>
      </c>
      <c r="V235" s="163">
        <f>PLA!U238*Llistes!$L$11*Llistes!$L$12</f>
        <v>16</v>
      </c>
      <c r="W235" s="60" t="s">
        <v>291</v>
      </c>
      <c r="X235" s="60" t="str">
        <f>IF(W235=Llistes!$K$2,Llistes!$L$2,IF(W235=Llistes!$K$3,Llistes!$L$3,IF(W235=Llistes!$K$4,Llistes!$L$4,IF(W235=Llistes!$K$5,Llistes!$L$5,IF(W235=Llistes!$K$6,Llistes!$L$6,IF(W235=Llistes!$K$7,Llistes!$L$7,""))))))</f>
        <v>Gerard Carrion</v>
      </c>
      <c r="Y235" s="165" t="s">
        <v>994</v>
      </c>
      <c r="Z235" s="165" t="s">
        <v>994</v>
      </c>
      <c r="AA235" s="165" t="s">
        <v>994</v>
      </c>
      <c r="AB235" s="165" t="s">
        <v>994</v>
      </c>
      <c r="AC235" s="147"/>
    </row>
    <row r="236" spans="1:29" ht="43.5">
      <c r="A236" s="26" t="s">
        <v>693</v>
      </c>
      <c r="B236" s="420"/>
      <c r="C236" s="418"/>
      <c r="D236" s="380"/>
      <c r="E236" s="316"/>
      <c r="F236" s="186" t="s">
        <v>804</v>
      </c>
      <c r="G236" s="56" t="s">
        <v>806</v>
      </c>
      <c r="H236" s="216" t="s">
        <v>1396</v>
      </c>
      <c r="I236" s="31" t="s">
        <v>1403</v>
      </c>
      <c r="J236" s="163"/>
      <c r="K236" s="163" t="s">
        <v>1043</v>
      </c>
      <c r="L236" s="187" t="s">
        <v>805</v>
      </c>
      <c r="M236" s="188" t="s">
        <v>271</v>
      </c>
      <c r="N236" s="188" t="s">
        <v>285</v>
      </c>
      <c r="O236" s="56" t="s">
        <v>807</v>
      </c>
      <c r="P236" s="63"/>
      <c r="Q236" s="57" t="s">
        <v>286</v>
      </c>
      <c r="R236" s="63"/>
      <c r="S236" s="58"/>
      <c r="T236" s="59"/>
      <c r="U236" s="163">
        <v>0.03</v>
      </c>
      <c r="V236" s="163">
        <f>PLA!U239*Llistes!$L$11*Llistes!$L$12</f>
        <v>4</v>
      </c>
      <c r="W236" s="60" t="s">
        <v>291</v>
      </c>
      <c r="X236" s="60" t="str">
        <f>IF(W236=Llistes!$K$2,Llistes!$L$2,IF(W236=Llistes!$K$3,Llistes!$L$3,IF(W236=Llistes!$K$4,Llistes!$L$4,IF(W236=Llistes!$K$5,Llistes!$L$5,IF(W236=Llistes!$K$6,Llistes!$L$6,IF(W236=Llistes!$K$7,Llistes!$L$7,""))))))</f>
        <v>Gerard Carrion</v>
      </c>
      <c r="Y236" s="165" t="s">
        <v>994</v>
      </c>
      <c r="Z236" s="165" t="s">
        <v>994</v>
      </c>
      <c r="AA236" s="165" t="s">
        <v>994</v>
      </c>
      <c r="AB236" s="165" t="s">
        <v>994</v>
      </c>
      <c r="AC236" s="147"/>
    </row>
    <row r="237" spans="1:29" ht="43.5">
      <c r="A237" s="26" t="s">
        <v>693</v>
      </c>
      <c r="B237" s="420"/>
      <c r="C237" s="418"/>
      <c r="D237" s="380"/>
      <c r="E237" s="316"/>
      <c r="F237" s="186" t="s">
        <v>804</v>
      </c>
      <c r="G237" s="56" t="s">
        <v>806</v>
      </c>
      <c r="H237" s="216" t="s">
        <v>1397</v>
      </c>
      <c r="I237" s="31" t="s">
        <v>1404</v>
      </c>
      <c r="J237" s="163"/>
      <c r="K237" s="163" t="s">
        <v>1043</v>
      </c>
      <c r="L237" s="187" t="s">
        <v>805</v>
      </c>
      <c r="M237" s="188" t="s">
        <v>271</v>
      </c>
      <c r="N237" s="188" t="s">
        <v>285</v>
      </c>
      <c r="O237" s="56" t="s">
        <v>807</v>
      </c>
      <c r="P237" s="63"/>
      <c r="Q237" s="57" t="s">
        <v>305</v>
      </c>
      <c r="R237" s="63"/>
      <c r="S237" s="58"/>
      <c r="T237" s="59"/>
      <c r="U237" s="163">
        <v>1.5</v>
      </c>
      <c r="V237" s="163">
        <f>PLA!U240*Llistes!$L$11*Llistes!$L$12</f>
        <v>200</v>
      </c>
      <c r="W237" s="60" t="s">
        <v>291</v>
      </c>
      <c r="X237" s="60" t="str">
        <f>IF(W237=Llistes!$K$2,Llistes!$L$2,IF(W237=Llistes!$K$3,Llistes!$L$3,IF(W237=Llistes!$K$4,Llistes!$L$4,IF(W237=Llistes!$K$5,Llistes!$L$5,IF(W237=Llistes!$K$6,Llistes!$L$6,IF(W237=Llistes!$K$7,Llistes!$L$7,""))))))</f>
        <v>Gerard Carrion</v>
      </c>
      <c r="Y237" s="165" t="s">
        <v>994</v>
      </c>
      <c r="Z237" s="165" t="s">
        <v>994</v>
      </c>
      <c r="AA237" s="165" t="s">
        <v>994</v>
      </c>
      <c r="AB237" s="165" t="s">
        <v>994</v>
      </c>
      <c r="AC237" s="147"/>
    </row>
    <row r="238" spans="1:29" ht="43.5">
      <c r="A238" s="26" t="s">
        <v>693</v>
      </c>
      <c r="B238" s="420"/>
      <c r="C238" s="418"/>
      <c r="D238" s="381"/>
      <c r="E238" s="377"/>
      <c r="F238" s="186" t="s">
        <v>804</v>
      </c>
      <c r="G238" s="56" t="s">
        <v>806</v>
      </c>
      <c r="H238" s="216" t="s">
        <v>1398</v>
      </c>
      <c r="I238" s="31" t="s">
        <v>1405</v>
      </c>
      <c r="J238" s="163"/>
      <c r="K238" s="163" t="s">
        <v>1043</v>
      </c>
      <c r="L238" s="187" t="s">
        <v>805</v>
      </c>
      <c r="M238" s="188" t="s">
        <v>271</v>
      </c>
      <c r="N238" s="188" t="s">
        <v>285</v>
      </c>
      <c r="O238" s="56" t="s">
        <v>807</v>
      </c>
      <c r="P238" s="63"/>
      <c r="Q238" s="57" t="s">
        <v>305</v>
      </c>
      <c r="R238" s="63"/>
      <c r="S238" s="58"/>
      <c r="T238" s="59"/>
      <c r="U238" s="163">
        <v>0.03</v>
      </c>
      <c r="V238" s="163">
        <f>PLA!U241*Llistes!$L$11*Llistes!$L$12</f>
        <v>4</v>
      </c>
      <c r="W238" s="60" t="s">
        <v>291</v>
      </c>
      <c r="X238" s="60" t="str">
        <f>IF(W238=Llistes!$K$2,Llistes!$L$2,IF(W238=Llistes!$K$3,Llistes!$L$3,IF(W238=Llistes!$K$4,Llistes!$L$4,IF(W238=Llistes!$K$5,Llistes!$L$5,IF(W238=Llistes!$K$6,Llistes!$L$6,IF(W238=Llistes!$K$7,Llistes!$L$7,""))))))</f>
        <v>Gerard Carrion</v>
      </c>
      <c r="Y238" s="165" t="s">
        <v>994</v>
      </c>
      <c r="Z238" s="165" t="s">
        <v>994</v>
      </c>
      <c r="AA238" s="165" t="s">
        <v>994</v>
      </c>
      <c r="AB238" s="165" t="s">
        <v>994</v>
      </c>
      <c r="AC238" s="147"/>
    </row>
    <row r="239" spans="1:29" ht="43.5">
      <c r="A239" s="21" t="s">
        <v>809</v>
      </c>
      <c r="B239" s="29">
        <v>15</v>
      </c>
      <c r="C239" s="262" t="s">
        <v>1592</v>
      </c>
      <c r="D239" s="371" t="s">
        <v>1461</v>
      </c>
      <c r="E239" s="372" t="s">
        <v>1460</v>
      </c>
      <c r="F239" s="186" t="s">
        <v>810</v>
      </c>
      <c r="G239" s="56" t="s">
        <v>813</v>
      </c>
      <c r="H239" s="216" t="s">
        <v>814</v>
      </c>
      <c r="I239" s="31" t="s">
        <v>1113</v>
      </c>
      <c r="J239" s="163">
        <v>4</v>
      </c>
      <c r="K239" s="163">
        <v>6</v>
      </c>
      <c r="L239" s="187" t="s">
        <v>812</v>
      </c>
      <c r="M239" s="188" t="s">
        <v>271</v>
      </c>
      <c r="N239" s="188" t="s">
        <v>279</v>
      </c>
      <c r="O239" s="56"/>
      <c r="P239" s="63"/>
      <c r="Q239" s="57" t="s">
        <v>305</v>
      </c>
      <c r="R239" s="63"/>
      <c r="S239" s="58"/>
      <c r="T239" s="61"/>
      <c r="U239" s="163">
        <v>4.4999999999999998E-2</v>
      </c>
      <c r="V239" s="163">
        <f>PLA!U242*Llistes!$L$11*Llistes!$L$12</f>
        <v>6</v>
      </c>
      <c r="W239" s="60" t="s">
        <v>277</v>
      </c>
      <c r="X239" s="60" t="str">
        <f>IF(W239=Llistes!$K$2,Llistes!$L$2,IF(W239=Llistes!$K$3,Llistes!$L$3,IF(W239=Llistes!$K$4,Llistes!$L$4,IF(W239=Llistes!$K$5,Llistes!$L$5,IF(W239=Llistes!$K$6,Llistes!$L$6,IF(W239=Llistes!$K$7,Llistes!$L$7,""))))))</f>
        <v>Pau Federico</v>
      </c>
      <c r="Y239" s="165" t="s">
        <v>994</v>
      </c>
      <c r="Z239" s="165" t="s">
        <v>994</v>
      </c>
      <c r="AA239" s="165" t="s">
        <v>994</v>
      </c>
      <c r="AB239" s="165" t="s">
        <v>994</v>
      </c>
      <c r="AC239" s="147"/>
    </row>
    <row r="240" spans="1:29" ht="29">
      <c r="A240" s="21" t="s">
        <v>809</v>
      </c>
      <c r="B240" s="29"/>
      <c r="C240" s="262"/>
      <c r="D240" s="298"/>
      <c r="E240" s="373"/>
      <c r="F240" s="186" t="s">
        <v>811</v>
      </c>
      <c r="G240" s="56"/>
      <c r="H240" s="215"/>
      <c r="I240" s="31"/>
      <c r="J240" s="163"/>
      <c r="K240" s="163"/>
      <c r="L240" s="187" t="s">
        <v>1584</v>
      </c>
      <c r="M240" s="188" t="s">
        <v>271</v>
      </c>
      <c r="N240" s="188" t="s">
        <v>279</v>
      </c>
      <c r="O240" s="56"/>
      <c r="P240" s="63"/>
      <c r="Q240" s="57"/>
      <c r="R240" s="63"/>
      <c r="S240" s="58"/>
      <c r="T240" s="54"/>
      <c r="U240" s="163"/>
      <c r="V240" s="163"/>
      <c r="W240" s="60"/>
      <c r="X240" s="60"/>
      <c r="Y240" s="165"/>
      <c r="Z240" s="165"/>
      <c r="AA240" s="165"/>
      <c r="AB240" s="165"/>
      <c r="AC240" s="147"/>
    </row>
    <row r="241" spans="1:29" ht="43.5">
      <c r="A241" s="21"/>
      <c r="B241" s="181"/>
      <c r="C241" s="262"/>
      <c r="D241" s="298"/>
      <c r="E241" s="373"/>
      <c r="F241" s="186" t="s">
        <v>1583</v>
      </c>
      <c r="G241" s="56" t="str">
        <f>L241</f>
        <v>Adaptar i desplegar el model de governança dels espais naturals protegits</v>
      </c>
      <c r="H241" s="215" t="s">
        <v>1116</v>
      </c>
      <c r="I241" s="31" t="s">
        <v>1117</v>
      </c>
      <c r="J241" s="163"/>
      <c r="K241" s="163" t="s">
        <v>1043</v>
      </c>
      <c r="L241" s="187" t="s">
        <v>815</v>
      </c>
      <c r="M241" s="188" t="s">
        <v>271</v>
      </c>
      <c r="N241" s="188" t="s">
        <v>285</v>
      </c>
      <c r="O241" s="56" t="s">
        <v>816</v>
      </c>
      <c r="P241" s="63"/>
      <c r="Q241" s="57" t="s">
        <v>305</v>
      </c>
      <c r="R241" s="63" t="s">
        <v>817</v>
      </c>
      <c r="S241" s="58"/>
      <c r="T241" s="54" t="s">
        <v>818</v>
      </c>
      <c r="U241" s="163">
        <v>4.4999999999999998E-2</v>
      </c>
      <c r="V241" s="163">
        <f>PLA!U244*Llistes!$L$11*Llistes!$L$12</f>
        <v>6</v>
      </c>
      <c r="W241" s="60" t="s">
        <v>291</v>
      </c>
      <c r="X241" s="60" t="str">
        <f>IF(W241=Llistes!$K$2,Llistes!$L$2,IF(W241=Llistes!$K$3,Llistes!$L$3,IF(W241=Llistes!$K$4,Llistes!$L$4,IF(W241=Llistes!$K$5,Llistes!$L$5,IF(W241=Llistes!$K$6,Llistes!$L$6,IF(W241=Llistes!$K$7,Llistes!$L$7,""))))))</f>
        <v>Gerard Carrion</v>
      </c>
      <c r="Y241" s="165" t="s">
        <v>994</v>
      </c>
      <c r="Z241" s="165" t="s">
        <v>994</v>
      </c>
      <c r="AA241" s="165" t="s">
        <v>994</v>
      </c>
      <c r="AB241" s="165" t="s">
        <v>994</v>
      </c>
      <c r="AC241" s="147"/>
    </row>
    <row r="242" spans="1:29" ht="29">
      <c r="A242" s="21" t="s">
        <v>809</v>
      </c>
      <c r="B242" s="181"/>
      <c r="C242" s="421"/>
      <c r="D242" s="415"/>
      <c r="E242" s="414"/>
      <c r="F242" s="186" t="s">
        <v>1585</v>
      </c>
      <c r="G242" s="56" t="str">
        <f>L242</f>
        <v>Mantenir i millorar la governança transfronterera</v>
      </c>
      <c r="H242" s="215" t="s">
        <v>1621</v>
      </c>
      <c r="I242" s="31" t="s">
        <v>1622</v>
      </c>
      <c r="J242" s="163">
        <v>1</v>
      </c>
      <c r="K242" s="163">
        <v>4</v>
      </c>
      <c r="L242" s="187" t="s">
        <v>1619</v>
      </c>
      <c r="M242" s="188" t="s">
        <v>271</v>
      </c>
      <c r="N242" s="188" t="s">
        <v>279</v>
      </c>
      <c r="O242" s="56" t="s">
        <v>1620</v>
      </c>
      <c r="P242" s="63"/>
      <c r="Q242" s="57" t="s">
        <v>305</v>
      </c>
      <c r="R242" s="63"/>
      <c r="S242" s="58"/>
      <c r="T242" s="54" t="s">
        <v>818</v>
      </c>
      <c r="U242" s="163">
        <v>4.4999999999999998E-2</v>
      </c>
      <c r="V242" s="163">
        <f>PLA!U245*Llistes!$L$11*Llistes!$L$12</f>
        <v>6</v>
      </c>
      <c r="W242" s="60" t="s">
        <v>291</v>
      </c>
      <c r="X242" s="60" t="str">
        <f>IF(W242=Llistes!$K$2,Llistes!$L$2,IF(W242=Llistes!$K$3,Llistes!$L$3,IF(W242=Llistes!$K$4,Llistes!$L$4,IF(W242=Llistes!$K$5,Llistes!$L$5,IF(W242=Llistes!$K$6,Llistes!$L$6,IF(W242=Llistes!$K$7,Llistes!$L$7,""))))))</f>
        <v>Gerard Carrion</v>
      </c>
      <c r="Y242" s="165" t="s">
        <v>994</v>
      </c>
      <c r="Z242" s="165" t="s">
        <v>994</v>
      </c>
      <c r="AA242" s="165" t="s">
        <v>994</v>
      </c>
      <c r="AB242" s="165" t="s">
        <v>994</v>
      </c>
      <c r="AC242" s="147"/>
    </row>
    <row r="243" spans="1:29" ht="116">
      <c r="A243" s="21" t="s">
        <v>809</v>
      </c>
      <c r="B243" s="28">
        <v>16</v>
      </c>
      <c r="C243" s="265" t="s">
        <v>819</v>
      </c>
      <c r="D243" s="371" t="s">
        <v>820</v>
      </c>
      <c r="E243" s="397" t="s">
        <v>821</v>
      </c>
      <c r="F243" s="186" t="s">
        <v>822</v>
      </c>
      <c r="G243" s="56" t="str">
        <f>L243</f>
        <v xml:space="preserve">Gestionar i millorar administrativament els pressupostos anuals d'entrades i despeses </v>
      </c>
      <c r="H243" s="215" t="s">
        <v>1120</v>
      </c>
      <c r="I243" s="31" t="s">
        <v>1121</v>
      </c>
      <c r="J243" s="163"/>
      <c r="K243" s="163" t="s">
        <v>1043</v>
      </c>
      <c r="L243" s="187" t="s">
        <v>1491</v>
      </c>
      <c r="M243" s="188" t="s">
        <v>271</v>
      </c>
      <c r="N243" s="188" t="s">
        <v>285</v>
      </c>
      <c r="O243" s="56"/>
      <c r="P243" s="63"/>
      <c r="Q243" s="57" t="s">
        <v>273</v>
      </c>
      <c r="R243" s="63" t="s">
        <v>823</v>
      </c>
      <c r="S243" s="58"/>
      <c r="T243" s="61" t="s">
        <v>824</v>
      </c>
      <c r="U243" s="163">
        <v>4.4999999999999998E-2</v>
      </c>
      <c r="V243" s="163">
        <f>PLA!U246*Llistes!$L$11*Llistes!$L$12</f>
        <v>6</v>
      </c>
      <c r="W243" s="60" t="s">
        <v>825</v>
      </c>
      <c r="X243" s="60" t="str">
        <f>IF(W243=Llistes!$K$2,Llistes!$L$2,IF(W243=Llistes!$K$3,Llistes!$L$3,IF(W243=Llistes!$K$4,Llistes!$L$4,IF(W243=Llistes!$K$5,Llistes!$L$5,IF(W243=Llistes!$K$6,Llistes!$L$6,IF(W243=Llistes!$K$7,Llistes!$L$7,""))))))</f>
        <v>Pilar Sanllehí</v>
      </c>
      <c r="Y243" s="165" t="s">
        <v>994</v>
      </c>
      <c r="Z243" s="165" t="s">
        <v>994</v>
      </c>
      <c r="AA243" s="165" t="s">
        <v>994</v>
      </c>
      <c r="AB243" s="165" t="s">
        <v>994</v>
      </c>
      <c r="AC243" s="147"/>
    </row>
    <row r="244" spans="1:29" ht="43.5">
      <c r="A244" s="21"/>
      <c r="B244" s="29"/>
      <c r="C244" s="422"/>
      <c r="D244" s="298"/>
      <c r="E244" s="398"/>
      <c r="F244" s="186" t="s">
        <v>822</v>
      </c>
      <c r="G244" s="56" t="str">
        <f>L244</f>
        <v xml:space="preserve">Gestionar i millorar administrativament els pressupostos anuals d'entrades i despeses </v>
      </c>
      <c r="H244" s="215" t="s">
        <v>1118</v>
      </c>
      <c r="I244" s="31" t="s">
        <v>1122</v>
      </c>
      <c r="J244" s="163"/>
      <c r="K244" s="163" t="s">
        <v>1043</v>
      </c>
      <c r="L244" s="187" t="s">
        <v>1491</v>
      </c>
      <c r="M244" s="188" t="s">
        <v>271</v>
      </c>
      <c r="N244" s="188" t="s">
        <v>285</v>
      </c>
      <c r="O244" s="56"/>
      <c r="P244" s="63"/>
      <c r="Q244" s="57" t="s">
        <v>273</v>
      </c>
      <c r="R244" s="63"/>
      <c r="S244" s="58"/>
      <c r="T244" s="61"/>
      <c r="U244" s="163">
        <v>4.4999999999999998E-2</v>
      </c>
      <c r="V244" s="163">
        <f>PLA!U247*Llistes!$L$11*Llistes!$L$12</f>
        <v>6</v>
      </c>
      <c r="W244" s="60" t="s">
        <v>825</v>
      </c>
      <c r="X244" s="60" t="str">
        <f>IF(W244=Llistes!$K$2,Llistes!$L$2,IF(W244=Llistes!$K$3,Llistes!$L$3,IF(W244=Llistes!$K$4,Llistes!$L$4,IF(W244=Llistes!$K$5,Llistes!$L$5,IF(W244=Llistes!$K$6,Llistes!$L$6,IF(W244=Llistes!$K$7,Llistes!$L$7,""))))))</f>
        <v>Pilar Sanllehí</v>
      </c>
      <c r="Y244" s="165" t="s">
        <v>994</v>
      </c>
      <c r="Z244" s="165" t="s">
        <v>994</v>
      </c>
      <c r="AA244" s="165" t="s">
        <v>994</v>
      </c>
      <c r="AB244" s="165" t="s">
        <v>994</v>
      </c>
      <c r="AC244" s="147"/>
    </row>
    <row r="245" spans="1:29" ht="43.5">
      <c r="A245" s="21"/>
      <c r="B245" s="29"/>
      <c r="C245" s="422"/>
      <c r="D245" s="298"/>
      <c r="E245" s="398"/>
      <c r="F245" s="186" t="s">
        <v>822</v>
      </c>
      <c r="G245" s="56" t="str">
        <f>L245</f>
        <v xml:space="preserve">Gestionar i millorar administrativament els pressupostos anuals d'entrades i despeses </v>
      </c>
      <c r="H245" s="215" t="s">
        <v>1119</v>
      </c>
      <c r="I245" s="31" t="s">
        <v>1123</v>
      </c>
      <c r="J245" s="163">
        <v>4</v>
      </c>
      <c r="K245" s="163">
        <v>6</v>
      </c>
      <c r="L245" s="187" t="s">
        <v>1491</v>
      </c>
      <c r="M245" s="188" t="s">
        <v>271</v>
      </c>
      <c r="N245" s="188" t="s">
        <v>285</v>
      </c>
      <c r="O245" s="56"/>
      <c r="P245" s="63"/>
      <c r="Q245" s="57" t="s">
        <v>273</v>
      </c>
      <c r="R245" s="63"/>
      <c r="S245" s="58"/>
      <c r="T245" s="61"/>
      <c r="U245" s="163">
        <v>0.06</v>
      </c>
      <c r="V245" s="163">
        <f>PLA!U248*Llistes!$L$11*Llistes!$L$12</f>
        <v>8</v>
      </c>
      <c r="W245" s="60" t="s">
        <v>825</v>
      </c>
      <c r="X245" s="60" t="str">
        <f>IF(W245=Llistes!$K$2,Llistes!$L$2,IF(W245=Llistes!$K$3,Llistes!$L$3,IF(W245=Llistes!$K$4,Llistes!$L$4,IF(W245=Llistes!$K$5,Llistes!$L$5,IF(W245=Llistes!$K$6,Llistes!$L$6,IF(W245=Llistes!$K$7,Llistes!$L$7,""))))))</f>
        <v>Pilar Sanllehí</v>
      </c>
      <c r="Y245" s="165" t="s">
        <v>994</v>
      </c>
      <c r="Z245" s="165" t="s">
        <v>994</v>
      </c>
      <c r="AA245" s="165" t="s">
        <v>994</v>
      </c>
      <c r="AB245" s="165" t="s">
        <v>994</v>
      </c>
      <c r="AC245" s="147"/>
    </row>
    <row r="246" spans="1:29" ht="29">
      <c r="A246" s="21"/>
      <c r="B246" s="29"/>
      <c r="C246" s="422"/>
      <c r="D246" s="298"/>
      <c r="E246" s="398"/>
      <c r="F246" s="186" t="s">
        <v>1652</v>
      </c>
      <c r="G246" s="56" t="s">
        <v>878</v>
      </c>
      <c r="H246" s="216" t="s">
        <v>1168</v>
      </c>
      <c r="I246" s="31" t="s">
        <v>1169</v>
      </c>
      <c r="J246" s="163">
        <v>80</v>
      </c>
      <c r="K246" s="163">
        <v>160</v>
      </c>
      <c r="L246" s="187" t="s">
        <v>1595</v>
      </c>
      <c r="M246" s="55" t="s">
        <v>303</v>
      </c>
      <c r="N246" s="55" t="s">
        <v>285</v>
      </c>
      <c r="O246" s="103" t="s">
        <v>876</v>
      </c>
      <c r="P246" s="60"/>
      <c r="Q246" s="57" t="s">
        <v>273</v>
      </c>
      <c r="R246" s="31"/>
      <c r="S246" s="57"/>
      <c r="T246" s="166"/>
      <c r="U246" s="163">
        <v>1.05</v>
      </c>
      <c r="V246" s="163">
        <f>PLA!U249*Llistes!$L$11*Llistes!$L$12</f>
        <v>140.00000000000003</v>
      </c>
      <c r="W246" s="60" t="s">
        <v>291</v>
      </c>
      <c r="X246" s="60" t="str">
        <f>IF(W246=Llistes!$K$2,Llistes!$L$2,IF(W246=Llistes!$K$3,Llistes!$L$3,IF(W246=Llistes!$K$4,Llistes!$L$4,IF(W246=Llistes!$K$5,Llistes!$L$5,IF(W246=Llistes!$K$6,Llistes!$L$6,IF(W246=Llistes!$K$7,Llistes!$L$7,""))))))</f>
        <v>Gerard Carrion</v>
      </c>
      <c r="Y246" s="165" t="s">
        <v>994</v>
      </c>
      <c r="Z246" s="165" t="s">
        <v>994</v>
      </c>
      <c r="AA246" s="165" t="s">
        <v>994</v>
      </c>
      <c r="AB246" s="165" t="s">
        <v>994</v>
      </c>
      <c r="AC246" s="147"/>
    </row>
    <row r="247" spans="1:29" ht="29">
      <c r="A247" s="21"/>
      <c r="B247" s="29"/>
      <c r="C247" s="422"/>
      <c r="D247" s="299"/>
      <c r="E247" s="399"/>
      <c r="F247" s="186" t="s">
        <v>822</v>
      </c>
      <c r="G247" s="56" t="s">
        <v>878</v>
      </c>
      <c r="H247" s="216" t="s">
        <v>1167</v>
      </c>
      <c r="I247" s="31" t="s">
        <v>1170</v>
      </c>
      <c r="J247" s="163"/>
      <c r="K247" s="163" t="s">
        <v>1171</v>
      </c>
      <c r="L247" s="187" t="s">
        <v>1595</v>
      </c>
      <c r="M247" s="55"/>
      <c r="N247" s="55"/>
      <c r="O247" s="103"/>
      <c r="P247" s="60"/>
      <c r="Q247" s="57" t="s">
        <v>273</v>
      </c>
      <c r="R247" s="31"/>
      <c r="S247" s="57"/>
      <c r="T247" s="166"/>
      <c r="U247" s="163">
        <v>0.45</v>
      </c>
      <c r="V247" s="163">
        <f>PLA!U250*Llistes!$L$11*Llistes!$L$12</f>
        <v>60.000000000000007</v>
      </c>
      <c r="W247" s="60" t="s">
        <v>291</v>
      </c>
      <c r="X247" s="60" t="str">
        <f>IF(W247=Llistes!$K$2,Llistes!$L$2,IF(W247=Llistes!$K$3,Llistes!$L$3,IF(W247=Llistes!$K$4,Llistes!$L$4,IF(W247=Llistes!$K$5,Llistes!$L$5,IF(W247=Llistes!$K$6,Llistes!$L$6,IF(W247=Llistes!$K$7,Llistes!$L$7,""))))))</f>
        <v>Gerard Carrion</v>
      </c>
      <c r="Y247" s="165" t="s">
        <v>994</v>
      </c>
      <c r="Z247" s="165" t="s">
        <v>994</v>
      </c>
      <c r="AA247" s="165" t="s">
        <v>994</v>
      </c>
      <c r="AB247" s="165" t="s">
        <v>994</v>
      </c>
      <c r="AC247" s="147"/>
    </row>
    <row r="248" spans="1:29" ht="116">
      <c r="A248" s="21" t="s">
        <v>809</v>
      </c>
      <c r="B248" s="29"/>
      <c r="C248" s="422"/>
      <c r="D248" s="297" t="s">
        <v>826</v>
      </c>
      <c r="E248" s="403" t="s">
        <v>827</v>
      </c>
      <c r="F248" s="186" t="s">
        <v>828</v>
      </c>
      <c r="G248" s="56" t="str">
        <f>L248</f>
        <v>Planificar, detectar les necessitats de contractació del l'ENP per a l'optimització dels contractes a nivell de Xarxa i gestionar els contractes</v>
      </c>
      <c r="H248" s="216" t="s">
        <v>1131</v>
      </c>
      <c r="I248" s="31" t="s">
        <v>1124</v>
      </c>
      <c r="J248" s="163">
        <v>4</v>
      </c>
      <c r="K248" s="163">
        <v>6</v>
      </c>
      <c r="L248" s="187" t="s">
        <v>1492</v>
      </c>
      <c r="M248" s="188" t="s">
        <v>271</v>
      </c>
      <c r="N248" s="188" t="s">
        <v>285</v>
      </c>
      <c r="O248" s="56" t="s">
        <v>829</v>
      </c>
      <c r="P248" s="63"/>
      <c r="Q248" s="57" t="s">
        <v>286</v>
      </c>
      <c r="R248" s="63" t="s">
        <v>830</v>
      </c>
      <c r="S248" s="58"/>
      <c r="T248" s="59" t="s">
        <v>831</v>
      </c>
      <c r="U248" s="163">
        <v>0.15</v>
      </c>
      <c r="V248" s="163">
        <f>PLA!U251*Llistes!$L$11*Llistes!$L$12</f>
        <v>20</v>
      </c>
      <c r="W248" s="60" t="s">
        <v>291</v>
      </c>
      <c r="X248" s="60" t="str">
        <f>IF(W248=Llistes!$K$2,Llistes!$L$2,IF(W248=Llistes!$K$3,Llistes!$L$3,IF(W248=Llistes!$K$4,Llistes!$L$4,IF(W248=Llistes!$K$5,Llistes!$L$5,IF(W248=Llistes!$K$6,Llistes!$L$6,IF(W248=Llistes!$K$7,Llistes!$L$7,""))))))</f>
        <v>Gerard Carrion</v>
      </c>
      <c r="Y248" s="165" t="s">
        <v>994</v>
      </c>
      <c r="Z248" s="165" t="s">
        <v>994</v>
      </c>
      <c r="AA248" s="165" t="s">
        <v>994</v>
      </c>
      <c r="AB248" s="165" t="s">
        <v>994</v>
      </c>
      <c r="AC248" s="147"/>
    </row>
    <row r="249" spans="1:29" ht="29">
      <c r="A249" s="21"/>
      <c r="B249" s="29"/>
      <c r="C249" s="422"/>
      <c r="D249" s="298"/>
      <c r="E249" s="398"/>
      <c r="F249" s="186" t="s">
        <v>832</v>
      </c>
      <c r="G249" s="56" t="s">
        <v>1596</v>
      </c>
      <c r="H249" s="216" t="s">
        <v>1163</v>
      </c>
      <c r="I249" s="31" t="s">
        <v>1166</v>
      </c>
      <c r="J249" s="163">
        <v>80</v>
      </c>
      <c r="K249" s="163">
        <v>160</v>
      </c>
      <c r="L249" s="187"/>
      <c r="M249" s="55" t="s">
        <v>303</v>
      </c>
      <c r="N249" s="55" t="s">
        <v>285</v>
      </c>
      <c r="O249" s="103" t="s">
        <v>876</v>
      </c>
      <c r="P249" s="60"/>
      <c r="Q249" s="57" t="s">
        <v>273</v>
      </c>
      <c r="R249" s="31"/>
      <c r="S249" s="57"/>
      <c r="T249" s="166"/>
      <c r="U249" s="163">
        <v>10.050000000000001</v>
      </c>
      <c r="V249" s="163">
        <f>PLA!U252*Llistes!$L$11*Llistes!$L$12</f>
        <v>1340.0000000000002</v>
      </c>
      <c r="W249" s="60" t="s">
        <v>825</v>
      </c>
      <c r="X249" s="60" t="str">
        <f>IF(W249=Llistes!$K$2,Llistes!$L$2,IF(W249=Llistes!$K$3,Llistes!$L$3,IF(W249=Llistes!$K$4,Llistes!$L$4,IF(W249=Llistes!$K$5,Llistes!$L$5,IF(W249=Llistes!$K$6,Llistes!$L$6,IF(W249=Llistes!$K$7,Llistes!$L$7,""))))))</f>
        <v>Pilar Sanllehí</v>
      </c>
      <c r="Y249" s="165" t="s">
        <v>994</v>
      </c>
      <c r="Z249" s="165" t="s">
        <v>994</v>
      </c>
      <c r="AA249" s="165" t="s">
        <v>994</v>
      </c>
      <c r="AB249" s="165" t="s">
        <v>994</v>
      </c>
      <c r="AC249" s="147"/>
    </row>
    <row r="250" spans="1:29" ht="43.5">
      <c r="A250" s="21"/>
      <c r="B250" s="29"/>
      <c r="C250" s="422"/>
      <c r="D250" s="298"/>
      <c r="E250" s="398"/>
      <c r="F250" s="186" t="s">
        <v>1586</v>
      </c>
      <c r="G250" s="56" t="s">
        <v>879</v>
      </c>
      <c r="H250" s="216" t="s">
        <v>1172</v>
      </c>
      <c r="I250" s="31" t="s">
        <v>1173</v>
      </c>
      <c r="J250" s="163">
        <v>4</v>
      </c>
      <c r="K250" s="163">
        <v>12</v>
      </c>
      <c r="L250" s="187"/>
      <c r="M250" s="55" t="s">
        <v>303</v>
      </c>
      <c r="N250" s="55" t="s">
        <v>285</v>
      </c>
      <c r="O250" s="103" t="s">
        <v>876</v>
      </c>
      <c r="P250" s="60"/>
      <c r="Q250" s="57" t="s">
        <v>273</v>
      </c>
      <c r="R250" s="31"/>
      <c r="S250" s="57"/>
      <c r="T250" s="166"/>
      <c r="U250" s="163">
        <v>1.02</v>
      </c>
      <c r="V250" s="163">
        <f>PLA!U253*Llistes!$L$11*Llistes!$L$12</f>
        <v>136</v>
      </c>
      <c r="W250" s="60" t="s">
        <v>291</v>
      </c>
      <c r="X250" s="60" t="str">
        <f>IF(W250=Llistes!$K$2,Llistes!$L$2,IF(W250=Llistes!$K$3,Llistes!$L$3,IF(W250=Llistes!$K$4,Llistes!$L$4,IF(W250=Llistes!$K$5,Llistes!$L$5,IF(W250=Llistes!$K$6,Llistes!$L$6,IF(W250=Llistes!$K$7,Llistes!$L$7,""))))))</f>
        <v>Gerard Carrion</v>
      </c>
      <c r="Y250" s="165" t="s">
        <v>994</v>
      </c>
      <c r="Z250" s="165" t="s">
        <v>994</v>
      </c>
      <c r="AA250" s="165" t="s">
        <v>994</v>
      </c>
      <c r="AB250" s="165" t="s">
        <v>994</v>
      </c>
      <c r="AC250" s="147"/>
    </row>
    <row r="251" spans="1:29" ht="87">
      <c r="A251" s="21" t="s">
        <v>809</v>
      </c>
      <c r="B251" s="29"/>
      <c r="C251" s="422"/>
      <c r="D251" s="298"/>
      <c r="E251" s="398"/>
      <c r="F251" s="186" t="s">
        <v>1630</v>
      </c>
      <c r="G251" s="56" t="s">
        <v>1633</v>
      </c>
      <c r="H251" s="216" t="s">
        <v>1130</v>
      </c>
      <c r="I251" s="31" t="s">
        <v>1125</v>
      </c>
      <c r="J251" s="163">
        <v>1</v>
      </c>
      <c r="K251" s="163">
        <v>2</v>
      </c>
      <c r="L251" s="193" t="s">
        <v>1493</v>
      </c>
      <c r="M251" s="188" t="s">
        <v>271</v>
      </c>
      <c r="N251" s="188" t="s">
        <v>285</v>
      </c>
      <c r="O251" s="56" t="s">
        <v>833</v>
      </c>
      <c r="P251" s="56"/>
      <c r="Q251" s="57" t="s">
        <v>305</v>
      </c>
      <c r="R251" s="56" t="s">
        <v>834</v>
      </c>
      <c r="S251" s="58"/>
      <c r="T251" s="59"/>
      <c r="U251" s="163">
        <v>0.03</v>
      </c>
      <c r="V251" s="163">
        <f>PLA!U254*Llistes!$L$11*Llistes!$L$12</f>
        <v>4</v>
      </c>
      <c r="W251" s="60" t="s">
        <v>291</v>
      </c>
      <c r="X251" s="60" t="str">
        <f>IF(W251=Llistes!$K$2,Llistes!$L$2,IF(W251=Llistes!$K$3,Llistes!$L$3,IF(W251=Llistes!$K$4,Llistes!$L$4,IF(W251=Llistes!$K$5,Llistes!$L$5,IF(W251=Llistes!$K$6,Llistes!$L$6,IF(W251=Llistes!$K$7,Llistes!$L$7,""))))))</f>
        <v>Gerard Carrion</v>
      </c>
      <c r="Y251" s="165" t="s">
        <v>994</v>
      </c>
      <c r="Z251" s="165" t="s">
        <v>994</v>
      </c>
      <c r="AA251" s="165" t="s">
        <v>994</v>
      </c>
      <c r="AB251" s="165" t="s">
        <v>994</v>
      </c>
      <c r="AC251" s="147"/>
    </row>
    <row r="252" spans="1:29" ht="43.5">
      <c r="A252" s="21"/>
      <c r="B252" s="29"/>
      <c r="C252" s="422"/>
      <c r="D252" s="298"/>
      <c r="E252" s="398"/>
      <c r="F252" s="186" t="s">
        <v>1631</v>
      </c>
      <c r="G252" s="56"/>
      <c r="H252" s="216"/>
      <c r="I252" s="31"/>
      <c r="J252" s="163"/>
      <c r="K252" s="163"/>
      <c r="L252" s="193" t="s">
        <v>1587</v>
      </c>
      <c r="M252" s="188" t="s">
        <v>271</v>
      </c>
      <c r="N252" s="188" t="s">
        <v>285</v>
      </c>
      <c r="O252" s="56"/>
      <c r="P252" s="56"/>
      <c r="Q252" s="57"/>
      <c r="R252" s="56"/>
      <c r="S252" s="58"/>
      <c r="T252" s="59"/>
      <c r="U252" s="163"/>
      <c r="V252" s="163"/>
      <c r="W252" s="60"/>
      <c r="X252" s="60"/>
      <c r="Y252" s="165"/>
      <c r="Z252" s="165"/>
      <c r="AA252" s="165"/>
      <c r="AB252" s="165"/>
      <c r="AC252" s="147"/>
    </row>
    <row r="253" spans="1:29" ht="29">
      <c r="A253" s="21"/>
      <c r="B253" s="29"/>
      <c r="C253" s="422"/>
      <c r="D253" s="299"/>
      <c r="E253" s="399"/>
      <c r="F253" s="186" t="s">
        <v>1632</v>
      </c>
      <c r="G253" s="56" t="s">
        <v>877</v>
      </c>
      <c r="H253" s="216" t="s">
        <v>1162</v>
      </c>
      <c r="I253" s="31" t="s">
        <v>1165</v>
      </c>
      <c r="J253" s="163">
        <v>1</v>
      </c>
      <c r="K253" s="163">
        <v>4</v>
      </c>
      <c r="L253" s="193"/>
      <c r="M253" s="55" t="s">
        <v>303</v>
      </c>
      <c r="N253" s="55" t="s">
        <v>285</v>
      </c>
      <c r="O253" s="103" t="s">
        <v>876</v>
      </c>
      <c r="P253" s="60"/>
      <c r="Q253" s="57" t="s">
        <v>305</v>
      </c>
      <c r="R253" s="31"/>
      <c r="S253" s="57"/>
      <c r="T253" s="166"/>
      <c r="U253" s="163">
        <v>0.45</v>
      </c>
      <c r="V253" s="163">
        <f>PLA!U256*Llistes!$L$11*Llistes!$L$12</f>
        <v>60.000000000000007</v>
      </c>
      <c r="W253" s="60" t="s">
        <v>291</v>
      </c>
      <c r="X253" s="60" t="str">
        <f>IF(W253=Llistes!$K$2,Llistes!$L$2,IF(W253=Llistes!$K$3,Llistes!$L$3,IF(W253=Llistes!$K$4,Llistes!$L$4,IF(W253=Llistes!$K$5,Llistes!$L$5,IF(W253=Llistes!$K$6,Llistes!$L$6,IF(W253=Llistes!$K$7,Llistes!$L$7,""))))))</f>
        <v>Gerard Carrion</v>
      </c>
      <c r="Y253" s="165" t="s">
        <v>994</v>
      </c>
      <c r="Z253" s="165" t="s">
        <v>994</v>
      </c>
      <c r="AA253" s="165" t="s">
        <v>994</v>
      </c>
      <c r="AB253" s="165" t="s">
        <v>994</v>
      </c>
      <c r="AC253" s="147"/>
    </row>
    <row r="254" spans="1:29" ht="130.5">
      <c r="A254" s="21" t="s">
        <v>809</v>
      </c>
      <c r="B254" s="29"/>
      <c r="C254" s="422"/>
      <c r="D254" s="297" t="s">
        <v>835</v>
      </c>
      <c r="E254" s="403" t="s">
        <v>836</v>
      </c>
      <c r="F254" s="186" t="s">
        <v>837</v>
      </c>
      <c r="G254" s="56" t="s">
        <v>839</v>
      </c>
      <c r="H254" s="216" t="s">
        <v>1128</v>
      </c>
      <c r="I254" s="31" t="s">
        <v>1126</v>
      </c>
      <c r="J254" s="163">
        <v>8</v>
      </c>
      <c r="K254" s="163">
        <v>20</v>
      </c>
      <c r="L254" s="193" t="s">
        <v>838</v>
      </c>
      <c r="M254" s="188" t="s">
        <v>271</v>
      </c>
      <c r="N254" s="188" t="s">
        <v>285</v>
      </c>
      <c r="O254" s="56" t="s">
        <v>840</v>
      </c>
      <c r="P254" s="56"/>
      <c r="Q254" s="57" t="s">
        <v>286</v>
      </c>
      <c r="R254" s="56" t="s">
        <v>841</v>
      </c>
      <c r="S254" s="58"/>
      <c r="T254" s="59"/>
      <c r="U254" s="163">
        <v>2.0099999999999998</v>
      </c>
      <c r="V254" s="163">
        <f>PLA!U257*Llistes!$L$11*Llistes!$L$12</f>
        <v>268</v>
      </c>
      <c r="W254" s="60" t="s">
        <v>291</v>
      </c>
      <c r="X254" s="60" t="str">
        <f>IF(W254=Llistes!$K$2,Llistes!$L$2,IF(W254=Llistes!$K$3,Llistes!$L$3,IF(W254=Llistes!$K$4,Llistes!$L$4,IF(W254=Llistes!$K$5,Llistes!$L$5,IF(W254=Llistes!$K$6,Llistes!$L$6,IF(W254=Llistes!$K$7,Llistes!$L$7,""))))))</f>
        <v>Gerard Carrion</v>
      </c>
      <c r="Y254" s="165" t="s">
        <v>994</v>
      </c>
      <c r="Z254" s="165" t="s">
        <v>994</v>
      </c>
      <c r="AA254" s="165" t="s">
        <v>994</v>
      </c>
      <c r="AB254" s="165" t="s">
        <v>994</v>
      </c>
      <c r="AC254" s="147"/>
    </row>
    <row r="255" spans="1:29" ht="29">
      <c r="A255" s="21"/>
      <c r="B255" s="29"/>
      <c r="C255" s="422"/>
      <c r="D255" s="298"/>
      <c r="E255" s="398"/>
      <c r="F255" s="186" t="s">
        <v>837</v>
      </c>
      <c r="G255" s="56" t="s">
        <v>839</v>
      </c>
      <c r="H255" s="216" t="s">
        <v>1129</v>
      </c>
      <c r="I255" s="31" t="s">
        <v>1127</v>
      </c>
      <c r="J255" s="163">
        <v>40</v>
      </c>
      <c r="K255" s="163">
        <v>60</v>
      </c>
      <c r="L255" s="193" t="s">
        <v>838</v>
      </c>
      <c r="M255" s="188" t="s">
        <v>271</v>
      </c>
      <c r="N255" s="188" t="s">
        <v>285</v>
      </c>
      <c r="O255" s="56" t="s">
        <v>840</v>
      </c>
      <c r="P255" s="56"/>
      <c r="Q255" s="57" t="s">
        <v>286</v>
      </c>
      <c r="R255" s="56"/>
      <c r="S255" s="58"/>
      <c r="T255" s="59"/>
      <c r="U255" s="163">
        <v>2.0099999999999998</v>
      </c>
      <c r="V255" s="163">
        <f>PLA!U258*Llistes!$L$11*Llistes!$L$12</f>
        <v>268</v>
      </c>
      <c r="W255" s="60" t="s">
        <v>291</v>
      </c>
      <c r="X255" s="60" t="str">
        <f>IF(W255=Llistes!$K$2,Llistes!$L$2,IF(W255=Llistes!$K$3,Llistes!$L$3,IF(W255=Llistes!$K$4,Llistes!$L$4,IF(W255=Llistes!$K$5,Llistes!$L$5,IF(W255=Llistes!$K$6,Llistes!$L$6,IF(W255=Llistes!$K$7,Llistes!$L$7,""))))))</f>
        <v>Gerard Carrion</v>
      </c>
      <c r="Y255" s="165" t="s">
        <v>994</v>
      </c>
      <c r="Z255" s="165" t="s">
        <v>994</v>
      </c>
      <c r="AA255" s="165" t="s">
        <v>994</v>
      </c>
      <c r="AB255" s="165" t="s">
        <v>994</v>
      </c>
      <c r="AC255" s="147"/>
    </row>
    <row r="256" spans="1:29" ht="43.5">
      <c r="A256" s="21" t="s">
        <v>809</v>
      </c>
      <c r="B256" s="29"/>
      <c r="C256" s="422"/>
      <c r="D256" s="298"/>
      <c r="E256" s="398"/>
      <c r="F256" s="186" t="s">
        <v>842</v>
      </c>
      <c r="G256" s="56" t="str">
        <f>L256</f>
        <v>Adequar i actualitzar els procediments i tramitacions realitzats des de l'ENP als nous processos i eines conjuntes proposades des de Serveis Centrals</v>
      </c>
      <c r="H256" s="216" t="s">
        <v>1132</v>
      </c>
      <c r="I256" s="31" t="s">
        <v>1133</v>
      </c>
      <c r="J256" s="163"/>
      <c r="K256" s="163" t="s">
        <v>1043</v>
      </c>
      <c r="L256" s="187" t="s">
        <v>843</v>
      </c>
      <c r="M256" s="188" t="s">
        <v>271</v>
      </c>
      <c r="N256" s="188" t="s">
        <v>285</v>
      </c>
      <c r="O256" s="56"/>
      <c r="P256" s="63"/>
      <c r="Q256" s="57" t="s">
        <v>305</v>
      </c>
      <c r="R256" s="63" t="s">
        <v>844</v>
      </c>
      <c r="S256" s="58"/>
      <c r="T256" s="61" t="s">
        <v>845</v>
      </c>
      <c r="U256" s="163">
        <v>1.4999999999999999E-2</v>
      </c>
      <c r="V256" s="163">
        <f>PLA!U259*Llistes!$L$11*Llistes!$L$12</f>
        <v>2</v>
      </c>
      <c r="W256" s="60" t="s">
        <v>825</v>
      </c>
      <c r="X256" s="60" t="str">
        <f>IF(W256=Llistes!$K$2,Llistes!$L$2,IF(W256=Llistes!$K$3,Llistes!$L$3,IF(W256=Llistes!$K$4,Llistes!$L$4,IF(W256=Llistes!$K$5,Llistes!$L$5,IF(W256=Llistes!$K$6,Llistes!$L$6,IF(W256=Llistes!$K$7,Llistes!$L$7,""))))))</f>
        <v>Pilar Sanllehí</v>
      </c>
      <c r="Y256" s="165" t="s">
        <v>994</v>
      </c>
      <c r="Z256" s="165" t="s">
        <v>994</v>
      </c>
      <c r="AA256" s="165" t="s">
        <v>994</v>
      </c>
      <c r="AB256" s="165" t="s">
        <v>994</v>
      </c>
      <c r="AC256" s="147"/>
    </row>
    <row r="257" spans="1:29" ht="145">
      <c r="A257" s="21" t="s">
        <v>809</v>
      </c>
      <c r="B257" s="29"/>
      <c r="C257" s="422"/>
      <c r="D257" s="298"/>
      <c r="E257" s="398"/>
      <c r="F257" s="186" t="s">
        <v>846</v>
      </c>
      <c r="G257" s="56" t="str">
        <f>L257</f>
        <v>Augmentar el coneixement de l'equip de treball en matèria de procediment administratiu</v>
      </c>
      <c r="H257" s="216" t="s">
        <v>1134</v>
      </c>
      <c r="I257" s="31" t="s">
        <v>1136</v>
      </c>
      <c r="J257" s="163">
        <v>1</v>
      </c>
      <c r="K257" s="163">
        <v>4</v>
      </c>
      <c r="L257" s="193" t="s">
        <v>847</v>
      </c>
      <c r="M257" s="188" t="s">
        <v>271</v>
      </c>
      <c r="N257" s="188" t="s">
        <v>285</v>
      </c>
      <c r="O257" s="56"/>
      <c r="P257" s="63"/>
      <c r="Q257" s="57" t="s">
        <v>305</v>
      </c>
      <c r="R257" s="63" t="s">
        <v>848</v>
      </c>
      <c r="S257" s="58"/>
      <c r="T257" s="59"/>
      <c r="U257" s="163">
        <v>0.15</v>
      </c>
      <c r="V257" s="163">
        <f>PLA!U260*Llistes!$L$11*Llistes!$L$12</f>
        <v>20</v>
      </c>
      <c r="W257" s="60" t="s">
        <v>825</v>
      </c>
      <c r="X257" s="60" t="str">
        <f>IF(W257=Llistes!$K$2,Llistes!$L$2,IF(W257=Llistes!$K$3,Llistes!$L$3,IF(W257=Llistes!$K$4,Llistes!$L$4,IF(W257=Llistes!$K$5,Llistes!$L$5,IF(W257=Llistes!$K$6,Llistes!$L$6,IF(W257=Llistes!$K$7,Llistes!$L$7,""))))))</f>
        <v>Pilar Sanllehí</v>
      </c>
      <c r="Y257" s="165" t="s">
        <v>994</v>
      </c>
      <c r="Z257" s="165" t="s">
        <v>994</v>
      </c>
      <c r="AA257" s="165" t="s">
        <v>994</v>
      </c>
      <c r="AB257" s="165" t="s">
        <v>994</v>
      </c>
      <c r="AC257" s="147"/>
    </row>
    <row r="258" spans="1:29" ht="87">
      <c r="A258" s="21"/>
      <c r="B258" s="29"/>
      <c r="C258" s="422"/>
      <c r="D258" s="298"/>
      <c r="E258" s="398"/>
      <c r="F258" s="186" t="s">
        <v>846</v>
      </c>
      <c r="G258" s="56" t="str">
        <f>L258</f>
        <v>Augmentar el coneixement de l'equip de treball en matèria de procediment administratiu</v>
      </c>
      <c r="H258" s="216" t="s">
        <v>1135</v>
      </c>
      <c r="I258" s="31" t="s">
        <v>1137</v>
      </c>
      <c r="J258" s="163">
        <v>1</v>
      </c>
      <c r="K258" s="163">
        <v>4</v>
      </c>
      <c r="L258" s="193" t="s">
        <v>847</v>
      </c>
      <c r="M258" s="188" t="s">
        <v>271</v>
      </c>
      <c r="N258" s="188" t="s">
        <v>285</v>
      </c>
      <c r="O258" s="56"/>
      <c r="P258" s="63"/>
      <c r="Q258" s="57" t="s">
        <v>305</v>
      </c>
      <c r="R258" s="63"/>
      <c r="S258" s="58"/>
      <c r="T258" s="59"/>
      <c r="U258" s="163">
        <v>0.15</v>
      </c>
      <c r="V258" s="163">
        <f>PLA!U261*Llistes!$L$11*Llistes!$L$12</f>
        <v>20</v>
      </c>
      <c r="W258" s="60" t="s">
        <v>825</v>
      </c>
      <c r="X258" s="60" t="str">
        <f>IF(W258=Llistes!$K$2,Llistes!$L$2,IF(W258=Llistes!$K$3,Llistes!$L$3,IF(W258=Llistes!$K$4,Llistes!$L$4,IF(W258=Llistes!$K$5,Llistes!$L$5,IF(W258=Llistes!$K$6,Llistes!$L$6,IF(W258=Llistes!$K$7,Llistes!$L$7,""))))))</f>
        <v>Pilar Sanllehí</v>
      </c>
      <c r="Y258" s="165" t="s">
        <v>994</v>
      </c>
      <c r="Z258" s="165" t="s">
        <v>994</v>
      </c>
      <c r="AA258" s="165" t="s">
        <v>994</v>
      </c>
      <c r="AB258" s="165" t="s">
        <v>994</v>
      </c>
      <c r="AC258" s="147"/>
    </row>
    <row r="259" spans="1:29" ht="29">
      <c r="A259" s="21" t="s">
        <v>809</v>
      </c>
      <c r="B259" s="29"/>
      <c r="C259" s="422"/>
      <c r="D259" s="298"/>
      <c r="E259" s="398"/>
      <c r="F259" s="186" t="s">
        <v>849</v>
      </c>
      <c r="G259" s="56" t="str">
        <f>L259</f>
        <v>Garantir la transparència administrativa</v>
      </c>
      <c r="H259" s="216" t="s">
        <v>1138</v>
      </c>
      <c r="I259" s="31" t="s">
        <v>1139</v>
      </c>
      <c r="J259" s="163"/>
      <c r="K259" s="163">
        <v>1</v>
      </c>
      <c r="L259" s="187" t="s">
        <v>850</v>
      </c>
      <c r="M259" s="188" t="s">
        <v>303</v>
      </c>
      <c r="N259" s="188" t="s">
        <v>285</v>
      </c>
      <c r="O259" s="56"/>
      <c r="P259" s="63"/>
      <c r="Q259" s="57" t="s">
        <v>305</v>
      </c>
      <c r="R259" s="63" t="s">
        <v>851</v>
      </c>
      <c r="S259" s="58"/>
      <c r="T259" s="59"/>
      <c r="U259" s="163">
        <v>1.4999999999999999E-2</v>
      </c>
      <c r="V259" s="163">
        <f>PLA!U262*Llistes!$L$11*Llistes!$L$12</f>
        <v>2</v>
      </c>
      <c r="W259" s="60" t="s">
        <v>825</v>
      </c>
      <c r="X259" s="60" t="str">
        <f>IF(W259=Llistes!$K$2,Llistes!$L$2,IF(W259=Llistes!$K$3,Llistes!$L$3,IF(W259=Llistes!$K$4,Llistes!$L$4,IF(W259=Llistes!$K$5,Llistes!$L$5,IF(W259=Llistes!$K$6,Llistes!$L$6,IF(W259=Llistes!$K$7,Llistes!$L$7,""))))))</f>
        <v>Pilar Sanllehí</v>
      </c>
      <c r="Y259" s="165" t="s">
        <v>994</v>
      </c>
      <c r="Z259" s="165" t="s">
        <v>994</v>
      </c>
      <c r="AA259" s="165" t="s">
        <v>994</v>
      </c>
      <c r="AB259" s="165" t="s">
        <v>994</v>
      </c>
      <c r="AC259" s="147"/>
    </row>
    <row r="260" spans="1:29" ht="43.5">
      <c r="A260" s="21" t="s">
        <v>809</v>
      </c>
      <c r="B260" s="29"/>
      <c r="C260" s="422"/>
      <c r="D260" s="298"/>
      <c r="E260" s="398"/>
      <c r="F260" s="186" t="s">
        <v>852</v>
      </c>
      <c r="G260" s="56" t="str">
        <f>L260</f>
        <v>Millorar i mantenir el material, infraestructures i equipaments de gestió de l'espai</v>
      </c>
      <c r="H260" s="215" t="s">
        <v>1140</v>
      </c>
      <c r="I260" s="31" t="s">
        <v>1141</v>
      </c>
      <c r="J260" s="163">
        <v>12</v>
      </c>
      <c r="K260" s="163">
        <v>20</v>
      </c>
      <c r="L260" s="187" t="s">
        <v>1494</v>
      </c>
      <c r="M260" s="188" t="s">
        <v>271</v>
      </c>
      <c r="N260" s="188" t="s">
        <v>285</v>
      </c>
      <c r="O260" s="56"/>
      <c r="P260" s="63"/>
      <c r="Q260" s="57" t="s">
        <v>273</v>
      </c>
      <c r="R260" s="63" t="s">
        <v>853</v>
      </c>
      <c r="S260" s="58"/>
      <c r="T260" s="54"/>
      <c r="U260" s="163">
        <v>4.4999999999999998E-2</v>
      </c>
      <c r="V260" s="163">
        <f>PLA!U263*Llistes!$L$11*Llistes!$L$12</f>
        <v>6</v>
      </c>
      <c r="W260" s="60" t="s">
        <v>291</v>
      </c>
      <c r="X260" s="60" t="str">
        <f>IF(W260=Llistes!$K$2,Llistes!$L$2,IF(W260=Llistes!$K$3,Llistes!$L$3,IF(W260=Llistes!$K$4,Llistes!$L$4,IF(W260=Llistes!$K$5,Llistes!$L$5,IF(W260=Llistes!$K$6,Llistes!$L$6,IF(W260=Llistes!$K$7,Llistes!$L$7,""))))))</f>
        <v>Gerard Carrion</v>
      </c>
      <c r="Y260" s="165" t="s">
        <v>994</v>
      </c>
      <c r="Z260" s="165" t="s">
        <v>994</v>
      </c>
      <c r="AA260" s="165" t="s">
        <v>994</v>
      </c>
      <c r="AB260" s="165" t="s">
        <v>994</v>
      </c>
      <c r="AC260" s="147"/>
    </row>
    <row r="261" spans="1:29" ht="58">
      <c r="A261" s="21"/>
      <c r="B261" s="29"/>
      <c r="C261" s="422"/>
      <c r="D261" s="415"/>
      <c r="E261" s="416"/>
      <c r="F261" s="186" t="s">
        <v>852</v>
      </c>
      <c r="G261" s="56" t="s">
        <v>880</v>
      </c>
      <c r="H261" s="216" t="s">
        <v>1164</v>
      </c>
      <c r="I261" s="31" t="s">
        <v>1174</v>
      </c>
      <c r="J261" s="163"/>
      <c r="K261" s="163">
        <v>0</v>
      </c>
      <c r="L261" s="187"/>
      <c r="M261" s="55" t="s">
        <v>303</v>
      </c>
      <c r="N261" s="188"/>
      <c r="O261" s="103" t="s">
        <v>876</v>
      </c>
      <c r="P261" s="60"/>
      <c r="Q261" s="57" t="s">
        <v>273</v>
      </c>
      <c r="R261" s="31"/>
      <c r="S261" s="57"/>
      <c r="T261" s="166"/>
      <c r="U261" s="163">
        <v>0.45</v>
      </c>
      <c r="V261" s="163">
        <f>PLA!U264*Llistes!$L$11*Llistes!$L$12</f>
        <v>60.000000000000007</v>
      </c>
      <c r="W261" s="60" t="s">
        <v>291</v>
      </c>
      <c r="X261" s="60" t="str">
        <f>IF(W261=Llistes!$K$2,Llistes!$L$2,IF(W261=Llistes!$K$3,Llistes!$L$3,IF(W261=Llistes!$K$4,Llistes!$L$4,IF(W261=Llistes!$K$5,Llistes!$L$5,IF(W261=Llistes!$K$6,Llistes!$L$6,IF(W261=Llistes!$K$7,Llistes!$L$7,""))))))</f>
        <v>Gerard Carrion</v>
      </c>
      <c r="Y261" s="165" t="s">
        <v>994</v>
      </c>
      <c r="Z261" s="165" t="s">
        <v>994</v>
      </c>
      <c r="AA261" s="165" t="s">
        <v>994</v>
      </c>
      <c r="AB261" s="165" t="s">
        <v>994</v>
      </c>
      <c r="AC261" s="147"/>
    </row>
    <row r="262" spans="1:29" s="203" customFormat="1" ht="87">
      <c r="A262" s="21" t="s">
        <v>809</v>
      </c>
      <c r="B262" s="29"/>
      <c r="C262" s="422"/>
      <c r="D262" s="371" t="s">
        <v>854</v>
      </c>
      <c r="E262" s="372" t="s">
        <v>855</v>
      </c>
      <c r="F262" s="186" t="s">
        <v>856</v>
      </c>
      <c r="G262" s="56" t="str">
        <f>L262</f>
        <v>Revisar l’estat dels béns patrimonials i la situació administrativa-legal dels equipaments del parc</v>
      </c>
      <c r="H262" s="215" t="s">
        <v>1142</v>
      </c>
      <c r="I262" s="31" t="s">
        <v>1143</v>
      </c>
      <c r="J262" s="163">
        <v>2</v>
      </c>
      <c r="K262" s="163">
        <v>4</v>
      </c>
      <c r="L262" s="187" t="s">
        <v>857</v>
      </c>
      <c r="M262" s="188" t="s">
        <v>271</v>
      </c>
      <c r="N262" s="188" t="s">
        <v>285</v>
      </c>
      <c r="O262" s="56"/>
      <c r="P262" s="63"/>
      <c r="Q262" s="57" t="s">
        <v>273</v>
      </c>
      <c r="R262" s="63" t="s">
        <v>858</v>
      </c>
      <c r="S262" s="58"/>
      <c r="T262" s="61" t="s">
        <v>859</v>
      </c>
      <c r="U262" s="163">
        <v>4.4999999999999998E-2</v>
      </c>
      <c r="V262" s="163">
        <f>PLA!U265*Llistes!$L$11*Llistes!$L$12</f>
        <v>6</v>
      </c>
      <c r="W262" s="60" t="s">
        <v>291</v>
      </c>
      <c r="X262" s="60" t="str">
        <f>IF(W262=Llistes!$K$2,Llistes!$L$2,IF(W262=Llistes!$K$3,Llistes!$L$3,IF(W262=Llistes!$K$4,Llistes!$L$4,IF(W262=Llistes!$K$5,Llistes!$L$5,IF(W262=Llistes!$K$6,Llistes!$L$6,IF(W262=Llistes!$K$7,Llistes!$L$7,""))))))</f>
        <v>Gerard Carrion</v>
      </c>
      <c r="Y262" s="165" t="s">
        <v>994</v>
      </c>
      <c r="Z262" s="165" t="s">
        <v>994</v>
      </c>
      <c r="AA262" s="165" t="s">
        <v>994</v>
      </c>
      <c r="AB262" s="165" t="s">
        <v>994</v>
      </c>
      <c r="AC262" s="148"/>
    </row>
    <row r="263" spans="1:29" ht="87">
      <c r="A263" s="21" t="s">
        <v>809</v>
      </c>
      <c r="B263" s="29"/>
      <c r="C263" s="422"/>
      <c r="D263" s="298"/>
      <c r="E263" s="373"/>
      <c r="F263" s="186" t="s">
        <v>860</v>
      </c>
      <c r="G263" s="56" t="str">
        <f>L263</f>
        <v>Tenir cobertes les pèrdues o danys materials del patrimoni de la Direcció General que hi ha a l'àmbit territorial del Parc, com a conseqüència de la materialització de qualsevol dels riscs emparats en el plec de prescripcions tècniques de la pòlissa.</v>
      </c>
      <c r="H263" s="215" t="s">
        <v>1144</v>
      </c>
      <c r="I263" s="31" t="s">
        <v>1145</v>
      </c>
      <c r="J263" s="163">
        <v>1</v>
      </c>
      <c r="K263" s="163">
        <v>4</v>
      </c>
      <c r="L263" s="187" t="s">
        <v>861</v>
      </c>
      <c r="M263" s="188" t="s">
        <v>271</v>
      </c>
      <c r="N263" s="188" t="s">
        <v>279</v>
      </c>
      <c r="O263" s="56"/>
      <c r="P263" s="63"/>
      <c r="Q263" s="57" t="s">
        <v>273</v>
      </c>
      <c r="R263" s="63" t="s">
        <v>862</v>
      </c>
      <c r="S263" s="58"/>
      <c r="T263" s="61" t="s">
        <v>863</v>
      </c>
      <c r="U263" s="163">
        <v>1.4999999999999999E-2</v>
      </c>
      <c r="V263" s="163">
        <f>PLA!U266*Llistes!$L$11*Llistes!$L$12</f>
        <v>2</v>
      </c>
      <c r="W263" s="60" t="s">
        <v>291</v>
      </c>
      <c r="X263" s="60" t="str">
        <f>IF(W263=Llistes!$K$2,Llistes!$L$2,IF(W263=Llistes!$K$3,Llistes!$L$3,IF(W263=Llistes!$K$4,Llistes!$L$4,IF(W263=Llistes!$K$5,Llistes!$L$5,IF(W263=Llistes!$K$6,Llistes!$L$6,IF(W263=Llistes!$K$7,Llistes!$L$7,""))))))</f>
        <v>Gerard Carrion</v>
      </c>
      <c r="Y263" s="165" t="s">
        <v>994</v>
      </c>
      <c r="Z263" s="165" t="s">
        <v>994</v>
      </c>
      <c r="AA263" s="165" t="s">
        <v>994</v>
      </c>
      <c r="AB263" s="165" t="s">
        <v>994</v>
      </c>
      <c r="AC263" s="147"/>
    </row>
    <row r="264" spans="1:29" ht="72.5">
      <c r="A264" s="21" t="s">
        <v>809</v>
      </c>
      <c r="B264" s="29"/>
      <c r="C264" s="422"/>
      <c r="D264" s="20" t="s">
        <v>864</v>
      </c>
      <c r="E264" s="45" t="s">
        <v>865</v>
      </c>
      <c r="F264" s="186" t="s">
        <v>866</v>
      </c>
      <c r="G264" s="56" t="str">
        <f>L264</f>
        <v>Millorar l'accessibilitat i de la gestió documental i digital de l'ENP</v>
      </c>
      <c r="H264" s="216" t="s">
        <v>1146</v>
      </c>
      <c r="I264" s="31" t="s">
        <v>1312</v>
      </c>
      <c r="J264" s="163"/>
      <c r="K264" s="163" t="s">
        <v>1043</v>
      </c>
      <c r="L264" s="187" t="s">
        <v>1495</v>
      </c>
      <c r="M264" s="188" t="s">
        <v>271</v>
      </c>
      <c r="N264" s="188" t="s">
        <v>285</v>
      </c>
      <c r="O264" s="56"/>
      <c r="P264" s="31"/>
      <c r="Q264" s="57" t="s">
        <v>305</v>
      </c>
      <c r="R264" s="31" t="s">
        <v>867</v>
      </c>
      <c r="S264" s="58"/>
      <c r="T264" s="59" t="s">
        <v>868</v>
      </c>
      <c r="U264" s="163">
        <v>1.4999999999999999E-2</v>
      </c>
      <c r="V264" s="163">
        <f>PLA!U267*Llistes!$L$11*Llistes!$L$12</f>
        <v>2</v>
      </c>
      <c r="W264" s="60" t="s">
        <v>825</v>
      </c>
      <c r="X264" s="60" t="str">
        <f>IF(W264=Llistes!$K$2,Llistes!$L$2,IF(W264=Llistes!$K$3,Llistes!$L$3,IF(W264=Llistes!$K$4,Llistes!$L$4,IF(W264=Llistes!$K$5,Llistes!$L$5,IF(W264=Llistes!$K$6,Llistes!$L$6,IF(W264=Llistes!$K$7,Llistes!$L$7,""))))))</f>
        <v>Pilar Sanllehí</v>
      </c>
      <c r="Y264" s="165" t="s">
        <v>994</v>
      </c>
      <c r="Z264" s="165" t="s">
        <v>994</v>
      </c>
      <c r="AA264" s="165" t="s">
        <v>994</v>
      </c>
      <c r="AB264" s="165" t="s">
        <v>994</v>
      </c>
      <c r="AC264" s="147"/>
    </row>
    <row r="265" spans="1:29" ht="43.5">
      <c r="A265" s="21" t="s">
        <v>809</v>
      </c>
      <c r="B265" s="29"/>
      <c r="C265" s="422"/>
      <c r="D265" s="400" t="s">
        <v>869</v>
      </c>
      <c r="E265" s="403" t="s">
        <v>870</v>
      </c>
      <c r="F265" s="186" t="s">
        <v>871</v>
      </c>
      <c r="G265" s="56" t="s">
        <v>873</v>
      </c>
      <c r="H265" s="216" t="s">
        <v>1147</v>
      </c>
      <c r="I265" s="31" t="s">
        <v>1150</v>
      </c>
      <c r="J265" s="163">
        <v>12</v>
      </c>
      <c r="K265" s="163">
        <v>16</v>
      </c>
      <c r="L265" s="187" t="s">
        <v>872</v>
      </c>
      <c r="M265" s="188" t="s">
        <v>303</v>
      </c>
      <c r="N265" s="188" t="s">
        <v>285</v>
      </c>
      <c r="O265" s="56" t="s">
        <v>874</v>
      </c>
      <c r="P265" s="31"/>
      <c r="Q265" s="57" t="s">
        <v>273</v>
      </c>
      <c r="R265" s="31"/>
      <c r="S265" s="58"/>
      <c r="T265" s="59"/>
      <c r="U265" s="163">
        <v>1.02</v>
      </c>
      <c r="V265" s="163">
        <f>PLA!U268*Llistes!$L$11*Llistes!$L$12</f>
        <v>136</v>
      </c>
      <c r="W265" s="60" t="s">
        <v>349</v>
      </c>
      <c r="X265" s="60" t="str">
        <f>IF(W265=Llistes!$K$2,Llistes!$L$2,IF(W265=Llistes!$K$3,Llistes!$L$3,IF(W265=Llistes!$K$4,Llistes!$L$4,IF(W265=Llistes!$K$5,Llistes!$L$5,IF(W265=Llistes!$K$6,Llistes!$L$6,IF(W265=Llistes!$K$7,Llistes!$L$7,""))))))</f>
        <v>Sergi Roura</v>
      </c>
      <c r="Y265" s="165" t="s">
        <v>994</v>
      </c>
      <c r="Z265" s="165" t="s">
        <v>994</v>
      </c>
      <c r="AA265" s="165" t="s">
        <v>994</v>
      </c>
      <c r="AB265" s="165" t="s">
        <v>994</v>
      </c>
      <c r="AC265" s="147"/>
    </row>
    <row r="266" spans="1:29" ht="29">
      <c r="A266" s="21"/>
      <c r="B266" s="29"/>
      <c r="C266" s="422"/>
      <c r="D266" s="401"/>
      <c r="E266" s="398"/>
      <c r="F266" s="186" t="s">
        <v>871</v>
      </c>
      <c r="G266" s="56" t="s">
        <v>873</v>
      </c>
      <c r="H266" s="216" t="s">
        <v>1148</v>
      </c>
      <c r="I266" s="31" t="s">
        <v>1151</v>
      </c>
      <c r="J266" s="163"/>
      <c r="K266" s="163" t="s">
        <v>1043</v>
      </c>
      <c r="L266" s="187" t="s">
        <v>872</v>
      </c>
      <c r="M266" s="188" t="s">
        <v>303</v>
      </c>
      <c r="N266" s="188" t="s">
        <v>285</v>
      </c>
      <c r="O266" s="56" t="s">
        <v>874</v>
      </c>
      <c r="P266" s="31"/>
      <c r="Q266" s="57" t="s">
        <v>273</v>
      </c>
      <c r="R266" s="31"/>
      <c r="S266" s="58"/>
      <c r="T266" s="59"/>
      <c r="U266" s="163">
        <v>1.02</v>
      </c>
      <c r="V266" s="163">
        <f>PLA!U269*Llistes!$L$11*Llistes!$L$12</f>
        <v>136</v>
      </c>
      <c r="W266" s="60" t="s">
        <v>349</v>
      </c>
      <c r="X266" s="60" t="str">
        <f>IF(W266=Llistes!$K$2,Llistes!$L$2,IF(W266=Llistes!$K$3,Llistes!$L$3,IF(W266=Llistes!$K$4,Llistes!$L$4,IF(W266=Llistes!$K$5,Llistes!$L$5,IF(W266=Llistes!$K$6,Llistes!$L$6,IF(W266=Llistes!$K$7,Llistes!$L$7,""))))))</f>
        <v>Sergi Roura</v>
      </c>
      <c r="Y266" s="165" t="s">
        <v>994</v>
      </c>
      <c r="Z266" s="165" t="s">
        <v>994</v>
      </c>
      <c r="AA266" s="165" t="s">
        <v>994</v>
      </c>
      <c r="AB266" s="165" t="s">
        <v>994</v>
      </c>
      <c r="AC266" s="147"/>
    </row>
    <row r="267" spans="1:29" ht="29">
      <c r="A267" s="21"/>
      <c r="B267" s="29"/>
      <c r="C267" s="422"/>
      <c r="D267" s="401"/>
      <c r="E267" s="398"/>
      <c r="F267" s="186" t="s">
        <v>871</v>
      </c>
      <c r="G267" s="56" t="s">
        <v>873</v>
      </c>
      <c r="H267" s="216" t="s">
        <v>1149</v>
      </c>
      <c r="I267" s="31" t="s">
        <v>1141</v>
      </c>
      <c r="J267" s="163">
        <v>12</v>
      </c>
      <c r="K267" s="163">
        <v>20</v>
      </c>
      <c r="L267" s="187" t="s">
        <v>872</v>
      </c>
      <c r="M267" s="188" t="s">
        <v>303</v>
      </c>
      <c r="N267" s="188" t="s">
        <v>285</v>
      </c>
      <c r="O267" s="56" t="s">
        <v>874</v>
      </c>
      <c r="P267" s="31"/>
      <c r="Q267" s="57" t="s">
        <v>273</v>
      </c>
      <c r="R267" s="31"/>
      <c r="S267" s="58"/>
      <c r="T267" s="59"/>
      <c r="U267" s="163">
        <v>4.4999999999999998E-2</v>
      </c>
      <c r="V267" s="163">
        <f>PLA!U270*Llistes!$L$11*Llistes!$L$12</f>
        <v>6</v>
      </c>
      <c r="W267" s="60" t="s">
        <v>291</v>
      </c>
      <c r="X267" s="60" t="str">
        <f>IF(W267=Llistes!$K$2,Llistes!$L$2,IF(W267=Llistes!$K$3,Llistes!$L$3,IF(W267=Llistes!$K$4,Llistes!$L$4,IF(W267=Llistes!$K$5,Llistes!$L$5,IF(W267=Llistes!$K$6,Llistes!$L$6,IF(W267=Llistes!$K$7,Llistes!$L$7,""))))))</f>
        <v>Gerard Carrion</v>
      </c>
      <c r="Y267" s="165" t="s">
        <v>994</v>
      </c>
      <c r="Z267" s="165" t="s">
        <v>994</v>
      </c>
      <c r="AA267" s="165" t="s">
        <v>994</v>
      </c>
      <c r="AB267" s="165" t="s">
        <v>994</v>
      </c>
      <c r="AC267" s="147"/>
    </row>
    <row r="268" spans="1:29" ht="72.5">
      <c r="A268" s="21" t="s">
        <v>809</v>
      </c>
      <c r="B268" s="29"/>
      <c r="C268" s="422"/>
      <c r="D268" s="401"/>
      <c r="E268" s="398"/>
      <c r="F268" s="186" t="s">
        <v>875</v>
      </c>
      <c r="G268" s="56" t="s">
        <v>1634</v>
      </c>
      <c r="H268" s="216" t="s">
        <v>1152</v>
      </c>
      <c r="I268" s="31" t="s">
        <v>1156</v>
      </c>
      <c r="J268" s="163">
        <v>1</v>
      </c>
      <c r="K268" s="163">
        <v>5</v>
      </c>
      <c r="L268" s="187" t="s">
        <v>1496</v>
      </c>
      <c r="M268" s="188" t="s">
        <v>303</v>
      </c>
      <c r="N268" s="188" t="s">
        <v>285</v>
      </c>
      <c r="O268" s="56" t="s">
        <v>874</v>
      </c>
      <c r="P268" s="31"/>
      <c r="Q268" s="57" t="s">
        <v>273</v>
      </c>
      <c r="R268" s="31"/>
      <c r="S268" s="58"/>
      <c r="T268" s="59"/>
      <c r="U268" s="163">
        <v>0.15</v>
      </c>
      <c r="V268" s="163">
        <f>PLA!U271*Llistes!$L$11*Llistes!$L$12</f>
        <v>20</v>
      </c>
      <c r="W268" s="60" t="s">
        <v>291</v>
      </c>
      <c r="X268" s="60" t="str">
        <f>IF(W268=Llistes!$K$2,Llistes!$L$2,IF(W268=Llistes!$K$3,Llistes!$L$3,IF(W268=Llistes!$K$4,Llistes!$L$4,IF(W268=Llistes!$K$5,Llistes!$L$5,IF(W268=Llistes!$K$6,Llistes!$L$6,IF(W268=Llistes!$K$7,Llistes!$L$7,""))))))</f>
        <v>Gerard Carrion</v>
      </c>
      <c r="Y268" s="165" t="s">
        <v>994</v>
      </c>
      <c r="Z268" s="165" t="s">
        <v>994</v>
      </c>
      <c r="AA268" s="165" t="s">
        <v>994</v>
      </c>
      <c r="AB268" s="165" t="s">
        <v>994</v>
      </c>
      <c r="AC268" s="147"/>
    </row>
    <row r="269" spans="1:29" ht="29">
      <c r="A269" s="21"/>
      <c r="B269" s="29"/>
      <c r="C269" s="422"/>
      <c r="D269" s="401"/>
      <c r="E269" s="398"/>
      <c r="F269" s="186" t="s">
        <v>1497</v>
      </c>
      <c r="G269" s="56" t="s">
        <v>1441</v>
      </c>
      <c r="H269" s="216" t="s">
        <v>1154</v>
      </c>
      <c r="I269" s="31" t="s">
        <v>1158</v>
      </c>
      <c r="J269" s="163">
        <v>1</v>
      </c>
      <c r="K269" s="163">
        <v>1</v>
      </c>
      <c r="L269" s="187"/>
      <c r="M269" s="55" t="s">
        <v>303</v>
      </c>
      <c r="N269" s="55"/>
      <c r="O269" s="103" t="s">
        <v>876</v>
      </c>
      <c r="P269" s="31"/>
      <c r="Q269" s="57" t="s">
        <v>273</v>
      </c>
      <c r="R269" s="31"/>
      <c r="S269" s="58"/>
      <c r="T269" s="59"/>
      <c r="U269" s="163">
        <v>0.21</v>
      </c>
      <c r="V269" s="163">
        <f>PLA!U272*Llistes!$L$11*Llistes!$L$12</f>
        <v>28</v>
      </c>
      <c r="W269" s="60" t="s">
        <v>291</v>
      </c>
      <c r="X269" s="60" t="str">
        <f>IF(W269=Llistes!$K$2,Llistes!$L$2,IF(W269=Llistes!$K$3,Llistes!$L$3,IF(W269=Llistes!$K$4,Llistes!$L$4,IF(W269=Llistes!$K$5,Llistes!$L$5,IF(W269=Llistes!$K$6,Llistes!$L$6,IF(W269=Llistes!$K$7,Llistes!$L$7,""))))))</f>
        <v>Gerard Carrion</v>
      </c>
      <c r="Y269" s="165" t="s">
        <v>994</v>
      </c>
      <c r="Z269" s="165" t="s">
        <v>994</v>
      </c>
      <c r="AA269" s="165" t="s">
        <v>994</v>
      </c>
      <c r="AB269" s="165" t="s">
        <v>994</v>
      </c>
      <c r="AC269" s="147"/>
    </row>
    <row r="270" spans="1:29" ht="29">
      <c r="A270" s="21"/>
      <c r="B270" s="29"/>
      <c r="C270" s="422"/>
      <c r="D270" s="401"/>
      <c r="E270" s="398"/>
      <c r="F270" s="186" t="s">
        <v>1497</v>
      </c>
      <c r="G270" s="56" t="s">
        <v>1441</v>
      </c>
      <c r="H270" s="216" t="s">
        <v>1155</v>
      </c>
      <c r="I270" s="31" t="s">
        <v>1159</v>
      </c>
      <c r="J270" s="163"/>
      <c r="K270" s="163" t="s">
        <v>1043</v>
      </c>
      <c r="L270" s="187"/>
      <c r="M270" s="55" t="s">
        <v>303</v>
      </c>
      <c r="N270" s="55"/>
      <c r="O270" s="103" t="s">
        <v>876</v>
      </c>
      <c r="P270" s="31"/>
      <c r="Q270" s="57" t="s">
        <v>273</v>
      </c>
      <c r="R270" s="31"/>
      <c r="S270" s="58"/>
      <c r="T270" s="59"/>
      <c r="U270" s="163">
        <v>7.4999999999999997E-2</v>
      </c>
      <c r="V270" s="163">
        <f>PLA!U273*Llistes!$L$11*Llistes!$L$12</f>
        <v>10</v>
      </c>
      <c r="W270" s="60" t="s">
        <v>291</v>
      </c>
      <c r="X270" s="60" t="str">
        <f>IF(W270=Llistes!$K$2,Llistes!$L$2,IF(W270=Llistes!$K$3,Llistes!$L$3,IF(W270=Llistes!$K$4,Llistes!$L$4,IF(W270=Llistes!$K$5,Llistes!$L$5,IF(W270=Llistes!$K$6,Llistes!$L$6,IF(W270=Llistes!$K$7,Llistes!$L$7,""))))))</f>
        <v>Gerard Carrion</v>
      </c>
      <c r="Y270" s="165" t="s">
        <v>994</v>
      </c>
      <c r="Z270" s="165" t="s">
        <v>994</v>
      </c>
      <c r="AA270" s="165" t="s">
        <v>994</v>
      </c>
      <c r="AB270" s="165" t="s">
        <v>994</v>
      </c>
      <c r="AC270" s="147"/>
    </row>
    <row r="271" spans="1:29" ht="29">
      <c r="A271" s="21"/>
      <c r="B271" s="29"/>
      <c r="C271" s="422"/>
      <c r="D271" s="401"/>
      <c r="E271" s="398"/>
      <c r="F271" s="186" t="s">
        <v>1497</v>
      </c>
      <c r="G271" s="56" t="s">
        <v>1441</v>
      </c>
      <c r="H271" s="216" t="s">
        <v>1153</v>
      </c>
      <c r="I271" s="31" t="s">
        <v>1157</v>
      </c>
      <c r="J271" s="163">
        <v>1</v>
      </c>
      <c r="K271" s="163">
        <v>3</v>
      </c>
      <c r="L271" s="54"/>
      <c r="M271" s="55" t="s">
        <v>303</v>
      </c>
      <c r="N271" s="55"/>
      <c r="O271" s="103" t="s">
        <v>876</v>
      </c>
      <c r="P271" s="31"/>
      <c r="Q271" s="57" t="s">
        <v>273</v>
      </c>
      <c r="R271" s="31"/>
      <c r="S271" s="58"/>
      <c r="T271" s="59"/>
      <c r="U271" s="163">
        <v>3</v>
      </c>
      <c r="V271" s="163">
        <f>PLA!U274*Llistes!$L$11*Llistes!$L$12</f>
        <v>400</v>
      </c>
      <c r="W271" s="60" t="s">
        <v>291</v>
      </c>
      <c r="X271" s="60" t="str">
        <f>IF(W271=Llistes!$K$2,Llistes!$L$2,IF(W271=Llistes!$K$3,Llistes!$L$3,IF(W271=Llistes!$K$4,Llistes!$L$4,IF(W271=Llistes!$K$5,Llistes!$L$5,IF(W271=Llistes!$K$6,Llistes!$L$6,IF(W271=Llistes!$K$7,Llistes!$L$7,""))))))</f>
        <v>Gerard Carrion</v>
      </c>
      <c r="Y271" s="165" t="s">
        <v>994</v>
      </c>
      <c r="Z271" s="165" t="s">
        <v>994</v>
      </c>
      <c r="AA271" s="165" t="s">
        <v>994</v>
      </c>
      <c r="AB271" s="165" t="s">
        <v>994</v>
      </c>
      <c r="AC271" s="147"/>
    </row>
    <row r="272" spans="1:29" ht="43.5">
      <c r="A272" s="21"/>
      <c r="B272" s="29"/>
      <c r="C272" s="422"/>
      <c r="D272" s="401"/>
      <c r="E272" s="398"/>
      <c r="F272" s="186" t="s">
        <v>1603</v>
      </c>
      <c r="G272" s="56" t="s">
        <v>1635</v>
      </c>
      <c r="H272" s="216" t="s">
        <v>1160</v>
      </c>
      <c r="I272" s="31" t="s">
        <v>1161</v>
      </c>
      <c r="J272" s="163"/>
      <c r="K272" s="163" t="s">
        <v>1043</v>
      </c>
      <c r="L272" s="187"/>
      <c r="M272" s="55" t="s">
        <v>303</v>
      </c>
      <c r="N272" s="55"/>
      <c r="O272" s="103" t="s">
        <v>876</v>
      </c>
      <c r="P272" s="60"/>
      <c r="Q272" s="57" t="s">
        <v>273</v>
      </c>
      <c r="R272" s="31"/>
      <c r="S272" s="57"/>
      <c r="T272" s="166"/>
      <c r="U272" s="163">
        <v>1.4999999999999999E-2</v>
      </c>
      <c r="V272" s="163">
        <f>PLA!U275*Llistes!$L$11*Llistes!$L$12</f>
        <v>2</v>
      </c>
      <c r="W272" s="5" t="s">
        <v>291</v>
      </c>
      <c r="X272" s="60" t="str">
        <f>IF(W272=Llistes!$K$2,Llistes!$L$2,IF(W272=Llistes!$K$3,Llistes!$L$3,IF(W272=Llistes!$K$4,Llistes!$L$4,IF(W272=Llistes!$K$5,Llistes!$L$5,IF(W272=Llistes!$K$6,Llistes!$L$6,IF(W272=Llistes!$K$7,Llistes!$L$7,""))))))</f>
        <v>Gerard Carrion</v>
      </c>
      <c r="Y272" s="165" t="s">
        <v>994</v>
      </c>
      <c r="Z272" s="165" t="s">
        <v>994</v>
      </c>
      <c r="AA272" s="165" t="s">
        <v>994</v>
      </c>
      <c r="AB272" s="165" t="s">
        <v>994</v>
      </c>
      <c r="AC272" s="147"/>
    </row>
    <row r="273" spans="1:29" ht="29">
      <c r="A273" s="21"/>
      <c r="B273" s="29"/>
      <c r="C273" s="422"/>
      <c r="D273" s="401"/>
      <c r="E273" s="398"/>
      <c r="F273" s="186" t="s">
        <v>1604</v>
      </c>
      <c r="G273" s="56"/>
      <c r="H273" s="216"/>
      <c r="I273" s="31"/>
      <c r="J273" s="163"/>
      <c r="K273" s="163"/>
      <c r="L273" s="187" t="s">
        <v>1498</v>
      </c>
      <c r="M273" s="188" t="s">
        <v>271</v>
      </c>
      <c r="N273" s="188" t="s">
        <v>279</v>
      </c>
      <c r="O273" s="103"/>
      <c r="P273" s="31"/>
      <c r="Q273" s="57"/>
      <c r="R273" s="31"/>
      <c r="S273" s="58"/>
      <c r="T273" s="59"/>
      <c r="U273" s="163"/>
      <c r="V273" s="163"/>
      <c r="W273" s="60"/>
      <c r="X273" s="60"/>
      <c r="Y273" s="165"/>
      <c r="Z273" s="165"/>
      <c r="AA273" s="165"/>
      <c r="AB273" s="165"/>
      <c r="AC273" s="147"/>
    </row>
    <row r="274" spans="1:29">
      <c r="J274" s="146"/>
      <c r="K274" s="146"/>
      <c r="U274" s="146"/>
      <c r="V274" s="146"/>
    </row>
  </sheetData>
  <mergeCells count="135">
    <mergeCell ref="B45:B58"/>
    <mergeCell ref="B59:B77"/>
    <mergeCell ref="B78:B83"/>
    <mergeCell ref="B84:B115"/>
    <mergeCell ref="B116:B117"/>
    <mergeCell ref="B132:B137"/>
    <mergeCell ref="A138:A140"/>
    <mergeCell ref="C33:C44"/>
    <mergeCell ref="D33:D40"/>
    <mergeCell ref="E33:E40"/>
    <mergeCell ref="D41:D44"/>
    <mergeCell ref="E41:E44"/>
    <mergeCell ref="B2:B32"/>
    <mergeCell ref="C2:C32"/>
    <mergeCell ref="D2:D10"/>
    <mergeCell ref="E2:E10"/>
    <mergeCell ref="D11:D19"/>
    <mergeCell ref="E11:E19"/>
    <mergeCell ref="D20:D27"/>
    <mergeCell ref="E20:E27"/>
    <mergeCell ref="D28:D32"/>
    <mergeCell ref="E28:E32"/>
    <mergeCell ref="B33:B44"/>
    <mergeCell ref="C45:C58"/>
    <mergeCell ref="D45:D47"/>
    <mergeCell ref="E45:E47"/>
    <mergeCell ref="D48:D51"/>
    <mergeCell ref="E48:E51"/>
    <mergeCell ref="D52:D56"/>
    <mergeCell ref="E52:E56"/>
    <mergeCell ref="D57:D58"/>
    <mergeCell ref="E57:E58"/>
    <mergeCell ref="C78:C83"/>
    <mergeCell ref="D79:D81"/>
    <mergeCell ref="E79:E81"/>
    <mergeCell ref="D82:D83"/>
    <mergeCell ref="E82:E83"/>
    <mergeCell ref="F73:F74"/>
    <mergeCell ref="D75:D77"/>
    <mergeCell ref="E75:E77"/>
    <mergeCell ref="C59:C77"/>
    <mergeCell ref="D59:D63"/>
    <mergeCell ref="E59:E63"/>
    <mergeCell ref="D64:D69"/>
    <mergeCell ref="E64:E69"/>
    <mergeCell ref="D70:D74"/>
    <mergeCell ref="E70:E74"/>
    <mergeCell ref="B119:B130"/>
    <mergeCell ref="D122:D128"/>
    <mergeCell ref="E122:E128"/>
    <mergeCell ref="D129:D131"/>
    <mergeCell ref="E129:E131"/>
    <mergeCell ref="C84:C115"/>
    <mergeCell ref="D84:D86"/>
    <mergeCell ref="E84:E86"/>
    <mergeCell ref="D87:D99"/>
    <mergeCell ref="E87:E99"/>
    <mergeCell ref="D100:D103"/>
    <mergeCell ref="E100:E103"/>
    <mergeCell ref="D104:D109"/>
    <mergeCell ref="E104:E109"/>
    <mergeCell ref="D110:D115"/>
    <mergeCell ref="E110:E115"/>
    <mergeCell ref="C132:C137"/>
    <mergeCell ref="D132:D134"/>
    <mergeCell ref="E132:E134"/>
    <mergeCell ref="D135:D136"/>
    <mergeCell ref="E135:E136"/>
    <mergeCell ref="C116:C117"/>
    <mergeCell ref="C118:C131"/>
    <mergeCell ref="D118:D120"/>
    <mergeCell ref="E118:E120"/>
    <mergeCell ref="D177:D180"/>
    <mergeCell ref="E177:E180"/>
    <mergeCell ref="D181:D182"/>
    <mergeCell ref="E181:E182"/>
    <mergeCell ref="D138:D139"/>
    <mergeCell ref="E138:E139"/>
    <mergeCell ref="D140:D152"/>
    <mergeCell ref="E140:E152"/>
    <mergeCell ref="D153:D155"/>
    <mergeCell ref="E153:E155"/>
    <mergeCell ref="D156:D161"/>
    <mergeCell ref="E156:E161"/>
    <mergeCell ref="D162:D163"/>
    <mergeCell ref="E162:E163"/>
    <mergeCell ref="D164:D166"/>
    <mergeCell ref="E164:E166"/>
    <mergeCell ref="D167:D176"/>
    <mergeCell ref="E167:E176"/>
    <mergeCell ref="D205:D209"/>
    <mergeCell ref="E205:E209"/>
    <mergeCell ref="D210:D213"/>
    <mergeCell ref="E210:E213"/>
    <mergeCell ref="D183:D185"/>
    <mergeCell ref="E183:E185"/>
    <mergeCell ref="D186:D192"/>
    <mergeCell ref="E186:E192"/>
    <mergeCell ref="D193:D197"/>
    <mergeCell ref="E193:E197"/>
    <mergeCell ref="C243:C273"/>
    <mergeCell ref="D243:D247"/>
    <mergeCell ref="E243:E247"/>
    <mergeCell ref="D248:D253"/>
    <mergeCell ref="E248:E253"/>
    <mergeCell ref="D254:D261"/>
    <mergeCell ref="E254:E261"/>
    <mergeCell ref="D262:D263"/>
    <mergeCell ref="E262:E263"/>
    <mergeCell ref="D265:D273"/>
    <mergeCell ref="E265:E273"/>
    <mergeCell ref="N73:N74"/>
    <mergeCell ref="M73:M74"/>
    <mergeCell ref="L73:L74"/>
    <mergeCell ref="C225:C238"/>
    <mergeCell ref="B225:B238"/>
    <mergeCell ref="C239:C242"/>
    <mergeCell ref="C140:C180"/>
    <mergeCell ref="B140:B180"/>
    <mergeCell ref="C181:C182"/>
    <mergeCell ref="B181:B182"/>
    <mergeCell ref="D228:D231"/>
    <mergeCell ref="E228:E231"/>
    <mergeCell ref="D232:D238"/>
    <mergeCell ref="E232:E238"/>
    <mergeCell ref="D239:D242"/>
    <mergeCell ref="E239:E242"/>
    <mergeCell ref="D214:D216"/>
    <mergeCell ref="E214:E216"/>
    <mergeCell ref="D217:D224"/>
    <mergeCell ref="E217:E224"/>
    <mergeCell ref="D225:D227"/>
    <mergeCell ref="E225:E227"/>
    <mergeCell ref="D198:D204"/>
    <mergeCell ref="E198:E204"/>
  </mergeCells>
  <conditionalFormatting sqref="O212:O215 M212:N212">
    <cfRule type="duplicateValues" dxfId="1" priority="2"/>
  </conditionalFormatting>
  <conditionalFormatting sqref="M213:N213">
    <cfRule type="duplicateValues" dxfId="0" priority="1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86E376E-D193-47A2-8C97-280D7E7F90E7}">
          <x14:formula1>
            <xm:f>Full1!$C$2:$C$6</xm:f>
          </x14:formula1>
          <xm:sqref>Q2:Q142 Q144:Q273</xm:sqref>
        </x14:dataValidation>
        <x14:dataValidation type="list" allowBlank="1" showInputMessage="1" showErrorMessage="1" xr:uid="{FEE64336-B0AB-4CBB-8184-BC2CFE18AA58}">
          <x14:formula1>
            <xm:f>Llistes!$K$2:$K$7</xm:f>
          </x14:formula1>
          <xm:sqref>W2:W273</xm:sqref>
        </x14:dataValidation>
        <x14:dataValidation type="list" allowBlank="1" showInputMessage="1" showErrorMessage="1" xr:uid="{DC44B932-E6F6-4F41-94E2-367618F99785}">
          <x14:formula1>
            <xm:f>Full1!$E$2:$E$3</xm:f>
          </x14:formula1>
          <xm:sqref>P273 P2:P271</xm:sqref>
        </x14:dataValidation>
        <x14:dataValidation type="list" allowBlank="1" showInputMessage="1" showErrorMessage="1" xr:uid="{A98E607E-C499-440F-9E83-CD571CA115D5}">
          <x14:formula1>
            <xm:f>'d:\36981662P\OneDrive - Generalitat de Catalunya\Plans estratègics\0Models\[Model Pla Estrategic ENP_v2024_final_revisat des2024.xlsx]Full1'!#REF!</xm:f>
          </x14:formula1>
          <xm:sqref>M147:N152 M224:N224 M273:N273 M26:N27 M191:N192 M53:N56 M10:N10 M24:N24 M32:N32 M39:N40 M58:N58 M69:N69 M83:N83 M95:N95 M99:N99 M108:N109 M113:N113 M118:N118 M121:N121 M127:N128 M131:N139 M162:N163 M181:N182 M203:N204 M207:N209 M213:N215 M252:N253 M240:N240</xm:sqref>
        </x14:dataValidation>
        <x14:dataValidation type="list" allowBlank="1" showInputMessage="1" showErrorMessage="1" xr:uid="{7D961F8B-8D6E-4075-92AF-25AF8833642D}">
          <x14:formula1>
            <xm:f>Full1!$B$2:$B$3</xm:f>
          </x14:formula1>
          <xm:sqref>N122:N126 N183:N190 N216:N223 N210:N212 N129:N130 N75:N82 N41:N52 N25 N2:N9 N11:N23 N28:N31 N33:N38 N57 N59:N68 N241:N251 N84:N94 N96:N98 N100:N107 N110:N112 N114:N117 N119:N120 N153:N161 N164:N180 N193:N202 N205:N206 N225:N239 N140:N146 N70:N73 N253:N272</xm:sqref>
        </x14:dataValidation>
        <x14:dataValidation type="list" allowBlank="1" showInputMessage="1" showErrorMessage="1" xr:uid="{9F16D66A-97BF-4747-84AB-AE8701756619}">
          <x14:formula1>
            <xm:f>Full1!$A$2:$A$3</xm:f>
          </x14:formula1>
          <xm:sqref>M122:M126 M183:M190 M216:M223 M210:M212 M129:M130 M75:M82 M41:M52 M25 M2:M9 M11:M23 M28:M31 M33:M38 M57 M59:M68 M140:M146 M84:M94 M96:M98 M100:M107 M110:M112 M114:M117 M119:M120 M153:M161 M164:M180 M193:M202 M205:M206 M225:M239 M241:M251 M70:M73 M253:M272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I16" sqref="I16"/>
    </sheetView>
  </sheetViews>
  <sheetFormatPr defaultColWidth="9.269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6"/>
  <sheetViews>
    <sheetView workbookViewId="0">
      <selection activeCell="D36" sqref="A4:D36"/>
    </sheetView>
  </sheetViews>
  <sheetFormatPr defaultColWidth="9.26953125" defaultRowHeight="14.5"/>
  <cols>
    <col min="1" max="1" width="6.453125" customWidth="1"/>
    <col min="2" max="2" width="57.1796875" customWidth="1"/>
    <col min="3" max="3" width="45" customWidth="1"/>
    <col min="4" max="4" width="61" style="30" customWidth="1"/>
    <col min="8" max="8" width="26.453125" customWidth="1"/>
  </cols>
  <sheetData>
    <row r="1" spans="1:4" ht="15.5">
      <c r="A1" s="75" t="s">
        <v>881</v>
      </c>
    </row>
    <row r="2" spans="1:4" ht="15.5">
      <c r="A2" s="75"/>
    </row>
    <row r="3" spans="1:4" ht="16" thickBot="1">
      <c r="A3" s="75" t="s">
        <v>882</v>
      </c>
    </row>
    <row r="4" spans="1:4" ht="16" thickBot="1">
      <c r="A4" s="78" t="s">
        <v>883</v>
      </c>
      <c r="B4" s="101" t="s">
        <v>884</v>
      </c>
      <c r="C4" s="80" t="s">
        <v>885</v>
      </c>
      <c r="D4" s="79" t="s">
        <v>886</v>
      </c>
    </row>
    <row r="5" spans="1:4" ht="29">
      <c r="A5" s="102" t="s">
        <v>269</v>
      </c>
      <c r="B5" s="100" t="str">
        <f>PLA!J5</f>
        <v>Implementar i executar plans de gestió específics per a hàbitats i espècies de conservació prioritària dins l'ENP</v>
      </c>
      <c r="C5" s="100" t="s">
        <v>891</v>
      </c>
      <c r="D5" s="77" t="s">
        <v>984</v>
      </c>
    </row>
    <row r="6" spans="1:4">
      <c r="A6" s="102" t="s">
        <v>278</v>
      </c>
      <c r="B6" s="100" t="e">
        <f>PLA!#REF!</f>
        <v>#REF!</v>
      </c>
      <c r="C6" s="100" t="s">
        <v>157</v>
      </c>
      <c r="D6" s="76"/>
    </row>
    <row r="7" spans="1:4" ht="43.5">
      <c r="A7" s="103" t="s">
        <v>283</v>
      </c>
      <c r="B7" s="100" t="str">
        <f>PLA!J14</f>
        <v>Implementar la metodologia de gestió adaptativa (Estàndards Oberts de Gestió Adaptativa a Catalunya) en tots els processos de l'ENP</v>
      </c>
      <c r="C7" s="100" t="s">
        <v>157</v>
      </c>
      <c r="D7" s="76" t="s">
        <v>986</v>
      </c>
    </row>
    <row r="8" spans="1:4" ht="43.5">
      <c r="A8" s="103" t="s">
        <v>292</v>
      </c>
      <c r="B8" s="100" t="str">
        <f>PLA!J18</f>
        <v>Executar les mesures previstes en els plans de conservació o recuperació d'espècies amenaçades de forma coordinada amb el Servei de Flora i Fauna en l'àmbit de l'ENP</v>
      </c>
      <c r="C8" s="100" t="s">
        <v>157</v>
      </c>
      <c r="D8" s="76" t="s">
        <v>986</v>
      </c>
    </row>
    <row r="9" spans="1:4" ht="43.5">
      <c r="A9" s="103" t="s">
        <v>296</v>
      </c>
      <c r="B9" s="100" t="str">
        <f>PLA!J20</f>
        <v>Executar les mesures de gestió previstes en els plans de control i erradicació d'espècies exòtiques de forma coordinada amb el Servei de Flora i Fauna en l'àmbit de l'ENP</v>
      </c>
      <c r="C9" s="100" t="s">
        <v>887</v>
      </c>
      <c r="D9" s="76" t="s">
        <v>985</v>
      </c>
    </row>
    <row r="10" spans="1:4" ht="29">
      <c r="A10" s="103" t="s">
        <v>301</v>
      </c>
      <c r="B10" s="100" t="str">
        <f>PLA!J21</f>
        <v xml:space="preserve">Desplegar els objectius i tasques recollits en els instruments de referència i compromisos internacionals  </v>
      </c>
      <c r="C10" s="100" t="s">
        <v>157</v>
      </c>
      <c r="D10" s="76" t="s">
        <v>1409</v>
      </c>
    </row>
    <row r="11" spans="1:4" ht="29">
      <c r="A11" s="102" t="s">
        <v>309</v>
      </c>
      <c r="B11" s="100" t="str">
        <f>PLA!J24</f>
        <v>Identificar espais pel foment de la dinàmica natural i l'aprofitament no extractiu</v>
      </c>
      <c r="C11" s="100" t="s">
        <v>888</v>
      </c>
      <c r="D11" s="76" t="s">
        <v>202</v>
      </c>
    </row>
    <row r="12" spans="1:4">
      <c r="A12" s="102" t="s">
        <v>312</v>
      </c>
      <c r="B12" s="100" t="str">
        <f>PLA!J25</f>
        <v>Afavorir la maduresa dels sistemes forestals</v>
      </c>
      <c r="C12" s="100" t="s">
        <v>888</v>
      </c>
      <c r="D12" s="76" t="s">
        <v>202</v>
      </c>
    </row>
    <row r="13" spans="1:4">
      <c r="A13" s="102" t="s">
        <v>316</v>
      </c>
      <c r="B13" s="100" t="str">
        <f>PLA!J26</f>
        <v>Generar pertorbacions controlades</v>
      </c>
      <c r="C13" s="100" t="s">
        <v>888</v>
      </c>
      <c r="D13" s="76" t="s">
        <v>986</v>
      </c>
    </row>
    <row r="14" spans="1:4">
      <c r="A14" s="102" t="s">
        <v>321</v>
      </c>
      <c r="B14" s="100" t="e">
        <f>PLA!#REF!</f>
        <v>#REF!</v>
      </c>
      <c r="C14" s="100" t="s">
        <v>888</v>
      </c>
      <c r="D14" s="76"/>
    </row>
    <row r="15" spans="1:4">
      <c r="A15" s="102" t="s">
        <v>322</v>
      </c>
      <c r="B15" s="100" t="str">
        <f>PLA!J28</f>
        <v>Fomentar el paisatge en mosaïc</v>
      </c>
      <c r="C15" s="100" t="s">
        <v>888</v>
      </c>
      <c r="D15" s="76" t="s">
        <v>213</v>
      </c>
    </row>
    <row r="16" spans="1:4">
      <c r="A16" s="102" t="s">
        <v>325</v>
      </c>
      <c r="B16" s="100" t="e">
        <f>PLA!#REF!</f>
        <v>#REF!</v>
      </c>
      <c r="C16" s="100" t="s">
        <v>888</v>
      </c>
      <c r="D16" s="76"/>
    </row>
    <row r="17" spans="1:4" ht="29">
      <c r="A17" s="102" t="s">
        <v>328</v>
      </c>
      <c r="B17" s="100" t="str">
        <f>PLA!J32</f>
        <v>Fomentar acords de custòdia en espais d'alt valor dins l'ENP per a la gestió dels elements prioritaris</v>
      </c>
      <c r="C17" s="100" t="s">
        <v>157</v>
      </c>
      <c r="D17" s="76" t="s">
        <v>987</v>
      </c>
    </row>
    <row r="18" spans="1:4" ht="29">
      <c r="A18" s="102" t="s">
        <v>332</v>
      </c>
      <c r="B18" s="100" t="str">
        <f>PLA!J33</f>
        <v>Fomentar bones pràctiques entre els col·lectius de propietaris i gestors del territori</v>
      </c>
      <c r="C18" s="100" t="s">
        <v>157</v>
      </c>
      <c r="D18" s="76" t="s">
        <v>987</v>
      </c>
    </row>
    <row r="19" spans="1:4">
      <c r="A19" s="102" t="s">
        <v>336</v>
      </c>
      <c r="B19" s="100" t="e">
        <f>PLA!#REF!</f>
        <v>#REF!</v>
      </c>
      <c r="C19" s="100" t="s">
        <v>157</v>
      </c>
      <c r="D19" s="76"/>
    </row>
    <row r="20" spans="1:4">
      <c r="A20" s="102" t="s">
        <v>340</v>
      </c>
      <c r="B20" s="100" t="str">
        <f>PLA!J38</f>
        <v>Redactar i implementar el Pla d'adaptació de l'ENP al canvi climàtic</v>
      </c>
      <c r="C20" s="100" t="s">
        <v>889</v>
      </c>
      <c r="D20" s="76" t="s">
        <v>988</v>
      </c>
    </row>
    <row r="21" spans="1:4">
      <c r="A21" s="102" t="s">
        <v>346</v>
      </c>
      <c r="B21" s="100" t="str">
        <f>PLA!J41</f>
        <v>Gestionar i planificar els recursos hídrics de l'ENP</v>
      </c>
      <c r="C21" s="100" t="s">
        <v>890</v>
      </c>
      <c r="D21" s="76" t="s">
        <v>989</v>
      </c>
    </row>
    <row r="22" spans="1:4">
      <c r="A22" s="102" t="s">
        <v>350</v>
      </c>
      <c r="B22" s="100" t="e">
        <f>PLA!#REF!</f>
        <v>#REF!</v>
      </c>
      <c r="C22" s="100" t="s">
        <v>157</v>
      </c>
      <c r="D22" s="76"/>
    </row>
    <row r="23" spans="1:4">
      <c r="A23" s="102" t="s">
        <v>351</v>
      </c>
      <c r="B23" s="100" t="e">
        <f>PLA!#REF!</f>
        <v>#REF!</v>
      </c>
      <c r="C23" s="100" t="s">
        <v>157</v>
      </c>
      <c r="D23" s="76"/>
    </row>
    <row r="24" spans="1:4">
      <c r="A24" s="102" t="s">
        <v>354</v>
      </c>
      <c r="B24" s="100" t="str">
        <f>PLA!J45</f>
        <v xml:space="preserve">Col·laborar en la implementació del Pla de Prevenció d'Incendis </v>
      </c>
      <c r="C24" s="100" t="s">
        <v>892</v>
      </c>
      <c r="D24" s="76" t="s">
        <v>202</v>
      </c>
    </row>
    <row r="25" spans="1:4" ht="29">
      <c r="A25" s="102" t="s">
        <v>360</v>
      </c>
      <c r="B25" s="100" t="str">
        <f>PLA!J46</f>
        <v>Participar en la definició i planificació de la gestió del foc per a la millora de l'ENP</v>
      </c>
      <c r="C25" s="100" t="s">
        <v>892</v>
      </c>
      <c r="D25" s="76" t="s">
        <v>202</v>
      </c>
    </row>
    <row r="26" spans="1:4" ht="29">
      <c r="A26" s="102" t="s">
        <v>366</v>
      </c>
      <c r="B26" s="100" t="str">
        <f>PLA!J47</f>
        <v>Treballar per a la prevenció d'incendis juntament amb el CAR, propietaris, ajuntaments, protecció civil, ADF, DARPA i bombers.</v>
      </c>
      <c r="C26" s="100" t="s">
        <v>892</v>
      </c>
      <c r="D26" s="76" t="s">
        <v>202</v>
      </c>
    </row>
    <row r="27" spans="1:4" ht="29">
      <c r="A27" s="102" t="s">
        <v>371</v>
      </c>
      <c r="B27" s="100" t="str">
        <f>PLA!J48</f>
        <v>Participar en les consultes dels processos d'Avaluació Ambiental que afectin directament o indirectament l’ENP</v>
      </c>
      <c r="C27" s="100" t="s">
        <v>893</v>
      </c>
      <c r="D27" s="76" t="s">
        <v>990</v>
      </c>
    </row>
    <row r="28" spans="1:4" ht="29">
      <c r="A28" s="102" t="s">
        <v>376</v>
      </c>
      <c r="B28" s="100" t="str">
        <f>PLA!J49</f>
        <v>Exercir un seguiment efectiu dels treballs informats a l'ENP per assegurar l'acompliment de les condicions establertes.</v>
      </c>
      <c r="C28" s="100" t="s">
        <v>157</v>
      </c>
      <c r="D28" s="76" t="s">
        <v>988</v>
      </c>
    </row>
    <row r="29" spans="1:4" ht="43.5">
      <c r="A29" s="102" t="s">
        <v>381</v>
      </c>
      <c r="B29" s="100" t="str">
        <f>PLA!J50</f>
        <v>Participar en la compensació d'impactes residuals durant els processos d'avaluació ambiental mitjançant la identificació de necessitats d'actuació prioritària dins i fora dels límits de l’ENP</v>
      </c>
      <c r="C29" s="100" t="s">
        <v>893</v>
      </c>
      <c r="D29" s="76" t="s">
        <v>988</v>
      </c>
    </row>
    <row r="30" spans="1:4">
      <c r="A30" s="102" t="s">
        <v>387</v>
      </c>
      <c r="B30" s="100" t="str">
        <f>PLA!J51</f>
        <v>Participar en l'elaboració dels instruments de planificació de l'ENP</v>
      </c>
      <c r="C30" s="100" t="s">
        <v>157</v>
      </c>
      <c r="D30" s="76" t="s">
        <v>988</v>
      </c>
    </row>
    <row r="31" spans="1:4">
      <c r="A31" s="102" t="s">
        <v>392</v>
      </c>
      <c r="B31" s="100" t="e">
        <f>PLA!#REF!</f>
        <v>#REF!</v>
      </c>
      <c r="C31" s="100" t="s">
        <v>157</v>
      </c>
      <c r="D31" s="76"/>
    </row>
    <row r="32" spans="1:4">
      <c r="A32" s="102" t="s">
        <v>393</v>
      </c>
      <c r="B32" s="100" t="e">
        <f>PLA!#REF!</f>
        <v>#REF!</v>
      </c>
      <c r="C32" s="100" t="s">
        <v>157</v>
      </c>
      <c r="D32" s="76"/>
    </row>
    <row r="33" spans="1:4" ht="43.5">
      <c r="A33" s="102" t="s">
        <v>394</v>
      </c>
      <c r="B33" s="100" t="str">
        <f>PLA!J55</f>
        <v>Avaluar i controlar les actuacions que produeixin drenatges, captacions o que puguin impedir l’arribada d’aigua tant superficial com freàtica</v>
      </c>
      <c r="C33" s="100" t="s">
        <v>890</v>
      </c>
      <c r="D33" s="76" t="s">
        <v>991</v>
      </c>
    </row>
    <row r="34" spans="1:4">
      <c r="A34" s="102" t="s">
        <v>397</v>
      </c>
      <c r="B34" s="100" t="e">
        <f>PLA!#REF!</f>
        <v>#REF!</v>
      </c>
      <c r="C34" s="100" t="s">
        <v>157</v>
      </c>
      <c r="D34" s="76"/>
    </row>
    <row r="35" spans="1:4" ht="29">
      <c r="A35" s="102" t="s">
        <v>400</v>
      </c>
      <c r="B35" s="100" t="str">
        <f>PLA!J60</f>
        <v xml:space="preserve">Identificar espais prioritaris per a la compra de terrenys de més valor dins l'ENP </v>
      </c>
      <c r="C35" s="100" t="s">
        <v>157</v>
      </c>
      <c r="D35" s="76" t="s">
        <v>992</v>
      </c>
    </row>
    <row r="36" spans="1:4">
      <c r="A36" s="102" t="s">
        <v>404</v>
      </c>
      <c r="B36" s="100" t="e">
        <f>PLA!#REF!</f>
        <v>#REF!</v>
      </c>
      <c r="C36" s="100" t="s">
        <v>157</v>
      </c>
      <c r="D36" s="76" t="s">
        <v>992</v>
      </c>
    </row>
    <row r="37" spans="1:4">
      <c r="A37" s="76"/>
      <c r="B37" s="118"/>
      <c r="C37" s="118"/>
      <c r="D37" s="76"/>
    </row>
    <row r="38" spans="1:4">
      <c r="A38" s="76"/>
      <c r="B38" s="118"/>
      <c r="C38" s="118"/>
      <c r="D38" s="76"/>
    </row>
    <row r="39" spans="1:4">
      <c r="A39" s="76"/>
      <c r="B39" s="118"/>
      <c r="C39" s="76"/>
      <c r="D39" s="118"/>
    </row>
    <row r="40" spans="1:4">
      <c r="A40" s="76"/>
      <c r="B40" s="118"/>
      <c r="C40" s="76"/>
      <c r="D40" s="118"/>
    </row>
    <row r="41" spans="1:4">
      <c r="A41" s="76"/>
      <c r="B41" s="118"/>
      <c r="C41" s="76"/>
      <c r="D41" s="118"/>
    </row>
    <row r="42" spans="1:4">
      <c r="A42" s="76"/>
      <c r="B42" s="118"/>
      <c r="C42" s="76"/>
      <c r="D42" s="118"/>
    </row>
    <row r="43" spans="1:4">
      <c r="A43" s="76"/>
      <c r="B43" s="118"/>
      <c r="C43" s="76"/>
      <c r="D43" s="118"/>
    </row>
    <row r="44" spans="1:4">
      <c r="A44" s="76"/>
      <c r="B44" s="118"/>
      <c r="C44" s="76"/>
      <c r="D44" s="118"/>
    </row>
    <row r="45" spans="1:4">
      <c r="A45" s="76"/>
      <c r="B45" s="118"/>
      <c r="C45" s="76"/>
      <c r="D45" s="118"/>
    </row>
    <row r="46" spans="1:4">
      <c r="A46" s="76"/>
      <c r="B46" s="118"/>
      <c r="C46" s="76"/>
      <c r="D46" s="118"/>
    </row>
    <row r="47" spans="1:4">
      <c r="A47" s="76"/>
      <c r="B47" s="118"/>
      <c r="C47" s="76"/>
      <c r="D47" s="118"/>
    </row>
    <row r="48" spans="1:4">
      <c r="A48" s="76"/>
      <c r="B48" s="118"/>
      <c r="C48" s="76"/>
      <c r="D48" s="118"/>
    </row>
    <row r="49" spans="1:4">
      <c r="A49" s="76"/>
      <c r="B49" s="118"/>
      <c r="C49" s="76"/>
      <c r="D49" s="118"/>
    </row>
    <row r="50" spans="1:4">
      <c r="A50" s="76"/>
      <c r="B50" s="118"/>
      <c r="C50" s="76"/>
      <c r="D50" s="118"/>
    </row>
    <row r="51" spans="1:4">
      <c r="A51" s="76"/>
      <c r="B51" s="118"/>
      <c r="C51" s="76"/>
      <c r="D51" s="118"/>
    </row>
    <row r="52" spans="1:4">
      <c r="A52" s="76"/>
      <c r="B52" s="118"/>
      <c r="C52" s="76"/>
      <c r="D52" s="118"/>
    </row>
    <row r="53" spans="1:4">
      <c r="A53" s="76"/>
      <c r="B53" s="118"/>
      <c r="C53" s="76"/>
      <c r="D53" s="118"/>
    </row>
    <row r="54" spans="1:4">
      <c r="A54" s="76"/>
      <c r="B54" s="118"/>
      <c r="C54" s="76"/>
      <c r="D54" s="118"/>
    </row>
    <row r="55" spans="1:4">
      <c r="A55" s="76"/>
      <c r="B55" s="118"/>
      <c r="C55" s="76"/>
      <c r="D55" s="118"/>
    </row>
    <row r="56" spans="1:4">
      <c r="A56" s="76"/>
      <c r="B56" s="118"/>
      <c r="C56" s="76"/>
      <c r="D56" s="118"/>
    </row>
    <row r="57" spans="1:4">
      <c r="A57" s="76"/>
      <c r="B57" s="118"/>
      <c r="C57" s="76"/>
      <c r="D57" s="118"/>
    </row>
    <row r="58" spans="1:4">
      <c r="A58" s="76"/>
      <c r="B58" s="118"/>
      <c r="C58" s="76"/>
      <c r="D58" s="118"/>
    </row>
    <row r="59" spans="1:4">
      <c r="A59" s="76"/>
      <c r="B59" s="118"/>
      <c r="C59" s="76"/>
      <c r="D59" s="118"/>
    </row>
    <row r="60" spans="1:4">
      <c r="A60" s="76"/>
      <c r="B60" s="118"/>
      <c r="C60" s="76"/>
      <c r="D60" s="118"/>
    </row>
    <row r="61" spans="1:4">
      <c r="A61" s="76"/>
      <c r="B61" s="118"/>
      <c r="C61" s="76"/>
      <c r="D61" s="118"/>
    </row>
    <row r="62" spans="1:4">
      <c r="A62" s="76"/>
      <c r="B62" s="118"/>
      <c r="C62" s="76"/>
      <c r="D62" s="118"/>
    </row>
    <row r="63" spans="1:4">
      <c r="A63" s="76"/>
      <c r="B63" s="118"/>
      <c r="C63" s="76"/>
      <c r="D63" s="118"/>
    </row>
    <row r="64" spans="1:4">
      <c r="A64" s="76"/>
      <c r="B64" s="118"/>
      <c r="C64" s="76"/>
      <c r="D64" s="118"/>
    </row>
    <row r="65" spans="1:4">
      <c r="A65" s="76"/>
      <c r="B65" s="118"/>
      <c r="C65" s="76"/>
      <c r="D65" s="118"/>
    </row>
    <row r="66" spans="1:4">
      <c r="A66" s="76"/>
      <c r="B66" s="118"/>
      <c r="C66" s="76"/>
      <c r="D66" s="118"/>
    </row>
    <row r="67" spans="1:4">
      <c r="A67" s="76"/>
      <c r="B67" s="118"/>
      <c r="C67" s="76"/>
      <c r="D67" s="118"/>
    </row>
    <row r="68" spans="1:4">
      <c r="A68" s="76"/>
      <c r="B68" s="118"/>
      <c r="C68" s="76"/>
      <c r="D68" s="118"/>
    </row>
    <row r="69" spans="1:4">
      <c r="A69" s="76"/>
      <c r="B69" s="118"/>
      <c r="C69" s="76"/>
      <c r="D69" s="118"/>
    </row>
    <row r="70" spans="1:4">
      <c r="A70" s="76"/>
      <c r="B70" s="118"/>
      <c r="C70" s="76"/>
      <c r="D70" s="118"/>
    </row>
    <row r="71" spans="1:4">
      <c r="A71" s="76"/>
      <c r="B71" s="118"/>
      <c r="C71" s="76"/>
      <c r="D71" s="118"/>
    </row>
    <row r="72" spans="1:4">
      <c r="A72" s="76"/>
      <c r="B72" s="118"/>
      <c r="C72" s="76"/>
      <c r="D72" s="118"/>
    </row>
    <row r="73" spans="1:4">
      <c r="A73" s="76"/>
      <c r="B73" s="118"/>
      <c r="C73" s="76"/>
      <c r="D73" s="118"/>
    </row>
    <row r="74" spans="1:4">
      <c r="A74" s="76"/>
      <c r="B74" s="118"/>
      <c r="C74" s="76"/>
      <c r="D74" s="118"/>
    </row>
    <row r="75" spans="1:4">
      <c r="A75" s="76"/>
      <c r="B75" s="118"/>
      <c r="C75" s="76"/>
      <c r="D75" s="118"/>
    </row>
    <row r="76" spans="1:4">
      <c r="A76" s="76"/>
      <c r="B76" s="118"/>
      <c r="C76" s="76"/>
      <c r="D76" s="118"/>
    </row>
    <row r="77" spans="1:4">
      <c r="A77" s="76"/>
      <c r="B77" s="118"/>
      <c r="C77" s="76"/>
      <c r="D77" s="118"/>
    </row>
    <row r="78" spans="1:4">
      <c r="A78" s="76"/>
      <c r="B78" s="118"/>
      <c r="C78" s="76"/>
      <c r="D78" s="118"/>
    </row>
    <row r="79" spans="1:4">
      <c r="A79" s="76"/>
      <c r="B79" s="118"/>
      <c r="C79" s="76"/>
      <c r="D79" s="118"/>
    </row>
    <row r="80" spans="1:4">
      <c r="A80" s="76"/>
      <c r="B80" s="118"/>
      <c r="C80" s="76"/>
      <c r="D80" s="118"/>
    </row>
    <row r="81" spans="1:4">
      <c r="A81" s="76"/>
      <c r="B81" s="118"/>
      <c r="C81" s="76"/>
      <c r="D81" s="118"/>
    </row>
    <row r="82" spans="1:4">
      <c r="A82" s="76"/>
      <c r="B82" s="118"/>
      <c r="C82" s="76"/>
      <c r="D82" s="118"/>
    </row>
    <row r="83" spans="1:4">
      <c r="A83" s="76"/>
      <c r="B83" s="118"/>
      <c r="C83" s="76"/>
      <c r="D83" s="118"/>
    </row>
    <row r="84" spans="1:4">
      <c r="A84" s="76"/>
      <c r="B84" s="118"/>
      <c r="C84" s="76"/>
      <c r="D84" s="118"/>
    </row>
    <row r="85" spans="1:4">
      <c r="A85" s="76"/>
      <c r="B85" s="118"/>
      <c r="C85" s="76"/>
      <c r="D85" s="118"/>
    </row>
    <row r="86" spans="1:4">
      <c r="A86" s="76"/>
      <c r="B86" s="118"/>
      <c r="C86" s="76"/>
      <c r="D86" s="118"/>
    </row>
    <row r="87" spans="1:4">
      <c r="A87" s="76"/>
      <c r="B87" s="118"/>
      <c r="C87" s="76"/>
      <c r="D87" s="118"/>
    </row>
    <row r="88" spans="1:4">
      <c r="A88" s="76"/>
      <c r="B88" s="118"/>
      <c r="C88" s="76"/>
      <c r="D88" s="118"/>
    </row>
    <row r="89" spans="1:4">
      <c r="A89" s="76"/>
      <c r="B89" s="118"/>
      <c r="C89" s="76"/>
      <c r="D89" s="118"/>
    </row>
    <row r="90" spans="1:4">
      <c r="A90" s="76"/>
      <c r="B90" s="118"/>
      <c r="C90" s="76"/>
      <c r="D90" s="118"/>
    </row>
    <row r="91" spans="1:4">
      <c r="A91" s="76"/>
      <c r="B91" s="118"/>
      <c r="C91" s="76"/>
      <c r="D91" s="118"/>
    </row>
    <row r="92" spans="1:4">
      <c r="A92" s="76"/>
      <c r="B92" s="118"/>
      <c r="C92" s="76"/>
      <c r="D92" s="118"/>
    </row>
    <row r="93" spans="1:4">
      <c r="A93" s="76"/>
      <c r="B93" s="118"/>
      <c r="C93" s="76"/>
      <c r="D93" s="118"/>
    </row>
    <row r="94" spans="1:4">
      <c r="A94" s="76"/>
      <c r="B94" s="118"/>
      <c r="C94" s="76"/>
      <c r="D94" s="118"/>
    </row>
    <row r="95" spans="1:4">
      <c r="A95" s="76"/>
      <c r="B95" s="118"/>
      <c r="C95" s="76"/>
      <c r="D95" s="118"/>
    </row>
    <row r="96" spans="1:4">
      <c r="A96" s="76"/>
      <c r="B96" s="118"/>
      <c r="C96" s="76"/>
      <c r="D96" s="118"/>
    </row>
    <row r="97" spans="1:4">
      <c r="A97" s="76"/>
      <c r="B97" s="118"/>
      <c r="C97" s="76"/>
      <c r="D97" s="118"/>
    </row>
    <row r="98" spans="1:4">
      <c r="A98" s="76"/>
      <c r="B98" s="118"/>
      <c r="C98" s="76"/>
      <c r="D98" s="118"/>
    </row>
    <row r="99" spans="1:4">
      <c r="A99" s="76"/>
      <c r="B99" s="118"/>
      <c r="C99" s="76"/>
      <c r="D99" s="118"/>
    </row>
    <row r="100" spans="1:4">
      <c r="A100" s="76"/>
      <c r="B100" s="118"/>
      <c r="C100" s="76"/>
      <c r="D100" s="118"/>
    </row>
    <row r="101" spans="1:4">
      <c r="A101" s="76"/>
      <c r="B101" s="118"/>
      <c r="C101" s="76"/>
      <c r="D101" s="118"/>
    </row>
    <row r="102" spans="1:4">
      <c r="A102" s="76"/>
      <c r="B102" s="118"/>
      <c r="C102" s="76"/>
      <c r="D102" s="118"/>
    </row>
    <row r="103" spans="1:4">
      <c r="A103" s="76"/>
      <c r="B103" s="118"/>
      <c r="C103" s="76"/>
      <c r="D103" s="118"/>
    </row>
    <row r="104" spans="1:4">
      <c r="A104" s="76"/>
      <c r="B104" s="118"/>
      <c r="C104" s="76"/>
      <c r="D104" s="118"/>
    </row>
    <row r="105" spans="1:4">
      <c r="A105" s="76"/>
      <c r="B105" s="118"/>
      <c r="C105" s="76"/>
      <c r="D105" s="118"/>
    </row>
    <row r="106" spans="1:4">
      <c r="A106" s="76"/>
      <c r="B106" s="118"/>
      <c r="C106" s="76"/>
      <c r="D106" s="118"/>
    </row>
  </sheetData>
  <customSheetViews>
    <customSheetView guid="{454D45DF-2512-4984-A7CE-B1F6D305C20E}">
      <selection activeCell="D5" sqref="D5"/>
      <pageMargins left="0" right="0" top="0" bottom="0" header="0" footer="0"/>
      <pageSetup paperSize="9" orientation="portrait" horizontalDpi="200" verticalDpi="200" r:id="rId1"/>
    </customSheetView>
    <customSheetView guid="{D2A6C956-D027-4329-9FEA-635617D868B4}">
      <selection activeCell="D5" sqref="D5"/>
      <pageMargins left="0" right="0" top="0" bottom="0" header="0" footer="0"/>
      <pageSetup paperSize="9" orientation="portrait" horizontalDpi="200" verticalDpi="200" r:id="rId2"/>
    </customSheetView>
  </customSheetViews>
  <pageMargins left="0.7" right="0.7" top="0.75" bottom="0.75" header="0.3" footer="0.3"/>
  <pageSetup paperSize="9" orientation="portrait" horizontalDpi="200" verticalDpi="200"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Llistes!$B$2:$B$12</xm:f>
          </x14:formula1>
          <xm:sqref>D39:D105</xm:sqref>
        </x14:dataValidation>
        <x14:dataValidation type="list" showInputMessage="1" showErrorMessage="1" xr:uid="{00000000-0002-0000-0800-000001000000}">
          <x14:formula1>
            <xm:f>Llistes!$B$2:$B$13</xm:f>
          </x14:formula1>
          <xm:sqref>C5:C77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842"/>
  <sheetViews>
    <sheetView workbookViewId="0">
      <selection activeCell="B36" sqref="B36:B39"/>
    </sheetView>
  </sheetViews>
  <sheetFormatPr defaultColWidth="12.54296875" defaultRowHeight="15.75" customHeight="1"/>
  <cols>
    <col min="1" max="1" width="11.54296875" style="85" customWidth="1"/>
    <col min="2" max="2" width="24.81640625" style="85" customWidth="1"/>
    <col min="3" max="3" width="9.81640625" style="85" customWidth="1"/>
    <col min="4" max="4" width="33.453125" style="85" customWidth="1"/>
    <col min="5" max="5" width="60.453125" style="85" customWidth="1"/>
    <col min="6" max="16384" width="12.54296875" style="85"/>
  </cols>
  <sheetData>
    <row r="1" spans="1:25" ht="22">
      <c r="A1" s="81" t="s">
        <v>895</v>
      </c>
      <c r="B1" s="82"/>
      <c r="C1" s="83"/>
      <c r="D1" s="84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3">
      <c r="A2" s="83" t="s">
        <v>896</v>
      </c>
      <c r="B2" s="82"/>
      <c r="C2" s="83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1:25" ht="13">
      <c r="A3" s="86" t="s">
        <v>897</v>
      </c>
      <c r="B3" s="82"/>
      <c r="C3" s="83"/>
      <c r="D3" s="84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spans="1:25" ht="13">
      <c r="A4" s="82" t="s">
        <v>898</v>
      </c>
      <c r="B4" s="82"/>
      <c r="C4" s="83"/>
      <c r="D4" s="84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spans="1:25" ht="17.25" customHeight="1">
      <c r="A5" s="87" t="s">
        <v>899</v>
      </c>
      <c r="B5" s="82"/>
      <c r="C5" s="83"/>
      <c r="D5" s="84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 spans="1:25" ht="17.25" customHeight="1">
      <c r="A6" s="83"/>
      <c r="B6" s="82"/>
      <c r="C6" s="83"/>
      <c r="D6" s="84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 spans="1:25" ht="17.25" customHeight="1">
      <c r="A7" s="83"/>
      <c r="B7" s="82"/>
      <c r="C7" s="83"/>
      <c r="D7" s="84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spans="1:25" ht="29">
      <c r="A8" s="88" t="s">
        <v>900</v>
      </c>
      <c r="B8" s="89" t="s">
        <v>901</v>
      </c>
      <c r="C8" s="88" t="s">
        <v>900</v>
      </c>
      <c r="D8" s="90" t="s">
        <v>902</v>
      </c>
      <c r="E8" s="90" t="s">
        <v>903</v>
      </c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 spans="1:25" ht="78">
      <c r="A9" s="438">
        <v>1</v>
      </c>
      <c r="B9" s="440" t="s">
        <v>904</v>
      </c>
      <c r="C9" s="91">
        <v>1.1000000000000001</v>
      </c>
      <c r="D9" s="92" t="s">
        <v>905</v>
      </c>
      <c r="E9" s="92" t="s">
        <v>906</v>
      </c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 spans="1:25" ht="13">
      <c r="A10" s="439"/>
      <c r="B10" s="439"/>
      <c r="C10" s="91">
        <v>1.2</v>
      </c>
      <c r="D10" s="92" t="s">
        <v>907</v>
      </c>
      <c r="E10" s="9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 spans="1:25" ht="13">
      <c r="A11" s="439"/>
      <c r="B11" s="439"/>
      <c r="C11" s="91">
        <v>1.3</v>
      </c>
      <c r="D11" s="92" t="s">
        <v>908</v>
      </c>
      <c r="E11" s="92" t="s">
        <v>909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spans="1:25" ht="39">
      <c r="A12" s="438">
        <v>2</v>
      </c>
      <c r="B12" s="440" t="s">
        <v>891</v>
      </c>
      <c r="C12" s="91">
        <v>2.1</v>
      </c>
      <c r="D12" s="92" t="s">
        <v>73</v>
      </c>
      <c r="E12" s="92" t="s">
        <v>910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 spans="1:25" ht="13">
      <c r="A13" s="439"/>
      <c r="B13" s="439"/>
      <c r="C13" s="91">
        <v>2.2000000000000002</v>
      </c>
      <c r="D13" s="92" t="s">
        <v>911</v>
      </c>
      <c r="E13" s="9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 spans="1:25" ht="26">
      <c r="A14" s="439"/>
      <c r="B14" s="439"/>
      <c r="C14" s="91">
        <v>2.2999999999999998</v>
      </c>
      <c r="D14" s="92" t="s">
        <v>72</v>
      </c>
      <c r="E14" s="92" t="s">
        <v>912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 spans="1:25" ht="13">
      <c r="A15" s="439"/>
      <c r="B15" s="439"/>
      <c r="C15" s="91">
        <v>2.4</v>
      </c>
      <c r="D15" s="92" t="s">
        <v>913</v>
      </c>
      <c r="E15" s="92" t="s">
        <v>914</v>
      </c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spans="1:25" ht="39">
      <c r="A16" s="438">
        <v>3</v>
      </c>
      <c r="B16" s="440" t="s">
        <v>915</v>
      </c>
      <c r="C16" s="91">
        <v>3.1</v>
      </c>
      <c r="D16" s="92" t="s">
        <v>916</v>
      </c>
      <c r="E16" s="92" t="s">
        <v>917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spans="1:25" ht="52">
      <c r="A17" s="439"/>
      <c r="B17" s="439"/>
      <c r="C17" s="91">
        <v>3.2</v>
      </c>
      <c r="D17" s="92" t="s">
        <v>918</v>
      </c>
      <c r="E17" s="92" t="s">
        <v>919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 spans="1:25" ht="13">
      <c r="A18" s="438">
        <v>4</v>
      </c>
      <c r="B18" s="440" t="s">
        <v>893</v>
      </c>
      <c r="C18" s="91">
        <v>4.0999999999999996</v>
      </c>
      <c r="D18" s="92" t="s">
        <v>920</v>
      </c>
      <c r="E18" s="92" t="s">
        <v>921</v>
      </c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spans="1:25" ht="26">
      <c r="A19" s="439"/>
      <c r="B19" s="439"/>
      <c r="C19" s="91">
        <v>4.2</v>
      </c>
      <c r="D19" s="92" t="s">
        <v>922</v>
      </c>
      <c r="E19" s="92" t="s">
        <v>923</v>
      </c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</row>
    <row r="20" spans="1:25" ht="26">
      <c r="A20" s="439"/>
      <c r="B20" s="439"/>
      <c r="C20" s="91">
        <v>4.3</v>
      </c>
      <c r="D20" s="92" t="s">
        <v>924</v>
      </c>
      <c r="E20" s="92" t="s">
        <v>925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 spans="1:25" ht="26">
      <c r="A21" s="439"/>
      <c r="B21" s="439"/>
      <c r="C21" s="91">
        <v>4.4000000000000004</v>
      </c>
      <c r="D21" s="92" t="s">
        <v>926</v>
      </c>
      <c r="E21" s="92" t="s">
        <v>927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 spans="1:25" ht="26">
      <c r="A22" s="438">
        <v>5</v>
      </c>
      <c r="B22" s="440" t="s">
        <v>890</v>
      </c>
      <c r="C22" s="91">
        <v>5.0999999999999996</v>
      </c>
      <c r="D22" s="92" t="s">
        <v>194</v>
      </c>
      <c r="E22" s="92" t="s">
        <v>928</v>
      </c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</row>
    <row r="23" spans="1:25" ht="13">
      <c r="A23" s="439"/>
      <c r="B23" s="439"/>
      <c r="C23" s="94">
        <v>5.2</v>
      </c>
      <c r="D23" s="92" t="s">
        <v>929</v>
      </c>
      <c r="E23" s="92" t="s">
        <v>930</v>
      </c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</row>
    <row r="24" spans="1:25" ht="13">
      <c r="A24" s="439"/>
      <c r="B24" s="439"/>
      <c r="C24" s="91">
        <v>5.3</v>
      </c>
      <c r="D24" s="92" t="s">
        <v>88</v>
      </c>
      <c r="E24" s="92" t="s">
        <v>931</v>
      </c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</row>
    <row r="25" spans="1:25" ht="39">
      <c r="A25" s="439"/>
      <c r="B25" s="439"/>
      <c r="C25" s="91">
        <v>5.4</v>
      </c>
      <c r="D25" s="92" t="s">
        <v>932</v>
      </c>
      <c r="E25" s="92" t="s">
        <v>933</v>
      </c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</row>
    <row r="26" spans="1:25" ht="78">
      <c r="A26" s="438">
        <v>6</v>
      </c>
      <c r="B26" s="440" t="s">
        <v>934</v>
      </c>
      <c r="C26" s="91">
        <v>6.1</v>
      </c>
      <c r="D26" s="92" t="s">
        <v>105</v>
      </c>
      <c r="E26" s="92" t="s">
        <v>935</v>
      </c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</row>
    <row r="27" spans="1:25" ht="26">
      <c r="A27" s="439"/>
      <c r="B27" s="439"/>
      <c r="C27" s="91">
        <v>6.2</v>
      </c>
      <c r="D27" s="92" t="s">
        <v>936</v>
      </c>
      <c r="E27" s="92" t="s">
        <v>937</v>
      </c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</row>
    <row r="28" spans="1:25" ht="39">
      <c r="A28" s="439"/>
      <c r="B28" s="439"/>
      <c r="C28" s="91">
        <v>6.3</v>
      </c>
      <c r="D28" s="92" t="s">
        <v>938</v>
      </c>
      <c r="E28" s="92" t="s">
        <v>939</v>
      </c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</row>
    <row r="29" spans="1:25" ht="26">
      <c r="A29" s="439"/>
      <c r="B29" s="439"/>
      <c r="C29" s="91">
        <v>6.4</v>
      </c>
      <c r="D29" s="92" t="s">
        <v>940</v>
      </c>
      <c r="E29" s="92" t="s">
        <v>941</v>
      </c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</row>
    <row r="30" spans="1:25" ht="26">
      <c r="A30" s="438">
        <v>7</v>
      </c>
      <c r="B30" s="440" t="s">
        <v>888</v>
      </c>
      <c r="C30" s="91">
        <v>7.1</v>
      </c>
      <c r="D30" s="92" t="s">
        <v>202</v>
      </c>
      <c r="E30" s="92" t="s">
        <v>942</v>
      </c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</row>
    <row r="31" spans="1:25" ht="65">
      <c r="A31" s="439"/>
      <c r="B31" s="439"/>
      <c r="C31" s="91">
        <v>7.2</v>
      </c>
      <c r="D31" s="92" t="s">
        <v>87</v>
      </c>
      <c r="E31" s="92" t="s">
        <v>943</v>
      </c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</row>
    <row r="32" spans="1:25" ht="39">
      <c r="A32" s="439"/>
      <c r="B32" s="439"/>
      <c r="C32" s="91">
        <v>7.3</v>
      </c>
      <c r="D32" s="92" t="s">
        <v>944</v>
      </c>
      <c r="E32" s="95" t="s">
        <v>945</v>
      </c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</row>
    <row r="33" spans="1:25" ht="26">
      <c r="A33" s="439"/>
      <c r="B33" s="439"/>
      <c r="C33" s="91">
        <v>7.4</v>
      </c>
      <c r="D33" s="92" t="s">
        <v>946</v>
      </c>
      <c r="E33" s="92" t="s">
        <v>947</v>
      </c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</row>
    <row r="34" spans="1:25" ht="39">
      <c r="A34" s="439"/>
      <c r="B34" s="439"/>
      <c r="C34" s="91">
        <v>7.5</v>
      </c>
      <c r="D34" s="92" t="s">
        <v>116</v>
      </c>
      <c r="E34" s="92" t="s">
        <v>948</v>
      </c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</row>
    <row r="35" spans="1:25" ht="39">
      <c r="A35" s="439"/>
      <c r="B35" s="439"/>
      <c r="C35" s="91">
        <v>7.6</v>
      </c>
      <c r="D35" s="92" t="s">
        <v>213</v>
      </c>
      <c r="E35" s="92" t="s">
        <v>949</v>
      </c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</row>
    <row r="36" spans="1:25" ht="39">
      <c r="A36" s="438">
        <v>8</v>
      </c>
      <c r="B36" s="440" t="s">
        <v>887</v>
      </c>
      <c r="C36" s="91">
        <v>8.1</v>
      </c>
      <c r="D36" s="92" t="s">
        <v>108</v>
      </c>
      <c r="E36" s="92" t="s">
        <v>950</v>
      </c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</row>
    <row r="37" spans="1:25" ht="52">
      <c r="A37" s="439"/>
      <c r="B37" s="439"/>
      <c r="C37" s="91">
        <v>8.1999999999999993</v>
      </c>
      <c r="D37" s="92" t="s">
        <v>951</v>
      </c>
      <c r="E37" s="92" t="s">
        <v>952</v>
      </c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</row>
    <row r="38" spans="1:25" ht="52">
      <c r="A38" s="439"/>
      <c r="B38" s="439"/>
      <c r="C38" s="91">
        <v>8.3000000000000007</v>
      </c>
      <c r="D38" s="92" t="s">
        <v>207</v>
      </c>
      <c r="E38" s="92" t="s">
        <v>953</v>
      </c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</row>
    <row r="39" spans="1:25" ht="26">
      <c r="A39" s="439"/>
      <c r="B39" s="439"/>
      <c r="C39" s="91">
        <v>8.4</v>
      </c>
      <c r="D39" s="92" t="s">
        <v>954</v>
      </c>
      <c r="E39" s="92" t="s">
        <v>955</v>
      </c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 spans="1:25" ht="39">
      <c r="A40" s="438">
        <v>9</v>
      </c>
      <c r="B40" s="440" t="s">
        <v>894</v>
      </c>
      <c r="C40" s="91">
        <v>9.1</v>
      </c>
      <c r="D40" s="92" t="s">
        <v>956</v>
      </c>
      <c r="E40" s="92" t="s">
        <v>957</v>
      </c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</row>
    <row r="41" spans="1:25" ht="39">
      <c r="A41" s="439"/>
      <c r="B41" s="439"/>
      <c r="C41" s="91">
        <v>9.1999999999999993</v>
      </c>
      <c r="D41" s="92" t="s">
        <v>958</v>
      </c>
      <c r="E41" s="92" t="s">
        <v>959</v>
      </c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 spans="1:25" ht="13">
      <c r="A42" s="439"/>
      <c r="B42" s="439"/>
      <c r="C42" s="91">
        <v>9.3000000000000007</v>
      </c>
      <c r="D42" s="92" t="s">
        <v>960</v>
      </c>
      <c r="E42" s="92" t="s">
        <v>961</v>
      </c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</row>
    <row r="43" spans="1:25" ht="78">
      <c r="A43" s="439"/>
      <c r="B43" s="439"/>
      <c r="C43" s="91">
        <v>9.4</v>
      </c>
      <c r="D43" s="92" t="s">
        <v>962</v>
      </c>
      <c r="E43" s="92" t="s">
        <v>963</v>
      </c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 spans="1:25" ht="26">
      <c r="A44" s="438">
        <v>10</v>
      </c>
      <c r="B44" s="440" t="s">
        <v>892</v>
      </c>
      <c r="C44" s="91">
        <v>10.1</v>
      </c>
      <c r="D44" s="92" t="s">
        <v>964</v>
      </c>
      <c r="E44" s="92" t="s">
        <v>965</v>
      </c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 spans="1:25" ht="13">
      <c r="A45" s="439"/>
      <c r="B45" s="439"/>
      <c r="C45" s="91">
        <v>10.199999999999999</v>
      </c>
      <c r="D45" s="92" t="s">
        <v>966</v>
      </c>
      <c r="E45" s="92" t="s">
        <v>967</v>
      </c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 spans="1:25" ht="52">
      <c r="A46" s="438">
        <v>11</v>
      </c>
      <c r="B46" s="440" t="s">
        <v>889</v>
      </c>
      <c r="C46" s="91">
        <v>11.1</v>
      </c>
      <c r="D46" s="92" t="s">
        <v>968</v>
      </c>
      <c r="E46" s="92" t="s">
        <v>969</v>
      </c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</row>
    <row r="47" spans="1:25" ht="26">
      <c r="A47" s="439"/>
      <c r="B47" s="439"/>
      <c r="C47" s="91">
        <v>11.2</v>
      </c>
      <c r="D47" s="92" t="s">
        <v>970</v>
      </c>
      <c r="E47" s="92" t="s">
        <v>971</v>
      </c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</row>
    <row r="48" spans="1:25" ht="39">
      <c r="A48" s="439"/>
      <c r="B48" s="439"/>
      <c r="C48" s="91">
        <v>11.3</v>
      </c>
      <c r="D48" s="92" t="s">
        <v>74</v>
      </c>
      <c r="E48" s="92" t="s">
        <v>972</v>
      </c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</row>
    <row r="49" spans="1:25" ht="13">
      <c r="A49" s="439"/>
      <c r="B49" s="439"/>
      <c r="C49" s="91">
        <v>11.4</v>
      </c>
      <c r="D49" s="92" t="s">
        <v>973</v>
      </c>
      <c r="E49" s="9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</row>
    <row r="50" spans="1:25" ht="13">
      <c r="A50" s="96"/>
      <c r="B50" s="97"/>
      <c r="C50" s="98"/>
      <c r="D50" s="84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</row>
    <row r="51" spans="1:25" ht="13">
      <c r="A51" s="96"/>
      <c r="B51" s="97"/>
      <c r="C51" s="98"/>
      <c r="D51" s="84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 spans="1:25" ht="13">
      <c r="A52" s="96"/>
      <c r="B52" s="97"/>
      <c r="C52" s="98"/>
      <c r="D52" s="84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spans="1:25" ht="13">
      <c r="A53" s="82"/>
      <c r="B53" s="97"/>
      <c r="C53" s="98"/>
      <c r="D53" s="84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spans="1:25" ht="13">
      <c r="A54" s="96"/>
      <c r="B54" s="97"/>
      <c r="C54" s="98"/>
      <c r="D54" s="84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spans="1:25" ht="13">
      <c r="A55" s="96"/>
      <c r="B55" s="97"/>
      <c r="C55" s="98"/>
      <c r="D55" s="84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spans="1:25" ht="13">
      <c r="A56" s="96"/>
      <c r="B56" s="97"/>
      <c r="C56" s="98"/>
      <c r="D56" s="84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 spans="1:25" ht="13">
      <c r="A57" s="96"/>
      <c r="B57" s="97"/>
      <c r="C57" s="98"/>
      <c r="D57" s="84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 spans="1:25" ht="13">
      <c r="A58" s="96"/>
      <c r="B58" s="84"/>
      <c r="C58" s="98"/>
      <c r="D58" s="97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 spans="1:25" ht="13">
      <c r="A59" s="96"/>
      <c r="B59" s="97"/>
      <c r="C59" s="98"/>
      <c r="D59" s="84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 spans="1:25" ht="13">
      <c r="A60" s="96"/>
      <c r="B60" s="97"/>
      <c r="C60" s="98"/>
      <c r="D60" s="84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 spans="1:25" ht="13">
      <c r="A61" s="96"/>
      <c r="B61" s="97"/>
      <c r="C61" s="98"/>
      <c r="D61" s="84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 spans="1:25" ht="13">
      <c r="A62" s="96"/>
      <c r="B62" s="97"/>
      <c r="C62" s="98"/>
      <c r="D62" s="84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spans="1:25" ht="13">
      <c r="A63" s="96"/>
      <c r="B63" s="97"/>
      <c r="C63" s="98"/>
      <c r="D63" s="84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spans="1:25" ht="13">
      <c r="A64" s="96"/>
      <c r="B64" s="97"/>
      <c r="C64" s="98"/>
      <c r="D64" s="84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 spans="1:25" ht="13">
      <c r="A65" s="96"/>
      <c r="B65" s="97"/>
      <c r="C65" s="98"/>
      <c r="D65" s="84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 spans="1:25" ht="13">
      <c r="A66" s="96"/>
      <c r="B66" s="97"/>
      <c r="C66" s="98"/>
      <c r="D66" s="84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spans="1:25" ht="13">
      <c r="A67" s="96"/>
      <c r="B67" s="97"/>
      <c r="C67" s="98"/>
      <c r="D67" s="84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spans="1:25" ht="13">
      <c r="A68" s="96"/>
      <c r="B68" s="97"/>
      <c r="C68" s="98"/>
      <c r="D68" s="84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 spans="1:25" ht="13">
      <c r="A69" s="96"/>
      <c r="B69" s="97"/>
      <c r="C69" s="98"/>
      <c r="D69" s="84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 spans="1:25" ht="13">
      <c r="A70" s="96"/>
      <c r="B70" s="97"/>
      <c r="C70" s="98"/>
      <c r="D70" s="84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 spans="1:25" ht="13">
      <c r="A71" s="96"/>
      <c r="B71" s="97"/>
      <c r="C71" s="98"/>
      <c r="D71" s="84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 spans="1:25" ht="13">
      <c r="A72" s="96"/>
      <c r="B72" s="97"/>
      <c r="C72" s="98"/>
      <c r="D72" s="84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 spans="1:25" ht="13">
      <c r="A73" s="96"/>
      <c r="B73" s="97"/>
      <c r="C73" s="98"/>
      <c r="D73" s="84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 spans="1:25" ht="13">
      <c r="A74" s="96"/>
      <c r="B74" s="97"/>
      <c r="C74" s="99"/>
      <c r="D74" s="84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 spans="1:25" ht="13">
      <c r="A75" s="96"/>
      <c r="B75" s="97"/>
      <c r="C75" s="98"/>
      <c r="D75" s="84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 spans="1:25" ht="13">
      <c r="A76" s="96"/>
      <c r="B76" s="97"/>
      <c r="C76" s="98"/>
      <c r="D76" s="84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 spans="1:25" ht="13">
      <c r="A77" s="96"/>
      <c r="B77" s="97"/>
      <c r="C77" s="98"/>
      <c r="D77" s="84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spans="1:25" ht="13">
      <c r="A78" s="96"/>
      <c r="B78" s="97"/>
      <c r="C78" s="98"/>
      <c r="D78" s="84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spans="1:25" ht="13">
      <c r="A79" s="96"/>
      <c r="B79" s="97"/>
      <c r="C79" s="98"/>
      <c r="D79" s="84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spans="1:25" ht="13">
      <c r="A80" s="96"/>
      <c r="B80" s="97"/>
      <c r="C80" s="98"/>
      <c r="D80" s="84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 spans="1:25" ht="13">
      <c r="A81" s="96"/>
      <c r="B81" s="97"/>
      <c r="C81" s="98"/>
      <c r="D81" s="84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spans="1:25" ht="13">
      <c r="A82" s="96"/>
      <c r="B82" s="97"/>
      <c r="C82" s="98"/>
      <c r="D82" s="84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spans="1:25" ht="13">
      <c r="A83" s="96"/>
      <c r="B83" s="97"/>
      <c r="C83" s="98"/>
      <c r="D83" s="84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spans="1:25" ht="13">
      <c r="A84" s="96"/>
      <c r="B84" s="97"/>
      <c r="C84" s="98"/>
      <c r="D84" s="84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 spans="1:25" ht="13">
      <c r="A85" s="96"/>
      <c r="B85" s="97"/>
      <c r="C85" s="98"/>
      <c r="D85" s="97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spans="1:25" ht="13">
      <c r="A86" s="96"/>
      <c r="B86" s="97"/>
      <c r="C86" s="98"/>
      <c r="D86" s="84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spans="1:25" ht="13">
      <c r="A87" s="96"/>
      <c r="B87" s="97"/>
      <c r="C87" s="98"/>
      <c r="D87" s="84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spans="1:25" ht="13">
      <c r="A88" s="96"/>
      <c r="B88" s="97"/>
      <c r="C88" s="98"/>
      <c r="D88" s="84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 spans="1:25" ht="13">
      <c r="A89" s="96"/>
      <c r="B89" s="97"/>
      <c r="C89" s="98"/>
      <c r="D89" s="84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 spans="1:25" ht="13">
      <c r="A90" s="96"/>
      <c r="B90" s="97"/>
      <c r="C90" s="98"/>
      <c r="D90" s="84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 spans="1:25" ht="13">
      <c r="A91" s="96"/>
      <c r="B91" s="97"/>
      <c r="C91" s="98"/>
      <c r="D91" s="84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 spans="1:25" ht="13">
      <c r="A92" s="96"/>
      <c r="B92" s="97"/>
      <c r="C92" s="98"/>
      <c r="D92" s="84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spans="1:25" ht="13">
      <c r="A93" s="96"/>
      <c r="B93" s="97"/>
      <c r="C93" s="98"/>
      <c r="D93" s="84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 spans="1:25" ht="13">
      <c r="A94" s="96"/>
      <c r="B94" s="97"/>
      <c r="C94" s="98"/>
      <c r="D94" s="84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 spans="1:25" ht="13">
      <c r="A95" s="96"/>
      <c r="B95" s="97"/>
      <c r="C95" s="98"/>
      <c r="D95" s="84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 spans="1:25" ht="13">
      <c r="A96" s="96"/>
      <c r="B96" s="97"/>
      <c r="C96" s="98"/>
      <c r="D96" s="84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 spans="1:25" ht="13">
      <c r="A97" s="96"/>
      <c r="B97" s="97"/>
      <c r="C97" s="98"/>
      <c r="D97" s="84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 spans="1:25" ht="13">
      <c r="A98" s="96"/>
      <c r="B98" s="97"/>
      <c r="C98" s="98"/>
      <c r="D98" s="84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 spans="1:25" ht="13">
      <c r="A99" s="96"/>
      <c r="B99" s="97"/>
      <c r="C99" s="98"/>
      <c r="D99" s="84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 spans="1:25" ht="13">
      <c r="A100" s="96"/>
      <c r="B100" s="97"/>
      <c r="C100" s="98"/>
      <c r="D100" s="84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 spans="1:25" ht="13">
      <c r="A101" s="96"/>
      <c r="B101" s="97"/>
      <c r="C101" s="98"/>
      <c r="D101" s="84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 spans="1:25" ht="13">
      <c r="A102" s="96"/>
      <c r="B102" s="97"/>
      <c r="C102" s="98"/>
      <c r="D102" s="84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 spans="1:25" ht="13">
      <c r="A103" s="96"/>
      <c r="B103" s="97"/>
      <c r="C103" s="98"/>
      <c r="D103" s="84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 spans="1:25" ht="13">
      <c r="A104" s="96"/>
      <c r="B104" s="97"/>
      <c r="C104" s="98"/>
      <c r="D104" s="84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spans="1:25" ht="13">
      <c r="A105" s="96"/>
      <c r="B105" s="97"/>
      <c r="C105" s="98"/>
      <c r="D105" s="84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 spans="1:25" ht="13">
      <c r="A106" s="96"/>
      <c r="B106" s="97"/>
      <c r="C106" s="98"/>
      <c r="D106" s="84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 spans="1:25" ht="13">
      <c r="A107" s="96"/>
      <c r="B107" s="97"/>
      <c r="C107" s="98"/>
      <c r="D107" s="84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 spans="1:25" ht="13">
      <c r="A108" s="96"/>
      <c r="B108" s="97"/>
      <c r="C108" s="98"/>
      <c r="D108" s="84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 spans="1:25" ht="13">
      <c r="A109" s="96"/>
      <c r="B109" s="97"/>
      <c r="C109" s="98"/>
      <c r="D109" s="84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 spans="1:25" ht="13">
      <c r="A110" s="96"/>
      <c r="B110" s="97"/>
      <c r="C110" s="98"/>
      <c r="D110" s="84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 spans="1:25" ht="13">
      <c r="A111" s="96"/>
      <c r="B111" s="97"/>
      <c r="C111" s="98"/>
      <c r="D111" s="84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 spans="1:25" ht="13">
      <c r="A112" s="96"/>
      <c r="B112" s="97"/>
      <c r="C112" s="98"/>
      <c r="D112" s="84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 spans="1:25" ht="13">
      <c r="A113" s="96"/>
      <c r="B113" s="97"/>
      <c r="C113" s="98"/>
      <c r="D113" s="84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 spans="1:25" ht="13">
      <c r="A114" s="96"/>
      <c r="B114" s="97"/>
      <c r="C114" s="98"/>
      <c r="D114" s="84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 spans="1:25" ht="13">
      <c r="A115" s="96"/>
      <c r="B115" s="97"/>
      <c r="C115" s="98"/>
      <c r="D115" s="84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spans="1:25" ht="13">
      <c r="A116" s="96"/>
      <c r="B116" s="97"/>
      <c r="C116" s="98"/>
      <c r="D116" s="84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 spans="1:25" ht="13">
      <c r="A117" s="96"/>
      <c r="B117" s="97"/>
      <c r="C117" s="98"/>
      <c r="D117" s="84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spans="1:25" ht="13">
      <c r="A118" s="96"/>
      <c r="B118" s="97"/>
      <c r="C118" s="98"/>
      <c r="D118" s="84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 spans="1:25" ht="13">
      <c r="A119" s="96"/>
      <c r="B119" s="97"/>
      <c r="C119" s="98"/>
      <c r="D119" s="84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</row>
    <row r="120" spans="1:25" ht="13">
      <c r="A120" s="96"/>
      <c r="B120" s="97"/>
      <c r="C120" s="98"/>
      <c r="D120" s="84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</row>
    <row r="121" spans="1:25" ht="13">
      <c r="A121" s="96"/>
      <c r="B121" s="97"/>
      <c r="C121" s="98"/>
      <c r="D121" s="84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</row>
    <row r="122" spans="1:25" ht="13">
      <c r="A122" s="96"/>
      <c r="B122" s="97"/>
      <c r="C122" s="98"/>
      <c r="D122" s="84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</row>
    <row r="123" spans="1:25" ht="13">
      <c r="A123" s="96"/>
      <c r="B123" s="97"/>
      <c r="C123" s="98"/>
      <c r="D123" s="84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</row>
    <row r="124" spans="1:25" ht="13">
      <c r="A124" s="96"/>
      <c r="B124" s="97"/>
      <c r="C124" s="98"/>
      <c r="D124" s="84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</row>
    <row r="125" spans="1:25" ht="13">
      <c r="A125" s="96"/>
      <c r="B125" s="97"/>
      <c r="C125" s="98"/>
      <c r="D125" s="84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</row>
    <row r="126" spans="1:25" ht="13">
      <c r="A126" s="96"/>
      <c r="B126" s="97"/>
      <c r="C126" s="98"/>
      <c r="D126" s="84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</row>
    <row r="127" spans="1:25" ht="13">
      <c r="A127" s="96"/>
      <c r="B127" s="97"/>
      <c r="C127" s="98"/>
      <c r="D127" s="84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</row>
    <row r="128" spans="1:25" ht="13">
      <c r="A128" s="96"/>
      <c r="B128" s="97"/>
      <c r="C128" s="98"/>
      <c r="D128" s="84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</row>
    <row r="129" spans="1:25" ht="13">
      <c r="A129" s="96"/>
      <c r="B129" s="82"/>
      <c r="C129" s="83"/>
      <c r="D129" s="84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</row>
    <row r="130" spans="1:25" ht="13">
      <c r="A130" s="96"/>
      <c r="B130" s="82"/>
      <c r="C130" s="83"/>
      <c r="D130" s="84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</row>
    <row r="131" spans="1:25" ht="13">
      <c r="A131" s="96"/>
      <c r="B131" s="82"/>
      <c r="C131" s="83"/>
      <c r="D131" s="84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</row>
    <row r="132" spans="1:25" ht="13">
      <c r="A132" s="96"/>
      <c r="B132" s="82"/>
      <c r="C132" s="83"/>
      <c r="D132" s="84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</row>
    <row r="133" spans="1:25" ht="13">
      <c r="A133" s="96"/>
      <c r="B133" s="82"/>
      <c r="C133" s="83"/>
      <c r="D133" s="84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</row>
    <row r="134" spans="1:25" ht="13">
      <c r="A134" s="96"/>
      <c r="B134" s="82"/>
      <c r="C134" s="83"/>
      <c r="D134" s="84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 spans="1:25" ht="13">
      <c r="A135" s="96"/>
      <c r="B135" s="82"/>
      <c r="C135" s="83"/>
      <c r="D135" s="84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 spans="1:25" ht="13">
      <c r="A136" s="96"/>
      <c r="B136" s="82"/>
      <c r="C136" s="83"/>
      <c r="D136" s="84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 spans="1:25" ht="13">
      <c r="A137" s="96"/>
      <c r="B137" s="82"/>
      <c r="C137" s="83"/>
      <c r="D137" s="84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 spans="1:25" ht="13">
      <c r="A138" s="96"/>
      <c r="B138" s="82"/>
      <c r="C138" s="83"/>
      <c r="D138" s="84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 spans="1:25" ht="13">
      <c r="A139" s="96"/>
      <c r="B139" s="82"/>
      <c r="C139" s="83"/>
      <c r="D139" s="84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 spans="1:25" ht="13">
      <c r="A140" s="96"/>
      <c r="B140" s="82"/>
      <c r="C140" s="83"/>
      <c r="D140" s="84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 spans="1:25" ht="13">
      <c r="A141" s="96"/>
      <c r="B141" s="82"/>
      <c r="C141" s="83"/>
      <c r="D141" s="84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 spans="1:25" ht="13">
      <c r="A142" s="96"/>
      <c r="B142" s="82"/>
      <c r="C142" s="83"/>
      <c r="D142" s="84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 spans="1:25" ht="13">
      <c r="A143" s="96"/>
      <c r="B143" s="82"/>
      <c r="C143" s="83"/>
      <c r="D143" s="84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 spans="1:25" ht="13">
      <c r="A144" s="96"/>
      <c r="B144" s="82"/>
      <c r="C144" s="83"/>
      <c r="D144" s="84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 spans="1:25" ht="13">
      <c r="A145" s="96"/>
      <c r="B145" s="82"/>
      <c r="C145" s="83"/>
      <c r="D145" s="84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 spans="1:25" ht="13">
      <c r="A146" s="96"/>
      <c r="B146" s="82"/>
      <c r="C146" s="83"/>
      <c r="D146" s="84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 spans="1:25" ht="13">
      <c r="A147" s="96"/>
      <c r="B147" s="82"/>
      <c r="C147" s="83"/>
      <c r="D147" s="84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 spans="1:25" ht="13">
      <c r="A148" s="96"/>
      <c r="B148" s="82"/>
      <c r="C148" s="83"/>
      <c r="D148" s="84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 spans="1:25" ht="13">
      <c r="A149" s="96"/>
      <c r="B149" s="82"/>
      <c r="C149" s="83"/>
      <c r="D149" s="84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 spans="1:25" ht="13">
      <c r="A150" s="96"/>
      <c r="B150" s="82"/>
      <c r="C150" s="83"/>
      <c r="D150" s="84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 spans="1:25" ht="13">
      <c r="A151" s="96"/>
      <c r="B151" s="82"/>
      <c r="C151" s="83"/>
      <c r="D151" s="84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 spans="1:25" ht="13">
      <c r="A152" s="96"/>
      <c r="B152" s="82"/>
      <c r="C152" s="83"/>
      <c r="D152" s="84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 spans="1:25" ht="13">
      <c r="A153" s="96"/>
      <c r="B153" s="82"/>
      <c r="C153" s="83"/>
      <c r="D153" s="84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 spans="1:25" ht="13">
      <c r="A154" s="96"/>
      <c r="B154" s="82"/>
      <c r="C154" s="83"/>
      <c r="D154" s="84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 spans="1:25" ht="13">
      <c r="A155" s="96"/>
      <c r="B155" s="82"/>
      <c r="C155" s="83"/>
      <c r="D155" s="84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 spans="1:25" ht="13">
      <c r="A156" s="96"/>
      <c r="B156" s="82"/>
      <c r="C156" s="83"/>
      <c r="D156" s="84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 spans="1:25" ht="13">
      <c r="A157" s="96"/>
      <c r="B157" s="82"/>
      <c r="C157" s="83"/>
      <c r="D157" s="84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 spans="1:25" ht="13">
      <c r="A158" s="96"/>
      <c r="B158" s="82"/>
      <c r="C158" s="83"/>
      <c r="D158" s="84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 spans="1:25" ht="13">
      <c r="A159" s="96"/>
      <c r="B159" s="82"/>
      <c r="C159" s="83"/>
      <c r="D159" s="84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 spans="1:25" ht="13">
      <c r="A160" s="96"/>
      <c r="B160" s="82"/>
      <c r="C160" s="83"/>
      <c r="D160" s="84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 spans="1:25" ht="13">
      <c r="A161" s="96"/>
      <c r="B161" s="82"/>
      <c r="C161" s="83"/>
      <c r="D161" s="84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 spans="1:25" ht="13">
      <c r="A162" s="96"/>
      <c r="B162" s="82"/>
      <c r="C162" s="83"/>
      <c r="D162" s="84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 spans="1:25" ht="13">
      <c r="A163" s="96"/>
      <c r="B163" s="82"/>
      <c r="C163" s="83"/>
      <c r="D163" s="84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 spans="1:25" ht="13">
      <c r="A164" s="96"/>
      <c r="B164" s="82"/>
      <c r="C164" s="83"/>
      <c r="D164" s="84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 spans="1:25" ht="13">
      <c r="A165" s="96"/>
      <c r="B165" s="82"/>
      <c r="C165" s="83"/>
      <c r="D165" s="84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 spans="1:25" ht="13">
      <c r="A166" s="96"/>
      <c r="B166" s="82"/>
      <c r="C166" s="83"/>
      <c r="D166" s="84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 spans="1:25" ht="13">
      <c r="A167" s="96"/>
      <c r="B167" s="82"/>
      <c r="C167" s="83"/>
      <c r="D167" s="84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 spans="1:25" ht="13">
      <c r="A168" s="96"/>
      <c r="B168" s="82"/>
      <c r="C168" s="83"/>
      <c r="D168" s="84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 spans="1:25" ht="13">
      <c r="A169" s="96"/>
      <c r="B169" s="82"/>
      <c r="C169" s="83"/>
      <c r="D169" s="84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 spans="1:25" ht="13">
      <c r="A170" s="96"/>
      <c r="B170" s="82"/>
      <c r="C170" s="83"/>
      <c r="D170" s="84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 spans="1:25" ht="13">
      <c r="A171" s="96"/>
      <c r="B171" s="82"/>
      <c r="C171" s="83"/>
      <c r="D171" s="84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 spans="1:25" ht="13">
      <c r="A172" s="96"/>
      <c r="B172" s="82"/>
      <c r="C172" s="83"/>
      <c r="D172" s="84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 spans="1:25" ht="13">
      <c r="A173" s="96"/>
      <c r="B173" s="82"/>
      <c r="C173" s="83"/>
      <c r="D173" s="84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</row>
    <row r="174" spans="1:25" ht="13">
      <c r="A174" s="96"/>
      <c r="B174" s="82"/>
      <c r="C174" s="83"/>
      <c r="D174" s="84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</row>
    <row r="175" spans="1:25" ht="13">
      <c r="A175" s="96"/>
      <c r="B175" s="82"/>
      <c r="C175" s="83"/>
      <c r="D175" s="84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</row>
    <row r="176" spans="1:25" ht="13">
      <c r="A176" s="96"/>
      <c r="B176" s="82"/>
      <c r="C176" s="83"/>
      <c r="D176" s="84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</row>
    <row r="177" spans="1:25" ht="13">
      <c r="A177" s="96"/>
      <c r="B177" s="82"/>
      <c r="C177" s="83"/>
      <c r="D177" s="84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</row>
    <row r="178" spans="1:25" ht="13">
      <c r="A178" s="96"/>
      <c r="B178" s="82"/>
      <c r="C178" s="83"/>
      <c r="D178" s="84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</row>
    <row r="179" spans="1:25" ht="13">
      <c r="A179" s="96"/>
      <c r="B179" s="82"/>
      <c r="C179" s="83"/>
      <c r="D179" s="84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</row>
    <row r="180" spans="1:25" ht="13">
      <c r="A180" s="96"/>
      <c r="B180" s="82"/>
      <c r="C180" s="83"/>
      <c r="D180" s="84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</row>
    <row r="181" spans="1:25" ht="13">
      <c r="A181" s="96"/>
      <c r="B181" s="82"/>
      <c r="C181" s="83"/>
      <c r="D181" s="84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</row>
    <row r="182" spans="1:25" ht="13">
      <c r="A182" s="96"/>
      <c r="B182" s="82"/>
      <c r="C182" s="83"/>
      <c r="D182" s="84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</row>
    <row r="183" spans="1:25" ht="13">
      <c r="A183" s="96"/>
      <c r="B183" s="82"/>
      <c r="C183" s="83"/>
      <c r="D183" s="84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</row>
    <row r="184" spans="1:25" ht="13">
      <c r="A184" s="96"/>
      <c r="B184" s="82"/>
      <c r="C184" s="83"/>
      <c r="D184" s="84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</row>
    <row r="185" spans="1:25" ht="13">
      <c r="A185" s="96"/>
      <c r="B185" s="82"/>
      <c r="C185" s="83"/>
      <c r="D185" s="84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</row>
    <row r="186" spans="1:25" ht="13">
      <c r="A186" s="96"/>
      <c r="B186" s="82"/>
      <c r="C186" s="83"/>
      <c r="D186" s="84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</row>
    <row r="187" spans="1:25" ht="13">
      <c r="A187" s="96"/>
      <c r="B187" s="82"/>
      <c r="C187" s="83"/>
      <c r="D187" s="84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 spans="1:25" ht="13">
      <c r="A188" s="96"/>
      <c r="B188" s="82"/>
      <c r="C188" s="83"/>
      <c r="D188" s="84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 spans="1:25" ht="13">
      <c r="A189" s="96"/>
      <c r="B189" s="82"/>
      <c r="C189" s="83"/>
      <c r="D189" s="84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</row>
    <row r="190" spans="1:25" ht="13">
      <c r="A190" s="96"/>
      <c r="B190" s="82"/>
      <c r="C190" s="83"/>
      <c r="D190" s="84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</row>
    <row r="191" spans="1:25" ht="13">
      <c r="A191" s="96"/>
      <c r="B191" s="82"/>
      <c r="C191" s="83"/>
      <c r="D191" s="84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</row>
    <row r="192" spans="1:25" ht="13">
      <c r="A192" s="96"/>
      <c r="B192" s="82"/>
      <c r="C192" s="83"/>
      <c r="D192" s="84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</row>
    <row r="193" spans="1:25" ht="13">
      <c r="A193" s="96"/>
      <c r="B193" s="82"/>
      <c r="C193" s="83"/>
      <c r="D193" s="84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</row>
    <row r="194" spans="1:25" ht="13">
      <c r="A194" s="96"/>
      <c r="B194" s="82"/>
      <c r="C194" s="83"/>
      <c r="D194" s="84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</row>
    <row r="195" spans="1:25" ht="13">
      <c r="A195" s="96"/>
      <c r="B195" s="82"/>
      <c r="C195" s="83"/>
      <c r="D195" s="84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</row>
    <row r="196" spans="1:25" ht="13">
      <c r="A196" s="96"/>
      <c r="B196" s="82"/>
      <c r="C196" s="83"/>
      <c r="D196" s="84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</row>
    <row r="197" spans="1:25" ht="13">
      <c r="A197" s="96"/>
      <c r="B197" s="82"/>
      <c r="C197" s="83"/>
      <c r="D197" s="84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</row>
    <row r="198" spans="1:25" ht="13">
      <c r="A198" s="96"/>
      <c r="B198" s="82"/>
      <c r="C198" s="83"/>
      <c r="D198" s="84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</row>
    <row r="199" spans="1:25" ht="13">
      <c r="A199" s="96"/>
      <c r="B199" s="82"/>
      <c r="C199" s="83"/>
      <c r="D199" s="84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</row>
    <row r="200" spans="1:25" ht="13">
      <c r="A200" s="96"/>
      <c r="B200" s="82"/>
      <c r="C200" s="83"/>
      <c r="D200" s="84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</row>
    <row r="201" spans="1:25" ht="13">
      <c r="A201" s="96"/>
      <c r="B201" s="82"/>
      <c r="C201" s="83"/>
      <c r="D201" s="84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</row>
    <row r="202" spans="1:25" ht="13">
      <c r="A202" s="96"/>
      <c r="B202" s="82"/>
      <c r="C202" s="83"/>
      <c r="D202" s="84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</row>
    <row r="203" spans="1:25" ht="13">
      <c r="A203" s="96"/>
      <c r="B203" s="82"/>
      <c r="C203" s="83"/>
      <c r="D203" s="84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</row>
    <row r="204" spans="1:25" ht="13">
      <c r="A204" s="96"/>
      <c r="B204" s="82"/>
      <c r="C204" s="83"/>
      <c r="D204" s="84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</row>
    <row r="205" spans="1:25" ht="13">
      <c r="A205" s="96"/>
      <c r="B205" s="82"/>
      <c r="C205" s="83"/>
      <c r="D205" s="84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</row>
    <row r="206" spans="1:25" ht="13">
      <c r="A206" s="96"/>
      <c r="B206" s="82"/>
      <c r="C206" s="83"/>
      <c r="D206" s="84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</row>
    <row r="207" spans="1:25" ht="13">
      <c r="A207" s="96"/>
      <c r="B207" s="82"/>
      <c r="C207" s="83"/>
      <c r="D207" s="84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</row>
    <row r="208" spans="1:25" ht="13">
      <c r="A208" s="96"/>
      <c r="B208" s="82"/>
      <c r="C208" s="83"/>
      <c r="D208" s="84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</row>
    <row r="209" spans="1:25" ht="13">
      <c r="A209" s="96"/>
      <c r="B209" s="82"/>
      <c r="C209" s="83"/>
      <c r="D209" s="84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</row>
    <row r="210" spans="1:25" ht="13">
      <c r="A210" s="96"/>
      <c r="B210" s="82"/>
      <c r="C210" s="83"/>
      <c r="D210" s="84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</row>
    <row r="211" spans="1:25" ht="13">
      <c r="A211" s="96"/>
      <c r="B211" s="82"/>
      <c r="C211" s="83"/>
      <c r="D211" s="84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</row>
    <row r="212" spans="1:25" ht="13">
      <c r="A212" s="96"/>
      <c r="B212" s="82"/>
      <c r="C212" s="83"/>
      <c r="D212" s="84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</row>
    <row r="213" spans="1:25" ht="13">
      <c r="A213" s="96"/>
      <c r="B213" s="82"/>
      <c r="C213" s="83"/>
      <c r="D213" s="84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</row>
    <row r="214" spans="1:25" ht="13">
      <c r="A214" s="96"/>
      <c r="B214" s="82"/>
      <c r="C214" s="83"/>
      <c r="D214" s="84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</row>
    <row r="215" spans="1:25" ht="13">
      <c r="A215" s="96"/>
      <c r="B215" s="82"/>
      <c r="C215" s="83"/>
      <c r="D215" s="84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</row>
    <row r="216" spans="1:25" ht="13">
      <c r="A216" s="96"/>
      <c r="B216" s="82"/>
      <c r="C216" s="83"/>
      <c r="D216" s="84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</row>
    <row r="217" spans="1:25" ht="13">
      <c r="A217" s="96"/>
      <c r="B217" s="82"/>
      <c r="C217" s="83"/>
      <c r="D217" s="84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</row>
    <row r="218" spans="1:25" ht="13">
      <c r="A218" s="96"/>
      <c r="B218" s="82"/>
      <c r="C218" s="83"/>
      <c r="D218" s="84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</row>
    <row r="219" spans="1:25" ht="13">
      <c r="A219" s="96"/>
      <c r="B219" s="82"/>
      <c r="C219" s="83"/>
      <c r="D219" s="84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</row>
    <row r="220" spans="1:25" ht="13">
      <c r="A220" s="96"/>
      <c r="B220" s="82"/>
      <c r="C220" s="83"/>
      <c r="D220" s="84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</row>
    <row r="221" spans="1:25" ht="13">
      <c r="A221" s="96"/>
      <c r="B221" s="82"/>
      <c r="C221" s="83"/>
      <c r="D221" s="84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</row>
    <row r="222" spans="1:25" ht="13">
      <c r="A222" s="96"/>
      <c r="B222" s="82"/>
      <c r="C222" s="83"/>
      <c r="D222" s="84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</row>
    <row r="223" spans="1:25" ht="13">
      <c r="A223" s="96"/>
      <c r="B223" s="82"/>
      <c r="C223" s="83"/>
      <c r="D223" s="84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</row>
    <row r="224" spans="1:25" ht="13">
      <c r="A224" s="96"/>
      <c r="B224" s="82"/>
      <c r="C224" s="83"/>
      <c r="D224" s="84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</row>
    <row r="225" spans="1:25" ht="13">
      <c r="A225" s="96"/>
      <c r="B225" s="82"/>
      <c r="C225" s="83"/>
      <c r="D225" s="84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</row>
    <row r="226" spans="1:25" ht="13">
      <c r="A226" s="96"/>
      <c r="B226" s="82"/>
      <c r="C226" s="83"/>
      <c r="D226" s="84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</row>
    <row r="227" spans="1:25" ht="13">
      <c r="A227" s="96"/>
      <c r="B227" s="82"/>
      <c r="C227" s="83"/>
      <c r="D227" s="84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</row>
    <row r="228" spans="1:25" ht="13">
      <c r="A228" s="96"/>
      <c r="B228" s="82"/>
      <c r="C228" s="83"/>
      <c r="D228" s="84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</row>
    <row r="229" spans="1:25" ht="13">
      <c r="A229" s="96"/>
      <c r="B229" s="82"/>
      <c r="C229" s="83"/>
      <c r="D229" s="84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</row>
    <row r="230" spans="1:25" ht="13">
      <c r="A230" s="96"/>
      <c r="B230" s="82"/>
      <c r="C230" s="83"/>
      <c r="D230" s="84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</row>
    <row r="231" spans="1:25" ht="13">
      <c r="A231" s="96"/>
      <c r="B231" s="82"/>
      <c r="C231" s="83"/>
      <c r="D231" s="84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</row>
    <row r="232" spans="1:25" ht="13">
      <c r="A232" s="96"/>
      <c r="B232" s="82"/>
      <c r="C232" s="83"/>
      <c r="D232" s="84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</row>
    <row r="233" spans="1:25" ht="13">
      <c r="A233" s="96"/>
      <c r="B233" s="82"/>
      <c r="C233" s="83"/>
      <c r="D233" s="84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</row>
    <row r="234" spans="1:25" ht="13">
      <c r="A234" s="96"/>
      <c r="B234" s="82"/>
      <c r="C234" s="83"/>
      <c r="D234" s="84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</row>
    <row r="235" spans="1:25" ht="13">
      <c r="A235" s="96"/>
      <c r="B235" s="82"/>
      <c r="C235" s="83"/>
      <c r="D235" s="84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</row>
    <row r="236" spans="1:25" ht="13">
      <c r="A236" s="96"/>
      <c r="B236" s="82"/>
      <c r="C236" s="83"/>
      <c r="D236" s="84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</row>
    <row r="237" spans="1:25" ht="13">
      <c r="A237" s="96"/>
      <c r="B237" s="82"/>
      <c r="C237" s="83"/>
      <c r="D237" s="84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</row>
    <row r="238" spans="1:25" ht="13">
      <c r="A238" s="96"/>
      <c r="B238" s="82"/>
      <c r="C238" s="83"/>
      <c r="D238" s="84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</row>
    <row r="239" spans="1:25" ht="13">
      <c r="A239" s="96"/>
      <c r="B239" s="82"/>
      <c r="C239" s="83"/>
      <c r="D239" s="84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</row>
    <row r="240" spans="1:25" ht="13">
      <c r="A240" s="96"/>
      <c r="B240" s="82"/>
      <c r="C240" s="83"/>
      <c r="D240" s="84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</row>
    <row r="241" spans="1:25" ht="13">
      <c r="A241" s="96"/>
      <c r="B241" s="82"/>
      <c r="C241" s="83"/>
      <c r="D241" s="84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</row>
    <row r="242" spans="1:25" ht="13">
      <c r="A242" s="96"/>
      <c r="B242" s="82"/>
      <c r="C242" s="83"/>
      <c r="D242" s="84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</row>
    <row r="243" spans="1:25" ht="13">
      <c r="A243" s="96"/>
      <c r="B243" s="82"/>
      <c r="C243" s="83"/>
      <c r="D243" s="84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</row>
    <row r="244" spans="1:25" ht="13">
      <c r="A244" s="96"/>
      <c r="B244" s="82"/>
      <c r="C244" s="83"/>
      <c r="D244" s="84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</row>
    <row r="245" spans="1:25" ht="13">
      <c r="A245" s="96"/>
      <c r="B245" s="82"/>
      <c r="C245" s="83"/>
      <c r="D245" s="84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</row>
    <row r="246" spans="1:25" ht="13">
      <c r="A246" s="96"/>
      <c r="B246" s="82"/>
      <c r="C246" s="83"/>
      <c r="D246" s="84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</row>
    <row r="247" spans="1:25" ht="13">
      <c r="A247" s="96"/>
      <c r="B247" s="82"/>
      <c r="C247" s="83"/>
      <c r="D247" s="84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</row>
    <row r="248" spans="1:25" ht="13">
      <c r="A248" s="96"/>
      <c r="B248" s="82"/>
      <c r="C248" s="83"/>
      <c r="D248" s="84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</row>
    <row r="249" spans="1:25" ht="13">
      <c r="A249" s="96"/>
      <c r="B249" s="82"/>
      <c r="C249" s="83"/>
      <c r="D249" s="84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</row>
    <row r="250" spans="1:25" ht="13">
      <c r="A250" s="96"/>
      <c r="B250" s="82"/>
      <c r="C250" s="83"/>
      <c r="D250" s="84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</row>
    <row r="251" spans="1:25" ht="13">
      <c r="A251" s="96"/>
      <c r="B251" s="82"/>
      <c r="C251" s="83"/>
      <c r="D251" s="84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</row>
    <row r="252" spans="1:25" ht="13">
      <c r="A252" s="96"/>
      <c r="B252" s="82"/>
      <c r="C252" s="83"/>
      <c r="D252" s="84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</row>
    <row r="253" spans="1:25" ht="13">
      <c r="A253" s="96"/>
      <c r="B253" s="82"/>
      <c r="C253" s="83"/>
      <c r="D253" s="84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</row>
    <row r="254" spans="1:25" ht="13">
      <c r="A254" s="96"/>
      <c r="B254" s="82"/>
      <c r="C254" s="83"/>
      <c r="D254" s="84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</row>
    <row r="255" spans="1:25" ht="13">
      <c r="A255" s="96"/>
      <c r="B255" s="82"/>
      <c r="C255" s="83"/>
      <c r="D255" s="84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</row>
    <row r="256" spans="1:25" ht="13">
      <c r="A256" s="96"/>
      <c r="B256" s="82"/>
      <c r="C256" s="83"/>
      <c r="D256" s="84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</row>
    <row r="257" spans="1:25" ht="13">
      <c r="A257" s="96"/>
      <c r="B257" s="82"/>
      <c r="C257" s="83"/>
      <c r="D257" s="84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</row>
    <row r="258" spans="1:25" ht="13">
      <c r="A258" s="96"/>
      <c r="B258" s="82"/>
      <c r="C258" s="83"/>
      <c r="D258" s="84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</row>
    <row r="259" spans="1:25" ht="13">
      <c r="A259" s="96"/>
      <c r="B259" s="82"/>
      <c r="C259" s="83"/>
      <c r="D259" s="84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</row>
    <row r="260" spans="1:25" ht="13">
      <c r="A260" s="96"/>
      <c r="B260" s="82"/>
      <c r="C260" s="83"/>
      <c r="D260" s="84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</row>
    <row r="261" spans="1:25" ht="13">
      <c r="A261" s="96"/>
      <c r="B261" s="82"/>
      <c r="C261" s="83"/>
      <c r="D261" s="84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</row>
    <row r="262" spans="1:25" ht="13">
      <c r="A262" s="96"/>
      <c r="B262" s="82"/>
      <c r="C262" s="83"/>
      <c r="D262" s="84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</row>
    <row r="263" spans="1:25" ht="13">
      <c r="A263" s="96"/>
      <c r="B263" s="82"/>
      <c r="C263" s="83"/>
      <c r="D263" s="84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</row>
    <row r="264" spans="1:25" ht="13">
      <c r="A264" s="96"/>
      <c r="B264" s="82"/>
      <c r="C264" s="83"/>
      <c r="D264" s="84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</row>
    <row r="265" spans="1:25" ht="13">
      <c r="A265" s="96"/>
      <c r="B265" s="82"/>
      <c r="C265" s="83"/>
      <c r="D265" s="84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</row>
    <row r="266" spans="1:25" ht="13">
      <c r="A266" s="96"/>
      <c r="B266" s="82"/>
      <c r="C266" s="83"/>
      <c r="D266" s="84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</row>
    <row r="267" spans="1:25" ht="13">
      <c r="A267" s="96"/>
      <c r="B267" s="82"/>
      <c r="C267" s="83"/>
      <c r="D267" s="84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</row>
    <row r="268" spans="1:25" ht="13">
      <c r="A268" s="96"/>
      <c r="B268" s="82"/>
      <c r="C268" s="83"/>
      <c r="D268" s="84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</row>
    <row r="269" spans="1:25" ht="13">
      <c r="A269" s="96"/>
      <c r="B269" s="82"/>
      <c r="C269" s="83"/>
      <c r="D269" s="84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</row>
    <row r="270" spans="1:25" ht="13">
      <c r="A270" s="96"/>
      <c r="B270" s="82"/>
      <c r="C270" s="83"/>
      <c r="D270" s="84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</row>
    <row r="271" spans="1:25" ht="13">
      <c r="A271" s="96"/>
      <c r="B271" s="82"/>
      <c r="C271" s="83"/>
      <c r="D271" s="84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</row>
    <row r="272" spans="1:25" ht="13">
      <c r="A272" s="96"/>
      <c r="B272" s="82"/>
      <c r="C272" s="83"/>
      <c r="D272" s="84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</row>
    <row r="273" spans="1:25" ht="13">
      <c r="A273" s="96"/>
      <c r="B273" s="82"/>
      <c r="C273" s="83"/>
      <c r="D273" s="84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</row>
    <row r="274" spans="1:25" ht="13">
      <c r="A274" s="96"/>
      <c r="B274" s="82"/>
      <c r="C274" s="83"/>
      <c r="D274" s="84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</row>
    <row r="275" spans="1:25" ht="13">
      <c r="A275" s="96"/>
      <c r="B275" s="82"/>
      <c r="C275" s="83"/>
      <c r="D275" s="84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</row>
    <row r="276" spans="1:25" ht="13">
      <c r="A276" s="96"/>
      <c r="B276" s="82"/>
      <c r="C276" s="83"/>
      <c r="D276" s="84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</row>
    <row r="277" spans="1:25" ht="13">
      <c r="A277" s="96"/>
      <c r="B277" s="82"/>
      <c r="C277" s="83"/>
      <c r="D277" s="84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</row>
    <row r="278" spans="1:25" ht="13">
      <c r="A278" s="96"/>
      <c r="B278" s="82"/>
      <c r="C278" s="83"/>
      <c r="D278" s="84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</row>
    <row r="279" spans="1:25" ht="13">
      <c r="A279" s="96"/>
      <c r="B279" s="82"/>
      <c r="C279" s="83"/>
      <c r="D279" s="84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</row>
    <row r="280" spans="1:25" ht="13">
      <c r="A280" s="96"/>
      <c r="B280" s="82"/>
      <c r="C280" s="83"/>
      <c r="D280" s="84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</row>
    <row r="281" spans="1:25" ht="13">
      <c r="A281" s="96"/>
      <c r="B281" s="82"/>
      <c r="C281" s="83"/>
      <c r="D281" s="84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</row>
    <row r="282" spans="1:25" ht="13">
      <c r="A282" s="96"/>
      <c r="B282" s="82"/>
      <c r="C282" s="83"/>
      <c r="D282" s="84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</row>
    <row r="283" spans="1:25" ht="13">
      <c r="A283" s="96"/>
      <c r="B283" s="82"/>
      <c r="C283" s="83"/>
      <c r="D283" s="84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</row>
    <row r="284" spans="1:25" ht="13">
      <c r="A284" s="96"/>
      <c r="B284" s="82"/>
      <c r="C284" s="83"/>
      <c r="D284" s="84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</row>
    <row r="285" spans="1:25" ht="13">
      <c r="A285" s="96"/>
      <c r="B285" s="82"/>
      <c r="C285" s="83"/>
      <c r="D285" s="84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</row>
    <row r="286" spans="1:25" ht="13">
      <c r="A286" s="96"/>
      <c r="B286" s="82"/>
      <c r="C286" s="83"/>
      <c r="D286" s="84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</row>
    <row r="287" spans="1:25" ht="13">
      <c r="A287" s="96"/>
      <c r="B287" s="82"/>
      <c r="C287" s="83"/>
      <c r="D287" s="84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</row>
    <row r="288" spans="1:25" ht="13">
      <c r="A288" s="96"/>
      <c r="B288" s="82"/>
      <c r="C288" s="83"/>
      <c r="D288" s="84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</row>
    <row r="289" spans="1:25" ht="13">
      <c r="A289" s="96"/>
      <c r="B289" s="82"/>
      <c r="C289" s="83"/>
      <c r="D289" s="84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</row>
    <row r="290" spans="1:25" ht="13">
      <c r="A290" s="96"/>
      <c r="B290" s="82"/>
      <c r="C290" s="83"/>
      <c r="D290" s="84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</row>
    <row r="291" spans="1:25" ht="13">
      <c r="A291" s="96"/>
      <c r="B291" s="82"/>
      <c r="C291" s="83"/>
      <c r="D291" s="84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</row>
    <row r="292" spans="1:25" ht="13">
      <c r="A292" s="96"/>
      <c r="B292" s="82"/>
      <c r="C292" s="83"/>
      <c r="D292" s="84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</row>
    <row r="293" spans="1:25" ht="13">
      <c r="A293" s="96"/>
      <c r="B293" s="82"/>
      <c r="C293" s="83"/>
      <c r="D293" s="84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</row>
    <row r="294" spans="1:25" ht="13">
      <c r="A294" s="96"/>
      <c r="B294" s="82"/>
      <c r="C294" s="83"/>
      <c r="D294" s="84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</row>
    <row r="295" spans="1:25" ht="13">
      <c r="A295" s="96"/>
      <c r="B295" s="82"/>
      <c r="C295" s="83"/>
      <c r="D295" s="84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</row>
    <row r="296" spans="1:25" ht="13">
      <c r="A296" s="96"/>
      <c r="B296" s="82"/>
      <c r="C296" s="83"/>
      <c r="D296" s="84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</row>
    <row r="297" spans="1:25" ht="13">
      <c r="A297" s="96"/>
      <c r="B297" s="82"/>
      <c r="C297" s="83"/>
      <c r="D297" s="84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</row>
    <row r="298" spans="1:25" ht="13">
      <c r="A298" s="96"/>
      <c r="B298" s="82"/>
      <c r="C298" s="83"/>
      <c r="D298" s="84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</row>
    <row r="299" spans="1:25" ht="13">
      <c r="A299" s="96"/>
      <c r="B299" s="82"/>
      <c r="C299" s="83"/>
      <c r="D299" s="84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</row>
    <row r="300" spans="1:25" ht="13">
      <c r="A300" s="96"/>
      <c r="B300" s="82"/>
      <c r="C300" s="83"/>
      <c r="D300" s="84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</row>
    <row r="301" spans="1:25" ht="13">
      <c r="A301" s="96"/>
      <c r="B301" s="82"/>
      <c r="C301" s="83"/>
      <c r="D301" s="84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</row>
    <row r="302" spans="1:25" ht="13">
      <c r="A302" s="96"/>
      <c r="B302" s="82"/>
      <c r="C302" s="83"/>
      <c r="D302" s="84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</row>
    <row r="303" spans="1:25" ht="13">
      <c r="A303" s="96"/>
      <c r="B303" s="82"/>
      <c r="C303" s="83"/>
      <c r="D303" s="84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</row>
    <row r="304" spans="1:25" ht="13">
      <c r="A304" s="96"/>
      <c r="B304" s="82"/>
      <c r="C304" s="83"/>
      <c r="D304" s="84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</row>
    <row r="305" spans="1:25" ht="13">
      <c r="A305" s="96"/>
      <c r="B305" s="82"/>
      <c r="C305" s="83"/>
      <c r="D305" s="84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</row>
    <row r="306" spans="1:25" ht="13">
      <c r="A306" s="96"/>
      <c r="B306" s="82"/>
      <c r="C306" s="83"/>
      <c r="D306" s="84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</row>
    <row r="307" spans="1:25" ht="13">
      <c r="A307" s="96"/>
      <c r="B307" s="82"/>
      <c r="C307" s="83"/>
      <c r="D307" s="84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</row>
    <row r="308" spans="1:25" ht="13">
      <c r="A308" s="96"/>
      <c r="B308" s="82"/>
      <c r="C308" s="83"/>
      <c r="D308" s="84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</row>
    <row r="309" spans="1:25" ht="13">
      <c r="A309" s="96"/>
      <c r="B309" s="82"/>
      <c r="C309" s="83"/>
      <c r="D309" s="84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</row>
    <row r="310" spans="1:25" ht="13">
      <c r="A310" s="96"/>
      <c r="B310" s="82"/>
      <c r="C310" s="83"/>
      <c r="D310" s="84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</row>
    <row r="311" spans="1:25" ht="13">
      <c r="A311" s="96"/>
      <c r="B311" s="82"/>
      <c r="C311" s="83"/>
      <c r="D311" s="84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</row>
    <row r="312" spans="1:25" ht="13">
      <c r="A312" s="96"/>
      <c r="B312" s="82"/>
      <c r="C312" s="83"/>
      <c r="D312" s="84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</row>
    <row r="313" spans="1:25" ht="13">
      <c r="A313" s="96"/>
      <c r="B313" s="82"/>
      <c r="C313" s="83"/>
      <c r="D313" s="84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</row>
    <row r="314" spans="1:25" ht="13">
      <c r="A314" s="96"/>
      <c r="B314" s="82"/>
      <c r="C314" s="83"/>
      <c r="D314" s="84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</row>
    <row r="315" spans="1:25" ht="13">
      <c r="A315" s="96"/>
      <c r="B315" s="82"/>
      <c r="C315" s="83"/>
      <c r="D315" s="84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</row>
    <row r="316" spans="1:25" ht="13">
      <c r="A316" s="96"/>
      <c r="B316" s="82"/>
      <c r="C316" s="83"/>
      <c r="D316" s="84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</row>
    <row r="317" spans="1:25" ht="13">
      <c r="A317" s="96"/>
      <c r="B317" s="82"/>
      <c r="C317" s="83"/>
      <c r="D317" s="84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</row>
    <row r="318" spans="1:25" ht="13">
      <c r="A318" s="96"/>
      <c r="B318" s="82"/>
      <c r="C318" s="83"/>
      <c r="D318" s="84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</row>
    <row r="319" spans="1:25" ht="13">
      <c r="A319" s="96"/>
      <c r="B319" s="82"/>
      <c r="C319" s="83"/>
      <c r="D319" s="84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</row>
    <row r="320" spans="1:25" ht="13">
      <c r="A320" s="96"/>
      <c r="B320" s="82"/>
      <c r="C320" s="83"/>
      <c r="D320" s="84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</row>
    <row r="321" spans="1:25" ht="13">
      <c r="A321" s="96"/>
      <c r="B321" s="82"/>
      <c r="C321" s="83"/>
      <c r="D321" s="84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</row>
    <row r="322" spans="1:25" ht="13">
      <c r="A322" s="96"/>
      <c r="B322" s="82"/>
      <c r="C322" s="83"/>
      <c r="D322" s="84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</row>
    <row r="323" spans="1:25" ht="13">
      <c r="A323" s="96"/>
      <c r="B323" s="82"/>
      <c r="C323" s="83"/>
      <c r="D323" s="84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</row>
    <row r="324" spans="1:25" ht="13">
      <c r="A324" s="96"/>
      <c r="B324" s="82"/>
      <c r="C324" s="83"/>
      <c r="D324" s="84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</row>
    <row r="325" spans="1:25" ht="13">
      <c r="A325" s="96"/>
      <c r="B325" s="82"/>
      <c r="C325" s="83"/>
      <c r="D325" s="84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</row>
    <row r="326" spans="1:25" ht="13">
      <c r="A326" s="96"/>
      <c r="B326" s="82"/>
      <c r="C326" s="83"/>
      <c r="D326" s="84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</row>
    <row r="327" spans="1:25" ht="13">
      <c r="A327" s="96"/>
      <c r="B327" s="82"/>
      <c r="C327" s="83"/>
      <c r="D327" s="84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</row>
    <row r="328" spans="1:25" ht="13">
      <c r="A328" s="96"/>
      <c r="B328" s="82"/>
      <c r="C328" s="83"/>
      <c r="D328" s="84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</row>
    <row r="329" spans="1:25" ht="13">
      <c r="A329" s="96"/>
      <c r="B329" s="82"/>
      <c r="C329" s="83"/>
      <c r="D329" s="84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</row>
    <row r="330" spans="1:25" ht="13">
      <c r="A330" s="96"/>
      <c r="B330" s="82"/>
      <c r="C330" s="83"/>
      <c r="D330" s="84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</row>
    <row r="331" spans="1:25" ht="13">
      <c r="A331" s="96"/>
      <c r="B331" s="82"/>
      <c r="C331" s="83"/>
      <c r="D331" s="84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</row>
    <row r="332" spans="1:25" ht="13">
      <c r="A332" s="96"/>
      <c r="B332" s="82"/>
      <c r="C332" s="83"/>
      <c r="D332" s="84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</row>
    <row r="333" spans="1:25" ht="13">
      <c r="A333" s="96"/>
      <c r="B333" s="82"/>
      <c r="C333" s="83"/>
      <c r="D333" s="84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</row>
    <row r="334" spans="1:25" ht="13">
      <c r="A334" s="96"/>
      <c r="B334" s="82"/>
      <c r="C334" s="83"/>
      <c r="D334" s="84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</row>
    <row r="335" spans="1:25" ht="13">
      <c r="A335" s="96"/>
      <c r="B335" s="82"/>
      <c r="C335" s="83"/>
      <c r="D335" s="84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</row>
    <row r="336" spans="1:25" ht="13">
      <c r="A336" s="96"/>
      <c r="B336" s="82"/>
      <c r="C336" s="83"/>
      <c r="D336" s="84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</row>
    <row r="337" spans="1:25" ht="13">
      <c r="A337" s="96"/>
      <c r="B337" s="82"/>
      <c r="C337" s="83"/>
      <c r="D337" s="84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</row>
    <row r="338" spans="1:25" ht="13">
      <c r="A338" s="96"/>
      <c r="B338" s="82"/>
      <c r="C338" s="83"/>
      <c r="D338" s="84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</row>
    <row r="339" spans="1:25" ht="13">
      <c r="A339" s="96"/>
      <c r="B339" s="82"/>
      <c r="C339" s="83"/>
      <c r="D339" s="84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</row>
    <row r="340" spans="1:25" ht="13">
      <c r="A340" s="96"/>
      <c r="B340" s="82"/>
      <c r="C340" s="83"/>
      <c r="D340" s="84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</row>
    <row r="341" spans="1:25" ht="13">
      <c r="A341" s="96"/>
      <c r="B341" s="82"/>
      <c r="C341" s="83"/>
      <c r="D341" s="84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</row>
    <row r="342" spans="1:25" ht="13">
      <c r="A342" s="96"/>
      <c r="B342" s="82"/>
      <c r="C342" s="83"/>
      <c r="D342" s="84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</row>
    <row r="343" spans="1:25" ht="13">
      <c r="A343" s="96"/>
      <c r="B343" s="82"/>
      <c r="C343" s="83"/>
      <c r="D343" s="84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</row>
    <row r="344" spans="1:25" ht="13">
      <c r="A344" s="96"/>
      <c r="B344" s="82"/>
      <c r="C344" s="83"/>
      <c r="D344" s="84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</row>
    <row r="345" spans="1:25" ht="13">
      <c r="A345" s="96"/>
      <c r="B345" s="82"/>
      <c r="C345" s="83"/>
      <c r="D345" s="84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</row>
    <row r="346" spans="1:25" ht="13">
      <c r="A346" s="96"/>
      <c r="B346" s="82"/>
      <c r="C346" s="83"/>
      <c r="D346" s="84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</row>
    <row r="347" spans="1:25" ht="13">
      <c r="A347" s="96"/>
      <c r="B347" s="82"/>
      <c r="C347" s="83"/>
      <c r="D347" s="84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</row>
    <row r="348" spans="1:25" ht="13">
      <c r="A348" s="96"/>
      <c r="B348" s="82"/>
      <c r="C348" s="83"/>
      <c r="D348" s="84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</row>
    <row r="349" spans="1:25" ht="13">
      <c r="A349" s="96"/>
      <c r="B349" s="82"/>
      <c r="C349" s="83"/>
      <c r="D349" s="84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</row>
    <row r="350" spans="1:25" ht="13">
      <c r="A350" s="96"/>
      <c r="B350" s="82"/>
      <c r="C350" s="83"/>
      <c r="D350" s="84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</row>
    <row r="351" spans="1:25" ht="13">
      <c r="A351" s="96"/>
      <c r="B351" s="82"/>
      <c r="C351" s="83"/>
      <c r="D351" s="84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</row>
    <row r="352" spans="1:25" ht="13">
      <c r="A352" s="96"/>
      <c r="B352" s="82"/>
      <c r="C352" s="83"/>
      <c r="D352" s="84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</row>
    <row r="353" spans="1:25" ht="13">
      <c r="A353" s="96"/>
      <c r="B353" s="82"/>
      <c r="C353" s="83"/>
      <c r="D353" s="84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</row>
    <row r="354" spans="1:25" ht="13">
      <c r="A354" s="96"/>
      <c r="B354" s="82"/>
      <c r="C354" s="83"/>
      <c r="D354" s="84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</row>
    <row r="355" spans="1:25" ht="13">
      <c r="A355" s="96"/>
      <c r="B355" s="82"/>
      <c r="C355" s="83"/>
      <c r="D355" s="84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</row>
    <row r="356" spans="1:25" ht="13">
      <c r="A356" s="96"/>
      <c r="B356" s="82"/>
      <c r="C356" s="83"/>
      <c r="D356" s="84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</row>
    <row r="357" spans="1:25" ht="13">
      <c r="A357" s="96"/>
      <c r="B357" s="82"/>
      <c r="C357" s="83"/>
      <c r="D357" s="84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</row>
    <row r="358" spans="1:25" ht="13">
      <c r="A358" s="96"/>
      <c r="B358" s="82"/>
      <c r="C358" s="83"/>
      <c r="D358" s="84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</row>
    <row r="359" spans="1:25" ht="13">
      <c r="A359" s="96"/>
      <c r="B359" s="82"/>
      <c r="C359" s="83"/>
      <c r="D359" s="84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</row>
    <row r="360" spans="1:25" ht="13">
      <c r="A360" s="96"/>
      <c r="B360" s="82"/>
      <c r="C360" s="83"/>
      <c r="D360" s="84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</row>
    <row r="361" spans="1:25" ht="13">
      <c r="A361" s="96"/>
      <c r="B361" s="82"/>
      <c r="C361" s="83"/>
      <c r="D361" s="84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</row>
    <row r="362" spans="1:25" ht="13">
      <c r="A362" s="96"/>
      <c r="B362" s="82"/>
      <c r="C362" s="83"/>
      <c r="D362" s="84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</row>
    <row r="363" spans="1:25" ht="13">
      <c r="A363" s="96"/>
      <c r="B363" s="82"/>
      <c r="C363" s="83"/>
      <c r="D363" s="84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</row>
    <row r="364" spans="1:25" ht="13">
      <c r="A364" s="96"/>
      <c r="B364" s="82"/>
      <c r="C364" s="83"/>
      <c r="D364" s="84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</row>
    <row r="365" spans="1:25" ht="13">
      <c r="A365" s="96"/>
      <c r="B365" s="82"/>
      <c r="C365" s="83"/>
      <c r="D365" s="84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</row>
    <row r="366" spans="1:25" ht="13">
      <c r="A366" s="96"/>
      <c r="B366" s="82"/>
      <c r="C366" s="83"/>
      <c r="D366" s="84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</row>
    <row r="367" spans="1:25" ht="13">
      <c r="A367" s="96"/>
      <c r="B367" s="82"/>
      <c r="C367" s="83"/>
      <c r="D367" s="84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</row>
    <row r="368" spans="1:25" ht="13">
      <c r="A368" s="96"/>
      <c r="B368" s="82"/>
      <c r="C368" s="83"/>
      <c r="D368" s="84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</row>
    <row r="369" spans="1:25" ht="13">
      <c r="A369" s="96"/>
      <c r="B369" s="82"/>
      <c r="C369" s="83"/>
      <c r="D369" s="84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</row>
    <row r="370" spans="1:25" ht="13">
      <c r="A370" s="96"/>
      <c r="B370" s="82"/>
      <c r="C370" s="83"/>
      <c r="D370" s="84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</row>
    <row r="371" spans="1:25" ht="13">
      <c r="A371" s="96"/>
      <c r="B371" s="82"/>
      <c r="C371" s="83"/>
      <c r="D371" s="84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</row>
    <row r="372" spans="1:25" ht="13">
      <c r="A372" s="96"/>
      <c r="B372" s="82"/>
      <c r="C372" s="83"/>
      <c r="D372" s="84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</row>
    <row r="373" spans="1:25" ht="13">
      <c r="A373" s="96"/>
      <c r="B373" s="82"/>
      <c r="C373" s="83"/>
      <c r="D373" s="84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</row>
    <row r="374" spans="1:25" ht="13">
      <c r="A374" s="96"/>
      <c r="B374" s="82"/>
      <c r="C374" s="83"/>
      <c r="D374" s="84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</row>
    <row r="375" spans="1:25" ht="13">
      <c r="A375" s="96"/>
      <c r="B375" s="82"/>
      <c r="C375" s="83"/>
      <c r="D375" s="84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</row>
    <row r="376" spans="1:25" ht="13">
      <c r="A376" s="96"/>
      <c r="B376" s="82"/>
      <c r="C376" s="83"/>
      <c r="D376" s="84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</row>
    <row r="377" spans="1:25" ht="13">
      <c r="A377" s="96"/>
      <c r="B377" s="82"/>
      <c r="C377" s="83"/>
      <c r="D377" s="84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</row>
    <row r="378" spans="1:25" ht="13">
      <c r="A378" s="96"/>
      <c r="B378" s="82"/>
      <c r="C378" s="83"/>
      <c r="D378" s="84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</row>
    <row r="379" spans="1:25" ht="13">
      <c r="A379" s="96"/>
      <c r="B379" s="82"/>
      <c r="C379" s="83"/>
      <c r="D379" s="84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</row>
    <row r="380" spans="1:25" ht="13">
      <c r="A380" s="96"/>
      <c r="B380" s="82"/>
      <c r="C380" s="83"/>
      <c r="D380" s="84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</row>
    <row r="381" spans="1:25" ht="13">
      <c r="A381" s="96"/>
      <c r="B381" s="82"/>
      <c r="C381" s="83"/>
      <c r="D381" s="84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</row>
    <row r="382" spans="1:25" ht="13">
      <c r="A382" s="96"/>
      <c r="B382" s="82"/>
      <c r="C382" s="83"/>
      <c r="D382" s="84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</row>
    <row r="383" spans="1:25" ht="13">
      <c r="A383" s="96"/>
      <c r="B383" s="82"/>
      <c r="C383" s="83"/>
      <c r="D383" s="84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</row>
    <row r="384" spans="1:25" ht="13">
      <c r="A384" s="96"/>
      <c r="B384" s="82"/>
      <c r="C384" s="83"/>
      <c r="D384" s="84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</row>
    <row r="385" spans="1:25" ht="13">
      <c r="A385" s="96"/>
      <c r="B385" s="82"/>
      <c r="C385" s="83"/>
      <c r="D385" s="84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</row>
    <row r="386" spans="1:25" ht="13">
      <c r="A386" s="96"/>
      <c r="B386" s="82"/>
      <c r="C386" s="83"/>
      <c r="D386" s="84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</row>
    <row r="387" spans="1:25" ht="13">
      <c r="A387" s="96"/>
      <c r="B387" s="82"/>
      <c r="C387" s="83"/>
      <c r="D387" s="84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</row>
    <row r="388" spans="1:25" ht="13">
      <c r="A388" s="96"/>
      <c r="B388" s="82"/>
      <c r="C388" s="83"/>
      <c r="D388" s="84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</row>
    <row r="389" spans="1:25" ht="13">
      <c r="A389" s="96"/>
      <c r="B389" s="82"/>
      <c r="C389" s="83"/>
      <c r="D389" s="84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</row>
    <row r="390" spans="1:25" ht="13">
      <c r="A390" s="96"/>
      <c r="B390" s="82"/>
      <c r="C390" s="83"/>
      <c r="D390" s="84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</row>
    <row r="391" spans="1:25" ht="13">
      <c r="A391" s="96"/>
      <c r="B391" s="82"/>
      <c r="C391" s="83"/>
      <c r="D391" s="84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</row>
    <row r="392" spans="1:25" ht="13">
      <c r="A392" s="96"/>
      <c r="B392" s="82"/>
      <c r="C392" s="83"/>
      <c r="D392" s="84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</row>
    <row r="393" spans="1:25" ht="13">
      <c r="A393" s="96"/>
      <c r="B393" s="82"/>
      <c r="C393" s="83"/>
      <c r="D393" s="84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</row>
    <row r="394" spans="1:25" ht="13">
      <c r="A394" s="96"/>
      <c r="B394" s="82"/>
      <c r="C394" s="83"/>
      <c r="D394" s="84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</row>
    <row r="395" spans="1:25" ht="13">
      <c r="A395" s="96"/>
      <c r="B395" s="82"/>
      <c r="C395" s="83"/>
      <c r="D395" s="84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</row>
    <row r="396" spans="1:25" ht="13">
      <c r="A396" s="96"/>
      <c r="B396" s="82"/>
      <c r="C396" s="83"/>
      <c r="D396" s="84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</row>
    <row r="397" spans="1:25" ht="13">
      <c r="A397" s="96"/>
      <c r="B397" s="82"/>
      <c r="C397" s="83"/>
      <c r="D397" s="84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</row>
    <row r="398" spans="1:25" ht="13">
      <c r="A398" s="96"/>
      <c r="B398" s="82"/>
      <c r="C398" s="83"/>
      <c r="D398" s="84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</row>
    <row r="399" spans="1:25" ht="13">
      <c r="A399" s="96"/>
      <c r="B399" s="82"/>
      <c r="C399" s="83"/>
      <c r="D399" s="84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</row>
    <row r="400" spans="1:25" ht="13">
      <c r="A400" s="96"/>
      <c r="B400" s="82"/>
      <c r="C400" s="83"/>
      <c r="D400" s="84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</row>
    <row r="401" spans="1:25" ht="13">
      <c r="A401" s="96"/>
      <c r="B401" s="82"/>
      <c r="C401" s="83"/>
      <c r="D401" s="84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</row>
    <row r="402" spans="1:25" ht="13">
      <c r="A402" s="96"/>
      <c r="B402" s="82"/>
      <c r="C402" s="83"/>
      <c r="D402" s="84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</row>
    <row r="403" spans="1:25" ht="13">
      <c r="A403" s="96"/>
      <c r="B403" s="82"/>
      <c r="C403" s="83"/>
      <c r="D403" s="84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</row>
    <row r="404" spans="1:25" ht="13">
      <c r="A404" s="96"/>
      <c r="B404" s="82"/>
      <c r="C404" s="83"/>
      <c r="D404" s="84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</row>
    <row r="405" spans="1:25" ht="13">
      <c r="A405" s="96"/>
      <c r="B405" s="82"/>
      <c r="C405" s="83"/>
      <c r="D405" s="84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</row>
    <row r="406" spans="1:25" ht="13">
      <c r="A406" s="96"/>
      <c r="B406" s="82"/>
      <c r="C406" s="83"/>
      <c r="D406" s="84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</row>
    <row r="407" spans="1:25" ht="13">
      <c r="A407" s="96"/>
      <c r="B407" s="82"/>
      <c r="C407" s="83"/>
      <c r="D407" s="84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</row>
    <row r="408" spans="1:25" ht="13">
      <c r="A408" s="96"/>
      <c r="B408" s="82"/>
      <c r="C408" s="83"/>
      <c r="D408" s="84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</row>
    <row r="409" spans="1:25" ht="13">
      <c r="A409" s="96"/>
      <c r="B409" s="82"/>
      <c r="C409" s="83"/>
      <c r="D409" s="84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</row>
    <row r="410" spans="1:25" ht="13">
      <c r="A410" s="96"/>
      <c r="B410" s="82"/>
      <c r="C410" s="83"/>
      <c r="D410" s="84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</row>
    <row r="411" spans="1:25" ht="13">
      <c r="A411" s="96"/>
      <c r="B411" s="82"/>
      <c r="C411" s="83"/>
      <c r="D411" s="84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</row>
    <row r="412" spans="1:25" ht="13">
      <c r="A412" s="96"/>
      <c r="B412" s="82"/>
      <c r="C412" s="83"/>
      <c r="D412" s="84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</row>
    <row r="413" spans="1:25" ht="13">
      <c r="A413" s="96"/>
      <c r="B413" s="82"/>
      <c r="C413" s="83"/>
      <c r="D413" s="84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</row>
    <row r="414" spans="1:25" ht="13">
      <c r="A414" s="96"/>
      <c r="B414" s="82"/>
      <c r="C414" s="83"/>
      <c r="D414" s="84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</row>
    <row r="415" spans="1:25" ht="13">
      <c r="A415" s="96"/>
      <c r="B415" s="82"/>
      <c r="C415" s="83"/>
      <c r="D415" s="84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</row>
    <row r="416" spans="1:25" ht="13">
      <c r="A416" s="96"/>
      <c r="B416" s="82"/>
      <c r="C416" s="83"/>
      <c r="D416" s="84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</row>
    <row r="417" spans="1:25" ht="13">
      <c r="A417" s="96"/>
      <c r="B417" s="82"/>
      <c r="C417" s="83"/>
      <c r="D417" s="84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</row>
    <row r="418" spans="1:25" ht="13">
      <c r="A418" s="96"/>
      <c r="B418" s="82"/>
      <c r="C418" s="83"/>
      <c r="D418" s="84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</row>
    <row r="419" spans="1:25" ht="13">
      <c r="A419" s="96"/>
      <c r="B419" s="82"/>
      <c r="C419" s="83"/>
      <c r="D419" s="84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</row>
    <row r="420" spans="1:25" ht="13">
      <c r="A420" s="96"/>
      <c r="B420" s="82"/>
      <c r="C420" s="83"/>
      <c r="D420" s="84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</row>
    <row r="421" spans="1:25" ht="13">
      <c r="A421" s="96"/>
      <c r="B421" s="82"/>
      <c r="C421" s="83"/>
      <c r="D421" s="84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</row>
    <row r="422" spans="1:25" ht="13">
      <c r="A422" s="96"/>
      <c r="B422" s="82"/>
      <c r="C422" s="83"/>
      <c r="D422" s="84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</row>
    <row r="423" spans="1:25" ht="13">
      <c r="A423" s="96"/>
      <c r="B423" s="82"/>
      <c r="C423" s="83"/>
      <c r="D423" s="84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</row>
    <row r="424" spans="1:25" ht="13">
      <c r="A424" s="96"/>
      <c r="B424" s="82"/>
      <c r="C424" s="83"/>
      <c r="D424" s="84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</row>
    <row r="425" spans="1:25" ht="13">
      <c r="A425" s="96"/>
      <c r="B425" s="82"/>
      <c r="C425" s="83"/>
      <c r="D425" s="84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</row>
    <row r="426" spans="1:25" ht="13">
      <c r="A426" s="96"/>
      <c r="B426" s="82"/>
      <c r="C426" s="83"/>
      <c r="D426" s="84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</row>
    <row r="427" spans="1:25" ht="13">
      <c r="A427" s="96"/>
      <c r="B427" s="82"/>
      <c r="C427" s="83"/>
      <c r="D427" s="84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</row>
    <row r="428" spans="1:25" ht="13">
      <c r="A428" s="96"/>
      <c r="B428" s="82"/>
      <c r="C428" s="83"/>
      <c r="D428" s="84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</row>
    <row r="429" spans="1:25" ht="13">
      <c r="A429" s="96"/>
      <c r="B429" s="82"/>
      <c r="C429" s="83"/>
      <c r="D429" s="84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</row>
    <row r="430" spans="1:25" ht="13">
      <c r="A430" s="96"/>
      <c r="B430" s="82"/>
      <c r="C430" s="83"/>
      <c r="D430" s="84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</row>
    <row r="431" spans="1:25" ht="13">
      <c r="A431" s="96"/>
      <c r="B431" s="82"/>
      <c r="C431" s="83"/>
      <c r="D431" s="84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</row>
    <row r="432" spans="1:25" ht="13">
      <c r="A432" s="96"/>
      <c r="B432" s="82"/>
      <c r="C432" s="83"/>
      <c r="D432" s="84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</row>
    <row r="433" spans="1:25" ht="13">
      <c r="A433" s="96"/>
      <c r="B433" s="82"/>
      <c r="C433" s="83"/>
      <c r="D433" s="84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</row>
    <row r="434" spans="1:25" ht="13">
      <c r="A434" s="96"/>
      <c r="B434" s="82"/>
      <c r="C434" s="83"/>
      <c r="D434" s="84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</row>
    <row r="435" spans="1:25" ht="13">
      <c r="A435" s="96"/>
      <c r="B435" s="82"/>
      <c r="C435" s="83"/>
      <c r="D435" s="84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</row>
    <row r="436" spans="1:25" ht="13">
      <c r="A436" s="96"/>
      <c r="B436" s="82"/>
      <c r="C436" s="83"/>
      <c r="D436" s="84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</row>
    <row r="437" spans="1:25" ht="13">
      <c r="A437" s="96"/>
      <c r="B437" s="82"/>
      <c r="C437" s="83"/>
      <c r="D437" s="84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</row>
    <row r="438" spans="1:25" ht="13">
      <c r="A438" s="96"/>
      <c r="B438" s="82"/>
      <c r="C438" s="83"/>
      <c r="D438" s="84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</row>
    <row r="439" spans="1:25" ht="13">
      <c r="A439" s="96"/>
      <c r="B439" s="82"/>
      <c r="C439" s="83"/>
      <c r="D439" s="84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</row>
    <row r="440" spans="1:25" ht="13">
      <c r="A440" s="96"/>
      <c r="B440" s="82"/>
      <c r="C440" s="83"/>
      <c r="D440" s="84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</row>
    <row r="441" spans="1:25" ht="13">
      <c r="A441" s="96"/>
      <c r="B441" s="82"/>
      <c r="C441" s="83"/>
      <c r="D441" s="84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</row>
    <row r="442" spans="1:25" ht="13">
      <c r="A442" s="96"/>
      <c r="B442" s="82"/>
      <c r="C442" s="83"/>
      <c r="D442" s="84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</row>
    <row r="443" spans="1:25" ht="13">
      <c r="A443" s="96"/>
      <c r="B443" s="82"/>
      <c r="C443" s="83"/>
      <c r="D443" s="84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</row>
    <row r="444" spans="1:25" ht="13">
      <c r="A444" s="96"/>
      <c r="B444" s="82"/>
      <c r="C444" s="83"/>
      <c r="D444" s="84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</row>
    <row r="445" spans="1:25" ht="13">
      <c r="A445" s="96"/>
      <c r="B445" s="82"/>
      <c r="C445" s="83"/>
      <c r="D445" s="84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</row>
    <row r="446" spans="1:25" ht="13">
      <c r="A446" s="96"/>
      <c r="B446" s="82"/>
      <c r="C446" s="83"/>
      <c r="D446" s="84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</row>
    <row r="447" spans="1:25" ht="13">
      <c r="A447" s="96"/>
      <c r="B447" s="82"/>
      <c r="C447" s="83"/>
      <c r="D447" s="84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</row>
    <row r="448" spans="1:25" ht="13">
      <c r="A448" s="96"/>
      <c r="B448" s="82"/>
      <c r="C448" s="83"/>
      <c r="D448" s="84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</row>
    <row r="449" spans="1:25" ht="13">
      <c r="A449" s="96"/>
      <c r="B449" s="82"/>
      <c r="C449" s="83"/>
      <c r="D449" s="84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</row>
    <row r="450" spans="1:25" ht="13">
      <c r="A450" s="96"/>
      <c r="B450" s="82"/>
      <c r="C450" s="83"/>
      <c r="D450" s="84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</row>
    <row r="451" spans="1:25" ht="13">
      <c r="A451" s="96"/>
      <c r="B451" s="82"/>
      <c r="C451" s="83"/>
      <c r="D451" s="84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</row>
    <row r="452" spans="1:25" ht="13">
      <c r="A452" s="96"/>
      <c r="B452" s="82"/>
      <c r="C452" s="83"/>
      <c r="D452" s="84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</row>
    <row r="453" spans="1:25" ht="13">
      <c r="A453" s="96"/>
      <c r="B453" s="82"/>
      <c r="C453" s="83"/>
      <c r="D453" s="84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</row>
    <row r="454" spans="1:25" ht="13">
      <c r="A454" s="96"/>
      <c r="B454" s="82"/>
      <c r="C454" s="83"/>
      <c r="D454" s="84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</row>
    <row r="455" spans="1:25" ht="13">
      <c r="A455" s="96"/>
      <c r="B455" s="82"/>
      <c r="C455" s="83"/>
      <c r="D455" s="84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</row>
    <row r="456" spans="1:25" ht="13">
      <c r="A456" s="96"/>
      <c r="B456" s="82"/>
      <c r="C456" s="83"/>
      <c r="D456" s="84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</row>
    <row r="457" spans="1:25" ht="13">
      <c r="A457" s="96"/>
      <c r="B457" s="82"/>
      <c r="C457" s="83"/>
      <c r="D457" s="84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</row>
    <row r="458" spans="1:25" ht="13">
      <c r="A458" s="96"/>
      <c r="B458" s="82"/>
      <c r="C458" s="83"/>
      <c r="D458" s="84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</row>
    <row r="459" spans="1:25" ht="13">
      <c r="A459" s="96"/>
      <c r="B459" s="82"/>
      <c r="C459" s="83"/>
      <c r="D459" s="84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</row>
    <row r="460" spans="1:25" ht="13">
      <c r="A460" s="96"/>
      <c r="B460" s="82"/>
      <c r="C460" s="83"/>
      <c r="D460" s="84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</row>
    <row r="461" spans="1:25" ht="13">
      <c r="A461" s="96"/>
      <c r="B461" s="82"/>
      <c r="C461" s="83"/>
      <c r="D461" s="84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</row>
    <row r="462" spans="1:25" ht="13">
      <c r="A462" s="96"/>
      <c r="B462" s="82"/>
      <c r="C462" s="83"/>
      <c r="D462" s="84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</row>
    <row r="463" spans="1:25" ht="13">
      <c r="A463" s="96"/>
      <c r="B463" s="82"/>
      <c r="C463" s="83"/>
      <c r="D463" s="84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</row>
    <row r="464" spans="1:25" ht="13">
      <c r="A464" s="96"/>
      <c r="B464" s="82"/>
      <c r="C464" s="83"/>
      <c r="D464" s="84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</row>
    <row r="465" spans="1:25" ht="13">
      <c r="A465" s="96"/>
      <c r="B465" s="82"/>
      <c r="C465" s="83"/>
      <c r="D465" s="84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</row>
    <row r="466" spans="1:25" ht="13">
      <c r="A466" s="96"/>
      <c r="B466" s="82"/>
      <c r="C466" s="83"/>
      <c r="D466" s="84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</row>
    <row r="467" spans="1:25" ht="13">
      <c r="A467" s="96"/>
      <c r="B467" s="82"/>
      <c r="C467" s="83"/>
      <c r="D467" s="84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</row>
    <row r="468" spans="1:25" ht="13">
      <c r="A468" s="96"/>
      <c r="B468" s="82"/>
      <c r="C468" s="83"/>
      <c r="D468" s="84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</row>
    <row r="469" spans="1:25" ht="13">
      <c r="A469" s="96"/>
      <c r="B469" s="82"/>
      <c r="C469" s="83"/>
      <c r="D469" s="84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</row>
    <row r="470" spans="1:25" ht="13">
      <c r="A470" s="96"/>
      <c r="B470" s="82"/>
      <c r="C470" s="83"/>
      <c r="D470" s="84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</row>
    <row r="471" spans="1:25" ht="13">
      <c r="A471" s="96"/>
      <c r="B471" s="82"/>
      <c r="C471" s="83"/>
      <c r="D471" s="84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</row>
    <row r="472" spans="1:25" ht="13">
      <c r="A472" s="96"/>
      <c r="B472" s="82"/>
      <c r="C472" s="83"/>
      <c r="D472" s="84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</row>
    <row r="473" spans="1:25" ht="13">
      <c r="A473" s="96"/>
      <c r="B473" s="82"/>
      <c r="C473" s="83"/>
      <c r="D473" s="84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</row>
    <row r="474" spans="1:25" ht="13">
      <c r="A474" s="96"/>
      <c r="B474" s="82"/>
      <c r="C474" s="83"/>
      <c r="D474" s="84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</row>
    <row r="475" spans="1:25" ht="13">
      <c r="A475" s="96"/>
      <c r="B475" s="82"/>
      <c r="C475" s="83"/>
      <c r="D475" s="84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</row>
    <row r="476" spans="1:25" ht="13">
      <c r="A476" s="96"/>
      <c r="B476" s="82"/>
      <c r="C476" s="83"/>
      <c r="D476" s="84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</row>
    <row r="477" spans="1:25" ht="13">
      <c r="A477" s="96"/>
      <c r="B477" s="82"/>
      <c r="C477" s="83"/>
      <c r="D477" s="84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</row>
    <row r="478" spans="1:25" ht="13">
      <c r="A478" s="96"/>
      <c r="B478" s="82"/>
      <c r="C478" s="83"/>
      <c r="D478" s="84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</row>
    <row r="479" spans="1:25" ht="13">
      <c r="A479" s="96"/>
      <c r="B479" s="82"/>
      <c r="C479" s="83"/>
      <c r="D479" s="84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</row>
    <row r="480" spans="1:25" ht="13">
      <c r="A480" s="96"/>
      <c r="B480" s="82"/>
      <c r="C480" s="83"/>
      <c r="D480" s="84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</row>
    <row r="481" spans="1:25" ht="13">
      <c r="A481" s="96"/>
      <c r="B481" s="82"/>
      <c r="C481" s="83"/>
      <c r="D481" s="84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</row>
    <row r="482" spans="1:25" ht="13">
      <c r="A482" s="96"/>
      <c r="B482" s="82"/>
      <c r="C482" s="83"/>
      <c r="D482" s="84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</row>
    <row r="483" spans="1:25" ht="13">
      <c r="A483" s="96"/>
      <c r="B483" s="82"/>
      <c r="C483" s="83"/>
      <c r="D483" s="84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</row>
    <row r="484" spans="1:25" ht="13">
      <c r="A484" s="96"/>
      <c r="B484" s="82"/>
      <c r="C484" s="83"/>
      <c r="D484" s="84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</row>
    <row r="485" spans="1:25" ht="13">
      <c r="A485" s="96"/>
      <c r="B485" s="82"/>
      <c r="C485" s="83"/>
      <c r="D485" s="84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</row>
    <row r="486" spans="1:25" ht="13">
      <c r="A486" s="96"/>
      <c r="B486" s="82"/>
      <c r="C486" s="83"/>
      <c r="D486" s="84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</row>
    <row r="487" spans="1:25" ht="13">
      <c r="A487" s="96"/>
      <c r="B487" s="82"/>
      <c r="C487" s="83"/>
      <c r="D487" s="84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</row>
    <row r="488" spans="1:25" ht="13">
      <c r="A488" s="96"/>
      <c r="B488" s="82"/>
      <c r="C488" s="83"/>
      <c r="D488" s="84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</row>
    <row r="489" spans="1:25" ht="13">
      <c r="A489" s="96"/>
      <c r="B489" s="82"/>
      <c r="C489" s="83"/>
      <c r="D489" s="84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</row>
    <row r="490" spans="1:25" ht="13">
      <c r="A490" s="96"/>
      <c r="B490" s="82"/>
      <c r="C490" s="83"/>
      <c r="D490" s="84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</row>
    <row r="491" spans="1:25" ht="13">
      <c r="A491" s="96"/>
      <c r="B491" s="82"/>
      <c r="C491" s="83"/>
      <c r="D491" s="84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</row>
    <row r="492" spans="1:25" ht="13">
      <c r="A492" s="96"/>
      <c r="B492" s="82"/>
      <c r="C492" s="83"/>
      <c r="D492" s="84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</row>
    <row r="493" spans="1:25" ht="13">
      <c r="A493" s="96"/>
      <c r="B493" s="82"/>
      <c r="C493" s="83"/>
      <c r="D493" s="84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</row>
    <row r="494" spans="1:25" ht="13">
      <c r="A494" s="96"/>
      <c r="B494" s="82"/>
      <c r="C494" s="83"/>
      <c r="D494" s="84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</row>
    <row r="495" spans="1:25" ht="13">
      <c r="A495" s="96"/>
      <c r="B495" s="82"/>
      <c r="C495" s="83"/>
      <c r="D495" s="84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</row>
    <row r="496" spans="1:25" ht="13">
      <c r="A496" s="96"/>
      <c r="B496" s="82"/>
      <c r="C496" s="83"/>
      <c r="D496" s="84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</row>
    <row r="497" spans="1:25" ht="13">
      <c r="A497" s="96"/>
      <c r="B497" s="82"/>
      <c r="C497" s="83"/>
      <c r="D497" s="84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</row>
    <row r="498" spans="1:25" ht="13">
      <c r="A498" s="96"/>
      <c r="B498" s="82"/>
      <c r="C498" s="83"/>
      <c r="D498" s="84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</row>
    <row r="499" spans="1:25" ht="13">
      <c r="A499" s="96"/>
      <c r="B499" s="82"/>
      <c r="C499" s="83"/>
      <c r="D499" s="84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</row>
    <row r="500" spans="1:25" ht="13">
      <c r="A500" s="96"/>
      <c r="B500" s="82"/>
      <c r="C500" s="83"/>
      <c r="D500" s="84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</row>
    <row r="501" spans="1:25" ht="13">
      <c r="A501" s="96"/>
      <c r="B501" s="82"/>
      <c r="C501" s="83"/>
      <c r="D501" s="84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</row>
    <row r="502" spans="1:25" ht="13">
      <c r="A502" s="96"/>
      <c r="B502" s="82"/>
      <c r="C502" s="83"/>
      <c r="D502" s="84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</row>
    <row r="503" spans="1:25" ht="13">
      <c r="A503" s="96"/>
      <c r="B503" s="82"/>
      <c r="C503" s="83"/>
      <c r="D503" s="84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</row>
    <row r="504" spans="1:25" ht="13">
      <c r="A504" s="96"/>
      <c r="B504" s="82"/>
      <c r="C504" s="83"/>
      <c r="D504" s="84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</row>
    <row r="505" spans="1:25" ht="13">
      <c r="A505" s="96"/>
      <c r="B505" s="82"/>
      <c r="C505" s="83"/>
      <c r="D505" s="84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</row>
    <row r="506" spans="1:25" ht="13">
      <c r="A506" s="96"/>
      <c r="B506" s="82"/>
      <c r="C506" s="83"/>
      <c r="D506" s="84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</row>
    <row r="507" spans="1:25" ht="13">
      <c r="A507" s="96"/>
      <c r="B507" s="82"/>
      <c r="C507" s="83"/>
      <c r="D507" s="84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</row>
    <row r="508" spans="1:25" ht="13">
      <c r="A508" s="96"/>
      <c r="B508" s="82"/>
      <c r="C508" s="83"/>
      <c r="D508" s="84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</row>
    <row r="509" spans="1:25" ht="13">
      <c r="A509" s="96"/>
      <c r="B509" s="82"/>
      <c r="C509" s="83"/>
      <c r="D509" s="84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</row>
    <row r="510" spans="1:25" ht="13">
      <c r="A510" s="96"/>
      <c r="B510" s="82"/>
      <c r="C510" s="83"/>
      <c r="D510" s="84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</row>
    <row r="511" spans="1:25" ht="13">
      <c r="A511" s="96"/>
      <c r="B511" s="82"/>
      <c r="C511" s="83"/>
      <c r="D511" s="84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</row>
    <row r="512" spans="1:25" ht="13">
      <c r="A512" s="96"/>
      <c r="B512" s="82"/>
      <c r="C512" s="83"/>
      <c r="D512" s="84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</row>
    <row r="513" spans="1:25" ht="13">
      <c r="A513" s="96"/>
      <c r="B513" s="82"/>
      <c r="C513" s="83"/>
      <c r="D513" s="84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</row>
    <row r="514" spans="1:25" ht="13">
      <c r="A514" s="96"/>
      <c r="B514" s="82"/>
      <c r="C514" s="83"/>
      <c r="D514" s="84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</row>
    <row r="515" spans="1:25" ht="13">
      <c r="A515" s="96"/>
      <c r="B515" s="82"/>
      <c r="C515" s="83"/>
      <c r="D515" s="84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</row>
    <row r="516" spans="1:25" ht="13">
      <c r="A516" s="96"/>
      <c r="B516" s="82"/>
      <c r="C516" s="83"/>
      <c r="D516" s="84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</row>
    <row r="517" spans="1:25" ht="13">
      <c r="A517" s="96"/>
      <c r="B517" s="82"/>
      <c r="C517" s="83"/>
      <c r="D517" s="84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</row>
    <row r="518" spans="1:25" ht="13">
      <c r="A518" s="96"/>
      <c r="B518" s="82"/>
      <c r="C518" s="83"/>
      <c r="D518" s="84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</row>
    <row r="519" spans="1:25" ht="13">
      <c r="A519" s="96"/>
      <c r="B519" s="82"/>
      <c r="C519" s="83"/>
      <c r="D519" s="84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</row>
    <row r="520" spans="1:25" ht="13">
      <c r="A520" s="96"/>
      <c r="B520" s="82"/>
      <c r="C520" s="83"/>
      <c r="D520" s="84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</row>
    <row r="521" spans="1:25" ht="13">
      <c r="A521" s="96"/>
      <c r="B521" s="82"/>
      <c r="C521" s="83"/>
      <c r="D521" s="84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</row>
    <row r="522" spans="1:25" ht="13">
      <c r="A522" s="96"/>
      <c r="B522" s="82"/>
      <c r="C522" s="83"/>
      <c r="D522" s="84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</row>
    <row r="523" spans="1:25" ht="13">
      <c r="A523" s="96"/>
      <c r="B523" s="82"/>
      <c r="C523" s="83"/>
      <c r="D523" s="84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</row>
    <row r="524" spans="1:25" ht="13">
      <c r="A524" s="96"/>
      <c r="B524" s="82"/>
      <c r="C524" s="83"/>
      <c r="D524" s="84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</row>
    <row r="525" spans="1:25" ht="13">
      <c r="A525" s="96"/>
      <c r="B525" s="82"/>
      <c r="C525" s="83"/>
      <c r="D525" s="84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</row>
    <row r="526" spans="1:25" ht="13">
      <c r="A526" s="96"/>
      <c r="B526" s="82"/>
      <c r="C526" s="83"/>
      <c r="D526" s="84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</row>
    <row r="527" spans="1:25" ht="13">
      <c r="A527" s="96"/>
      <c r="B527" s="82"/>
      <c r="C527" s="83"/>
      <c r="D527" s="84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</row>
    <row r="528" spans="1:25" ht="13">
      <c r="A528" s="96"/>
      <c r="B528" s="82"/>
      <c r="C528" s="83"/>
      <c r="D528" s="84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</row>
    <row r="529" spans="1:25" ht="13">
      <c r="A529" s="96"/>
      <c r="B529" s="82"/>
      <c r="C529" s="83"/>
      <c r="D529" s="84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</row>
    <row r="530" spans="1:25" ht="13">
      <c r="A530" s="96"/>
      <c r="B530" s="82"/>
      <c r="C530" s="83"/>
      <c r="D530" s="84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</row>
    <row r="531" spans="1:25" ht="13">
      <c r="A531" s="96"/>
      <c r="B531" s="82"/>
      <c r="C531" s="83"/>
      <c r="D531" s="84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</row>
    <row r="532" spans="1:25" ht="13">
      <c r="A532" s="96"/>
      <c r="B532" s="82"/>
      <c r="C532" s="83"/>
      <c r="D532" s="84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</row>
    <row r="533" spans="1:25" ht="13">
      <c r="A533" s="96"/>
      <c r="B533" s="82"/>
      <c r="C533" s="83"/>
      <c r="D533" s="84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</row>
    <row r="534" spans="1:25" ht="13">
      <c r="A534" s="96"/>
      <c r="B534" s="82"/>
      <c r="C534" s="83"/>
      <c r="D534" s="84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</row>
    <row r="535" spans="1:25" ht="13">
      <c r="A535" s="96"/>
      <c r="B535" s="82"/>
      <c r="C535" s="83"/>
      <c r="D535" s="84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</row>
    <row r="536" spans="1:25" ht="13">
      <c r="A536" s="96"/>
      <c r="B536" s="82"/>
      <c r="C536" s="83"/>
      <c r="D536" s="84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</row>
    <row r="537" spans="1:25" ht="13">
      <c r="A537" s="96"/>
      <c r="B537" s="82"/>
      <c r="C537" s="83"/>
      <c r="D537" s="84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</row>
    <row r="538" spans="1:25" ht="13">
      <c r="A538" s="96"/>
      <c r="B538" s="82"/>
      <c r="C538" s="83"/>
      <c r="D538" s="84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</row>
    <row r="539" spans="1:25" ht="13">
      <c r="A539" s="96"/>
      <c r="B539" s="82"/>
      <c r="C539" s="83"/>
      <c r="D539" s="84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</row>
    <row r="540" spans="1:25" ht="13">
      <c r="A540" s="96"/>
      <c r="B540" s="82"/>
      <c r="C540" s="83"/>
      <c r="D540" s="84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</row>
    <row r="541" spans="1:25" ht="13">
      <c r="A541" s="96"/>
      <c r="B541" s="82"/>
      <c r="C541" s="83"/>
      <c r="D541" s="84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</row>
    <row r="542" spans="1:25" ht="13">
      <c r="A542" s="96"/>
      <c r="B542" s="82"/>
      <c r="C542" s="83"/>
      <c r="D542" s="84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</row>
    <row r="543" spans="1:25" ht="13">
      <c r="A543" s="96"/>
      <c r="B543" s="82"/>
      <c r="C543" s="83"/>
      <c r="D543" s="84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</row>
    <row r="544" spans="1:25" ht="13">
      <c r="A544" s="96"/>
      <c r="B544" s="82"/>
      <c r="C544" s="83"/>
      <c r="D544" s="84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</row>
    <row r="545" spans="1:25" ht="13">
      <c r="A545" s="96"/>
      <c r="B545" s="82"/>
      <c r="C545" s="83"/>
      <c r="D545" s="84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</row>
    <row r="546" spans="1:25" ht="13">
      <c r="A546" s="96"/>
      <c r="B546" s="82"/>
      <c r="C546" s="83"/>
      <c r="D546" s="84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</row>
    <row r="547" spans="1:25" ht="13">
      <c r="A547" s="96"/>
      <c r="B547" s="82"/>
      <c r="C547" s="83"/>
      <c r="D547" s="84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</row>
    <row r="548" spans="1:25" ht="13">
      <c r="A548" s="96"/>
      <c r="B548" s="82"/>
      <c r="C548" s="83"/>
      <c r="D548" s="84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</row>
    <row r="549" spans="1:25" ht="13">
      <c r="A549" s="96"/>
      <c r="B549" s="82"/>
      <c r="C549" s="83"/>
      <c r="D549" s="84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</row>
    <row r="550" spans="1:25" ht="13">
      <c r="A550" s="96"/>
      <c r="B550" s="82"/>
      <c r="C550" s="83"/>
      <c r="D550" s="84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</row>
    <row r="551" spans="1:25" ht="13">
      <c r="A551" s="96"/>
      <c r="B551" s="82"/>
      <c r="C551" s="83"/>
      <c r="D551" s="84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</row>
    <row r="552" spans="1:25" ht="13">
      <c r="A552" s="96"/>
      <c r="B552" s="82"/>
      <c r="C552" s="83"/>
      <c r="D552" s="84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</row>
    <row r="553" spans="1:25" ht="13">
      <c r="A553" s="96"/>
      <c r="B553" s="82"/>
      <c r="C553" s="83"/>
      <c r="D553" s="84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</row>
    <row r="554" spans="1:25" ht="13">
      <c r="A554" s="96"/>
      <c r="B554" s="82"/>
      <c r="C554" s="83"/>
      <c r="D554" s="84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</row>
    <row r="555" spans="1:25" ht="13">
      <c r="A555" s="96"/>
      <c r="B555" s="82"/>
      <c r="C555" s="83"/>
      <c r="D555" s="84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</row>
    <row r="556" spans="1:25" ht="13">
      <c r="A556" s="96"/>
      <c r="B556" s="82"/>
      <c r="C556" s="83"/>
      <c r="D556" s="84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</row>
    <row r="557" spans="1:25" ht="13">
      <c r="A557" s="96"/>
      <c r="B557" s="82"/>
      <c r="C557" s="83"/>
      <c r="D557" s="84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</row>
    <row r="558" spans="1:25" ht="13">
      <c r="A558" s="96"/>
      <c r="B558" s="82"/>
      <c r="C558" s="83"/>
      <c r="D558" s="84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</row>
    <row r="559" spans="1:25" ht="13">
      <c r="A559" s="96"/>
      <c r="B559" s="82"/>
      <c r="C559" s="83"/>
      <c r="D559" s="84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</row>
    <row r="560" spans="1:25" ht="13">
      <c r="A560" s="96"/>
      <c r="B560" s="82"/>
      <c r="C560" s="83"/>
      <c r="D560" s="84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</row>
    <row r="561" spans="1:25" ht="13">
      <c r="A561" s="96"/>
      <c r="B561" s="82"/>
      <c r="C561" s="83"/>
      <c r="D561" s="84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</row>
    <row r="562" spans="1:25" ht="13">
      <c r="A562" s="96"/>
      <c r="B562" s="82"/>
      <c r="C562" s="83"/>
      <c r="D562" s="84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</row>
    <row r="563" spans="1:25" ht="13">
      <c r="A563" s="96"/>
      <c r="B563" s="82"/>
      <c r="C563" s="83"/>
      <c r="D563" s="84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</row>
    <row r="564" spans="1:25" ht="13">
      <c r="A564" s="96"/>
      <c r="B564" s="82"/>
      <c r="C564" s="83"/>
      <c r="D564" s="84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</row>
    <row r="565" spans="1:25" ht="13">
      <c r="A565" s="96"/>
      <c r="B565" s="82"/>
      <c r="C565" s="83"/>
      <c r="D565" s="84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</row>
    <row r="566" spans="1:25" ht="13">
      <c r="A566" s="96"/>
      <c r="B566" s="82"/>
      <c r="C566" s="83"/>
      <c r="D566" s="84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</row>
    <row r="567" spans="1:25" ht="13">
      <c r="A567" s="96"/>
      <c r="B567" s="82"/>
      <c r="C567" s="83"/>
      <c r="D567" s="84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</row>
    <row r="568" spans="1:25" ht="13">
      <c r="A568" s="96"/>
      <c r="B568" s="82"/>
      <c r="C568" s="83"/>
      <c r="D568" s="84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</row>
    <row r="569" spans="1:25" ht="13">
      <c r="A569" s="96"/>
      <c r="B569" s="82"/>
      <c r="C569" s="83"/>
      <c r="D569" s="84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</row>
    <row r="570" spans="1:25" ht="13">
      <c r="A570" s="96"/>
      <c r="B570" s="82"/>
      <c r="C570" s="83"/>
      <c r="D570" s="84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</row>
    <row r="571" spans="1:25" ht="13">
      <c r="A571" s="96"/>
      <c r="B571" s="82"/>
      <c r="C571" s="83"/>
      <c r="D571" s="84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</row>
    <row r="572" spans="1:25" ht="13">
      <c r="A572" s="96"/>
      <c r="B572" s="82"/>
      <c r="C572" s="83"/>
      <c r="D572" s="84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</row>
    <row r="573" spans="1:25" ht="13">
      <c r="A573" s="96"/>
      <c r="B573" s="82"/>
      <c r="C573" s="83"/>
      <c r="D573" s="84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</row>
    <row r="574" spans="1:25" ht="13">
      <c r="A574" s="96"/>
      <c r="B574" s="82"/>
      <c r="C574" s="83"/>
      <c r="D574" s="84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</row>
    <row r="575" spans="1:25" ht="13">
      <c r="A575" s="96"/>
      <c r="B575" s="82"/>
      <c r="C575" s="83"/>
      <c r="D575" s="84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</row>
    <row r="576" spans="1:25" ht="13">
      <c r="A576" s="96"/>
      <c r="B576" s="82"/>
      <c r="C576" s="83"/>
      <c r="D576" s="84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</row>
    <row r="577" spans="1:25" ht="13">
      <c r="A577" s="96"/>
      <c r="B577" s="82"/>
      <c r="C577" s="83"/>
      <c r="D577" s="84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</row>
    <row r="578" spans="1:25" ht="13">
      <c r="A578" s="96"/>
      <c r="B578" s="82"/>
      <c r="C578" s="83"/>
      <c r="D578" s="84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</row>
    <row r="579" spans="1:25" ht="13">
      <c r="A579" s="96"/>
      <c r="B579" s="82"/>
      <c r="C579" s="83"/>
      <c r="D579" s="84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</row>
    <row r="580" spans="1:25" ht="13">
      <c r="A580" s="96"/>
      <c r="B580" s="82"/>
      <c r="C580" s="83"/>
      <c r="D580" s="84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</row>
    <row r="581" spans="1:25" ht="13">
      <c r="A581" s="96"/>
      <c r="B581" s="82"/>
      <c r="C581" s="83"/>
      <c r="D581" s="84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</row>
    <row r="582" spans="1:25" ht="13">
      <c r="A582" s="96"/>
      <c r="B582" s="82"/>
      <c r="C582" s="83"/>
      <c r="D582" s="84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</row>
    <row r="583" spans="1:25" ht="13">
      <c r="A583" s="96"/>
      <c r="B583" s="82"/>
      <c r="C583" s="83"/>
      <c r="D583" s="84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</row>
    <row r="584" spans="1:25" ht="13">
      <c r="A584" s="96"/>
      <c r="B584" s="82"/>
      <c r="C584" s="83"/>
      <c r="D584" s="84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</row>
    <row r="585" spans="1:25" ht="13">
      <c r="A585" s="96"/>
      <c r="B585" s="82"/>
      <c r="C585" s="83"/>
      <c r="D585" s="84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</row>
    <row r="586" spans="1:25" ht="13">
      <c r="A586" s="96"/>
      <c r="B586" s="82"/>
      <c r="C586" s="83"/>
      <c r="D586" s="84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</row>
    <row r="587" spans="1:25" ht="13">
      <c r="A587" s="96"/>
      <c r="B587" s="82"/>
      <c r="C587" s="83"/>
      <c r="D587" s="84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</row>
    <row r="588" spans="1:25" ht="13">
      <c r="A588" s="96"/>
      <c r="B588" s="82"/>
      <c r="C588" s="83"/>
      <c r="D588" s="84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</row>
    <row r="589" spans="1:25" ht="13">
      <c r="A589" s="96"/>
      <c r="B589" s="82"/>
      <c r="C589" s="83"/>
      <c r="D589" s="84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</row>
    <row r="590" spans="1:25" ht="13">
      <c r="A590" s="96"/>
      <c r="B590" s="82"/>
      <c r="C590" s="83"/>
      <c r="D590" s="84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</row>
    <row r="591" spans="1:25" ht="13">
      <c r="A591" s="96"/>
      <c r="B591" s="82"/>
      <c r="C591" s="83"/>
      <c r="D591" s="84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</row>
    <row r="592" spans="1:25" ht="13">
      <c r="A592" s="96"/>
      <c r="B592" s="82"/>
      <c r="C592" s="83"/>
      <c r="D592" s="84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</row>
    <row r="593" spans="1:25" ht="13">
      <c r="A593" s="96"/>
      <c r="B593" s="82"/>
      <c r="C593" s="83"/>
      <c r="D593" s="84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</row>
    <row r="594" spans="1:25" ht="13">
      <c r="A594" s="96"/>
      <c r="B594" s="82"/>
      <c r="C594" s="83"/>
      <c r="D594" s="84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</row>
    <row r="595" spans="1:25" ht="13">
      <c r="A595" s="96"/>
      <c r="B595" s="82"/>
      <c r="C595" s="83"/>
      <c r="D595" s="84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</row>
    <row r="596" spans="1:25" ht="13">
      <c r="A596" s="96"/>
      <c r="B596" s="82"/>
      <c r="C596" s="83"/>
      <c r="D596" s="84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</row>
    <row r="597" spans="1:25" ht="13">
      <c r="A597" s="96"/>
      <c r="B597" s="82"/>
      <c r="C597" s="83"/>
      <c r="D597" s="84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</row>
    <row r="598" spans="1:25" ht="13">
      <c r="A598" s="96"/>
      <c r="B598" s="82"/>
      <c r="C598" s="83"/>
      <c r="D598" s="84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</row>
    <row r="599" spans="1:25" ht="13">
      <c r="A599" s="96"/>
      <c r="B599" s="82"/>
      <c r="C599" s="83"/>
      <c r="D599" s="84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</row>
    <row r="600" spans="1:25" ht="13">
      <c r="A600" s="96"/>
      <c r="B600" s="82"/>
      <c r="C600" s="83"/>
      <c r="D600" s="84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</row>
    <row r="601" spans="1:25" ht="13">
      <c r="A601" s="96"/>
      <c r="B601" s="82"/>
      <c r="C601" s="83"/>
      <c r="D601" s="84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</row>
    <row r="602" spans="1:25" ht="13">
      <c r="A602" s="96"/>
      <c r="B602" s="82"/>
      <c r="C602" s="83"/>
      <c r="D602" s="84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</row>
    <row r="603" spans="1:25" ht="13">
      <c r="A603" s="96"/>
      <c r="B603" s="82"/>
      <c r="C603" s="83"/>
      <c r="D603" s="84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</row>
    <row r="604" spans="1:25" ht="13">
      <c r="A604" s="96"/>
      <c r="B604" s="82"/>
      <c r="C604" s="83"/>
      <c r="D604" s="84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</row>
    <row r="605" spans="1:25" ht="13">
      <c r="A605" s="96"/>
      <c r="B605" s="82"/>
      <c r="C605" s="83"/>
      <c r="D605" s="84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</row>
    <row r="606" spans="1:25" ht="13">
      <c r="A606" s="96"/>
      <c r="B606" s="82"/>
      <c r="C606" s="83"/>
      <c r="D606" s="84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</row>
    <row r="607" spans="1:25" ht="13">
      <c r="A607" s="96"/>
      <c r="B607" s="82"/>
      <c r="C607" s="83"/>
      <c r="D607" s="84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</row>
    <row r="608" spans="1:25" ht="13">
      <c r="A608" s="96"/>
      <c r="B608" s="82"/>
      <c r="C608" s="83"/>
      <c r="D608" s="84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</row>
    <row r="609" spans="1:25" ht="13">
      <c r="A609" s="96"/>
      <c r="B609" s="82"/>
      <c r="C609" s="83"/>
      <c r="D609" s="84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</row>
    <row r="610" spans="1:25" ht="13">
      <c r="A610" s="96"/>
      <c r="B610" s="82"/>
      <c r="C610" s="83"/>
      <c r="D610" s="84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</row>
    <row r="611" spans="1:25" ht="13">
      <c r="A611" s="96"/>
      <c r="B611" s="82"/>
      <c r="C611" s="83"/>
      <c r="D611" s="84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</row>
    <row r="612" spans="1:25" ht="13">
      <c r="A612" s="96"/>
      <c r="B612" s="82"/>
      <c r="C612" s="83"/>
      <c r="D612" s="84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</row>
    <row r="613" spans="1:25" ht="13">
      <c r="A613" s="96"/>
      <c r="B613" s="82"/>
      <c r="C613" s="83"/>
      <c r="D613" s="84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</row>
    <row r="614" spans="1:25" ht="13">
      <c r="A614" s="96"/>
      <c r="B614" s="82"/>
      <c r="C614" s="83"/>
      <c r="D614" s="84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</row>
    <row r="615" spans="1:25" ht="13">
      <c r="A615" s="96"/>
      <c r="B615" s="82"/>
      <c r="C615" s="83"/>
      <c r="D615" s="84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</row>
    <row r="616" spans="1:25" ht="13">
      <c r="A616" s="96"/>
      <c r="B616" s="82"/>
      <c r="C616" s="83"/>
      <c r="D616" s="84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</row>
    <row r="617" spans="1:25" ht="13">
      <c r="A617" s="96"/>
      <c r="B617" s="82"/>
      <c r="C617" s="83"/>
      <c r="D617" s="84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</row>
    <row r="618" spans="1:25" ht="13">
      <c r="A618" s="96"/>
      <c r="B618" s="82"/>
      <c r="C618" s="83"/>
      <c r="D618" s="84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</row>
    <row r="619" spans="1:25" ht="13">
      <c r="A619" s="96"/>
      <c r="B619" s="82"/>
      <c r="C619" s="83"/>
      <c r="D619" s="84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</row>
    <row r="620" spans="1:25" ht="13">
      <c r="A620" s="96"/>
      <c r="B620" s="82"/>
      <c r="C620" s="83"/>
      <c r="D620" s="84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</row>
    <row r="621" spans="1:25" ht="13">
      <c r="A621" s="96"/>
      <c r="B621" s="82"/>
      <c r="C621" s="83"/>
      <c r="D621" s="84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</row>
    <row r="622" spans="1:25" ht="13">
      <c r="A622" s="96"/>
      <c r="B622" s="82"/>
      <c r="C622" s="83"/>
      <c r="D622" s="84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</row>
    <row r="623" spans="1:25" ht="13">
      <c r="A623" s="96"/>
      <c r="B623" s="82"/>
      <c r="C623" s="83"/>
      <c r="D623" s="84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</row>
    <row r="624" spans="1:25" ht="13">
      <c r="A624" s="96"/>
      <c r="B624" s="82"/>
      <c r="C624" s="83"/>
      <c r="D624" s="84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</row>
    <row r="625" spans="1:25" ht="13">
      <c r="A625" s="96"/>
      <c r="B625" s="82"/>
      <c r="C625" s="83"/>
      <c r="D625" s="84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</row>
    <row r="626" spans="1:25" ht="13">
      <c r="A626" s="96"/>
      <c r="B626" s="82"/>
      <c r="C626" s="83"/>
      <c r="D626" s="84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</row>
    <row r="627" spans="1:25" ht="13">
      <c r="A627" s="96"/>
      <c r="B627" s="82"/>
      <c r="C627" s="83"/>
      <c r="D627" s="84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</row>
    <row r="628" spans="1:25" ht="13">
      <c r="A628" s="96"/>
      <c r="B628" s="82"/>
      <c r="C628" s="83"/>
      <c r="D628" s="84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</row>
    <row r="629" spans="1:25" ht="13">
      <c r="A629" s="96"/>
      <c r="B629" s="82"/>
      <c r="C629" s="83"/>
      <c r="D629" s="84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</row>
    <row r="630" spans="1:25" ht="13">
      <c r="A630" s="96"/>
      <c r="B630" s="82"/>
      <c r="C630" s="83"/>
      <c r="D630" s="84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</row>
    <row r="631" spans="1:25" ht="13">
      <c r="A631" s="96"/>
      <c r="B631" s="82"/>
      <c r="C631" s="83"/>
      <c r="D631" s="84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</row>
    <row r="632" spans="1:25" ht="13">
      <c r="A632" s="96"/>
      <c r="B632" s="82"/>
      <c r="C632" s="83"/>
      <c r="D632" s="84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</row>
    <row r="633" spans="1:25" ht="13">
      <c r="A633" s="96"/>
      <c r="B633" s="82"/>
      <c r="C633" s="83"/>
      <c r="D633" s="84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</row>
    <row r="634" spans="1:25" ht="13">
      <c r="A634" s="96"/>
      <c r="B634" s="82"/>
      <c r="C634" s="83"/>
      <c r="D634" s="84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</row>
    <row r="635" spans="1:25" ht="13">
      <c r="A635" s="96"/>
      <c r="B635" s="82"/>
      <c r="C635" s="83"/>
      <c r="D635" s="84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</row>
    <row r="636" spans="1:25" ht="13">
      <c r="A636" s="96"/>
      <c r="B636" s="82"/>
      <c r="C636" s="83"/>
      <c r="D636" s="84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</row>
    <row r="637" spans="1:25" ht="13">
      <c r="A637" s="96"/>
      <c r="B637" s="82"/>
      <c r="C637" s="83"/>
      <c r="D637" s="84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</row>
    <row r="638" spans="1:25" ht="13">
      <c r="A638" s="96"/>
      <c r="B638" s="82"/>
      <c r="C638" s="83"/>
      <c r="D638" s="84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</row>
    <row r="639" spans="1:25" ht="13">
      <c r="A639" s="96"/>
      <c r="B639" s="82"/>
      <c r="C639" s="83"/>
      <c r="D639" s="84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</row>
    <row r="640" spans="1:25" ht="13">
      <c r="A640" s="96"/>
      <c r="B640" s="82"/>
      <c r="C640" s="83"/>
      <c r="D640" s="84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</row>
    <row r="641" spans="1:25" ht="13">
      <c r="A641" s="96"/>
      <c r="B641" s="82"/>
      <c r="C641" s="83"/>
      <c r="D641" s="84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</row>
    <row r="642" spans="1:25" ht="13">
      <c r="A642" s="96"/>
      <c r="B642" s="82"/>
      <c r="C642" s="83"/>
      <c r="D642" s="84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</row>
    <row r="643" spans="1:25" ht="13">
      <c r="A643" s="96"/>
      <c r="B643" s="82"/>
      <c r="C643" s="83"/>
      <c r="D643" s="84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</row>
    <row r="644" spans="1:25" ht="13">
      <c r="A644" s="96"/>
      <c r="B644" s="82"/>
      <c r="C644" s="83"/>
      <c r="D644" s="84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</row>
    <row r="645" spans="1:25" ht="13">
      <c r="A645" s="96"/>
      <c r="B645" s="82"/>
      <c r="C645" s="83"/>
      <c r="D645" s="84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</row>
    <row r="646" spans="1:25" ht="13">
      <c r="A646" s="96"/>
      <c r="B646" s="82"/>
      <c r="C646" s="83"/>
      <c r="D646" s="84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</row>
    <row r="647" spans="1:25" ht="13">
      <c r="A647" s="96"/>
      <c r="B647" s="82"/>
      <c r="C647" s="83"/>
      <c r="D647" s="84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</row>
    <row r="648" spans="1:25" ht="13">
      <c r="A648" s="96"/>
      <c r="B648" s="82"/>
      <c r="C648" s="83"/>
      <c r="D648" s="84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</row>
    <row r="649" spans="1:25" ht="13">
      <c r="A649" s="96"/>
      <c r="B649" s="82"/>
      <c r="C649" s="83"/>
      <c r="D649" s="84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</row>
    <row r="650" spans="1:25" ht="13">
      <c r="A650" s="96"/>
      <c r="B650" s="82"/>
      <c r="C650" s="83"/>
      <c r="D650" s="84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</row>
    <row r="651" spans="1:25" ht="13">
      <c r="A651" s="96"/>
      <c r="B651" s="82"/>
      <c r="C651" s="83"/>
      <c r="D651" s="84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</row>
    <row r="652" spans="1:25" ht="13">
      <c r="A652" s="96"/>
      <c r="B652" s="82"/>
      <c r="C652" s="83"/>
      <c r="D652" s="84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</row>
    <row r="653" spans="1:25" ht="13">
      <c r="A653" s="96"/>
      <c r="B653" s="82"/>
      <c r="C653" s="83"/>
      <c r="D653" s="84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</row>
    <row r="654" spans="1:25" ht="13">
      <c r="A654" s="96"/>
      <c r="B654" s="82"/>
      <c r="C654" s="83"/>
      <c r="D654" s="84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</row>
    <row r="655" spans="1:25" ht="13">
      <c r="A655" s="96"/>
      <c r="B655" s="82"/>
      <c r="C655" s="83"/>
      <c r="D655" s="84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</row>
    <row r="656" spans="1:25" ht="13">
      <c r="A656" s="96"/>
      <c r="B656" s="82"/>
      <c r="C656" s="83"/>
      <c r="D656" s="84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</row>
    <row r="657" spans="1:25" ht="13">
      <c r="A657" s="96"/>
      <c r="B657" s="82"/>
      <c r="C657" s="83"/>
      <c r="D657" s="84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</row>
    <row r="658" spans="1:25" ht="13">
      <c r="A658" s="96"/>
      <c r="B658" s="82"/>
      <c r="C658" s="83"/>
      <c r="D658" s="84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</row>
    <row r="659" spans="1:25" ht="13">
      <c r="A659" s="96"/>
      <c r="B659" s="82"/>
      <c r="C659" s="83"/>
      <c r="D659" s="84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</row>
    <row r="660" spans="1:25" ht="13">
      <c r="A660" s="96"/>
      <c r="B660" s="82"/>
      <c r="C660" s="83"/>
      <c r="D660" s="84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</row>
    <row r="661" spans="1:25" ht="13">
      <c r="A661" s="96"/>
      <c r="B661" s="82"/>
      <c r="C661" s="83"/>
      <c r="D661" s="84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</row>
    <row r="662" spans="1:25" ht="13">
      <c r="A662" s="96"/>
      <c r="B662" s="82"/>
      <c r="C662" s="83"/>
      <c r="D662" s="84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</row>
    <row r="663" spans="1:25" ht="13">
      <c r="A663" s="96"/>
      <c r="B663" s="82"/>
      <c r="C663" s="83"/>
      <c r="D663" s="84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</row>
    <row r="664" spans="1:25" ht="13">
      <c r="A664" s="96"/>
      <c r="B664" s="82"/>
      <c r="C664" s="83"/>
      <c r="D664" s="84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</row>
    <row r="665" spans="1:25" ht="13">
      <c r="A665" s="96"/>
      <c r="B665" s="82"/>
      <c r="C665" s="83"/>
      <c r="D665" s="84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</row>
    <row r="666" spans="1:25" ht="13">
      <c r="A666" s="96"/>
      <c r="B666" s="82"/>
      <c r="C666" s="83"/>
      <c r="D666" s="84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</row>
    <row r="667" spans="1:25" ht="13">
      <c r="A667" s="96"/>
      <c r="B667" s="82"/>
      <c r="C667" s="83"/>
      <c r="D667" s="84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</row>
    <row r="668" spans="1:25" ht="13">
      <c r="A668" s="96"/>
      <c r="B668" s="82"/>
      <c r="C668" s="83"/>
      <c r="D668" s="84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</row>
    <row r="669" spans="1:25" ht="13">
      <c r="A669" s="96"/>
      <c r="B669" s="82"/>
      <c r="C669" s="83"/>
      <c r="D669" s="84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</row>
    <row r="670" spans="1:25" ht="13">
      <c r="A670" s="96"/>
      <c r="B670" s="82"/>
      <c r="C670" s="83"/>
      <c r="D670" s="84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</row>
    <row r="671" spans="1:25" ht="13">
      <c r="A671" s="96"/>
      <c r="B671" s="82"/>
      <c r="C671" s="83"/>
      <c r="D671" s="84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</row>
    <row r="672" spans="1:25" ht="13">
      <c r="A672" s="96"/>
      <c r="B672" s="82"/>
      <c r="C672" s="83"/>
      <c r="D672" s="84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</row>
    <row r="673" spans="1:25" ht="13">
      <c r="A673" s="96"/>
      <c r="B673" s="82"/>
      <c r="C673" s="83"/>
      <c r="D673" s="84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</row>
    <row r="674" spans="1:25" ht="13">
      <c r="A674" s="96"/>
      <c r="B674" s="82"/>
      <c r="C674" s="83"/>
      <c r="D674" s="84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</row>
    <row r="675" spans="1:25" ht="13">
      <c r="A675" s="96"/>
      <c r="B675" s="82"/>
      <c r="C675" s="83"/>
      <c r="D675" s="84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</row>
    <row r="676" spans="1:25" ht="13">
      <c r="A676" s="96"/>
      <c r="B676" s="82"/>
      <c r="C676" s="83"/>
      <c r="D676" s="84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</row>
    <row r="677" spans="1:25" ht="13">
      <c r="A677" s="96"/>
      <c r="B677" s="82"/>
      <c r="C677" s="83"/>
      <c r="D677" s="84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</row>
    <row r="678" spans="1:25" ht="13">
      <c r="A678" s="96"/>
      <c r="B678" s="82"/>
      <c r="C678" s="83"/>
      <c r="D678" s="84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</row>
    <row r="679" spans="1:25" ht="13">
      <c r="A679" s="96"/>
      <c r="B679" s="82"/>
      <c r="C679" s="83"/>
      <c r="D679" s="84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</row>
    <row r="680" spans="1:25" ht="13">
      <c r="A680" s="96"/>
      <c r="B680" s="82"/>
      <c r="C680" s="83"/>
      <c r="D680" s="84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</row>
    <row r="681" spans="1:25" ht="13">
      <c r="A681" s="96"/>
      <c r="B681" s="82"/>
      <c r="C681" s="83"/>
      <c r="D681" s="84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</row>
    <row r="682" spans="1:25" ht="13">
      <c r="A682" s="96"/>
      <c r="B682" s="82"/>
      <c r="C682" s="83"/>
      <c r="D682" s="84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</row>
    <row r="683" spans="1:25" ht="13">
      <c r="A683" s="96"/>
      <c r="B683" s="82"/>
      <c r="C683" s="83"/>
      <c r="D683" s="84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</row>
    <row r="684" spans="1:25" ht="13">
      <c r="A684" s="96"/>
      <c r="B684" s="82"/>
      <c r="C684" s="83"/>
      <c r="D684" s="84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</row>
    <row r="685" spans="1:25" ht="13">
      <c r="A685" s="96"/>
      <c r="B685" s="82"/>
      <c r="C685" s="83"/>
      <c r="D685" s="84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</row>
    <row r="686" spans="1:25" ht="13">
      <c r="A686" s="96"/>
      <c r="B686" s="82"/>
      <c r="C686" s="83"/>
      <c r="D686" s="84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</row>
    <row r="687" spans="1:25" ht="13">
      <c r="A687" s="96"/>
      <c r="B687" s="82"/>
      <c r="C687" s="83"/>
      <c r="D687" s="84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</row>
    <row r="688" spans="1:25" ht="13">
      <c r="A688" s="96"/>
      <c r="B688" s="82"/>
      <c r="C688" s="83"/>
      <c r="D688" s="84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</row>
    <row r="689" spans="1:25" ht="13">
      <c r="A689" s="96"/>
      <c r="B689" s="82"/>
      <c r="C689" s="83"/>
      <c r="D689" s="84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</row>
    <row r="690" spans="1:25" ht="13">
      <c r="A690" s="96"/>
      <c r="B690" s="82"/>
      <c r="C690" s="83"/>
      <c r="D690" s="84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</row>
    <row r="691" spans="1:25" ht="13">
      <c r="A691" s="96"/>
      <c r="B691" s="82"/>
      <c r="C691" s="83"/>
      <c r="D691" s="84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</row>
    <row r="692" spans="1:25" ht="13">
      <c r="A692" s="96"/>
      <c r="B692" s="82"/>
      <c r="C692" s="83"/>
      <c r="D692" s="84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</row>
    <row r="693" spans="1:25" ht="13">
      <c r="A693" s="96"/>
      <c r="B693" s="82"/>
      <c r="C693" s="83"/>
      <c r="D693" s="84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</row>
    <row r="694" spans="1:25" ht="13">
      <c r="A694" s="96"/>
      <c r="B694" s="82"/>
      <c r="C694" s="83"/>
      <c r="D694" s="84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</row>
    <row r="695" spans="1:25" ht="13">
      <c r="A695" s="96"/>
      <c r="B695" s="82"/>
      <c r="C695" s="83"/>
      <c r="D695" s="84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</row>
    <row r="696" spans="1:25" ht="13">
      <c r="A696" s="96"/>
      <c r="B696" s="82"/>
      <c r="C696" s="83"/>
      <c r="D696" s="84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</row>
    <row r="697" spans="1:25" ht="13">
      <c r="A697" s="96"/>
      <c r="B697" s="82"/>
      <c r="C697" s="83"/>
      <c r="D697" s="84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</row>
    <row r="698" spans="1:25" ht="13">
      <c r="A698" s="96"/>
      <c r="B698" s="82"/>
      <c r="C698" s="83"/>
      <c r="D698" s="84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</row>
    <row r="699" spans="1:25" ht="13">
      <c r="A699" s="96"/>
      <c r="B699" s="82"/>
      <c r="C699" s="83"/>
      <c r="D699" s="84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</row>
    <row r="700" spans="1:25" ht="13">
      <c r="A700" s="96"/>
      <c r="B700" s="82"/>
      <c r="C700" s="83"/>
      <c r="D700" s="84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</row>
    <row r="701" spans="1:25" ht="13">
      <c r="A701" s="96"/>
      <c r="B701" s="82"/>
      <c r="C701" s="83"/>
      <c r="D701" s="84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</row>
    <row r="702" spans="1:25" ht="13">
      <c r="A702" s="96"/>
      <c r="B702" s="82"/>
      <c r="C702" s="83"/>
      <c r="D702" s="84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</row>
    <row r="703" spans="1:25" ht="13">
      <c r="A703" s="96"/>
      <c r="B703" s="82"/>
      <c r="C703" s="83"/>
      <c r="D703" s="84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</row>
    <row r="704" spans="1:25" ht="13">
      <c r="A704" s="96"/>
      <c r="B704" s="82"/>
      <c r="C704" s="83"/>
      <c r="D704" s="84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</row>
    <row r="705" spans="1:25" ht="13">
      <c r="A705" s="96"/>
      <c r="B705" s="82"/>
      <c r="C705" s="83"/>
      <c r="D705" s="84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</row>
    <row r="706" spans="1:25" ht="13">
      <c r="A706" s="96"/>
      <c r="B706" s="82"/>
      <c r="C706" s="83"/>
      <c r="D706" s="84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</row>
    <row r="707" spans="1:25" ht="13">
      <c r="A707" s="96"/>
      <c r="B707" s="82"/>
      <c r="C707" s="83"/>
      <c r="D707" s="84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</row>
    <row r="708" spans="1:25" ht="13">
      <c r="A708" s="96"/>
      <c r="B708" s="82"/>
      <c r="C708" s="83"/>
      <c r="D708" s="84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</row>
    <row r="709" spans="1:25" ht="13">
      <c r="A709" s="96"/>
      <c r="B709" s="82"/>
      <c r="C709" s="83"/>
      <c r="D709" s="84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</row>
    <row r="710" spans="1:25" ht="13">
      <c r="A710" s="96"/>
      <c r="B710" s="82"/>
      <c r="C710" s="83"/>
      <c r="D710" s="84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</row>
    <row r="711" spans="1:25" ht="13">
      <c r="A711" s="96"/>
      <c r="B711" s="82"/>
      <c r="C711" s="83"/>
      <c r="D711" s="84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</row>
    <row r="712" spans="1:25" ht="13">
      <c r="A712" s="96"/>
      <c r="B712" s="82"/>
      <c r="C712" s="83"/>
      <c r="D712" s="84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</row>
    <row r="713" spans="1:25" ht="13">
      <c r="A713" s="96"/>
      <c r="B713" s="82"/>
      <c r="C713" s="83"/>
      <c r="D713" s="84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</row>
    <row r="714" spans="1:25" ht="13">
      <c r="A714" s="96"/>
      <c r="B714" s="82"/>
      <c r="C714" s="83"/>
      <c r="D714" s="84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</row>
    <row r="715" spans="1:25" ht="13">
      <c r="A715" s="96"/>
      <c r="B715" s="82"/>
      <c r="C715" s="83"/>
      <c r="D715" s="84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</row>
    <row r="716" spans="1:25" ht="13">
      <c r="A716" s="96"/>
      <c r="B716" s="82"/>
      <c r="C716" s="83"/>
      <c r="D716" s="84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</row>
    <row r="717" spans="1:25" ht="13">
      <c r="A717" s="96"/>
      <c r="B717" s="82"/>
      <c r="C717" s="83"/>
      <c r="D717" s="84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</row>
    <row r="718" spans="1:25" ht="13">
      <c r="A718" s="96"/>
      <c r="B718" s="82"/>
      <c r="C718" s="83"/>
      <c r="D718" s="84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</row>
    <row r="719" spans="1:25" ht="13">
      <c r="A719" s="96"/>
      <c r="B719" s="82"/>
      <c r="C719" s="83"/>
      <c r="D719" s="84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</row>
    <row r="720" spans="1:25" ht="13">
      <c r="A720" s="96"/>
      <c r="B720" s="82"/>
      <c r="C720" s="83"/>
      <c r="D720" s="84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</row>
    <row r="721" spans="1:25" ht="13">
      <c r="A721" s="96"/>
      <c r="B721" s="82"/>
      <c r="C721" s="83"/>
      <c r="D721" s="84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</row>
    <row r="722" spans="1:25" ht="13">
      <c r="A722" s="96"/>
      <c r="B722" s="82"/>
      <c r="C722" s="83"/>
      <c r="D722" s="84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</row>
    <row r="723" spans="1:25" ht="13">
      <c r="A723" s="96"/>
      <c r="B723" s="82"/>
      <c r="C723" s="83"/>
      <c r="D723" s="84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</row>
    <row r="724" spans="1:25" ht="13">
      <c r="A724" s="96"/>
      <c r="B724" s="82"/>
      <c r="C724" s="83"/>
      <c r="D724" s="84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</row>
    <row r="725" spans="1:25" ht="13">
      <c r="A725" s="96"/>
      <c r="B725" s="82"/>
      <c r="C725" s="83"/>
      <c r="D725" s="84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</row>
    <row r="726" spans="1:25" ht="13">
      <c r="A726" s="96"/>
      <c r="B726" s="82"/>
      <c r="C726" s="83"/>
      <c r="D726" s="84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</row>
    <row r="727" spans="1:25" ht="13">
      <c r="A727" s="96"/>
      <c r="B727" s="82"/>
      <c r="C727" s="83"/>
      <c r="D727" s="84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</row>
    <row r="728" spans="1:25" ht="13">
      <c r="A728" s="96"/>
      <c r="B728" s="82"/>
      <c r="C728" s="83"/>
      <c r="D728" s="84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</row>
    <row r="729" spans="1:25" ht="13">
      <c r="A729" s="96"/>
      <c r="B729" s="82"/>
      <c r="C729" s="83"/>
      <c r="D729" s="84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</row>
    <row r="730" spans="1:25" ht="13">
      <c r="A730" s="96"/>
      <c r="B730" s="82"/>
      <c r="C730" s="83"/>
      <c r="D730" s="84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</row>
    <row r="731" spans="1:25" ht="13">
      <c r="A731" s="96"/>
      <c r="B731" s="82"/>
      <c r="C731" s="83"/>
      <c r="D731" s="84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</row>
    <row r="732" spans="1:25" ht="13">
      <c r="A732" s="96"/>
      <c r="B732" s="82"/>
      <c r="C732" s="83"/>
      <c r="D732" s="84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</row>
    <row r="733" spans="1:25" ht="13">
      <c r="A733" s="96"/>
      <c r="B733" s="82"/>
      <c r="C733" s="83"/>
      <c r="D733" s="84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</row>
    <row r="734" spans="1:25" ht="13">
      <c r="A734" s="96"/>
      <c r="B734" s="82"/>
      <c r="C734" s="83"/>
      <c r="D734" s="84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</row>
    <row r="735" spans="1:25" ht="13">
      <c r="A735" s="96"/>
      <c r="B735" s="82"/>
      <c r="C735" s="83"/>
      <c r="D735" s="84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</row>
    <row r="736" spans="1:25" ht="13">
      <c r="A736" s="96"/>
      <c r="B736" s="82"/>
      <c r="C736" s="83"/>
      <c r="D736" s="84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</row>
    <row r="737" spans="1:25" ht="13">
      <c r="A737" s="96"/>
      <c r="B737" s="82"/>
      <c r="C737" s="83"/>
      <c r="D737" s="84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</row>
    <row r="738" spans="1:25" ht="13">
      <c r="A738" s="96"/>
      <c r="B738" s="82"/>
      <c r="C738" s="83"/>
      <c r="D738" s="84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</row>
    <row r="739" spans="1:25" ht="13">
      <c r="A739" s="96"/>
      <c r="B739" s="82"/>
      <c r="C739" s="83"/>
      <c r="D739" s="84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</row>
    <row r="740" spans="1:25" ht="13">
      <c r="A740" s="96"/>
      <c r="B740" s="82"/>
      <c r="C740" s="83"/>
      <c r="D740" s="84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</row>
    <row r="741" spans="1:25" ht="13">
      <c r="A741" s="96"/>
      <c r="B741" s="82"/>
      <c r="C741" s="83"/>
      <c r="D741" s="84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</row>
    <row r="742" spans="1:25" ht="13">
      <c r="A742" s="96"/>
      <c r="B742" s="82"/>
      <c r="C742" s="83"/>
      <c r="D742" s="84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</row>
    <row r="743" spans="1:25" ht="13">
      <c r="A743" s="96"/>
      <c r="B743" s="82"/>
      <c r="C743" s="83"/>
      <c r="D743" s="84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</row>
    <row r="744" spans="1:25" ht="13">
      <c r="A744" s="96"/>
      <c r="B744" s="82"/>
      <c r="C744" s="83"/>
      <c r="D744" s="84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</row>
    <row r="745" spans="1:25" ht="13">
      <c r="A745" s="96"/>
      <c r="B745" s="82"/>
      <c r="C745" s="83"/>
      <c r="D745" s="84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</row>
    <row r="746" spans="1:25" ht="13">
      <c r="A746" s="96"/>
      <c r="B746" s="82"/>
      <c r="C746" s="83"/>
      <c r="D746" s="84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</row>
    <row r="747" spans="1:25" ht="13">
      <c r="A747" s="96"/>
      <c r="B747" s="82"/>
      <c r="C747" s="83"/>
      <c r="D747" s="84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</row>
    <row r="748" spans="1:25" ht="13">
      <c r="A748" s="96"/>
      <c r="B748" s="82"/>
      <c r="C748" s="83"/>
      <c r="D748" s="84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</row>
    <row r="749" spans="1:25" ht="13">
      <c r="A749" s="96"/>
      <c r="B749" s="82"/>
      <c r="C749" s="83"/>
      <c r="D749" s="84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</row>
    <row r="750" spans="1:25" ht="13">
      <c r="A750" s="96"/>
      <c r="B750" s="82"/>
      <c r="C750" s="83"/>
      <c r="D750" s="84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</row>
    <row r="751" spans="1:25" ht="13">
      <c r="A751" s="96"/>
      <c r="B751" s="82"/>
      <c r="C751" s="83"/>
      <c r="D751" s="84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</row>
    <row r="752" spans="1:25" ht="13">
      <c r="A752" s="96"/>
      <c r="B752" s="82"/>
      <c r="C752" s="83"/>
      <c r="D752" s="84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</row>
    <row r="753" spans="1:25" ht="13">
      <c r="A753" s="96"/>
      <c r="B753" s="82"/>
      <c r="C753" s="83"/>
      <c r="D753" s="84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</row>
    <row r="754" spans="1:25" ht="13">
      <c r="A754" s="96"/>
      <c r="B754" s="82"/>
      <c r="C754" s="83"/>
      <c r="D754" s="84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</row>
    <row r="755" spans="1:25" ht="13">
      <c r="A755" s="96"/>
      <c r="B755" s="82"/>
      <c r="C755" s="83"/>
      <c r="D755" s="84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</row>
    <row r="756" spans="1:25" ht="13">
      <c r="A756" s="96"/>
      <c r="B756" s="82"/>
      <c r="C756" s="83"/>
      <c r="D756" s="84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</row>
    <row r="757" spans="1:25" ht="13">
      <c r="A757" s="96"/>
      <c r="B757" s="82"/>
      <c r="C757" s="83"/>
      <c r="D757" s="84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</row>
    <row r="758" spans="1:25" ht="13">
      <c r="A758" s="96"/>
      <c r="B758" s="82"/>
      <c r="C758" s="83"/>
      <c r="D758" s="84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</row>
    <row r="759" spans="1:25" ht="13">
      <c r="A759" s="96"/>
      <c r="B759" s="82"/>
      <c r="C759" s="83"/>
      <c r="D759" s="84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</row>
    <row r="760" spans="1:25" ht="13">
      <c r="A760" s="96"/>
      <c r="B760" s="82"/>
      <c r="C760" s="83"/>
      <c r="D760" s="84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</row>
    <row r="761" spans="1:25" ht="13">
      <c r="A761" s="96"/>
      <c r="B761" s="82"/>
      <c r="C761" s="83"/>
      <c r="D761" s="84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</row>
    <row r="762" spans="1:25" ht="13">
      <c r="A762" s="96"/>
      <c r="B762" s="82"/>
      <c r="C762" s="83"/>
      <c r="D762" s="84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</row>
    <row r="763" spans="1:25" ht="13">
      <c r="A763" s="96"/>
      <c r="B763" s="82"/>
      <c r="C763" s="83"/>
      <c r="D763" s="84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</row>
    <row r="764" spans="1:25" ht="13">
      <c r="A764" s="96"/>
      <c r="B764" s="82"/>
      <c r="C764" s="83"/>
      <c r="D764" s="84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</row>
    <row r="765" spans="1:25" ht="13">
      <c r="A765" s="96"/>
      <c r="B765" s="82"/>
      <c r="C765" s="83"/>
      <c r="D765" s="84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</row>
    <row r="766" spans="1:25" ht="13">
      <c r="A766" s="96"/>
      <c r="B766" s="82"/>
      <c r="C766" s="83"/>
      <c r="D766" s="84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</row>
    <row r="767" spans="1:25" ht="13">
      <c r="A767" s="96"/>
      <c r="B767" s="82"/>
      <c r="C767" s="83"/>
      <c r="D767" s="84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</row>
    <row r="768" spans="1:25" ht="13">
      <c r="A768" s="96"/>
      <c r="B768" s="82"/>
      <c r="C768" s="83"/>
      <c r="D768" s="84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</row>
    <row r="769" spans="1:25" ht="13">
      <c r="A769" s="96"/>
      <c r="B769" s="82"/>
      <c r="C769" s="83"/>
      <c r="D769" s="84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</row>
    <row r="770" spans="1:25" ht="13">
      <c r="A770" s="96"/>
      <c r="B770" s="82"/>
      <c r="C770" s="83"/>
      <c r="D770" s="84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</row>
    <row r="771" spans="1:25" ht="13">
      <c r="A771" s="96"/>
      <c r="B771" s="82"/>
      <c r="C771" s="83"/>
      <c r="D771" s="84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</row>
    <row r="772" spans="1:25" ht="13">
      <c r="A772" s="96"/>
      <c r="B772" s="82"/>
      <c r="C772" s="83"/>
      <c r="D772" s="84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</row>
    <row r="773" spans="1:25" ht="13">
      <c r="A773" s="96"/>
      <c r="B773" s="82"/>
      <c r="C773" s="83"/>
      <c r="D773" s="84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</row>
    <row r="774" spans="1:25" ht="13">
      <c r="A774" s="96"/>
      <c r="B774" s="82"/>
      <c r="C774" s="83"/>
      <c r="D774" s="84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</row>
    <row r="775" spans="1:25" ht="13">
      <c r="A775" s="96"/>
      <c r="B775" s="82"/>
      <c r="C775" s="83"/>
      <c r="D775" s="84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</row>
    <row r="776" spans="1:25" ht="13">
      <c r="A776" s="96"/>
      <c r="B776" s="82"/>
      <c r="C776" s="83"/>
      <c r="D776" s="84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</row>
    <row r="777" spans="1:25" ht="13">
      <c r="A777" s="96"/>
      <c r="B777" s="82"/>
      <c r="C777" s="83"/>
      <c r="D777" s="84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</row>
    <row r="778" spans="1:25" ht="13">
      <c r="A778" s="96"/>
      <c r="B778" s="82"/>
      <c r="C778" s="83"/>
      <c r="D778" s="84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</row>
    <row r="779" spans="1:25" ht="13">
      <c r="A779" s="96"/>
      <c r="B779" s="82"/>
      <c r="C779" s="83"/>
      <c r="D779" s="84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</row>
    <row r="780" spans="1:25" ht="13">
      <c r="A780" s="96"/>
      <c r="B780" s="82"/>
      <c r="C780" s="83"/>
      <c r="D780" s="84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</row>
    <row r="781" spans="1:25" ht="13">
      <c r="A781" s="96"/>
      <c r="B781" s="82"/>
      <c r="C781" s="83"/>
      <c r="D781" s="84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</row>
    <row r="782" spans="1:25" ht="13">
      <c r="A782" s="96"/>
      <c r="B782" s="82"/>
      <c r="C782" s="83"/>
      <c r="D782" s="84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</row>
    <row r="783" spans="1:25" ht="13">
      <c r="A783" s="96"/>
      <c r="B783" s="82"/>
      <c r="C783" s="83"/>
      <c r="D783" s="84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</row>
    <row r="784" spans="1:25" ht="13">
      <c r="A784" s="96"/>
      <c r="B784" s="82"/>
      <c r="C784" s="83"/>
      <c r="D784" s="84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</row>
    <row r="785" spans="1:25" ht="13">
      <c r="A785" s="96"/>
      <c r="B785" s="82"/>
      <c r="C785" s="83"/>
      <c r="D785" s="84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</row>
    <row r="786" spans="1:25" ht="13">
      <c r="A786" s="96"/>
      <c r="B786" s="82"/>
      <c r="C786" s="83"/>
      <c r="D786" s="84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</row>
    <row r="787" spans="1:25" ht="13">
      <c r="A787" s="96"/>
      <c r="B787" s="82"/>
      <c r="C787" s="83"/>
      <c r="D787" s="84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</row>
    <row r="788" spans="1:25" ht="13">
      <c r="A788" s="96"/>
      <c r="B788" s="82"/>
      <c r="C788" s="83"/>
      <c r="D788" s="84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</row>
    <row r="789" spans="1:25" ht="13">
      <c r="A789" s="96"/>
      <c r="B789" s="82"/>
      <c r="C789" s="83"/>
      <c r="D789" s="84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</row>
    <row r="790" spans="1:25" ht="13">
      <c r="A790" s="96"/>
      <c r="B790" s="82"/>
      <c r="C790" s="83"/>
      <c r="D790" s="84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</row>
    <row r="791" spans="1:25" ht="13">
      <c r="A791" s="96"/>
      <c r="B791" s="82"/>
      <c r="C791" s="83"/>
      <c r="D791" s="84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</row>
    <row r="792" spans="1:25" ht="13">
      <c r="A792" s="96"/>
      <c r="B792" s="82"/>
      <c r="C792" s="83"/>
      <c r="D792" s="84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</row>
    <row r="793" spans="1:25" ht="13">
      <c r="A793" s="96"/>
      <c r="B793" s="82"/>
      <c r="C793" s="83"/>
      <c r="D793" s="84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</row>
    <row r="794" spans="1:25" ht="13">
      <c r="A794" s="96"/>
      <c r="B794" s="82"/>
      <c r="C794" s="83"/>
      <c r="D794" s="84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</row>
    <row r="795" spans="1:25" ht="13">
      <c r="A795" s="96"/>
      <c r="B795" s="82"/>
      <c r="C795" s="83"/>
      <c r="D795" s="84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</row>
    <row r="796" spans="1:25" ht="13">
      <c r="A796" s="96"/>
      <c r="B796" s="82"/>
      <c r="C796" s="83"/>
      <c r="D796" s="84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</row>
    <row r="797" spans="1:25" ht="13">
      <c r="A797" s="96"/>
      <c r="B797" s="82"/>
      <c r="C797" s="83"/>
      <c r="D797" s="84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</row>
    <row r="798" spans="1:25" ht="13">
      <c r="A798" s="96"/>
      <c r="B798" s="82"/>
      <c r="C798" s="83"/>
      <c r="D798" s="84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</row>
    <row r="799" spans="1:25" ht="13">
      <c r="A799" s="96"/>
      <c r="B799" s="82"/>
      <c r="C799" s="83"/>
      <c r="D799" s="84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</row>
    <row r="800" spans="1:25" ht="13">
      <c r="A800" s="96"/>
      <c r="B800" s="82"/>
      <c r="C800" s="83"/>
      <c r="D800" s="84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</row>
    <row r="801" spans="1:25" ht="13">
      <c r="A801" s="96"/>
      <c r="B801" s="82"/>
      <c r="C801" s="83"/>
      <c r="D801" s="84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</row>
    <row r="802" spans="1:25" ht="13">
      <c r="A802" s="96"/>
      <c r="B802" s="82"/>
      <c r="C802" s="83"/>
      <c r="D802" s="84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</row>
    <row r="803" spans="1:25" ht="13">
      <c r="A803" s="96"/>
      <c r="B803" s="82"/>
      <c r="C803" s="83"/>
      <c r="D803" s="84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</row>
    <row r="804" spans="1:25" ht="13">
      <c r="A804" s="96"/>
      <c r="B804" s="82"/>
      <c r="C804" s="83"/>
      <c r="D804" s="84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</row>
    <row r="805" spans="1:25" ht="13">
      <c r="A805" s="96"/>
      <c r="B805" s="82"/>
      <c r="C805" s="83"/>
      <c r="D805" s="84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</row>
    <row r="806" spans="1:25" ht="13">
      <c r="A806" s="96"/>
      <c r="B806" s="82"/>
      <c r="C806" s="83"/>
      <c r="D806" s="84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</row>
    <row r="807" spans="1:25" ht="13">
      <c r="A807" s="96"/>
      <c r="B807" s="82"/>
      <c r="C807" s="83"/>
      <c r="D807" s="84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</row>
    <row r="808" spans="1:25" ht="13">
      <c r="A808" s="96"/>
      <c r="B808" s="82"/>
      <c r="C808" s="83"/>
      <c r="D808" s="84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</row>
    <row r="809" spans="1:25" ht="13">
      <c r="A809" s="96"/>
      <c r="B809" s="82"/>
      <c r="C809" s="83"/>
      <c r="D809" s="84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</row>
    <row r="810" spans="1:25" ht="13">
      <c r="A810" s="96"/>
      <c r="B810" s="82"/>
      <c r="C810" s="83"/>
      <c r="D810" s="84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</row>
    <row r="811" spans="1:25" ht="13">
      <c r="A811" s="96"/>
      <c r="B811" s="82"/>
      <c r="C811" s="83"/>
      <c r="D811" s="84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</row>
    <row r="812" spans="1:25" ht="13">
      <c r="A812" s="96"/>
      <c r="B812" s="82"/>
      <c r="C812" s="83"/>
      <c r="D812" s="84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</row>
    <row r="813" spans="1:25" ht="13">
      <c r="A813" s="96"/>
      <c r="B813" s="82"/>
      <c r="C813" s="83"/>
      <c r="D813" s="84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</row>
    <row r="814" spans="1:25" ht="13">
      <c r="A814" s="96"/>
      <c r="B814" s="82"/>
      <c r="C814" s="83"/>
      <c r="D814" s="84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</row>
    <row r="815" spans="1:25" ht="13">
      <c r="A815" s="96"/>
      <c r="B815" s="82"/>
      <c r="C815" s="83"/>
      <c r="D815" s="84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</row>
    <row r="816" spans="1:25" ht="13">
      <c r="A816" s="96"/>
      <c r="B816" s="82"/>
      <c r="C816" s="83"/>
      <c r="D816" s="84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</row>
    <row r="817" spans="1:25" ht="13">
      <c r="A817" s="96"/>
      <c r="B817" s="82"/>
      <c r="C817" s="83"/>
      <c r="D817" s="84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</row>
    <row r="818" spans="1:25" ht="13">
      <c r="A818" s="96"/>
      <c r="B818" s="82"/>
      <c r="C818" s="83"/>
      <c r="D818" s="84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</row>
    <row r="819" spans="1:25" ht="13">
      <c r="A819" s="96"/>
      <c r="B819" s="82"/>
      <c r="C819" s="83"/>
      <c r="D819" s="84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</row>
    <row r="820" spans="1:25" ht="13">
      <c r="A820" s="96"/>
      <c r="B820" s="82"/>
      <c r="C820" s="83"/>
      <c r="D820" s="84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</row>
    <row r="821" spans="1:25" ht="13">
      <c r="A821" s="96"/>
      <c r="B821" s="82"/>
      <c r="C821" s="83"/>
      <c r="D821" s="84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</row>
    <row r="822" spans="1:25" ht="13">
      <c r="A822" s="96"/>
      <c r="B822" s="82"/>
      <c r="C822" s="83"/>
      <c r="D822" s="84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</row>
    <row r="823" spans="1:25" ht="13">
      <c r="A823" s="96"/>
      <c r="B823" s="82"/>
      <c r="C823" s="83"/>
      <c r="D823" s="84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</row>
    <row r="824" spans="1:25" ht="13">
      <c r="A824" s="96"/>
      <c r="B824" s="82"/>
      <c r="C824" s="83"/>
      <c r="D824" s="84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</row>
    <row r="825" spans="1:25" ht="13">
      <c r="A825" s="96"/>
      <c r="B825" s="82"/>
      <c r="C825" s="83"/>
      <c r="D825" s="84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</row>
    <row r="826" spans="1:25" ht="13">
      <c r="A826" s="96"/>
      <c r="B826" s="82"/>
      <c r="C826" s="83"/>
      <c r="D826" s="84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</row>
    <row r="827" spans="1:25" ht="13">
      <c r="A827" s="96"/>
      <c r="B827" s="82"/>
      <c r="C827" s="83"/>
      <c r="D827" s="84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</row>
    <row r="828" spans="1:25" ht="13">
      <c r="A828" s="96"/>
      <c r="B828" s="82"/>
      <c r="C828" s="83"/>
      <c r="D828" s="84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</row>
    <row r="829" spans="1:25" ht="13">
      <c r="A829" s="96"/>
      <c r="B829" s="82"/>
      <c r="C829" s="83"/>
      <c r="D829" s="84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</row>
    <row r="830" spans="1:25" ht="13">
      <c r="A830" s="96"/>
      <c r="B830" s="82"/>
      <c r="C830" s="83"/>
      <c r="D830" s="84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</row>
    <row r="831" spans="1:25" ht="13">
      <c r="A831" s="96"/>
      <c r="B831" s="82"/>
      <c r="C831" s="83"/>
      <c r="D831" s="84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</row>
    <row r="832" spans="1:25" ht="13">
      <c r="A832" s="96"/>
      <c r="B832" s="82"/>
      <c r="C832" s="83"/>
      <c r="D832" s="84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</row>
    <row r="833" spans="1:25" ht="13">
      <c r="A833" s="96"/>
      <c r="B833" s="82"/>
      <c r="C833" s="83"/>
      <c r="D833" s="84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</row>
    <row r="834" spans="1:25" ht="13">
      <c r="A834" s="96"/>
      <c r="B834" s="82"/>
      <c r="C834" s="83"/>
      <c r="D834" s="84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</row>
    <row r="835" spans="1:25" ht="13">
      <c r="A835" s="96"/>
      <c r="B835" s="82"/>
      <c r="C835" s="83"/>
      <c r="D835" s="84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</row>
    <row r="836" spans="1:25" ht="13">
      <c r="A836" s="96"/>
      <c r="B836" s="82"/>
      <c r="C836" s="83"/>
      <c r="D836" s="84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</row>
    <row r="837" spans="1:25" ht="13">
      <c r="A837" s="96"/>
      <c r="B837" s="82"/>
      <c r="C837" s="83"/>
      <c r="D837" s="84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</row>
    <row r="838" spans="1:25" ht="13">
      <c r="A838" s="96"/>
      <c r="B838" s="82"/>
      <c r="C838" s="83"/>
      <c r="D838" s="84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</row>
    <row r="839" spans="1:25" ht="13">
      <c r="A839" s="96"/>
      <c r="B839" s="82"/>
      <c r="C839" s="83"/>
      <c r="D839" s="84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</row>
    <row r="840" spans="1:25" ht="13">
      <c r="A840" s="96"/>
      <c r="B840" s="82"/>
      <c r="C840" s="83"/>
      <c r="D840" s="84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</row>
    <row r="841" spans="1:25" ht="13">
      <c r="A841" s="96"/>
      <c r="B841" s="82"/>
      <c r="C841" s="83"/>
      <c r="D841" s="84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</row>
    <row r="842" spans="1:25" ht="13">
      <c r="A842" s="96"/>
      <c r="B842" s="82"/>
      <c r="C842" s="83"/>
      <c r="D842" s="84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</row>
  </sheetData>
  <customSheetViews>
    <customSheetView guid="{454D45DF-2512-4984-A7CE-B1F6D305C20E}">
      <selection activeCell="D9" sqref="D9"/>
      <rowBreaks count="2" manualBreakCount="2">
        <brk id="48" man="1"/>
        <brk id="25" man="1"/>
      </rowBreaks>
      <colBreaks count="2" manualBreakCount="2">
        <brk man="1"/>
        <brk id="4" man="1"/>
      </colBreaks>
      <pageMargins left="0" right="0" top="0" bottom="0" header="0" footer="0"/>
      <printOptions horizontalCentered="1" gridLines="1"/>
      <pageSetup paperSize="9" pageOrder="overThenDown" orientation="landscape" cellComments="atEnd"/>
    </customSheetView>
    <customSheetView guid="{D2A6C956-D027-4329-9FEA-635617D868B4}">
      <selection activeCell="D9" sqref="D9"/>
      <rowBreaks count="2" manualBreakCount="2">
        <brk id="48" man="1"/>
        <brk id="25" man="1"/>
      </rowBreaks>
      <colBreaks count="2" manualBreakCount="2">
        <brk man="1"/>
        <brk id="4" man="1"/>
      </colBreaks>
      <pageMargins left="0" right="0" top="0" bottom="0" header="0" footer="0"/>
      <printOptions horizontalCentered="1" gridLines="1"/>
      <pageSetup paperSize="9" pageOrder="overThenDown" orientation="landscape" cellComments="atEnd"/>
    </customSheetView>
  </customSheetViews>
  <mergeCells count="22">
    <mergeCell ref="A44:A45"/>
    <mergeCell ref="B44:B45"/>
    <mergeCell ref="A46:A49"/>
    <mergeCell ref="B46:B49"/>
    <mergeCell ref="A30:A35"/>
    <mergeCell ref="B30:B35"/>
    <mergeCell ref="A36:A39"/>
    <mergeCell ref="B36:B39"/>
    <mergeCell ref="A40:A43"/>
    <mergeCell ref="B40:B43"/>
    <mergeCell ref="A18:A21"/>
    <mergeCell ref="B18:B21"/>
    <mergeCell ref="A22:A25"/>
    <mergeCell ref="B22:B25"/>
    <mergeCell ref="A26:A29"/>
    <mergeCell ref="B26:B29"/>
    <mergeCell ref="A9:A11"/>
    <mergeCell ref="B9:B11"/>
    <mergeCell ref="A12:A15"/>
    <mergeCell ref="B12:B15"/>
    <mergeCell ref="A16:A17"/>
    <mergeCell ref="B16:B17"/>
  </mergeCells>
  <hyperlinks>
    <hyperlink ref="A3" r:id="rId1" xr:uid="{00000000-0004-0000-0900-000000000000}"/>
    <hyperlink ref="A5" r:id="rId2" xr:uid="{00000000-0004-0000-0900-000001000000}"/>
  </hyperlinks>
  <printOptions horizontalCentered="1" gridLines="1"/>
  <pageMargins left="0.25" right="0.25" top="0.75" bottom="0.75" header="0" footer="0"/>
  <pageSetup paperSize="9" pageOrder="overThenDown" orientation="landscape" cellComments="atEnd" r:id="rId3"/>
  <rowBreaks count="2" manualBreakCount="2">
    <brk id="48" man="1"/>
    <brk id="25" man="1"/>
  </rowBreaks>
  <colBreaks count="2" manualBreakCount="2">
    <brk man="1"/>
    <brk id="4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topLeftCell="B1" workbookViewId="0">
      <selection activeCell="L12" sqref="L12"/>
    </sheetView>
  </sheetViews>
  <sheetFormatPr defaultColWidth="9.26953125" defaultRowHeight="14.5"/>
  <cols>
    <col min="2" max="2" width="26.81640625" customWidth="1"/>
    <col min="8" max="8" width="40.1796875" customWidth="1"/>
    <col min="11" max="11" width="18.81640625" customWidth="1"/>
    <col min="12" max="12" width="18.453125" bestFit="1" customWidth="1"/>
  </cols>
  <sheetData>
    <row r="1" spans="1:12" ht="29">
      <c r="A1" s="74" t="s">
        <v>974</v>
      </c>
      <c r="D1" t="s">
        <v>975</v>
      </c>
      <c r="G1" s="88" t="s">
        <v>900</v>
      </c>
      <c r="H1" s="90" t="s">
        <v>902</v>
      </c>
      <c r="K1" s="74" t="s">
        <v>976</v>
      </c>
      <c r="L1" s="74" t="s">
        <v>977</v>
      </c>
    </row>
    <row r="2" spans="1:12">
      <c r="A2">
        <v>0</v>
      </c>
      <c r="B2" s="95" t="s">
        <v>157</v>
      </c>
      <c r="D2" t="s">
        <v>71</v>
      </c>
      <c r="G2" s="92">
        <v>0</v>
      </c>
      <c r="H2" s="92" t="s">
        <v>157</v>
      </c>
      <c r="K2" t="s">
        <v>825</v>
      </c>
      <c r="L2" t="s">
        <v>978</v>
      </c>
    </row>
    <row r="3" spans="1:12" ht="14.5" customHeight="1">
      <c r="A3">
        <v>2</v>
      </c>
      <c r="B3" s="95" t="s">
        <v>904</v>
      </c>
      <c r="D3" t="s">
        <v>59</v>
      </c>
      <c r="G3" s="91">
        <v>1.1000000000000001</v>
      </c>
      <c r="H3" s="92" t="s">
        <v>905</v>
      </c>
      <c r="K3" t="s">
        <v>291</v>
      </c>
      <c r="L3" t="s">
        <v>979</v>
      </c>
    </row>
    <row r="4" spans="1:12">
      <c r="A4">
        <v>3</v>
      </c>
      <c r="B4" s="95" t="s">
        <v>891</v>
      </c>
      <c r="D4" t="s">
        <v>45</v>
      </c>
      <c r="G4" s="91">
        <v>1.2</v>
      </c>
      <c r="H4" s="92" t="s">
        <v>907</v>
      </c>
      <c r="K4" t="s">
        <v>349</v>
      </c>
      <c r="L4" t="s">
        <v>980</v>
      </c>
    </row>
    <row r="5" spans="1:12">
      <c r="A5">
        <v>4</v>
      </c>
      <c r="B5" s="95" t="s">
        <v>915</v>
      </c>
      <c r="G5" s="91">
        <v>1.3</v>
      </c>
      <c r="H5" s="92" t="s">
        <v>908</v>
      </c>
      <c r="K5" t="s">
        <v>277</v>
      </c>
      <c r="L5" t="s">
        <v>981</v>
      </c>
    </row>
    <row r="6" spans="1:12" ht="14.5" customHeight="1">
      <c r="A6">
        <v>5</v>
      </c>
      <c r="B6" s="95" t="s">
        <v>893</v>
      </c>
      <c r="G6" s="91">
        <v>2.1</v>
      </c>
      <c r="H6" s="92" t="s">
        <v>73</v>
      </c>
      <c r="K6" t="s">
        <v>412</v>
      </c>
      <c r="L6" t="s">
        <v>982</v>
      </c>
    </row>
    <row r="7" spans="1:12">
      <c r="A7">
        <v>6</v>
      </c>
      <c r="B7" s="95" t="s">
        <v>890</v>
      </c>
      <c r="G7" s="91">
        <v>2.2000000000000002</v>
      </c>
      <c r="H7" s="92" t="s">
        <v>911</v>
      </c>
      <c r="K7" t="s">
        <v>1082</v>
      </c>
      <c r="L7" t="s">
        <v>1081</v>
      </c>
    </row>
    <row r="8" spans="1:12">
      <c r="A8">
        <v>7</v>
      </c>
      <c r="B8" s="95" t="s">
        <v>934</v>
      </c>
      <c r="G8" s="91">
        <v>2.2999999999999998</v>
      </c>
      <c r="H8" s="92" t="s">
        <v>72</v>
      </c>
    </row>
    <row r="9" spans="1:12" ht="26">
      <c r="A9">
        <v>8</v>
      </c>
      <c r="B9" s="95" t="s">
        <v>888</v>
      </c>
      <c r="G9" s="91">
        <v>2.4</v>
      </c>
      <c r="H9" s="92" t="s">
        <v>913</v>
      </c>
    </row>
    <row r="10" spans="1:12" ht="14.5" customHeight="1">
      <c r="A10">
        <v>9</v>
      </c>
      <c r="B10" s="95" t="s">
        <v>887</v>
      </c>
      <c r="G10" s="91">
        <v>3.1</v>
      </c>
      <c r="H10" s="92" t="s">
        <v>916</v>
      </c>
    </row>
    <row r="11" spans="1:12">
      <c r="A11">
        <v>10</v>
      </c>
      <c r="B11" s="95" t="s">
        <v>894</v>
      </c>
      <c r="G11" s="91">
        <v>3.2</v>
      </c>
      <c r="H11" s="92" t="s">
        <v>918</v>
      </c>
      <c r="K11" t="s">
        <v>1114</v>
      </c>
      <c r="L11">
        <v>4</v>
      </c>
    </row>
    <row r="12" spans="1:12" ht="14.5" customHeight="1">
      <c r="A12">
        <v>11</v>
      </c>
      <c r="B12" s="95" t="s">
        <v>892</v>
      </c>
      <c r="G12" s="91">
        <v>4.0999999999999996</v>
      </c>
      <c r="H12" s="92" t="s">
        <v>920</v>
      </c>
      <c r="K12" t="s">
        <v>1115</v>
      </c>
      <c r="L12">
        <f>1600/48</f>
        <v>33.333333333333336</v>
      </c>
    </row>
    <row r="13" spans="1:12">
      <c r="B13" s="95" t="s">
        <v>889</v>
      </c>
      <c r="G13" s="91">
        <v>4.2</v>
      </c>
      <c r="H13" s="92" t="s">
        <v>922</v>
      </c>
    </row>
    <row r="14" spans="1:12">
      <c r="G14" s="91">
        <v>4.3</v>
      </c>
      <c r="H14" s="92" t="s">
        <v>924</v>
      </c>
    </row>
    <row r="15" spans="1:12">
      <c r="G15" s="91">
        <v>4.4000000000000004</v>
      </c>
      <c r="H15" s="92" t="s">
        <v>926</v>
      </c>
    </row>
    <row r="16" spans="1:12" ht="14.5" customHeight="1">
      <c r="G16" s="91">
        <v>5.0999999999999996</v>
      </c>
      <c r="H16" s="92" t="s">
        <v>194</v>
      </c>
    </row>
    <row r="17" spans="7:8">
      <c r="G17" s="94">
        <v>5.2</v>
      </c>
      <c r="H17" s="92" t="s">
        <v>929</v>
      </c>
    </row>
    <row r="18" spans="7:8">
      <c r="G18" s="91">
        <v>5.3</v>
      </c>
      <c r="H18" s="92" t="s">
        <v>88</v>
      </c>
    </row>
    <row r="19" spans="7:8">
      <c r="G19" s="91">
        <v>5.4</v>
      </c>
      <c r="H19" s="92" t="s">
        <v>932</v>
      </c>
    </row>
    <row r="20" spans="7:8">
      <c r="G20" s="91">
        <v>6.1</v>
      </c>
      <c r="H20" s="92" t="s">
        <v>105</v>
      </c>
    </row>
    <row r="21" spans="7:8">
      <c r="G21" s="91">
        <v>6.2</v>
      </c>
      <c r="H21" s="92" t="s">
        <v>936</v>
      </c>
    </row>
    <row r="22" spans="7:8">
      <c r="G22" s="91">
        <v>6.3</v>
      </c>
      <c r="H22" s="92" t="s">
        <v>938</v>
      </c>
    </row>
    <row r="23" spans="7:8">
      <c r="G23" s="91">
        <v>6.4</v>
      </c>
      <c r="H23" s="92" t="s">
        <v>940</v>
      </c>
    </row>
    <row r="24" spans="7:8" ht="14.5" customHeight="1">
      <c r="G24" s="91">
        <v>7.1</v>
      </c>
      <c r="H24" s="92" t="s">
        <v>202</v>
      </c>
    </row>
    <row r="25" spans="7:8">
      <c r="G25" s="91">
        <v>7.2</v>
      </c>
      <c r="H25" s="92" t="s">
        <v>87</v>
      </c>
    </row>
    <row r="26" spans="7:8">
      <c r="G26" s="91">
        <v>7.3</v>
      </c>
      <c r="H26" s="92" t="s">
        <v>944</v>
      </c>
    </row>
    <row r="27" spans="7:8">
      <c r="G27" s="91">
        <v>7.4</v>
      </c>
      <c r="H27" s="92" t="s">
        <v>946</v>
      </c>
    </row>
    <row r="28" spans="7:8">
      <c r="G28" s="91">
        <v>7.5</v>
      </c>
      <c r="H28" s="92" t="s">
        <v>116</v>
      </c>
    </row>
    <row r="29" spans="7:8">
      <c r="G29" s="91">
        <v>7.6</v>
      </c>
      <c r="H29" s="92" t="s">
        <v>213</v>
      </c>
    </row>
    <row r="30" spans="7:8" ht="14.5" customHeight="1">
      <c r="G30" s="91">
        <v>8.1</v>
      </c>
      <c r="H30" s="92" t="s">
        <v>108</v>
      </c>
    </row>
    <row r="31" spans="7:8">
      <c r="G31" s="91">
        <v>8.1999999999999993</v>
      </c>
      <c r="H31" s="92" t="s">
        <v>951</v>
      </c>
    </row>
    <row r="32" spans="7:8">
      <c r="G32" s="91">
        <v>8.3000000000000007</v>
      </c>
      <c r="H32" s="92" t="s">
        <v>207</v>
      </c>
    </row>
    <row r="33" spans="7:8">
      <c r="G33" s="91">
        <v>8.4</v>
      </c>
      <c r="H33" s="92" t="s">
        <v>954</v>
      </c>
    </row>
    <row r="34" spans="7:8">
      <c r="G34" s="91">
        <v>9.1</v>
      </c>
      <c r="H34" s="92" t="s">
        <v>956</v>
      </c>
    </row>
    <row r="35" spans="7:8">
      <c r="G35" s="91">
        <v>9.1999999999999993</v>
      </c>
      <c r="H35" s="92" t="s">
        <v>958</v>
      </c>
    </row>
    <row r="36" spans="7:8">
      <c r="G36" s="91">
        <v>9.3000000000000007</v>
      </c>
      <c r="H36" s="92" t="s">
        <v>960</v>
      </c>
    </row>
    <row r="37" spans="7:8">
      <c r="G37" s="91">
        <v>9.4</v>
      </c>
      <c r="H37" s="92" t="s">
        <v>962</v>
      </c>
    </row>
    <row r="38" spans="7:8" ht="14.5" customHeight="1">
      <c r="G38" s="91">
        <v>10.1</v>
      </c>
      <c r="H38" s="92" t="s">
        <v>964</v>
      </c>
    </row>
    <row r="39" spans="7:8">
      <c r="G39" s="91">
        <v>10.199999999999999</v>
      </c>
      <c r="H39" s="92" t="s">
        <v>966</v>
      </c>
    </row>
    <row r="40" spans="7:8" ht="14.5" customHeight="1">
      <c r="G40" s="91">
        <v>11.1</v>
      </c>
      <c r="H40" s="92" t="s">
        <v>968</v>
      </c>
    </row>
    <row r="41" spans="7:8" ht="26">
      <c r="G41" s="91">
        <v>11.2</v>
      </c>
      <c r="H41" s="92" t="s">
        <v>970</v>
      </c>
    </row>
    <row r="42" spans="7:8" ht="26">
      <c r="G42" s="91">
        <v>11.3</v>
      </c>
      <c r="H42" s="92" t="s">
        <v>74</v>
      </c>
    </row>
    <row r="43" spans="7:8">
      <c r="G43" s="91">
        <v>11.4</v>
      </c>
      <c r="H43" s="92" t="s">
        <v>973</v>
      </c>
    </row>
  </sheetData>
  <customSheetViews>
    <customSheetView guid="{454D45DF-2512-4984-A7CE-B1F6D305C20E}">
      <selection activeCell="G2" sqref="G2"/>
      <pageMargins left="0" right="0" top="0" bottom="0" header="0" footer="0"/>
    </customSheetView>
    <customSheetView guid="{D2A6C956-D027-4329-9FEA-635617D868B4}">
      <selection activeCell="M12" sqref="M12"/>
      <pageMargins left="0" right="0" top="0" bottom="0" header="0" footer="0"/>
    </customSheetView>
  </customSheetView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topLeftCell="A2" workbookViewId="0">
      <selection activeCell="D9" sqref="D9"/>
    </sheetView>
  </sheetViews>
  <sheetFormatPr defaultColWidth="8.54296875" defaultRowHeight="14.5"/>
  <cols>
    <col min="1" max="1" width="13.1796875" customWidth="1"/>
    <col min="2" max="2" width="16" customWidth="1"/>
  </cols>
  <sheetData>
    <row r="1" spans="1:5" ht="29">
      <c r="A1" s="4" t="s">
        <v>250</v>
      </c>
      <c r="B1" s="4" t="s">
        <v>251</v>
      </c>
      <c r="C1" s="2" t="s">
        <v>255</v>
      </c>
      <c r="E1" t="s">
        <v>983</v>
      </c>
    </row>
    <row r="2" spans="1:5">
      <c r="A2" t="s">
        <v>271</v>
      </c>
      <c r="B2" t="s">
        <v>285</v>
      </c>
      <c r="C2" t="s">
        <v>273</v>
      </c>
      <c r="E2" t="s">
        <v>71</v>
      </c>
    </row>
    <row r="3" spans="1:5">
      <c r="A3" t="s">
        <v>303</v>
      </c>
      <c r="B3" t="s">
        <v>279</v>
      </c>
      <c r="C3" t="s">
        <v>286</v>
      </c>
      <c r="E3" t="s">
        <v>59</v>
      </c>
    </row>
    <row r="4" spans="1:5">
      <c r="C4" t="s">
        <v>305</v>
      </c>
    </row>
    <row r="5" spans="1:5">
      <c r="C5" t="s">
        <v>280</v>
      </c>
    </row>
    <row r="6" spans="1:5">
      <c r="C6" t="s">
        <v>431</v>
      </c>
    </row>
  </sheetData>
  <customSheetViews>
    <customSheetView guid="{454D45DF-2512-4984-A7CE-B1F6D305C20E}" state="hidden" topLeftCell="A2">
      <selection activeCell="D9" sqref="D9"/>
      <pageMargins left="0" right="0" top="0" bottom="0" header="0" footer="0"/>
    </customSheetView>
    <customSheetView guid="{D2A6C956-D027-4329-9FEA-635617D868B4}" state="hidden" topLeftCell="A2">
      <selection activeCell="D9" sqref="D9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6037a3-376c-4e35-9673-91218b302fbb">
      <Terms xmlns="http://schemas.microsoft.com/office/infopath/2007/PartnerControls"/>
    </lcf76f155ced4ddcb4097134ff3c332f>
    <TaxCatchAll xmlns="281f7b61-b72b-4a21-bb24-e43f40679a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5CEEF5B67654BB99FA91F3D8DF3AD" ma:contentTypeVersion="14" ma:contentTypeDescription="Crea un document nou" ma:contentTypeScope="" ma:versionID="e04f8550011c0fa287ef4aa6a3ecaa4a">
  <xsd:schema xmlns:xsd="http://www.w3.org/2001/XMLSchema" xmlns:xs="http://www.w3.org/2001/XMLSchema" xmlns:p="http://schemas.microsoft.com/office/2006/metadata/properties" xmlns:ns2="f26037a3-376c-4e35-9673-91218b302fbb" xmlns:ns3="281f7b61-b72b-4a21-bb24-e43f40679a49" targetNamespace="http://schemas.microsoft.com/office/2006/metadata/properties" ma:root="true" ma:fieldsID="062f520033c58143061b60085d9c524e" ns2:_="" ns3:_="">
    <xsd:import namespace="f26037a3-376c-4e35-9673-91218b302fbb"/>
    <xsd:import namespace="281f7b61-b72b-4a21-bb24-e43f40679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037a3-376c-4e35-9673-91218b302f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1f7b61-b72b-4a21-bb24-e43f40679a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e9ec61-e504-403b-b6cf-d739475b8ab3}" ma:internalName="TaxCatchAll" ma:showField="CatchAllData" ma:web="281f7b61-b72b-4a21-bb24-e43f40679a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3BBD1B-D8EB-4F55-AA85-1B39798B5B8A}">
  <ds:schemaRefs>
    <ds:schemaRef ds:uri="http://schemas.microsoft.com/office/2006/metadata/properties"/>
    <ds:schemaRef ds:uri="http://schemas.microsoft.com/office/infopath/2007/PartnerControls"/>
    <ds:schemaRef ds:uri="b50ac74a-6c07-481b-b126-603385b33ae5"/>
    <ds:schemaRef ds:uri="c1339915-7f5c-45c8-8d61-8a114bca70bd"/>
  </ds:schemaRefs>
</ds:datastoreItem>
</file>

<file path=customXml/itemProps2.xml><?xml version="1.0" encoding="utf-8"?>
<ds:datastoreItem xmlns:ds="http://schemas.openxmlformats.org/officeDocument/2006/customXml" ds:itemID="{9F2DC45C-22D5-4E09-BD11-370E0B7DD23A}"/>
</file>

<file path=customXml/itemProps3.xml><?xml version="1.0" encoding="utf-8"?>
<ds:datastoreItem xmlns:ds="http://schemas.openxmlformats.org/officeDocument/2006/customXml" ds:itemID="{F0687FF4-492A-4708-A78D-9596ABEEFD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12</vt:i4>
      </vt:variant>
    </vt:vector>
  </HeadingPairs>
  <TitlesOfParts>
    <vt:vector size="12" baseType="lpstr">
      <vt:lpstr>ESTRATÈGIA</vt:lpstr>
      <vt:lpstr>INSTRUCCIONS</vt:lpstr>
      <vt:lpstr>PRIORITZACIÓ</vt:lpstr>
      <vt:lpstr>Full2</vt:lpstr>
      <vt:lpstr>Analisi_Prioritat_Grup</vt:lpstr>
      <vt:lpstr>PLA</vt:lpstr>
      <vt:lpstr>Transposicio_Pla_Doc</vt:lpstr>
      <vt:lpstr>Calcul_Indicadors</vt:lpstr>
      <vt:lpstr>VINCLE AMENAÇA_OBJ. OPERATIU</vt:lpstr>
      <vt:lpstr>Taxonomia Amenaces</vt:lpstr>
      <vt:lpstr>Llistes</vt:lpstr>
      <vt:lpstr>Full1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Nuria Asensio Salvador</dc:creator>
  <cp:keywords/>
  <dc:description/>
  <cp:lastModifiedBy>Carrion Salip, Gerard</cp:lastModifiedBy>
  <cp:revision/>
  <dcterms:created xsi:type="dcterms:W3CDTF">2015-06-05T18:17:20Z</dcterms:created>
  <dcterms:modified xsi:type="dcterms:W3CDTF">2025-11-28T08:49:22Z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0x010100F205CEEF5B67654BB99FA91F3D8DF3AD</vt:lpwstr>
  </property>
  <property fmtid="{D5CDD505-2E9C-101B-9397-08002B2CF9AE}" pid="3" name="_dlc_DocIdItemGuid">
    <vt:lpwstr>ff0341f0-9088-483e-b5f9-a8fd6d8609de</vt:lpwstr>
  </property>
  <property fmtid="{D5CDD505-2E9C-101B-9397-08002B2CF9AE}" pid="4" name="MediaServiceImageTags">
    <vt:lpwstr/>
  </property>
</Properties>
</file>