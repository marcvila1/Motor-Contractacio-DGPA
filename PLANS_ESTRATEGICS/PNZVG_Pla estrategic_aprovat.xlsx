
<file path=[Content_Types].xml><?xml version="1.0" encoding="utf-8"?>
<Types xmlns="http://schemas.openxmlformats.org/package/2006/content-types">
  <Default Extension="png" ContentType="image/png"/>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317\04476\PN_ZONA VOLCANICA\1_DIRECCIO\_Pla Estratègic PNZVG\7_Doc_DEF\"/>
    </mc:Choice>
  </mc:AlternateContent>
  <bookViews>
    <workbookView xWindow="0" yWindow="-120" windowWidth="19200" windowHeight="6300" tabRatio="884" firstSheet="1" activeTab="3"/>
  </bookViews>
  <sheets>
    <sheet name="ESTRATÈGIA" sheetId="8" r:id="rId1"/>
    <sheet name="INSTRUCCIONS" sheetId="6" r:id="rId2"/>
    <sheet name="PRIORITZACIÓ" sheetId="7" r:id="rId3"/>
    <sheet name="PLA_v2025" sheetId="16" r:id="rId4"/>
    <sheet name="Hores" sheetId="17" r:id="rId5"/>
    <sheet name="PLA" sheetId="3" state="hidden" r:id="rId6"/>
    <sheet name="Taxonomia Amenaces" sheetId="10" r:id="rId7"/>
    <sheet name="Llistes" sheetId="11" r:id="rId8"/>
    <sheet name="Full1" sheetId="5" state="hidden" r:id="rId9"/>
    <sheet name="VINCLE AMENAÇA_OBJ. OPERATIU" sheetId="9" r:id="rId10"/>
    <sheet name="BUIDAT_ACCIONS_vDec" sheetId="14" r:id="rId11"/>
    <sheet name="Tesaure" sheetId="15" r:id="rId12"/>
  </sheets>
  <definedNames>
    <definedName name="_xlnm._FilterDatabase" localSheetId="10" hidden="1">BUIDAT_ACCIONS_vDec!$A$1:$N$590</definedName>
    <definedName name="_xlnm._FilterDatabase" localSheetId="5" hidden="1">PLA!$A$4:$T$186</definedName>
    <definedName name="_xlnm._FilterDatabase" localSheetId="3" hidden="1">PLA_v2025!$A$4:$AC$192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0" i="17" l="1"/>
  <c r="K63" i="17"/>
  <c r="L63" i="17"/>
  <c r="D63" i="17"/>
  <c r="G66" i="17" s="1"/>
  <c r="E63" i="17"/>
  <c r="G70" i="17" s="1"/>
  <c r="F63" i="17"/>
  <c r="G63" i="17"/>
  <c r="H63" i="17"/>
  <c r="P59" i="17" s="1"/>
  <c r="I63" i="17"/>
  <c r="J63" i="17"/>
  <c r="B63" i="17" l="1"/>
  <c r="C63" i="17"/>
  <c r="K188" i="16" l="1"/>
  <c r="K134" i="16"/>
  <c r="K133" i="16"/>
  <c r="K189" i="16" l="1"/>
  <c r="K128" i="16" l="1"/>
  <c r="K117" i="16" l="1"/>
  <c r="K101" i="16"/>
  <c r="K44" i="16"/>
  <c r="K192" i="16"/>
  <c r="K191" i="16"/>
  <c r="K190" i="16"/>
  <c r="K187" i="16"/>
  <c r="K186" i="16"/>
  <c r="K185" i="16"/>
  <c r="K184" i="16"/>
  <c r="K183" i="16"/>
  <c r="K181" i="16"/>
  <c r="K180" i="16"/>
  <c r="K179" i="16"/>
  <c r="K177" i="16"/>
  <c r="K176" i="16"/>
  <c r="K175" i="16"/>
  <c r="K173" i="16" l="1"/>
  <c r="K171" i="16"/>
  <c r="K170" i="16"/>
  <c r="K168" i="16"/>
  <c r="K167" i="16"/>
  <c r="K166" i="16"/>
  <c r="K165" i="16"/>
  <c r="K164" i="16"/>
  <c r="K163" i="16"/>
  <c r="K162" i="16"/>
  <c r="K160" i="16"/>
  <c r="K158" i="16"/>
  <c r="K157" i="16"/>
  <c r="K156" i="16"/>
  <c r="K153" i="16"/>
  <c r="K152" i="16"/>
  <c r="K149" i="16"/>
  <c r="K148" i="16"/>
  <c r="K145" i="16"/>
  <c r="K143" i="16"/>
  <c r="K142" i="16"/>
  <c r="K141" i="16"/>
  <c r="K140" i="16"/>
  <c r="K139" i="16"/>
  <c r="K138" i="16" l="1"/>
  <c r="K135" i="16"/>
  <c r="K131" i="16"/>
  <c r="K130" i="16"/>
  <c r="K127" i="16"/>
  <c r="K125" i="16"/>
  <c r="K124" i="16"/>
  <c r="K122" i="16"/>
  <c r="K121" i="16"/>
  <c r="K118" i="16"/>
  <c r="K116" i="16"/>
  <c r="K115" i="16"/>
  <c r="K112" i="16"/>
  <c r="K110" i="16"/>
  <c r="K109" i="16"/>
  <c r="K108" i="16"/>
  <c r="K107" i="16"/>
  <c r="K106" i="16"/>
  <c r="K104" i="16"/>
  <c r="K103" i="16"/>
  <c r="K98" i="16" l="1"/>
  <c r="K97" i="16"/>
  <c r="K96" i="16"/>
  <c r="K95" i="16"/>
  <c r="K94" i="16"/>
  <c r="K92" i="16"/>
  <c r="K90" i="16"/>
  <c r="K88" i="16"/>
  <c r="K84" i="16"/>
  <c r="K83" i="16" l="1"/>
  <c r="K82" i="16"/>
  <c r="K81" i="16"/>
  <c r="K80" i="16"/>
  <c r="K79" i="16"/>
  <c r="K78" i="16"/>
  <c r="K76" i="16"/>
  <c r="K75" i="16"/>
  <c r="K74" i="16"/>
  <c r="K71" i="16"/>
  <c r="K70" i="16"/>
  <c r="K69" i="16"/>
  <c r="K68" i="16"/>
  <c r="K66" i="16"/>
  <c r="K65" i="16"/>
  <c r="K63" i="16"/>
  <c r="K61" i="16"/>
  <c r="K60" i="16"/>
  <c r="K59" i="16"/>
  <c r="K56" i="16" l="1"/>
  <c r="K55" i="16"/>
  <c r="K54" i="16"/>
  <c r="K52" i="16"/>
  <c r="K51" i="16"/>
  <c r="K50" i="16"/>
  <c r="K49" i="16"/>
  <c r="K48" i="16"/>
  <c r="K47" i="16"/>
  <c r="K46" i="16"/>
  <c r="K20" i="16" l="1"/>
  <c r="J42" i="14" l="1"/>
  <c r="J43" i="14"/>
  <c r="J44" i="14"/>
  <c r="J45" i="14"/>
  <c r="J46" i="14"/>
  <c r="J47" i="14"/>
  <c r="J48" i="14"/>
  <c r="J49" i="14"/>
  <c r="J50" i="14"/>
  <c r="J51" i="14"/>
  <c r="J52" i="14"/>
  <c r="J53" i="14"/>
  <c r="J336" i="14"/>
  <c r="J308" i="14"/>
  <c r="J365" i="14"/>
  <c r="J303" i="14"/>
  <c r="J306" i="14"/>
  <c r="J299" i="14"/>
  <c r="J300" i="14"/>
  <c r="J301" i="14"/>
  <c r="J302" i="14"/>
  <c r="J304" i="14"/>
  <c r="J305" i="14"/>
  <c r="J307" i="14"/>
  <c r="J309" i="14"/>
  <c r="J310" i="14"/>
  <c r="J311" i="14"/>
  <c r="J312" i="14"/>
  <c r="J313" i="14"/>
  <c r="J314" i="14"/>
  <c r="J315" i="14"/>
  <c r="J316" i="14"/>
  <c r="J317" i="14"/>
  <c r="J318" i="14"/>
  <c r="J319" i="14"/>
  <c r="J320" i="14"/>
  <c r="J321" i="14"/>
  <c r="J322" i="14"/>
  <c r="J323" i="14"/>
  <c r="J324" i="14"/>
  <c r="J326" i="14"/>
  <c r="J325" i="14"/>
  <c r="J327" i="14"/>
  <c r="J328" i="14"/>
  <c r="J329" i="14"/>
  <c r="J330" i="14"/>
  <c r="J331" i="14"/>
  <c r="J332" i="14"/>
  <c r="J333" i="14"/>
  <c r="J335" i="14"/>
  <c r="J334" i="14"/>
  <c r="J337" i="14"/>
  <c r="J338" i="14"/>
  <c r="J339" i="14"/>
  <c r="J340" i="14"/>
  <c r="J344" i="14"/>
  <c r="J342" i="14"/>
  <c r="J343" i="14"/>
  <c r="J345" i="14"/>
  <c r="J348" i="14"/>
  <c r="J352" i="14"/>
  <c r="J349" i="14"/>
  <c r="J350" i="14"/>
  <c r="J351" i="14"/>
  <c r="J353" i="14"/>
  <c r="J354" i="14"/>
  <c r="J355" i="14"/>
  <c r="J356" i="14"/>
  <c r="J357" i="14"/>
  <c r="J358" i="14"/>
  <c r="J360" i="14"/>
  <c r="J361" i="14"/>
  <c r="J362" i="14"/>
  <c r="J363" i="14"/>
  <c r="J364" i="14"/>
  <c r="J366" i="14"/>
  <c r="J367" i="14"/>
  <c r="J368" i="14"/>
  <c r="J376" i="14"/>
  <c r="J369" i="14"/>
  <c r="J370" i="14"/>
  <c r="J371" i="14"/>
  <c r="J372" i="14"/>
  <c r="J373" i="14"/>
  <c r="J374" i="14"/>
  <c r="J375" i="14"/>
  <c r="J377" i="14"/>
  <c r="J378" i="14"/>
  <c r="J379" i="14"/>
  <c r="J380" i="14"/>
  <c r="J381" i="14"/>
  <c r="J382" i="14"/>
  <c r="J383" i="14"/>
  <c r="J384" i="14"/>
  <c r="J385" i="14"/>
  <c r="J386" i="14"/>
  <c r="J387" i="14"/>
  <c r="J388" i="14"/>
  <c r="J389" i="14"/>
  <c r="J391" i="14"/>
  <c r="J390" i="14"/>
  <c r="J392" i="14"/>
  <c r="J393" i="14"/>
  <c r="J395" i="14"/>
  <c r="J394" i="14"/>
  <c r="J396" i="14"/>
  <c r="J397" i="14"/>
  <c r="J398" i="14"/>
  <c r="J399" i="14"/>
  <c r="J400" i="14"/>
  <c r="J401" i="14"/>
  <c r="J407" i="14"/>
  <c r="J408" i="14"/>
  <c r="J409" i="14"/>
  <c r="J421" i="14"/>
  <c r="J405" i="14"/>
  <c r="J404" i="14"/>
  <c r="J403" i="14"/>
  <c r="J402" i="14"/>
  <c r="J406" i="14"/>
  <c r="J410" i="14"/>
  <c r="J411" i="14"/>
  <c r="J412" i="14"/>
  <c r="J413" i="14"/>
  <c r="J414" i="14"/>
  <c r="J415" i="14"/>
  <c r="J416" i="14"/>
  <c r="J417" i="14"/>
  <c r="J418" i="14"/>
  <c r="J419" i="14"/>
  <c r="J420" i="14"/>
  <c r="J427" i="14"/>
  <c r="J422" i="14"/>
  <c r="J423" i="14"/>
  <c r="J424" i="14"/>
  <c r="J425" i="14"/>
  <c r="J426" i="14"/>
  <c r="J565" i="14"/>
  <c r="J566" i="14"/>
  <c r="J558" i="14"/>
  <c r="J559" i="14"/>
  <c r="J551" i="14"/>
  <c r="J550" i="14"/>
  <c r="J546" i="14"/>
  <c r="J547" i="14"/>
  <c r="J543" i="14"/>
  <c r="J540" i="14"/>
  <c r="J542" i="14"/>
  <c r="J539" i="14"/>
  <c r="J538" i="14"/>
  <c r="J537" i="14"/>
  <c r="J536" i="14"/>
  <c r="J528" i="14"/>
  <c r="J527" i="14"/>
  <c r="J533" i="14"/>
  <c r="J534" i="14"/>
  <c r="J535" i="14"/>
  <c r="J532" i="14"/>
  <c r="J531" i="14"/>
  <c r="J530" i="14"/>
  <c r="J529" i="14"/>
  <c r="J544" i="14"/>
  <c r="J545" i="14"/>
  <c r="J549" i="14"/>
  <c r="J548" i="14"/>
  <c r="J552" i="14"/>
  <c r="J553" i="14"/>
  <c r="J554" i="14"/>
  <c r="J555" i="14"/>
  <c r="J562" i="14"/>
  <c r="J564" i="14"/>
  <c r="J563" i="14"/>
  <c r="J561" i="14"/>
  <c r="J560" i="14"/>
  <c r="J557" i="14"/>
  <c r="J556" i="14"/>
  <c r="J569" i="14"/>
  <c r="J568" i="14"/>
  <c r="J567" i="14"/>
  <c r="J575" i="14"/>
  <c r="J574" i="14"/>
  <c r="J573" i="14"/>
  <c r="J572" i="14"/>
  <c r="J571" i="14"/>
  <c r="J570" i="14"/>
  <c r="J577" i="14"/>
  <c r="J576" i="14"/>
  <c r="J578" i="14"/>
  <c r="J579" i="14"/>
  <c r="J580" i="14"/>
  <c r="J581" i="14"/>
  <c r="J582" i="14"/>
  <c r="J346" i="14"/>
  <c r="J347" i="14"/>
  <c r="J296" i="14"/>
  <c r="J297" i="14"/>
  <c r="J298" i="14"/>
  <c r="J292" i="14"/>
  <c r="J291" i="14"/>
  <c r="J293" i="14"/>
  <c r="J294" i="14"/>
  <c r="J295" i="14"/>
  <c r="J289" i="14"/>
  <c r="J290" i="14"/>
  <c r="J286" i="14"/>
  <c r="J287" i="14"/>
  <c r="J288" i="14"/>
  <c r="J273" i="14"/>
  <c r="J274" i="14"/>
  <c r="J275" i="14"/>
  <c r="J276" i="14"/>
  <c r="J277" i="14"/>
  <c r="J278" i="14"/>
  <c r="J279" i="14"/>
  <c r="J280" i="14"/>
  <c r="J281" i="14"/>
  <c r="J282" i="14"/>
  <c r="J283" i="14"/>
  <c r="J284" i="14"/>
  <c r="J285" i="14"/>
  <c r="J268" i="14"/>
  <c r="J269" i="14"/>
  <c r="J270" i="14"/>
  <c r="J271" i="14"/>
  <c r="J272" i="14"/>
  <c r="J266" i="14"/>
  <c r="J267" i="14"/>
  <c r="J250" i="14"/>
  <c r="J264" i="14"/>
  <c r="J265" i="14"/>
  <c r="J262" i="14"/>
  <c r="J263" i="14"/>
  <c r="J261" i="14"/>
  <c r="J259" i="14"/>
  <c r="J260" i="14"/>
  <c r="J257" i="14"/>
  <c r="J258" i="14"/>
  <c r="J254" i="14"/>
  <c r="J255" i="14"/>
  <c r="J256" i="14"/>
  <c r="J253" i="14"/>
  <c r="J252" i="14"/>
  <c r="J251" i="14"/>
  <c r="J249" i="14"/>
  <c r="J248" i="14"/>
  <c r="J247" i="14"/>
  <c r="J246" i="14"/>
  <c r="J245" i="14"/>
  <c r="J244" i="14"/>
  <c r="J243" i="14"/>
  <c r="J242" i="14"/>
  <c r="J590" i="14"/>
  <c r="J589" i="14"/>
  <c r="J588" i="14"/>
  <c r="J587" i="14"/>
  <c r="J586" i="14"/>
  <c r="J585" i="14"/>
  <c r="J584" i="14"/>
  <c r="J583" i="14"/>
  <c r="J459" i="14"/>
  <c r="J442" i="14"/>
  <c r="J438" i="14"/>
  <c r="J440" i="14"/>
  <c r="J518" i="14"/>
  <c r="J519" i="14"/>
  <c r="J520" i="14"/>
  <c r="J521" i="14"/>
  <c r="J522" i="14"/>
  <c r="J525" i="14"/>
  <c r="J514" i="14"/>
  <c r="J515" i="14"/>
  <c r="J517" i="14"/>
  <c r="J510" i="14"/>
  <c r="J511" i="14"/>
  <c r="J512" i="14"/>
  <c r="J505" i="14"/>
  <c r="J507" i="14"/>
  <c r="J508" i="14"/>
  <c r="J498" i="14"/>
  <c r="J499" i="14"/>
  <c r="J500" i="14"/>
  <c r="J501" i="14"/>
  <c r="J502" i="14"/>
  <c r="J503" i="14"/>
  <c r="J495" i="14"/>
  <c r="J497" i="14"/>
  <c r="J491" i="14"/>
  <c r="J492" i="14"/>
  <c r="J493" i="14"/>
  <c r="J487" i="14"/>
  <c r="J488" i="14"/>
  <c r="J489" i="14"/>
  <c r="J486" i="14"/>
  <c r="J481" i="14"/>
  <c r="J482" i="14"/>
  <c r="J483" i="14"/>
  <c r="J479" i="14"/>
  <c r="J476" i="14"/>
  <c r="J477" i="14"/>
  <c r="J472" i="14"/>
  <c r="J473" i="14"/>
  <c r="J474" i="14"/>
  <c r="J475" i="14"/>
  <c r="J471" i="14"/>
  <c r="J469" i="14"/>
  <c r="J460" i="14"/>
  <c r="J461" i="14"/>
  <c r="J462" i="14"/>
  <c r="J463" i="14"/>
  <c r="J464" i="14"/>
  <c r="J465" i="14"/>
  <c r="J466" i="14"/>
  <c r="J456" i="14"/>
  <c r="J457" i="14"/>
  <c r="J455" i="14"/>
  <c r="J451" i="14"/>
  <c r="J452" i="14"/>
  <c r="J453" i="14"/>
  <c r="J444" i="14"/>
  <c r="J445" i="14"/>
  <c r="J446" i="14"/>
  <c r="J447" i="14"/>
  <c r="J448" i="14"/>
  <c r="J449" i="14"/>
  <c r="J450" i="14"/>
  <c r="J439" i="14"/>
  <c r="J441" i="14"/>
  <c r="J443" i="14"/>
  <c r="J437" i="14"/>
  <c r="J433" i="14"/>
  <c r="J434" i="14"/>
  <c r="J435" i="14"/>
  <c r="J436" i="14"/>
  <c r="J429" i="14"/>
  <c r="J430" i="14"/>
  <c r="J431" i="14"/>
  <c r="J432" i="14"/>
  <c r="J428" i="14"/>
  <c r="J241" i="14"/>
  <c r="J240" i="14"/>
  <c r="J230" i="14"/>
  <c r="J231" i="14"/>
  <c r="J232" i="14"/>
  <c r="J233" i="14"/>
  <c r="J234" i="14"/>
  <c r="J235" i="14"/>
  <c r="J236" i="14"/>
  <c r="J237" i="14"/>
  <c r="J238" i="14"/>
  <c r="J239" i="14"/>
  <c r="J227" i="14"/>
  <c r="J228" i="14"/>
  <c r="J229" i="14"/>
  <c r="J219" i="14"/>
  <c r="J220" i="14"/>
  <c r="J221" i="14"/>
  <c r="J222" i="14"/>
  <c r="J223" i="14"/>
  <c r="J224" i="14"/>
  <c r="J225" i="14"/>
  <c r="J226" i="14"/>
  <c r="J213" i="14"/>
  <c r="J214" i="14"/>
  <c r="J215" i="14"/>
  <c r="J216" i="14"/>
  <c r="J217" i="14"/>
  <c r="J218" i="14"/>
  <c r="J210" i="14"/>
  <c r="J211" i="14"/>
  <c r="J212" i="14"/>
  <c r="J204" i="14"/>
  <c r="J205" i="14"/>
  <c r="J206" i="14"/>
  <c r="J207" i="14"/>
  <c r="J208" i="14"/>
  <c r="J202" i="14"/>
  <c r="J203" i="14"/>
  <c r="J196" i="14"/>
  <c r="J197" i="14"/>
  <c r="J198" i="14"/>
  <c r="J199" i="14"/>
  <c r="J200" i="14"/>
  <c r="J201" i="14"/>
  <c r="J193" i="14"/>
  <c r="J194" i="14"/>
  <c r="J195" i="14"/>
  <c r="J192" i="14"/>
  <c r="J190" i="14"/>
  <c r="J191" i="14"/>
  <c r="J189" i="14"/>
  <c r="J188" i="14"/>
  <c r="J186" i="14"/>
  <c r="J187" i="14"/>
  <c r="J185" i="14"/>
  <c r="J183" i="14"/>
  <c r="J184" i="14"/>
  <c r="J182" i="14"/>
  <c r="J180" i="14"/>
  <c r="J181" i="14"/>
  <c r="J179" i="14"/>
  <c r="J178" i="14"/>
  <c r="J177" i="14"/>
  <c r="J171" i="14"/>
  <c r="J172" i="14"/>
  <c r="J173" i="14"/>
  <c r="J174" i="14"/>
  <c r="J175" i="14"/>
  <c r="J176" i="14"/>
  <c r="J169" i="14"/>
  <c r="J170" i="14"/>
  <c r="J163" i="14"/>
  <c r="J164" i="14"/>
  <c r="J165" i="14"/>
  <c r="J166" i="14"/>
  <c r="J108" i="14"/>
  <c r="J162" i="14"/>
  <c r="J161" i="14"/>
  <c r="J156" i="14"/>
  <c r="J157" i="14"/>
  <c r="J158" i="14"/>
  <c r="J159" i="14"/>
  <c r="J160" i="14"/>
  <c r="J150" i="14"/>
  <c r="J151" i="14"/>
  <c r="J152" i="14"/>
  <c r="J153" i="14"/>
  <c r="J154" i="14"/>
  <c r="J155" i="14"/>
  <c r="J149" i="14"/>
  <c r="J148" i="14"/>
  <c r="J147" i="14"/>
  <c r="J144" i="14"/>
  <c r="J145" i="14"/>
  <c r="J146" i="14"/>
  <c r="J140" i="14"/>
  <c r="J141" i="14"/>
  <c r="J142" i="14"/>
  <c r="J143" i="14"/>
  <c r="J135" i="14"/>
  <c r="J136" i="14"/>
  <c r="J137" i="14"/>
  <c r="J138" i="14"/>
  <c r="J139" i="14"/>
  <c r="J132" i="14"/>
  <c r="J133" i="14"/>
  <c r="J134" i="14"/>
  <c r="J131" i="14"/>
  <c r="J111" i="14"/>
  <c r="J96" i="14"/>
  <c r="J95" i="14"/>
  <c r="J125" i="14"/>
  <c r="J126" i="14"/>
  <c r="J127" i="14"/>
  <c r="J128" i="14"/>
  <c r="J129" i="14"/>
  <c r="J118" i="14"/>
  <c r="J119" i="14"/>
  <c r="J120" i="14"/>
  <c r="J121" i="14"/>
  <c r="J122" i="14"/>
  <c r="J124" i="14"/>
  <c r="J112" i="14"/>
  <c r="J113" i="14"/>
  <c r="J114" i="14"/>
  <c r="J115" i="14"/>
  <c r="J116" i="14"/>
  <c r="J117" i="14"/>
  <c r="J107" i="14"/>
  <c r="J109" i="14"/>
  <c r="J110" i="14"/>
  <c r="J93"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4" i="14"/>
  <c r="J97" i="14"/>
  <c r="J98" i="14"/>
  <c r="J99" i="14"/>
  <c r="J100" i="14"/>
  <c r="J101" i="14"/>
  <c r="J102" i="14"/>
  <c r="J103" i="14"/>
  <c r="J104" i="14"/>
  <c r="J105" i="14"/>
  <c r="J106" i="14"/>
  <c r="J60" i="14"/>
  <c r="J61" i="14"/>
  <c r="J62" i="14"/>
  <c r="J55" i="14"/>
  <c r="J56" i="14"/>
  <c r="J57" i="14"/>
  <c r="J58" i="14"/>
  <c r="J59" i="14"/>
  <c r="J54" i="14"/>
  <c r="K38" i="16"/>
  <c r="K37" i="16"/>
  <c r="K35" i="16"/>
  <c r="K33" i="16"/>
  <c r="K32" i="16"/>
  <c r="K29" i="16"/>
  <c r="K28" i="16"/>
  <c r="K27" i="16"/>
  <c r="K26" i="16"/>
  <c r="K24" i="16"/>
  <c r="K22" i="16"/>
  <c r="K21" i="16"/>
  <c r="K17" i="16"/>
  <c r="K16" i="16"/>
  <c r="K15" i="16"/>
  <c r="K12" i="16"/>
  <c r="K11" i="16"/>
  <c r="K10" i="16"/>
  <c r="K8" i="16"/>
  <c r="K7" i="16"/>
  <c r="L186" i="3" l="1"/>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B36" i="9" s="1"/>
  <c r="L36" i="3"/>
  <c r="B35" i="9" s="1"/>
  <c r="L35" i="3"/>
  <c r="B34" i="9" s="1"/>
  <c r="L34" i="3"/>
  <c r="B33" i="9" s="1"/>
  <c r="L33" i="3"/>
  <c r="B32" i="9" s="1"/>
  <c r="L32" i="3"/>
  <c r="B31" i="9" s="1"/>
  <c r="L31" i="3"/>
  <c r="B30" i="9" s="1"/>
  <c r="L30" i="3"/>
  <c r="B29" i="9" s="1"/>
  <c r="L29" i="3"/>
  <c r="B28" i="9" s="1"/>
  <c r="L28" i="3"/>
  <c r="B27" i="9" s="1"/>
  <c r="L27" i="3"/>
  <c r="B26" i="9" s="1"/>
  <c r="L26" i="3"/>
  <c r="B25" i="9" s="1"/>
  <c r="L25" i="3"/>
  <c r="B24" i="9" s="1"/>
  <c r="L24" i="3"/>
  <c r="B23" i="9" s="1"/>
  <c r="L23" i="3"/>
  <c r="B22" i="9" s="1"/>
  <c r="L22" i="3"/>
  <c r="B21" i="9" s="1"/>
  <c r="L21" i="3"/>
  <c r="B20" i="9" s="1"/>
  <c r="L20" i="3"/>
  <c r="B19" i="9" s="1"/>
  <c r="L19" i="3"/>
  <c r="B18" i="9" s="1"/>
  <c r="L18" i="3"/>
  <c r="B17" i="9" s="1"/>
  <c r="L16" i="3"/>
  <c r="B16" i="9" s="1"/>
  <c r="L15" i="3"/>
  <c r="B15" i="9" s="1"/>
  <c r="L14" i="3"/>
  <c r="B14" i="9" s="1"/>
  <c r="L13" i="3"/>
  <c r="B13" i="9" s="1"/>
  <c r="L12" i="3"/>
  <c r="B12" i="9" s="1"/>
  <c r="L11" i="3"/>
  <c r="B11" i="9" s="1"/>
  <c r="L10" i="3"/>
  <c r="B10" i="9" s="1"/>
  <c r="L9" i="3"/>
  <c r="B9" i="9" s="1"/>
  <c r="L8" i="3"/>
  <c r="B8" i="9" s="1"/>
  <c r="L7" i="3"/>
  <c r="B7" i="9" s="1"/>
  <c r="L6" i="3"/>
  <c r="B6" i="9" s="1"/>
  <c r="L5" i="3"/>
  <c r="B5" i="9" s="1"/>
</calcChain>
</file>

<file path=xl/comments1.xml><?xml version="1.0" encoding="utf-8"?>
<comments xmlns="http://schemas.openxmlformats.org/spreadsheetml/2006/main">
  <authors>
    <author>Parpal Servole, Jordi</author>
  </authors>
  <commentList>
    <comment ref="G4" authorId="0" shapeId="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comments2.xml><?xml version="1.0" encoding="utf-8"?>
<comments xmlns="http://schemas.openxmlformats.org/spreadsheetml/2006/main">
  <authors>
    <author>Parpal Servole, Jordi</author>
  </authors>
  <commentList>
    <comment ref="G4" authorId="0" shapeId="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<sst xmlns="http://schemas.openxmlformats.org/spreadsheetml/2006/main" count="9558" uniqueCount="3010">
  <si>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</si>
  <si>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</si>
  <si>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</si>
  <si>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</si>
  <si>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</si>
  <si>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</si>
  <si>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</si>
  <si>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</si>
  <si>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</si>
  <si>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</si>
  <si>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</si>
  <si>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</si>
  <si>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</si>
  <si>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</si>
  <si>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</si>
  <si>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</si>
  <si>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</si>
  <si>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</si>
  <si>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</si>
  <si>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</si>
  <si>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</si>
  <si>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</si>
  <si>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</si>
  <si>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</si>
  <si>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</si>
  <si>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</si>
  <si>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</si>
  <si>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</si>
  <si>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</si>
  <si>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</si>
  <si>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</si>
  <si>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</si>
  <si>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</si>
  <si>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</si>
  <si>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</si>
  <si>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</si>
  <si>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</si>
  <si>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</si>
  <si>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</si>
  <si>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</si>
  <si>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Llistats corresponent a l'espai de Natura 2000 ES5120004 "Zona volcànica de la Garrotxa"</t>
  </si>
  <si>
    <t>LLISTAT D'ELEMENTS PRESENT A L'ESPAI</t>
  </si>
  <si>
    <t> </t>
  </si>
  <si>
    <t>AMENACES PER A CADA ELEMENT</t>
  </si>
  <si>
    <t>Hàbitats d'interès comunitari</t>
  </si>
  <si>
    <t>PE</t>
  </si>
  <si>
    <t>MAP</t>
  </si>
  <si>
    <t>25% IdR</t>
  </si>
  <si>
    <t>Puntuació IdR</t>
  </si>
  <si>
    <t>PRIORITARI PE</t>
  </si>
  <si>
    <t>Comentaris en cas de canvi en la priorització</t>
  </si>
  <si>
    <t>Amenaça 1 segons taxonomia</t>
  </si>
  <si>
    <t>Amenaça 2 segons taxonomia</t>
  </si>
  <si>
    <t>Amenaça 3 segons taxonomia</t>
  </si>
  <si>
    <t>Altres amenaces</t>
  </si>
  <si>
    <t>Comentari</t>
  </si>
  <si>
    <t>3150 - Estanys naturals eutròfics amb vegetació natant (Hydrocharition) o poblaments submersos d'espigues d'aigua (Potamion)</t>
  </si>
  <si>
    <t>Si</t>
  </si>
  <si>
    <t>Sí</t>
  </si>
  <si>
    <t>Gestió de l'aigua</t>
  </si>
  <si>
    <t>Desaparició d'activitats tradicionals</t>
  </si>
  <si>
    <t>Impactes del canvi climàtic relatius a l'alteració del règim de precipitació i sequera</t>
  </si>
  <si>
    <t>Impactes del canvi climàtic relatius a l'alteració del règim de temperatures</t>
  </si>
  <si>
    <t>Activitat ramadera</t>
  </si>
  <si>
    <t>3240 - Rius de tipus alpí amb bosquines de muntanya</t>
  </si>
  <si>
    <t>Activitat agrícola</t>
  </si>
  <si>
    <t>Polució aquàtica</t>
  </si>
  <si>
    <t>Reducció de l'espai fluvial</t>
  </si>
  <si>
    <t>3250 - Rius mediterranis amb vegetació del Glaucion flavi</t>
  </si>
  <si>
    <t>3270 - Rius amb vores llotoses colonitzades per herbassars nitròfils del Chenopodion rubri (p.p.) i del Bidention (p.p.)</t>
  </si>
  <si>
    <t>6210 - Prats -i fàcies emmatades- medioeuropeus, seminaturals, sobre substrat calcari (Festuco-Brometea)</t>
  </si>
  <si>
    <t>Ramaderia</t>
  </si>
  <si>
    <t>Espècies desestabilitzades</t>
  </si>
  <si>
    <t>Espècies invasores</t>
  </si>
  <si>
    <t>Deute d'extinció</t>
  </si>
  <si>
    <t>Sobrepastura i abandonament o falta de manteniment d'aquests prats / Entenem per espècie desestabilitzades el porc senglar / deute d'extinció</t>
  </si>
  <si>
    <t>6510 - Prats de dall de terra baixa i de la muntanya mitjana (Arrhenatherion)</t>
  </si>
  <si>
    <t>Parcel·les petites marginals abandonades / Parcel·les amb millor sòls canvi d'ús /Entenem per espècie desestabilitzades el porc senglar / deute d'extinció</t>
  </si>
  <si>
    <t>8210 - Costers rocosos calcaris amb vegetació rupícola</t>
  </si>
  <si>
    <t>No</t>
  </si>
  <si>
    <t>No s'observa una amenaça greu.</t>
  </si>
  <si>
    <t>8220 - Costers rocosos silicis amb vegetació rupícola</t>
  </si>
  <si>
    <t>8230 - Terraprims silicis amb vegetació pionera (Sedo-Scleranthion)</t>
  </si>
  <si>
    <t>Hàbitat sense presència al Parc Natural</t>
  </si>
  <si>
    <t>Xavier oliver mirarà si aquest hàbitat està prsent al Parc</t>
  </si>
  <si>
    <t>9120 - Fagedes acidòfiles</t>
  </si>
  <si>
    <t xml:space="preserve">Treballs forestals </t>
  </si>
  <si>
    <t>Treballs forestals que sobrexploten el bosc</t>
  </si>
  <si>
    <t>9130 - Fagedes neutròfiles</t>
  </si>
  <si>
    <t>9150 - Fagedes calcícoles xerotermòfiles</t>
  </si>
  <si>
    <t>9160 - Rouredes de roure pènol i boscos mixtos del Carpinion betuli</t>
  </si>
  <si>
    <t>9180p - Boscos de vessants rostos, tarteres o barrancs, del Tilio-Acerion</t>
  </si>
  <si>
    <t>Hàbitat sense presència al Parc Natural.</t>
  </si>
  <si>
    <t>comprovar si existeix</t>
  </si>
  <si>
    <t>91E0p - Vernedes i altres boscos de ribera afins (Alno-Padion)</t>
  </si>
  <si>
    <t>Reducció de l'espai fluvial / invasores</t>
  </si>
  <si>
    <t>9260 - Castanyedes</t>
  </si>
  <si>
    <t>Són plantacions.</t>
  </si>
  <si>
    <t>92A0 - Alberedes, salzedes i altres boscos de ribera</t>
  </si>
  <si>
    <t>9340 - Alzinars i carrascars</t>
  </si>
  <si>
    <t>9540 - Pinedes mediterrànies</t>
  </si>
  <si>
    <t>34n Joncedes</t>
  </si>
  <si>
    <t>Abandonament i canvi d'activitat ramadera</t>
  </si>
  <si>
    <t>34g Fenassars</t>
  </si>
  <si>
    <t>35h Prats silicícoles i xeròfils</t>
  </si>
  <si>
    <t>41.b332+ Altres bedollars, sovint secundaris, pirinencs (i del territori catalanidic septentrional)</t>
  </si>
  <si>
    <r>
      <t xml:space="preserve">44.128+ Gatelledes (boscos, generalment baixos, de </t>
    </r>
    <r>
      <rPr>
        <i/>
        <sz val="10"/>
        <color theme="5"/>
        <rFont val="Calibri"/>
        <family val="2"/>
        <scheme val="minor"/>
      </rPr>
      <t>Salix atrocinerea</t>
    </r>
    <r>
      <rPr>
        <sz val="10"/>
        <color theme="5"/>
        <rFont val="Calibri"/>
        <family val="2"/>
        <scheme val="minor"/>
      </rPr>
      <t xml:space="preserve">), amb </t>
    </r>
    <r>
      <rPr>
        <i/>
        <sz val="10"/>
        <color theme="5"/>
        <rFont val="Calibri"/>
        <family val="2"/>
        <scheme val="minor"/>
      </rPr>
      <t>Equisetum telmateia</t>
    </r>
    <r>
      <rPr>
        <sz val="10"/>
        <color theme="5"/>
        <rFont val="Calibri"/>
        <family val="2"/>
        <scheme val="minor"/>
      </rPr>
      <t xml:space="preserve">, </t>
    </r>
    <r>
      <rPr>
        <i/>
        <sz val="10"/>
        <color theme="5"/>
        <rFont val="Calibri"/>
        <family val="2"/>
        <scheme val="minor"/>
      </rPr>
      <t>Carex pendula</t>
    </r>
    <r>
      <rPr>
        <sz val="10"/>
        <color theme="5"/>
        <rFont val="Calibri"/>
        <family val="2"/>
        <scheme val="minor"/>
      </rPr>
      <t>..., de fons de barrancs i depressions, amb sòl xop, al territori catalanídic</t>
    </r>
  </si>
  <si>
    <t>Espècies presents a l'espai</t>
  </si>
  <si>
    <t>Abida secale</t>
  </si>
  <si>
    <t>Accipiter gentilis gentilis</t>
  </si>
  <si>
    <t>Espècie forestal rapinyaire amb la massa forestal no pateix</t>
  </si>
  <si>
    <t>Aconithum pyrenaicum</t>
  </si>
  <si>
    <t>Actitis hypoleucos</t>
  </si>
  <si>
    <t>No s'observa una amenaça greu</t>
  </si>
  <si>
    <t>Alcedo atthis</t>
  </si>
  <si>
    <t>Alytes obstetricans</t>
  </si>
  <si>
    <t>Plagues i patògens</t>
  </si>
  <si>
    <t>Anas platyrhynchos</t>
  </si>
  <si>
    <t>Asplenium marinum</t>
  </si>
  <si>
    <t>Dubtós</t>
  </si>
  <si>
    <t>Austropotamobius pallipes</t>
  </si>
  <si>
    <t>Barbastella barbastellus</t>
  </si>
  <si>
    <t>Barbus meridionalis</t>
  </si>
  <si>
    <t>Belisarius xambeui</t>
  </si>
  <si>
    <t>Bofillella subarcuata</t>
  </si>
  <si>
    <t>Buteo buteo</t>
  </si>
  <si>
    <t>Calotriton asper</t>
  </si>
  <si>
    <t>Caprimulgus europaeus</t>
  </si>
  <si>
    <t>Es desconeix el seu estatus en el Parc</t>
  </si>
  <si>
    <t>Carabus granulatus</t>
  </si>
  <si>
    <t>Carex grioletii</t>
  </si>
  <si>
    <t>Cerambyx cerdo</t>
  </si>
  <si>
    <r>
      <t xml:space="preserve">Certhia brachydactyla </t>
    </r>
    <r>
      <rPr>
        <sz val="10"/>
        <color rgb="FF000000"/>
        <rFont val="Calibri"/>
        <family val="2"/>
      </rPr>
      <t>all others</t>
    </r>
  </si>
  <si>
    <t>Cinclus cinclus</t>
  </si>
  <si>
    <t>Circaetus gallicus</t>
  </si>
  <si>
    <t>Circus cyaneus</t>
  </si>
  <si>
    <t>No tenim hàbitat potencial ni població</t>
  </si>
  <si>
    <t>Coenagrion mercuriale</t>
  </si>
  <si>
    <t>Fer superfícies innundables previ a l'eliminació de preses</t>
  </si>
  <si>
    <t>Columba palumbus palumbus</t>
  </si>
  <si>
    <t>Coturnix coturnix</t>
  </si>
  <si>
    <t>Caça i recol·lecció d'animals</t>
  </si>
  <si>
    <t>Cuculia argentea</t>
  </si>
  <si>
    <t>Eriogaster catax</t>
  </si>
  <si>
    <t>Euphydryas aurinia</t>
  </si>
  <si>
    <t>Euplagia quadripunctaria</t>
  </si>
  <si>
    <t>Falco tinnunculus</t>
  </si>
  <si>
    <t>Felis sylvestris</t>
  </si>
  <si>
    <t>Introducció de genotips aliens</t>
  </si>
  <si>
    <r>
      <t xml:space="preserve">Fringilla coelebs </t>
    </r>
    <r>
      <rPr>
        <sz val="10"/>
        <color rgb="FF000000"/>
        <rFont val="Calibri"/>
        <family val="2"/>
      </rPr>
      <t>all others</t>
    </r>
  </si>
  <si>
    <t>Galanthus nivalis</t>
  </si>
  <si>
    <t>Gestió d'hàbitats</t>
  </si>
  <si>
    <t>Àrees recretives i turístiques</t>
  </si>
  <si>
    <t>Galerida cristata</t>
  </si>
  <si>
    <t>Gallinula chloropus</t>
  </si>
  <si>
    <t>Graellsia isabellae</t>
  </si>
  <si>
    <t>Hieraaetus pennatus</t>
  </si>
  <si>
    <t>Hierophis viridiflavus</t>
  </si>
  <si>
    <t>No tenim cites dins el Parc</t>
  </si>
  <si>
    <t>Ilex aquifolium</t>
  </si>
  <si>
    <t>Recol·lecció de vegetals</t>
  </si>
  <si>
    <t>Isopyrum thalictroides</t>
  </si>
  <si>
    <t>Jynx torquilla</t>
  </si>
  <si>
    <t>Lacerta bilineata</t>
  </si>
  <si>
    <t>Lanius collurio</t>
  </si>
  <si>
    <t>Lanius excubitor meridionalis</t>
  </si>
  <si>
    <t>Larus michahellis</t>
  </si>
  <si>
    <t>Larus ridibundus</t>
  </si>
  <si>
    <t>Lucanus cervus</t>
  </si>
  <si>
    <t>Lutra lutra</t>
  </si>
  <si>
    <t>Molèsties per activitats recreatives</t>
  </si>
  <si>
    <t>Mannia fragans</t>
  </si>
  <si>
    <t>Població reduïda</t>
  </si>
  <si>
    <t>Mauremys leprosa</t>
  </si>
  <si>
    <t>Merops apiaster</t>
  </si>
  <si>
    <t>Miniopterus schreibersii</t>
  </si>
  <si>
    <t>Molopidius spinicollis</t>
  </si>
  <si>
    <t>Montserratina martorelli</t>
  </si>
  <si>
    <t>Muscicapa striata</t>
  </si>
  <si>
    <t>Myotis bechsteinii</t>
  </si>
  <si>
    <t>Myotis blythii</t>
  </si>
  <si>
    <t>Myotis capaccinii</t>
  </si>
  <si>
    <t>Myotis daubentonii</t>
  </si>
  <si>
    <t>Urbanització residencial</t>
  </si>
  <si>
    <t>Myotis emarginatus</t>
  </si>
  <si>
    <t>Myotis myotis</t>
  </si>
  <si>
    <t>Neophron percnopterus</t>
  </si>
  <si>
    <t>Nyctalus lasiopterus</t>
  </si>
  <si>
    <t>Nyctalus leisleri</t>
  </si>
  <si>
    <t>Oplismenus undulatifolius</t>
  </si>
  <si>
    <t>Otus scops</t>
  </si>
  <si>
    <t>Oxygastra curtisii</t>
  </si>
  <si>
    <t>Passer montanus</t>
  </si>
  <si>
    <r>
      <t xml:space="preserve">Periparus ater </t>
    </r>
    <r>
      <rPr>
        <sz val="10"/>
        <color rgb="FF000000"/>
        <rFont val="Calibri"/>
        <family val="2"/>
      </rPr>
      <t>all others</t>
    </r>
  </si>
  <si>
    <t>Phalacrocorax carbo sinensis</t>
  </si>
  <si>
    <t>Pisidium subtruncatum</t>
  </si>
  <si>
    <t>Platysma vulgaris</t>
  </si>
  <si>
    <t>Podarcis muralis</t>
  </si>
  <si>
    <t>Pyrrhula pyrrhula</t>
  </si>
  <si>
    <t>Rhinolophus euryale</t>
  </si>
  <si>
    <t>Rhinolophus ferrumequinum</t>
  </si>
  <si>
    <t>Rhinolophus hipposideros</t>
  </si>
  <si>
    <t>Rosalia alpina</t>
  </si>
  <si>
    <t>Saxicola torquatus</t>
  </si>
  <si>
    <t>Scolopax rusticola</t>
  </si>
  <si>
    <t>Streptopelia turtur</t>
  </si>
  <si>
    <t>Strix aluco</t>
  </si>
  <si>
    <t>Sylvia cantillans</t>
  </si>
  <si>
    <t>Tachybaptus ruficollis</t>
  </si>
  <si>
    <r>
      <t xml:space="preserve">Troglodytes troglodytes </t>
    </r>
    <r>
      <rPr>
        <sz val="10"/>
        <color rgb="FF000000"/>
        <rFont val="Calibri"/>
        <family val="2"/>
      </rPr>
      <t>all others</t>
    </r>
  </si>
  <si>
    <t>Tyto alba</t>
  </si>
  <si>
    <t>Raticides</t>
  </si>
  <si>
    <t>Unio elongatulus ssp. Aleroni</t>
  </si>
  <si>
    <t>Upupa epops</t>
  </si>
  <si>
    <t>Vanellus vanellus</t>
  </si>
  <si>
    <t>Vertigo angustior</t>
  </si>
  <si>
    <t>Zamenis longissima</t>
  </si>
  <si>
    <t>Anemone ranunculoides</t>
  </si>
  <si>
    <t>molèsties per activitats recreatives</t>
  </si>
  <si>
    <t>Protegir hàbitat</t>
  </si>
  <si>
    <t>Caltha palustris</t>
  </si>
  <si>
    <t>Carex acutiformis</t>
  </si>
  <si>
    <t>Carex depauperata</t>
  </si>
  <si>
    <t>catàleg de casi amenaçades</t>
  </si>
  <si>
    <t>Carex riparia</t>
  </si>
  <si>
    <t>impactes del canvi climàtic relatius a l'alteració del règim de precipitació i sequera</t>
  </si>
  <si>
    <t>Cheilanthes marantae</t>
  </si>
  <si>
    <t>es desconeix el seu estatus</t>
  </si>
  <si>
    <t>només una cita al parc a la garrinada</t>
  </si>
  <si>
    <t>Cheilanthes pteridioides</t>
  </si>
  <si>
    <t>7 localitats en murs que s'envardissen. Manteniment de murs</t>
  </si>
  <si>
    <t>Cheilanthes acrostica</t>
  </si>
  <si>
    <t>una cita a la garrinada que no s'ha trobat</t>
  </si>
  <si>
    <t>Corydalis solida</t>
  </si>
  <si>
    <t>ramaderia</t>
  </si>
  <si>
    <t>Luzula pilosa</t>
  </si>
  <si>
    <t>Rouredes de pènol o fagedes que han perdut ambient nemoral</t>
  </si>
  <si>
    <t>Myriophyllum verticillatum</t>
  </si>
  <si>
    <t>Localitat més propera Aiguamolls Empordà. Deute d'extinció</t>
  </si>
  <si>
    <t>Narcissus moleroi</t>
  </si>
  <si>
    <t>Cabres. Menteniment de clarianes</t>
  </si>
  <si>
    <t>Narcissus poeticus</t>
  </si>
  <si>
    <t>Narcissus pseudonarcissus</t>
  </si>
  <si>
    <t>Ophioglossum azoricum</t>
  </si>
  <si>
    <t>Polygonatum multiflorum</t>
  </si>
  <si>
    <t>Polygonum amphibium</t>
  </si>
  <si>
    <t>Potamogeton densus</t>
  </si>
  <si>
    <t>Pyracantha coccinea</t>
  </si>
  <si>
    <t>Scilla lilio-hyacintus</t>
  </si>
  <si>
    <t>Poblacions en llocs de difícil accès. Torrents, clots</t>
  </si>
  <si>
    <t xml:space="preserve">Taxus baccata </t>
  </si>
  <si>
    <t xml:space="preserve">treballs forestals </t>
  </si>
  <si>
    <t>En vermell, les espècies que no estaven als llistats del MAP i que han estat incloses per ser prioritzades amb l'índex de rellevància.</t>
  </si>
  <si>
    <t>En blau, els elements que no estaven als llistats del MAP i que han estat inclosos per ser estar recollits al Pla especial del PNZVG (art. 28.4, art. 30.2.a i art. 31.2)</t>
  </si>
  <si>
    <t>En verd, els hàbitats i espècies afegides per equip de gestió del Parc Natural (article 28.5).</t>
  </si>
  <si>
    <t>MODEL DE PLA ESTRATÈGIC PELS ENP</t>
  </si>
  <si>
    <t>Espai natural protegit:</t>
  </si>
  <si>
    <t>Zona Volcànica de la Garrotxa</t>
  </si>
  <si>
    <t>Exemples d'accions</t>
  </si>
  <si>
    <t>Fita a assolir en 4 anys</t>
  </si>
  <si>
    <t>Gestió interna</t>
  </si>
  <si>
    <t>Gestió externa (AG)</t>
  </si>
  <si>
    <t>Calendarització interna (AG)</t>
  </si>
  <si>
    <t>EIXOS</t>
  </si>
  <si>
    <t>Objectius generals (PP)</t>
  </si>
  <si>
    <t>Objectius estratègics</t>
  </si>
  <si>
    <t>Codi</t>
  </si>
  <si>
    <t>Objectius operatius</t>
  </si>
  <si>
    <t>Comú / Específic</t>
  </si>
  <si>
    <t>Obligatori / Optatiu</t>
  </si>
  <si>
    <t>Objectius operatius PNZVG</t>
  </si>
  <si>
    <t>Justificació del canvi o no inclusió d'un OP</t>
  </si>
  <si>
    <t>Objectiu aplicable amb accions que depenen directament del PNZVG</t>
  </si>
  <si>
    <t>Objectiu aplicable amb accions que depenen directament de la Direcció General de PAMN</t>
  </si>
  <si>
    <t>Prioritat</t>
  </si>
  <si>
    <t>Propostes genèriques d'accions</t>
  </si>
  <si>
    <t>Marc de referència</t>
  </si>
  <si>
    <t>Resultats derivats</t>
  </si>
  <si>
    <t>Mesures MAP</t>
  </si>
  <si>
    <t>Mesures Pla Especial ZVG</t>
  </si>
  <si>
    <t>Mesures d'altres plans</t>
  </si>
  <si>
    <t>Indicadors</t>
  </si>
  <si>
    <t>Valor mínim</t>
  </si>
  <si>
    <t>Valor objectiu</t>
  </si>
  <si>
    <t>Hores de dedicació</t>
  </si>
  <si>
    <t>Àrea responsable</t>
  </si>
  <si>
    <t>Persona responsable</t>
  </si>
  <si>
    <t>Pressupost (€)</t>
  </si>
  <si>
    <t>Contractació externa</t>
  </si>
  <si>
    <t>Competència DG</t>
  </si>
  <si>
    <t>Executat</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</si>
  <si>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</si>
  <si>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</si>
  <si>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</si>
  <si>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</si>
  <si>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</si>
  <si>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</si>
  <si>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</si>
  <si>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</si>
  <si>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Implementar i executar plans i mesures de gestió específiques per a hàbitats i espècies de conservació prioritària dins l'ENP</t>
  </si>
  <si>
    <t>Canvi de redactat OP. Implementació d'accions no emmarcades en un Pla de gestió específic</t>
  </si>
  <si>
    <t>MÀXIMA</t>
  </si>
  <si>
    <t xml:space="preserve">*Realització d'accions per a la millora dels elements prioritzats a l'espai
*Elaboració de plans de gestió per elements prioritzats a l'espai </t>
  </si>
  <si>
    <t>SFF: Elaboració de plans de gestió específics per a espècies de conservació prioritària i directrius de gestió d'hàbitats.
SFF/SENP: Definir a nivell de cluster quins son els que es poden elaborar conjuntament.</t>
  </si>
  <si>
    <t xml:space="preserve">1) 1
2) 1
</t>
  </si>
  <si>
    <t>Patrimoni Natural</t>
  </si>
  <si>
    <t>Emili Bassols</t>
  </si>
  <si>
    <t>01.1.2</t>
  </si>
  <si>
    <t>Adaptar i executar plans de gestió específics per a elements geològics de conservació prioritària dins l'ENP</t>
  </si>
  <si>
    <t>Actualitzar i executar programes de gestió específics per a elements geològics de conservació prioritària dins l'ENP.</t>
  </si>
  <si>
    <t>Atès que ja es disposa d'una Estratègia de gestió del vulcanisme que cal actualitzar (és del 2000).</t>
  </si>
  <si>
    <t>* Elaboració de l'inventari d'elements geològics a l'espai
*Aplicació de les directrius de gestió de l'inventari de patrimoni geològic (ICGC)</t>
  </si>
  <si>
    <t xml:space="preserve">1) Asistencia tècnica a la gestió i conservació del patrimoni geològic i la geodiversitat. 
2) Actualització de l'Estratègia de conservació del vulcanisme del PNZVG
3) Actuacions de manteniment i conservació d'afloraments d'interès geològic (AIG), per exemple, la cinglera de Castellfollit de la Roca.
4) Restauració d'afloraments d'interès geològic (AIG). Per exemple, tossol del Bosc de Tosca o gredera del volcà del Racó.
</t>
  </si>
  <si>
    <t xml:space="preserve">1) Nombre d'hores dedicades a l'assessorament tècnic.
2) Nombre d'actuacions de millora d'elements geològics prioritaris executades.
3) Nombre d'actuacions de manteniment i conservació d'elements geològics prioritaris executades.
4) Nombre d'afloraments restaurats
</t>
  </si>
  <si>
    <t>1) 50
2) 15
3) 1
4)1</t>
  </si>
  <si>
    <t>1) 150
2) 25
3) 7
4)4</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</si>
  <si>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</si>
  <si>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</si>
  <si>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</si>
  <si>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</si>
  <si>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</si>
  <si>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ALTA</t>
  </si>
  <si>
    <t>*Definició d'un protocol per tal d'incorporar la metodologia dels Estàndards Oberts pels processos més rellevants per a la conservació a l'espai</t>
  </si>
  <si>
    <t>ESNATURA</t>
  </si>
  <si>
    <t>SENP: Elaboració d'un manual per la implementació dels OSAM</t>
  </si>
  <si>
    <t>1) Definició d'un protocol per incorporar la metodologia dels estandards oberts en els processos més rellevants de conservació de l'espai.
2) Creació d'un sistema de seguiment de les accions de gestió de l'espai.</t>
  </si>
  <si>
    <t>1) Percentatge de projectes transversals que incorporen aquesta metodologia.
2) Creació del protocol</t>
  </si>
  <si>
    <t>1) 25
2) 1</t>
  </si>
  <si>
    <t>1) 75
2)1</t>
  </si>
  <si>
    <t>Direcció</t>
  </si>
  <si>
    <t>Joan Pijoan</t>
  </si>
  <si>
    <t>01.2.2</t>
  </si>
  <si>
    <t>Executar les mesures previstes en els plans de conservació o recuperació d'espècies amenaçades de forma coordinada amb el Servei de Flora i Fauna en l'àmbit de l'ENP</t>
  </si>
  <si>
    <t xml:space="preserve">* Implicació i participació en la redacció dels plans de conservació /recuperació d'espècies amenaçades
* Execució de les accions dins els plans que pertoquin a cada espai (incorporar totes les mesures que surten als plans ja aprovats que tenen incidència a l'espai)
* Col.laboració en l'obtenció de la informació necessària dins els espais per al desenvolupament dels Plans </t>
  </si>
  <si>
    <t>MAP
Catàlegs</t>
  </si>
  <si>
    <t>SFF: Elaboració de plans de conservació o recuperació d'espècies protegides</t>
  </si>
  <si>
    <t>01.2.3</t>
  </si>
  <si>
    <t>Executar les mesures de gestió previstes en els plans de control i erradicació d'espècies exòtiques de forma coordinada amb el Servei de Flora i Fauna en l'àmbit de l'ENP</t>
  </si>
  <si>
    <t>Rebaixar l'impacte de les espècies exòtiques invasores mitjançant l'execució de les mesures de gestió previstes en els plans de control i erradicació d'espècies exòtiques de forma coordinada amb el Servei de Flora i Fauna en l'àmbit de l'ENP i elaborant documents informatius sobre maneig d'espais d'interès.</t>
  </si>
  <si>
    <t>Es considera que l'actuació sobre les EEI requereix d'un esforç de gestió més ampli que el simple compliment d'allò que puguin proposar els plans de control i eradicació del SFF.</t>
  </si>
  <si>
    <t xml:space="preserve">* Implicació  i participació en la redacció (cal identificar els plans que estan ja en marxa o previstos i posar les mesures concretes) 
* Execució de les accions dins els plans que pertoquin a cada espai
* Col.laboració en l'obtenció de la informació necessària dins els espais per al desenvolupament dels Plans </t>
  </si>
  <si>
    <t>ESNATURA
MAP</t>
  </si>
  <si>
    <t>SFF: Elaboració de plans de control i erradicació d'espècies exòtiques</t>
  </si>
  <si>
    <t xml:space="preserve">1) Obtenció d'informació sobre l'evolució de les poblacions d'espècies exòtiques presents a l'espai que podrien ser susceptibles de disposar d'un pla de control i eradicació.
2) Executar accions preventives de control i eradicació d'espècies exòtiques invasores.
3) Elaborar manuals de gestió per evitar la proliferació d'espècies exòtiques invasores en hàbitats d'interès.
4) Col·laboració amb el SFF en l'elaboració de plans de control i eradicació d'espècies exòtiques de fauna i flora.
5) Proporcionar la informació disponible en l'espai en relació a les espècies exòtiques de les quals s'estigui redactant un pla de control i eradicació.
6) Execució de les mesures previstes en els plans de control i eradiació aplicables al nostre espai.
</t>
  </si>
  <si>
    <t>1) Nombre d'espècies exòtiques invasores de les quals es recull informació de les seves poblacions.
2) Nombre d'accions preventives de control i eradicació.
3) Nombre d'espècies que disposen d'un manual de gestió.
4) Nombre de plans en els quals es col·labora.
5) Nombre d'espècies de les quals es proporciona informació.
6) Nombre d'accions executades.</t>
  </si>
  <si>
    <t>01.2.4</t>
  </si>
  <si>
    <t xml:space="preserve">Desplegar els objectius i tasques recollits en els instruments de referència i compromisos internacionals  </t>
  </si>
  <si>
    <t>Específic</t>
  </si>
  <si>
    <t xml:space="preserve">Optatiu </t>
  </si>
  <si>
    <t>MITJANA</t>
  </si>
  <si>
    <t>* Desplegament dels objectius recollits en l'Estratègia de la Xarxa d'àrees marines protegides del Mediterrani (MedPAN network)
* Col·laboració en el compliment dels objectius i tasques derivats de la Mediterranean Climate Action Partnership en matèria de biodiversitat i canvi climàtic i els seus impactes sobre la sequera, calor i incendis
* Col·laboració en la implementació pràctica de projectes de l'àrea internacional i dels compromisos amb les entitats membres UICN, Euroregió Pirineus Mediterrània</t>
  </si>
  <si>
    <t>1) Participació en projectes d'abast internacional. Per exemple, live ECOAdapt50, FloraLab + POCTEFA.</t>
  </si>
  <si>
    <t>1) Nombre de projectes en els que es participa.</t>
  </si>
  <si>
    <t>1) 1</t>
  </si>
  <si>
    <t>2) 4</t>
  </si>
  <si>
    <t>Bernat Perramon</t>
  </si>
  <si>
    <t>01.3</t>
  </si>
  <si>
    <t>Crear ecosistemes complexes, resilients, i d'alta biodiversitat per garantir la recuperació dels processos ecosistèmics</t>
  </si>
  <si>
    <t>01.3.1</t>
  </si>
  <si>
    <t>Identificar espais pel foment de la dinàmica natural i l'aprofitament no extractiu</t>
  </si>
  <si>
    <t>*Participar en la identificació d'espais pel foment de la dinàmica natural i l'aprofitament no extractiu dins l'ENP en base a uns criteris metodològics predefinits
*Afavorir la creació d'hàbitats per a la conservació d'espècies</t>
  </si>
  <si>
    <t>SENP/SFF: Definir criteris metodològics</t>
  </si>
  <si>
    <t>1) Elaborar un catàleg d'espais potencials per a ser gestionats en dinàmica natural.</t>
  </si>
  <si>
    <t>1) Increment de superfície d'espais gestionats en dinàmica natural.</t>
  </si>
  <si>
    <t>Joan Montserrat</t>
  </si>
  <si>
    <t>01.3.2</t>
  </si>
  <si>
    <t>Afavorir la maduresa dels sistemes forestals</t>
  </si>
  <si>
    <t>*Participar i impulsar la planificació i execució d'accions d'acceleració de la maduresa forestal en zones boscoses dins l'ENP en base als criteris metodològics predefinits</t>
  </si>
  <si>
    <t>01.3.3</t>
  </si>
  <si>
    <t>Generar pertorbacions controlades</t>
  </si>
  <si>
    <t>*Elaboració d'una planificació d'actuacions de simulació d'incendis forestals naturals (cremes controlades) dins l'espai en base als criteris metodològics predefinits.
*Realització dels estudis necessaris i participació en la reintroducció de grans herbívors, carnívors o carronyaires dins l'ENP en base als criteris metodològics predefinits.</t>
  </si>
  <si>
    <t>JOAN MONTSERRAT</t>
  </si>
  <si>
    <t>1) Informe de les modificacions forestals executades</t>
  </si>
  <si>
    <t>01.3.4</t>
  </si>
  <si>
    <t xml:space="preserve">Restaurar la dinàmica natural dels rius </t>
  </si>
  <si>
    <t>Restaurar i conservar la dinàmica i estructura natural dels rius, les zones humides, i altres hàbitats d'aigua dolça</t>
  </si>
  <si>
    <t>Canvi de redactat OP. Adaptar el redactat per a tot tipus de masses d'aigua</t>
  </si>
  <si>
    <t>*Realització i impuls de la renaturalització de lleres i creació de zones de laminació dins l'ENP en base als criteris metodològics predefinits</t>
  </si>
  <si>
    <t>01.3.5</t>
  </si>
  <si>
    <t>Fomentar el paisatge en mosaïc</t>
  </si>
  <si>
    <t>*Realització d'accions per gestionar l'herbivoria domèstica associada a la ramaderia extensiva
*Aplicació dels criteris metodològics predefinits en un manual tècnic de bones pràctiques en ramaderia extensiva i recuperació i manteniment de pastures aplicat a l'ENP.
*Coordinació i gestió dels ramats locals en actuacions de restauració de pastures i desembosc.</t>
  </si>
  <si>
    <t xml:space="preserve">1) Identificació cartogràfica dels espais oberts prioritaris.
2) Recuperació d'espais oberts.
3) Mantenir espais d'interès prioritaris i els prats d'interès biológic acord amb el PEZVG
4) Seguiment prats
5) Foment de la ramederia extensiva per a mantenir espais oberts
</t>
  </si>
  <si>
    <t>01.3.6</t>
  </si>
  <si>
    <t>Gestionar i intervenir en la dinàmica de poblacions de fauna que no tenen depredador natural</t>
  </si>
  <si>
    <t>*Realització d'acords amb societats de caçadors.
*Participació i impuls del control directe de poblacions de fauna en base als criteris metodològics predefinits.</t>
  </si>
  <si>
    <t xml:space="preserve">1) Participació en el Programa de seguiment de les poblacions de senglar a Catalunya.
2) Coordinació del grup de treball amb les societats de caçadors
3) Participar a la taula entre caçadors, fessolaires i PNZVG
</t>
  </si>
  <si>
    <t>01.3.7</t>
  </si>
  <si>
    <t>Afavorir la connectivitat ecològica del territori</t>
  </si>
  <si>
    <t>01.4</t>
  </si>
  <si>
    <t>Alinear l'activitat de propietaris i gestors del territori amb la conservació, millora i restauració dels valors de l'ENP</t>
  </si>
  <si>
    <t>01.4.1</t>
  </si>
  <si>
    <t>Fomentar acords de custòdia en espais d'alt valor dins l'ENP per a la gestió dels elements prioritaris</t>
  </si>
  <si>
    <t>Fomentar formules de gestió (autoritzacions, convenis, acords de custòdia,...) en espais d'alt valor dins l'ENP per a la gestió dels elements prioritaris.</t>
  </si>
  <si>
    <t>Per ampliar les possibilitats d'incidir en la gestió de finques privades des del Parc Natural.</t>
  </si>
  <si>
    <t>*Realització d'acords de custòdia aplicant el model d'acord elaborat per Serveis Centrals</t>
  </si>
  <si>
    <t>SENP/SENP: Dissenyar el protocol i elaborar un model d'acord</t>
  </si>
  <si>
    <t>1) Identificació de les finques d'interès que convindria disposar d'algun conveni/autorització/acord amb la propietat.
2) Establiment de convenis/autoritzacions/acords amb propietaris de finques públiques o privades.</t>
  </si>
  <si>
    <t>01.4.2</t>
  </si>
  <si>
    <t>Fomentar bones pràctiques entre els col·lectius de propietaris i gestors del territori</t>
  </si>
  <si>
    <t>*Realització d'actuacions demostratives en finques pròpies per al foment de bones pràctiques</t>
  </si>
  <si>
    <t>1) Identificar les línies de gestió prioritàries i els sectors implicats per a la promoció de bones pràctiques.
2) Creació d'un model tipus de material informatiu i de comunicació (tipus infografia) de les bones pràctiques.
3) Establiment de camps experimentals i seguiment de prats i divulgació.
4) Millora de la biodiversitat de prats de dall a partir de la sembra amb llavor recollida en prats amb elevada biodiversitat d'espècies.
5) Potenciar millores per a la integració paisatgística de les explotacions.
6) Elaboració de material divulgatiu de bones pràctiques per a la conservació de la biodiversitat en jardins i espais verds.
7) Col·laboració amb les finques col·laboradores del Centre de Conservació de Plantes Cultivades de Can Jordà.
8) Demostració de pràctiques forestals sostenibles (desembosc amb canaletes i altres).</t>
  </si>
  <si>
    <t>01.4.3</t>
  </si>
  <si>
    <t>Impulsar la coordinació amb els ens locals en la gestió finques públiques situades dins d’ENP</t>
  </si>
  <si>
    <t>*Boscos comunals
*Medi marí
*Lleres i boscos de ribera</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</si>
  <si>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</si>
  <si>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</si>
  <si>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</si>
  <si>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</si>
  <si>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</si>
  <si>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*Planificació del sistema d'espais oberts
*Creació de zones de laminació per defensa de inundacions
*Creació i manteniment d'espais dunars de protecció de temporals</t>
  </si>
  <si>
    <t xml:space="preserve">OCCC/SENP: Elaboració del model de Pla d'adaptació dels ENP al canvi climàtic </t>
  </si>
  <si>
    <t>1) Foment dels prats permanents com a sistemes d'adaptació al canvi climàtic en el sector ramader extensiu.
2) Foment del maneig regeneratiu en la ramaderia extensiva.
3) Implementació d'accions de mitigació i adaptació al canvi climàtic previst per les empreses i equipaments acreditades per la CETS.</t>
  </si>
  <si>
    <t>1,2,3) Nombre d'actuacions</t>
  </si>
  <si>
    <t>02.1.2</t>
  </si>
  <si>
    <t>Gestionar i planificar els recursos hídrics de l'ENP</t>
  </si>
  <si>
    <t>1) Assistència tècnica a la gestió de les aigües.
2) Establiment i/o ampliació d'una xarxa de punts de control (aqüífer, aigües superficials i surgències naturals).
3) Fomentar el càlcul de la petjada hídrica de les empreses del Parc Natural altament consumidores d'aigua.</t>
  </si>
  <si>
    <t>02.1.3</t>
  </si>
  <si>
    <t>Participar en la redacció i execució dels instruments d'ordenació forestal sostenible i per la conservació en finques públiques</t>
  </si>
  <si>
    <r>
      <t>Promoure la redacció d'instruments d'ordenació forestal sostenible i l'execució d'accions per la conservació i millora dels boscos i els elements d'interès</t>
    </r>
    <r>
      <rPr>
        <sz val="11"/>
        <color rgb="FFFF0000"/>
        <rFont val="Calibri"/>
        <family val="2"/>
        <scheme val="minor"/>
      </rPr>
      <t xml:space="preserve"> </t>
    </r>
  </si>
  <si>
    <t>Canvi de redactat OP. Inclusió d'accions forestals per a la millora de la biodiversitat sense detallar la propietat de la finca</t>
  </si>
  <si>
    <t>*Participació en la redacció d'IOF de finques públiques
*Realització d'accions demostratives en finca pública o amb acord de custòdia
*Realització de tractaments silvícoles i tallades selectives
*Promoció de boscos mixtes i de la biodiversitat</t>
  </si>
  <si>
    <t>DGEFMN: Redacció d'IOF en finques públiques</t>
  </si>
  <si>
    <t>02.1.4</t>
  </si>
  <si>
    <t>Promoure la redacció d'instruments d'ordenació forestal per reduir la sensibilitat i vulnerabilitat dels boscos al canvi climàtic en finques privades</t>
  </si>
  <si>
    <t>Optatiu</t>
  </si>
  <si>
    <t>* Realització d'accions per donar a conèixer subvencions entre propietaris</t>
  </si>
  <si>
    <t>1) Incrementar el nombre de Plans de Gestió i Ordenació Forestal.
2) Elaborar un catàleg de possibles finques protectores (PEZVG)</t>
  </si>
  <si>
    <t>1) Percentatge de superfície forestal amb IOF redactat actualment 60%
2) Elaboració catàleg</t>
  </si>
  <si>
    <t>02.2</t>
  </si>
  <si>
    <t xml:space="preserve">Planificar la prevenció i extinció d’incendis forestals i la gestió del foc de forma coordinada amb els diferents agents del territori </t>
  </si>
  <si>
    <t>02.2.1</t>
  </si>
  <si>
    <t>Redactar i implementar el Pla de Prevenció d'Incendis Forestals</t>
  </si>
  <si>
    <t>*Elaboració del Pla de Prevenció d'Incendis 
*Definició de: xarxa estratègica i complementària de vials forestals, xarxa estratègica i complementària de punts d’aigua, tractaments de vegetació, punts estratègics de gestió</t>
  </si>
  <si>
    <t>Equip de PPI: Disseny del protocol de treball</t>
  </si>
  <si>
    <t>02.2.2</t>
  </si>
  <si>
    <t>Definir i planificar la gestió del foc per a la millora de l'ENP</t>
  </si>
  <si>
    <t>No aplicable</t>
  </si>
  <si>
    <t>*Pla de gestió de foc
*Pla de gestió de cremes</t>
  </si>
  <si>
    <t>SPEN: Elaboració d'un model de pla de gestió</t>
  </si>
  <si>
    <t>02.2.3</t>
  </si>
  <si>
    <t>Treballar per a la prevenció d'incendis juntament amb els propietaris, ajuntaments, protecció civil, ADF i bombers.</t>
  </si>
  <si>
    <t>1) Seguiment de tots els informes forestals
2) Comptar amb un suport pel seguiment dels informes forestals</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</si>
  <si>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</si>
  <si>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</si>
  <si>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</si>
  <si>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</si>
  <si>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</si>
  <si>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</si>
  <si>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</si>
  <si>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</si>
  <si>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</si>
  <si>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Correcció i compensació d'impactes residuals mitjançant la identificació de necessitats d'actuació prioritària dins i fora dels límits de l’ENP</t>
  </si>
  <si>
    <t>Canvi de redactat OP. Correcció i compensació també fora de processos d'avaluació ambiental</t>
  </si>
  <si>
    <t>*Catàleg de possibles actuacions compensatories
*Catàleg de sectors amb necessitats d'intervenció (incloent també zones fora dels límits de l'ENP que es considerin importants per al manteniment de la connectivitat ecològica dels espais)</t>
  </si>
  <si>
    <t>1) Nombre de mesures compensatòries.</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</si>
  <si>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</si>
  <si>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</si>
  <si>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</si>
  <si>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</si>
  <si>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Impulsar i participar en l'elaboració dels instruments de planificació de l'ENP</t>
  </si>
  <si>
    <t>Hi ha plans que són específics i d'interès del propi parc.</t>
  </si>
  <si>
    <t>*Participació en l'elaboració del Pla de Protecció (PP) juntament amb l'SPEN.
*Participació en l'elaboració del Pla Rector d'usos i Gestió (PRUG) juntament amb l'SPEN.
*Participació en l'elaboració d'altres instruments de planificació juntament amb l'SPEN.</t>
  </si>
  <si>
    <t>SPEN: Elaboració del Pla rector d'usos i gestió.
SPEN: Elaboració del Pla rector d'usos i gestió</t>
  </si>
  <si>
    <t>1) Nombre de plans.</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</si>
  <si>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</si>
  <si>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</si>
  <si>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</si>
  <si>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</si>
  <si>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*Participació en el seguiment del cabal en els trams dins ENP 
*Impuls del control per incompliment de la normativa i el seu trasllat cap a l'administració competent
*Participació en les negociacions sectorials amb incidència a l'espai
*Participació en les comissions de desembassament</t>
  </si>
  <si>
    <t>ACA/CHE: Determinar els cabals ecològics en espais naturals protegits</t>
  </si>
  <si>
    <t>1) Incidir en l'organisme competent (ACA) per poder disposar de major nombre de punts de control del cabal.
2) Establir un programa de vigilància dels punts de captació d'aigües superficials.</t>
  </si>
  <si>
    <t>03.3.2</t>
  </si>
  <si>
    <t>Vetllar per la regulació dels dragatges, canalitzacions o implantació d'activitats extractives que puguin modificar la llera i el cabal dels rius</t>
  </si>
  <si>
    <t>1) Coordinació amb l'organisme competent (ACA).</t>
  </si>
  <si>
    <t>1) Nombre de casos gestionats.</t>
  </si>
  <si>
    <t>03.3.3</t>
  </si>
  <si>
    <t>Avaluar i controlar les actuacions que produeixin drenatges, captacions o que puguin impedir l’arribada d’aigua tant superficial com freàtica</t>
  </si>
  <si>
    <t>*Participació, de forma coordinada amb l'administració competent, en l'avaluació i control d'actuacions dins els límits de l'ENP.
*Impuls del control per incompliment de la normativa i el seu trasllat cap a l'administració competent
*Participació en les comunitats d'usuaris de les conques</t>
  </si>
  <si>
    <t>03.3.4</t>
  </si>
  <si>
    <t>Vetllar pel compliment de la normativa de depuració dels efluents agroramaders, urbans i industrials que s'aboquen als cursos fluvials</t>
  </si>
  <si>
    <t>*Impuls del control per incompliment de la normativa i el seu trasllat cap a l'administració competent</t>
  </si>
  <si>
    <t>1) Establir un programa de vigilància d'efluents i punts d'abocament a llera.
2) Analítiques d'autocontrol del punt d'abocament de can Jordà.</t>
  </si>
  <si>
    <t>1) Nombre de mesures executades destinades al compliment de la normativa
2) Nombre d'analítiques</t>
  </si>
  <si>
    <t>03.3.5</t>
  </si>
  <si>
    <t>Colaborar amb l'òrgan competent per la conservació del domini públic d'acord amb les delimitacions i la normativa d'usos vigent</t>
  </si>
  <si>
    <t>Col·laborar amb l'òrgan competent per la conservació del domini públic hidràulic d'acord amb les delimitacions i la normativa d'usos vigent</t>
  </si>
  <si>
    <t>Es concreta en el DPH.</t>
  </si>
  <si>
    <t>1) Fer un seguiment periòdic en el marc del programa de vigilància del Parc Natural i coordinació amb els inspectors de l'ACA</t>
  </si>
  <si>
    <t>1) Nombre d'expedients oberts.</t>
  </si>
  <si>
    <t>03.4</t>
  </si>
  <si>
    <t>Incrementar el patrimoni públic destinat a la conservació i millora del patrimoni natural</t>
  </si>
  <si>
    <t>03.4.1</t>
  </si>
  <si>
    <t xml:space="preserve">Identificar espais prioritaris per a la compra de terrenys de més valor dins l'ENP </t>
  </si>
  <si>
    <t>*Participació en la identificació de finques prioritàries en base als criteris indicats</t>
  </si>
  <si>
    <t>SENP/SPEN: Facilitar els criteris a seguir</t>
  </si>
  <si>
    <t>1) Elaboració d'un catàleg de finques d'interès prioritari per la seva compra.
2) Suport a les diferents administrcions per l'adquisició de finques ( ajuts, etc)
3) Compra de la reserva natural del volcà de la Garrinada (DTER) i posterior cessió ús i gestió al PNZVG</t>
  </si>
  <si>
    <t>1) Superfície de finques prioritaries adquirides
2) Nombre de reunions
3) Acord cessió ús i gestió volcà de la Garrinada</t>
  </si>
  <si>
    <t>03.4.2</t>
  </si>
  <si>
    <t>Identificar espais prioritaris per a la gestió directa</t>
  </si>
  <si>
    <t xml:space="preserve">*Participació en la identificació de finques prioritàries en base als criteris indicats
*Participació i foment de la compra o adquisició de drets d’aprofitament </t>
  </si>
  <si>
    <t>1) Elaboració d'un catàleg de finques d'interès de gestió directa.
2) Establir acords / autortizacions amb propietaris</t>
  </si>
  <si>
    <t>1) Superfície identificada per la gestió directa
2) Nombre acords / autoirtzacions</t>
  </si>
  <si>
    <t>1) 10
2)1</t>
  </si>
  <si>
    <t>1)100
2) 4</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</si>
  <si>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</si>
  <si>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</si>
  <si>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</si>
  <si>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</si>
  <si>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</si>
  <si>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</si>
  <si>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Es treballarà en l'àmbit comarcal més enllà dels límits de l'ENP</t>
  </si>
  <si>
    <t>Impuls</t>
  </si>
  <si>
    <t>*Recopilació de la informació dels catàlegs dels ajuntaments de l'ENP i fer diagnosi
*Inventari de patrimoni cultural material
*Inventari de patrimoni cultural immaterial (metodologia de l'inventari de la unesco)
*Elaboració d'un mapa de tranquil·litat.</t>
  </si>
  <si>
    <t>1) Identificació i priorització dels elements principals que conformen el patrimoni cultural de la Garrotxa.
2) Recull d'informació del patrimoni etnològic i immaterial present de la Garrotxa.
3) Identificació de mancances en el resultat de la recollida d'informació.
4) Elaboració de l'inventari del patrimoni etnològic i immaterial de la Garrotxa
5) Difusió i dinamització de l'inventari
6) Redactar un catàleg de barraques de pedra seca</t>
  </si>
  <si>
    <t>04.1.2</t>
  </si>
  <si>
    <t>Elaborar el catàleg lingüístic (localismes) de patrimoni natural, geografia popular, festes i activitats tradicionals de l'ENP</t>
  </si>
  <si>
    <t>Alguns dels elements que es plantegen ja estan recollits en publicacions i alguns dels altres quedaran recollits en l'inventari de patrimoni cultural de l'OP04.1.1</t>
  </si>
  <si>
    <t>FORA DE TERMINI DEL PLA</t>
  </si>
  <si>
    <t>04.1.3</t>
  </si>
  <si>
    <t>Elaborar la cartografia de la xarxa de camins ramaders i senders tradicionals de l'ENP</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</si>
  <si>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</si>
  <si>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</si>
  <si>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</si>
  <si>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</si>
  <si>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Identificar els ens de referència en patrimoni cultural (entitats, associacions, museus i ecomuseus, etc.) en l'àmbit de la Garrotxa</t>
  </si>
  <si>
    <t>*Elaboració d'un mapa d'entitats, associacions, museus, ecomuseus, OPEI (Observatori del Patrimoni Etnològic i Immaterial), etc.</t>
  </si>
  <si>
    <t xml:space="preserve">1) Identificació d'ens de referència en patrimoni cultural i posterior creació d'un llistat que els reculli.
2) Participació a les jornades Parcs i museus organitzats per la DG.
3) Renovar conveni amb l'Espai Cràter
</t>
  </si>
  <si>
    <t>04.2.2</t>
  </si>
  <si>
    <t>Articular treballs conjunts entre l'ENP i representants, gestors o custodis del patrimoni cultural per a la seva protecció i millora</t>
  </si>
  <si>
    <t>BAIXA</t>
  </si>
  <si>
    <t>*Projecte parcs i museus
*Impulsa dels convenis de col·laboració aamb la xarxa de museus i altres equipaments i entitats de referència
*Foment de la cooperació tècnica dels gestors de l'ENP amb els representants o custodis del patrimoni cultural, i coordinar-ne l'ús compartit dels recursos</t>
  </si>
  <si>
    <t>1) Nombre de propostes de treballs que han rebut ajuts
2) Nombre de projectes</t>
  </si>
  <si>
    <t>1) 2</t>
  </si>
  <si>
    <t>1) 4</t>
  </si>
  <si>
    <t>04.2.3</t>
  </si>
  <si>
    <t>Impulsar i/o participar dels treballs de restauració arquitectònica, arqueològica i del patrimoni cultural</t>
  </si>
  <si>
    <t xml:space="preserve">Està vinculat amb l'OP 04.2.2 </t>
  </si>
  <si>
    <t>*Coordinació de l'equip tècnic (propi) amb els responsables dels treballs de restauració arquitectònica i del patrimoni cultural
Participació quan els treballs estan vinculats a l’àrea d’ús públic de l’ENP</t>
  </si>
  <si>
    <t>04.2.4</t>
  </si>
  <si>
    <t>Disposar de personal especialitzat en patrimoni cultural</t>
  </si>
  <si>
    <t>Disposar d'assessorament especialitzat en patrimoni cultural</t>
  </si>
  <si>
    <t>Aclariment OP</t>
  </si>
  <si>
    <t>*Formació del personal tècnic de l'ENP en la gestió i conservació dels valors culturals de l'ENP</t>
  </si>
  <si>
    <t>1) Disposar d'un servei d'assessorament especialitzat en patrimoni cultural</t>
  </si>
  <si>
    <t>1) Nombre de persones especialitzades en patrimoni cultural</t>
  </si>
  <si>
    <t>1)1</t>
  </si>
  <si>
    <t>04.3</t>
  </si>
  <si>
    <t>Potenciar la conservació i recuperació del patrimoni cultural material i immaterial de l'ENP</t>
  </si>
  <si>
    <t>04.3.1</t>
  </si>
  <si>
    <t>Recuperar i conservar el patrimoni cultural immaterial (associat a les activitats i aprofitaments rurals tradicionals) i els valors espirituals</t>
  </si>
  <si>
    <t>1) Celebració d'una jornada d'activitats tradicionals del Parc
2) Elaborar el catàleg de patrimoni immaterial del Parc</t>
  </si>
  <si>
    <t>1) Nombre d'activitats presents
2) Nombre de participants a la jornada</t>
  </si>
  <si>
    <t>1) 2
2) 16</t>
  </si>
  <si>
    <t>1) 4
2) 32</t>
  </si>
  <si>
    <t>04.3.2</t>
  </si>
  <si>
    <t>Recuperar i conservar el patrimoni cultural rural vinculat específicament a construccions de pedra en sec</t>
  </si>
  <si>
    <t>1) Nombre d'elements recuperats 
2) Nombre d'actuacions de restauració executades
3) Nombre d'activitats programades durant la Setmana de la Pedra Seca
4) Nombre de persones assistents les activitats programades en el marc de la Setmana de la Pedra Seca
5) Metres de murs de pedra seca restaurats</t>
  </si>
  <si>
    <t>1) 2
2) 2
3) 1
4) 15
5) 2</t>
  </si>
  <si>
    <t>1) 4
2) 4
3) 3
4) 25
5) 4</t>
  </si>
  <si>
    <t>04.3.3</t>
  </si>
  <si>
    <t xml:space="preserve">Fomentar la recuperació i conservació de l'arquitectura tradicional d'intrès de les edificacions i construccions </t>
  </si>
  <si>
    <t>1) Assessorament arquitectònic en edificacions i construccions
2) Seguiment dels informes emesos</t>
  </si>
  <si>
    <t>1)  Nombre d'informes emesos
1,2) Percentatge del compliment dels informes emesos</t>
  </si>
  <si>
    <t>1) 0</t>
  </si>
  <si>
    <t>04.3.4</t>
  </si>
  <si>
    <t>Identificar i conservar la diversitat domesticada de varietats agrícoles i ramaderes locals</t>
  </si>
  <si>
    <t>*Banc de llavors
*Convenis ramaders per la cria de races locals</t>
  </si>
  <si>
    <t>1) Elaboració del catàleg de varietats del CCPC de can Jordà (amb incorporació d'imatges)
2) Identificació de varietats agrícoles i ramaderes locals
3) Recerca i actualització del llistat d'explotacions que treballen amb varietats agrícoles i ramaderes locals
4) Suport a activitats que es centren en impulsar l'activitat agrícola i ramadera local</t>
  </si>
  <si>
    <t>1) Elaboració del catàleg
2) Nombre de varietats identificades
3) Nombre d'explotacions identificades i/o actualitzades
4) Activitats realitzades amb el suport del Parc.</t>
  </si>
  <si>
    <t>1) 1
2) 5
3) 18
4) 2</t>
  </si>
  <si>
    <t xml:space="preserve">1) 1
2) 15
3) 30
4) 4
</t>
  </si>
  <si>
    <t>04.4</t>
  </si>
  <si>
    <t xml:space="preserve">Donar a conèixer els elements culturals com a valors del paisatge de l'ENP en les activitats d'ús públic </t>
  </si>
  <si>
    <t>04.4.1</t>
  </si>
  <si>
    <t>Integrar el patrimoni cultural als itineraris i cartelleria de l'ENP.</t>
  </si>
  <si>
    <t>1) Definició d'uns criteris per determinar quins elements  del patrimoni cultural s'incorpora als itineraris i a la cartelleria
2) Incorporació d'elements del patrimoni cultural als itineraris i a la cartelleria</t>
  </si>
  <si>
    <t>1) Definició dels elements a incorporar
2) Nombre d'elements incorporats als itineraris i a la cartelleria</t>
  </si>
  <si>
    <t>1) 5
2) 10</t>
  </si>
  <si>
    <t>1) 10
2) 30</t>
  </si>
  <si>
    <t>04.4.2</t>
  </si>
  <si>
    <t>Incorporar el patrimoni cultural en els plans d’ús públic i educació ambiental per fomentar-ne la seva conservació i divulgació.</t>
  </si>
  <si>
    <t>1) Incoroporar personatges de l'imaginari popular per la creació de recursos educatius
2) Creació de material divulgatiu que relacioni el paisatge amb els trets identitaris del territori
3)Integració del patrimoni cultural en el PUP comarcal.</t>
  </si>
  <si>
    <t>04.4.3</t>
  </si>
  <si>
    <t>Formar el personal dels punts d’informació en els valors culturals de l'ENP</t>
  </si>
  <si>
    <t>1)  Revisar els continguts vinculats al patrimoni cultural en el Curs de Bon Coneixement de la Garrotxa.
2) Incorporar el patrimoni cultural a la formació específica de l'equip del servei d'informació</t>
  </si>
  <si>
    <t>1) Hores dedicades a continguts revisats/incorporats en el Curs de Bon Coneixement de la Garrotxa.
2) Hores dedicades a creació d'un bloc formatiu dedicat al patrimoni cultural a la formació específica</t>
  </si>
  <si>
    <t>1) 2 hores
2) 0,5hores</t>
  </si>
  <si>
    <t>1) 5 hores
2) 1,5 hores</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</si>
  <si>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</si>
  <si>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</si>
  <si>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</si>
  <si>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</si>
  <si>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</si>
  <si>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Es disposa de la Carta de Paisatge. El Parc disposa també d'un treball sobre l'estudi del paisatge al PNZVG elaborat per Minuartia (2002)</t>
  </si>
  <si>
    <t>05.2</t>
  </si>
  <si>
    <t>Millorar la qualitat paisatgística</t>
  </si>
  <si>
    <t>05.2.1</t>
  </si>
  <si>
    <t>Desplegar actuacions de restauració dels elements d'interès paisatgístic degradats</t>
  </si>
  <si>
    <t>L'OP està vinculat amb patrimoni natural i ús públic i es pot treballar des d'aquells àmbits</t>
  </si>
  <si>
    <t>05.2.2</t>
  </si>
  <si>
    <t>Gestionar l'abandonament d'infraestructures i instal·lacions amb impactes sobre els valors de l'espai</t>
  </si>
  <si>
    <t>1) Millora de la passera
2) Redacció del Pla</t>
  </si>
  <si>
    <t>05.2.3</t>
  </si>
  <si>
    <t>Minimitzar la brutícia, deixalles, vandalisme i males praxis dins l'ENP</t>
  </si>
  <si>
    <t>05.3</t>
  </si>
  <si>
    <t>Protegir la qualitat acústica i lumínica de l'ENP</t>
  </si>
  <si>
    <t>05.3.1</t>
  </si>
  <si>
    <t>Promoure la certificació de qualitat del cel nocturn</t>
  </si>
  <si>
    <t>El PNZVG es troba en una zona humanitzada, envoltat de nuclis urbans que generen contaminació lumínica</t>
  </si>
  <si>
    <t>05.3.2</t>
  </si>
  <si>
    <t>Promoure la certificació de zones d'especial protecció de la qualitat acústica</t>
  </si>
  <si>
    <t>1) Certificació</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</si>
  <si>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</si>
  <si>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</si>
  <si>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</si>
  <si>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</si>
  <si>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</si>
  <si>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que es troben dins l'ENP (especies amenaçades, espècies exòtiques invasores,.. )</t>
  </si>
  <si>
    <t xml:space="preserve">
*Participació en la definició dels objectes de conservació clau (hàbitats, espècies, processos i elements d’interès geològic) comuns a nivell de Xarxa d'ENP o clúster territorial</t>
  </si>
  <si>
    <t>Directriva Habitats
Carta emplaçament
ESNATURA
Catàlegs</t>
  </si>
  <si>
    <t>UIC/SFF/SPEN: Definir criteris d'identificació d'elements interès.
UIC/SFF/SPEN: Definició dels objectes de conservació clau comuns a nivell de Xarxa d'ENP o clúster territorial</t>
  </si>
  <si>
    <t>1) Crear una base de dades que identifiqui els elements d'interès.
2) Prioritzar els elements d'interès (hàbitats i espècies) en base a la informació recollida.
3) Recollir informació sobre els elements d'interès per la geodiversitat i prioritzar mesures de conservació.
4) Identificar i prioritzar mesures d'intervenció sobre espècies exòtiques en funció de la seva capacitat invasora.
5) Fer catàlegs i inventaris (biodiversitat, forestals, varietats CCPC,...).</t>
  </si>
  <si>
    <t>06.1.2</t>
  </si>
  <si>
    <t>Definir espais fràgils i zones d'especial atenció</t>
  </si>
  <si>
    <t>*Generació d'informació per a l'inventari i cartografia d'espais fràgils
*Realització o actualització de l'inventari de ZH, espais interès geològic, etc.</t>
  </si>
  <si>
    <t>SPEN: Inventari i cartografia d'espais fràgils i zones d'especial atenció</t>
  </si>
  <si>
    <t>1) Nombre d'espais i zones identificats
2) Superfície identificada com espais fràgils o ZEAs
3) Redacció informe</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</si>
  <si>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</si>
  <si>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</si>
  <si>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</si>
  <si>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</si>
  <si>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*Participació en la programació de la realització de la cartografia d'hàbitats en el contracte plurienal que existeix amb GeoVeg-UB</t>
  </si>
  <si>
    <t>UIC: Coordinar i contractar l'elaboració de la cartografia</t>
  </si>
  <si>
    <t>1) Transferir a la UIC la informació cartogràfica temàtica elaborada des del Parc Natural.</t>
  </si>
  <si>
    <t xml:space="preserve">1) Nombre de cartografies generades transferides a la UIC.
</t>
  </si>
  <si>
    <t>06.2.2</t>
  </si>
  <si>
    <t>Conèixer i estudiar els processos naturals propis de l’espai, la seva funcionalitat, i ecologia en referència als ecosistemes</t>
  </si>
  <si>
    <t>Conèixer i estudiar els elements i processos naturals propis de l’espai, la seva funcionalitat, i ecologia en referència als ecosistemes</t>
  </si>
  <si>
    <t>Canvi redactat OP. Incloure elements</t>
  </si>
  <si>
    <t>*Foment i coordinació dels estudis d'ecologia del foc, el règim hidrològic, la pol·linització, la tipificació i funcionament de les cadenes tròfiques pròpies de l’espai, la dinàmica de la neu i les allaus, dinàmica litoral, dinàmica geomorfològica i morfodinàmica de les roques, etc.
*Millora del coneixement de la geoconservació (escala més detallada de 1:50.000)
*Implementació del protocol de fluxos d'informació i coneixement de biodiversitat</t>
  </si>
  <si>
    <t>1) Foment i coordinació dels estudis sobre el règim hidrològic, la pol·linització, la tipificació i funcionament de les cadenes tròfiques pròpies de l'espai, la maduresa forestal i dinàmica geomorfològica, etc.
2) reedició publicació sobre prats de dall
3) Anàlisi mostres ( paleomagnetisme)
4) Anàlisi de riscos (arbrat)
5) Seguiment espècies (CBMS: Can Jordà, Croscat, Sant Iscle, Sallent)
6) recerca agrària pròpia a partir de l'establiment de camps experimentals i seguiments dirigits a la millora de la pràctiques agràries i ramaderes (àmbit sòls, planta i aigua)
7) seguiments d'hàbitats de prats per determinar l'estat actual i proposar possibles millores (àmbit sòls i espècies)
8) conèixer evolució d'espais oberts des dels anys 80 fins a l'actualitat a partir de fotointerpretació
9) adquisició lupa per a laboratori (vinculat a recerca i seguiments diversos que es porten a terme des del Parc Natural)
10) Seguiment de l'estat de conservació dels boscos (boixedes, boscos madurs, afectació sequera...)</t>
  </si>
  <si>
    <t>1) Nombre d'estudis/seguiments realitzats
2) Nombre d'elements/grups clau estudiats</t>
  </si>
  <si>
    <t>06.2.3</t>
  </si>
  <si>
    <t>Conèixer els usos i factors de canvi rellevants en l'evolució dels elements de conservació, i avaluar els efectes que generen en l’espai (pressions i amenaces)</t>
  </si>
  <si>
    <t>*Foment de l'estudi de l'afectació de determinats processos naturals o activitats antròpiques (contaminació, fragmentació d'hàbitats, atropellaments, noves arts de pesca o pràctiques agrícoles de muntanya, etc.) en l’ENP (amenaces i impacte ambiental).
*Avaluació de l'impacte del canvi climàtic en l'ENP i la seva capacitat d'adaptació i resiliència.
*Avaluació dels resultats de les estratègies de gestió aplicades en l'ENP
*Col.laboració amb l?Observatori per aportar els coneixements generats a l'ENP.</t>
  </si>
  <si>
    <t xml:space="preserve">SENP/UIC: Elaborar la classificació i cartografia de les pressions o factors de canvi sobre el medi natural </t>
  </si>
  <si>
    <t>06.2.4</t>
  </si>
  <si>
    <t>Conèixer l'impacte de les gestió de l'aigua, sobre la biodiversitat.</t>
  </si>
  <si>
    <t>Conèixer l'impacte de l'ús i consum de l'aigua sobre la biodiversitat.</t>
  </si>
  <si>
    <r>
      <t>La gestió de l'aigua no hauria de ser un impacte "</t>
    </r>
    <r>
      <rPr>
        <i/>
        <sz val="11"/>
        <rFont val="Calibri"/>
        <family val="2"/>
        <scheme val="minor"/>
      </rPr>
      <t>per se</t>
    </r>
    <r>
      <rPr>
        <sz val="11"/>
        <rFont val="Calibri"/>
        <family val="2"/>
        <scheme val="minor"/>
      </rPr>
      <t>", en canvi sí que ho seria el seu aprofitament, sobretot si és excessiu.</t>
    </r>
  </si>
  <si>
    <t>*Programa de seguiment de l’estat hidrològic de les masses d’aigua
*Establiment d’una xarxa automatitzada de control (sensors, inventaris, models hidrològics, etc.).</t>
  </si>
  <si>
    <t>06.2.5</t>
  </si>
  <si>
    <t>Participar en el coneixement de la tendència d'espècies plaga amb afectacions sobre ecosistemes o activitats econòmiques dins l'ENP</t>
  </si>
  <si>
    <t>*Participació en dels estudis de les autoritats competents</t>
  </si>
  <si>
    <t>1) Identificar les espècies plaga al Parc Natural
2) Participació en el programa de seguiment i actuacions de minimització d'impactes d'espècies plaga com ara el senglar, el fals creixens,etc</t>
  </si>
  <si>
    <t>06.2.6</t>
  </si>
  <si>
    <t>Conèixer la tendència d'espècies exòtiques invasores amb afectacions sobre ecosistemes o activitats econòmiques dins l'ENP</t>
  </si>
  <si>
    <t>*Realització i foment d'estudis de forma coordinada amb el SFF</t>
  </si>
  <si>
    <t>06.2.7</t>
  </si>
  <si>
    <t>Coneixer com millorar la connectivitat de forma coordinada amb altres ENP</t>
  </si>
  <si>
    <t>El PN ja disposa de zones connectores, internes i externes.</t>
  </si>
  <si>
    <t>* Elaboració d'una cartografia detallada i actualitzada de connectors ecològics</t>
  </si>
  <si>
    <t>06.3</t>
  </si>
  <si>
    <t xml:space="preserve">Estandaritzar els seguiments periòdics dels grups clau </t>
  </si>
  <si>
    <t>06.3.1</t>
  </si>
  <si>
    <t>Participar en la definició del sistema estàndard de seguiment de flora, fauna i hàbitats de la DG</t>
  </si>
  <si>
    <t xml:space="preserve">*Suport a la UIC en la definició dels sistemes de seguiment </t>
  </si>
  <si>
    <t>UIC/SFF/SENP: Crear espais de participació
UIC/SFF: Definir el sistema estàndard de seguiment i el protocol d'aplicació</t>
  </si>
  <si>
    <t>1) Oferir suport a la DG i a la UIC en aquests estándards.</t>
  </si>
  <si>
    <t>06.3.2</t>
  </si>
  <si>
    <t>Adequar i executar el sistema de seguiment periòdic dels grups clau de l'ENP al sistema estàndard de seguiment</t>
  </si>
  <si>
    <t xml:space="preserve">* Seguiment de les directrius del sistema de seguiment establerts segons la versió més recent aportada per la UIC
*Reforç i estabilització de la xarxa de voluntariat per a determinats seguiments de biodiversitat.
*Contractació plurianual d’especialistes
*Aplicació del protocol establert de compartir informació per al seguiment global d’indicadors de l’estat de la natura, el seguiment dels pol·linitzadors silvestres, o el seguiment dels pol·linitzadors silvestres </t>
  </si>
  <si>
    <t>UIC/SFF: Definir el sistema estàndard de seguiment i el protocol d'aplicació
UIC: Elaborar el protocol d'informació i coneixement</t>
  </si>
  <si>
    <t>06.3.3</t>
  </si>
  <si>
    <t xml:space="preserve">Mantenir una base de dades de seguiment de patrimoni natural de l'ENP actualitzada i ordenada </t>
  </si>
  <si>
    <t>1) Mantenir les bases de dades de seguiments
2) Elaborar un programa de les espècies de seguiment del Parc
3) Fer operativa la base de dades de flora i vegetació</t>
  </si>
  <si>
    <t>06.3.4</t>
  </si>
  <si>
    <t>Participar en la definició, organització i bolcatge de dades del SINATCAT</t>
  </si>
  <si>
    <t>UIC/SENP: Crear i coordinar una metodologia participativa per a la definició del SINATCAT</t>
  </si>
  <si>
    <t>1) Recollir, ordenar i transferir de forma contínua les dades relacionades amb la gestió de l'espai al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</si>
  <si>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</si>
  <si>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</si>
  <si>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</si>
  <si>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</si>
  <si>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Ampliar la col·laboració més enllà dels museus i equipaments de referència.</t>
  </si>
  <si>
    <t>SENP: Elaborar un mapa d'agents de referència</t>
  </si>
  <si>
    <t>*Continuar treballant amb el "Pla d'Espais Museístics, d'espais d'interès natural i cultural" iniciat pel Parc Natural de la Zona Volcànica de la Garrotxa per a una millor interpretació del patrimoni.</t>
  </si>
  <si>
    <t>06.4.2</t>
  </si>
  <si>
    <t>Establir acords amb les institucions de recerca i naturalistes per al desenvolupament d'estudis i inventaris dins l'ENP en el marc de les seves línies de recerca</t>
  </si>
  <si>
    <t>SENP: Elaborar un mapa d'agents de referècia</t>
  </si>
  <si>
    <t xml:space="preserve">1) Col·laboració amb centres de recerca per la realització d'estudis, seguiments, assajos i per transferir el resultats de la mateixa.
</t>
  </si>
  <si>
    <t>1) Nombre de col·laboracions amb institucions de recerca.
2) Nombre d'entitats amb les que es col·labora.</t>
  </si>
  <si>
    <t>06.4.3</t>
  </si>
  <si>
    <t xml:space="preserve">Potenciar la ciència ciutadana en l’ENP com a eina per generar coneixement </t>
  </si>
  <si>
    <t>*Vinculació amb projectes de ciència ciutana existents per generar dades en l'ENP</t>
  </si>
  <si>
    <t>1) Realització de projectes de ciència ciutadana dins l'ENP per tal de generar dades.
2) Suport i estabilització de la xarxa de voluntariat per a determinats seguiments de biodiversitat.</t>
  </si>
  <si>
    <t>06.4.4</t>
  </si>
  <si>
    <t xml:space="preserve">Crear i desenvolupar jornades de recerca de l'ENP de forma anual on els diferents centres mostrin els estudis realizats en l'ENP </t>
  </si>
  <si>
    <t>SENP: Suport en l'organització de les jornades</t>
  </si>
  <si>
    <t>1) Organització d'una jornada de recerca anual PNZVG en la que es presenten els principals estudis realitzats dins l'ENP.</t>
  </si>
  <si>
    <t>06.4.5</t>
  </si>
  <si>
    <t>Posar a disposició de la recerca, equipaments i serveis de l'ENP</t>
  </si>
  <si>
    <t>1) Posar a disposició els equipaments del PN (seu del Parc, cabana,...)
2) Posar a disposició la consulta i servei del Centre de Documentació i la cabana d'allotjament.</t>
  </si>
  <si>
    <t>06.4.6</t>
  </si>
  <si>
    <t xml:space="preserve">Crear l'Observatori de recerca de l'ENP vinculat a l'Observatori del Patrimoni natural i la biodiversitat </t>
  </si>
  <si>
    <t>No es considera una actuació prioritària</t>
  </si>
  <si>
    <t>*Impuls de la creació de l'Observatori de recerca de l'ENP en col·laboració amb la UIC</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</si>
  <si>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</si>
  <si>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</si>
  <si>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</si>
  <si>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</si>
  <si>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</si>
  <si>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</si>
  <si>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06.5.2</t>
  </si>
  <si>
    <t xml:space="preserve">Disposar de dades de freqüentació i perfil d'usuari en l'ENP i en especial en equipaments i en zones d'alta freqüentació segons el model de DG </t>
  </si>
  <si>
    <t>*Implementació del sistema estandaritzat de presa de dades i seguiment de la freqüentació en ENP del SENP
*Establiment de models de freqüentació que serveixin per gestionar l'ús públic en l'ENP conjuntament amb la UIC</t>
  </si>
  <si>
    <t>SENP: Disseny i elaboració del sistema estandaritzat de presa de dades i seguiment de la freqüentació en ENP</t>
  </si>
  <si>
    <t xml:space="preserve">1) Seguiment del contracte d'Educació ambiental i servei informació
2) Posar sensors de recompte de visitants a les zones més freqüentades del Parc Natural ( Can Serra, Santa Margarida,...).
3) Instal·lació de ecocomptadors a punts estratègics
4) Participació com a agent clau al projecte smart county promogut pel Consell Comarcal de la Garrotxa
5) Elaboració d'enquestes coneixement perfil visitant
6) Treball conjunt amb la plataforma Smart Garrotxa </t>
  </si>
  <si>
    <t>1) Nombre de reunions amb l'empresa adjudicatària del contracte.
2) Nombre de sensors instal·lats
3) Nombre de ecocomptadors instal·lats
4) Nombre de reunions
5) Nombre d'equestes realitzades</t>
  </si>
  <si>
    <t xml:space="preserve">1)12
2) 2
3)2
4)2
5) 50
</t>
  </si>
  <si>
    <t xml:space="preserve">1) 48
2) 4
3) 4
4) 4
5) 100.000
</t>
  </si>
  <si>
    <t>06.5.3</t>
  </si>
  <si>
    <t>Identificar les activitats i actors de l’espai.</t>
  </si>
  <si>
    <t>1) Actualitzar l'estudi de l'impacte d'activiats turístiques sobre el medi natural (2019)
2) Inventariar les activitats no organitzades que s'organitzen dins el Parc</t>
  </si>
  <si>
    <t>1) Actualització de l'estudi
2) Nombre d'activitats detectades</t>
  </si>
  <si>
    <t>06.5.4</t>
  </si>
  <si>
    <t>Identificar en cartografia les males praxis i punts de massificació</t>
  </si>
  <si>
    <t xml:space="preserve">1) Traspassar la informació de la base de dades d'incidencies a una base cartogràfica
2) Actualització de l'estudi de l'impacte turístic sobre zones freqüentades
</t>
  </si>
  <si>
    <t>06.5.5</t>
  </si>
  <si>
    <t>Adaptar i mantenir un registre d'activitats, actors i inciències en ús públic (curses, conflictes, queixes, etc)</t>
  </si>
  <si>
    <t>UIC: Disseny d'un model de registre d'activitats, actors i inciències en ús públic</t>
  </si>
  <si>
    <t>1) Millorar la base de dades d'incidències on hi participin com a mínim: agents de camp, educadors de reserva, informadors i tècnics del Parc
2) Recollir els suggeriements i les reclamacions dels uusaris per tal d'adreçar-los a la persona coordinaroa del servei.</t>
  </si>
  <si>
    <t>06.5.6</t>
  </si>
  <si>
    <t>Identificar els impactes (positius i negatius) que generen les activitats d'ús públic dins l'ENP</t>
  </si>
  <si>
    <t>1) Redacció d'un Pla d'ús públic del Parc dins el context Comarcal</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</si>
  <si>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</si>
  <si>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</si>
  <si>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</si>
  <si>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</si>
  <si>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</si>
  <si>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i/o col·laborar en l'aplicació de Plans de Desenvolupament Local Sostenible </t>
  </si>
  <si>
    <t>1) Nombre de projectes amb els quals es participa i/o col·labora</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</si>
  <si>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</si>
  <si>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</si>
  <si>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</si>
  <si>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</si>
  <si>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</si>
  <si>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Assessorar i donar suport als agricultors i ramaders en l'aplicació de bones pràctiques per a la obtenció de bones produccions i qualitats i la conservació dels hàbitats i les espècies presents</t>
  </si>
  <si>
    <t>Canvi de redactat OP. Dirigit a agricultors i ramaders i s'afegeixen aspectes agronòmics</t>
  </si>
  <si>
    <t>*Manual tècnic de bones pràctiques en ramaderia extensiva i recuperació i manteniment de pastures en espais naturals protegits
*Programa de suport tècnic a sector agrari
*Promoció i assessorament sobre l'adhesió als distintius de qualitat ambiental existents</t>
  </si>
  <si>
    <t xml:space="preserve">1) Fer recomanacions de maneig en els cultius extensius i les pastures per a la millora d'aspectes agronòmics i de conservació (àmbits de fertilització, sòl, qualitat farratgera, espècies vegetals, adaptació a CC, PAE...)
</t>
  </si>
  <si>
    <t>1) Nombre de recomanacions directes
2) Nombre de documents elaborats que incorporin recomanacions</t>
  </si>
  <si>
    <t>1) 12
2) 8</t>
  </si>
  <si>
    <t>1) 24
2) 16</t>
  </si>
  <si>
    <t>08.1.2</t>
  </si>
  <si>
    <t>Oferir formació als productors agraris per millorar el seu coneixement sobre tècniques eficients i respectuoses amb la conservació del patrimoni natural i cultural</t>
  </si>
  <si>
    <t>Oferir formació a agricultors i ramaders per millorar el seu coneixement sobre tècniques eficients agronòmicament i respectuoses amb la conservació del patrimoni natural i cultural</t>
  </si>
  <si>
    <t>*Programa de formació a sector primari</t>
  </si>
  <si>
    <t>1) Organització i participació de jornades dirigides al sector primari per divulgar informació útil per al maneig i conservació de cultius i pastures</t>
  </si>
  <si>
    <t>1) Nombre de jornades de formació que s'organitzen directament des del Parc Natural
2) nombre de jornades amb les que es participa des del Parc Natural però que s'organitzen per altres entitats
3) Nombre d'assistents.</t>
  </si>
  <si>
    <t>1) 2
2) 2</t>
  </si>
  <si>
    <t>1) 4
2) 4</t>
  </si>
  <si>
    <t>08.1.3</t>
  </si>
  <si>
    <t>Promoure la recuperació i conservació de marges i punts d'aigua associats a la ramaderia i l'agricultura i d'interès per la biodiversitat</t>
  </si>
  <si>
    <t>Promoure l'adequació d'edificacions, la recuperació de marges i la conservació de punts d'aigua associats a la ramaderia i l'agricultura d'interès per la biodiversitat</t>
  </si>
  <si>
    <t>Canvi de redactat OP. Inclusió d'edificacions rurals</t>
  </si>
  <si>
    <t>1) Nombre d'actuacions que es porten a terme a partir de la línia d'ajuts
2) Nombre d'actuacions que es porten a terme directament des del Parc Natural</t>
  </si>
  <si>
    <t>1) 8
2) 8</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</si>
  <si>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</si>
  <si>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</si>
  <si>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</si>
  <si>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</si>
  <si>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 xml:space="preserve">*Elaboració i actualització periòdica del mapa d’agents socioeconòmics de l’ENP (sector primari i secundari)
*Establiment de canals de comunicació i coordinació amb els agents socioeconòmics clau del territori.
*Estudi de la idoneïtat de crear una Taula de desenvolupament local, en els ENP que encara no ho tinguin (per ENP o agrupacions d’ENP).
*Convocar les taules de desenvolupament local ja constituïdes de cada ENP (o agrupacions d’ENP).
*Promoció i enfortiment de la participació dels agents clau a les taules de desenvolupament local ja constituïdes.
*Participació en la definició i desplegament dels plans de treball de la taula de desenvolupament local. </t>
  </si>
  <si>
    <t>1) Col·laborar amb diferents agents del territori a través de col·laboracions i actuacions conjuntes
2) Pormoure una associació FET el Parc</t>
  </si>
  <si>
    <t>1) Número de sectors amb els quals es col·labora (sector primari, sector turístic, sector forestal, caçadors...)
2) Número d'actuacions que es porten a terme amb diferents agents del territori</t>
  </si>
  <si>
    <t>1) 4
2) 20</t>
  </si>
  <si>
    <t>2) 8
2) 40</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</si>
  <si>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</si>
  <si>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</si>
  <si>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</si>
  <si>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</si>
  <si>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Implantar el distintiu Fet al Parc en els productes que provenen directament del sector primari i s'obtenen amb una activitat agrícola i ramadera beneficiosa pel territori</t>
  </si>
  <si>
    <t>Canvi de redactat OP. S'adapta al plantejament de Fet al Parc, un marc de col·laboració amb el sector agrari iniciat l'any 2019</t>
  </si>
  <si>
    <t>*Generació d'un segell comú per a tota la xarxa de Parcs (responsabilitat de SENP)
*Establiment de criteris propis de l'ENP per poder facilitar identificació de productes de qualitat i respectuosos</t>
  </si>
  <si>
    <t>SENP: Crear una marca que identifiqui els productes agroalimentaris generats en els ENP</t>
  </si>
  <si>
    <t>08.3.2</t>
  </si>
  <si>
    <t>Integrar els productes i activitats locals de qualitat en l'oferta d'activitats d'informació i turístiques de l'ENP</t>
  </si>
  <si>
    <t>*Elaboració d'un catàleg de productors i artesans de l'ENP 
*Inclusió de visites a productors o artesans en el catàleg d'activitats de l'ENP</t>
  </si>
  <si>
    <t>ESNATURA
CETS</t>
  </si>
  <si>
    <t xml:space="preserve">1) Incentivar que es portin a terme activitats per donar a conèixer les explotacions agràries i ramaderes, els productes que elaboren i el sistema productiu de la zona que es puguin integrar en l'oferta d'activitats d'informació i turisme
2) Incentivar que agricultors i ramaders que realitzin activitats s'acreditin amb la CETS
</t>
  </si>
  <si>
    <t>1) Nombre d'actuacions que es porten a terme per donar a conèixer el sector primari en activitats d'informació i turisme
2) Nombre d'actuacions que es porten a terme per donar a conìxer el projecte de Fet al Parc</t>
  </si>
  <si>
    <t>1) 2
1) 2</t>
  </si>
  <si>
    <t>08.3.3</t>
  </si>
  <si>
    <t>Promoure fires d'artesania i productes locals de l'ENP</t>
  </si>
  <si>
    <t>Col·laborar amb fires d'artesania i productes locals de l'ENP</t>
  </si>
  <si>
    <t>Canvi de redactat de l'OP. S'organitzen diverses fires a la zona amb l'opció de col·laborar-hi des del Parc Natural</t>
  </si>
  <si>
    <t>1)Col·laborar amb les fires de la zona més significatives vetllant perquè es prioritzin els productes locals que provenen de les explotacions agràries i ramaderes de la zona i es doni a conèixer el projecte de Fet al Parc</t>
  </si>
  <si>
    <t>1) Nombre de fires amb les quals es col·la bora
2) Nombre de fires amb què s'hi participa amb el projecte de Fet al Parc</t>
  </si>
  <si>
    <t>1) 1
2) 1</t>
  </si>
  <si>
    <t>1) 3
2) 3</t>
  </si>
  <si>
    <t>08.3.4</t>
  </si>
  <si>
    <t xml:space="preserve">Generar aliances entre el sector primari, el turisme, la restauració i altres per fomentar la gastronomia local </t>
  </si>
  <si>
    <t>*Creació i coordinació de jornades d'intercanvi
*Creació d'espais de treball comú
*Foment del treball per tenir infraestructura comuna (obrador comunitari)</t>
  </si>
  <si>
    <t>1) Col·laborar amb Turisme Garrotxa i Garrotxa Hostalatge per desenvolupar actuacions conjuntes que permetin que el sector primari tingui una presència destacada en la gastronomia local i establir sinèrgies entre Fet al Parc i la CETS</t>
  </si>
  <si>
    <t>1) Nombre d'actuacions que es desenvolupen en l'àmbit de Fet al Parc per promoure els productes locals en l'àmbit de la restauració
2) Nombre d'actuacions que es desenvolupen en col·laboració entre Fet al Parc i la CETS</t>
  </si>
  <si>
    <t>08.3.5</t>
  </si>
  <si>
    <t>Elaborar una diagnòsi del teixit productiu local i un pla d’acció amb línies de treball i actuacions concretes per donar-li suport</t>
  </si>
  <si>
    <t>No es porta a terme perquè ja s'han fet moltes diagnosi i ara el que cal són actuacions per executar les línies de treball que es considerin més adients</t>
  </si>
  <si>
    <t>*Divulgació i comunicació, formació i assessorament tècnic, comercialització, treball en xarxa, suport a la gestió de l’activitat</t>
  </si>
  <si>
    <t>08.3.6</t>
  </si>
  <si>
    <t>Promoure els agents del territori que potencien i difonen els productes locals i de qualitat (artesanies, allotjaments, restaurants, cellers, establiments, elaboradors i productors) que afavoreixin la conservació</t>
  </si>
  <si>
    <t>*Projecte Parcs a taula</t>
  </si>
  <si>
    <t>1) Donar a conèixer i acostar Fet al Parc als agents locals perquè aquests puguin donar a conèixer el projecte de Fet al Parc</t>
  </si>
  <si>
    <t>1) Nombre d'actuacions en què els agents locals difonen Fet al Parc entre el sector turístic o la població local
2) Nombre d'actuacions en què els establiments de la CETS difonen Fet al Parc entre el sector turístic o la població local</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</si>
  <si>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</si>
  <si>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</si>
  <si>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</si>
  <si>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</si>
  <si>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*Foment d'acords amb les Societats de Caçadors per a incorporar objectius de conservació d’espècies i hàbitats en la revisió dels Plans de Gestió Cinegètica</t>
  </si>
  <si>
    <t>08.4.2</t>
  </si>
  <si>
    <t>Col·laborar en la regulació i ordenació de la caça i la pesca en zones sensibles o amb risc d'afectació d'elements clau objecte de conservació</t>
  </si>
  <si>
    <t>*Impuls a la declaració de refugis de caça i pesca
*Foment de la implicació dels caçadors i pescadors del territori en la conservació dels valors de l'espai</t>
  </si>
  <si>
    <t xml:space="preserve">1) Coordinació tècnica amb l'Àrea d'Activitats Cinegètiques dels Serveis Territorials de Girona.
2) Elaboració d'informes preceptius previs a l'autorització d'actuacions excepcionals.
</t>
  </si>
  <si>
    <t>08.4.3</t>
  </si>
  <si>
    <t>Donar suport en la gestió de poblacions que generen danys a les activitats econòmiques de l'ENP</t>
  </si>
  <si>
    <t>*Gestió directa d'ungulats (protecció de conreus, cooperació amb carreteres, etc.) a partir d'un procediment d’aplicació del control d'ungulats 
*Acords amb caçadors de la APC
*Foment d’actuacions per prevenció de col·lisions amb vehicles d'acord amb titulars de les carreteres</t>
  </si>
  <si>
    <t xml:space="preserve">1) Seguiment d'espècies de caça major que provoquen danys i col·laboració en l'assaig de proves per minimitzar el seu impacte sobre l'agricultura.
</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</si>
  <si>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</si>
  <si>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</si>
  <si>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</si>
  <si>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</si>
  <si>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</si>
  <si>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</si>
  <si>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</si>
  <si>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 xml:space="preserve">Acord amb els diferents agents de la comarca a dia d'avui no es creu convenient apostar per aquesta certifiació. L'aposta de la Garrotxa des de l'any 2001 és per la CETS.  </t>
  </si>
  <si>
    <t>09.1.3</t>
  </si>
  <si>
    <t>Fomentar la creació d'allotjaments i altres recursos turístics d'acord amb les necessitats i els agents turístics del territori que es vinculin als valors naturals de l'espai</t>
  </si>
  <si>
    <t>1) Crear recursos d'acord amb els criteris d'accessibilitat universal.
2) Informar / autoritzar nous recursos turístics presentats per empreses.</t>
  </si>
  <si>
    <t>1) Nombre de recursos creats
2) Nombre de recursos informats</t>
  </si>
  <si>
    <t>1) 1
1) 1</t>
  </si>
  <si>
    <t>1) 1
1) 2</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</si>
  <si>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</si>
  <si>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</si>
  <si>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</si>
  <si>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</si>
  <si>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1) Treballar de forma activa per l'acreditació d'empreses CETS Fase II
2) Participació a les reunions del Servei d'Innovació i Producte amb un apartat i temps destinat a propostes del Parc Natural
3) Donar suport a les empreses per desenvolupar càlculs d'indicadors ambientals.
4) Realitzar assessorament botànic a les empreses CETS que ho sol·licitin</t>
  </si>
  <si>
    <t>1) Nombre d'empreses acreditades
2) Nombre de reunions assistides
3) Nombre d'empreses que han desenvolupat els dos càlculs
4) Nombre d'assessoraments realitzats</t>
  </si>
  <si>
    <t>09.2.2</t>
  </si>
  <si>
    <t>Crear productes i paquets turístics amb associacions d’empreses turístiques i operadors turístics</t>
  </si>
  <si>
    <t>Impulsar productes i paquets turístics amb associacions d'empreses turístiques i operadors turístics</t>
  </si>
  <si>
    <t>1) Treballar conjuntament amb el Fóurm Permanent per a disposar a la comarca d'AAVV acreditades amb la Fase III
2) Participar com a membre de la Comision Mixta de avaluación Fase III Europarc 
3) Crear activitats 4D junt amb les empreses de la CETS</t>
  </si>
  <si>
    <t>1) Nombre d'AAVV acreditades
2) Nombre d'informes emesos
3) Nombre d'activitats creades</t>
  </si>
  <si>
    <t>1) 1
2) 1
3) 1</t>
  </si>
  <si>
    <t>1) 1
2) 3
3) 2</t>
  </si>
  <si>
    <t>ÚS PÚBLIC I SOCIAL</t>
  </si>
  <si>
    <t>ORDENAR ELS USOS I APROFITAMENTS per garantir l'equilibri de les activitats humanes amb la conservació de la biodiversitat</t>
  </si>
  <si>
    <t>10.1</t>
  </si>
  <si>
    <t>Estandarditzar de regulació d'usos i aprofitaments  en base a un model estàndard de Pla de protecció</t>
  </si>
  <si>
    <t>10.1.1</t>
  </si>
  <si>
    <t>Establir un model de construcció a l'ENP en base a un model estàndard de Pla de protecció</t>
  </si>
  <si>
    <t>*Regulació de tancats</t>
  </si>
  <si>
    <t>SPEN: Elaborar model</t>
  </si>
  <si>
    <t>1) Elaborar un manual d'elements constructius comuns a l'espai públic dins el Parc Natural.</t>
  </si>
  <si>
    <t>1) Redacció del manual</t>
  </si>
  <si>
    <t>10.1.2</t>
  </si>
  <si>
    <t>Ordenar els aprofitaments i extraccions dins l'espai</t>
  </si>
  <si>
    <t>*Potenciar la conservació a partir de les capacitats de càrrega</t>
  </si>
  <si>
    <t>ORDENAR L'ÚS PÚBLIC I SOCIAL per a la protecció dels hàbitats, espècies i elements geològics</t>
  </si>
  <si>
    <t>11.1</t>
  </si>
  <si>
    <t>Estandaritzar regulació de l’ús públic i social en base al model acordat per govern</t>
  </si>
  <si>
    <t>11.1.1</t>
  </si>
  <si>
    <t>Ordenar l'acampada i pernoctació  en base a un model estandarditzat de Pla de protecció</t>
  </si>
  <si>
    <t>Ordenar la pernoctació en vehicles en base a un model estandarditzat de Pla de protecció</t>
  </si>
  <si>
    <t>*Adaptació i implementació el protocol de regulació d'acampada i pernoctació  en base a un model estàndard de Pla de protecció</t>
  </si>
  <si>
    <t>11.1.2</t>
  </si>
  <si>
    <t>Ordenar la circulació rodada no motoritzada en base a un model estàndard de Pla de protecció</t>
  </si>
  <si>
    <t>*Adaptació i implementació el protocol de regulació de circulació rodada no motoritzada en base a un model estàndard de Pla de protecció</t>
  </si>
  <si>
    <t>1) Redacció d'un estudi previ
2) Aplicar la normativa del PEZVG</t>
  </si>
  <si>
    <t>11.1.3</t>
  </si>
  <si>
    <t>Ordenar l'escalada i alpinisme, barranquisme, i espeleologia  en base a un model estàndard de Pla de protecció</t>
  </si>
  <si>
    <t>*Adaptació i implementació el protocol de regulació d'escalada i alpinisme, barranquisme, i espeleologia  en base a un model estàndard de Pla de protecció</t>
  </si>
  <si>
    <t>11.1.4</t>
  </si>
  <si>
    <t>Ordenar les curses i altres activitats esportives organitzades en base a un model estàndard de Pla de protecció</t>
  </si>
  <si>
    <t>*Adaptació i implementació el protocol de regulació de curses i altres activitats esportives organitzades en base a un model estàndard de Pla de protecció</t>
  </si>
  <si>
    <t>11.1.5</t>
  </si>
  <si>
    <t>Ordenar els enregistraments i l'observació de fauna i natura en base a un model estàndard de Pla de protecció</t>
  </si>
  <si>
    <t>*Adaptació i implementació el protocol de regulació d'enregistraments i observació de fauna i natura  en base a un model estàndard de Pla de protecció</t>
  </si>
  <si>
    <t>11.1.6</t>
  </si>
  <si>
    <t>Ordenar les activitats científiques en base a un model estàndard de Pla de protecció</t>
  </si>
  <si>
    <t>*Adaptació i implementació el protocol de regulació d'activitats científiques en base a un model estàndard de Pla de protecció</t>
  </si>
  <si>
    <t>11.1.7</t>
  </si>
  <si>
    <t>Ordenar les zones de bany</t>
  </si>
  <si>
    <t xml:space="preserve"> </t>
  </si>
  <si>
    <t>*Adaptació i implementació el protocol de regulació de zones de bany</t>
  </si>
  <si>
    <t>1
4</t>
  </si>
  <si>
    <t>1
8</t>
  </si>
  <si>
    <t>11.1.8</t>
  </si>
  <si>
    <t>Ordenar l'enlairament i aterratge sense motor</t>
  </si>
  <si>
    <t>*Adaptació i implementació el protocol de regulació d'enlairament i aterratge sense motor</t>
  </si>
  <si>
    <t>11.1.9</t>
  </si>
  <si>
    <t>Ordenar el submarinisme i l'snorkel</t>
  </si>
  <si>
    <t>No procedeix al PNZVG</t>
  </si>
  <si>
    <t>*Adaptació i implementació el protocol de regulació de submarinisme i snorkel</t>
  </si>
  <si>
    <t>11.1.10</t>
  </si>
  <si>
    <t>Ordenar les activitats aquàtiques i nàutiques i zones de fondeig</t>
  </si>
  <si>
    <t>*Adaptació i implementació el protocol de regulació d'activitats aquàtiques i nàutiques i zones de fondeig</t>
  </si>
  <si>
    <t>11.1.11</t>
  </si>
  <si>
    <t>Ordenar la presència d'animals de companyia</t>
  </si>
  <si>
    <t>*Adaptació i implementació el protocol de regulació d'animals de companyia</t>
  </si>
  <si>
    <t>1) Estudi previ de regulació d'animals domèstics al Parc Natural
2) Campanya "Gossos lligats" RRNN centrals i a la Moixina</t>
  </si>
  <si>
    <t>11.1.12</t>
  </si>
  <si>
    <t>Ordenar les activitats d'educació ambiental i el lleure educatiu</t>
  </si>
  <si>
    <t>*Adaptació i implementació el protocol de regulació d'educació ambiental i lleure educatiu</t>
  </si>
  <si>
    <t>11.2</t>
  </si>
  <si>
    <t>Disposar de la xarxa viària i itineraris oficials de l'ENP</t>
  </si>
  <si>
    <t>11.2.1</t>
  </si>
  <si>
    <t xml:space="preserve">Identificar i classificar la xarxa viària bàsica, secundària, senders i itineraris senyalitzats d'acord amb els ajuntaments </t>
  </si>
  <si>
    <t>La resta de la Xarxa viària ja està identificada al Pla Especial</t>
  </si>
  <si>
    <t>*Definició d'una xarxa d'itineraris oficial i categoritzada per tipus d'ús per on es poden realitzar activitats (curses a peu, en bicicleta, etc.) d'acord amb els criteris de serveis centrals</t>
  </si>
  <si>
    <t>Persones i natura: concretar criteris</t>
  </si>
  <si>
    <t>11.2.2</t>
  </si>
  <si>
    <t>Treballar conjuntament amb els principals canals d’informació de rutes  per prioritzar itineraris oficials dins l’ENP</t>
  </si>
  <si>
    <t>*Incorporació de les tecnologies de Wikiloc o Google Maps</t>
  </si>
  <si>
    <t>Persones i natura: Coordinació</t>
  </si>
  <si>
    <t>1) Mantenir i actualitzar els itineraris publicatsa Wikiloc i al web del Parc</t>
  </si>
  <si>
    <t>1) Redacció d'un informe dels itineraris més freqüentats i el seu impacte
Número d'irregulaitats detectades i número de resoltes</t>
  </si>
  <si>
    <t>11.3</t>
  </si>
  <si>
    <t>Implementar el protocol estandarditzat basat en el pla per la regulació al accés, circulació i ús de la xarxa viària</t>
  </si>
  <si>
    <t>11.3.1</t>
  </si>
  <si>
    <t>Ordenar l'accés i la circulació</t>
  </si>
  <si>
    <t>Ordenar l'accés i la circulació motoritzada</t>
  </si>
  <si>
    <t>*Adaptació i implementació el protocol de regulació de l'accés i circulació</t>
  </si>
  <si>
    <t>11.3.2</t>
  </si>
  <si>
    <t>Ordenar la xarxa viària principal, secundària i restringida</t>
  </si>
  <si>
    <t>*Adaptació i implementació el protocol de regulació de la xarxa viària principal, secundària i restringida</t>
  </si>
  <si>
    <t>11.3.3</t>
  </si>
  <si>
    <t>Ordenar l'ús de drons, l'enlairament i l'aterratge</t>
  </si>
  <si>
    <t>*Adaptació i implementació el protocol de regulació de drons, d'enlairament i aterratge</t>
  </si>
  <si>
    <t>11.3.4</t>
  </si>
  <si>
    <t>Aplicar limitacions temporals d'accés o circulació</t>
  </si>
  <si>
    <t>*Adaptació i implementació el protocol de limitacions temporals d'accés o circulació
*Coordinar amb el CAR la vinculació amb el Pla Alfa</t>
  </si>
  <si>
    <t>11.3.5</t>
  </si>
  <si>
    <t>Ordenar l'aparcament de vehícles</t>
  </si>
  <si>
    <t>*Adaptació i implementació el protocol de regulació d'aparcament de vehicles</t>
  </si>
  <si>
    <t>11.4</t>
  </si>
  <si>
    <t>Enfortir la col·laboració i coordinació amb els agents d'ús públic (empreses, entitats i ajuntaments)</t>
  </si>
  <si>
    <t>11.4.1</t>
  </si>
  <si>
    <t>Implementar l'ordenació de l'ús públic en col·laboració amb els agents del territori</t>
  </si>
  <si>
    <t>*Dinamització d'un espai coordinat de treball per fer el seguiment i millores en el desplegament de la gestió de l'UP</t>
  </si>
  <si>
    <t>1) Redacció del PUP 
2) Participació a la taula de mobilitat de la Garrotxa</t>
  </si>
  <si>
    <t>11.4.2</t>
  </si>
  <si>
    <t>Promoció i acompanyament en l'ordenació de l'ús públic de l'ENP des de l'àmbit municipal</t>
  </si>
  <si>
    <t>*Aplicació del Manual jurídic d'UP i model d'ordenança municipal</t>
  </si>
  <si>
    <t>1) Participar a la taula de UP de la Garrotxa
2) Treballar en projectes comuns de mobilitat i ordenació de l'ús públic</t>
  </si>
  <si>
    <t>11.5</t>
  </si>
  <si>
    <t>Mantenir i millorar la senyalització de l'ENP</t>
  </si>
  <si>
    <t>11.5.1</t>
  </si>
  <si>
    <t>Realitzar l'inventari de senyalètica de l'ENP</t>
  </si>
  <si>
    <t>Actualitzar l'inventari de senyalètica de l'ENP</t>
  </si>
  <si>
    <t>11.5.2</t>
  </si>
  <si>
    <t xml:space="preserve">Implantar el programa de senyalització i manteniment </t>
  </si>
  <si>
    <t>*Programa de senyalització
*Revisió i actualització de la senyalització en base al manual de senyalització vigent</t>
  </si>
  <si>
    <t>Persones i natura: Revisió del manual de senyalització</t>
  </si>
  <si>
    <t>1)  Implementació progresssiva de les propostes presents a l'estudi previ de senyalització</t>
  </si>
  <si>
    <t>11.6</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</si>
  <si>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</si>
  <si>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</si>
  <si>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</si>
  <si>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</si>
  <si>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</si>
  <si>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Dissenyar, planificar i implementar les mesures extraordinàries de regulació de l'ús públic</t>
  </si>
  <si>
    <t>*Pla d'informació dels espais freqüentats</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</si>
  <si>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</si>
  <si>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</si>
  <si>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</si>
  <si>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</si>
  <si>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*Pla d’ordenació de l’acollida dels visitants</t>
  </si>
  <si>
    <t>?</t>
  </si>
  <si>
    <t>11.7.2</t>
  </si>
  <si>
    <t>Disposar i mantenir els serveis, equipaments i infraestructures necessàries i accessibles per acollir, informar, facilitar la visita i garantir la seguretat dels visitants i la protecció de l'entorn</t>
  </si>
  <si>
    <t>*Revisió i actualització els equipaments al SIEQ
*Mantenimet dels espais i infraestructures existents
*Revisió i identificació de necessitats d'inversió
*Trobades amb titulars d'espais emblemàtics
*Establiment dels acords necessaris amb la propietat 
*Adaptació dels equipaments i infraestructures a persones amb diversitat funcional</t>
  </si>
  <si>
    <t>11.7.3</t>
  </si>
  <si>
    <t>Desenvolupar el Pla d'acollida als visitants en base al model de la DG</t>
  </si>
  <si>
    <t>Persones i natura: model de protocol d'acollida</t>
  </si>
  <si>
    <t>11.7.4</t>
  </si>
  <si>
    <t>Adaptar els missatges a donar des d'oficines d’informació, pròpies i alienes, d'acord amb el model de la DG</t>
  </si>
  <si>
    <t>*Revisió dels espais existents i necessitats d'inversió</t>
  </si>
  <si>
    <t>Persones i natura: Unifica missatges que s'incorporen en el model de protocol d'acollida</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</si>
  <si>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</si>
  <si>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</si>
  <si>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</si>
  <si>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</si>
  <si>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*Pla de vigilància de l’espai d'acord amb els cossos d’inspecció i seguretat
*Identificació dels punts clau de vigilància, el calendari i els recursos necessaris</t>
  </si>
  <si>
    <t>11.8.2</t>
  </si>
  <si>
    <t>Millorar la coordinació amb els cossos de seguretat per efectuar accions de control i vigilància</t>
  </si>
  <si>
    <t>1) Reunió de seguiment de vigilància entre els diferents cossos de seguretat (mossos esquadra, agents rurals, agents de camp,...)
2) Execució i avaluació del Pla de treball de Vigilància</t>
  </si>
  <si>
    <t>11.8.3</t>
  </si>
  <si>
    <t>Vetllar pel compliment d'informes i la vigilància tècnica de l'espai</t>
  </si>
  <si>
    <t>Vetllar pel compliment d'informes i d'autoritzacions i la vigilància tècnica de l'espai</t>
  </si>
  <si>
    <t>Ampliar amb autoritzacions</t>
  </si>
  <si>
    <t>1) Redacció d'autoritzacions i informes del PN</t>
  </si>
  <si>
    <t>GESTIONAR ELS RISCOS NATURALS per a l'autoprotecció de la població local</t>
  </si>
  <si>
    <t>12.1</t>
  </si>
  <si>
    <t>Col·laborar amb les autoritats competents per a la gestió de riscos dins l’ENP</t>
  </si>
  <si>
    <t>12.1.1</t>
  </si>
  <si>
    <t>Ordenar el pla d’emergències</t>
  </si>
  <si>
    <t>Millorar i gestionar el pla d’emergències</t>
  </si>
  <si>
    <t>*Plans especials
*Plans d'autoprotecció</t>
  </si>
  <si>
    <t>12.1.2</t>
  </si>
  <si>
    <t>Contribuir a la protecció dels assentaments humans respecte dels riscos naturals</t>
  </si>
  <si>
    <t>*Adaptació al canvi climàtic
*Cobertura 112
*Prevenció i protecció d'incendis
*Prevenció i protecció de malalties</t>
  </si>
  <si>
    <t>1) Treball conjunt amb la taula de seguiment per a la vigilància de la cinglera de Castellfollit.
2) Elaborar el Pla RiscNatParc</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</si>
  <si>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</si>
  <si>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</si>
  <si>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</si>
  <si>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</si>
  <si>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</si>
  <si>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</si>
  <si>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 xml:space="preserve">*Elaboració d'un mapa d'agents col·laboradors: cercar entitats i institucions locals que col·laborin amb la Xarxa (CRPs, administració local, entitats ambientals i educatives...). 
*Organització d'un procés participatiu amb els agents educatius del territori
</t>
  </si>
  <si>
    <t>PEEVA
ESNATURA</t>
  </si>
  <si>
    <t>1) Redacció del Projecte educatiu del Parc a on es defineixi la Xarxa d'escoles del Parc .</t>
  </si>
  <si>
    <t>1) Projecte educatiu del Parc</t>
  </si>
  <si>
    <t>13.1.2</t>
  </si>
  <si>
    <t>Desplegar el model de Xarxa d'Escoles de l'Espai Natural (XEEN) a l'ENP d'acord amb el model general</t>
  </si>
  <si>
    <t>*Constitució i dinamització dels espais de treball conjunt amb els agents col·laboradors de la XEEN.
*Elaboració d'un mapa de centres educatius.
*Organització de grups de treball entre docents i ENP. 
*Cercer entitats i institucions locals que col·laborin amb la Xarxa (CRPs, administració local, entitats ambientals i educatives...).
*Disseny i desenvolupament de projectes compartits.  
*Organització de trobades d'ntercanvi amb alumnat
Avaluació de les accions de la Xarxa.</t>
  </si>
  <si>
    <t>SEA: Elabora model de xarxa</t>
  </si>
  <si>
    <t>1) Implementació del projecte eductiu.</t>
  </si>
  <si>
    <t xml:space="preserve">1) Nombre de trobades entre els centres educatius de l'espai
2) Nombre de centres educatius que participen a l'agenda.
</t>
  </si>
  <si>
    <t>1) 2
2) 6</t>
  </si>
  <si>
    <t>1) 4
2) 15</t>
  </si>
  <si>
    <t>13.1.3</t>
  </si>
  <si>
    <t xml:space="preserve">Formar i capacitar al professorat de la XEEN </t>
  </si>
  <si>
    <t>*Coordinació amb els Centres de Rercursos Pedagògics (CRP) perquè les formacions estiguin reconegudes  pel Departament d'Educació</t>
  </si>
  <si>
    <t>1) Nombre de formacions destinades a capacitar al professorat</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</si>
  <si>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</si>
  <si>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</si>
  <si>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</si>
  <si>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</si>
  <si>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*Implicació i capacitació del professorat per implicar-los en el disseny del projecte educatiu
*Incorporació a cada curs escolar X situacions d'aprenentatge</t>
  </si>
  <si>
    <t>SEA: Comparteix models de situcions d'aprenentatge i de projects.</t>
  </si>
  <si>
    <t>1) Nombre de materials didàctics creats i/o actualitzats</t>
  </si>
  <si>
    <t>1) 10</t>
  </si>
  <si>
    <t>1) 16</t>
  </si>
  <si>
    <t>13.2.2</t>
  </si>
  <si>
    <t>Dissenyar projectes d'ApS ambiental i Ciència ciutadana i projectes compartits amb entitats del territori que s'incloguin dins de l'oferta pedagògica.</t>
  </si>
  <si>
    <t>*Cerca d'entitats del territori i centres de recerca amb qui elaborar projectes de ciència ciutadana o d'ApS que donin resposta a les necessitats de l'EN. 
*Dinamització de la realització d'aquests projectes.</t>
  </si>
  <si>
    <t xml:space="preserve">1) Donar suport a la creació de sinergies entre centres educatius i entitats
2) Promoure projectes d'ApS ambiental i Ciència ciutadana entre aquest binomi
</t>
  </si>
  <si>
    <t>1) Nombre de binomi creats (centre educatius + entitats)
2) Nombre de projectes d'ApS i Ciència ciutadana</t>
  </si>
  <si>
    <t>1) 2
1) 1</t>
  </si>
  <si>
    <t>1) 5
1) 2</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</si>
  <si>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</si>
  <si>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</si>
  <si>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</si>
  <si>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</si>
  <si>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*Elaboració d'una proposta de posibles temàtiques per oferir als centres educatius de projectes vinculats a l'espai natural (treball de recerca, crèdit de síntesi, servei comunitari, pràctiques, etc.).
*Acompanyament de l'alumnat en la relació dels projectes.</t>
  </si>
  <si>
    <t>1) Donar suport als reconeixements de treballs de recerca
2) Acollir i tutoritzar estudiants en pràctiques d'educació obligatòria i no obligatòria</t>
  </si>
  <si>
    <t>1) Nombre de reconeixements als quals s'ha donat suport
2) Nombre d'estudiants acollits i tutoritzats</t>
  </si>
  <si>
    <t>1) 2
2) 4</t>
  </si>
  <si>
    <t>1) 4
2) 6</t>
  </si>
  <si>
    <t>13.2.5</t>
  </si>
  <si>
    <t>Desplegar el Pla estratègic 2021-2030 d’educació i voluntariat ambiental del PEIN (PEEVA): Educació ambiental</t>
  </si>
  <si>
    <t>1)nº accions realitzades del Pla</t>
  </si>
  <si>
    <t>1) 8</t>
  </si>
  <si>
    <t>1) 15</t>
  </si>
  <si>
    <t>13.3</t>
  </si>
  <si>
    <t>Establir mecanismes estables de formació, treball i coordinació amb els col·lectius implicats en la sensibilització i l'educació dins el ENP</t>
  </si>
  <si>
    <t>13.3.1</t>
  </si>
  <si>
    <t>Establir un model de coordinació territorial amb agents clau de l'educació ambiental</t>
  </si>
  <si>
    <t>Creació d'una taula per a la coordinació territorial amb agents clau de l'educació ambiental de la Garrotxa</t>
  </si>
  <si>
    <t>Creiem que és rellevant disposar d'un espai que englobi els diversos agents d'educació ambiental</t>
  </si>
  <si>
    <t>*Valoració de la idoneïtat de crear una Taula territorial d’Educació Ambiental (de l’ENP o del conjunt d’ENPs).
*Creació d'una Taula territorial d’Educació Ambiental</t>
  </si>
  <si>
    <t>1) Identificació dels diversos agents d'educació ambiental de la comarca
2) Creació de la Taula d'Educació Ambiental de la Garrotxa</t>
  </si>
  <si>
    <t>1) Nombre d'agents identificats
2) Nombre de trobades de la Taula</t>
  </si>
  <si>
    <t>1) 10
2) 1</t>
  </si>
  <si>
    <t>1) 15
2) 4</t>
  </si>
  <si>
    <t>13.3.2</t>
  </si>
  <si>
    <t>Cercar i establir col·laboracions i projectes conjunts amb agents clau del territori</t>
  </si>
  <si>
    <t>13.3.3</t>
  </si>
  <si>
    <t>Elaborar formacions dirigides als informadors, educadors i altres prescriptors del territori</t>
  </si>
  <si>
    <t>*Curs del bon coneixedor de l'ENP
*Formacions continuades en el marc del contracte del servei d'informació i educació ambiental.
*Formació dels actors implicats en la gestió dels ENP en aspectes vinculats a la conservació dels elements d'interès comunitari</t>
  </si>
  <si>
    <t>SEA: Elabora propostes MODEL de programes de formació</t>
  </si>
  <si>
    <t xml:space="preserve">1) Programació de formació permanent i continua dirigida a agents del territori
2) Capacitació i actualització del SI i SGR
3) Pla de formació de la CETS
</t>
  </si>
  <si>
    <t>13.4</t>
  </si>
  <si>
    <t>Desplegar un programa de divulgació i sensibilització per a visitants</t>
  </si>
  <si>
    <t>13.4.1</t>
  </si>
  <si>
    <t>Desplegar en el territori les campanyes de sensibilització i bones pràctiques que s'impulsin des de la DG</t>
  </si>
  <si>
    <t>Desplegar les accions de sensibilització, educació ambiental i informació en el territori impulsades per la DG.</t>
  </si>
  <si>
    <t xml:space="preserve">*Participació en la concreció dels missatges i peces creatives de la campanya de la DG.  
*Difusió de la campanya aprofintant les eines i equipaments de l'ENP. 
*Establiment d'acords amb amb entitats i institucions locals per a la difusió local de la campanya.  </t>
  </si>
  <si>
    <t>SEA: Elabora un document marc per unificar missatges i coordinar la difusió</t>
  </si>
  <si>
    <t xml:space="preserve">1) Supervisió del desplegament del contracte d'Educació ambiental i servei d'informació als Espais Naturals Protegits.
2) Seguiment i coordinació del contracte d'Educació ambiental i servei d'informació als Espais Naturals Protegits.
3) Difondre i divulgar els materials i la comunicació de les campanyes promogudes de la DG.
4) Incorporar les campanyes de la DG en el Servei d'Informació i a les xarxes socials corporatives del Parc
</t>
  </si>
  <si>
    <t>1) Nombre de campanyes de bones pràctiques i accions de sensibilització 
2) Nombre de comunicacions per difondre i divulgar les campanyes de la DG.</t>
  </si>
  <si>
    <t>1) 2
1) 20</t>
  </si>
  <si>
    <t>1) 4
1) 40</t>
  </si>
  <si>
    <t>13.4.2</t>
  </si>
  <si>
    <t xml:space="preserve">Adaptar el programa de divulgació i sensibilització de l'ENP perquè incorpori una oferta d’activitats adequada per a famílies </t>
  </si>
  <si>
    <t>Adaptar el programa de divulgació i sensibilització de l'ENP perquè incorpori una oferta d’activitats adequada per a la població local</t>
  </si>
  <si>
    <t>Es considera prioritari treballar amb la població local (a través d'entitats, associacions) englobant diversos tipus de perfil</t>
  </si>
  <si>
    <t xml:space="preserve">*Disseny d'una oferta d’activitats d’educació ambiental de caire lúdic adreçada a famílies.
*Tenir en compte temes de salut i natura </t>
  </si>
  <si>
    <t>1) Programa d'activitats destinat a la població local. Visc entre volcans. 
2) Programa educatiu escola i entorn</t>
  </si>
  <si>
    <t xml:space="preserve">1.1) Nombre de sortides executades en el marc del programa
1.2) Nombre d'assistents a les sortides
2) Nombre de descobertes dissenyades
</t>
  </si>
  <si>
    <t xml:space="preserve">1) 1
2) 250
3) 5
</t>
  </si>
  <si>
    <t>1) 25
2) 400
3) 7</t>
  </si>
  <si>
    <t>13.4.3</t>
  </si>
  <si>
    <t xml:space="preserve">Adaptar el programa de divulgació i sensibilització de l'ENP perquè incorpori una oferta d’activitats adequada per a altres perfils </t>
  </si>
  <si>
    <t xml:space="preserve">*Disseny i promoció una oferta d’activitats a la carta per a grups especialitzats (empreses, entitats esportives o excursionistes, gent gran...), identificant cada parc a quins segments prioritaris es vol adreçar.
 </t>
  </si>
  <si>
    <t>1) Crear i consolidar un programa de visites destinades al públic visitant i famílies
2) Crear descobertes en família per a tots els Espais Museístics del Parc
3) Divulgar les descobertes en família
4) Programa Visites amb Valors</t>
  </si>
  <si>
    <t>13.4.4</t>
  </si>
  <si>
    <t xml:space="preserve">Adaptar el programa de divulgació i sensibilització de l'ENP perquè incorpori una oferta d’activitats dirigida al lleure educatiu </t>
  </si>
  <si>
    <t>*Entendre els campaments i estades com un públic prioritari i definir quin és el seu objectiu en aquest àmbit: 
*Promoció de campaments i estades, 
*Establiment de vincles entre els campaments i estades que ja es realitzen al parc i l’activitat d’EiVA del parc.</t>
  </si>
  <si>
    <t>1) Nombre d'activitats destinades al lleure educatiu/educació no formal
2) Nombre de dies destinats a les activitats de lleure educatiu</t>
  </si>
  <si>
    <t>1) 2
2) 150</t>
  </si>
  <si>
    <t>1) 8
2) 175</t>
  </si>
  <si>
    <t>13.5</t>
  </si>
  <si>
    <t>Desplegar un programa de sensibilització i formació per als col·lectius del territori estratègics en la conservació de la natura</t>
  </si>
  <si>
    <t>13.5.1</t>
  </si>
  <si>
    <t>Identificar col·lectius estratègics implicats en la gestió i l'ús del territori</t>
  </si>
  <si>
    <t xml:space="preserve">Identificar col·lectius estratègics implicats en la gestió i l'ús del territori. - Contacte amb entitats i organitzacions per col·laborar amb el CD i el PNGarrotxa </t>
  </si>
  <si>
    <t>1) Definició de criteris per determinar i prioritzar els col·lectius estratègics
2) Identificar col·lectius estratègics implicats en la gestió i l'ús del territori i elaborar una base de dades
3) Actualitzar periòdiament la base de dades</t>
  </si>
  <si>
    <t>1) Llistat de criteris
2) Nombre de col·lectius identificats
3) Nombre de noves incorporacions a la base de dades</t>
  </si>
  <si>
    <t>1) 1
2) 25</t>
  </si>
  <si>
    <t>13.5.2</t>
  </si>
  <si>
    <t>Executar els projectes de sensibilització i formació dirigits al sector turístic, esportiu i de lleure</t>
  </si>
  <si>
    <t>S'afegeix "local"</t>
  </si>
  <si>
    <t xml:space="preserve">*Disseny d'activitats adreçades als agents turístics locals i/o en col·laboració amb ells per promoure el seu paper com a prescriptors de la conservació de la natura (oficines de turisme, agències receptives, allotjaments, empreses d'activitats esportives / recreatives, restaurants...) (punt molt relacionat amb la CETS). </t>
  </si>
  <si>
    <t>13.5.3</t>
  </si>
  <si>
    <t xml:space="preserve">Executar els projectes de sensibilització i formació dirigits als agents de lleure educatiu </t>
  </si>
  <si>
    <t>*Establiment i consolidació d'aliances amb programes i entitats de lleure educatiu locals (activitats extraescolars, casals d’estiu, caus i esplais...). Proposta als campaments de fer petites accions de manteniment dels espais del parc.</t>
  </si>
  <si>
    <t xml:space="preserve">1) Donar suport i col·laborar en la formació d'educadors en el lleure per millorar el bloc de sensibilització i educació ambiental
2) Crear una formació per educadors en el lleure ja titulats d'entitats de lleure educatiu local (agrupaments escoltes, centres excursionistes, esplais...)
3) Potenciar la participació d'educadors en el lleure en projectes de conservació (ApS, ciència ciutadana...) 
</t>
  </si>
  <si>
    <t>1) Nombre d'activitats formatives per educadors en formació
2) Nombre d'activitats formatives per educadors ja titulats
3.1) Nombre de projectes
3.2) Nombre d'educadors en el lleure que participen en els projectes</t>
  </si>
  <si>
    <t>1) 2
2) 2
3.1) 1
3.2) 30</t>
  </si>
  <si>
    <t>1) 4
2) 4
3.1) 1
3.2) 50</t>
  </si>
  <si>
    <t>13.5.4</t>
  </si>
  <si>
    <t xml:space="preserve">Executar els projectes de sensibilització i formació dirigits als agents del sector primari </t>
  </si>
  <si>
    <t>1) Organitzar activitats de formació i sensibilització dirigides als agents del sector primari (veure accions del bloc de Desenvolupament Local i Cultura).</t>
  </si>
  <si>
    <t>1.1) Nombre d'activitats executades
1.2) Nombre d'assistents a les activitats
1.3) Nombre d'hores per assistent</t>
  </si>
  <si>
    <t xml:space="preserve">1) 2
2) 10
3) 2
</t>
  </si>
  <si>
    <t>1) 4
2) 20
3) 4</t>
  </si>
  <si>
    <t>13.5.5</t>
  </si>
  <si>
    <t>Elaborar i renovar periòdicament un programa d’educació ambiental adreçat a la població local que contribueixi a fomentar el sentiment de pertinença i la implicació en la conservació de l'ENP.</t>
  </si>
  <si>
    <t xml:space="preserve">*Estudi de percepció local
*Renovació del programa educatiu de forma adaptativa
</t>
  </si>
  <si>
    <t xml:space="preserve">1.1) Nombre d'activitats executades en el marc del programa
1.2) Nombre d'assistents a les sortides
1.3) Nombre d'entitats involucrades
1.4) Nombre d'hores per assistent
2.1) Nombre d'efemèrides ambientals celebrades.
2.2) Nombre de biblioteques i centres de documentació que participen.
2.3) Nombre de participants </t>
  </si>
  <si>
    <t>1.1) 15
1.2) 350
1.3) 8
1.4) 5
2.1) 5
2.2) 5
2.3) 40</t>
  </si>
  <si>
    <t>1.1) 25
1.2) 500
1.3)  15
1.4) 7
2.1) 7
2.2) 8
2.3) 100</t>
  </si>
  <si>
    <t>13.6</t>
  </si>
  <si>
    <t xml:space="preserve">Fomentar accions de voluntariat per conservar el patrimoni natural i cultural </t>
  </si>
  <si>
    <t>13.6.1</t>
  </si>
  <si>
    <t>Identificar els programes, projectes i accions en marxa o previstos a l’ENP que poden rebre el suport del voluntariat</t>
  </si>
  <si>
    <t>Promoure i identificar els programes, projectes i accions en marxa o previstos a l’ENP que poden rebre el suport del voluntariat</t>
  </si>
  <si>
    <t>S'afegeix la promoció per a la creació de projectes des de les entitats</t>
  </si>
  <si>
    <t>13.6.2</t>
  </si>
  <si>
    <t>Establir un model de coordinació territorial amb agents clau del voluntariat ambiental</t>
  </si>
  <si>
    <t xml:space="preserve">*Elaboració i actualització periòdica del mapa d’agents de voluntariat que actuen a l’ENP, incloent entitats ambientals i altres entitats que participen en activitats de voluntariat ambiental
*Establiment d'acords i col·laboracions i projectes conjunts de voluntariat ambiental amb els agents clau del territori
*Valorar la idoneïtat de crear una Taula de Voluntariat Ambiental, en els ENP que encara no ho tingui.
*Convocar les taules de voluntariat ja constituïdes de cada ENP (o agrupacions d’ENP).
*Enfortiment i promoció de la participació de noves entitats a les taules de voluntariat ja constituïdes.
*Participació en la definició i desplegament dels plans de treball de la taula de voluntariat ambiental. </t>
  </si>
  <si>
    <t>ESNATURA
PEEVA</t>
  </si>
  <si>
    <t xml:space="preserve">SEA: Elabora Model de Taula de Voluntariat Ambiental </t>
  </si>
  <si>
    <t>1) Percentatge de participació de l'espai en les trobades de la Taula
2) Nombre d'accions impulsades per la Taula amb participació de l'espai</t>
  </si>
  <si>
    <t>1) 60%
2) 2</t>
  </si>
  <si>
    <t>1) 90%
2) 4</t>
  </si>
  <si>
    <t>13.6.3</t>
  </si>
  <si>
    <t>Desplegar el Pla estratègic 2021-2030 d’educació i voluntariat ambiental del Parc Natural dels Ports (PEEVA): Voluntariat</t>
  </si>
  <si>
    <t>Redactar el Pla estratègic 2021-2030 d’educació i participació ambiental del Parc Natural de la Zona Volcànica de la Garrotxa (PEEPA): Voluntariat</t>
  </si>
  <si>
    <t>Es considera oportú canviar "voluntariat" per "participació" ambiental perquè el concepte és més ambiciós</t>
  </si>
  <si>
    <t>1) Nombre d'accions realitzades del Pla</t>
  </si>
  <si>
    <t>13.7</t>
  </si>
  <si>
    <t xml:space="preserve">Treballar per a la universalitat de les accions d’educació, sensibilització i voluntariat ambiental </t>
  </si>
  <si>
    <t>13.7.1</t>
  </si>
  <si>
    <t>Dissenyar i adaptar activitats inclusives per a persones amb necessitats específiques</t>
  </si>
  <si>
    <t>1) Identificar i estudiar el grau d'accessibilitat dels itineraris de l'ENP i fer-ne un catàleg
2) Dissenyar una experiència inclusiva i universal de descoberta relacionada amb el Parc Natural i la Garrotxa
3) Desenvolupar projectes que promoguin la cooperació amb entitats de voluntariat per tal de guiar persones amb diversitat funcional
4) Fer accesibles els continguts digitals generats per l'ENP (web, repositori...)
5) Crear materials de suport a les experiències que es dissenyin</t>
  </si>
  <si>
    <t>1) Nombre d'itineraris identificats i estudiats
2) Nombre d'experiència inclusives i universals dissenyades
3.1) Nombre de projectes desenvolupats
3.2) Nombre d'entitats involucrades
4) Nombre de continguts digitals accessibles
5) Nombre de materials de suport elaborats</t>
  </si>
  <si>
    <t>1) 5
2) 2 
3.1) 1
3.2) 1
4) 25
5) 3</t>
  </si>
  <si>
    <t>1) 7
2) 4
3.1) 2
3.2) 3
4) 50
5) 6</t>
  </si>
  <si>
    <t>13.7.2</t>
  </si>
  <si>
    <t>Formar el personal de l'ENP (informadors i personal que treballa de cara al públic) en accessibilitat, diversitat funcional i diversitat de gènere</t>
  </si>
  <si>
    <t>1) Organitzar una formació dirigida al personal del Parc en accessibilitat, diversitat funcional, diversitat de gènere i comunicació assertiva i no violenta
2) Creació d'una taula que englobi el Consorci de Benestar Social per tal de donar resposta a la gestió de situacions diverses relacionades amb accessibilitat, diversitat funcional, diversitat de gènere i comunicació assertiva i no violenta
3) Promoure la formació en accessibilitat, diversitat funcional,. diversitat de gènere i comunicació assertiva i no violenta pel personal de les empreses de serveis del Parc, i altres empreses de serveis.</t>
  </si>
  <si>
    <t>1.1) Nombre d'assistents a la formació
1.2) Nombre d'hores dedicades a la formació
2) Nombre de trobades de la Taula
3.1) Percentatge de personal de les empreses que assisteix a la formació
3.2) Nombre d'empreses involucrades</t>
  </si>
  <si>
    <t>1.1) 10
1.2) 5
2) 1
3.1) 50%
3.2) 3</t>
  </si>
  <si>
    <t>1.1) 14
1.2) 8
2) 4
3.1) 100%
3.2) 4</t>
  </si>
  <si>
    <t>13.7.3</t>
  </si>
  <si>
    <t>Incorporar la perspectiva de gènere als continguts i activitats de l'ENP</t>
  </si>
  <si>
    <r>
      <rPr>
        <sz val="11"/>
        <color rgb="FF000000"/>
        <rFont val="Calibri"/>
        <family val="2"/>
        <scheme val="minor"/>
      </rPr>
      <t xml:space="preserve">2) 100%
</t>
    </r>
    <r>
      <rPr>
        <sz val="11"/>
        <color rgb="FF0070C0"/>
        <rFont val="Calibri"/>
        <family val="2"/>
        <scheme val="minor"/>
      </rPr>
      <t>2.2) 10
2.2) 5
3) 10</t>
    </r>
  </si>
  <si>
    <t>13.8</t>
  </si>
  <si>
    <t>Desplegar i adaptar el programa Salut i Natura de la DG en l'àmbit de l'ENP</t>
  </si>
  <si>
    <t>13.8.1</t>
  </si>
  <si>
    <t>Dissenyar, implementar i fomentar itineraris saludables dins dels itineraris oficials dels ENP i en la zona d'influència</t>
  </si>
  <si>
    <t>Es considera que es disposa d'una bona oferta d'itineraris saludables a l'ENP i la Garrotxa</t>
  </si>
  <si>
    <t xml:space="preserve">* Promoure itineraris saludables,                                                                                                                                                                                                                            * Incorporació i promoció de guiatges terapèutics en aquests itineraris </t>
  </si>
  <si>
    <t>1) Programació d'experiències de salut i benestar.</t>
  </si>
  <si>
    <t>1) Nombre d'experiències de salut i benestar dissenyades/executades</t>
  </si>
  <si>
    <t>1) 3</t>
  </si>
  <si>
    <t>13.8.2</t>
  </si>
  <si>
    <t>Identificar els agents clau i els àmbits de col·laboració per implementar el binomi salut i natura</t>
  </si>
  <si>
    <t>*Proposta d'espais per a la integració d'equipaments assistencials dins l'ENP
*Desplegament, de forma coordinada amb els CAPs, activitats i programes adreçats a col·lectius diana dins l'ENP (Ex: prescripció de natura (recepta verda i blava).
*Facilitar projectes pilot de recerca sobre els beneficis del contacte amb la natura per la salut, per a la població en general o perfils específics.</t>
  </si>
  <si>
    <t>13.8.3</t>
  </si>
  <si>
    <t xml:space="preserve">Incloure el concepte de salut i natura en els missatges educatius i comunicatius de l'ENP </t>
  </si>
  <si>
    <t>*Inclusió en el pla d'acció de la CETS, o la seva renovació, de l'Eix Salut i Natura
*Inclusió del concepte de Salut i Natura en els missatges comunicatius de conservació i sensibilització
*Inclusió en els cursos i formacions de l'ENP elements de la interdependència salut i natura. 
*Oferir i donar a conèixer els recursos que es generin en relació aquesta temàtica a la Xarxa d'Escoles del parc, entitats i altres agents del territori</t>
  </si>
  <si>
    <t>1) Percentatge de materials, recursos didàctics que inclouren informació sobre el binomi salut i natura
2) Nombre d'activitats, projectes i col·laboracions potenciades pel Parc
3) Nombre d'experiències no dirigides promogudes</t>
  </si>
  <si>
    <t>1) 10%
2) 3
3) 1</t>
  </si>
  <si>
    <t>1) 25%
2) 6
3) 2</t>
  </si>
  <si>
    <t>13.8.4</t>
  </si>
  <si>
    <t>Desplegar i/o participar a les Taules territorials de Salut i Natura</t>
  </si>
  <si>
    <t>1) Percentatge d'assistència a les diverses convocatòries de la Taula</t>
  </si>
  <si>
    <t>1) 75%</t>
  </si>
  <si>
    <t>1) 100%</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</si>
  <si>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</si>
  <si>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</si>
  <si>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</si>
  <si>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</si>
  <si>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</si>
  <si>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Informar regularment sobre les tasques, projectes i actuacions que duu a terme l'ENP a la població</t>
  </si>
  <si>
    <t>Regularment ja que una periodicitat resulta més complexa d'assolir</t>
  </si>
  <si>
    <t>*Elaborar els productes comunicatius que es determinin conjuntament amb Serveis Centrals : ex.un telegrama mensual, butlletí , agenda activitats trimestral, fulletó informatiu vinculats amb ús públic. Etc
*Donar a conèixer l'equip del Parc através dels diferents canals comunicatius
*Inclusió d'aspectes de transparència informativa sobre el que s’està treballant des de l’ENP
*Creació d'un banc d’imatges, vídeos, vídeos amb vols de dron
*Posar a disposició de la societat els estudis i informes que s'han fet del Parc (realització de jornades, infografies etc)
*Generació d'un servei geogràfic d'oferta de senders oficials i equipaments
*Vetllar pel correcte tractament i emmagatzematge d'aquests estudis i informes (repositori)</t>
  </si>
  <si>
    <t>Pla de comunicació</t>
  </si>
  <si>
    <t>SENP: Elaborar els productes comunicatius</t>
  </si>
  <si>
    <t>1) Nombre de notícies penjades 
2) Nombre de publicacions a les xarxes</t>
  </si>
  <si>
    <t xml:space="preserve">1) 48
2) 100
</t>
  </si>
  <si>
    <t xml:space="preserve">1) 192
2) 200 
</t>
  </si>
  <si>
    <t>14.1.2</t>
  </si>
  <si>
    <t>Garantir l'accessibilitat i gestió del coneixement disponible sobre l'ENP</t>
  </si>
  <si>
    <t>*Oferir diferents versions idiomàtiques dels materials de difusió
*Ús d'un llenguatge planer quan ens adrecem a la ciutadania
*Crear un nou espai al web de Preguntes freqüents</t>
  </si>
  <si>
    <t>1) Nombre de continguts digitals accessibles
2) Nombre de materials de accessibles elaborats
3) Nombre d'iniciatives amb les quals s'ha col·laborat
4) Nombre de Minibiblioteques mantingudes</t>
  </si>
  <si>
    <t>1) 25
2) 10
3) 15
4) 2</t>
  </si>
  <si>
    <t>1) 40
2) 25
3) 25
4) 4</t>
  </si>
  <si>
    <t>14.2</t>
  </si>
  <si>
    <t>Conscienciar sobre els valors de l'ENP als diferents públics objectiu</t>
  </si>
  <si>
    <t>14.2.1</t>
  </si>
  <si>
    <t>Sensibilitzar als diferents agents sobre els valors de l'ENP</t>
  </si>
  <si>
    <t>*Creació de material divulgatiu específic a partir de les campanyes de comunicació elaborades conjuntament amb Serveis Centrals (comunicació externa)
*Foment de la formació de l'equip del Parc i augmentar el coneixement d'aquests valors (comunicació interna)
*Potenciació de la doble funció dels Centres de documentació: generar informació (material de recerca) i oferir informació als visitants.</t>
  </si>
  <si>
    <t>SEA: Crear material divulgatiu</t>
  </si>
  <si>
    <t xml:space="preserve">1) Nombre de materials divulgats </t>
  </si>
  <si>
    <t>1) 35</t>
  </si>
  <si>
    <t>1) 50</t>
  </si>
  <si>
    <t>14.3</t>
  </si>
  <si>
    <t xml:space="preserve">Disposar d'una comunicació ordenada efectiva, positiva i coordinada que arribi a la ciutadania i aquesta pugui reconèixer fàcilment </t>
  </si>
  <si>
    <t>14.3.1</t>
  </si>
  <si>
    <t>Optimitzar els canals de comunicació</t>
  </si>
  <si>
    <t>*Definició i clarificació dels rols de l'equip del parc i una correcta definició de les tasques de cada membre.
*Actualització del web segons el format i estàndards establerts des de Serveis Centrals.
*Tenir un responsable/equip de comunicació amb formació tècnica.
*Estudiar la necessitat i viabilitat d'obrir nous canals comunicatius (butlletí, xxss, revistes etc.) conjuntament amb Serveis Centrals.
*Reunions d'equip periòdiques amb una freqüència no superior a 15 dies.
*Reunions bimensuals de coordinació de la Xarxa dels grups de conservació, d’ús públic i turisme, de gestió econòmica o RAE, d’educació ambiental, de centres de documentació, de millora rural, i de direcció.</t>
  </si>
  <si>
    <t>14.3.2</t>
  </si>
  <si>
    <t>Garantir l'harmonització de la comunicació com a Parc, Xarxa i Generalitat.</t>
  </si>
  <si>
    <t>*Planificació i disseny de la comunicació de cada Parc conjuntament amb els Serveis Centrals,  per garantir-ne la imatge corporativa i la coherència com a xarxa (publicacions, xxss, web, NP, merxandatge etc.)
*Implementació dels protocols vigents d'informació i comunicació
*Aplicació dels manuals existents i vigents en quan a comunicació corporativa
*Elaboració i aplicació del Pla de comunicació de l'ENP
*Participació en els espais d'intercanvi d'informació entre ENP
*Aplicació del protocol comunicatiu específic per a Juntes Rectores d'ENP</t>
  </si>
  <si>
    <t>1) Percentatge de continguts harmonitzats i revisats</t>
  </si>
  <si>
    <t>1) 25%</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</si>
  <si>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</si>
  <si>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</si>
  <si>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</si>
  <si>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</si>
  <si>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</si>
  <si>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</si>
  <si>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Crear una taula de treball amb els agents prioritaris per a la gestió de l'ENP i els grups de treball temàtics necessaris.      Suport en el contacte amb entitats i organitzacions per col·laborar amb el CDPNGarrotxa</t>
  </si>
  <si>
    <t>1) Definir i convocar el Consell de cooperació (article 89 PEZVG)
2) Seguiment del grup de treball de societats de caça del PNZVG
3) Seguiment del grup de treball de productors del PNZVG
4) Seguiment del grup de treball empreses SIP turístiques                     
5) Seguiment del grup de treball empreses d'educació ambiental
6) Seguiment del grup de treball d'entitats (taula de voluntariat ambiental )
7) Creació d'una taula de treball amb l'empresariat (Euram)
8) Creació d'una taula de treball d'organitzacions de recerca (natural i cultural)</t>
  </si>
  <si>
    <t>1) 1
2) 1
3) 1
4) 1
5) 1</t>
  </si>
  <si>
    <t>15.1.2</t>
  </si>
  <si>
    <t>Disposar d'assessorament científic en l'ENP</t>
  </si>
  <si>
    <t>1) Contractació externa d'assessorament científic en les matèries que es cregui convenient, com a mínim: geologia, aigües, flora , fauna i turisme.</t>
  </si>
  <si>
    <t>1) Nombre de contractacions</t>
  </si>
  <si>
    <t>15.1.3</t>
  </si>
  <si>
    <t>Incloure entitats i organismes científics i culturals de referència en els mecanismes de presa de decisions de l'ENP</t>
  </si>
  <si>
    <t>*Inclusió de personal expert exter en els òrgans gestors dels ENP / Inclusió d'entitats i organismes científics i culturals a les reunions de la junta rectora de l'ENP</t>
  </si>
  <si>
    <t>1) Nombre de reunions realitzades.</t>
  </si>
  <si>
    <t>1)3</t>
  </si>
  <si>
    <t>1)12</t>
  </si>
  <si>
    <t>15.1.4</t>
  </si>
  <si>
    <t>Adaptar i desplegar el model de governança dels espais naturals protegits</t>
  </si>
  <si>
    <t>*Presentació de la proposta de PE a junta amb un pressupost associat per validar-lo. Possibles aportacions al consell de participació</t>
  </si>
  <si>
    <t>SENP: Elaborar una proposta de model de governança dels espais naturals protegits</t>
  </si>
  <si>
    <t>MILLORAR L'EFICIÈNCIA de la gestió administrativa</t>
  </si>
  <si>
    <t>16.1</t>
  </si>
  <si>
    <t>Optimitzar l'aplicació pressupostaria</t>
  </si>
  <si>
    <t>16.1.1</t>
  </si>
  <si>
    <t xml:space="preserve">Gestionar i millorar administrativament els pressupostos anuals d'entrades i despeses </t>
  </si>
  <si>
    <t>Gestionar i millorar administrativament els pressupostos anuals d'ingressos i despeses</t>
  </si>
  <si>
    <t>Canvi d'entrada per ingresos</t>
  </si>
  <si>
    <t>*Aplicació del nou sistema de seguiment pressupostari conjunt per a tots els ENP per al control de les despeses (quan entri en funcionament).
*Aplicació del manual per al règim de gestió econòmica als ENP per traspassar dades al RAE.
*Participació dels espais de coordinació entre ENP per identificar les despeses comunes tramitables a càrrec del pressupost de la DG.</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</si>
  <si>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</si>
  <si>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 xml:space="preserve">1) Proposar la redacció d'un nou decret de gestió del Règim d'Autonomia Economica (RAE)
2) Proposta la redaccció d'una nova ordre de preus públics per a la prestaicó de serveis en els ENPEs 
3) Participar a la revisió i actualitzar el manual de gestió del RAE.                                                                                                                         </t>
  </si>
  <si>
    <t xml:space="preserve">1) Redacció del document
2) Redacció del document
3) Redacció del document
</t>
  </si>
  <si>
    <t xml:space="preserve">1) 1
2) 1
3) 1
</t>
  </si>
  <si>
    <t>16.2</t>
  </si>
  <si>
    <t>Planificar i optimitzar els processos de contractació, concessió d'ajuts, i les col·laboracions amb ens públics i privats</t>
  </si>
  <si>
    <t>16.2.1</t>
  </si>
  <si>
    <t>Planificar, detectar les necessitats de contractació del l'ENP per a l'optimització dels contractes a nivell de Xarxa i gestionar els contractes</t>
  </si>
  <si>
    <t>*Amb els espais de coordinació entre ENP, detecció de les necessitats conjuntes que es puguin agrupar en contractes únics (amb o sense lots) o en convocatòries amb concurrència.
*Encaix de les necessitats específiques de cada ENP a les necessitats conjuntes detectades a nivell de Xarxa.
*Preveure amb una antelació mínima de 6 mesos les necessitats de contractació per augmentar l'eficiència de la tramitació i disposar de marge de maniobra davant qualsevol eventualitat.</t>
  </si>
  <si>
    <t>SENP: Crear espais de coordinació entre ENP per detectar necessitats conjuntes.</t>
  </si>
  <si>
    <t xml:space="preserve">1) Reduir el nombre de contractes menors
2) Ampliar la contractació de contractes oberts
3) Proposar l'equip de gestió del Parc com a órgan de contractació per a poder executar contractes oberts simplificats abreujats                                                                                                                                 </t>
  </si>
  <si>
    <t xml:space="preserve">1) Nombre de contractes menors adjudicats
2) Nombre de contractes oberts adjudicats
3) Document proposta
</t>
  </si>
  <si>
    <t xml:space="preserve">1) Il·limitat
2) Il·limitat
3) 1
</t>
  </si>
  <si>
    <t>16.2.2</t>
  </si>
  <si>
    <t>Planificar i gestionar els ajuts</t>
  </si>
  <si>
    <t>*Preveure amb una antelació mínima de 6 mesos les convocatòries d'ajuts per augmentar l'eficiència de la tramitació i disposar de marge de maniobra davant qualsevol eventualitat.
*Implementació de gestor d'expedients
*Treballar amb SSCC per adaptar les convocatòries d'ajuts a les necessitats de l'ENP</t>
  </si>
  <si>
    <t xml:space="preserve">1) Treballar amb la DG  per adaptar les convocatòries d'ajuts a les necessitats de l'EN
2) Treballar per la simplificació i abreujament de la tramitació de l'expedients d'ajuts conjuntament amb els SSCC.                                                                                                                          </t>
  </si>
  <si>
    <t xml:space="preserve">1) Document redactat
2) Document redactat
</t>
  </si>
  <si>
    <t xml:space="preserve">1) 0
2) 0
</t>
  </si>
  <si>
    <t xml:space="preserve">1) 1
2) 1
</t>
  </si>
  <si>
    <t>16.2.3</t>
  </si>
  <si>
    <t>Establir i renovar en temps i forma convenis de col·laboració, convenis marc, acords, protocols i altres instruments de col·laboració.</t>
  </si>
  <si>
    <t>*Elaboració d'un llistat de convenis i altres instruments de col·laboració vigents i planificar les pròrrogues que es requereixin.
*Participació en l'elaboració coordinada dels catàlegs col·lectius amb universitats i centres documentació
*Implementació del gestor d'expedients (d'un registre únic de convenis)</t>
  </si>
  <si>
    <t>UGA: Coordinar l'elaboració dels catàlegs col·lectius amb ENP, universitats i centres documentació</t>
  </si>
  <si>
    <t xml:space="preserve">1) Document redactat
2) Nombre de convenis signats
</t>
  </si>
  <si>
    <t>16.3</t>
  </si>
  <si>
    <t>Agilitzar, incrementar l'eficiència  i incrementar l’assoliment dels procediments administratius</t>
  </si>
  <si>
    <t>16.3.1</t>
  </si>
  <si>
    <t>Optimitzar l'elaboració d'informes</t>
  </si>
  <si>
    <t>Optimitzar la redacció d'informes</t>
  </si>
  <si>
    <t>*Optimitzar la comunicació i acompanyament durant els processos administratius amb el personal tècnic de Serveis Centrals
*Designació d'interlocutors tècnics per al desenvolupament d'accions que requereixen procediments administratius.
*Manteniment d'una comunicació continuada amb l'UGA.
*Elaboració d'una llista dels tràmits realitzats pels ENP per detectar necessitats de suport i acompanyament administratiu.
*Implementació de gestor d'expedients</t>
  </si>
  <si>
    <t>16.3.2</t>
  </si>
  <si>
    <t>Adequar i actualitzar els procediments i tramitacions realitzats des de l'ENP als nous processos i eines conjuntes proposades des de Serveis Centrals</t>
  </si>
  <si>
    <t>*Ús dels formularis simplificats
*Implementació de gestor d'expedients</t>
  </si>
  <si>
    <t>UGA: Simplificació i optimització de formularis. Tipificació de peticions (tràmits específics)</t>
  </si>
  <si>
    <t>16.3.3</t>
  </si>
  <si>
    <t>Augmentar el coneixement de l'equip de treball en matèria de procediment administratiu</t>
  </si>
  <si>
    <t>*Participació de les formacions ofertades des del Centre de formació i estudis agrorurals per al personal administratiu.
*Respondre a la demanda activa de formacions quan es planifica el Pla anual de formació ofertat des del Centre de formació i estudis agrorurals.
*Formació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t>
  </si>
  <si>
    <t xml:space="preserve">1) Proposar formacions específiques de la DG
2) Fer un retorn de les formacions realitzades pel personal del Parc a l'equip de gestió 
</t>
  </si>
  <si>
    <t xml:space="preserve">1) Nombre de cursos proposats
2) Nombre cursos realitzats
</t>
  </si>
  <si>
    <t>16.3.4</t>
  </si>
  <si>
    <t>Garantir la transparència administrativa</t>
  </si>
  <si>
    <t>*Difondre o permetre l'accés a la informació pública
*Atendre les sol·licituds d'informació</t>
  </si>
  <si>
    <t>CD</t>
  </si>
  <si>
    <t>Montse Grabolosa</t>
  </si>
  <si>
    <t>16.3.5</t>
  </si>
  <si>
    <t>Millorar i mantenir el material, infraestructures i equipaments de gestió de l'espai</t>
  </si>
  <si>
    <t>*Millora del material i els serveis informàtics
*Compra de material d'oficina
*Reparació i millora del material de la brigada</t>
  </si>
  <si>
    <t>16.4</t>
  </si>
  <si>
    <t>Ordenar l'estat dels béns patrimonials</t>
  </si>
  <si>
    <t>16.4.1</t>
  </si>
  <si>
    <t>Revisar l’estat dels béns patrimonials i la situació administrativa-legal dels equipaments del parc</t>
  </si>
  <si>
    <t xml:space="preserve">*Revisió de tota la documentació relativa als béns patrimonials de l'ENP
*Traspas de tota la informació del béns patrimonials i col·laborar amb el Servei de Contractació i Patrimoni per tramitar els expedients de cessió de titularitat, declaracions d'obra nova, compra, lloguer...             </t>
  </si>
  <si>
    <t>UGA: tramitar els expedients de cessió de titularitat, declaracions d'obra nova, compra, lloguer, etc.</t>
  </si>
  <si>
    <t>1) Elaboració de la llista
2) Nombre de convenis revisats i actualitzats.</t>
  </si>
  <si>
    <t xml:space="preserve">1) 1
2) 15
</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</si>
  <si>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</si>
  <si>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</si>
  <si>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*Revisió que tots els equipaments del parc estiguin correctament assegurats dins la pòlissa d'assegurança de danys materials (número 86-5034332) de la Generalitat, en col·laboració amb  serveis centrals i d'acord amb les seves directrius.
*Col·laboració amb el Servei de Contractació i Patrimoni per tramitar les assegurances dels béns patrimonials.</t>
  </si>
  <si>
    <t>UGA: Tramitar les assegurances dels béns patrimonials.</t>
  </si>
  <si>
    <t>16.5</t>
  </si>
  <si>
    <t>Estructurar la gestió documental</t>
  </si>
  <si>
    <t>16.5.1</t>
  </si>
  <si>
    <t>Millorar l'accessibilitat i de la gestió documental i digital de l'ENP</t>
  </si>
  <si>
    <t>*Desenvolupament del repositori digital, recollint, preservant i difonent la informació generada.
*Catalogar i digitalitzar el fons documental.
*Millora de l'accessibilitat documental al web.
* Implementació de gestor d'expedients</t>
  </si>
  <si>
    <t>SENP: Disseny d'una metodologia de treball conjunta</t>
  </si>
  <si>
    <t>16.6</t>
  </si>
  <si>
    <t>Gestionar recursos humans</t>
  </si>
  <si>
    <t>16.6.1</t>
  </si>
  <si>
    <t>Gestió de la brigada de manteniment</t>
  </si>
  <si>
    <t xml:space="preserve">1) Redacció d'un Pla de manteniment dels treballs periódics realitzats al Parc.
2) Proposar la incorporació d'una persona a l'àrea de manteniment
</t>
  </si>
  <si>
    <t>16.6.2</t>
  </si>
  <si>
    <t>Gestionar, enfortir i consolidar l'equip de gestió del parc</t>
  </si>
  <si>
    <t>16.6.3</t>
  </si>
  <si>
    <t>Gestió ordinària i imprevistos no contemplats en cap dels Objectius opertatius anteriors</t>
  </si>
  <si>
    <t>Calendarització interna</t>
  </si>
  <si>
    <t>Gestió externa</t>
  </si>
  <si>
    <t>Mínima</t>
  </si>
  <si>
    <t>Màxim (Desitjable)</t>
  </si>
  <si>
    <t xml:space="preserve">Redactar i implementar el Pla de Prevenció d'Incendis </t>
  </si>
  <si>
    <t>Coordinar i participar dels treballs de restauració arquitectònica i del patrimoni cultural</t>
  </si>
  <si>
    <t xml:space="preserve">Recuperar i conservar el patrimoni cultural rural immaterial associat a les activitats i aprofitaments tradicionals </t>
  </si>
  <si>
    <t>Gestionar l'abandonament d'infraestructures i instal·lacions amb inpactes sobre els valors de l'espai</t>
  </si>
  <si>
    <t>Identificar i prioritzar els elements clau i d'interès per la gestió de la biodiversitat i geodiversitat de Catalunya es troben dins l'ENP (especies amenaçades, espècies exòtiques invasores,.. )</t>
  </si>
  <si>
    <t>Participar en el grups de treball per a la definició i organització del SINATCAT</t>
  </si>
  <si>
    <t xml:space="preserve">Promoure i col·laborar en l'aplicació de Plans de Desenvolupament Local Sostenible </t>
  </si>
  <si>
    <t xml:space="preserve">Oferir formació als productors agraris per millorar el seu coneixement sobre tècniques eficients i respectuoses amb la conservació del patrimoni natural i cultural </t>
  </si>
  <si>
    <t>Elaborar una guia per promocionar els agents del territori que potencien i difonen els productes alimentaris locals i de qualitat (allotjaments, restaurants, cellers, establiments, elaboradors i productors)</t>
  </si>
  <si>
    <t>Estandarditzar de regulació d'usos i aprofitaments  en base al model de Pla de protecció</t>
  </si>
  <si>
    <t>Establir un model de construcció a l'ENP en base al model de Pla de protecció</t>
  </si>
  <si>
    <t>Regular l'acampada i pernoctació  en base al model de Pla de protecció</t>
  </si>
  <si>
    <t>*Adaptació i implementació el protocol de regulació d'acampada i pernoctació  en base al model de Pla de protecció</t>
  </si>
  <si>
    <t>Regular la circulació rodada no motoritzada en base al model de Pla de protecció</t>
  </si>
  <si>
    <t>*Adaptació i implementació el protocol de regulació de circulació rodada no motoritzada en base al model de Pla de protecció</t>
  </si>
  <si>
    <t>Regular l'escalada i alpinisme, barranquisme, i espeleologia  en base al model de Pla de protecció</t>
  </si>
  <si>
    <t>*Adaptació i implementació el protocol de regulació d'escalada i alpinisme, barranquisme, i espeleologia  en base al model de Pla de protecció</t>
  </si>
  <si>
    <t>Regular les curses i altres activitats esportives organitzades en base al model de Pla de protecció</t>
  </si>
  <si>
    <t>*Adaptació i implementació el protocol de regulació de curses i altres activitats esportives organitzades en base al model de Pla de protecció</t>
  </si>
  <si>
    <t>Regular els enregistraments i l'observació de fauna i natura en base al model de Pla de protecció</t>
  </si>
  <si>
    <t>*Adaptació i implementació el protocol de regulació d'enregistraments i observació de fauna i natura  en base al model de Pla de protecció</t>
  </si>
  <si>
    <t>Regular les activitats científiques en base al model de Pla de protecció</t>
  </si>
  <si>
    <t>*Adaptació i implementació el protocol de regulació d'activitats científiques en base al model de Pla de protecció</t>
  </si>
  <si>
    <t>Regular les zones de bany</t>
  </si>
  <si>
    <t>Regular l'enlairament i aterratge sense motor</t>
  </si>
  <si>
    <t>Regular el submarinisme i l'snorkel</t>
  </si>
  <si>
    <t>Regular les activitats aquàtiques i nàutiques i zones de fondeig</t>
  </si>
  <si>
    <t>Regular la presència d'animals de companyia</t>
  </si>
  <si>
    <t>Regular lels activitats d'educació ambiental i el lleure educatiu</t>
  </si>
  <si>
    <t>Regular l'accés i la circulació</t>
  </si>
  <si>
    <t>Regular la xarxa viària principal, secundària i restringida</t>
  </si>
  <si>
    <t>Regular l'ús de drons, l'enlairament i l'aterratge</t>
  </si>
  <si>
    <t>Regular l'aparcament de vehícles</t>
  </si>
  <si>
    <t>Disposar dels equipaments i infraestructures necessàries i accessibles per acollir, informar, facilitar la visita i garantir la seguretat dels visitants i la protecció de l'entorn</t>
  </si>
  <si>
    <t>Participar a les Taules territorials de Salut i Natura</t>
  </si>
  <si>
    <t>Millorar el sistema de control de l'execució del pressupost, d'acord amb les indicacions de Serveis Centrals</t>
  </si>
  <si>
    <t>Planificar i detectar les necessitats de contractació del l'ENP per a l'optimització dels contractes a nivell de Xarxa</t>
  </si>
  <si>
    <t>Planificar i detectar les tasques de convocatòries d'ajuts de l'ENP</t>
  </si>
  <si>
    <t>Millorar i mantenir el material i infraestructures de gestió</t>
  </si>
  <si>
    <t>Millorar l'accessibilitat i la gestió documental del centre o punt de documentació de l'ENP</t>
  </si>
  <si>
    <t>Gestió de personal</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</si>
  <si>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</si>
  <si>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</si>
  <si>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</si>
  <si>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</si>
  <si>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</si>
  <si>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</si>
  <si>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</si>
  <si>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</si>
  <si>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</si>
  <si>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</si>
  <si>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</si>
  <si>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Urbanització comercial o industrial</t>
  </si>
  <si>
    <t>Refugis de muntanya que es remodelen, impacten etc</t>
  </si>
  <si>
    <t>Producció primària</t>
  </si>
  <si>
    <t>Cultius annuals i perennes. Canvis de tipus de cultiu, secà a regadiu o al revés. Canvi d'usos del sòl com cultius de vinya a muntanya, Inclosos el cultiu de l'arròs amb substàncies biocides. Inclòs el cultiu de marihuana</t>
  </si>
  <si>
    <t>Plantacions forestals</t>
  </si>
  <si>
    <t>Ramaderia tan intensiva com extensiva i semi-intensiva (pastura de dia i nit en corral)</t>
  </si>
  <si>
    <t>Aqüicultura</t>
  </si>
  <si>
    <t>Aquicultura marina i d'aigua dolça, a l'interior o als voltants del parc</t>
  </si>
  <si>
    <t>Producció d'energia i mineria</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</si>
  <si>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</si>
  <si>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</si>
  <si>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Producció d'energia renovable</t>
  </si>
  <si>
    <t>Centrals de producció d'energia renovable (molins eòlics terrestres o marins, instal·lacions solars, hidroelèctriques, geotèrmia inclosos els impactes de fauna contra les instal·lacions). A dins del parc o afectant connectors entre parcs</t>
  </si>
  <si>
    <t>Infrastructures de transport i serveis</t>
  </si>
  <si>
    <t>Vials de transport</t>
  </si>
  <si>
    <t>Carreteres, pistes forestals, línies fèrries i cremalleres</t>
  </si>
  <si>
    <t>Conduccions</t>
  </si>
  <si>
    <t>Conduccions elèctriques, aqueductes, canals de rec, estacions de bombament, conduccions d'aigua o gas</t>
  </si>
  <si>
    <t>Infrastructures marines</t>
  </si>
  <si>
    <t>Rutes marines, canals, impactes de vaixells sobre balenes i infrastructura associada. Ports, pantalans, etc</t>
  </si>
  <si>
    <t>Tancaments i vallats</t>
  </si>
  <si>
    <t>Tancaments, valles perimetrals i parets de tota mena, en carreteres, per bestiar, estètiques, etc</t>
  </si>
  <si>
    <t>Extracció de recursos naturals</t>
  </si>
  <si>
    <t>Caça i recolecció d'animals, ous, mel silvestre, etc ja sigui per subsistència, esport, tradició, comerç o de forma accidental</t>
  </si>
  <si>
    <t>Recolecció de plantes, bolets, resines, líquens, etc</t>
  </si>
  <si>
    <t>Treball forestals de tota mena (arreu, selectiva, carboneig, aclarides, etc)</t>
  </si>
  <si>
    <t>Pesca i semblants</t>
  </si>
  <si>
    <t>Pesca i recollida de recursos aquàtics de tota mena i amb qualsevol tècnica (artesanal, xarxa, marisqueig, recollida de corall, pesca accidental, recreativa, etc)</t>
  </si>
  <si>
    <t>Molèsties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</si>
  <si>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</si>
  <si>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Molèsties per activitats militars</t>
  </si>
  <si>
    <t>Activitats militars de qualsevol mena (camps militars, assajos amb artilleria, etc)</t>
  </si>
  <si>
    <t>Altres tipus de molèsties</t>
  </si>
  <si>
    <t>Qualsevol altra molèstia (per bany en rius i tolles, passeig de gossos, peregrinatges, aplecs, recerca sobre espècies, extraccions arqueològiques, vandalisme, tràfic de drogues, etc)</t>
  </si>
  <si>
    <t>Molèsties per activitats multitudinàries</t>
  </si>
  <si>
    <t>Activitats organitzades i multitudinàries, per exemple curses de muntanya, festivals, esdeveniments, filmacions, fins i tot enterraments</t>
  </si>
  <si>
    <t>Gestió i modificació de sistemes naturals</t>
  </si>
  <si>
    <t>Foc</t>
  </si>
  <si>
    <t>Foc, grans incendis forestals i supressió del foc, incloses activitats de restauració post-foc</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</si>
  <si>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</si>
  <si>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Moviments de terres i sediments</t>
  </si>
  <si>
    <t>Gestió i estabilització de terrenys i sediments (estabilització de dunes, construccions en litorals, remediació de sòls, restauració de mines, dragatges, moviments de sorres, etc)</t>
  </si>
  <si>
    <t>Modificació del clima</t>
  </si>
  <si>
    <t>Activitats per modificar el clima o processos naturals (prevenció de gelades, fertilització amb ferro a l'oceà, captura de carboni, etc)</t>
  </si>
  <si>
    <t>Gestió d'hàbitats: gestió d'aigua dolça de rec i arrossars (que pot afectar a llacunes, etc), retirada de fustes en rius, desbrossades, creació d'esculls artificials, alimentació d'ocells, tancament de coves, barreres elèctriques</t>
  </si>
  <si>
    <t>Desaparició de pràctiques tradicionals com pastura extensiva, canvi en el maneig de la pastura, la tipologia de bestiar, caça per control de predadors, etc</t>
  </si>
  <si>
    <t>Espècies invasores i patògens</t>
  </si>
  <si>
    <t>Espècies invasores com rates en illes, animals domèstics assilvestrats, musclo zebra, bambú, peixos introduïts com Phoxinus en estanys d'alta muntanya, etc</t>
  </si>
  <si>
    <t>Espècies natives desestabilitzades com superpoblació de cèrvids, porcs senglars, manca de carnívors, blooms d'algues, plagues d'insectes, o amb impactes puntuals com predadors sobre espècies sensibles com colònies d'ocells, gall fer, etc</t>
  </si>
  <si>
    <t>Material genètic introduït com cultius resistents a plagues, creuament de gat domèstic amb gat fer, restauracions d'hàbitats fetes amb varietats alienes, arbres o instectes modificats genèticament, aquicultura amb espècies no natives, etc</t>
  </si>
  <si>
    <t>Malalties que afecten conills, grip aviar, botulisme, castanyers, oliveres, cítrics, amfibis, etc</t>
  </si>
  <si>
    <t>Polució</t>
  </si>
  <si>
    <t xml:space="preserve">Polució dissolta en aigua (aigües sèptiques, efluents industrials, pesticides, fertilitzants, efluents de la mineria, excès de nutrients en activitats de l'aquicultura, purins, potasses per desfer la neu en pistes i carreteres, etc </t>
  </si>
  <si>
    <t>Residus sòlids</t>
  </si>
  <si>
    <t>Residus sòlids de qualsevol orígen i en medi terrestre o marí, inclosos de la caça, pesca, agricultura, aqüicultura, del turisme, construcció, transport, xarxes fantasma i elements abandonats al medi</t>
  </si>
  <si>
    <t>Polució aèria</t>
  </si>
  <si>
    <t>Residus en medi aeri com partícules, gasos, o partícules radioactives</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</si>
  <si>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</si>
  <si>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</si>
  <si>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Grans pertorbacions naturals</t>
  </si>
  <si>
    <t>Pertorbacions d'origen geològic</t>
  </si>
  <si>
    <t>De tipus geològic com terratrèmols, esllavissades, allaus, erupcions volcàniques</t>
  </si>
  <si>
    <t>Pertorbacions d'origen metereològic</t>
  </si>
  <si>
    <t>Per fenòmens extrems com inundacions, temporals, pedregades, etc</t>
  </si>
  <si>
    <t>Canvi global i/o climàtic</t>
  </si>
  <si>
    <t>Impactes del canvi climàtic en sistemes físics i químics</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</si>
  <si>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</si>
  <si>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Canvis en règims de temperatures: onades de calor o de fred, canvis en la temperatura del mar, fusió de glaceres, etc</t>
  </si>
  <si>
    <t>Canvis en règims de precipitació i règims hidrològics com patrons de pluja, d'innivació, generant sequeres, increment de la severitat d'inundacions, reducció de la superfície de llacs i estanys, etc</t>
  </si>
  <si>
    <t>Pujada del nivell del mar</t>
  </si>
  <si>
    <t>Llista d'amenaces OS</t>
  </si>
  <si>
    <t>Si/No</t>
  </si>
  <si>
    <t>No especificada</t>
  </si>
  <si>
    <t>Pel POA</t>
  </si>
  <si>
    <t>FORA DEL TERMINI DEL PLA</t>
  </si>
  <si>
    <t>TAULA DE VINCLE ENTRE LES AMENACES I ELS OBJECTIUS OPERATIUS DE L'EIX DEL PATRIMONI NATURAL</t>
  </si>
  <si>
    <t>Eix 1. Natura</t>
  </si>
  <si>
    <t>Tipologia amenaça</t>
  </si>
  <si>
    <t>Amenaça concreta</t>
  </si>
  <si>
    <t>AFEGIR LES FILES QUE S'HAGIN INCORPORAT A LA TAULA DEL PLA</t>
  </si>
  <si>
    <t>ORDRE</t>
  </si>
  <si>
    <t>DOCUMENT</t>
  </si>
  <si>
    <t>CODI OBJECTIU</t>
  </si>
  <si>
    <t>OBJECTIU</t>
  </si>
  <si>
    <t>CODI ACCIÓ</t>
  </si>
  <si>
    <t>ACCIÓ</t>
  </si>
  <si>
    <t>EXECUTAT / PLANIFICAT</t>
  </si>
  <si>
    <t>NO APLICA</t>
  </si>
  <si>
    <t>COMENTARIS PNZVG</t>
  </si>
  <si>
    <t>CODI OP</t>
  </si>
  <si>
    <t>OP</t>
  </si>
  <si>
    <t>OP MODIFICAT</t>
  </si>
  <si>
    <t>CODI NOU</t>
  </si>
  <si>
    <t>OP PROPOSTA</t>
  </si>
  <si>
    <t>Estratègia de Turisme Sostenible de la Garrotxa</t>
  </si>
  <si>
    <t>Arribar a un model de governança de la CETS integrador i vertebrador</t>
  </si>
  <si>
    <t>1.1</t>
  </si>
  <si>
    <t>Realitzar un treball de benchmark nacional i internacional de models de governança</t>
  </si>
  <si>
    <t>En curs indefinidament</t>
  </si>
  <si>
    <t>1.2</t>
  </si>
  <si>
    <t>Organitzar sessions de participació amb experts per analitzar diferents models de governança</t>
  </si>
  <si>
    <t>1.3</t>
  </si>
  <si>
    <t>Organitzar activitats participatives amb els agents implicats per a la co-creació del model</t>
  </si>
  <si>
    <t>1.4</t>
  </si>
  <si>
    <t>Dissenyar un model sostenible de governança integrador i vertebrador</t>
  </si>
  <si>
    <t>1.5</t>
  </si>
  <si>
    <t>Testejar el prototip del model de governança</t>
  </si>
  <si>
    <t>Executat en part/en curs</t>
  </si>
  <si>
    <t>1.6</t>
  </si>
  <si>
    <t>Concretar i implementar el model de governança</t>
  </si>
  <si>
    <t>1.7</t>
  </si>
  <si>
    <t>Avaluar i millorar contínuament el model de governança</t>
  </si>
  <si>
    <t>1.8</t>
  </si>
  <si>
    <t>*Coexistència temporal dels models de governança A</t>
  </si>
  <si>
    <t>Descartat</t>
  </si>
  <si>
    <t>NA</t>
  </si>
  <si>
    <t>1.9</t>
  </si>
  <si>
    <t>*Coexistència temporal dels models de governança B</t>
  </si>
  <si>
    <t>1.10</t>
  </si>
  <si>
    <t>*Aprofitar les sinergies generades amb altres actors de la CETS</t>
  </si>
  <si>
    <t>Posicionar la CETS com un element aglutinador i identitari del turisme sostenible</t>
  </si>
  <si>
    <t>2.1</t>
  </si>
  <si>
    <t>Coordinar els plans de comunicació de les entitats implicades a la CETS</t>
  </si>
  <si>
    <t>Compartir l'estratègia de comunicació CETS</t>
  </si>
  <si>
    <t>2.2</t>
  </si>
  <si>
    <t>Impulsar la creació de materials i continguts comunicatius</t>
  </si>
  <si>
    <t>2.3</t>
  </si>
  <si>
    <t>*Promoure una oferta turística sostenible de qualitat</t>
  </si>
  <si>
    <t>2.4</t>
  </si>
  <si>
    <t>*Incrementar el nombre d'empreses i paquets turístics a partir de la Fase II i III de la CETS</t>
  </si>
  <si>
    <t>Integrar la mobilitat com a part de l'experiència de la visita</t>
  </si>
  <si>
    <t>3.1</t>
  </si>
  <si>
    <t>Redactar un Pla de mobilitat sostenible i eco mobilitat turística</t>
  </si>
  <si>
    <t>3.2</t>
  </si>
  <si>
    <t>Desplegar el Pla de mobilitat sostenible i eco mobilitat turística</t>
  </si>
  <si>
    <t>3.3</t>
  </si>
  <si>
    <t>Sensibilitzar a través de prescriptors</t>
  </si>
  <si>
    <t xml:space="preserve">Cercar i establir col·laboracions i projectes conjunts amb agents clau del territori
</t>
  </si>
  <si>
    <t>3.4</t>
  </si>
  <si>
    <t>Establir complicitats amb agents clau del territori nacional i internacional</t>
  </si>
  <si>
    <t>3.5</t>
  </si>
  <si>
    <t>Contribuir a la implementació del Pla a través d'inversions</t>
  </si>
  <si>
    <t>3.6</t>
  </si>
  <si>
    <t>Crear una oferta que inclogui la mobilitat com a experiència turística per al visitant</t>
  </si>
  <si>
    <t>3.7</t>
  </si>
  <si>
    <t>*Mantenir i millorar les infraestructures del Parc Natural i dinamitzar itineraris i camins</t>
  </si>
  <si>
    <t>3.8</t>
  </si>
  <si>
    <t>*Gestionar de forma integral les àrees d'acollida de visitants</t>
  </si>
  <si>
    <t>Potenciar el valor de l'experiència al territori (respecte la natura)</t>
  </si>
  <si>
    <t>4.1</t>
  </si>
  <si>
    <t>Potenciar els valors naturals i culturals de la comarca i de l'espai com a oferta per als visitants</t>
  </si>
  <si>
    <t>4.2</t>
  </si>
  <si>
    <t>Incrementar la sensibilització i el compromís de les persones en la conservació dels valors de la comarca</t>
  </si>
  <si>
    <t>4.3</t>
  </si>
  <si>
    <t>4.4</t>
  </si>
  <si>
    <t>Implicar directament a l'usuari en la conservació del territori</t>
  </si>
  <si>
    <t>5.1</t>
  </si>
  <si>
    <t>Proporcionar pautes per a una visita més responsable</t>
  </si>
  <si>
    <t>5.2</t>
  </si>
  <si>
    <t>Vincular projectes de conservació amb la població local i visitants</t>
  </si>
  <si>
    <t>5.3</t>
  </si>
  <si>
    <t>Crear nous projectes per involucrar la població local en la conservació</t>
  </si>
  <si>
    <t>5.4</t>
  </si>
  <si>
    <t>Relacionar espais d'acollida de visitants amb la conservació del territori: Espai Cràter</t>
  </si>
  <si>
    <t>5.5</t>
  </si>
  <si>
    <t>Relacionar els espais d'acollida de visitants amb la conservació del territori: Centre de Natura i Cultura de la Vall d'en Bas - Can Trona</t>
  </si>
  <si>
    <t>5.6</t>
  </si>
  <si>
    <t>*Garantir una oferta pedagògica per a la població escolar</t>
  </si>
  <si>
    <t>Augmentar el valor del sector turístic per part de la població local i la resta de sectors</t>
  </si>
  <si>
    <t>6.1</t>
  </si>
  <si>
    <t>Professionalitzar el sector</t>
  </si>
  <si>
    <t>6.2</t>
  </si>
  <si>
    <t>Fer que la població local se senti involucrada en activitats turístiques</t>
  </si>
  <si>
    <t>6.3</t>
  </si>
  <si>
    <t>Evidenciar els beneficis del sector turístic a la destinació – Visitor Payback</t>
  </si>
  <si>
    <t>6.4</t>
  </si>
  <si>
    <t>Acollir en zones rurals</t>
  </si>
  <si>
    <t>6.5</t>
  </si>
  <si>
    <t>Crear i involucrar entitats no turístiques en esdeveniments turístics</t>
  </si>
  <si>
    <t>6.6</t>
  </si>
  <si>
    <t>Projecte d'accessibilitat turística "La Garrotxa per a tothom"</t>
  </si>
  <si>
    <t>6.7</t>
  </si>
  <si>
    <t>Establir complicitats amb altres entitats, associacions locals i sectors econòmics</t>
  </si>
  <si>
    <t>6.8</t>
  </si>
  <si>
    <t>Donar a conèixer l'oferta i els recursos turístics entre la població local</t>
  </si>
  <si>
    <t>Impulsar el desenvolupament econòmic del sector turístic</t>
  </si>
  <si>
    <t>7.1</t>
  </si>
  <si>
    <t>Crear nous productes 4D</t>
  </si>
  <si>
    <t>7.2</t>
  </si>
  <si>
    <t>Promoció de nous productes 4D</t>
  </si>
  <si>
    <t>7.3</t>
  </si>
  <si>
    <t>Incorporar els Objectius de Desenvolupament Sostenible (ODS) en tots els productes</t>
  </si>
  <si>
    <t>7.4</t>
  </si>
  <si>
    <t>*Consolidar el "Servei d'Innovació i Producte turístic" dirigit a empreses turístiques del territori CETS</t>
  </si>
  <si>
    <t>7.5</t>
  </si>
  <si>
    <t>*Mantenir i millorar la xarxa d'indicadors turístics i ambientals de la Garrotxa</t>
  </si>
  <si>
    <t>7.6</t>
  </si>
  <si>
    <t>*Realitzar accions orientades a un model de Smart Destination</t>
  </si>
  <si>
    <t>7.7</t>
  </si>
  <si>
    <t>*Dur a terme accions de promoció local, nacional i internacional del turisme sostenible a la Garrotxa donant importància a la visualització de la CETS</t>
  </si>
  <si>
    <t>Reconèixer i valoritzar la salut/ hàbits saludables</t>
  </si>
  <si>
    <t>8.1</t>
  </si>
  <si>
    <t>Integrar la salut com a element clau en l'experiència de l’usuari (visitant i població local)</t>
  </si>
  <si>
    <t>8.2</t>
  </si>
  <si>
    <t>Creació d'experiències relacionades amb la salut i el benestar per a la població local i el visitant</t>
  </si>
  <si>
    <t>8.3</t>
  </si>
  <si>
    <t>Incorporació de la salut i el benestar a les empreses CETS</t>
  </si>
  <si>
    <t>8.4</t>
  </si>
  <si>
    <t>Estudi dels serveis ecosistèmics de la comarca per la salut i el benestar de les persones</t>
  </si>
  <si>
    <t>Estratègia de gestió de la flora i la vegetació</t>
  </si>
  <si>
    <t>Disposar d’eines de comunicació adequades per garantir que es treballen tots els objectius botànics de formació establerts en aquesta estratègia, bo i considerant les diverses tipologies de destinataris.</t>
  </si>
  <si>
    <t>Fer operativa la base de dades de flora i vegetació</t>
  </si>
  <si>
    <t>Suport/Impuls</t>
  </si>
  <si>
    <t>(EB) Actuació bàsica i urgent!</t>
  </si>
  <si>
    <t>Incorporar les indicacions de l’Estratègia a tots els documents de planificació territorial (P. E. del Bosc de Tosca, del Montsacopa, de la Garrinada, etc. .)</t>
  </si>
  <si>
    <t>(EB) D'aquests plans, únicament s'ha començat a treballar el del Bosc de Tosca. Ara, s'està parlant de continuar la seva tramitació. Caldria comprovar la darrera versió del Pla si té en comtpe aspectes de l'Estratègia de flora.</t>
  </si>
  <si>
    <t>Incorporar les indicacions de l’Estratègia a tots els documents sectorials de gestió (Estratègies agrícola i forestal) i als que emanen d’aquests (PTGMF, P.P.Incendis Forestals,...)</t>
  </si>
  <si>
    <t>(EB) Considero que fóra interessant que en la sol·licituds de revisió i actualització dels PTGiMF hi hagués una revisió per part de l'empresa assessora en temes botànics. Igual que tots els altres documents de planificació forestal.</t>
  </si>
  <si>
    <t>Gestió integrada del sector Parc Nou-Moixina (zona de màxim interès botànic de tot el Parc), en col·laboració amb l’Ajuntament d’Olot</t>
  </si>
  <si>
    <t>Establir objectius botànics de gestió per cada finca gestionada pel Parc</t>
  </si>
  <si>
    <t>Protocol de gestió de lleres fluvials en coordinació amb l’ACA i el SIGMA</t>
  </si>
  <si>
    <t>(EB) Hi ha un document de criteris d'actuació en el bosc de ribera però s'hauria de millorar i no està compartit ni consensuat amb ACA i SIGMA.</t>
  </si>
  <si>
    <t>Protocol de consulta de dades de flora i vegetació en la redacció d’informes i seguiment d’actuacions</t>
  </si>
  <si>
    <t>No executat</t>
  </si>
  <si>
    <t>Protocol de col·laboració/comunicació entre el Parc i els Ajuntaments</t>
  </si>
  <si>
    <t>Programa específic de comunicació amb propietaris: potenciar la col·laboració i la creació de complicitats</t>
  </si>
  <si>
    <t>(EB) Només es té contacte (i puntual) amb els propietaris que tenen tàxons protegits dins les seves finques.</t>
  </si>
  <si>
    <t>Que els principals resultats de l’Estratègia de flora i vegetació del PNZVG es divulguin adequadament entre els tècnics i col·laboradors del Parc, i també entre la població local.</t>
  </si>
  <si>
    <t>Actualitzar el catàleg de flora vascular</t>
  </si>
  <si>
    <t>(EB) Aquesta actuació va molt lligada a l'actualització de la base de dades de flora.</t>
  </si>
  <si>
    <t>Fer prospeccions de flora vascular per resoldre mancances específiques</t>
  </si>
  <si>
    <t>(EB) Si bé no hi ha una programació establer-ta, sempre es fan prospeccions per cercar aquells tàxons d'interès.</t>
  </si>
  <si>
    <t>Conèixer i estudiar els elements i processos naturals propis de l’espai, la seva tendència, funcionalitat, i ecologia, per al desenvolupament d'accions de gestió i conservació</t>
  </si>
  <si>
    <t>Entrar les dades briofítiques a la base de dades del SIG del Parc</t>
  </si>
  <si>
    <t>Recollida de dades briofítiques en ambients/zones no prospectades</t>
  </si>
  <si>
    <t xml:space="preserve">(EB) Amb la idea de treure el Catàleg de Briòfits del PNZVG, es va encarregar un estudi específic a en Miquel Jover </t>
  </si>
  <si>
    <t>2.5</t>
  </si>
  <si>
    <t>Establir el catàleg de briòfits del Parc</t>
  </si>
  <si>
    <t>(EB) La feina de camp està feta i fins i tot el disseny del catàleg. Faltaria l'actualització, la revisió i la publicació.</t>
  </si>
  <si>
    <t>2.6</t>
  </si>
  <si>
    <t>Actualitzar la base de dades de fongs</t>
  </si>
  <si>
    <t>2.7</t>
  </si>
  <si>
    <t>Recollida de dades sobre fongs en ambients/zones no prospectades</t>
  </si>
  <si>
    <t>2.8</t>
  </si>
  <si>
    <t>Establir el catàleg de fongs del Parc</t>
  </si>
  <si>
    <t>2.9</t>
  </si>
  <si>
    <t>Recollida de dades florístiques bàsiques sobre el poblament liquènic</t>
  </si>
  <si>
    <t xml:space="preserve">(EB) S'han recollit dades de líquens en les grederes que son objecte de restauració (Pomereda, Montsacopa i tossol del Bosc de Tosca). </t>
  </si>
  <si>
    <t>2.10</t>
  </si>
  <si>
    <t>Establir el catàleg preliminar dels líquens del Parc</t>
  </si>
  <si>
    <t>2.11</t>
  </si>
  <si>
    <t>Diagnosi dels valors botànics de la perifèria</t>
  </si>
  <si>
    <t>(EB) No entenc ben bé aquesta actuació en què consisteix.</t>
  </si>
  <si>
    <t>2.12</t>
  </si>
  <si>
    <t>Pla de conservació i recuperació d’espècies de flora -amenaçades i/o protegides</t>
  </si>
  <si>
    <t>(EB) No està redactat pròpiament com un Pla de conservació/recuperació snó que són més informes de seguiment de l'estat de les poblacions d'espècies amenaçades o protegides.</t>
  </si>
  <si>
    <t>2.13</t>
  </si>
  <si>
    <t>Pla d’actuacions urgents per a la millora de l’hàbitat d’Isopyrum thalictroides i Oplismenus undulatifolius</t>
  </si>
  <si>
    <r>
      <t xml:space="preserve">(EB) En els informes de seguiment sempre es proposen actuacions de millora dels hàbitats. Això és aplicable a </t>
    </r>
    <r>
      <rPr>
        <i/>
        <sz val="10"/>
        <color rgb="FF00B0F0"/>
        <rFont val="Arial"/>
        <family val="2"/>
      </rPr>
      <t>Isopyrum thalictroides</t>
    </r>
    <r>
      <rPr>
        <sz val="10"/>
        <color rgb="FF00B0F0"/>
        <rFont val="Arial"/>
        <family val="2"/>
      </rPr>
      <t>. D'</t>
    </r>
    <r>
      <rPr>
        <i/>
        <sz val="10"/>
        <color rgb="FF00B0F0"/>
        <rFont val="Arial"/>
        <family val="2"/>
      </rPr>
      <t>Oplismenus undualitifolius</t>
    </r>
    <r>
      <rPr>
        <sz val="10"/>
        <color rgb="FF00B0F0"/>
        <rFont val="Arial"/>
        <family val="2"/>
      </rPr>
      <t xml:space="preserve"> s'ha deixat de fer seguiment atès que no es tracta d'una espècie autòctona.</t>
    </r>
  </si>
  <si>
    <t>2.14</t>
  </si>
  <si>
    <t>Incorporar als diversos materials i activitats pedagògiques les principals conclusions de l’estratègia</t>
  </si>
  <si>
    <t>2.15</t>
  </si>
  <si>
    <t>Incorporar a les diverses accions de comunicació ambiental per a la població local les principals conclusions de l’estratègia</t>
  </si>
  <si>
    <t>2.16</t>
  </si>
  <si>
    <t>Activitat de divulgació de l’Estratègia per a personal del DMAH i col·laboradors</t>
  </si>
  <si>
    <t>Augmentar de forma significativa la incidència del Programa d’Educació Ambiental per a la població escolar local.</t>
  </si>
  <si>
    <t>Establir un protocol de recollida i gestió de dades de flora i vegetació</t>
  </si>
  <si>
    <t>Incorporar al nou pla especial les indicacions de l’Estratègia de flora i vegetació</t>
  </si>
  <si>
    <t>Pla de divulgació de l’oferta pedagògica per escolars locals</t>
  </si>
  <si>
    <t>Edició de material pedagògic/divulgatiu sobre els elements botànics més destacats i aspectes de gestió bàsics</t>
  </si>
  <si>
    <t>Garantir la formació adequada i els recursos idonis (documentació, SIG de flora i vegetació,...) dels professionals, i voluntaris, relacionats amb la recerca, la gestió i la vigilància de la flora i la vegetació.</t>
  </si>
  <si>
    <t>Caracteritzar els hàbitats d’interès per a la flora briofítica</t>
  </si>
  <si>
    <t>(EB) Aquesta informació estaria, en part contemplada en el Catàleg de briòfits del PN.</t>
  </si>
  <si>
    <t>Caracteritzar els hàbitats d’interès per a la flora fúngica</t>
  </si>
  <si>
    <t>Caracterització dels hàbitats d’interès per a la flora liquènica</t>
  </si>
  <si>
    <t>Revisió del catàleg d’espècies d’interès de flora vascular</t>
  </si>
  <si>
    <t>4.5</t>
  </si>
  <si>
    <t>Establir la llista vermella de briòfits del Parc (o catàleg de tàxons d’interès)</t>
  </si>
  <si>
    <t>4.6</t>
  </si>
  <si>
    <t>Establir la llista vermella de fongs del Parc (o catàleg de tàxons d’interès)</t>
  </si>
  <si>
    <t>4.7</t>
  </si>
  <si>
    <t>Completar l’estudi de la vegetació del Parc</t>
  </si>
  <si>
    <t>(EB) Recentment s'ha acabat el treball de camp del mapa d'hàbitats (1:10.000) del Parc.</t>
  </si>
  <si>
    <t>4.8</t>
  </si>
  <si>
    <t>Aprovar per Junta de Protecció la llista vermella de flora del Parc</t>
  </si>
  <si>
    <t>4.9</t>
  </si>
  <si>
    <t>Aprovar per Junta de Protecció la llista vermella de briòfits del Parc</t>
  </si>
  <si>
    <t>4.10</t>
  </si>
  <si>
    <t>Aprovar per Junta de Protecció la llista vermella de comunitats vegetals</t>
  </si>
  <si>
    <t>4.11</t>
  </si>
  <si>
    <t>Manual de gestió de comunitats vegetals</t>
  </si>
  <si>
    <t>4.12</t>
  </si>
  <si>
    <t>Programa de seguiment de flora amenaçada</t>
  </si>
  <si>
    <t>(EB) No hi ha un programa com a tal però cada any es fa seguiment de les espècies de flora.</t>
  </si>
  <si>
    <t>4.13</t>
  </si>
  <si>
    <t>Programa de seguiment de comunitats vegetals amenaçades</t>
  </si>
  <si>
    <t>4.14</t>
  </si>
  <si>
    <t>Programa de seguiment de boscos madurs</t>
  </si>
  <si>
    <t>4.15</t>
  </si>
  <si>
    <t>Formació específica en SIG i bases de dades de flora i vegetació per a professionals de la gestió</t>
  </si>
  <si>
    <t>Establir programes de comunicació específics per als col·lectius locals implicats en la gestió del territori (tècnics i polítics de l’administració local, propietaris, pagesos, rematants i jardiners).</t>
  </si>
  <si>
    <t>Completar la cartografia de les Comunitats Forestals d’Àrea Reduïda</t>
  </si>
  <si>
    <t>Actualització del mapa de vegetació i transposició a escala de detall de la cartografia de les comunitats vegetals d’interès (inclosos els HIC)</t>
  </si>
  <si>
    <t>Pla de Gestió de les comunitats vegetals/hàbitats d’interès i/o amenaçats del Parc (inclosos HIC, Natura 2000)</t>
  </si>
  <si>
    <t>(EB) Pla de gestió, com a tal, no s'ha fet.</t>
  </si>
  <si>
    <t>Programa d’estudi i conservació de boscos madurs</t>
  </si>
  <si>
    <t>Adquisició de finques amb hàbitats i/o espècies amenaçades i/o d’interès</t>
  </si>
  <si>
    <t>(EB) Aquesta és una línia bàsica a la qual caldria dedicar-hi més recursos.</t>
  </si>
  <si>
    <t>Programa de conservació i millora d’elements botànics d’interès en finques privades (custòdia, condicionalitat de les subvencions públiques,...)</t>
  </si>
  <si>
    <t>(EB) Per poder avançar estem pendents de resoldre la forma de vinculació entre el Parc i els propietaris privats.</t>
  </si>
  <si>
    <t>5.7</t>
  </si>
  <si>
    <t>Producció de planta autòctona per a restauracions en vivers locals</t>
  </si>
  <si>
    <r>
      <t xml:space="preserve">(EB) Dins d'aquesta actuació hi podriem encabir la multiplicació ex-situ de </t>
    </r>
    <r>
      <rPr>
        <i/>
        <sz val="10"/>
        <color rgb="FF00B0F0"/>
        <rFont val="Arial"/>
        <family val="2"/>
      </rPr>
      <t>Caltha palustris</t>
    </r>
    <r>
      <rPr>
        <sz val="10"/>
        <color rgb="FF00B0F0"/>
        <rFont val="Arial"/>
        <family val="2"/>
      </rPr>
      <t>, espècies de flora protegida al PN, en els vivers Tres Turons.</t>
    </r>
  </si>
  <si>
    <t>5.8</t>
  </si>
  <si>
    <t>Acord de gestió amb els propietaris de can Gou i la Moixina</t>
  </si>
  <si>
    <t>5.9</t>
  </si>
  <si>
    <t>Programa específic de comunicació amb pagesos i ramaders</t>
  </si>
  <si>
    <t>5.10</t>
  </si>
  <si>
    <t>Pla de revitalització i formació del sector forestal</t>
  </si>
  <si>
    <t xml:space="preserve">Oferir formació als productors agropecuaris i forestals per millorar el seu coneixement sobre tècniques eficients i respectuoses amb la conservació del patrimoni natural i cultural </t>
  </si>
  <si>
    <t>5.11</t>
  </si>
  <si>
    <t>Augmentar la condicionalitat de les subvencions com a eina de comunicació ambiental</t>
  </si>
  <si>
    <t>5.12</t>
  </si>
  <si>
    <t>Campanya de divulgació de la problemàtica de les espècies de flora invasores</t>
  </si>
  <si>
    <t>(EB) S'han elaborat unes fitxes tècniques i s'ha fet una ronda de tuits donant a conèixer les espècies més problemàtiques.</t>
  </si>
  <si>
    <t>Posar a disposició pública la informació fonamental sobre la flora i la vegetació del Parc Natural.</t>
  </si>
  <si>
    <t>Programa de seguiment de flora vascular</t>
  </si>
  <si>
    <t>(EB) Anualment s'estant seguint diverses espècies. Allò ideal seria que cada any se n'afegís una/dues fins a completar la totalitat de les espècies de flora protegida al Parc.</t>
  </si>
  <si>
    <t>Seguiment dels briòfits d’interès</t>
  </si>
  <si>
    <r>
      <t xml:space="preserve">(EB) S'està seguint </t>
    </r>
    <r>
      <rPr>
        <i/>
        <sz val="10"/>
        <color rgb="FF00B0F0"/>
        <rFont val="Arial"/>
        <family val="2"/>
      </rPr>
      <t>Mannia fragrans</t>
    </r>
    <r>
      <rPr>
        <sz val="10"/>
        <color rgb="FF00B0F0"/>
        <rFont val="Arial"/>
        <family val="2"/>
      </rPr>
      <t>, espècie inclosa en el Catàleg de flora amenaçada de Catalunya.</t>
    </r>
  </si>
  <si>
    <t>Programa de seguiment dels tàxons al·lòctons</t>
  </si>
  <si>
    <t>(EB) No existeix un programa com a tal sinó que es fan actuacions puntuals de controls dels tàxons invasors més problemàtics.</t>
  </si>
  <si>
    <t>Programa de seguiment de les comunitats vegetals/hàbitats d’interès</t>
  </si>
  <si>
    <t>Publicació científica sobre la recerca al Parc</t>
  </si>
  <si>
    <t>(EB) S'hauria de potenciar més! I, potser, recuperar les Jornades de recerca?</t>
  </si>
  <si>
    <t>Article en una revista científica d’abast nacional sobre la recerca i la gestió de flora al Parc</t>
  </si>
  <si>
    <t>Publicació del mapa de vegetació del Parc</t>
  </si>
  <si>
    <t>Publicació sobre el poblament vegetal del Parc</t>
  </si>
  <si>
    <t>Garantir que la població local i, especialment, els tècnics i polítics de cada ajuntament, tinguin un coneixement adequat de les espècies, les comunitats vegetals i les localitats prioritàries de cada municipi.</t>
  </si>
  <si>
    <t>Programa de seguiment dels boscos madurs</t>
  </si>
  <si>
    <t>Avaluació i seguiment de l’estat de conservació de les RRNN, dels Espais Naturals d’Interès Preferent i dels Espais Singulars amb Tractament Específic</t>
  </si>
  <si>
    <t>(EB) Seria molt interessant d'executar.</t>
  </si>
  <si>
    <t>Seguiment de la vegetació de les zones afectades per actuacions de restauració i per obres públiques</t>
  </si>
  <si>
    <t>Pla de control de tàxons al·lòctons invasors</t>
  </si>
  <si>
    <t>Protocol de supervisió dels enjardinaments i plantacions al Parc Natural i al seu entorn</t>
  </si>
  <si>
    <t>(EB) Igualment, no existeix un protocol com a tal sinó que es tenen contactes constans amb els tècnics responsables de jartineria.</t>
  </si>
  <si>
    <t>Editar un document divulgatiu dels principals valors botànics de cada municipi</t>
  </si>
  <si>
    <t>(EB) De moment. No es descarta que en un futur, quan tinguem executades les actuacions prioritàries, ens ocupem d'aquesta.</t>
  </si>
  <si>
    <t>Revisar el pla de comunicació amb la població local: incorporar activitats en un context de lleure</t>
  </si>
  <si>
    <t>7.8</t>
  </si>
  <si>
    <t>Conveni de col·laboració en activitats pedagògiques i de divulgació amb el Parc Nou (Ajuntament d’Olot)</t>
  </si>
  <si>
    <t>7.9</t>
  </si>
  <si>
    <t>Conveni de col·laboració en activitats pedagògiques i de divulgació amb el Parc de Pedra Tosca (Ajuntament de les Preses)</t>
  </si>
  <si>
    <t>7.10</t>
  </si>
  <si>
    <t>Itinerari botànic de la Moixina.</t>
  </si>
  <si>
    <t>7.11</t>
  </si>
  <si>
    <t>Cartellera interpretativa sobre la roureda de roure pènol</t>
  </si>
  <si>
    <t>7.12</t>
  </si>
  <si>
    <t>Guia de flora i vegetació del Parc</t>
  </si>
  <si>
    <t>7.13</t>
  </si>
  <si>
    <t>Editar, per a cada municipi, un document de síntesi sobre valors, diagnosi i mesures de gestió de la diversitat vegetal</t>
  </si>
  <si>
    <t>(EB) De moment. No es descarta que, en un futur, quan tinguem executades les actuacions prioritàries, ens ocupem d'aquesta.</t>
  </si>
  <si>
    <t>Estratègia per la gestió del vulcanisme</t>
  </si>
  <si>
    <t>Millorar el coneixement del vulcanisme en el Parc Natural de la Zona Volcànica de la Garrotxa.</t>
  </si>
  <si>
    <t>Elaborar una base de dades informatitzada per facilitar l'accés en tot moment a la informació referent a l’estat de la recerca del vulcanisme de la Garrotxa.</t>
  </si>
  <si>
    <t>(EB) Es disposa d'una proposta que cal treballar.</t>
  </si>
  <si>
    <t>Planificar un seguiment per integrar les noves dades que s’obtinguin de recerques, afloraments, obres i sondatges a la base de dades informatitzada, esmentada a A1.</t>
  </si>
  <si>
    <t>Caracteritzar l’activitat eruptiva dels edificis volcànics de Santa Margarida, de la Garrinada, del Montsacopa i del Traiter com a prioritaris i els altres d'interès preferencial.</t>
  </si>
  <si>
    <t>Promoure col·laboracions amb universitats o centres de recerca per completar les datacions dels edificis i colades més significatius (Reserves Naturals i afloraments d’interès)</t>
  </si>
  <si>
    <t>Proposar formes d’integració dels estudis de risc volcànic i sísmic que es vagin generant a la gestió del territori.</t>
  </si>
  <si>
    <t>(EB) Actualment s'està redactant una tesi doctoral sobre la percepció del risc volcànic a la ZVG. Seria important compartir-lo amb documents de prevenció i gestió de riscos.</t>
  </si>
  <si>
    <t>Definir les prioritats de la recerca en els treballs que puguin sorgir en els àmbits de petrologia, geoquímica, paleoclimatologia i marc tectònic-estructural.</t>
  </si>
  <si>
    <t>(EB) Es va avançant a mesura depenent de les possibilitats pressupostàries i de l'interès dels centres de recerca.</t>
  </si>
  <si>
    <t>Col.laborar amb les cartografies geològiques a escala 1:25000 de litologia, tectònica, morfologia, vulcanologia i hidrologia de l'àmbit del Parc Natural.</t>
  </si>
  <si>
    <t>(EB) Aquesta és una proposta tant interessant com ambiciosa. Potser un contacte amb l'ICGC per avançar no estaria malament!</t>
  </si>
  <si>
    <t>Conservar el valors geològics i paisatgístics del vulcanisme</t>
  </si>
  <si>
    <t>Recuperar i conservar els prats i conreus en els cràters i en els peus dels cons per facilitar l’observació i interpretació de la geomorfologia dels edificis volcànics.</t>
  </si>
  <si>
    <t>(EB) S'intenta.</t>
  </si>
  <si>
    <t>Restaurar i conservar els afloraments d'interès en bon estat, crear una xarxa de punts d'interès geològic per tal i adequar-los per a la seva correcta observació (veure C)</t>
  </si>
  <si>
    <t>(EB) S'han restaurat diversos Afloraments d'Interès Geològic, però encara n'hi ha mots de pendents (fins arribar a 61!).</t>
  </si>
  <si>
    <t>Integrar les àrees d'interès i els afloraments d'interès als planejaments municipals.</t>
  </si>
  <si>
    <t>(EB) Si no em falla la memòria, l'últim planejament municipal actualitzat va ser el d'Olot el 2003. Aquí, per exemple, podríem tenir en compte casos com el de l'urbanització del Morrot, al peu del Montsacopa.</t>
  </si>
  <si>
    <t>Programar anualment les actuacions i mesures a prendre per conservar els valors
volcànics.</t>
  </si>
  <si>
    <t>Elaborar catàlegs i cartografies a 1:5000 dels elements més interessants del vulcanisme (afloraments i tossols) que no es disposin.</t>
  </si>
  <si>
    <t>Revisar quinquenalment els valors volcànics a protegir-ne aquells elements de més interès segons la informació que aportin noves recerques.</t>
  </si>
  <si>
    <t>(EB) Es fa sobre la marxa.</t>
  </si>
  <si>
    <t>Educar a la població en els valors del vulcanisme.</t>
  </si>
  <si>
    <t>Revisar els productes divulgatius existents (programes, activitats, publicacions, equipaments i serveis) per determinar les mancances en el tractament de continguts sobre el vulcanisme.</t>
  </si>
  <si>
    <t>Dissenyar activitats i elaborar diferents recursos (publicacions i equipaments) per què facilitin la completa divulgació del vulcanisme de la Garrotxa a la població local i a la població visitant.</t>
  </si>
  <si>
    <t>Dotar la xarxa de punts d’interès geològic dels equipaments necessaris (senyalització - interpretació) per a divulgar els valors vulcanològics i conservarlos en bon estat.</t>
  </si>
  <si>
    <t>Pla Especial ZVG</t>
  </si>
  <si>
    <t xml:space="preserve">Pla rector d'ús i gestió </t>
  </si>
  <si>
    <t>Redacció, tramitació i revisió del PRUG</t>
  </si>
  <si>
    <t>Plans, programes i catàlegs específics</t>
  </si>
  <si>
    <t xml:space="preserve">Redacció del Pla d’ordenació i gestió dels hàbitats relacionats amb Natura 2000 </t>
  </si>
  <si>
    <t>(EB) Recentment s'ha acabat el treball de camp del mapa d'hàbitats (1:10.000) del Parc. Aquesta eina és prèvia i bàsica per la redacció d'aquest Pla d'Ordenació.</t>
  </si>
  <si>
    <t xml:space="preserve">Redacció del Pla d’avaluació i seguiment de l’estat del Parc Natural 
</t>
  </si>
  <si>
    <t xml:space="preserve">Redacció del Pla general forestal </t>
  </si>
  <si>
    <t xml:space="preserve">Redacció del Pla de prevenció d’incendis </t>
  </si>
  <si>
    <t xml:space="preserve">Redacció del Pla d’ordenació de l’accessibilitat </t>
  </si>
  <si>
    <t>Redacció del Pla de desenvolupament rural sostenible</t>
  </si>
  <si>
    <t>Revisió del Pla especial del bosc de Tosca</t>
  </si>
  <si>
    <t xml:space="preserve">Revisió del Pla especial Moixina-pla de Llacs </t>
  </si>
  <si>
    <r>
      <t>(EB) S'ha elaborat un document que hauria de servir per aquesta revisió és el "</t>
    </r>
    <r>
      <rPr>
        <i/>
        <sz val="10"/>
        <color rgb="FF00B0F0"/>
        <rFont val="Arial"/>
        <family val="2"/>
      </rPr>
      <t>Projecte de conservació i millora d'Hàbitats d'Interès Comunitari als paratges de la Moixina en el Marc d'Acció Prioritària en Xarxa Natura 2000</t>
    </r>
    <r>
      <rPr>
        <sz val="10"/>
        <color rgb="FF00B0F0"/>
        <rFont val="Arial"/>
        <family val="2"/>
      </rPr>
      <t>".</t>
    </r>
  </si>
  <si>
    <t xml:space="preserve">Formulació del Pla especial de l’Altiplà basàltic de Batet </t>
  </si>
  <si>
    <t xml:space="preserve">Elaboració dels plans especials dels volcans del Montsacopa i de la Garrinada </t>
  </si>
  <si>
    <t>(EB) En el cas de la Garrinada s'ha incidit en la seva expropiació com a mesura compensatòria per la construcció de la variant d'Olot.</t>
  </si>
  <si>
    <t>Elabració de programes específics d’actuació en reserves naturals i altres espais naturals d’interès preferent</t>
  </si>
  <si>
    <t>Elaboració de catàlegs d’espècies d’interès i d’indrets singulars d’interès per a la gea, la fauna, els fongs, els líquens, les plantes vasculars, etc. amb les mesures addicionals de protecció necessàries</t>
  </si>
  <si>
    <t>(EB) S'ha treballat en un disseny de catàleg i s'ha començat a treballar amb el primer d'aquesta col·lecció que seria del de briòfits.</t>
  </si>
  <si>
    <t>Equiparació dels nivells de coneixement i de planificació de les àrees incorporades al Parc Natural amb posterioritat a la seva declaració i actualització del sistema Vulcà</t>
  </si>
  <si>
    <t xml:space="preserve">Determinació de les àrees i els factors de risc i de vulnerabilitat geològica, edafològica, biològica i paisatgística. </t>
  </si>
  <si>
    <t>Actualització del sistema Vulcà</t>
  </si>
  <si>
    <t>(EB) El VULCÀ està bastant oblidat. Es continua treballant amb SIG (QGIS) però no en el marc del projecte VULCÀ. Caldria reflexionar sobre la conveniència d'abandonar-lo o, al revés, potenciar-lo.</t>
  </si>
  <si>
    <t>Adequació del planejament municipal</t>
  </si>
  <si>
    <t>Suport tècnic i econòmic necessari per a l’adequació del planejament municipal preexistent i el de nova creació.</t>
  </si>
  <si>
    <t>(EB) Darrerament no hi ha hagut modificacions i actualitzacions del planejament municipal. Tanmateix, la contractació d'un arquitecte per part del Parc pot ser molt útil en aquest sentit.</t>
  </si>
  <si>
    <t>Sistema d’avaluació i seguiment de l’estat del Parc Natural</t>
  </si>
  <si>
    <t>Elaboració d'indicadors i altres mecanismes necessaris per a l'avaluació de l'estat de conservació dels vectors ambientals principals, dels hàbitats i de les espècies d’interès i/o amenaçades</t>
  </si>
  <si>
    <t>(EB) Aquesta és una reclamació insistent, que es considera plenament justificada, per part d'alguns membres de la Junta de Protecció.</t>
  </si>
  <si>
    <t>Elaboració d'indicadors i altres mecanismes necessaris per a l'avaluació de l'estat de conservació de les reserves naturals i els altres espais d’interès natural preferent.</t>
  </si>
  <si>
    <t>Aplicació de sistemes de qualitat</t>
  </si>
  <si>
    <t>Adaptació, revalidació i aplicació del sistema de qualitat ISO 9001.</t>
  </si>
  <si>
    <t>(EB) Si? Seguim amb la ISO?</t>
  </si>
  <si>
    <t>Adaptació, revalidació i aplicació del sistema de qualitat “Q de qualitat de l’ús públic en espais protegits”, pel que fa als serveis d’ús públic.</t>
  </si>
  <si>
    <t>Implantar un sistema de gestió ambiental i obtenir el seu reconeixement mitjançant la certificació EMAS.</t>
  </si>
  <si>
    <t/>
  </si>
  <si>
    <t>Integrar els sistemes de qualitat i tendir a la unificació d’auditories de renovació i recertificació.</t>
  </si>
  <si>
    <t>Protecció, valorització i millora del patrimoni volcànic</t>
  </si>
  <si>
    <t>Recerca i desenvolupament de la base de dades de vulcanisme i de les investigacions per a un millor coneixement de les característiques del vulcanisme a la Zona Volcànica i de la seva evolució geològica (datacions, caracterització de volcans i altres indrets, identificació i avaluació de tossols i bufadors, avaluació del risc volcànic, etc.)</t>
  </si>
  <si>
    <t>(EB) Aquesta actuació lliga amb el que ja contempla l'Estrategia de vulcanisme. Seria interessant treballar en el directori d'investigadors i persones vincuades amb la recerca al Parc Natural.</t>
  </si>
  <si>
    <t>Gestió acurada de les reserves naturals volcàniques mitjançant plans d’actuacions específiques i, si és el cas, convenis i acords de custòdia amb persones propietàries, protocols de col·laboració amb els ajuntaments i convenis amb empreses concessionàries de línies elèctriques</t>
  </si>
  <si>
    <t>(EB) Falta aclarir el sistema de vinculació del Parc amb els propietaris privats. Aquest és un tema URGENT!</t>
  </si>
  <si>
    <t>Elaboració de catàlegs de tossols i de bufadors amb les normes i actuacions oportunes.</t>
  </si>
  <si>
    <t>Millora i manteniment dels afloraments d’interès geològic d’interès excepcional</t>
  </si>
  <si>
    <t>Preservació estricta dels sòls volcànics.</t>
  </si>
  <si>
    <t>Conservació dels sòls i prevenció dels riscs geològics</t>
  </si>
  <si>
    <t>Completar el mapa de sòls del Parc, la cartografia i l’avaluació de les àrees vulnerables i adequació de punts d’interès edafològic.</t>
  </si>
  <si>
    <t>(EB) La cartografia de sòls és quelcom que necessita una actualització i un nou impuls.</t>
  </si>
  <si>
    <t>Ampliar la cartografia d’àrees amb risc d’erosió i d’inestabilitat geodinàmica a les zones incorporades al Parc amb posterioritat a la seva creació.</t>
  </si>
  <si>
    <t>Aplicar les qualificacions d’agrícola d’interès edafològic o de protecció de vessants als àmbits d’interès o vulnerables, mitjançant la modificació del Pla especial</t>
  </si>
  <si>
    <t>Protecció dels espais fluvials, de les zones humides i de les fonts i surgències</t>
  </si>
  <si>
    <t>Delimitació i afitament del domini públic hidràulic als rius i rieres al seu pas pel Parc</t>
  </si>
  <si>
    <t>(EB) Depen de l'ACA. Si no li demanem, no ho faran.</t>
  </si>
  <si>
    <t>Eliminació de rescloses en desús i recuperació dels sistemes fluvials i, si és el cas, de la seva funció connectora.</t>
  </si>
  <si>
    <t>(EB) En breu s'eliminaran dues rescloses del Fluvià, la del molí de la Torre i la de can Xons. Hi ha una taula de priorització elaborada pel Parc.</t>
  </si>
  <si>
    <t>Delimitació d’àrees inundables per a l’aplicació de la legislació urbanística.</t>
  </si>
  <si>
    <t>(EB) Tanmateix, la informació existeix, només seria qüestió d'exportar-la del web de l'ACA i confegir un document propi.</t>
  </si>
  <si>
    <t>Gestió especialment acurada dels espais fluvials i zones humides qualificats com d’interès natural preferent</t>
  </si>
  <si>
    <t>Millora de fonts i surgències d’interès públic especialment significatives, i del seu entorn.</t>
  </si>
  <si>
    <t>(EB) Aquest projecte és interessant i caldria un impuls (recursos econòmics externs) per tirar-lo endavant.</t>
  </si>
  <si>
    <t>Promoure la col·laboració amb l’Agència Catalana de l’Aigua i els ens locals.</t>
  </si>
  <si>
    <t>(EB) Hi estem treballant en diferents aspectes relacionats amb la gestió de l'aigua. Per exemple amb les Reserves Naturals Subterrànies (RNS) i en les Reserves Naturals Lacustres (RNL) que tenim aquí, al Parc.</t>
  </si>
  <si>
    <t>Manteniment i millora dels aqüífers</t>
  </si>
  <si>
    <t>Programa d’estudi del sistema hidrològic de la Zona Volcànica</t>
  </si>
  <si>
    <t>Inventari actualitzat de captacions i concessions per procedir, si és el cas, a la seva regularització, revocació o clausura</t>
  </si>
  <si>
    <t>Coadjuvar al Projecte de gestió integral de la conca alta del Fluvià.</t>
  </si>
  <si>
    <t>(EB) La proposta és treballar per la creació de una Comunitt d'Usuaris de l'Aigua (CUA) de la conca alta del Fluvià.</t>
  </si>
  <si>
    <t>Completar el sistema de monitoratge piezomètric i hidroquímic per a l’avaluació i seguiment dels aqüífers</t>
  </si>
  <si>
    <t xml:space="preserve">(EB) Tenim un bon sistema de punts de control que es va ampliant cada any i un document que proposa més punts de control. </t>
  </si>
  <si>
    <t>Qualitat de les aigües superficials i subterrànies</t>
  </si>
  <si>
    <t>Definició i aplicació de les mesures correctores de les fonts contamiants, conjuntament amb els ens locals.</t>
  </si>
  <si>
    <t>(EB) Només s'ha actuat puntualment, no d'una manera normalitzada.</t>
  </si>
  <si>
    <t>Vetllar pel compliment de la normativa de depuració dels efluents agroramaders, urbans i industrials que s'aboquen als cursos fluvials, i promoure bones pràctiques entre els gestors i propietaris del territori</t>
  </si>
  <si>
    <t>Declaració de tot l’àmbit del Parc com a zona vulnerable als nitrats.</t>
  </si>
  <si>
    <t xml:space="preserve">Gestió de dejeccions ramaderes. </t>
  </si>
  <si>
    <t>Sanejament d’assentaments urbans i rurals deficitaris, en col·laboració amb els ajuntaments i l’Agència Catalana de l’Aigua.</t>
  </si>
  <si>
    <t>(EB) Encara queden petits punts per solventar, a part de la millora que requereixen algunes EDAR's.</t>
  </si>
  <si>
    <t xml:space="preserve">Inventari de focus contaminants. </t>
  </si>
  <si>
    <t xml:space="preserve">Definició de criteris i intervenció en la tramitació de plans i projectes en l’àrea d’influència hidrològica, quan puguin afectar la qualitat de les aigües en el Parc </t>
  </si>
  <si>
    <t xml:space="preserve">(EB) Periòdicament s'ha de recordar a l'ACA que ens enviin per informar les sol·licituds d'aprofitament d'aigua que </t>
  </si>
  <si>
    <t>Diversitat i continuïtat dels hàbitats</t>
  </si>
  <si>
    <t>Transposició a escales més detallades de la cartografia d’hàbitats de Catalunya</t>
  </si>
  <si>
    <t>Determinació i aplicació de mesures especials de conservació dels hàbitats de baixa representació superficial</t>
  </si>
  <si>
    <t>Determinació dels punts crítics per al manteniment de la connectivitat ecològica interna i externa del Parc.</t>
  </si>
  <si>
    <t>(EB) Hi ha els treballs sobre connectivitat d'en Xavier Mayor que ja defineixen uns punts. Tot i que diria que aquesta actuació no és ben bé això. Diria que identifica punts de més de detall.</t>
  </si>
  <si>
    <t>Espècies d’interès i/o amenaçades</t>
  </si>
  <si>
    <t>Recerca sobre espècies poc conegudes o estudiades (briòfits, líquens, etc.), les estrictament protegides en l’àmbit del Parc i, en general, les d’interès comunitari o objecte de protecció per les legislacions estatal i catalana.</t>
  </si>
  <si>
    <t xml:space="preserve">Cartografia dels àmbits amb presència de les comunitats forestals d’àrea reduïda </t>
  </si>
  <si>
    <t>Formular l’estratègia de conservació de la flora del Parc Natural</t>
  </si>
  <si>
    <r>
      <t>(EB) Què vol dir "</t>
    </r>
    <r>
      <rPr>
        <i/>
        <sz val="10"/>
        <color rgb="FF00B0F0"/>
        <rFont val="Arial"/>
        <family val="2"/>
      </rPr>
      <t>formular</t>
    </r>
    <r>
      <rPr>
        <sz val="10"/>
        <color rgb="FF00B0F0"/>
        <rFont val="Arial"/>
        <family val="2"/>
      </rPr>
      <t>" l'Estratègia?</t>
    </r>
  </si>
  <si>
    <t xml:space="preserve">Formular i aplicar plans de conservació, recuperació, i conservació de l’hàbitat d'espècies amenaçades o d’interès especial. </t>
  </si>
  <si>
    <t>Elaborar catàlegs amb mesures addicionals de protecció per a determinats grups d'espècies amenaçades o d’interès especial que ho requereixin</t>
  </si>
  <si>
    <t>(EB) S'ha començat amb el Catàleg de briòfits.</t>
  </si>
  <si>
    <t xml:space="preserve">Seguiment de l’estat de conservació de les espècies amenaçades o d’interès especial. </t>
  </si>
  <si>
    <t>Hàbitats d’interès comunitari i d’espècies d’interès comunitari (Natura 2000)</t>
  </si>
  <si>
    <t>Cartografia detallada dels hàbitats d’interès comunitari en el Parc Natural</t>
  </si>
  <si>
    <t>Aprofitaments forestals</t>
  </si>
  <si>
    <t>Inventari de les finques forestals existents en el Parc.</t>
  </si>
  <si>
    <t>(EB) Fa anys, en JP va fer un informe sobre la fragmentació de propietat al PN, del qual es podria extreure aquesta informació.</t>
  </si>
  <si>
    <t>Determinació del grau de combustibilitat en les àrees del Parc i de la seva zona d’influència no incloses en el Pla de prevenció i extinció d’incendis</t>
  </si>
  <si>
    <t>Crear o completar l’inventari de boscos madurs</t>
  </si>
  <si>
    <t>Suport tècnic i econòmic per al foment de la redacció i seguiment de projectes d’ordenació i plans tècnics de gestió i millora forestals</t>
  </si>
  <si>
    <t>Promoure la redacció d'instruments d'ordenació forestal sostenible i l'execució d'accions per la conservació i millora dels boscos i els elements d'interès</t>
  </si>
  <si>
    <t>Foment de la gestió conjunta de finques privades, mitjançant estudis de viabilitat, suport tècnic, convenis i instruments de planificació unitaris.</t>
  </si>
  <si>
    <t>Foment dels convenis i acords de custòdia en cooperació amb les entitats representatives del sector forestal.</t>
  </si>
  <si>
    <t>Aprofitaments cinegètics i piscícoles</t>
  </si>
  <si>
    <t>Creació d’àrees privades i locals de caça en les àrees lliures de caça que romanen en l’àmbit del Parc, o la integració d’aquestes àrees en les existents.</t>
  </si>
  <si>
    <t>(EB) Abans, una zona lliure era una zona on hi podia anar a caçar tothom. Ara, si hi ha una zona no acotada, dins el PN, no hi pot anar a caçar ningú.</t>
  </si>
  <si>
    <t>Actualització cartogràfica i clarificació dels àmbits de les àrees privades de caça</t>
  </si>
  <si>
    <t>(EB) Això es fa amb les renovacions dels Plans Tècnics de Gestió Cinegètica (PTGC).</t>
  </si>
  <si>
    <t>Acords amb les societats cinegètiques a fi que els nous plans tècnics de gestió cinegètica estableixin àrees de refugi, amb criteris globalment comuns, que comprenguin les zones de més alt interès faunístic.</t>
  </si>
  <si>
    <t>(EB) Algunes APC els han integrat, d'altres, no.</t>
  </si>
  <si>
    <t>Promoció d’acords amb societats locals de pesca per a la millora de l’entorn fluvial.</t>
  </si>
  <si>
    <t>(EB) Tot i que la Societat de Pesca està dins el Consell de Cooperació, fa molts anys que no hi mantenim contactes.</t>
  </si>
  <si>
    <t>Campanyes de seguiment de les espècies cinegètiques i piscícoles.</t>
  </si>
  <si>
    <t>(EB) De cinegètiques seguim senglar i cabirol, de piscícoles, cap.</t>
  </si>
  <si>
    <t>Campanyes de divulgació i sensibilització entre les societats cinegètiques i de pesca</t>
  </si>
  <si>
    <t>Desenvolupament i actualització de les unitats visuals</t>
  </si>
  <si>
    <t>Programa específic de divulgació dels paisatges del Parc i les seves característiques i signes identitaris, adreçat tant a la població local com a les persones visitants.</t>
  </si>
  <si>
    <t>(EB) Com a "programa específic" diria que no s'ha fet.</t>
  </si>
  <si>
    <t>Implantació de mesures per a que qualsevol obra, activitat o implantació d’usos es realitzi d’acord amb els objectius de qualitat ambiental i paisatgística i les determinacions fixades al Pla especial Unitats visuals</t>
  </si>
  <si>
    <t>(EB) Això es fa a través dels informes preceptius i autoritzacions.</t>
  </si>
  <si>
    <t>Estudis de la caracterització dels paisatges i la determinació de vulnerabilitats,amb requeriments paisatgístics de consideració obligada en les avaluacions ambientals estratègiques, els estudis d’impacte ambiental i els estudis paisatgístics.</t>
  </si>
  <si>
    <t>Gestió de les reserves naturals, d’altres espais naturals d’interès preferent i de finques públiques</t>
  </si>
  <si>
    <t>Adquisició de sòl en Reserves naturals i altres espais naturals d'interès preferent, i finques amb boscos madurs, HIC, espècies amenaçades, o que siguin necessàries per al manteniment o la recuperació d'elements d'interès</t>
  </si>
  <si>
    <t>(EB) Actuació importantíssima que no depen del Parc, sinó de la voluntat i capacitat del departament</t>
  </si>
  <si>
    <t>Cessions d’ús, l’expropiació i la imposició de servituds o acords de custòdia en Reserves naturals i altres espais naturals d'interès preferent</t>
  </si>
  <si>
    <t>Promoció de protocols amb els ajuntaments i convenis i acords amb les empreses propietàries o gestores de les línies elèctriques que travessen reserves naturals, per corregir els impactes ocasionats.</t>
  </si>
  <si>
    <t>(EB) No s'han redactat ni protocols, ni convenis, ni acords. Seria un tema a treballar.</t>
  </si>
  <si>
    <t>Establiment d’objectius de gestió i elaboració de programes específics d’actuació en finques públiques gestionades pel Parc Natural</t>
  </si>
  <si>
    <t xml:space="preserve">(EB) En les finques públiques pròpies (Generalitat) s'hauria de fer. En les finques d'altres administracions això passa, primer, per clarificar la formula d'acord amb els propietaris de les finques </t>
  </si>
  <si>
    <t>Manteniment, millora, valorització i diversificació de l’activitat agropecuària. Marc de cooperació amb el sector agrari.</t>
  </si>
  <si>
    <t>Redacció del Marc de cooperació amb el sector agrari, amb la participació dels sectors directament interessats</t>
  </si>
  <si>
    <t>Alternatives viables d’agricultura ecològica i de promoció dels productes i de les varietats agroalimentàries pròpies i/o tradicionals de la zona. Revalorització de varietats antigues d’arbres fruiters i de plantes hortícoles de la Garrotxa.</t>
  </si>
  <si>
    <t>Assessorar i donar suport als productors agropecuaris i forestals en l'aplicació de bones pràctiques per la conservació dels hàbitats i les espècies presents</t>
  </si>
  <si>
    <t>Potenciació d’una marca del Parc per a productes agropecuaris com a acreditació d’un compromís de l’explotació amb la gestió i conservació del Parc.</t>
  </si>
  <si>
    <t>Promoció d’estudis per a la determinació objectiva de les càrregues ramaderes òptimes per als diferents tipus de pastures.</t>
  </si>
  <si>
    <t xml:space="preserve">Foment de la ramaderia extensiva i manteniment i millora de les pastures permanents. Contenció de la intensificació en la ramaderia i gestió correcta de les dejeccions ramaderes. 
</t>
  </si>
  <si>
    <t>Sistemes d’informació, suport i assessorament a l’ambientalització de les activitats agràries.</t>
  </si>
  <si>
    <t>Gestió de dejeccions ramaderes i foment de la ramaderia extensiva</t>
  </si>
  <si>
    <t>Elaboració del Pla de fertilització nitrogenada.</t>
  </si>
  <si>
    <t>Condicionar les ampliacions i reformes autoritzables de les instal·lacions existents a la millora de les condicions ambientals i paisatgístiques.</t>
  </si>
  <si>
    <t>(EB) Entenc que això ja es fa mitjançant els informes preceptius.</t>
  </si>
  <si>
    <t>Promoció d’acords i convenis per a la millora de les condicions ambientals i paisatgístiques de les instal·lacions de ramaderia intensiva i del seu entorn.</t>
  </si>
  <si>
    <t>(EB) Ja hi tornem amb el tema acords/convenis.</t>
  </si>
  <si>
    <t>9.2</t>
  </si>
  <si>
    <t>Implementació del model d’ús públic del Pla especial</t>
  </si>
  <si>
    <t>Creació d’una xarxa d’aparcaments estratègicament distribuïts per canalitzar adequadament els fluxos de persones visitants i la seva intensitat</t>
  </si>
  <si>
    <t>Mesures per afavorir el transport públic</t>
  </si>
  <si>
    <t>Redacció d'un Pla d’accessibilitat per a discapacitats</t>
  </si>
  <si>
    <t>Implantació de la xarxa de senders: arranjaments, senyalització, divulgació, recuperació de fonts, etc.</t>
  </si>
  <si>
    <t>Pla de senyalització per dirigir els fluxos de persones visitants als indrets adequats (àmbit comarcal).</t>
  </si>
  <si>
    <t>Establiment de sistemes d’estimació del nombre, les característiques i la distribució territorial i temporal de persones visitants i d’avaluació del seu impacte.</t>
  </si>
  <si>
    <t>Programes de sensibilització per a la població local, escolar i forana i per als gestors del territori.</t>
  </si>
  <si>
    <t>Fomentar l’estalvi energètic i l’ús d’energies renovables en el sector turístic</t>
  </si>
  <si>
    <t>Creació d’equipaments nous de caràcter públic: centre d’informació nou a l’antiga estació de Sant Feliu de Pallerols, mòdul de serveis a l’aparcament contigu al volcà de Santa Margarida, substitució de l’edifici de Can Passavent, nova seu del Parc Natural a Olot, etc.</t>
  </si>
  <si>
    <t>Recuperació ecològica i paisatgística de la Moixina. Millora forestal de les finques públiques. </t>
  </si>
  <si>
    <t>Actuacions de gestió forestal dirigides al manteniment de la maduresa i naturalitat de la massa en boscos públics a la Moixina.</t>
  </si>
  <si>
    <t>(EB) Las parcel·les més interessants que acullen boscos són de propietat pública. La possibilitat de gestió del Parc passa per clarificar la forma de relació entre el Parc i l'administració propietaria. Aquest és un tema urgent a resoldre!</t>
  </si>
  <si>
    <t>Manteniment dels punts d’aigua com a basses o entollaments temporals presents com a zones importants per la flora i fauna aquàtica i terrestre amb una secció sense accés al bestiar a la Moixina. </t>
  </si>
  <si>
    <t>(EB) Aquesta actuació està vinculada a l'anterior. Tanmateix, s'hauria de plantejar actuacions concretes en petits espais que tenen basses temporals.</t>
  </si>
  <si>
    <t>Actuacions de millora de la maduresa dels boscos dels hàbitats 9160, 9240 i 9540 a la Moixina</t>
  </si>
  <si>
    <t>(EB) Actuació prioritària</t>
  </si>
  <si>
    <t>Elaboració i execució de plans de control d'espècies exòtiques i prevenció del seu ús en activitats productives en zones fluvials a la Moixina. </t>
  </si>
  <si>
    <t>(EB) Més que plans de control el que es fa és cartografia que serveix de base per a futures actuacions.</t>
  </si>
  <si>
    <t>Restauració de la morfologia, la connectivitat i les riberes de les masses d'aigua rius del DCFC a la Moixina.</t>
  </si>
  <si>
    <t>(EB) S'està actuant en diferents nivells: eliminació de rescloses, eliminació de flora invasora i control de les actuacions mitjançant els informes preceptius.</t>
  </si>
  <si>
    <t>Millora de la connectivitat entre les localitats amb presència de boscos de ribera així com entre els hàbitats aquàtics i els ecosistemes naturals terrestres adjacents, especialment pels hàbitats d'estanys i basses de la Moixina. </t>
  </si>
  <si>
    <t>Identificació, diagnòstic i proposta de conservació/restauració de punts d'aigua dins el Parc Natural de la Zona Volcànica de la Garrotxa.</t>
  </si>
  <si>
    <t>Manteniment dels punts d’aigua, basses o entollaments temporals presents com a zones importants per a la flora i fauna aquàtica i terrestre amb una secció sense accés al bestiar. </t>
  </si>
  <si>
    <t>(EB) La Diputació de Girona ha contractat a l'empresa La Sorellona per fer una cartografia dels punts d'aigua del Parc.</t>
  </si>
  <si>
    <t>Millora de la cartografia a petita escala de les àrees de presència d'hàbitats d'interès comunitari.</t>
  </si>
  <si>
    <t>Recuperació ecològica i paisatgística de la Moixina. Construcció d’una passarel·la per evitar l’impacte sobre les parcel·les de més interès ecològic. </t>
  </si>
  <si>
    <t>Execució de mesures pel control de l'accés de persones i vehicles motoritzats en les zones amb presència d'hàbitats o a àrees d'interès per a espècies d'interès comunitari a la Moixina.</t>
  </si>
  <si>
    <t>(EB) Amb el tema de la construcció d'una passarel·la a la Moixina s'hi està treballant i s'estan valorant diferents opcions de finançament.</t>
  </si>
  <si>
    <t>Restauració de la morfologia, la connectivitat i les riberes de les masses d'aigua afectades per la construcció d’una passarel·la a la Moixina</t>
  </si>
  <si>
    <t>(EB) L'actuació va vinculada a la construcció de la passarel·la.</t>
  </si>
  <si>
    <t>Recuperació ecològica i paisatgística de la Moixina. Millora hidrològica i ecològica dels Estanys d’en Broc </t>
  </si>
  <si>
    <t>Millora hidrològica i ecològica dels Estanys d’en Broc a través de l'aplicació de les mesures del capítol A3 del Programa de mesures del Pla de gestió de l'aigua. </t>
  </si>
  <si>
    <t>(EB) Cal trobar finançament per executar aquesta actuació.</t>
  </si>
  <si>
    <t xml:space="preserve">Recuperació ecològica i paisatgística de la Moixina. 
Estudi hidrològic i hidrogràfic dels paratges de la Moixina. Estat actual de la Reserva Natural Subterrània i elaboració d’un Pla estratègic i de seguiment. </t>
  </si>
  <si>
    <t>Estudi sobre l’ecologia dels hàbitats de la Moixina dels quals no es té prou informació  i el seu estat de conservació.</t>
  </si>
  <si>
    <t>(EB) Estudi bàsic per gestionar els espais naurals de la Moixina.</t>
  </si>
  <si>
    <t>Actuacions de recuperació ecològica i paisatgística de la Moixina a través de l'aplicació de les mesures del capítol A3 del Programa de mesures del Pla de gestió de l'aigua. </t>
  </si>
  <si>
    <t xml:space="preserve">(EB) Associada a l'actuació anterior. </t>
  </si>
  <si>
    <t>Avaluació de les actuacions que requereixen drenatges, captacions  i altres usos de les masses d'aigua o que puguin impedir l’arribada d’aigua tant superficial com freàtica afectant a la conservació dels elements d'interès comunitari de la Moixina.</t>
  </si>
  <si>
    <t>(EB) Associadaltres altres l'avaluacó anterior.</t>
  </si>
  <si>
    <t>Adquisició de la roureda de Cuní i del bosc de la font de Cuní (Olot).</t>
  </si>
  <si>
    <t>Adquisició de la roureda de Cuní i del bosc de la font de Cuní amb rodals madurs, premadurs, o amb agrupacions d’arbres grans, vells, morts en peu, amb abundància de cavitats. També s'hi inclouen boscos singulars per raons biogeogràfiques o d'escassetat.</t>
  </si>
  <si>
    <t>(EB) Calen recursos extres per comprar la finca.</t>
  </si>
  <si>
    <t>Estudi de la distribució i estatus de conservació del barb de muntanya (Barbus meridionalis) al Parc Natural de la Zona Volcànica de la Garrotxa </t>
  </si>
  <si>
    <t>Estudi de la distribució i estatus de conservació del barb de muntanya (Barbus meridionalis)</t>
  </si>
  <si>
    <t>(EB) Estudi encarregat per la Diputació de Girona. Començarà el 2025.</t>
  </si>
  <si>
    <t xml:space="preserve">Estudi de l'estat de conservació i l'ecologia de les espècies d’odonats d’interès comunitari presents en el Parc Natural de la Zona Volcànica de la Garrotxa </t>
  </si>
  <si>
    <t>Estudi de l'estat de conservació i l'ecologia de les espècies d’odonats d’interès comunitari presents</t>
  </si>
  <si>
    <t>(EB) S'està buscant finançament.</t>
  </si>
  <si>
    <t xml:space="preserve">Adequació de l’edificació de la Deu Vella (Olot) per a potenciar el seu ús com a refugi per a ratpenats. </t>
  </si>
  <si>
    <t xml:space="preserve">Adequació de l’edificació de la Deu Vella (Olot) com a refugi de Rhinolophus ferrumequinun, preferiblement propers a llacunes. </t>
  </si>
  <si>
    <t xml:space="preserve">Estudi de la distribució i estat de conservació de la Euphydryas aurinia en el Parc Natural de la Zona Volcànica de la Garrotxa </t>
  </si>
  <si>
    <t>Estudis per a la millora del coneixement de la especificitat alimentícia de l'eruga d'Euphydryas aurinia i de selecció de l'hàbitat.</t>
  </si>
  <si>
    <t xml:space="preserve">Estudis sobre l’estatus, distribució i biologia de les espècies d'invertebrats d'interès comunitari. </t>
  </si>
  <si>
    <t xml:space="preserve">Compra camp de Can Fumarola al paratge de la Moixina </t>
  </si>
  <si>
    <t xml:space="preserve">Actuacions de restauració dels indrets de Can Fumarola amb presència d'espècies d'interès comunitari en zones de prats i pastures en base a una identificació i valoració de l'estat de conservació. </t>
  </si>
  <si>
    <t xml:space="preserve">Compra camp de Can Fumerola al paratge de la Moixina </t>
  </si>
  <si>
    <t xml:space="preserve">Millora de la connectivitat entre les localitats amb presència de boscos de ribera de Can Fumarola així com entre els hàbitats aquàtics i els ecosistemes naturals terrestres adjacents, especialment pels hàbitats d'estanys i basses. </t>
  </si>
  <si>
    <t>Compra de la finca Meandre del Collell, al riu Fluvià (Olot)</t>
  </si>
  <si>
    <t xml:space="preserve">Recuperació ecològica i paisatgística de la Moixina. Millora ambiental de la finca pública de la Teularia </t>
  </si>
  <si>
    <t xml:space="preserve">Elaboració i execució de plans de control d'espècies exòtiques i prevenció del seu ús en activitats productives en zones fluvials a la finca pública de la Teularia. </t>
  </si>
  <si>
    <t>(EB) Restauració a punt de finalitzar.</t>
  </si>
  <si>
    <t xml:space="preserve">Recuperació ecològica i paisatgística de la Moixina. 
Millora ambiental de la finca pública de la Teularia </t>
  </si>
  <si>
    <t>Manteniment dels punts d’aigua, basses o entollaments temporals presents com a zones importants per a la flora i fauna aquàtica i terrestre amb una secció sense accés al bestiar a la finca pública de la Teularia.</t>
  </si>
  <si>
    <t xml:space="preserve">Realització de les estassades de forma més selectives per tal d'evitar la tala d'espècies d'interès especial a la finca pública de la Teularia. </t>
  </si>
  <si>
    <t xml:space="preserve">Restauració de la morfologia, la connectivitat i les riberes de les masses d'aigua i rius del DCFC a la finca pública de la Teularia. </t>
  </si>
  <si>
    <t xml:space="preserve">Recuperació de prats de dall (5% de la superfície actual) a la finca pública de la Teularia. </t>
  </si>
  <si>
    <t>Recuperació paisatgística de la finca del Triangle</t>
  </si>
  <si>
    <t>Manteniment dels espais oberts (conreus i pastures), els prats de dall i un paisatge en mosaic en les zones amb presència destacada d'espècies d'interès comunitari a la la finca del Triangle</t>
  </si>
  <si>
    <t>(EB) S'ha passat ordre d'estudi a Infraestructures.cat. Es planteja projecte prèvia compra de la parcel·la.</t>
  </si>
  <si>
    <t>Establiment de programes de seguiment de les espècies d'invertebrats d'interès comunitari a la la finca del Triangle.</t>
  </si>
  <si>
    <t xml:space="preserve">Actuacions de regeneració d'aiguamolls i llacunes dessecades o contaminades a la la finca del Triangle a través de l'aplicació de les mesures del capítol A3 del Programa de mesures del Pla de gestió de l'aigua. </t>
  </si>
  <si>
    <t xml:space="preserve">Actuacions de manteniment dels matollars d’arç blanc i aranyoner, principals plantes nutrícies d'Eriogaster catax, a la finca del Triangle. </t>
  </si>
  <si>
    <t>Actuacions de manteniment de les masses de lligabosc (Lonicera sp) com a principal planta nutrícia d'Euphydryas aurinia, a la finca del Triangle</t>
  </si>
  <si>
    <t xml:space="preserve">Seguiment i estudi del Nyctalus lasiopterus al Parc Natural de la Zona Volcànica de la Garrotxa </t>
  </si>
  <si>
    <t xml:space="preserve">Estudis sobre l’estatus i ecologia del Nyctalus lasiopterus </t>
  </si>
  <si>
    <t>(EB) Des del CCTFC s'està fent alguna cosa, amb el suport del Parc.</t>
  </si>
  <si>
    <t xml:space="preserve">Adaptació de dues rescloses del riu Fluvià per afavorir l’hàbitat i la connectivitat fluvial </t>
  </si>
  <si>
    <t xml:space="preserve">Creació de connectors fluvials en estructures en ús al riu Fluvià quan hi ha canvis en el títol concessional i altres casuístiques. </t>
  </si>
  <si>
    <t>(EB) Requereix de suport extra.</t>
  </si>
  <si>
    <t>Implementació dels cabals ecològics al riu Fluvià segons marc normatiu del Pla de gestió de l'Aigua (2016-2021) i aplicació de les mesures</t>
  </si>
  <si>
    <t>Actuacions de millora de l'habitat de Lutra lutra al riu Fluvià.</t>
  </si>
  <si>
    <t>Neteja, conservació i restauració de la bassa del molí de les fonts i del seu hàbitat circumdant</t>
  </si>
  <si>
    <t>Restauració de la morfologia, la connectivitat i les riberes a la bassa del molí de les fonts</t>
  </si>
  <si>
    <t>(EB) S'hi ha començat a treballar (contactes amb el propietari, sol·licitud de pressupost,...). Es fa seguiment botànic de les espècies d'hidròfits que hi ha a la bassa.</t>
  </si>
  <si>
    <t>Millora de la connectivitat entre les localitats amb presència de boscos de ribera així com entre els hàbitats aquàtics i els ecosistemes naturals terrestres adjacents a la bassa del molí de les fonts</t>
  </si>
  <si>
    <t>Elaboració i execució de plans de control d'espècies exòtiques i prevenció del seu ús en activitats productives a la bassa del molí de les fonts</t>
  </si>
  <si>
    <t>Execució de mesures pel control de l'accés de persones i vehicles motoritzats en les zones amb presència d'hàbitats o a àrees d'interès per a espècies d'interès comunitari a la bassa del molí de les fonts</t>
  </si>
  <si>
    <t xml:space="preserve">Actuacions de millora de l'habitat de Lutra lutra a la bassa del molí de les fonts. </t>
  </si>
  <si>
    <r>
      <t>Actuacions de restauració de zones de cria d'</t>
    </r>
    <r>
      <rPr>
        <i/>
        <sz val="11"/>
        <color theme="1"/>
        <rFont val="Calibri"/>
        <family val="2"/>
        <scheme val="minor"/>
      </rPr>
      <t>Emys orbicularis</t>
    </r>
    <r>
      <rPr>
        <sz val="11"/>
        <color theme="1"/>
        <rFont val="Calibri"/>
        <family val="2"/>
        <scheme val="minor"/>
      </rPr>
      <t xml:space="preserve"> i </t>
    </r>
    <r>
      <rPr>
        <i/>
        <sz val="11"/>
        <color theme="1"/>
        <rFont val="Calibri"/>
        <family val="2"/>
        <scheme val="minor"/>
      </rPr>
      <t>Mauremys leprosa a la bassa del molí de les fonts</t>
    </r>
    <r>
      <rPr>
        <sz val="11"/>
        <color theme="1"/>
        <rFont val="Calibri"/>
        <family val="2"/>
        <scheme val="minor"/>
      </rPr>
      <t>.</t>
    </r>
  </si>
  <si>
    <t>Execució de plans de control de crancs invasors (Procambarus clarki, Pacifastacus leniusculus i Orconectes limosus) a la bassa del molí de les fonts.</t>
  </si>
  <si>
    <t xml:space="preserve">Potenciació de franges de ribera entre cultius i la llera (DPH) de la bassa del molí de les fonts a través, per exemple, de les mesures incloses al PDR de Catalunya. </t>
  </si>
  <si>
    <t>Actuacions de regeneració de la bassa del molí de les fonts</t>
  </si>
  <si>
    <t>Gestió agrària i ramadera</t>
  </si>
  <si>
    <t xml:space="preserve"> Fomentar bones pràctiques agràries en relació amb la fertilització</t>
  </si>
  <si>
    <t>Establiment de camps experimentals</t>
  </si>
  <si>
    <t>Seguiment de la qualitat de les aigües</t>
  </si>
  <si>
    <t>Millorar la situació de contaminació per nitrats de les aigües subterranies</t>
  </si>
  <si>
    <t xml:space="preserve"> Potenciar la ramaderia extensiva i conservar els hàbitats de pastura</t>
  </si>
  <si>
    <t>Conèixer els tipus d’hàbitats de pastura presents al Parc Natural, la manera en què hi estan distribuïts, l’estat de conservació des d’un punt de vista ecològic i l’evolució  d’aquestes variables en el temps</t>
  </si>
  <si>
    <t>Conèixer l'estat de conservació dels dels hàbitats de pastura del Parc Natural.</t>
  </si>
  <si>
    <t>Definir i executar actuacions que permetessin millorar i conservar en un bon estat ecològic els hàbitats de pastura del Parc Natural.</t>
  </si>
  <si>
    <t>Incentivar unes produccions agrària i ramadera sostenibles</t>
  </si>
  <si>
    <t xml:space="preserve">Foment de sistemes productius basats en l’aplicació de tècniques que permetin la implantació de cultius i pastures de manera respectuosa amb el medi natural </t>
  </si>
  <si>
    <t>Marc de cooperació Fet al parc</t>
  </si>
  <si>
    <t>Establir acords de col·laboració amb explotacions agràries i ramaderes del PN en el marc de Fet al Parc</t>
  </si>
  <si>
    <t>Difondre la tasca i el compromís dels agricultors i dels ramaders amb la conservació de l’espai natural protegit a la societat en general</t>
  </si>
  <si>
    <t>Contribuir a la valorització dels productes elaborats en les explotacions agropecuàries</t>
  </si>
  <si>
    <t>Promoure millores en les pràctiques agràries i ramaderes per tal d’optimitzar els efectes positius sobre el medi natural minimitzant les possibles afectacions que es puguin detectar</t>
  </si>
  <si>
    <t>Potenciar millores per a la integració paisatgística de les explotacions</t>
  </si>
  <si>
    <t>Formació i divulgació de coneixement agronòmic</t>
  </si>
  <si>
    <t>Jornades dirigides a agricultors i ramaders (recerca feta directament pel Parc Natural, foment de bones pràctiques agràries, etc)</t>
  </si>
  <si>
    <t>Planificació anual 2025</t>
  </si>
  <si>
    <t>Mobiliari interior Can Passavent- Can Serra_Casal del Volcans</t>
  </si>
  <si>
    <t>Lloguer caseta informació Santa Margarida</t>
  </si>
  <si>
    <t>Manteniment i rec de les plantacions de Can Serra i Can Passavent</t>
  </si>
  <si>
    <t xml:space="preserve">Servei control GPS vehicles del Parc </t>
  </si>
  <si>
    <t>Assessorament arquitectònic</t>
  </si>
  <si>
    <t xml:space="preserve">Pla Especial Bosc de Tosca </t>
  </si>
  <si>
    <t>Taxa renovació ISO</t>
  </si>
  <si>
    <t>Assessorament ISO</t>
  </si>
  <si>
    <t>Jornada de recerca del Parc Natural</t>
  </si>
  <si>
    <t>(EB) Se n'ha parlat en alguna actuació prèvia.</t>
  </si>
  <si>
    <t>Patrocini llibre Parc Natural editorial Gavarres</t>
  </si>
  <si>
    <t>Projecte Quilómetre 0 i Fet al Parc</t>
  </si>
  <si>
    <t>Admin</t>
  </si>
  <si>
    <t>Despeses bancaries</t>
  </si>
  <si>
    <t>Manteniment edificis propis</t>
  </si>
  <si>
    <t>Material de brigades</t>
  </si>
  <si>
    <t>Manteniment cabana de Can Jordà</t>
  </si>
  <si>
    <t>Manteniment de vehicles</t>
  </si>
  <si>
    <t>Manteniment d'instal·lacions</t>
  </si>
  <si>
    <t>Manteniment de maquinaria i utillatge</t>
  </si>
  <si>
    <t>Manteniment d'alarmes</t>
  </si>
  <si>
    <t>Avaries i altres imprevistos</t>
  </si>
  <si>
    <t>Servei remot de suport aparcament Can Serra</t>
  </si>
  <si>
    <t>Material ordinari no inventariable</t>
  </si>
  <si>
    <t>Material de ferreteria</t>
  </si>
  <si>
    <t>Combustible per calefacció</t>
  </si>
  <si>
    <t>Vestuari</t>
  </si>
  <si>
    <t>Adquisició altres subministrament</t>
  </si>
  <si>
    <t>Despeses de transport</t>
  </si>
  <si>
    <t>Organització de reunions i conferències</t>
  </si>
  <si>
    <t>Manteniment preventiu trimestral sistema de cobrament aparcament de Can Serra</t>
  </si>
  <si>
    <t>Acompanyament tècnic filmacions i sessions fotogràfiques</t>
  </si>
  <si>
    <t xml:space="preserve">Reedició tiquets cobrament aparcament </t>
  </si>
  <si>
    <t>Inversions en maquinaria i utillatge</t>
  </si>
  <si>
    <t>Localitzadors cotxe</t>
  </si>
  <si>
    <t>Patrimoni Agro</t>
  </si>
  <si>
    <t>compra de material tancament parcel·les, adob, llavor .... per assaig i seguiment parcel·les comercials (sembra llavor)</t>
  </si>
  <si>
    <t>capitol 6: trituradora mostres herba, barrina edelman, llum laboratori, pantalla projector gran, parades fusta can Serra</t>
  </si>
  <si>
    <t>publicació material Fet al parc (llibrets, pósters ....)</t>
  </si>
  <si>
    <t>edició vídeo Fet al Parc</t>
  </si>
  <si>
    <t>elaboració tríptic prats de dall vinculat a sembra llavor pastures</t>
  </si>
  <si>
    <t>col·laboració edició receptari creu roja amb productes d'explotacions de Fet al Parc</t>
  </si>
  <si>
    <t>menú Fet al parc restaurants CETS i Cuina Volcànica</t>
  </si>
  <si>
    <t>analítiques assaigs</t>
  </si>
  <si>
    <t>treballs a assaigs i parcel·les de seguiment</t>
  </si>
  <si>
    <t>infraestructures camins accés parcel·les agràries can Vidal</t>
  </si>
  <si>
    <t>coordinació de Fet al parc, enllaç amb explotacions i elaboració acords</t>
  </si>
  <si>
    <t>tractament mostres sòls i material vegetal lab</t>
  </si>
  <si>
    <t>tasques de suport agrari en assaigs i en dinamització de fet al parc</t>
  </si>
  <si>
    <t>preparar plec 2026/2030 / proposta menor Barcelona / romanent</t>
  </si>
  <si>
    <t>Subministrament de productes de Fet al parc per obsequis  visites o apats protocolaris organitzats des del Parc Natural</t>
  </si>
  <si>
    <t>activitat continuada assaig rotació cultius en producció agrària ecològica</t>
  </si>
  <si>
    <t>activitat continuada assaig pastures</t>
  </si>
  <si>
    <t>activitat puntual (jornada) sobre assaigs pastures</t>
  </si>
  <si>
    <t>CETS</t>
  </si>
  <si>
    <t>Tasques de suport per a la renovació de la CETS</t>
  </si>
  <si>
    <t>Jornada seguiment OKR i retrospectiva CETS</t>
  </si>
  <si>
    <t>Serveis de suport aplicació CETS  Fase 2. Turisme Garrotxa</t>
  </si>
  <si>
    <t>Formació: formació CETS - Jornades PATT  (2 Jornades)</t>
  </si>
  <si>
    <t>Serveis ecosistèmics culturals per a la salut</t>
  </si>
  <si>
    <t>Calendari anual activitats 4D Parc</t>
  </si>
  <si>
    <t>Accessibilitat universal</t>
  </si>
  <si>
    <t>Dinamització de la CETS</t>
  </si>
  <si>
    <t>Focus group (CETS)</t>
  </si>
  <si>
    <t>Incorporació de fons documental per al centre de documentació i els Punts de Documentació associats</t>
  </si>
  <si>
    <t>Accio repetida (357)</t>
  </si>
  <si>
    <t>Adquisició de material digital, fotogràfic, vídeos... Per incorporar al Fons documental del PNGarrotxa</t>
  </si>
  <si>
    <t>Digitalització de treballs del fons documental del PNGarrotxa: CD i Arxiu</t>
  </si>
  <si>
    <t>Registre, catalogació i correccions a catàlegs col•lectius on entra registres el CDPNGarrotxa (i els Punts de Documentació associats)</t>
  </si>
  <si>
    <t>Introducció de registres al repositori institucional del fons documental del PNGarrotxa (i dels Punts de Documentació associats)</t>
  </si>
  <si>
    <t>Suport en penjar coses a la web institucional, revisió de continguts i estructura, enllaços que no funcionen i millorar-ne l'accessibilitat.</t>
  </si>
  <si>
    <t>Suport en el contacte amb entitats i organitzacions per col·laborar amb el CDPNGarrotxa</t>
  </si>
  <si>
    <t>Participar en la celebració de jornades i activitats per difondre el CD i el PNGarrotxa</t>
  </si>
  <si>
    <t>Manteniment i expansió de la xarxa de Minibiblioteques</t>
  </si>
  <si>
    <t>Col·laboració en iniciatives de xarxes de biblioteques com ara DocAmbCat o RECIDA</t>
  </si>
  <si>
    <t>UP</t>
  </si>
  <si>
    <t>Coordinació i redacció del Pla estratègic d'educació i voluntarit ambiental del PNZVG</t>
  </si>
  <si>
    <t>Desplegar el Pla estratègic 2021-2030 d’educació i voluntariat ambiental del Parc Natural dels Ports (PEEVA): Educació ambiental</t>
  </si>
  <si>
    <t>Activitats sobre biodiversitat relacionades amb les campanyes (Moixina, Les Preses, Sant Feliu de Pallerols (gorgs)i Sant Feliu de Pallerols (poble botànic del Pirineu</t>
  </si>
  <si>
    <t xml:space="preserve">Suport a projectes divulgatius, participatius, de conservació de les entitats </t>
  </si>
  <si>
    <t>FORMACIÓ (curs bon coneixement, gestió, Qualitat EA, formació contínua i montors en el lleure)</t>
  </si>
  <si>
    <t>Agenda escolar</t>
  </si>
  <si>
    <t>Edició recursos divulgatius del Parc</t>
  </si>
  <si>
    <t>Oferta pedagògica</t>
  </si>
  <si>
    <t>Disseny i maquetació de recursos per a les campanyes (herba alta, Moixina, inicis itineraris i cartelleres noves d'entrades a reserves)</t>
  </si>
  <si>
    <t>Elaboració de maquetes de senyalització</t>
  </si>
  <si>
    <t>Contracte retolació</t>
  </si>
  <si>
    <t>Recursos de comunicació (càpsules, videos, imatges, publicacions...)</t>
  </si>
  <si>
    <t>Enquestes habitants i visitants</t>
  </si>
  <si>
    <t>Disseny i elaboració de l' Exposició permanent informació PN al Casal dels Vollcans</t>
  </si>
  <si>
    <t>Arranjament Casal Volcans CI</t>
  </si>
  <si>
    <t>explicar</t>
  </si>
  <si>
    <t>PN</t>
  </si>
  <si>
    <t>Guia bones pràctiques per promocionar invertebrats</t>
  </si>
  <si>
    <t>Su</t>
  </si>
  <si>
    <t>Asistencia tècnica a la gestió i conservació del patrimoni geològic i la geodiversitat</t>
  </si>
  <si>
    <t>(EB) Puja 4.000€ respecte l'any anterior perquè inclou l'actualització de l'Estratègia. Després dels darrers esdeveniments, cal replantejar l'assessorament.</t>
  </si>
  <si>
    <t>Anàlisi mostres paleomagnetisme</t>
  </si>
  <si>
    <t>(EB) Recerca geològica amb els de GEO3BCN (anem cobrint buits d'informació).</t>
  </si>
  <si>
    <t>Restauració afloraments interès geològic (AIG)</t>
  </si>
  <si>
    <t>(EB) Propostes: gredera de Caselles, gredera de la font de la Salut (Bisaroques). Cal negociació prèvia amb el propietari.</t>
  </si>
  <si>
    <t>Manteniment d'afloraments d'interès geològic AIG (Pomereda et al.)</t>
  </si>
  <si>
    <t xml:space="preserve">(EB) Aquí inclouria el que hauríem de fer a la Pomereda. </t>
  </si>
  <si>
    <t>Treballs forestals al AIG de la cinglera de Castellfollit de la Roca</t>
  </si>
  <si>
    <t>(EB) Desbrossada anual i control d'invasores a peu de cinglera (Xevi Pujolàs).</t>
  </si>
  <si>
    <t>Assistència tècnica a la gestió de les aigües</t>
  </si>
  <si>
    <t>(EB) Assessorament Joan Bach (últimament hi ha molts informes preceptius sobre aprofitaments)</t>
  </si>
  <si>
    <t>Adquisició de 2 sondes de mesura en continu (Divers)</t>
  </si>
  <si>
    <t>(EB) Les demanem cada any per anar ampliant els punts de control.</t>
  </si>
  <si>
    <t>Adquisició d'escales limnimètriques rec Moixina i rec Verlets</t>
  </si>
  <si>
    <t>(EB) Per reposar les que es van deteriorant.</t>
  </si>
  <si>
    <t>Adquisició i instal·lació d'arquetes de protecció piezòmetres (4)</t>
  </si>
  <si>
    <t>(EB) Important. Cal, però, l'acceptació prèvia del propietari.</t>
  </si>
  <si>
    <t>Analítiques d'autocontrol del punt d'abocament de can Jordà</t>
  </si>
  <si>
    <t>(EB) Autocontrols per obligació de l'ACA.</t>
  </si>
  <si>
    <t>Assistència tècnica en la gestió i conservació de la flora i la vegetació</t>
  </si>
  <si>
    <t>(EB) Assessorament Apren (cada vegada els anem demanant més coses). Estem al límit del menor.</t>
  </si>
  <si>
    <r>
      <t>Treballs de conservació "</t>
    </r>
    <r>
      <rPr>
        <i/>
        <sz val="10"/>
        <color rgb="FF000000"/>
        <rFont val="Arial"/>
        <family val="2"/>
      </rPr>
      <t>ex-situ</t>
    </r>
    <r>
      <rPr>
        <sz val="10"/>
        <color rgb="FF000000"/>
        <rFont val="Arial"/>
        <family val="2"/>
      </rPr>
      <t>" de flora protegida /amenaçada</t>
    </r>
  </si>
  <si>
    <t>(EB) Pensar si fem el mateix que hem fet amb calta de multiplicació ex-situ.</t>
  </si>
  <si>
    <t>Catàleg d'heteròpters de la Moixina-Parc Nou. Projecte catàleg biodiversitat</t>
  </si>
  <si>
    <t>(EB) S'ha fet la feina de camp i es va acordar que es pagaria tot plegat quan s'elaborés el catàleg.</t>
  </si>
  <si>
    <t>Anàlisi del risc de l'arbrat de la Moixina (finques pròpies/conveniades)</t>
  </si>
  <si>
    <t>(EB) Està pensat en fer en les finques de l'Ajuntament a la Moixina.</t>
  </si>
  <si>
    <t>Adaptació canals rescloses Fluvià com a ambients de reproducció de nàiades.</t>
  </si>
  <si>
    <t>(EB) Actuació condicionada a les gestions amb l'ACA. Actuació inclosa en el MAP.</t>
  </si>
  <si>
    <t>Seguiment de ropalòcers (CBMS). Can Jordà; Croscat; Sant Iscle; Sallent.</t>
  </si>
  <si>
    <t>(EB) Cobertura dels 4 CBMS que tenim en el Parc</t>
  </si>
  <si>
    <t>Activitat divulgativa sobre micromamífers. Dia dels ratolins.</t>
  </si>
  <si>
    <t>(EB) Xerrada més sortida de camp.</t>
  </si>
  <si>
    <t>Taxes CCPAE</t>
  </si>
  <si>
    <t>(EB) Despesa obligada per estar inscrits.</t>
  </si>
  <si>
    <t xml:space="preserve">Adquisició material (maquinària, eines,...) i productes diversos (feromones, fitosanitaris, fertilitzants,...) </t>
  </si>
  <si>
    <t>(EB) Coixí ampla.</t>
  </si>
  <si>
    <t>Millora del reg del fruiterar a la parcel·la del camp d'ampliació</t>
  </si>
  <si>
    <t>(EB) Millora/manteniment.</t>
  </si>
  <si>
    <t>Poda hivernal</t>
  </si>
  <si>
    <t>(EB) Hem incorporat més arbres, la despesa ha pujat respecte anys anteriors.</t>
  </si>
  <si>
    <t>Adquisició de porta-empelts</t>
  </si>
  <si>
    <t>(EB) Pel taller d'empelts.</t>
  </si>
  <si>
    <t>Taller d'empelts</t>
  </si>
  <si>
    <t>(EB) El fem cada any.</t>
  </si>
  <si>
    <t>Jornada finques col·laboradores</t>
  </si>
  <si>
    <t>(EB) Plantejàvem amb en Kilian una sortida amb les finques col·laboradores.</t>
  </si>
  <si>
    <t>Reportatge fotogràfic de pomes pel Catàleg de varietats del CCPC de can Jordà</t>
  </si>
  <si>
    <t>(EB) Necessitem fotos bones del fruiterar</t>
  </si>
  <si>
    <t>Catàleg de varietats CCPC</t>
  </si>
  <si>
    <t>(EB) En Guillem Gisbert hi està treballant com a TFM.</t>
  </si>
  <si>
    <t>Edició fulletó i cartell Fira del fajol de Batet de la Serra</t>
  </si>
  <si>
    <t>(EB) Hi col·laborem cada any.</t>
  </si>
  <si>
    <t>Col·laboració als premis Jordi Pujiula de treballs de recerca de batxillerat</t>
  </si>
  <si>
    <t>Seguiment fotogramètric afloraments d'interès geològic (AIG)</t>
  </si>
  <si>
    <t xml:space="preserve">(EB) Seguiment dels AIG. Hem començat amb la Pomereda. Caldria fer els altres. </t>
  </si>
  <si>
    <t>Control taxons invasors.</t>
  </si>
  <si>
    <t>(EB) Seria interessant tenir una brigada (empresa) especialitzada en eliminació de plantes invasores.</t>
  </si>
  <si>
    <t>PF</t>
  </si>
  <si>
    <t>Adquisició material divers per l'astacifactoria</t>
  </si>
  <si>
    <t>Seguiment del cranc de riu autòcton</t>
  </si>
  <si>
    <t>Reparacions astacifactoria</t>
  </si>
  <si>
    <t>Inventaris forestals i marcatges</t>
  </si>
  <si>
    <t>Seguiment estat conservació boscos madurs</t>
  </si>
  <si>
    <t>Seguiment de les boixedes</t>
  </si>
  <si>
    <t xml:space="preserve">Suport i formació restauració de murs de pedra seca </t>
  </si>
  <si>
    <t>Instal·lació de barrera elèctrica i redacció d'informe</t>
  </si>
  <si>
    <t>Assistència tècnica instal·lació canaletes de desembosc</t>
  </si>
  <si>
    <t>Treballs forestals Bac de les Tries</t>
  </si>
  <si>
    <t>Desembosc en canaletes (jornada PATT)</t>
  </si>
  <si>
    <t>Murs pedra en sec</t>
  </si>
  <si>
    <t>Seguiment de boscos secs</t>
  </si>
  <si>
    <t>Recuperar font de les Tries</t>
  </si>
  <si>
    <t>Mesures EIC i HIC</t>
  </si>
  <si>
    <t>E28.12</t>
  </si>
  <si>
    <t>Actuacions per instal·lar abeuradors i evitar instal·lacions de suport a la ramaderia properes als ecosistemes lèntics (basses permanents, estanys i llacunes) per tal de protegir els hàbitats 3110, 3140, 3150 i 3170 associats a ells.</t>
  </si>
  <si>
    <t>E14.04</t>
  </si>
  <si>
    <t>Adaptació i integració de la cartografia dels hàbitats fluvials. Cartografia dels hàbitats fluvials de les Reserves Naturals Fluvials.</t>
  </si>
  <si>
    <t>E11.45</t>
  </si>
  <si>
    <t>Els instruments de planificació i ordenació dels espais naturals protegits  regulen les actuacions que requereixen drenatges, captacions  i altres usos de les masses d'aigua o que puguin impedir l’arribada d’aigua tant superficial com freàtica afectant a la conservació d'hàbitats i espècies d'interès comunitari aquàtics o litorals.</t>
  </si>
  <si>
    <t>E11.75</t>
  </si>
  <si>
    <t>Execució de mesures pel control de l'accés de persones i vehicles motoritzats en les zones amb presència d'hàbitats o a àrees d'interès per a espècies d'interès comunitari</t>
  </si>
  <si>
    <t>E12.06</t>
  </si>
  <si>
    <t>Concertació amb els titulars de concessions d'aigua per a la implantació de cabals ecològics.</t>
  </si>
  <si>
    <t>E12.15</t>
  </si>
  <si>
    <t>Establiment de procediments de concertació amb els titulars de concessions d'aigua per determinar els drets d'ús i els efectes sobre la conservació del patrimoni natural de les mateixes.</t>
  </si>
  <si>
    <t>E14.26</t>
  </si>
  <si>
    <t>Estudi sobre l’ecologia dels hàbitats dels quals no es té prou informació  i el seu estat de conservació.</t>
  </si>
  <si>
    <t>E28.15</t>
  </si>
  <si>
    <t>Augment dels sistemes de depuració i tractament d'aigües per garantir les condicions fisicoquímiques de l'aigua a través de l'aplicació de les mesures dels capítols C1 i C2 del Programa de Mesures del Pla de gestió de l'Aigua de l'ACA.</t>
  </si>
  <si>
    <t>E28.41</t>
  </si>
  <si>
    <t>Implementació dels cabals ecològics segons marc normatiu del Pla de gestió de l'Aigua (2016-2021) i aplicació de les mesures del capítol A1.Cabals manteniment.</t>
  </si>
  <si>
    <t>E12.30</t>
  </si>
  <si>
    <t>Compra de drets d'extracció directa d'aigua a zones humides associades als hàbitats 3140,3150 i 3160.</t>
  </si>
  <si>
    <t>E12.09</t>
  </si>
  <si>
    <t>Coordinació amb els agents locals per evitar nous usos que puguin afectar les masses d'aigua en àrees amb presencia d'hàbitats o espècies d'interès comunitari.</t>
  </si>
  <si>
    <t>E28.25</t>
  </si>
  <si>
    <t>Elaboració i execució de plans de control d'espècies exòtiques i prevenció del seu ús en activitats productives en zones fluvials.</t>
  </si>
  <si>
    <t>E28.45</t>
  </si>
  <si>
    <t>Millora de la connectivitat entre les localitats amb presència de boscos de ribera així com entre els hàbitats aquàtics i els ecosistemes naturals terrestres adjacents, especialment pels hàbitats d'estanys i basses.</t>
  </si>
  <si>
    <t>E28.38</t>
  </si>
  <si>
    <t>Restauració de la morfologia, la connectivitat i les riberes de les masses d'aigua rius del DCFC.</t>
  </si>
  <si>
    <t>E28.40</t>
  </si>
  <si>
    <t>Reversió de les obres de drenatge no útils de les zones humides. a través de l'aplicació de les mesures del capítol A3 del Programa de mesures del Pla de gestió de l'aigua.</t>
  </si>
  <si>
    <t>E31.01</t>
  </si>
  <si>
    <t>Acords amb les Societats de Caçadors per a incorporar objectius de conservació d’espècies, com la tórtora comú, i hàbitats en la revisió dels Plans de Gestió Cinegètica.</t>
  </si>
  <si>
    <t>E26.01</t>
  </si>
  <si>
    <t>Actuacions de  gestió forestal dirigida al manteniment de la maduresa i naturalitat de la massa en boscos públics.</t>
  </si>
  <si>
    <t>E28.02</t>
  </si>
  <si>
    <t>Actuacions de conservació de les zones conegudes de posta regular de les especies de peixos d'interès comunitari.</t>
  </si>
  <si>
    <t>E28.48</t>
  </si>
  <si>
    <t>Actuacions de correcció de punts negres d'atropellament de L. lutra i Mustela lutreola.</t>
  </si>
  <si>
    <t>E31.02</t>
  </si>
  <si>
    <t>Actuacions de correcció dels suports de línies elèctriques on es detectin noves electrocucions o amb risc potencial d'electrocució i senyalització amb salvaocells de les línies perilloses per col·lisió.</t>
  </si>
  <si>
    <t>E31.03</t>
  </si>
  <si>
    <t>Actuacions de foment de l'ús de permetrines enlloc d'organoclorats pel tractament de la fusta d'edificacions amb presència de rat-penats.</t>
  </si>
  <si>
    <t>E26.22</t>
  </si>
  <si>
    <t>Actuacions de gestió per augmentar  la densitat de cavitats fomentant la presència d’arbres decrèpits o morts.</t>
  </si>
  <si>
    <t>E26.08</t>
  </si>
  <si>
    <t>Actuacions de manteniment de grans peus de planifolis i altres arbres vells caducifolis per afavorir el manteniment d'espècies forestals d'interès comunitari (Rosalia alpina, Lucanus cervus i Osmoderma eremita).</t>
  </si>
  <si>
    <t>E26.11</t>
  </si>
  <si>
    <t>Actuacions de manteniment de les masses de lligabosc (Lonicera sp) com a principal planta nutrícia d'Euphydryas aurinia.</t>
  </si>
  <si>
    <t>E26.12</t>
  </si>
  <si>
    <t>Actuacions de manteniment de les masses de Pinus sylvestris i Pinus nigra en les principals àrees de distribució de Graellsia isabelae. Establiment de rodals amb gestió adaptativa pel manteniment dels processos ecològics.</t>
  </si>
  <si>
    <t>E26.13</t>
  </si>
  <si>
    <t>Actuacions de manteniment dels matollars d’arç blanc i aranyoner, principals plantes nutrícies d'Eriogaster catax.</t>
  </si>
  <si>
    <t>E25.18</t>
  </si>
  <si>
    <t>Actuacions de millora de la connectivitat de les aus estèpiques amb les poblacions properes.</t>
  </si>
  <si>
    <t>E28.06</t>
  </si>
  <si>
    <t>Actuacions de millora de la vegetació ripària a partir de l'aplicació del Programa de Manteniment i conservació de lleres de l'ACA, especialment en àrees que requereixen recuperació de cobertura arbòria.</t>
  </si>
  <si>
    <t>E28.07</t>
  </si>
  <si>
    <t>Actuacions de millora de l'habitat de Lutra lutra.</t>
  </si>
  <si>
    <t>E31.04</t>
  </si>
  <si>
    <t>Actuacions de potenciació del conill i perdiu com a preses</t>
  </si>
  <si>
    <t>E25.04</t>
  </si>
  <si>
    <t>Actuacions de recuperació de la vegetació natural adequada als requeriments de les aus d'interès comunitari, especialment pteròclids i alosa becuda a la Plana de Lleida.</t>
  </si>
  <si>
    <t>E28.09</t>
  </si>
  <si>
    <t>Actuacions de regeneració d'aiguamolls i llacunes dessecades o contaminades a través de l'aplicació de les mesures del capítol A3 del Programa de mesures del Pla de gestió de l'aigua.</t>
  </si>
  <si>
    <t>E28.10</t>
  </si>
  <si>
    <t>Actuacions de restauració de zones de cria d'Emys orbicularis i Mauremys leprosa.</t>
  </si>
  <si>
    <t>E22.19</t>
  </si>
  <si>
    <t>Actuacions per disminuir i substituir els productes fitosanitaris per altres de més selectius i de baixa toxicitat (AAA) tant per a la fauna terrestre com aquàtica.</t>
  </si>
  <si>
    <t>E26.20</t>
  </si>
  <si>
    <t>Actuacions per fomentar la presència de fusta morta en peu o a terra i d'arbres vells o decrèpits en boscos públics.</t>
  </si>
  <si>
    <t>E29.02</t>
  </si>
  <si>
    <t>Actuacions per mantenir una estructura vegetal adequada en zones properes a l'entrada de coves/refugis amb presència de rats-penats.</t>
  </si>
  <si>
    <t>E31.06</t>
  </si>
  <si>
    <t>Actuacions per promoure l'abandó de cadàvers de bestiar domèstic, en explotacions extensives, en àrees remotes.</t>
  </si>
  <si>
    <t>E29.04</t>
  </si>
  <si>
    <t>Actuacions per restringir l'accés a les coves amb presència de rats-penats en època de cria.</t>
  </si>
  <si>
    <t>E31.07</t>
  </si>
  <si>
    <t>Adequació d'alguna edificació de propietat pública com a refugi de Rhinolophus ferrumequinun, preferiblement propers a llacunes.</t>
  </si>
  <si>
    <t>E29.01</t>
  </si>
  <si>
    <t>Adequació d'antigues mines amb presència de colònies de rats-penats per evitar esllavissades.</t>
  </si>
  <si>
    <t>E25.17</t>
  </si>
  <si>
    <t>Ampliació de les mesures agroambientals i de gestió en habitats estèpics secundaris a Catalunya (Bages, Osona, Montsià, Alt Camp...).</t>
  </si>
  <si>
    <t>E11.95</t>
  </si>
  <si>
    <t>Aprovació dels Plans de Conservació i/o Recuperació de les espècies de fauna d'interès comunitari.</t>
  </si>
  <si>
    <t>E25.03</t>
  </si>
  <si>
    <t>Arrendament de finques dins les ZEPA de la Plana de Lleida amb una gestió activa per a conservació de les aus d'interès comunitari.</t>
  </si>
  <si>
    <t>E26.23</t>
  </si>
  <si>
    <t>Avaluació de les actuacions que requereixen drenatges, captacions  i altres usos de les masses d'aigua o que puguin impedir l’arribada d’aigua tant superficial com freàtica afectant a la conservació dels elements d'interès comunitari.</t>
  </si>
  <si>
    <t>E31.12</t>
  </si>
  <si>
    <t>Col·locació de caixes refugi per a ratpenats com a mesura transitòria fins que s’aconsegueixi el grau de maduresa i l’abundància de cavitats suficient en el bosc.</t>
  </si>
  <si>
    <t>E12.05</t>
  </si>
  <si>
    <t>Compra (o adquisició de drets de tala) de rodals madurs, premadurs, o amb agrupacions d’arbres grans, vells, morts en peu, amb abundància de cavitats. També s'hi inclouen boscos singulars per raons biogeogràfiques o d'escassetat.</t>
  </si>
  <si>
    <t>E31.13</t>
  </si>
  <si>
    <t>Conservació de punts d'aigua propers a zones forestals com a llocs d'alimentació preferent.</t>
  </si>
  <si>
    <t>E28.18</t>
  </si>
  <si>
    <t>Consolidació del programa de cria en captivitat del cranc de riu autòcton.</t>
  </si>
  <si>
    <t>E11.91</t>
  </si>
  <si>
    <t>Control per adjudicar les masses comunes de les concentracions parcel·laries en localitats amb alt valor de biodiversitat o mediambiental, i gestionar-les per afavorir-les.</t>
  </si>
  <si>
    <t>E13.27</t>
  </si>
  <si>
    <t>Control sanitari de la població de cranc de riu.</t>
  </si>
  <si>
    <t>E15.05</t>
  </si>
  <si>
    <t>Creació d’un sistema de comunicació i informació permanent sobre els sistemes productius de secà obert als agricultors dins els ENP i a persones interessades.</t>
  </si>
  <si>
    <t>E28.44</t>
  </si>
  <si>
    <t>Creació de connectors fluvials en estructures en ús quan hi ha canvis en el títol concessional i altres casuístiques.</t>
  </si>
  <si>
    <t>E25.13</t>
  </si>
  <si>
    <t>Creació de la Oficina del secans.</t>
  </si>
  <si>
    <t>E31.34</t>
  </si>
  <si>
    <t>Creació de zones d'alimentació riques en llavors per a la tórtora europea i altres espècies mitjançant la implantació de zones lliures de sembra i/o  sembres específiques per a la fauna.</t>
  </si>
  <si>
    <t>E11.12</t>
  </si>
  <si>
    <t>Declaració de refugis de pesca a les capçaleres dels rius on és present Barbus meridionalis.</t>
  </si>
  <si>
    <t>E15.06</t>
  </si>
  <si>
    <t>Divulgació i valorització de les espècies pròpies d'ambients agrícoles entre els agents locals, incidint en la importància de l'aplicació de pràctiques de gestió encaminades a la seva conservació.</t>
  </si>
  <si>
    <t>E27.13</t>
  </si>
  <si>
    <t>Elaboració d’un aplicatiu sobre la regulació de l’escalada.</t>
  </si>
  <si>
    <t>E11.36</t>
  </si>
  <si>
    <t>Els instruments de planificació i ordenació dels espais naturals protegits  regulen l’escalada en zones rellevants amb presència d’espècies o hàbitats amenaçats.</t>
  </si>
  <si>
    <t>E11.58</t>
  </si>
  <si>
    <t>Els instruments de planificació i ordenació dels espais naturals protegits han de regular la càrrega ramadera de manera que s'asseguri la no afectació a l'hàbitat adequat pels ocells d'interès comunitari.</t>
  </si>
  <si>
    <t>E11.57</t>
  </si>
  <si>
    <t>Els instruments de planificació i ordenació dels espais naturals protegits han de regular la càrrega ramadera en els llocs on es detecti un problema de sobrepastura o de regeneració dels hàbitats d'interès comunitari.</t>
  </si>
  <si>
    <t>E11.39</t>
  </si>
  <si>
    <t>Els instruments de planificació i ordenació dels espais naturals protegits regulen la pesca recreativa en àrees amb presència de peixos d'interès comunitari evitant l'ús d'esquer viu.</t>
  </si>
  <si>
    <t>E31.18</t>
  </si>
  <si>
    <t>Establiment d'ajudes o deduccions econòmiques als propietaris que mantinguin colònies de ratpenats en els seus edificis o infraestructures.</t>
  </si>
  <si>
    <t>E13.10</t>
  </si>
  <si>
    <t>Establiment de programes de seguiment anuals de les poblacions d'ocells d'interès comunitari estèpics.</t>
  </si>
  <si>
    <t>E13.06</t>
  </si>
  <si>
    <t>Establiment de programes de seguiment de les espècies d'invertebrats d'interès comunitari.</t>
  </si>
  <si>
    <t>E13.09</t>
  </si>
  <si>
    <t>Establiment de programes de seguiment de les poblacions d'aus d'interès comunitari.</t>
  </si>
  <si>
    <t>E12.24</t>
  </si>
  <si>
    <t>Establir acords amb societats de pescadors per tal de crear zones de refugi de pesca en zones particularment estratègiques.</t>
  </si>
  <si>
    <t>E14.18</t>
  </si>
  <si>
    <t>Estudi dels Plans de Dejeccions Ramaderes que afectin a terres dins les ZEPA de la Plana de Lleida per definir mesures relacionades amb els objectius de conservació, especialment evitant la sobrefertilització.</t>
  </si>
  <si>
    <t>E14.32</t>
  </si>
  <si>
    <t>Estudis per a la millora del coneixement de la especificitat alimentícia de l'eruga  d'Euphydryas aurinia i de selecció de l'hàbitat.</t>
  </si>
  <si>
    <t>E14.35</t>
  </si>
  <si>
    <t>Estudis poblacionals per a determinar la relació de les poblacions d'aus estèpiques catalanes amb les de la resta de la Península.</t>
  </si>
  <si>
    <t>E14.38</t>
  </si>
  <si>
    <t>Estudis sobre l’estatus i ecologia de les espècies de fauna d'interès comunitari.</t>
  </si>
  <si>
    <t>E14.37</t>
  </si>
  <si>
    <t>Estudis sobre l’estatus i ecologia dels rats-penats.</t>
  </si>
  <si>
    <t>E14.39</t>
  </si>
  <si>
    <t>Estudis sobre l’estatus, distribució i biologia de les espècies d'invertebrats d'interès comunitari.</t>
  </si>
  <si>
    <t>E14.41</t>
  </si>
  <si>
    <t>Estudis sobre l'estatus i l'ecologia dels ocells d'interès comunitari.</t>
  </si>
  <si>
    <t>E24.10</t>
  </si>
  <si>
    <t>Execució d'altres mesures incloses als plans de conservació de   Callimorpha quadripunctaria i Euphydryas aurinia.</t>
  </si>
  <si>
    <t>E31.20</t>
  </si>
  <si>
    <t>Execució de mesures de desenvolupament del pla de recuperació de rapinyaires.</t>
  </si>
  <si>
    <t>E28.26</t>
  </si>
  <si>
    <t>Execució de plans de control de crancs invasors (Procambarus clarki, Pacifastacus leniusculus i Orconectes limosus).</t>
  </si>
  <si>
    <t>E12.02</t>
  </si>
  <si>
    <t>Foment d'acords amb els agricultors i propietaris de terrenys per tal d’augmentar el % de guarets, erms i espais de vegetació natural dins les ZEPA de la Plana de Lleida.</t>
  </si>
  <si>
    <t>E14.42</t>
  </si>
  <si>
    <t>Foment de la investigació per trobar noves mesures de lluita biològica contra la processionària del pi que no afectin a altres lepidòpters, com Graellsia isabelae.</t>
  </si>
  <si>
    <t>E25.02</t>
  </si>
  <si>
    <t>Gestió específica de finques dins de les ZEPA de la Plana de Lleida amb una gestió activa per a conservació de les aus d'interès comunitari.</t>
  </si>
  <si>
    <t>E31.23</t>
  </si>
  <si>
    <t>Identificació de punts d'atropellament d'amfibis i construcció de passos de fauna.</t>
  </si>
  <si>
    <t>E14.43</t>
  </si>
  <si>
    <t>Identificació dels indrets més representatius dels hàbitats i espècies d'interès comunitari, millora de la cartografia i valoració del seu estat de conservació.</t>
  </si>
  <si>
    <t>E32.02</t>
  </si>
  <si>
    <t>Implementació de la salvaguarda de les zones de nidificació amb localització de nius d'esparver cendrós, arpella pàl·lida, arpella vulgar, pteròclids, sisó i terrerola principalment, segons els procediments establerts al Decret 176/2007, amb les compensacions adequades als agricultors.</t>
  </si>
  <si>
    <t>E11.94</t>
  </si>
  <si>
    <t>Incorporació de la tórtora europea en els instruments i plans de gestió dels espais de Natura 2000 en què l'espècie estigui considerada.</t>
  </si>
  <si>
    <t>E11.74</t>
  </si>
  <si>
    <t>L'avaluació ambiental de la creació de nous vials i infraestructures en àrees amb presència d'hàbitats o espècies d'interès comunitari ha de minimitzar la seva afectació evitant l'afectació de les àrees més ben conservades.</t>
  </si>
  <si>
    <t>E26.33</t>
  </si>
  <si>
    <t>Manteniment de marges i tanques arbustives i arbrades entre prats i pastures, llindars i clarianes de bosc.</t>
  </si>
  <si>
    <t>E25.15</t>
  </si>
  <si>
    <t>Manteniment dels arrossars inundats durant l'hivern per a conservació d'aus d'interès comunitari presents al Delta de l'Ebre.</t>
  </si>
  <si>
    <t>E22.21</t>
  </si>
  <si>
    <t>Manteniment dels espais oberts (conreus i pastures), els prats de dall i un paisatge en mosaic en les zones amb presència destacada d'espècies d'interès comunitari</t>
  </si>
  <si>
    <t>E28.46</t>
  </si>
  <si>
    <t>Millora de la connectivitat entre les localitats amb presència d'Emys orbicularis i Mauremys leprosa.</t>
  </si>
  <si>
    <t>E25.05</t>
  </si>
  <si>
    <t>Millora dels hàbitats esteparis.</t>
  </si>
  <si>
    <t>E28.32</t>
  </si>
  <si>
    <t>Potenciació de franges de ribera entre cultius i la llera (DPH) a través, per exemple, de les mesures incloses al PDR de Catalunya.</t>
  </si>
  <si>
    <t>E24.15</t>
  </si>
  <si>
    <t>Potenciar la ramaderia extensiva per conservar els hàbitats agroforestals i prevenir incendis forestals.</t>
  </si>
  <si>
    <t>E28.21</t>
  </si>
  <si>
    <t>Realització d'altres mesures vinculades als Plans de Conservació i/o Recuperació de les espècies aquàtiques d'interès comunitari amenaçades.</t>
  </si>
  <si>
    <t>E24.16</t>
  </si>
  <si>
    <t>Realització de campanya de foment de la disminució i substitució dels productes fitosanitaris per altres de més selectius i de baixa toxicitat (AAA) tant per a la fauna terrestre com aquàtica.</t>
  </si>
  <si>
    <t>E31.35</t>
  </si>
  <si>
    <t>Realització de desbrossades selectives en zones de matollar  per a afavorir l'hàbitat de la tórtora europea.</t>
  </si>
  <si>
    <t>E15.10</t>
  </si>
  <si>
    <t>Redacció de protocols per a la gestió preventiva de vies d'entrada vinculada a sectors d'activitat (per exemple, jardineria, aqüicultura, distribució comercial), inclosos codis de conducta i manuals de bones pràctiques.</t>
  </si>
  <si>
    <t>E11.85</t>
  </si>
  <si>
    <t>Regulació per adjudicar les masses comunes de les concentracions parcel·laries en localitats amb alt valor de biodiversitat o mediambiental.</t>
  </si>
  <si>
    <t>E13.24</t>
  </si>
  <si>
    <t>Seguiment de ropalòcers i quiròpters en el marc del SISEBIO.</t>
  </si>
  <si>
    <t>E13.33</t>
  </si>
  <si>
    <t>Vigilància als punts de cria i d’hivernada més importants per evitar molèsties a les poblacions d'espècies d'interès comunitari.</t>
  </si>
  <si>
    <t>E31.32</t>
  </si>
  <si>
    <t>Visualització dels cables infraestructures estacions esquí alpí per evitar accidents de les aus per col·lisió.</t>
  </si>
  <si>
    <t>PLECS</t>
  </si>
  <si>
    <t>3.1.1</t>
  </si>
  <si>
    <t xml:space="preserve">Servei d'informació ambiental. En centres d'informació </t>
  </si>
  <si>
    <t>Acollir els visitants del centre d’informació i informar-los, tenint en compte tant les alertes oficials de Protecció Civil (NEUCAT, INFOCAT, etc.) i avisos del Pla Alfa com informació periòdica que faciliti la persona responsable de l’espai natural als centres de visitants (estat de les pistes forestals, avisos de batudes, activitats organitzades...).</t>
  </si>
  <si>
    <t>Divulgar activament els valors naturals i culturals de l’espai per tal de donar-los a conèixer la necessitat de protegir, regular l’accés i fer-ne un ús responsable seguint les bones pràctiques recomanades per la persona responsable. Aprofitar els recursos expositius i informatius de què disposi l’espai per sensibilitzar als visitants sobre els valors de l’espai.</t>
  </si>
  <si>
    <t xml:space="preserve">Atendre les consultes d’informació telefòniques i les que arriben per correu electrònic. </t>
  </si>
  <si>
    <t>Molt específic de l'activitat de l'empresa adjudicatària. Ja s'inclou en altres accions</t>
  </si>
  <si>
    <t>Recollir les dades dels visitants a través de l’aplicatiu que estableixi el responsable de l’espai natural (a través d’un suport electrònic tipus tauleta tàctil o ordinador amb connexió a internet).</t>
  </si>
  <si>
    <t>Dissenyar i realitzar enquestes adreçades als visitants de l’espai natural.</t>
  </si>
  <si>
    <t>Lliurar als visitants, segons necessitats, el material informatiu gratuït.</t>
  </si>
  <si>
    <t>Gestionar sol·licituds i reserves prèvies rebudes a través de la web de l’espai, vinculades a l’ús públic.</t>
  </si>
  <si>
    <t>Realitzar tasques de cobrament del preu públic de material informatiu, publicacions, de merchandising o el cobrament del cost d’un servei vinculat a la gestió de l’ús públic.</t>
  </si>
  <si>
    <t>Recollir els suggeriments i les reclamacions dels usuaris.</t>
  </si>
  <si>
    <t>Encarregar-se de l’obertura i tancament del centre de visitants.</t>
  </si>
  <si>
    <t>Fer les tasques de gestió per al correcte funcionament i accés a les exposicions del centre (permanents o temporals) així com la supervisió de les visites. I, també, tenir cura dels recursos audiovisuals de què disposi el centre</t>
  </si>
  <si>
    <t>Mantenir actualitzada la cartellera informativa exterior del centre de visitants.</t>
  </si>
  <si>
    <t>Controlar l’estoc del material informatiu per als visitants (publicacions, tríptics, mapes...) per garantir-ne la disponibilitat al centre d’informació. L’empresa adjudicatària enviarà les dades sobre l’actualització de l’estoc i necessitats de reposició, mensualment, al coordinador del servei i a la persona que el responsable de l’espai natural designi.</t>
  </si>
  <si>
    <t xml:space="preserve">Atenent les indicacions de les autoritats sanitàries i del responsable de l’espai natural, col·laborar en la gestió de les situacions extraordinàries derivades d’alertes sanitàries o situacions similars (gestionar accessos, aforaments, distàncies, elements de protecció, etc.), </t>
  </si>
  <si>
    <t>Col·laborar tècnicament en l’organització de jornades o actes que organitza la persona responsable de l’espai natural en el centre.</t>
  </si>
  <si>
    <t>Informar de qualsevol anomalia dins o fora dels centres d’informació i fer-ne seguiment de la resolució de la incidència.</t>
  </si>
  <si>
    <t>Elaborar materials informatius en format digital, seguint el manual corporatiu de l’espai natural, per a la divulgació de les activitats que es programen en els centres, o incidències en els itineraris o altres necessitats que el responsable de l’espai identifiqui.</t>
  </si>
  <si>
    <t>Elaborar el calendari d’activitats del centre d’informació.</t>
  </si>
  <si>
    <t>Difondre electrònicament, a través de la base de dades de contactes de l’espai natural i altres recursos de què disposi l’espai, com ara butlletí digital, web..., les activitats del centre.</t>
  </si>
  <si>
    <t>Gestionar les inscripcions a les activitats.</t>
  </si>
  <si>
    <t xml:space="preserve">Incorporar la informació que el responsable de l’espai li faciliti per mantenir actualitzades les bases de dades de l’espai natural. </t>
  </si>
  <si>
    <t>Revisar periòdicament la pàgina web de l’espai natural i redactar i publicar nous continguts per actualitzar-la i millorar-la.</t>
  </si>
  <si>
    <t>Fer, periòdicament, recerques per wikiloc per identificar els itineraris més freqüentats i aquells que poden comportar un impacte en l’espai i comunicar-los al responsable de l’espai.</t>
  </si>
  <si>
    <t>Recollir i custodiar els llibres retornats pels usuaris del Centre de Documentació, quan el retorn es produeixi en un moment en què el Centre romangui tancat</t>
  </si>
  <si>
    <t>Realitzar tasques d’informació en estands de l’espai natural en fires dins l’àmbit territorial del lot, sempre que sigui compatible amb l’atenció a prestar en els centres d’informació i sempre dins el còmput d’hores previst, a cada lot, per a la prestació d’aquests serveis d’informació. Es preveu la participació en un màxim de 5 fires/any.</t>
  </si>
  <si>
    <t>Comunicar a la persona coordinadora del servei, en el mínim temps possible i seguint el protocol que s’hagi establert, les incidències que puguin sorgir en el desenvolupament del servei.</t>
  </si>
  <si>
    <t>3.1.2</t>
  </si>
  <si>
    <t xml:space="preserve">Servei d'informació ambiental. En punts o àrees d'informació </t>
  </si>
  <si>
    <t>Garantir la bona acollida i una informació activa als visitants de l’espai natural, fent èmfasi en la importància dels valors naturals i culturals de l’espai i les restriccions associades a l’espai per a una bona conservació.</t>
  </si>
  <si>
    <t>Informar sobre les bones pràctiques recomanades per la persona responsable de l’espai natural per tal de garantir una visita responsable amb el mínim impacte possible.</t>
  </si>
  <si>
    <t>Comunicar a la persona coordinadora dels serveis, en el mínim temps possible, les incidències que puguin sorgir en el desenvolupament del servei, perquè aquest pugui avaluar la necessitat d’intervenció per part dels cossos de seguretat, informar al responsable de l’espai natural, i procedir a contactar-hi si és el cas.</t>
  </si>
  <si>
    <t>Quan el protocol ho estableixi, contactar amb cossos d’emergències a través del 112 i notificar la situació al responsable de l’espai natural i a la persona coordinadora dels serveis.</t>
  </si>
  <si>
    <t>Actualitzar diàriament la informació, tenint en compte tant les alertes oficials de Protecció Civil (NEUCAT, INFOCAT, etc.), com els avisos del Pla Alfa i la informació periòdica sobre incidències i esdeveniments que li faciliti la persona responsable de l’espai natural (estat de les pistes forestals, avisos de batudes, activitats organitzades...).</t>
  </si>
  <si>
    <t>Lliurar als visitants, segons necessitats, el material informatiu de què es disposi</t>
  </si>
  <si>
    <t>Realitzar tasques de cobrament del preu públic de material informatiu o el cobrament del cost d’un servei vinculat a la gestió de l’ús públic. Aquest servei de cobrament només es realitzarà en aquells espais naturals que disposin de datàfons i sempre a través d’aquest mitjà de cobrament</t>
  </si>
  <si>
    <t xml:space="preserve">Recollir les dades dels visitants, bé directament a través de l’aplicatiu que estableixi el responsable de l’espai natural (a través d’un suport electrònic tipus tauleta tàctil o ordinador amb connexió a internet) o, si no hi ha cobertura, a través del sistema que determini el responsable de l’espai. </t>
  </si>
  <si>
    <t>Incorporar les dades dels visitants a l’aplicatiu establert.</t>
  </si>
  <si>
    <t xml:space="preserve">Realitzar enquestes adreçades als visitants del parc natural. Les preguntes de l’enquesta i les dates de realització s’acordaran prèviament amb el responsable de cada espai natural. </t>
  </si>
  <si>
    <t>Recollir els suggeriments i les reclamacions dels usuaris per tal d’adreçar-los a la persona coordinadora del servei.</t>
  </si>
  <si>
    <t>Comunicar les incidències que es detectin en els equipaments informatius (cartelleres, senyalitzacions...) i de regulació de l’ús públic que hi hagi a l’espai a la persona coordinadora del servei. Si escau, documentar-ho amb fotografies.</t>
  </si>
  <si>
    <t>3.2.1</t>
  </si>
  <si>
    <t>Serveis d'educació ambiental</t>
  </si>
  <si>
    <t xml:space="preserve">Executar les activitats d’educació ambiental d’acord amb l’oferta pedagògica de l’espai natural corresponent. </t>
  </si>
  <si>
    <t>3.2.2</t>
  </si>
  <si>
    <t>Dissenyar i millorar les activitats d’educació ambiental de l’oferta pedagògica de l’espai natural adreçades a la diversitat de col·lectius previstos en el Pla estratègic de l’espai natural (centres educatius, població local, visitants...), avaluar-les i incorporar-hi les millores acordades</t>
  </si>
  <si>
    <t>3.2.3</t>
  </si>
  <si>
    <t>Suport i dinamització a la Xarxa d’escoles de l’espai natural</t>
  </si>
  <si>
    <t>Millorar el coneixement de l’espai natural per part de l’alumnat i el professorat d’aquests centres.</t>
  </si>
  <si>
    <t>Afavorir la creació d’un vincle i sentiment de pertinença amb l’espai natural i la implicació dels centres en la seva conservació.</t>
  </si>
  <si>
    <t>Facilitar espais de trobada entre els centres educatius i la persona responsable de l’espai per a la creació de projectes compartits.</t>
  </si>
  <si>
    <t>Organitzar les reunions del grup de treball</t>
  </si>
  <si>
    <t>Dissenyar i organitzar formacions adreçades al professorat del centres educatius de la Xarxa</t>
  </si>
  <si>
    <t>Dissenyar i desenvolupar projectes compartits entre els centres educatius de la Xarxa i l’espai natural</t>
  </si>
  <si>
    <t>Organitzar trobades d’intercanvi d’experiències</t>
  </si>
  <si>
    <t>Avaluar el funcionament de la Xarxa</t>
  </si>
  <si>
    <t>Promoció del voluntariat</t>
  </si>
  <si>
    <t>Participar activament en les 3 reunions plenàries de la Taula.</t>
  </si>
  <si>
    <t>Promoure l’adhesió a la Taula de les entitats del territori, contactant amb les entitats de voluntariat del territori que encara no hi participin, explicar-los els objectius de la taula i motivar-los perquè s’hi incorporin.</t>
  </si>
  <si>
    <t>Difondre la Taula i les seves accions a través de la cartellera i mitjans digitals de l’espai (butlletí, web...), i contactant amb agents del territori que puguin col·laborar en aquesta difusió a través dels seus propis mitjans.</t>
  </si>
  <si>
    <t>Presentar propostes a incorporar al pla d’acció anual de la Taula.</t>
  </si>
  <si>
    <t>Participar en l’organització de les accions transversals que s’acordin en el marc de la Taula com, per exemple, una acció conjunta en el marc del Dia internacional del Voluntariat.</t>
  </si>
  <si>
    <t>Contactar i coordinar-se amb les entitats de la Taula per a l’organització d’accions de voluntariat a l’espai natural: organitzant, si cal, reunions per acordar l’acció voluntària amb els tècnics de l’espai natural, valorant amb el responsable de l’espai, en cas necessari, la cessió de material o altres recursos dels quals disposi l’espai natural, difonent l’acció de voluntariat a través dels mitjans de què disposa l’espai.</t>
  </si>
  <si>
    <t>Participar en la redacció de la memòria anual de les Taules de Voluntariat Ambiental i en la revisió final de la proposta de memòria.</t>
  </si>
  <si>
    <t>Participar en l’avaluació de la Taula i aportar propostes de millora.</t>
  </si>
  <si>
    <t>Transferència d’informació a través de jornades</t>
  </si>
  <si>
    <t>Recomanacions de fertilització</t>
  </si>
  <si>
    <t>Establiment de camps experimentals i seguiments de prats</t>
  </si>
  <si>
    <t>Millora de la biodiversitat de prats de dall a partir de la sembra amb llavor recollida en prats amb elevada biodiversitat d'espècies</t>
  </si>
  <si>
    <t>Recomanacions de maneig</t>
  </si>
  <si>
    <t>Establiment de camps experimentals i divulgació</t>
  </si>
  <si>
    <t>Impulsar el reconeixement social de les activitats agrària i ramadera</t>
  </si>
  <si>
    <t>Elaboració de documents de diferents característiques per divulgar resultats i pràctiques de maneig agrari sostenibles</t>
  </si>
  <si>
    <t>Tesaure buidat</t>
  </si>
  <si>
    <t>Executat en part/en curs (si es finalitzen properament, en el/s proper/s anys</t>
  </si>
  <si>
    <t>En curs indefinidament (són les accions que es mantenen en el temps per sempre)</t>
  </si>
  <si>
    <t>Suport/impuls</t>
  </si>
  <si>
    <t xml:space="preserve">Optimitzar els canals de comunicació. </t>
  </si>
  <si>
    <t>1) Coordinació i redacció del Pla estratègic d'educació i voluntariat ambiental/participació del PNZVG</t>
  </si>
  <si>
    <t>S'afegeix la redacció del Pla</t>
  </si>
  <si>
    <t>Executar els projectes de sensibilització i formació dirigits al sector turístic, esportiu i de lleure locals.</t>
  </si>
  <si>
    <t>1) Consolidar un programa d'activitats destinades a la població local (entitats de lleure i esportives). Visc entre volcans.
2) Crear un programa formatiu per les empreses turístiques acreditades amb la CETS i l'administració relacionada
3) Suport i assessorament en la inclusió d'accions centrades en la sensibilització de les empreses turístiques a través de la CETS
4) Manteniment i expansió de la xarxa de Minibiblioteques</t>
  </si>
  <si>
    <t xml:space="preserve">1)Vincular projectes de conservació, recerca i divulgació amb la població local i visitants (of. turisme d'Olot o Patronat Turisme Costa Brava)
2)Crear nous projectes per involucrar la població local en la conservació 
3)Presentar propostes a incorporar al pla d’acció anual de la Taula. Identificar línies d'actuació a on es podria comptar amb l'acció del voluntariat i promoure la implicació de les entitats en el desenvolupament d'aquestes línies d'actuacions.
4)Participar en l’organització de les accions transversals que s’acordin en el marc de la Taula com, per exemple, una acció conjunta en el marc del Dia internacional del Voluntariat. 
5) Promoure, assessorar i donar suport a la creació de projectes participatius de conservació amb voluntariat de les entitats locals. </t>
  </si>
  <si>
    <t xml:space="preserve">1) Participar activament en les 3 2 reunions plenàries de la Taula de voluntariat ambiental del Pirineu Oriental. 
2) Promoure l’adhesió a la Taula de les entitats del territori, contactant amb les entitats de voluntariat del territori que encara no hi participin, explicar-los els objectius de la taula i motivar-los perquè s’hi incorporin. 
3) Difondre la Taula i les seves accions a través de la cartellera i mitjans digitals de l’espai, i contactant amb agents del territori que puguin col·laborar en aquesta difusió a través dels seus propis mitjans. 
4) Contactar i coordinar-se amb les entitats de la Taula per a l’organització d’accions de voluntariat a l’espai natural: organitzant, si cal, reunions per acordar l’acció voluntària amb els tècnics de l’espai natural, valorant amb el responsable de l’espai, en cas necessari, la cessió de material o altres recursos dels quals disposi l’espai natural, difonent l’acció de voluntariat a través dels mitjans de què disposa l’espai. Promoure l'organització d'activitats de voluntariat a través de la secretaria de la Taula de Voluntariat del Pirineiu Oriental
5) Donar suport i assessorament a la secretaria de la Taula de voluntariat ambiental del Pirineu Oriental.
6) Participar en l’avaluació de la Taula i aportar propostes de millora. </t>
  </si>
  <si>
    <t>1) Redacció i desplegament del Pla estratègic d'educació i participació ambiental del PNZVG</t>
  </si>
  <si>
    <t>1) Desenvolupar el Pla d'Igualtat del Parc
2)Formació sobre perspectiva de gènere al personal del Parc 
3)Anàlisi de continguts sobre perspectiva de gènere a les activitats de l'ENP.</t>
  </si>
  <si>
    <t>1) Percentatge d'accions del Pla desenvolupades
2.1) Nombre d'assistents a la formació
2.2) Nombre d'hores dedicades a la formació
3) Nombre de continguts analitzats</t>
  </si>
  <si>
    <t>1) 70%
2.1) 8
2.2) 4
3) 5</t>
  </si>
  <si>
    <t>1) Promoure l'ús de materials i recursos didàctics que incloguin el binomi salut i natura
2) Potenciar activitats, projectes i col·laboracions que incloguin el binomi salut i natura
3) Promoure experiències vivencials a la natura no dirigides
4) Disseny d'una activitat per a estudiants de secundària a l'eix binomi salut i natura</t>
  </si>
  <si>
    <t xml:space="preserve">1) Mantenir actualitzat l'apartat de notícies de la web del Parc
2) Penjar contingut a les xarxes socials corporativa de forma regular
3) Actualitzar el disseny i contingut de la web.
</t>
  </si>
  <si>
    <t>1) Fer accesibles els continguts digitals generats per l'ENP (web, repositori...)
2) Crear materials accessibles de forma universal
3) Col·laboració en iniciatives de xarxes de biblioteques com ara DocAmbCat o RECIDA
4) Manteniment i expansió de la xarxa de Minibiblioteques 
5) Col·laboració amb el CRP de la Garrotxa per a la difusió de novetats relacionades amb la generació de coneixment del Parc</t>
  </si>
  <si>
    <t>1) Difondre i divulgar materials que incloguin la sensibilització com a element vertebrador en base a la PEEPA (p.e. campanya Equilibri Natural)
2) Disseny i maquetació de recursos per a les campanyes (herba alta, Moixina, inicis itineraris i cartelleres noves d'entrades a reserves)
3) Disseny i execució d'un curs per a docents 
4) establir un canal de col·laboració directa amb els serveis educatius, empreses i entitats per tal de fer-los arribar les novetats en la generació de coneixment del Parc.</t>
  </si>
  <si>
    <t>Emili Bassols
Joan Montserrat
Bernat Perramon</t>
  </si>
  <si>
    <t xml:space="preserve">1) 1
2) 1
3) 2
4) 1
5) 1
6) 1 </t>
  </si>
  <si>
    <t>1) 10
2) 4
3) 5
4) 4
5) 4
6) 4</t>
  </si>
  <si>
    <t>1)  100</t>
  </si>
  <si>
    <t>1) 5</t>
  </si>
  <si>
    <t xml:space="preserve">1) Nombre de rescloses eliminades
2) Redacció del catàleg
3) Nombre d'actuacions executades
4) Redacció del document
5) Elaborar un document de proposta
</t>
  </si>
  <si>
    <t>1) 2
2) 1
3) 5
4) 1
5) 1</t>
  </si>
  <si>
    <t>1) Nombre d'actuacions executades
2) Relació entre espais oberts i espais forestals / matollars / marges recuperats. Nombre Ha.
3) Nombre d'hectàres 
4) Percentatge de prats en bon estat de conservació / Evolució de l'estat de conservació dels prats.
5) Nombre d'accions</t>
  </si>
  <si>
    <t>1) 1
2) 5
3) 5
4) 10
5) 1</t>
  </si>
  <si>
    <t>1) 6
2)15
3) 10
4) 25
5) 10</t>
  </si>
  <si>
    <t>1) Nombre de colles participants.
2) Nombre de reunions
3) Nombre de reunions</t>
  </si>
  <si>
    <t>1) 4
2) 1
3) 1</t>
  </si>
  <si>
    <t>2) 8
2) 4
3) 4</t>
  </si>
  <si>
    <t>1) 1
2) 1
3,4) 2</t>
  </si>
  <si>
    <t>1) 4
2) 8
3,4) 10</t>
  </si>
  <si>
    <t>1) 1
2) 200</t>
  </si>
  <si>
    <t>1) 1
2) 50</t>
  </si>
  <si>
    <t>1) 1
2) 1
3) 5
4) 5
5) 4
6) 2
7) 5
8) 2</t>
  </si>
  <si>
    <t>1) 8
2) 4
3) 10
4) 15
5) 10
6) 8
79
8) 6</t>
  </si>
  <si>
    <r>
      <rPr>
        <sz val="11"/>
        <color rgb="FF000000"/>
        <rFont val="Calibri"/>
        <family val="2"/>
        <scheme val="minor"/>
      </rPr>
      <t xml:space="preserve">1) Nombre de línies de gestió en les quals s'incideix. 
2) Nombre d'actuacions realitzades (jornades, tríptics, manuals, càpsules,...).
</t>
    </r>
    <r>
      <rPr>
        <sz val="11"/>
        <rFont val="Calibri"/>
        <family val="2"/>
        <scheme val="minor"/>
      </rPr>
      <t>3) Nombre d'accions
4) Superfície
5) Nombre d'explltacions que s'ha actuat
6) Productes elaborats
7) Nombre de finques col·laboradores
8) Nombre de demostracions</t>
    </r>
    <r>
      <rPr>
        <sz val="11"/>
        <color rgb="FFFF0000"/>
        <rFont val="Calibri"/>
        <family val="2"/>
        <scheme val="minor"/>
      </rPr>
      <t xml:space="preserve">
</t>
    </r>
    <r>
      <rPr>
        <sz val="11"/>
        <color rgb="FF000000"/>
        <rFont val="Calibri"/>
        <family val="2"/>
        <scheme val="minor"/>
      </rPr>
      <t xml:space="preserve">
</t>
    </r>
  </si>
  <si>
    <t>1) 5
2) 1
3) 10</t>
  </si>
  <si>
    <t>1) Nombre d'hores d'assessorament tècnic.
2) Nombre de punts de control
2) Nombre d'empreses contactades pel càlcul de la petjada hídrica.</t>
  </si>
  <si>
    <t>1) 25
2) 2
3) 5</t>
  </si>
  <si>
    <t>1) 75
2) 5
3)15</t>
  </si>
  <si>
    <t>1) 10%
2) 10%</t>
  </si>
  <si>
    <t>1) 80%
2)80%</t>
  </si>
  <si>
    <t>1) Percentatge de finques
2) Percentatge de PTGMF</t>
  </si>
  <si>
    <t>1) 60%
2) 1</t>
  </si>
  <si>
    <t>1) 70%
2) 1</t>
  </si>
  <si>
    <t>Es treu la paraula redactar perquè el Parc ja disposa de PPI</t>
  </si>
  <si>
    <t>Implementar el Pla de Prevenció d'Incendis Forestals</t>
  </si>
  <si>
    <t>1) Participar i implementar les mesures del PPI</t>
  </si>
  <si>
    <t>1) Nombre de mesures que s'ha participat o implementat</t>
  </si>
  <si>
    <t>1) 1
2) 20</t>
  </si>
  <si>
    <t>1) 100%
2) 50</t>
  </si>
  <si>
    <t>1) Redacció d'informes preceptius.
2) Redacció d'informes sol·licitats pels SSTT  dins el tràmit d'avaluació ambiental</t>
  </si>
  <si>
    <t>1) Percentatge d'informes emesos
2) Percentatge d'informes emesos</t>
  </si>
  <si>
    <t>1) 100%
2) 100%</t>
  </si>
  <si>
    <t>1) Seguiment de les obres amb més impacte sobre el paisatge i el medi natural</t>
  </si>
  <si>
    <t>1) Nombre de seguiments</t>
  </si>
  <si>
    <t>1) Percentatge de seguiments</t>
  </si>
  <si>
    <t>1) 80 %</t>
  </si>
  <si>
    <t>!) 1</t>
  </si>
  <si>
    <t>1) 6</t>
  </si>
  <si>
    <t xml:space="preserve">1) Nombre d'estacions d'aforament construides.
2) Percentatge d'expedients tramitats.
3) Redacció d'un programa
</t>
  </si>
  <si>
    <t>1) 1
2) 100%
3) 1</t>
  </si>
  <si>
    <t>1) 4
2) 100%
3) 1</t>
  </si>
  <si>
    <t>1) Redacció d'un estudi
2) Nombre d'actuacions identificades / avaluades.
3) Mitjana de concentració de nitrats dels punts seguits (subterranis i superficials).</t>
  </si>
  <si>
    <t>1) 1
2) 2
3) X</t>
  </si>
  <si>
    <t>1)1
2) 10
3) x</t>
  </si>
  <si>
    <t>1) 4
1) 10</t>
  </si>
  <si>
    <t>1) 10 ha.
2) 4
3) 1</t>
  </si>
  <si>
    <t>1) 200 ha
2) 8
3) 1</t>
  </si>
  <si>
    <t>Elaborar l'inventari i cartografia de patrimoni cultural de la Garrotxa, que també inclogui el patrimoni etnològic i immaterial</t>
  </si>
  <si>
    <t>1) Nombre d'entitats, associacions i agents locals diversos implicats en el recull d'informació.
2) Nombre d'elements que conformen el patrimoni cultural vinculat a la natura de la Garrotxa.
3) Nombre de persones receptores dels resultats de l'inventari
4) Cataleg de barraques de pedra seca</t>
  </si>
  <si>
    <t>1) 15
2) 1000
3) 500
4) 1</t>
  </si>
  <si>
    <t>1) 40
2) 2000
2) 1500
4) 1</t>
  </si>
  <si>
    <t xml:space="preserve">1) Nombre d'ens de referència identificats
2) Diversitat d'àmbits
3) Nº de jornades a les que s'ha participat
4) Nombre de convenis
</t>
  </si>
  <si>
    <t>1) 30
2) 6
3) 1
4)1</t>
  </si>
  <si>
    <t>1) 50
2) 10
3) 4
4) 2</t>
  </si>
  <si>
    <t xml:space="preserve">1) 2
</t>
  </si>
  <si>
    <t xml:space="preserve">1) 4
</t>
  </si>
  <si>
    <t>1) 0
2) 100%</t>
  </si>
  <si>
    <t>1) 100
2) 100%</t>
  </si>
  <si>
    <r>
      <t xml:space="preserve">1) Proporció d'elements culturals incorporats en l'oferta divulgativa
2) Creació de materials divulgatius
</t>
    </r>
    <r>
      <rPr>
        <sz val="11"/>
        <rFont val="Calibri"/>
        <family val="2"/>
        <scheme val="minor"/>
      </rPr>
      <t>3) Proporció d'elements culturals integrats en el PUP</t>
    </r>
  </si>
  <si>
    <t>1) 2
2) 1
3) 1</t>
  </si>
  <si>
    <t>1) 5
2) 2
3) 10</t>
  </si>
  <si>
    <t>1)  Elaborar un catàleg d'espais degradats a restaurar. 
2)Treballar per la restauració d'espais paisatgístics degradats: Tossol del bosc de Tosca, gredera del volcà del Racó, àmbit del Triangle, gredera del Montsacopa, gredera est volcà del Monsacopa,...</t>
  </si>
  <si>
    <t>1) Gestió i seguiment de requeriments relacionats del Parc
2) Difusió de bones pràctiques a través de difernets mitjans ( educació ambiental</t>
  </si>
  <si>
    <t>1) Hores dedicades a la gestió de requeriments
2) Nombre d'accions</t>
  </si>
  <si>
    <t>1) 250
2) 5</t>
  </si>
  <si>
    <t>1) 300
2) 10</t>
  </si>
  <si>
    <r>
      <t xml:space="preserve">1) Nombre de documents d'elements clau i d'interès per la gestió elaborats
2) Nombre de documents actualitzats.
3) Nombre de documents nous establerts.
</t>
    </r>
    <r>
      <rPr>
        <sz val="11"/>
        <rFont val="Calibri"/>
        <family val="2"/>
        <scheme val="minor"/>
      </rPr>
      <t>4) Nombre mesures
5) Nombe catàlegs</t>
    </r>
  </si>
  <si>
    <t>1) 1
2) 2</t>
  </si>
  <si>
    <t>1) 10
2) 5</t>
  </si>
  <si>
    <t>1) 1
2) 2
3) 1
4) 2
5) 1</t>
  </si>
  <si>
    <t>1) 10
2) 5
3) 5
4) 10
5) 5</t>
  </si>
  <si>
    <t xml:space="preserve">1) A partir de la cartografia de sòls singulars disponible i d'ampliar la recerca, identificar les zones de major interès edafològic del Parc.
2) Millora i actualització tècnica de la cartografia edafològica del Parc i de zones properes.
3) Actualitzar l'informe de l'estat de conservació de les Reserves Naturals del Parc i establir un protocol de seguiment.
</t>
  </si>
  <si>
    <t>1) 1
2) 0 
3) 1</t>
  </si>
  <si>
    <t>1) 20
2) 100
3) 1</t>
  </si>
  <si>
    <t>1) 10
2)10</t>
  </si>
  <si>
    <t>1)1
2) 10
3)  1</t>
  </si>
  <si>
    <t>1) 9
2) 50
3) 5</t>
  </si>
  <si>
    <r>
      <rPr>
        <sz val="11"/>
        <color rgb="FF000000"/>
        <rFont val="Calibri"/>
        <family val="2"/>
      </rPr>
      <t xml:space="preserve">1) Actualització del nombre de captacions existents en el Parc Natural i la seva àrea d'influència i volum extret.
2) Adquisició de material per fer seguiment de la gestió de l'aigua (sondes, escales limnimètriques, piezòmetres, arquetes protecció)
3) Col·locació de dos sensors per a calcular  l'impacte de les derivacións d'aigues superficials 
</t>
    </r>
    <r>
      <rPr>
        <sz val="11"/>
        <rFont val="Calibri"/>
        <family val="2"/>
      </rPr>
      <t xml:space="preserve">4) Instal·lació de punts de control. </t>
    </r>
  </si>
  <si>
    <t>1) Nombre de captacions localitzades.
2) Adquisició
3) Col·locació
4) Punts controlats</t>
  </si>
  <si>
    <t>1) 5
2) 0
3) 0
4) 2</t>
  </si>
  <si>
    <t>1) 20
2) 5
3) 2
4) 5</t>
  </si>
  <si>
    <t xml:space="preserve">1) Informe investigació realitzada
2) Nombre d'actuacions
</t>
  </si>
  <si>
    <t xml:space="preserve">1) 1
2) 10
</t>
  </si>
  <si>
    <t>1) Identificar les espècies plaga al Parc Natural
2) Participació en el programa de seguiment i minimització d'impactes d'espècies exòtiques invasores  (papallona del boix, vespa asiàtica, etc.).
3) Realitzar informes botànics per a la millora de la biodiversiat a les empreses CETS</t>
  </si>
  <si>
    <t>1) Informe investigació realitzada
2) Nombre d'actuacions
3) Nombre d'informes</t>
  </si>
  <si>
    <t>1) 1
2) 2
3) 4</t>
  </si>
  <si>
    <t>1) 1
2) 8
3) 20</t>
  </si>
  <si>
    <t>1) Nombre d'accions</t>
  </si>
  <si>
    <r>
      <rPr>
        <sz val="11"/>
        <color rgb="FF000000"/>
        <rFont val="Calibri"/>
        <family val="2"/>
        <scheme val="minor"/>
      </rPr>
      <t xml:space="preserve">1) Seguiment d'afloraments efímers.
2) Seguiment  d'espècies de flora amenaçada.
3) Seguiment d'espècies o grups de fauna (CBMS: Can Jordà, Croscat, Sant Iscle, Sallent)
4) Seguiments fotogramètric afloraments d'interès geològic (AIG)
</t>
    </r>
    <r>
      <rPr>
        <sz val="11"/>
        <color rgb="FFFF0000"/>
        <rFont val="Calibri"/>
        <family val="2"/>
        <scheme val="minor"/>
      </rPr>
      <t/>
    </r>
  </si>
  <si>
    <t xml:space="preserve">1) Nombre d'espècies clau en seguiment 
2) Nombre de seguiments afloraments
</t>
  </si>
  <si>
    <t>1) Mateniment base de dades
2) Progama
3) Actualitzar base de dades</t>
  </si>
  <si>
    <t>1) Nombre accions SINATCAT</t>
  </si>
  <si>
    <t>1) 5
2) 5</t>
  </si>
  <si>
    <t>1) Nombre de projectes treballats amb ciència ciutadana i voluntariat</t>
  </si>
  <si>
    <t>1,2) 1</t>
  </si>
  <si>
    <t>1,2) 4</t>
  </si>
  <si>
    <t>1) Jornades realitzades</t>
  </si>
  <si>
    <t>1) Nombre de cessions
2) Nombre consultes CD</t>
  </si>
  <si>
    <t>1) 1
1) 20</t>
  </si>
  <si>
    <t>1) 5
2) 50</t>
  </si>
  <si>
    <r>
      <rPr>
        <sz val="11"/>
        <rFont val="Calibri"/>
        <family val="2"/>
        <scheme val="minor"/>
      </rPr>
      <t>1) Assistència reunions d'ús públic del SENP</t>
    </r>
    <r>
      <rPr>
        <i/>
        <sz val="11"/>
        <rFont val="Calibri"/>
        <family val="2"/>
        <scheme val="minor"/>
      </rPr>
      <t xml:space="preserve">
</t>
    </r>
  </si>
  <si>
    <t>1) Nombre de reunions</t>
  </si>
  <si>
    <t>1) 1
2) ?</t>
  </si>
  <si>
    <t>1) Crear mapes temàtics
2) Estudi actaulitzat</t>
  </si>
  <si>
    <t>1) Percentatge d'incidencies respostes
2) Nombre de suggeriments rebut</t>
  </si>
  <si>
    <t>1) 90%
2) 20</t>
  </si>
  <si>
    <t>1) Realització del Pla
2) Treballar amb l'eina d'avaluaciò d'impactes i iiformes junts CAG i SIGMA</t>
  </si>
  <si>
    <t xml:space="preserve">1) Participació en l'elaboració i aplicació de plans de desenvolupament local portats a terme per agents locals (ajuntaments, Adrinoc...)
</t>
  </si>
  <si>
    <t>1) 2
2) 2
3) 10</t>
  </si>
  <si>
    <t>1) 4
2) 4
2) 60</t>
  </si>
  <si>
    <t>1) Fomentar que a través de la línia d'ajuts en espais protegits es recuperin punts d'aigua i marges de pedra seca i desenvolupar actuacions directes per aquest objectiu des del Parc Natural</t>
  </si>
  <si>
    <t>1,2) Increment del nombre d'explotacions que formen part de Fet al Parc, que actualment és de 25, i establir acords de col·laboració amb les noves explotacions
3) Nombre d'accions a difondre</t>
  </si>
  <si>
    <t>1,2)2
3)1</t>
  </si>
  <si>
    <t>1,2)5
3) 4</t>
  </si>
  <si>
    <t xml:space="preserve">1) Percentatge de Plans de Gestió Cinegètica revisats
2) Nombre de reunions
 </t>
  </si>
  <si>
    <t>1) 100%
2) 1</t>
  </si>
  <si>
    <t>1) 100%
2) 4</t>
  </si>
  <si>
    <t xml:space="preserve">1) Elaboració d'informes preceptius previs a l'aprovació dels Plans Tècnics de Millora Cinegètica.
2) Establiment de contactes periòdics amb les societats de caçadors locals.
</t>
  </si>
  <si>
    <t>1) Nombre d'actuacions i regulacions executades.
2) Percentatge d'informes realitzats</t>
  </si>
  <si>
    <t>1) 1
2) 100%</t>
  </si>
  <si>
    <t>1) 4
2) 100%</t>
  </si>
  <si>
    <r>
      <rPr>
        <i/>
        <sz val="11"/>
        <color rgb="FF000000"/>
        <rFont val="Calibri"/>
        <family val="2"/>
      </rPr>
      <t xml:space="preserve">1) Redacció del nou dossier CETS pel període 2026-2030
2) Participació i gestió de la metodologia de treball Agility (OKR)
3) Participació com a vocal al Fòrum permanent de la CETS (Junta i Assamblea de Turisme Garrotxa)
4) Coordinació i gestió de la CETS a nivell comarcal
5) Difondre i presentar la CETS PN Garrotxa a nivell nacional i internacional.
</t>
    </r>
    <r>
      <rPr>
        <i/>
        <sz val="11"/>
        <rFont val="Calibri"/>
        <family val="2"/>
      </rPr>
      <t>6) Participar com a membre del grup "Evaluación Fase III CETS"</t>
    </r>
    <r>
      <rPr>
        <i/>
        <sz val="11"/>
        <color rgb="FFFF0000"/>
        <rFont val="Calibri"/>
        <family val="2"/>
      </rPr>
      <t xml:space="preserve">
</t>
    </r>
    <r>
      <rPr>
        <i/>
        <sz val="11"/>
        <color rgb="FF000000"/>
        <rFont val="Calibri"/>
        <family val="2"/>
      </rPr>
      <t xml:space="preserve">7) Contractació d'un assessorament tècnic
8) Participació com a representant dels ENPE de comarques gironines dins el Consell assessor del Patronat de Turisme Costa Brava Pirineus de Girona
9) Treballar de forma conjunta amb projectes comuns entre Parc Natural i Turisme Garrotxa
10) Participació com a membre de la Taula d'ecoturisme de Catalunya
</t>
    </r>
  </si>
  <si>
    <t xml:space="preserve">1) Dossier presentat (memòria, estratègia i programa d'actuació)
2) Nombre d'equips OKR implementats i nombre de reunions assistides
3) Nombre de reunions assistides
4) Nombre de reunions realitzades
5) Nombre de presentacions a jornades / congresos
6) Nombre d'informes realitzats
7) Contractes realitzats
8) Nombre de sessions del Consell assistides
9) Nombre de projectes realitzats
10) Percentatge de sessions assistides
</t>
  </si>
  <si>
    <t>1) 1
2) 7/20
3) 12
4) 35
5) 5
6) 3
7) 1
8) 4
9) 5
10) 100</t>
  </si>
  <si>
    <r>
      <rPr>
        <sz val="11"/>
        <color rgb="FF000000"/>
        <rFont val="Calibri"/>
        <family val="2"/>
        <scheme val="minor"/>
      </rPr>
      <t xml:space="preserve">1) 1
2) 4/15
</t>
    </r>
    <r>
      <rPr>
        <sz val="11"/>
        <rFont val="Calibri"/>
        <family val="2"/>
        <scheme val="minor"/>
      </rPr>
      <t xml:space="preserve">3) 7
4)20
5) 2
6) 1
7) 1
8) 1
</t>
    </r>
    <r>
      <rPr>
        <sz val="11"/>
        <color rgb="FF000000"/>
        <rFont val="Calibri"/>
        <family val="2"/>
        <scheme val="minor"/>
      </rPr>
      <t xml:space="preserve">9) 2
</t>
    </r>
    <r>
      <rPr>
        <sz val="11"/>
        <rFont val="Calibri"/>
        <family val="2"/>
        <scheme val="minor"/>
      </rPr>
      <t>10) 50</t>
    </r>
  </si>
  <si>
    <r>
      <rPr>
        <sz val="11"/>
        <color rgb="FF000000"/>
        <rFont val="Calibri"/>
        <family val="2"/>
        <scheme val="minor"/>
      </rPr>
      <t xml:space="preserve">1) 2
</t>
    </r>
    <r>
      <rPr>
        <sz val="11"/>
        <rFont val="Calibri"/>
        <family val="2"/>
        <scheme val="minor"/>
      </rPr>
      <t>2) 4
3) 20
4) 8</t>
    </r>
  </si>
  <si>
    <t>1) 1
2) 2
3) 15
4) 4</t>
  </si>
  <si>
    <t>1) 1
2) 10</t>
  </si>
  <si>
    <t xml:space="preserve">1) Redacció del PRUG
2) Nombre de mesures implmentades
</t>
  </si>
  <si>
    <t>1) Redacció de l'estudi previ</t>
  </si>
  <si>
    <t>!) Elaboració del Programa
2) Execució de la campanya</t>
  </si>
  <si>
    <t xml:space="preserve">1) Redacció del Pla Estratègic d'eduacaicó ambiental i participació
2) Redacció del Pla d'Ús Públic de la Garrotxa i dels seus espais naturals
3) Impulsar la regulació de grups organitzats a les reserves naturals del Parc Natural
</t>
  </si>
  <si>
    <t>1) Redacció del PEA
2) Elaboració del Pla d'Ús Públic
3) Execució campanya regulació visites grups organitzats</t>
  </si>
  <si>
    <t>1) Elaboració del Programa de millora del patrimoni dels senders i itineraris del PNZVG
2) Manteniment dels intineraris del PNZVG</t>
  </si>
  <si>
    <t>1) 1
2)100</t>
  </si>
  <si>
    <t>1)1
2) 1</t>
  </si>
  <si>
    <t>La xarxa principal i secundaria es troba determinada pel PEZVG</t>
  </si>
  <si>
    <t>1) Participació al pla de mobilitat turística sostenible de la Garrotxa</t>
  </si>
  <si>
    <t>1) Nombre d'accions implementades
2) Creació de dos parades de bus de can Serra i reordenació del sector del monument de Joan Maragall</t>
  </si>
  <si>
    <t>1) 5
2) 1</t>
  </si>
  <si>
    <t>1) Redacció d'un estudi previ
2) Treballar junt al DG per regular el vol en drons</t>
  </si>
  <si>
    <t>1) Nombre estudis</t>
  </si>
  <si>
    <t>1) Estudi previ</t>
  </si>
  <si>
    <t>1) Redactar un estudi de circulació i regulació temporal al PNZVG
2) Aplicar la normativa del PEZVG</t>
  </si>
  <si>
    <t>1) Número reunions
2) Nunmero d'actuacions</t>
  </si>
  <si>
    <t>1) 5
2) 4</t>
  </si>
  <si>
    <t xml:space="preserve">1) Actualitzar l'inventari de senyalització del Parc dins l'aplicació de gestió de senyalització.
</t>
  </si>
  <si>
    <t xml:space="preserve">1) Percentatge d'accions introduides 
</t>
  </si>
  <si>
    <t xml:space="preserve">1) 80%
</t>
  </si>
  <si>
    <t xml:space="preserve">1) 100%
</t>
  </si>
  <si>
    <t>1) Número de tipus de rètols amb supervisió imantenimnet periòdic</t>
  </si>
  <si>
    <t>1) Potenciar el projecte d'espais museístics del Parc Natural (manteniment, valoració nous espais,...)</t>
  </si>
  <si>
    <t xml:space="preserve">1) Implementar progressIvament les propostes d'accions presents al PUP de la Garrotxa.
2) Reunions de treball i participades amb les empreses d'activitats </t>
  </si>
  <si>
    <t>1) Nombre d'accions
2) Nombre de reunions</t>
  </si>
  <si>
    <t>1) 1
2)1</t>
  </si>
  <si>
    <t>1) Actualitzar el manual de manteniment de les principals àrees de recepció de visitants del Parc Nautral.
2) Dotar d'aparcament de bicicletes segurs a l'aparcament de can Serra
3) Monotoritzar l'afluència de visitants
4) Millorar l'àrea de recepció de visitants de Santa Margarida</t>
  </si>
  <si>
    <t xml:space="preserve">1) Manual actualitzat
2) Número de places d'aparcament de bicicletes creades.
3) Instal·lació de sensors de monitoreig.
4) Nombre d'acccions 
</t>
  </si>
  <si>
    <t>1) 1
2) 1
3) 2
4) 1</t>
  </si>
  <si>
    <t>1) 1
2) 8
3) 2
4) 8</t>
  </si>
  <si>
    <t>1) Adaptar els missatges aportats per la DG</t>
  </si>
  <si>
    <t>1) Nombre de missatges adaptats</t>
  </si>
  <si>
    <t>1) Nombre de reunions anuals realitzades amb els serveis de seguretat propis i forans
2) Nombre d'accions executades del Pla</t>
  </si>
  <si>
    <t>1) 4
2) 8</t>
  </si>
  <si>
    <t>1) Percentatge d'informes i autoritzacions emeses</t>
  </si>
  <si>
    <t>1) 90%</t>
  </si>
  <si>
    <t xml:space="preserve">1) Col·laborar amb els plans d'emergències
</t>
  </si>
  <si>
    <t xml:space="preserve">1) Nombre de col·laboracions
 </t>
  </si>
  <si>
    <t>1) Nombre de reunions
2) Redacció del Pla</t>
  </si>
  <si>
    <t>1) 4
2) 1</t>
  </si>
  <si>
    <t>1) Dissenyar i organitzar formacions adreçades a docents conjuntament amb els serveis educatius de la Garrotxa i el Camp d'Aprenentatge de la Garrotxa.</t>
  </si>
  <si>
    <t xml:space="preserve">1) Creació i actualització de materials didàctics, tant pel servei educatiu del Parc com per a escoles d'alta complexitat
</t>
  </si>
  <si>
    <t>Elaborar recursos educatius sobre l’espai (que tinguin en compte les problemàtiques singulars del seu espai) conjuntament amb els docents que participin a la formació per a docents i crear un repositori de recursos educatius</t>
  </si>
  <si>
    <t>1) Nombre de recursos educatius/activitats disponibles
2) Elaboració d'un Pla Estratègic d'Educació Ambiental del Parc
3) Elaboració d'un Projecte Educatiu del Parc
4) Crear el repositori
4) Tenir oferta pedagògica</t>
  </si>
  <si>
    <t>1) 10
2) 1
3) 1
4) 1
5) 1</t>
  </si>
  <si>
    <t>1) 16
2) 1
3) 1
4) 1 
5) 1</t>
  </si>
  <si>
    <t>1) Creació i actualització de materials didàctic
2) Elaboració del Pla Estratègic d'Educació Ambiental del Parc
3) Elaboració del Projecte Educatiu del Parc
4) Creació d'un repositori de recursos educatius creats per a docents que donin resposta a problemàtiques de l'ENP
4) Redacció oferta pedagògica del PNZVG</t>
  </si>
  <si>
    <t>Redactar i desplegar el Pla estratègic 2021-2030 d’educació i voluntariat ambiental del PEIN (PEEVA): Educació ambiental</t>
  </si>
  <si>
    <t xml:space="preserve">1) Creació d'activitats pedagògiques en diversos municipis de l'ENP
2) Suport a projectes de conservació, divulgatius i participatius, promoguts per agents clau.
3) establir un canal de col·laboració amb els serveis educatius de la Garrotxa i IME (Institut Municipal d'Educació) d'Olot.
4) Establir un marc de col·laboració amb entitats de lleure juvenil
5) Establir un marc de col·laboració amb l'ajuntament, regidoria d'educació, joventut i participació per a la creació i/o suport de projectes col·laboratius. </t>
  </si>
  <si>
    <t>1) Nombre d'activitats pedagògiques dissenyades
2) Nombre de projectes als quals es donen suport
3,4,5) Nombre col·laboracions</t>
  </si>
  <si>
    <t>1) 2
2) 4
3,4,5) 4</t>
  </si>
  <si>
    <t>1) 4
2) 4
3,4,5) 8</t>
  </si>
  <si>
    <t>1,2,3) Nombre de formacions efectuades</t>
  </si>
  <si>
    <t>1) Programa visites
2) Percentatge d'espais museístics amb descoberta
3) Nombre d'accions
4) Número d'activiatats</t>
  </si>
  <si>
    <t>1) 1
2) 40%
3) 4
4) 12</t>
  </si>
  <si>
    <t>1) 1
2) 100%
3) 8
4) 24</t>
  </si>
  <si>
    <t>1) Donar suport a les entitats de lleure educatiu en forma de formació. 
2) elaboració d'un repositori d'activitats destinades als participants de les entitats de lleure educatiu</t>
  </si>
  <si>
    <t xml:space="preserve">1) Nombre d'entitats participants
2,3,4,5,6) Nombre de reunions
3) Taules de treball creades
</t>
  </si>
  <si>
    <t xml:space="preserve">1) 1
2) 6
3) 1
</t>
  </si>
  <si>
    <t xml:space="preserve">1) Il·limitat
2) 18
3) 2
</t>
  </si>
  <si>
    <t xml:space="preserve">1) Complir amb el decret 113 de desplagament de la Llei 2/1982, de 3 de març de protecció de la Zona volcànica de la Garroca on dona conformitat de la Junta Rectora del Parc Natural . Treballar per la màxima assitència.
2) Es dona resposta a l'objectiu 15.1.1
</t>
  </si>
  <si>
    <t xml:space="preserve">1) Pla Estratègic de la Zona Volcànica de la Garrotxa
2) Redactar el Pla Rector d'ús i gestió i(PRUG) 
3) Pla Especial del bosc de Tosca
4) Pla estratègic d'educcació ambiental i voluntariat
</t>
  </si>
  <si>
    <t>1,2,3,4) Nombre de Plans redactats</t>
  </si>
  <si>
    <t>1,2,3,4)  2</t>
  </si>
  <si>
    <t>1,2,3,4) 2</t>
  </si>
  <si>
    <t xml:space="preserve">1) 1
2) 4
</t>
  </si>
  <si>
    <t xml:space="preserve">1) 1
2) Il·limitat
</t>
  </si>
  <si>
    <t>1) Treballar per adaptar els procediments establerts per la DG. Ex: SINATCAT</t>
  </si>
  <si>
    <t>1) Nombre de reunions / formacions</t>
  </si>
  <si>
    <t>1) 1
2) 6</t>
  </si>
  <si>
    <t>1) 8
2) 20</t>
  </si>
  <si>
    <r>
      <rPr>
        <i/>
        <sz val="11"/>
        <color rgb="FF000000"/>
        <rFont val="Calibri"/>
        <family val="2"/>
      </rPr>
      <t>1) Elaboració d'un llistat de contractes menors trimestral per la seva publicació al portal de transparència através dels Serveis Centrals</t>
    </r>
    <r>
      <rPr>
        <i/>
        <sz val="11"/>
        <color rgb="FFFF0000"/>
        <rFont val="Calibri"/>
        <family val="2"/>
      </rPr>
      <t xml:space="preserve">
</t>
    </r>
    <r>
      <rPr>
        <i/>
        <sz val="11"/>
        <rFont val="Calibri"/>
        <family val="2"/>
      </rPr>
      <t>2) Posar a disposició pública els treballs i memories</t>
    </r>
  </si>
  <si>
    <t>1) Nombre de llistats / timestrals
2) Nombre de treballs disposats</t>
  </si>
  <si>
    <t>1) 16
2) Il·limitat</t>
  </si>
  <si>
    <t xml:space="preserve">1) Nombre d'accions
2) Nombre d'accions
3) Nombre d'incidencies
4) Nombre d'eines i maquinaria comprades
5) Nombre reunions / jornades
</t>
  </si>
  <si>
    <t xml:space="preserve">1) 1
2) 1
3) 1
4) 1
5) 1
</t>
  </si>
  <si>
    <t xml:space="preserve">1) Il·limitat
2) Il·limitat
3) Il·limitat
4) Il·limitat
5) Il·limitat
</t>
  </si>
  <si>
    <t>No correspon a l'equip de gestió del Parc</t>
  </si>
  <si>
    <t>1) Redacció del Pla
2) Incorporació d'una persona de manteniment</t>
  </si>
  <si>
    <t xml:space="preserve">1)Treballar per  dotar d'una persona l'àrea de Millorar Rural
2) Treballar per dotar l'àrea de Patrimoni Natural d'un tècnic especialista en patrimoni geológic.  
3) Treballar per dotar d'una persona a l'àrea d'Educació ambiental 
4) Dotar la plaça d'administratiu de can Jordà
5) Treballar per disposar de forma estructural de mínim 4 guardes del Parc.                                                                                                                     </t>
  </si>
  <si>
    <t xml:space="preserve">1) Nombre de persones
2) Nombre de patrulles guardes
</t>
  </si>
  <si>
    <t xml:space="preserve">1) 1
2) 1
</t>
  </si>
  <si>
    <t xml:space="preserve">1) 4
2) 4
</t>
  </si>
  <si>
    <t>1) Gestió altres tasques</t>
  </si>
  <si>
    <t>1) Nombre de tasques</t>
  </si>
  <si>
    <t>1) Il·limitat</t>
  </si>
  <si>
    <t>1) 1
2) 70%
3) 1
4) 2
5) 3
6) 4
7) 50 i 1%
8) 10</t>
  </si>
  <si>
    <t>1) 1
2) 80%
3) 1
4) 3
5) 8
6) 8
7) 100 i 2% de creixement
8) 20</t>
  </si>
  <si>
    <t>1) Disposar d'un calendari actualitzat
2) Percentatge de consultes d'informació i documentació ateses en 48h hàbils
3) Disposar de la pàgina web actualitzada
4) Nous canals explorats
5) Nous recursos elaborats o actualitzats
6) Nombre anual d'efemèrides celebrades
7) Nombre anual de posts publicats a cada xarxa i % de nous seguidors a cada XXSS del Parc
8) Nombre anual d'institucions col·laboradores</t>
  </si>
  <si>
    <t>1) Mantenir actualitzat un calendari per distribuir les comunicacions que es duen a terme des dels canals oficials del Parc
2) Atendre les consultes d’informació i documentació (individuals o bibliomòbils col·lectives)
3) Revisar periòdicament la pàgina web de l’espai natural i redactar i publicar nous continguts per actualitzar-la i millorar-la
4) Explorar nous canals d'informació que permetin difondre informació relacionada amb el Parc.
5) Elaboració de recursos de comunicació per difondre més i millor què és i què fa el Parc (càpsules, videos, imatges, fulletons, publicacions...)
6) Celebració d'efemèrides ambientals per a promoure temes d'interès del Parc
7)Ús de les XXSS per difondre temes d'interès del Parc, educar i col·laborar en la conscienciació ambiental
8) Col·laboració amb biblioteques, organismes, institucions... de la Garrotxa, Catalunya i més enllà, per compartir i difondre coneixement, fer-nos més visibles, col·laborar en la tasca de la conscienciació ambiental, i optimitzar recursos i serveis.</t>
  </si>
  <si>
    <t>1. 1
2. 300
3. 10
4. 5
5. 10
6. 50
7. 1</t>
  </si>
  <si>
    <t>1. 3
2. 500
3. 100
4. 15
5. 30
6. 200
7. 1</t>
  </si>
  <si>
    <t>1) Ampliar i actualitzar els models més utilitzats del Manual d’ús i funcionament del CD.
2) Ampliació selectiva del fons textual, sonor, d’imatges i vídeos del Parc, o del seu interès, al centre de documentació i els Punts de Documentació associats.
3) Digitalitzar el fons antic del Parc que cal conservar.
4) Fer accessible la documentació generada pel Parc o col·laboradors, i que cal dipositar al repositori institucional i tenir enllaçat a la web.
5) Entrar materials al repositori institucional per facilitar l’accés perpetu als documents.
6) Registrar, catalogar i classificar materials del CDPNGarrotxa, i dels punts de documentació, per a una millor recuperació posterior.
7) Implementació del gestor d'expedients</t>
  </si>
  <si>
    <t xml:space="preserve">1) Nombre de models generats o actualitzats anualment. 
2) Nombre de materials incorporats anualment al fons documental del CDPNGarrotxa.
3) Nombre de materials antics digitalitzats anualment. 
4) Nombre de documents accessibles incorporats anualment al CDPNGarrotxa. 
5) Nombre de documents entrats anualment al repositori institucional. 
6) Nombre anual de documents registrats, catalogats i classificats del CDPNGarrotxa i punts de documentació. 
7) Nombre d'expedients gestionats </t>
  </si>
  <si>
    <t>COMENTARIS LAVOLA</t>
  </si>
  <si>
    <t>A columna M marcar que "Si" que té mesures aplicables que depenen del PN. Com a criteri general, encara que sigui participació, si s'incorporen accions/mesures posar que sí a la columna</t>
  </si>
  <si>
    <t xml:space="preserve">Pendent definir mesures i valor indicadors. </t>
  </si>
  <si>
    <t>Mancaria marcar que "SI" que té mesures aplicables que depenen del PN a columna M</t>
  </si>
  <si>
    <t>Mancaria marcar que "SI" que té mesures aplicables que depenen del PN a columna M. Si volguessiu afegir un indicador més relacionat amb 1) i lligat al compliment de l'objectiu, es podria incorporar "km de riu en dinàmica natural o seminatural"</t>
  </si>
  <si>
    <t>1) Redacció d'un document de porposta de convenis/autoritzacions/acords de custòdia aconseguits.
2) Nombre d'hectàrees conveniades/autoritzades/acordades</t>
  </si>
  <si>
    <t>1) Percentatge d'informes forestals emesos
2) Hores destinades al seguiment</t>
  </si>
  <si>
    <t>Mancaria marcar que "SI" que té mesures aplicables que depenen del PN a columna M. Motiu pel qual està en vermell?</t>
  </si>
  <si>
    <t>Mancaria marcar que "SI" que té mesures aplicables que depenen del PN a columna M.</t>
  </si>
  <si>
    <t>Mancaria marcar que "SI" que té mesures aplicables que depenen del PN a columna M. Falta indicar la prioritat.</t>
  </si>
  <si>
    <t xml:space="preserve">Mancaria marcar que "SI" que té mesures aplicables que depenen del PN a columna M. </t>
  </si>
  <si>
    <t>Avaluar i controlar les actuacions que produeixin drenatges, captacions o que puguin impedir l’arribada d’aigua, tant superficial com freàtica, i incidir en la millora de la qualitat de les aigües, subterrànies i superficials.</t>
  </si>
  <si>
    <t xml:space="preserve">Indiqueu "impuls". Mancaria marcar que "SI" que té mesures aplicables que depenen del PN a columna M. </t>
  </si>
  <si>
    <t>1) Donar suport a propostes de treballs centrats en la conservació i gestió del patrimoni cultural.
2) Establir vincles amb projectes culturals comarcals ( Sismògraf, espai cràter....)</t>
  </si>
  <si>
    <t>Mancaria marcar que "SI" que té mesures aplicables que depenen del PN a columna M? motiu pel qual heu marcat "NO"?</t>
  </si>
  <si>
    <r>
      <rPr>
        <sz val="11"/>
        <color rgb="FF000000"/>
        <rFont val="Calibri"/>
        <family val="2"/>
      </rPr>
      <t xml:space="preserve">1) Millora de la passera del riu Fluvià al pas entre Castellfollit de la Roca i Montagut i Oix
</t>
    </r>
    <r>
      <rPr>
        <sz val="11"/>
        <rFont val="Calibri"/>
        <family val="2"/>
      </rPr>
      <t>2) Redacció del Pla Especial del Bosc de Tosca (barraques, tancaments,....</t>
    </r>
    <r>
      <rPr>
        <sz val="11"/>
        <color rgb="FFFF0000"/>
        <rFont val="Calibri"/>
        <family val="2"/>
      </rPr>
      <t xml:space="preserve">
</t>
    </r>
  </si>
  <si>
    <t>1) Nombre d'espais restaurats</t>
  </si>
  <si>
    <t>Mancaria marcar que "SI" que té mesures aplicables que depenen del PN a columna M. Com a indicador es podria afegir també "Elaboració del catàleg"</t>
  </si>
  <si>
    <t>Adequar nom OP al que comenteu: - Crear sinèrgies i col·laborar amb la comunitat museus, equipaments de referència i xarxs de biblioteques per definir línies d'actuació conjunta entre patrimoni cultural i natural</t>
  </si>
  <si>
    <t>1) Establir acords de col·laboració amb explotacions agràries i ramaderes en què s'estableixin una sèrie de requisits que incideixin en el manteniment dels hàbitats agraris en bones condicions agronòmiques i mediamenbientals
2)Incrementar el número d'explotacions que tenen un acord de col·laboració Fet al Parc amb el Parc Natural i identificar-lo amb una marca regulada normativament
3) Establir actuacions de difusió de l'activitat que porten a terme les explotacions que formen part de Fet al Parc (publicacions, rètols, vídeos, xarxes socials...)</t>
  </si>
  <si>
    <t>Mancaria marcar que "SI" que té mesures aplicables que depenen del PN a columna M. Falta indicar la prioritat</t>
  </si>
  <si>
    <t xml:space="preserve">Més que indicar "Fora de termini del pla" en aquest cas es podria considerar directament l'objetiu com a No aplicable a la columna K (canviat per NA) i deixar la columna de priorització buida. </t>
  </si>
  <si>
    <t>Mancaria justificar a la columna L el motiu pel que no s'incorpora al pla, i deixar clar si es considera NA o fora de termini</t>
  </si>
  <si>
    <t>Fomentar la creació de recursos turístics d'acord amb les necessitats i els agents turístics del territori que es vinculin als valors naturals de l'espai</t>
  </si>
  <si>
    <t>Mancaria marcar que "SI" que té mesures aplicables que depenen del PN a columna M, i si s'escau també mesures que depenen de la DG a la columna N.</t>
  </si>
  <si>
    <t xml:space="preserve">1) Redacció del PRUG
2)  Redactar un document d'accions a mantenir l'ús públic dins espais degradats
</t>
  </si>
  <si>
    <t>Es preveuen propostes i indicadors? Mancaria marcar que "SI" que té mesures aplicables que depenen del PN a columna M, i si s'escau també mesures que depenen de la DG a la columna N.</t>
  </si>
  <si>
    <t>Es preveuen propostes i indicadors? Mancaria marcar si té mesures aplicables que depenen del PN a columna M, i si s'escau també mesures que depenen de la DG a la columna N.</t>
  </si>
  <si>
    <t>Es preveuen propostes i indicadors? Mancaria marcar si té mesures aplicables que depenen de la DG a la columna N.</t>
  </si>
  <si>
    <t xml:space="preserve">Es preveuen propostes i indicadors? </t>
  </si>
  <si>
    <t>1) Redacció del programa
2) Número d'incidencies i accions de millora</t>
  </si>
  <si>
    <t>Ja es disposa d'inventari, només falta actualitzar-lo</t>
  </si>
  <si>
    <t>Objectiu operatiu determinat al PEZVG</t>
  </si>
  <si>
    <t>Amb la justificació que poseu "Objectiu operatiu determinat al PEZVG" considereu que no és aplicable? O que no se'n derivaran mesures concretes?</t>
  </si>
  <si>
    <t>Millora el programa de senyalització i manteniment</t>
  </si>
  <si>
    <t xml:space="preserve">S'inclou la col·laboració dels docents i la creació de repositori de recursos educatius elaborats per a docents, amb la idea de potenciar la implicació i l'autonomia dels docents en la realització de les activitats </t>
  </si>
  <si>
    <t>1) Crear i consolidar un programa d'activitats destinades a la població local (activitats de descoberta de l'entorn, revalorització del sector primari, descoberta del patrimoni cultural) segons les accions que marqui el Pla Estratègic d'Educació Ambiental
2) Crear i consolidar un programa d'activitats destinat a persones novingudes a la comarca.
3) Continuar promovent la celebració d'efemèrides ambientals a través de les biblioteques i centres de documentació.</t>
  </si>
  <si>
    <r>
      <t xml:space="preserve">1.1) Nombre de projectes de conservació, recerca i divulgació que involucrin la població local 
1.2) Nombre de projectes de conservació, recerca i divulgació que involucrin visitants
2) Nombre de projectes del Parc creats en base la participació
3)Nombre de propostes incorporades
4)Nombre d'accions conjuntes
5.1)Nombre de projectes que s'ha donat suport
</t>
    </r>
    <r>
      <rPr>
        <sz val="11"/>
        <color rgb="FF0070C0"/>
        <rFont val="Calibri"/>
        <family val="2"/>
        <scheme val="minor"/>
      </rPr>
      <t xml:space="preserve">5.2) Nombre d'entitats amb qui s'ha treballat </t>
    </r>
  </si>
  <si>
    <r>
      <t xml:space="preserve">1.1) 1
1.2) 1
2) 1
3) 4
4) 4
5.1) 2
</t>
    </r>
    <r>
      <rPr>
        <sz val="11"/>
        <color rgb="FF0070C0"/>
        <rFont val="Calibri"/>
        <family val="2"/>
        <scheme val="minor"/>
      </rPr>
      <t>5.2) 2</t>
    </r>
  </si>
  <si>
    <r>
      <t xml:space="preserve">1.1) 2
1.2) 2
2) 2
3) 8
4) 4
5.1) 2
</t>
    </r>
    <r>
      <rPr>
        <sz val="11"/>
        <color rgb="FF0070C0"/>
        <rFont val="Calibri"/>
        <family val="2"/>
        <scheme val="minor"/>
      </rPr>
      <t>5.2) 4</t>
    </r>
  </si>
  <si>
    <t>Actualitzat número indicador segons el vostre comentari, ja que l'últim indicador dels proposats està relacionat també amb l'acció 5.
Mancaria marcar que "SI" que té mesures aplicables que depenen del PN a columna M.</t>
  </si>
  <si>
    <t>Pel que fa a canviar el nom del PEEVA, entenem que caldrà que ho pacteu amb la DG ja que es tracta d'una denominació estàndar. Si es canvia el nom, caldrà actualitzar també el nom de l'OP 13.2.5
Pel que fa a l'indicador, en aquest cas es podria canviar l'indicador del nombre per % que indica més clarament el grau d'avanç</t>
  </si>
  <si>
    <t>Teniu molts indicadors definits però no n'hi ha cap associat a l'acció 4). Podrieu incorporar el 4) Nombre de Minibiblioteques mantingudes com teniu més avall</t>
  </si>
  <si>
    <t xml:space="preserve">1) Treballar conjuntament amb els DG per aprovar un document d'autoirtzació per actuar i gestionar finques privades i públiques.
2) Renovació dels convenis vigents.
                                                                                                                   </t>
  </si>
  <si>
    <t xml:space="preserve">1) Reduir el temps d'emissio d'informes i autoritzacions. De forma setmanal es revisaran els informes i autoritzacions pendents. </t>
  </si>
  <si>
    <t>1) Percentatge d'informes emesos.
2) Informes preceptius / autoritzacions</t>
  </si>
  <si>
    <t>Es creu convenient canviar elaborar per redactar</t>
  </si>
  <si>
    <t>1) Manteniments d'edificis, instal·lacions , maquinaria i vehicles.
2) Adquisicío material divers i serveis pel bon funcionament de les instal·lacions,infraestructures, maquinaria i vehicles
3) Manteniment de vestuari pel personal del parc.
4) Despeses d'enviament de mostres, publicacions, etc.
5) Despeses per les diverses reunions i jornades .</t>
  </si>
  <si>
    <t xml:space="preserve">1) Elaborar una llista de tots els béns patrimonials del PNZVG. Aquesta llista es valorarà com a mínim: la propietat, estat de conservació,revisió actualització cadastre i registre de la propietat 
2) Revisió i actualització dels convenis vigents i en tramitació. 
</t>
  </si>
  <si>
    <t>D'acord que considereu que no és aplicable a l'equip de gestió del PN, però tenint en compte que està considerat obligatori, i com a idea del que han reflectit aquí altres espais, a Montsant com a accions que han incorporat ha estat  la " Revisió de que tots els equipaments del parc estiguin correctament assegurats dins la pòlissa d'assegurança de danys materials de la Generalitat, en col·laboració amb  serveis centrals i d'acord amb les seves directrius." i "Col·laboració amb el Servei de Contractació i Patrimoni per tramitar les assegurances dels béns patrimonials." Si creieu que col·laborareu/participareu d'alguna manera, valorar incorporar-ho</t>
  </si>
  <si>
    <t>S'ha modificat l'objectiu per encabir aspectes de qualitat.</t>
  </si>
  <si>
    <t>Proposta d'accions</t>
  </si>
  <si>
    <t>No aplica</t>
  </si>
  <si>
    <t>1) Col·laboració amb els equipaments locals proposant accions conjuntes (Espai Cràter, Can Trona, etc.)
2) Col·laboració als premis Jordi Pujiula de treballs de recerca de batxillerat
3) Col·laboració als premis Arnau Bartrina Luque
4) Col·laboració amb FAVER LLULL.
5) Col·laboració amb l'Escola d'Art d'Olot
6) Col·laborar amb iniciatives de xarxes com DocAmbCat o RECIDA</t>
  </si>
  <si>
    <t>1) Nombre de col·laboracions amb museus.
2,3,4,5,6) Nombre de  col·labora.</t>
  </si>
  <si>
    <t>Crear sinèrgies i col·laborar amb la comunitat museus, equipaments de referència i xarxs de biblioteques per definir línies d'actuació conjunta entre patrimoni cultural i natural</t>
  </si>
  <si>
    <t>1) Emetre autoritzacions sol·licitades al Parc Natural seguin normativa del PEZVG</t>
  </si>
  <si>
    <t>1) Nombre d'autoritzacions</t>
  </si>
  <si>
    <t xml:space="preserve">1) 1
</t>
  </si>
  <si>
    <t xml:space="preserve">1) n
</t>
  </si>
  <si>
    <t>1) Desenvolupar el Pla d'acollida</t>
  </si>
  <si>
    <t>1) Nombre de plans</t>
  </si>
  <si>
    <t>1.1) Nombre d'activitats executades en el marc del programa
1.2) Nombre d'assistents a les sortides
1.3) Nombre d'entitats involucrades
1.4) Nombre d'hores per assistent
2.1) Nombre d'activitats executades en el marc del programa
2.2) Nombre d'assistents a les sortides
2.3) Nombre d'empreses i administracions involucrades
2.4) Nombre d'hores per assistent
3.1) Nombre d'empreses assessorades
3.2) Nombre d'accions incorporades 
4) 4) Nombre de Minibiblioteques mantingudes</t>
  </si>
  <si>
    <t>1.1) 15
1.2) 350
1.3) 8
1.4) 5
2.1) 10
2.2) 20
2.3) 35
2.4) 5
3.1) 35
3.2) 10
4) 1</t>
  </si>
  <si>
    <t>1.1) 25
1.2) 500
1.3) 15
1.4) 7
2.1) 20
2.2) 30
2.3) 40
2.5) 7
3.1) 40
3.2) 20
4) 2</t>
  </si>
  <si>
    <t>Emili Bassols
Joan Montserrat
Bernat Perramon
Joan Pijoan</t>
  </si>
  <si>
    <t>Joan PIjoan</t>
  </si>
  <si>
    <t>Bernat Perramon
Arnau Dorca</t>
  </si>
  <si>
    <t>Patrimoni Natural
Ús públic i turisme</t>
  </si>
  <si>
    <t>Emili Bassols
Arnau Dorca</t>
  </si>
  <si>
    <t>Direccio</t>
  </si>
  <si>
    <t>Emili Basols</t>
  </si>
  <si>
    <t>Turisme / SIG</t>
  </si>
  <si>
    <t>Arnau Dorca</t>
  </si>
  <si>
    <t>Arnau Dorca
Xavier Oliver</t>
  </si>
  <si>
    <t xml:space="preserve">Direccio
Millora Rural
</t>
  </si>
  <si>
    <t>Ús Públic i Turisme
Patrimoni Forestal</t>
  </si>
  <si>
    <t>Arnau Dorca
Joan Montserrat</t>
  </si>
  <si>
    <t>Patrimoni Natural
Patrimoni Forestal</t>
  </si>
  <si>
    <t>Emili Bassols
Joan Montserrat</t>
  </si>
  <si>
    <t>Direcció
Millora Rural</t>
  </si>
  <si>
    <t>Turisme / SIG
Ús Públic</t>
  </si>
  <si>
    <t>Joan Pijoan
?</t>
  </si>
  <si>
    <t>Ús Públic</t>
  </si>
  <si>
    <t>Xavier Oliver</t>
  </si>
  <si>
    <t>Ús Públic
Turisme / SIG</t>
  </si>
  <si>
    <t>Xavier Oliver
Arnau Dorca</t>
  </si>
  <si>
    <t>Direcció
Patrimoni Natural</t>
  </si>
  <si>
    <t>Joan Pijoan
Emili Bassols</t>
  </si>
  <si>
    <t>Ús públic</t>
  </si>
  <si>
    <t>Patrimoni Agro
Patrimoni Natural</t>
  </si>
  <si>
    <t>Bernat Perramon
Emili Bassols</t>
  </si>
  <si>
    <t>Patrimoni Natural
Patrimoni Agro</t>
  </si>
  <si>
    <t>Emili Bassols
Bernat Perramon</t>
  </si>
  <si>
    <t xml:space="preserve">Patrimoni Natural
</t>
  </si>
  <si>
    <t xml:space="preserve">Emili Bassols
</t>
  </si>
  <si>
    <t xml:space="preserve">Patrimoni Natural
Turisme / SIG
</t>
  </si>
  <si>
    <t xml:space="preserve">Emili Bassols
Arnau Dorca
</t>
  </si>
  <si>
    <t xml:space="preserve">Arnau Dorca
</t>
  </si>
  <si>
    <t xml:space="preserve">Turisme / SIG 
</t>
  </si>
  <si>
    <t>Patrimoni Natural
Direcció</t>
  </si>
  <si>
    <t>Emili Bassols
Joan Pijoan</t>
  </si>
  <si>
    <t>Direcció
Patrimoni Natural
Ús Públic
Turisme / SIG</t>
  </si>
  <si>
    <t>Joan Pijoan
Emili Bassols
Xavier Oliver
Arnau Dorca</t>
  </si>
  <si>
    <t xml:space="preserve">Direcció
</t>
  </si>
  <si>
    <t xml:space="preserve">Joan Pijoan
</t>
  </si>
  <si>
    <t>Joan Pijoan
Montse Grabolosa</t>
  </si>
  <si>
    <t>Ús públic
Turisme / SIG</t>
  </si>
  <si>
    <t>Patrimoni Agro
Turisme / SIG</t>
  </si>
  <si>
    <t>Turisme / SIG
Patrimoni Agro</t>
  </si>
  <si>
    <t>Arnau Dorca
Bernat Perramon</t>
  </si>
  <si>
    <t>Millora Rural -Direcció</t>
  </si>
  <si>
    <t xml:space="preserve">Ús Públic
</t>
  </si>
  <si>
    <t xml:space="preserve">Xavier Oliver
</t>
  </si>
  <si>
    <t>Ús Públic
Turisme / SIG
Direcció</t>
  </si>
  <si>
    <t>Xavier Oliver
Arnau Dorca
Joan Pijoan</t>
  </si>
  <si>
    <t>Joan Pijoan
Xavier Oliver</t>
  </si>
  <si>
    <t xml:space="preserve">Direcció
Administració
</t>
  </si>
  <si>
    <t>Joan Pijoan
Josep Riera / Eva Calm</t>
  </si>
  <si>
    <t>Xavier Oliver
?</t>
  </si>
  <si>
    <t>Turisme / Sig
Centre de documentació</t>
  </si>
  <si>
    <t>Arnau Dorca
Montse Grabolosa</t>
  </si>
  <si>
    <t xml:space="preserve">Ús públic
Patiminoi Agro
</t>
  </si>
  <si>
    <t>Xavier Oliver
Bernat Perramon</t>
  </si>
  <si>
    <t>Ús públic
Centre de Documentació</t>
  </si>
  <si>
    <t>Xavier Oliver
Montse Grabolsosa</t>
  </si>
  <si>
    <t>Patrimoni Natural
Ús Públic</t>
  </si>
  <si>
    <t>Turisme / Sig
Patrimoni Forestal</t>
  </si>
  <si>
    <t>Arnau Droca
Joan Montserrat</t>
  </si>
  <si>
    <t xml:space="preserve">Centre de documentació
</t>
  </si>
  <si>
    <t xml:space="preserve">Montse Grabolosa
</t>
  </si>
  <si>
    <t>Centre de documentació
Ús Públic</t>
  </si>
  <si>
    <t>Montse Grabolosa
Xavier Oliver</t>
  </si>
  <si>
    <t>Direcció
Administracio</t>
  </si>
  <si>
    <t>Administracio</t>
  </si>
  <si>
    <t>Josep Riera / Eva Calm</t>
  </si>
  <si>
    <t>Centre de documentació</t>
  </si>
  <si>
    <t>Manteniment</t>
  </si>
  <si>
    <t>Tots</t>
  </si>
  <si>
    <t>Hores</t>
  </si>
  <si>
    <t>Gerard</t>
  </si>
  <si>
    <t>Montse</t>
  </si>
  <si>
    <t>Emili</t>
  </si>
  <si>
    <t>Bernat</t>
  </si>
  <si>
    <t>Eva Calm</t>
  </si>
  <si>
    <t>Josep Riera</t>
  </si>
  <si>
    <t>420
420
420</t>
  </si>
  <si>
    <t>1688x4= 6752</t>
  </si>
  <si>
    <t>225
150
150
225</t>
  </si>
  <si>
    <t>120
120
120
120</t>
  </si>
  <si>
    <t>135
135
135
135</t>
  </si>
  <si>
    <t>105
75</t>
  </si>
  <si>
    <t>150
145</t>
  </si>
  <si>
    <t xml:space="preserve">480
125
90
300
</t>
  </si>
  <si>
    <t>Turisme / SIG
Direcció</t>
  </si>
  <si>
    <t>Arnau Dorca
Joan Pijoan</t>
  </si>
  <si>
    <t>150
40</t>
  </si>
  <si>
    <t>85
85</t>
  </si>
  <si>
    <t>140
140</t>
  </si>
  <si>
    <t>320
498</t>
  </si>
  <si>
    <t>680
150</t>
  </si>
  <si>
    <t>250
250</t>
  </si>
  <si>
    <t>280
150</t>
  </si>
  <si>
    <t>Patrimoni natural
Direcció</t>
  </si>
  <si>
    <t>Emili Basols
Bernat Perraamon
Joan Montserrat
Joan Pijoan</t>
  </si>
  <si>
    <t>450
450</t>
  </si>
  <si>
    <t>450
450
400
250</t>
  </si>
  <si>
    <t>50
50</t>
  </si>
  <si>
    <t>20
350</t>
  </si>
  <si>
    <t>Centre de Documentació
Direcció
Patrimoni Natural</t>
  </si>
  <si>
    <t>Montse Grabolosa
Joan Pijoan
Emili Bassols</t>
  </si>
  <si>
    <t>45
45</t>
  </si>
  <si>
    <t>40
40
40
40</t>
  </si>
  <si>
    <t>20
150
880</t>
  </si>
  <si>
    <t>Direcció
Centre de Documentaicó
Administració</t>
  </si>
  <si>
    <t>40
40</t>
  </si>
  <si>
    <t>40
120</t>
  </si>
  <si>
    <t>Direcció
Patrimoni Agro
Turisme
Patrimoni Natural</t>
  </si>
  <si>
    <t>Joan Pijoan
Bernat Perramon
Arnau Dorca
Emili Bassols</t>
  </si>
  <si>
    <t>40
80
100
10</t>
  </si>
  <si>
    <t>50
10</t>
  </si>
  <si>
    <t>20
100</t>
  </si>
  <si>
    <t>20
20</t>
  </si>
  <si>
    <t xml:space="preserve">25
</t>
  </si>
  <si>
    <t>20
80
80</t>
  </si>
  <si>
    <t>40
20</t>
  </si>
  <si>
    <t>10
50</t>
  </si>
  <si>
    <t>50
200</t>
  </si>
  <si>
    <t xml:space="preserve">Ús públic
</t>
  </si>
  <si>
    <t xml:space="preserve">Ús públic
</t>
  </si>
  <si>
    <t xml:space="preserve">Ús públic
Patrimoni Natural
</t>
  </si>
  <si>
    <t>Xavier Oliver
Emili Bassols</t>
  </si>
  <si>
    <t>Patrimoni Natural
Patrimoni Agro
Patrimoni Forestal
Ús Públic
Direcció</t>
  </si>
  <si>
    <t>Emili Bassols
Bernat Perramon
Joan Montserrat
Xavier Oliver / Arnau
Joan Pijoan</t>
  </si>
  <si>
    <t>40
40
40
40
40</t>
  </si>
  <si>
    <t>30
40</t>
  </si>
  <si>
    <t>50
40</t>
  </si>
  <si>
    <t>90
300</t>
  </si>
  <si>
    <t>10
150</t>
  </si>
  <si>
    <t>40
800</t>
  </si>
  <si>
    <t>Emili Bassols
Xavier Oliver
Arnau Dorca</t>
  </si>
  <si>
    <t>60
60
60</t>
  </si>
  <si>
    <t>Turisme / Sig</t>
  </si>
  <si>
    <t>Turisme / Sig
Direcció</t>
  </si>
  <si>
    <t>Arnau Dorca
Joan PIjoan</t>
  </si>
  <si>
    <t>100
100</t>
  </si>
  <si>
    <t xml:space="preserve">Turisme / Sig
</t>
  </si>
  <si>
    <t xml:space="preserve">Arnau Droca
</t>
  </si>
  <si>
    <t>50
100</t>
  </si>
  <si>
    <t>300
80</t>
  </si>
  <si>
    <t>40
600</t>
  </si>
  <si>
    <t>200
900</t>
  </si>
  <si>
    <t xml:space="preserve">Joan Pijoan
Josep Riera / Eva </t>
  </si>
  <si>
    <t>100
800</t>
  </si>
  <si>
    <t>40
200</t>
  </si>
  <si>
    <t>217
380</t>
  </si>
  <si>
    <t>300
500</t>
  </si>
  <si>
    <t>980
40
50</t>
  </si>
  <si>
    <t>400
177</t>
  </si>
  <si>
    <t xml:space="preserve">1) Promoure i donar suport als treballs de restauració arquitectònica, arqueològica i del patrimoni cultural Art. 34 PEZVG
2) Col·laboració en la divulgació del coneixement arqueologic lligat al vulcanisme conjuntament amb altres entitats. 
</t>
  </si>
  <si>
    <t xml:space="preserve">1) Nombre de propostes 
</t>
  </si>
  <si>
    <t xml:space="preserve">1) Nombre d'execucions destinades a millorar el grau de maduresa de la massa forestal.
2) Percentatge d'hectàrees potencials a projectes de custòdia. </t>
  </si>
  <si>
    <t>1) 1
2) 0</t>
  </si>
  <si>
    <t>1) 5
2)33</t>
  </si>
  <si>
    <t>Joan Montserrat
Joan Pijoan</t>
  </si>
  <si>
    <t>1) Seguiment fotogramètric de l'evolució dels afloraments d'interès geològic (AIG) del Parc Natural.
2) Estudi de l'evolució dels espais oberts del Parc Natural des de 1987.
3) Evolució de l'estat ecològic dels prats seminaturals del Parc Natural (1995 --&gt;)
4) Diagnosi de l'evolució del grau d'ocupació urbana del sòl protegit.
5) Evolució de la implantació de infraestructures de serveis urbans dins l'espai natural protegit.
6) Estudi dels efectes del canvi climàtic sobre les comunitats vegetals d'interès.
7) Diagnosi de l'evolució dels hàbitats al Parc Natural.
8) Estudi d'avaluació d'amenaces al PNZVG</t>
  </si>
  <si>
    <t>1) Nombre d'afloraments amb seguiment.
2) Evolució de la superfície d'espais oberts.
3,4,5,6,7) Nombre d'estudis i diagnosis realitzats
8) Nombre de noves amenacesi nombre de amenaces reduides</t>
  </si>
  <si>
    <t xml:space="preserve">1) Eliminació de rescloses en desús i permeabilitzar les altres per recuperar la qualitat dels sistemes fluvials.
2) Elaboració d'un catàleg de punts d'aigua en l'àmbit del Parc Natural.
3) Execució de les actuacions de recuperació de punts d'aigua per afavorir la biodiversitat previstes en el catàleg.
4) Elaborar un document de proposta per a promoure la incorporació de les zones humides d'interès del Parc Natural en l'Inventari de Zones Humides de Catalunya. Mulladius de Verlets.
5) Elaborar un document de proposta per a Incloure les fonts, les basses i les zones humides del Parc Natural com a elements naturals a protegir en els documents de planificació municipal (POUM i altres).
</t>
  </si>
  <si>
    <t>1) Participar i impulsar la planificació i execució d'accions d'accelaració de la maduresa forestal en zones boscoses dins l'espai natural protegit prioritzant reserves naturals en base a criteris metodològics definits (prioritzar reserves naturals, zones definides pel PEZVG com a protecció de vesants.
2)Diagnosi i pla de custódia i preservació dels boscos d'alt valor ecològic anb prioritat als bosos mdurs del PNZVG</t>
  </si>
  <si>
    <t>1) Adaptació d'infraestructures viàries per afavorir la connectivitat.
2) Aplicar mesures per minimitzar l'impacte d'ocupació del sòl, concretades en informes preceptius emesos pel Parc Natural, en l'àrea d'influència per a connectivitat definida en el Pla Especial.
3) Connectar hàbitats naturals de superfície reduïda.
4) Millorar la connectivitat en ambients fluvials i zones humides.
5) Adquirir o establir convenis de custòdia en espais naturals rellevants per a la connectivitat ecològica, i impulsar-hi actuacions que l’afavoreixin</t>
  </si>
  <si>
    <r>
      <rPr>
        <sz val="11"/>
        <color rgb="FF000000"/>
        <rFont val="Calibri"/>
        <family val="2"/>
      </rPr>
      <t xml:space="preserve">1) Nombre de mesures executades de millora de la connectivitat.
2) Nombre d'informes preceptius emesos en els quals s'incorporen mesures de millora de la connectivitat.
3,4 i 5) Superfície (ha) recuperada per a la connectivitat.
</t>
    </r>
    <r>
      <rPr>
        <sz val="11"/>
        <color rgb="FFFF0000"/>
        <rFont val="Calibri"/>
        <family val="2"/>
      </rPr>
      <t xml:space="preserve">
</t>
    </r>
  </si>
  <si>
    <t xml:space="preserve">1) Coordinació amb ens locals per a la compra de finques d'interès per la conservació.
2) Col·laboració amb els ens locals per a la gestió de les finques públiques.
3) Establir / renovar els convenis de Can Jordà i el volcà de Santa Margarida amb al Diputació de Girona
4) Singar acords de col·laboració amb els ens locals
5) Instar a l’Agència Catalana de l’Aigua l’atermenament del domini públic hidràulic en l’àmbit del Parc natural i de la seva zona d’influència hidràulica del riu Fluvià, el riu Brugent, el riu Ser, la riera de Ridaura, la riera de Bianya i el torrent de Sant Martí (com a mínim)   </t>
  </si>
  <si>
    <t>1) Nombre de finques adquirides.
2) Nombre de finques en les quals es col·labora.
3) Nombre convenis acordats
4) Nombre acords
5) Nombre d'atermanament</t>
  </si>
  <si>
    <t>1) 2
2) 2
3) 4
4) 2
5) 4</t>
  </si>
  <si>
    <t xml:space="preserve">1) Establiment de mesures compensatòries en aquells projectes, plans o programes que ho requereixin, orientades a restaurar impactes o reduir amenaces
</t>
  </si>
  <si>
    <t xml:space="preserve">1) Elaboració d'un estudi de caracterització hidrogeològica i hidrogràfica dels paratges de la Moixina, les Tries-Noc d’en Cols i els Verlets
2) Aplicació de les mesures específiques de conservació de la Reserva Natural Subterrània de la Deu Grossa i els estanys d'en Broc.
3) Seguiment de la qualitat de les aigües subterrànies i superficials de la conca dels Arcs (Santa Pau).
</t>
  </si>
  <si>
    <t>1) Suport i formació a la restauració de murs de pedra seca
2) Suport a la Setmana de la Pedra Seca 
3) Catàleg de barraques de pedra seca el PNZVG
4) Restauració de murs de pedra seca en finques pròpies , conveniades o amb autorització.
5) Elaborar un manual de bones pràctiques i caracterització en la construcció de murs de pedra seca. Promoure la capacitat profesional dels pretsacaires.</t>
  </si>
  <si>
    <t>Promoure la certificació de zones d'especial protecció de la qualitat acústica (àmbit de la Moixina i Fageda d'en Jordà)</t>
  </si>
  <si>
    <t>1) Promoure la certificació de Zona d'Especial Protecció de la Qualitat Acústica àmbit Moixina i Fageda d'en Jordà.</t>
  </si>
  <si>
    <t>Ordenar l'aparcament de vehícles i avaulauar el seus impactes</t>
  </si>
  <si>
    <t>1) Actualitzar la identificació d’agents clau per implementar iniciatives salutogèniques vinculades al binomi salut i natura
2) Identificar els àmbits de col·laboració per implementar el binomi salut i natura (CETS, empreses de serveis...)
3) Serveis ecosistèmics culturals per a la salut</t>
  </si>
  <si>
    <t xml:space="preserve">1) Participar en la Taula Salut i Natura de les comarques gironines per fer aportacions relatives als vincles entre la salut dels ecosistemes del parc natural, de les plantes i animals domèstics i la salut de la població que hi viu  </t>
  </si>
  <si>
    <t>1) Revisió i harmonització de la comunicació en base als manuals del Parc, la Xarxa i la Generalitat. 
2) Utilitzar el material elaborat pel SEA dins la campanya "Equilibri natural"
3) Recuperar la comunicació pública a la població local des de la direcció del parc Natural, pels canals de comunicació més adients</t>
  </si>
  <si>
    <t xml:space="preserve">1) Assistència tècnica en la gestió i conservació de la flora i la vegetació.
2) Col·laboració amb el SFF en l'elaboració de plans de conservació o recuperació d'espècies de fauna i flora.
3) Proporcionar la informació disponible en l'espai en relació a les espècies de les quals s'estigui redactant el pla de conservació o recuperació.
4) Execució de les mesures previstes en els plans de conservació o recuperació aplicables al nostre espai.
5) Obtenció d'informació sobre l'estatus de conservació d'espècies que, en funció de l'evolució de les seves poblacions, podrien ser susceptibles disposar d'un pla de conservació o recuperació en un futur.
6) Treballs de conservació "ex-situ" de flora protegida /amenaçada.
7) Adaptació d'un parell de canals de rescloses Fluvià com a hàbitats aptes a la reproducció de nàiades.
8) Assistència tècnica en la gestió de la fauna </t>
  </si>
  <si>
    <t xml:space="preserve">1) Nombre de plans de conservació o recuperació amb els quals s'ha col·laborat des de l'espai.
2) Nombre de projectes treballats conjutament
3) Informació proporcionada
4) Nombre de mesures 
5) Nombre de tàxons els quals obtens informació del seu estat de conservació
6) Nombre de tàxons els quals fas treballs de conservació
7) Nombre de canals o rescloses adaptades
8) Nombre de consultes realitzades
</t>
  </si>
  <si>
    <t>1) 2
2) 1
3) 1
4) 1
5) 1
6) 1
7) 1
8) 1</t>
  </si>
  <si>
    <t>1) 4
2) 4
3) 10
4) 5
5) 10
6) 10
7) 2
8) 50</t>
  </si>
  <si>
    <t>1) Redacció d'un estudi previ
2) Aplicar la normativa del PEZVG
3) Automatitzar l'aparcament de Santa Margarida
4) Gestió i control dels aparcament del PNZVG</t>
  </si>
  <si>
    <t xml:space="preserve">1) Estudi previ
2) Redacció de projecte d'automatització i reforma
</t>
  </si>
  <si>
    <t>entre</t>
  </si>
  <si>
    <t xml:space="preserve">
1) Redactar un Pla de vilgilància del PN
2) Treballar amb un servei de vigilància agents de camp del Parc
</t>
  </si>
  <si>
    <t xml:space="preserve">1) Pla elaborat
1) Nombre hores treball
</t>
  </si>
  <si>
    <t>1) 1
2) n</t>
  </si>
  <si>
    <t>1) Disposar d'una llista que reculli els agents clau
2) Disposar d'una llista que reculli els àmbits de col·laboració
3) Disposar d'un material de difusió sobre els serveis ecosistèmics culturals per a la salut
4) Organitzar una jornada de salut i natura</t>
  </si>
  <si>
    <t>1) 1
2) 1
3) 1
4) 1</t>
  </si>
  <si>
    <t xml:space="preserve">1) Elaboració o actualització de plans, protocols o estratègies de conservació per hàbitats i espècies d'interès (cranc de riu autòcton, nàiade i espècies qualificades de vulnerables al Catàleg de fauna).
2) Actuacions de restauració i millora d'hàbitats i d'espècies d'interès.
3) Treballs de millora i gestió específics pel cranc de riu. 
</t>
  </si>
  <si>
    <t xml:space="preserve">1) Nombre de plans de gestió específics per a elements prioritaris redactats i implementats.
2) Nombre d'actuacions de restauració
3) Nombre d'exemplars reintroduits
</t>
  </si>
  <si>
    <t xml:space="preserve">1) 1
2) 1
3) 100
</t>
  </si>
  <si>
    <t>1) 10
2) 4
3) 1000</t>
  </si>
  <si>
    <t xml:space="preserve">1) Treballar per la redacció del PRUG.
2) Redacció del Pla Especial del Bosc de Tosca.
3) Participació en la redacció del Pla d'Ús Públic de la comarca de la Garrotxa.
4) Redacció del Pla Estratègic d'Educació Ambiental.
5) Redacció del Pla per a la millora de la fertilització agraria.
</t>
  </si>
  <si>
    <t>1,2,3) Nombre de tasques de millora o manteniment realitzades 
4) Renovació ISO
5) Renovacio Q 
6) Elaboració de l'exposició
7) Elaboració dels materials</t>
  </si>
  <si>
    <t xml:space="preserve">1) Millorar la connexió de Can Passavent.
2) Arranjament i millora del Casal dels volcans com a seu del Parc i punt d'informació del Parc.
3) Adequació de Ca l'Esquirolet com a Centre d'Informació del Parc i adequació d'un espai interpretatiu
4) Renovació del sistema de qualitat ISO
5) Renovació del sistema de qualitat Q
6) Adequació de can Jordà com exposició gestió del Parc
</t>
  </si>
  <si>
    <t xml:space="preserve">1,2,3) 1
4) 1
5) 1
6) 1
</t>
  </si>
  <si>
    <t xml:space="preserve">1) 15
4) 1
5) 1
6) 1
</t>
  </si>
  <si>
    <t>1) Treballar en la gestió forestal de les finques públiques del Catàleg d'utilitat pública.
2) Promoure els PTGMF de totes les finques públiques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</si>
</sst>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4">
    <font>
      <sz val="11"/>
      <color theme="1"/>
      <name val="Calibri"/>
      <family val="2"/>
      <scheme val="minor"/>
    </font>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rgb="FF0070C0"/>
      <name val="Calibri"/>
      <family val="2"/>
      <scheme val="minor"/>
    </font>
    <font>
      <strike/>
      <sz val="11"/>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u/>
      <sz val="11"/>
      <color theme="10"/>
      <name val="Calibri"/>
      <family val="2"/>
      <scheme val="minor"/>
    </font>
    <font>
      <i/>
      <sz val="11"/>
      <color rgb="FFFF0000"/>
      <name val="Calibri"/>
      <family val="2"/>
      <scheme val="minor"/>
    </font>
    <font>
      <i/>
      <sz val="11"/>
      <color rgb="FFFF0000"/>
      <name val="Calibri"/>
      <family val="2"/>
    </font>
    <font>
      <i/>
      <strike/>
      <sz val="11"/>
      <color rgb="FFFF0000"/>
      <name val="Calibri"/>
      <family val="2"/>
      <scheme val="minor"/>
    </font>
    <font>
      <b/>
      <sz val="10"/>
      <color rgb="FFFF0000"/>
      <name val="Calibri"/>
      <family val="2"/>
    </font>
    <font>
      <sz val="10"/>
      <color rgb="FF000000"/>
      <name val="Calibri"/>
      <family val="2"/>
    </font>
    <font>
      <b/>
      <sz val="10"/>
      <color rgb="FF000000"/>
      <name val="Calibri"/>
      <family val="2"/>
    </font>
    <font>
      <sz val="10"/>
      <color rgb="FF0070C0"/>
      <name val="Calibri"/>
      <family val="2"/>
    </font>
    <font>
      <sz val="10"/>
      <color theme="5"/>
      <name val="Calibri"/>
      <family val="2"/>
    </font>
    <font>
      <sz val="10"/>
      <color theme="5"/>
      <name val="Calibri"/>
      <family val="2"/>
      <scheme val="minor"/>
    </font>
    <font>
      <i/>
      <sz val="10"/>
      <color theme="5"/>
      <name val="Calibri"/>
      <family val="2"/>
      <scheme val="minor"/>
    </font>
    <font>
      <sz val="10"/>
      <color rgb="FFFF0000"/>
      <name val="Calibri"/>
      <family val="2"/>
    </font>
    <font>
      <sz val="10"/>
      <name val="Calibri"/>
      <family val="2"/>
    </font>
    <font>
      <u/>
      <sz val="10"/>
      <color rgb="FFAE8055"/>
      <name val="Calibri"/>
      <family val="2"/>
    </font>
    <font>
      <i/>
      <sz val="10"/>
      <color rgb="FF0070C0"/>
      <name val="Calibri"/>
      <family val="2"/>
    </font>
    <font>
      <i/>
      <sz val="10"/>
      <color rgb="FF000000"/>
      <name val="Calibri"/>
      <family val="2"/>
    </font>
    <font>
      <i/>
      <sz val="10"/>
      <color rgb="FFFF0000"/>
      <name val="Calibri"/>
      <family val="2"/>
    </font>
    <font>
      <i/>
      <sz val="10"/>
      <color theme="5"/>
      <name val="Calibri"/>
      <family val="2"/>
    </font>
    <font>
      <b/>
      <sz val="10"/>
      <color theme="1"/>
      <name val="Calibri"/>
      <family val="2"/>
      <scheme val="minor"/>
    </font>
    <font>
      <b/>
      <sz val="11"/>
      <color theme="0"/>
      <name val="Calibri"/>
      <family val="2"/>
      <scheme val="minor"/>
    </font>
    <font>
      <sz val="11"/>
      <color rgb="FF00B0F0"/>
      <name val="Calibri"/>
      <family val="2"/>
      <scheme val="minor"/>
    </font>
    <font>
      <sz val="10"/>
      <color rgb="FF00B0F0"/>
      <name val="Arial"/>
      <family val="2"/>
    </font>
    <font>
      <i/>
      <sz val="10"/>
      <color rgb="FF000000"/>
      <name val="Arial"/>
      <family val="2"/>
    </font>
    <font>
      <i/>
      <sz val="10"/>
      <color rgb="FF00B0F0"/>
      <name val="Arial"/>
      <family val="2"/>
    </font>
    <font>
      <i/>
      <sz val="11"/>
      <color theme="1"/>
      <name val="Calibri"/>
      <family val="2"/>
      <scheme val="minor"/>
    </font>
    <font>
      <sz val="11"/>
      <color rgb="FF00ABD4"/>
      <name val="Calibri"/>
      <family val="2"/>
      <scheme val="minor"/>
    </font>
    <font>
      <sz val="10"/>
      <color rgb="FF00B0F0"/>
      <name val="Calibri"/>
      <family val="2"/>
      <scheme val="minor"/>
    </font>
    <font>
      <sz val="10"/>
      <color rgb="FF00B0F0"/>
      <name val="Calibri"/>
      <family val="2"/>
    </font>
    <font>
      <b/>
      <sz val="11"/>
      <color theme="5"/>
      <name val="Calibri"/>
      <family val="2"/>
      <scheme val="minor"/>
    </font>
    <font>
      <b/>
      <sz val="11"/>
      <color rgb="FFFF0000"/>
      <name val="Calibri"/>
      <family val="2"/>
      <scheme val="minor"/>
    </font>
    <font>
      <i/>
      <sz val="11"/>
      <name val="Calibri"/>
      <family val="2"/>
      <scheme val="minor"/>
    </font>
    <font>
      <i/>
      <sz val="11"/>
      <name val="Calibri"/>
      <family val="2"/>
    </font>
    <font>
      <sz val="11"/>
      <color rgb="FF242424"/>
      <name val="Aptos Narrow"/>
      <family val="2"/>
    </font>
    <font>
      <sz val="11"/>
      <color rgb="FFFF0000"/>
      <name val="Calibri"/>
      <family val="2"/>
    </font>
    <font>
      <i/>
      <sz val="11"/>
      <color rgb="FF000000"/>
      <name val="Calibri"/>
      <family val="2"/>
      <scheme val="minor"/>
    </font>
    <font>
      <i/>
      <sz val="11"/>
      <name val="Calibri"/>
      <family val="2"/>
      <scheme val="minor"/>
    </font>
    <font>
      <i/>
      <sz val="11"/>
      <color rgb="FF000000"/>
      <name val="Calibri"/>
      <family val="2"/>
    </font>
    <font>
      <sz val="11"/>
      <color rgb="FF0070C0"/>
      <name val="Calibri"/>
      <family val="2"/>
      <scheme val="minor"/>
    </font>
    <font>
      <i/>
      <strike/>
      <sz val="11"/>
      <name val="Calibri"/>
      <family val="2"/>
      <scheme val="minor"/>
    </font>
    <font>
      <sz val="11"/>
      <name val="Aptos Narrow"/>
      <family val="2"/>
    </font>
    <font>
      <sz val="11"/>
      <color theme="1"/>
      <name val="Calibri"/>
      <family val="2"/>
    </font>
    <font>
      <sz val="11"/>
      <color rgb="FF242424"/>
      <name val="Calibri"/>
      <family val="2"/>
      <scheme val="minor"/>
    </font>
    <font>
      <b/>
      <sz val="11"/>
      <color rgb="FF0070C0"/>
      <name val="Calibri"/>
      <family val="2"/>
      <scheme val="minor"/>
    </font>
    <font>
      <sz val="18"/>
      <name val="Calibri"/>
      <family val="2"/>
      <scheme val="minor"/>
    </font>
    <font>
      <sz val="28"/>
      <name val="Calibri"/>
      <family val="2"/>
      <scheme val="minor"/>
    </font>
  </fonts>
  <fills count="73">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
      <patternFill patternType="solid">
        <fgColor rgb="FFFEDED3"/>
        <bgColor rgb="FF000000"/>
      </patternFill>
    </fill>
    <fill>
      <patternFill patternType="solid">
        <fgColor theme="0"/>
        <bgColor indexed="64"/>
      </patternFill>
    </fill>
    <fill>
      <patternFill patternType="solid">
        <fgColor theme="2"/>
        <bgColor indexed="64"/>
      </patternFill>
    </fill>
    <fill>
      <patternFill patternType="solid">
        <fgColor theme="3"/>
        <bgColor indexed="64"/>
      </patternFill>
    </fill>
    <fill>
      <patternFill patternType="solid">
        <fgColor rgb="FFE5F1F7"/>
        <bgColor indexed="64"/>
      </patternFill>
    </fill>
    <fill>
      <patternFill patternType="solid">
        <fgColor rgb="FFD6E8F2"/>
        <bgColor indexed="64"/>
      </patternFill>
    </fill>
    <fill>
      <patternFill patternType="solid">
        <fgColor theme="7" tint="0.39997558519241921"/>
        <bgColor indexed="64"/>
      </patternFill>
    </fill>
    <fill>
      <patternFill patternType="solid">
        <fgColor rgb="FF7DBAD9"/>
        <bgColor indexed="64"/>
      </patternFill>
    </fill>
    <fill>
      <patternFill patternType="solid">
        <fgColor rgb="FF50A3CC"/>
        <bgColor indexed="64"/>
      </patternFill>
    </fill>
    <fill>
      <patternFill patternType="solid">
        <fgColor rgb="FF368AB4"/>
        <bgColor indexed="64"/>
      </patternFill>
    </fill>
    <fill>
      <patternFill patternType="solid">
        <fgColor rgb="FF245D7A"/>
        <bgColor indexed="64"/>
      </patternFill>
    </fill>
    <fill>
      <patternFill patternType="solid">
        <fgColor theme="4" tint="-0.499984740745262"/>
        <bgColor indexed="64"/>
      </patternFill>
    </fill>
    <fill>
      <patternFill patternType="solid">
        <fgColor rgb="FFF7FAEC"/>
        <bgColor indexed="64"/>
      </patternFill>
    </fill>
    <fill>
      <patternFill patternType="solid">
        <fgColor theme="4" tint="0.39997558519241921"/>
        <bgColor indexed="64"/>
      </patternFill>
    </fill>
    <fill>
      <patternFill patternType="solid">
        <fgColor rgb="FFB6D24E"/>
        <bgColor indexed="64"/>
      </patternFill>
    </fill>
    <fill>
      <patternFill patternType="solid">
        <fgColor rgb="FF97B42E"/>
        <bgColor indexed="64"/>
      </patternFill>
    </fill>
    <fill>
      <patternFill patternType="solid">
        <fgColor rgb="FF88A22A"/>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8" tint="0.39997558519241921"/>
        <bgColor indexed="64"/>
      </patternFill>
    </fill>
    <fill>
      <patternFill patternType="solid">
        <fgColor rgb="FFFA7F54"/>
        <bgColor indexed="64"/>
      </patternFill>
    </fill>
    <fill>
      <patternFill patternType="solid">
        <fgColor rgb="FFF85920"/>
        <bgColor indexed="64"/>
      </patternFill>
    </fill>
    <fill>
      <patternFill patternType="solid">
        <fgColor rgb="FFD73D07"/>
        <bgColor indexed="64"/>
      </patternFill>
    </fill>
    <fill>
      <patternFill patternType="solid">
        <fgColor rgb="FFCB3A07"/>
        <bgColor indexed="64"/>
      </patternFill>
    </fill>
    <fill>
      <patternFill patternType="solid">
        <fgColor rgb="FFBA3506"/>
        <bgColor indexed="64"/>
      </patternFill>
    </fill>
    <fill>
      <patternFill patternType="solid">
        <fgColor theme="9" tint="-0.499984740745262"/>
        <bgColor indexed="64"/>
      </patternFill>
    </fill>
    <fill>
      <patternFill patternType="solid">
        <fgColor theme="4" tint="-0.249977111117893"/>
        <bgColor indexed="64"/>
      </patternFill>
    </fill>
    <fill>
      <patternFill patternType="solid">
        <fgColor rgb="FFB9D454"/>
        <bgColor indexed="64"/>
      </patternFill>
    </fill>
    <fill>
      <patternFill patternType="solid">
        <fgColor rgb="FF98B52D"/>
        <bgColor indexed="64"/>
      </patternFill>
    </fill>
    <fill>
      <patternFill patternType="solid">
        <fgColor rgb="FF00B0F0"/>
        <bgColor indexed="64"/>
      </patternFill>
    </fill>
    <fill>
      <patternFill patternType="solid">
        <fgColor rgb="FFFFFFFF"/>
        <bgColor rgb="FF000000"/>
      </patternFill>
    </fill>
    <fill>
      <patternFill patternType="solid">
        <fgColor theme="7"/>
        <bgColor indexed="64"/>
      </patternFill>
    </fill>
    <fill>
      <patternFill patternType="solid">
        <fgColor rgb="FF0070C0"/>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rgb="FFFFFFFF"/>
        <bgColor indexed="64"/>
      </patternFill>
    </fill>
    <fill>
      <patternFill patternType="solid">
        <fgColor rgb="FF92D050"/>
        <bgColor indexed="64"/>
      </patternFill>
    </fill>
    <fill>
      <patternFill patternType="solid">
        <fgColor rgb="FFCBD000"/>
        <bgColor indexed="64"/>
      </patternFill>
    </fill>
    <fill>
      <patternFill patternType="solid">
        <fgColor theme="6" tint="0.39997558519241921"/>
        <bgColor indexed="64"/>
      </patternFill>
    </fill>
    <fill>
      <patternFill patternType="solid">
        <fgColor rgb="FFE1E600"/>
        <bgColor indexed="64"/>
      </patternFill>
    </fill>
    <fill>
      <patternFill patternType="solid">
        <fgColor theme="3" tint="0.79998168889431442"/>
        <bgColor indexed="64"/>
      </patternFill>
    </fill>
    <fill>
      <patternFill patternType="solid">
        <fgColor theme="8"/>
        <bgColor indexed="64"/>
      </patternFill>
    </fill>
    <fill>
      <patternFill patternType="solid">
        <fgColor theme="6"/>
        <bgColor indexed="64"/>
      </patternFill>
    </fill>
  </fills>
  <borders count="101">
    <border>
      <left/>
      <right/>
      <top/>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right style="thin">
        <color theme="5"/>
      </right>
      <top style="thin">
        <color theme="5"/>
      </top>
      <bottom/>
      <diagonal/>
    </border>
    <border>
      <left/>
      <right style="thin">
        <color theme="5"/>
      </right>
      <top/>
      <bottom/>
      <diagonal/>
    </border>
    <border>
      <left/>
      <right style="thin">
        <color theme="5"/>
      </right>
      <top/>
      <bottom style="thin">
        <color theme="5"/>
      </bottom>
      <diagonal/>
    </border>
    <border>
      <left style="thin">
        <color theme="5"/>
      </left>
      <right/>
      <top style="thin">
        <color theme="5"/>
      </top>
      <bottom/>
      <diagonal/>
    </border>
    <border>
      <left style="thin">
        <color theme="5"/>
      </left>
      <right/>
      <top/>
      <bottom/>
      <diagonal/>
    </border>
    <border>
      <left style="thin">
        <color theme="5"/>
      </left>
      <right/>
      <top/>
      <bottom style="thin">
        <color theme="5"/>
      </bottom>
      <diagonal/>
    </border>
    <border>
      <left/>
      <right/>
      <top style="thin">
        <color theme="5"/>
      </top>
      <bottom style="thin">
        <color theme="5"/>
      </bottom>
      <diagonal/>
    </border>
    <border>
      <left style="thin">
        <color theme="6"/>
      </left>
      <right/>
      <top/>
      <bottom/>
      <diagonal/>
    </border>
    <border>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style="thin">
        <color rgb="FF00B0F0"/>
      </right>
      <top/>
      <bottom style="thin">
        <color rgb="FF00B0F0"/>
      </bottom>
      <diagonal/>
    </border>
    <border>
      <left style="thin">
        <color rgb="FF00B0F0"/>
      </left>
      <right/>
      <top style="thin">
        <color rgb="FF00B0F0"/>
      </top>
      <bottom style="thin">
        <color rgb="FF00B0F0"/>
      </bottom>
      <diagonal/>
    </border>
    <border>
      <left/>
      <right/>
      <top style="thin">
        <color theme="6"/>
      </top>
      <bottom/>
      <diagonal/>
    </border>
    <border>
      <left/>
      <right/>
      <top style="thin">
        <color rgb="FF00B0F0"/>
      </top>
      <bottom style="thin">
        <color rgb="FF00B0F0"/>
      </bottom>
      <diagonal/>
    </border>
    <border>
      <left style="thin">
        <color theme="8"/>
      </left>
      <right/>
      <top style="thin">
        <color rgb="FF00B0F0"/>
      </top>
      <bottom/>
      <diagonal/>
    </border>
    <border>
      <left/>
      <right style="thin">
        <color theme="8"/>
      </right>
      <top style="thin">
        <color rgb="FF00B0F0"/>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bottom/>
      <diagonal/>
    </border>
    <border>
      <left/>
      <right style="thin">
        <color theme="9"/>
      </right>
      <top/>
      <bottom/>
      <diagonal/>
    </border>
    <border>
      <left style="thin">
        <color theme="9"/>
      </left>
      <right/>
      <top/>
      <bottom style="thin">
        <color theme="9"/>
      </bottom>
      <diagonal/>
    </border>
    <border>
      <left/>
      <right style="thin">
        <color theme="9"/>
      </right>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right/>
      <top style="thin">
        <color theme="9"/>
      </top>
      <bottom style="thin">
        <color theme="9"/>
      </bottom>
      <diagonal/>
    </border>
    <border>
      <left/>
      <right/>
      <top style="thin">
        <color theme="4"/>
      </top>
      <bottom style="thin">
        <color theme="4"/>
      </bottom>
      <diagonal/>
    </border>
    <border>
      <left/>
      <right style="thin">
        <color rgb="FF8497B0"/>
      </right>
      <top/>
      <bottom/>
      <diagonal/>
    </border>
    <border>
      <left style="thin">
        <color rgb="FF8497B0"/>
      </left>
      <right/>
      <top style="thin">
        <color rgb="FF8497B0"/>
      </top>
      <bottom/>
      <diagonal/>
    </border>
    <border>
      <left style="thin">
        <color rgb="FF8497B0"/>
      </left>
      <right/>
      <top/>
      <bottom/>
      <diagonal/>
    </border>
    <border>
      <left style="thin">
        <color rgb="FF8497B0"/>
      </left>
      <right/>
      <top style="thin">
        <color rgb="FF8497B0"/>
      </top>
      <bottom style="thin">
        <color rgb="FF8497B0"/>
      </bottom>
      <diagonal/>
    </border>
    <border>
      <left/>
      <right style="thin">
        <color rgb="FF8497B0"/>
      </right>
      <top style="thin">
        <color theme="3" tint="0.39994506668294322"/>
      </top>
      <bottom/>
      <diagonal/>
    </border>
    <border>
      <left style="thin">
        <color rgb="FF8497B0"/>
      </left>
      <right/>
      <top style="thin">
        <color theme="3" tint="0.39994506668294322"/>
      </top>
      <bottom/>
      <diagonal/>
    </border>
    <border>
      <left/>
      <right/>
      <top style="thin">
        <color theme="3" tint="0.39994506668294322"/>
      </top>
      <bottom/>
      <diagonal/>
    </border>
    <border>
      <left style="thin">
        <color rgb="FF8497B0"/>
      </left>
      <right/>
      <top/>
      <bottom style="thin">
        <color theme="3" tint="0.39994506668294322"/>
      </bottom>
      <diagonal/>
    </border>
    <border>
      <left/>
      <right style="thin">
        <color theme="4"/>
      </right>
      <top style="thin">
        <color theme="5"/>
      </top>
      <bottom/>
      <diagonal/>
    </border>
    <border>
      <left/>
      <right style="thin">
        <color theme="4"/>
      </right>
      <top/>
      <bottom/>
      <diagonal/>
    </border>
    <border>
      <left/>
      <right style="thin">
        <color theme="4"/>
      </right>
      <top/>
      <bottom style="thin">
        <color theme="4"/>
      </bottom>
      <diagonal/>
    </border>
    <border>
      <left style="thin">
        <color theme="4"/>
      </left>
      <right/>
      <top style="thin">
        <color theme="5"/>
      </top>
      <bottom/>
      <diagonal/>
    </border>
    <border>
      <left style="thin">
        <color theme="4"/>
      </left>
      <right/>
      <top/>
      <bottom/>
      <diagonal/>
    </border>
    <border>
      <left style="thin">
        <color theme="4"/>
      </left>
      <right/>
      <top/>
      <bottom style="thin">
        <color theme="4"/>
      </bottom>
      <diagonal/>
    </border>
    <border>
      <left/>
      <right/>
      <top/>
      <bottom style="thin">
        <color theme="4"/>
      </bottom>
      <diagonal/>
    </border>
    <border>
      <left/>
      <right style="thin">
        <color theme="4"/>
      </right>
      <top style="thin">
        <color theme="4"/>
      </top>
      <bottom/>
      <diagonal/>
    </border>
    <border>
      <left/>
      <right/>
      <top style="thin">
        <color theme="4"/>
      </top>
      <bottom/>
      <diagonal/>
    </border>
    <border>
      <left/>
      <right/>
      <top/>
      <bottom style="thin">
        <color theme="6"/>
      </bottom>
      <diagonal/>
    </border>
    <border>
      <left style="thin">
        <color theme="4"/>
      </left>
      <right/>
      <top style="thin">
        <color theme="4"/>
      </top>
      <bottom style="thin">
        <color theme="4"/>
      </bottom>
      <diagonal/>
    </border>
    <border>
      <left style="thin">
        <color theme="4"/>
      </left>
      <right/>
      <top style="thin">
        <color theme="5"/>
      </top>
      <bottom style="thin">
        <color theme="4"/>
      </bottom>
      <diagonal/>
    </border>
    <border>
      <left style="thin">
        <color theme="8" tint="-0.24994659260841701"/>
      </left>
      <right/>
      <top style="thin">
        <color theme="8" tint="-0.24994659260841701"/>
      </top>
      <bottom/>
      <diagonal/>
    </border>
    <border>
      <left/>
      <right style="thin">
        <color theme="8"/>
      </right>
      <top style="thin">
        <color theme="8" tint="-0.24994659260841701"/>
      </top>
      <bottom/>
      <diagonal/>
    </border>
    <border>
      <left style="thin">
        <color theme="8" tint="-0.24994659260841701"/>
      </left>
      <right/>
      <top/>
      <bottom style="thin">
        <color theme="8" tint="-0.24994659260841701"/>
      </bottom>
      <diagonal/>
    </border>
    <border>
      <left/>
      <right style="thin">
        <color theme="8"/>
      </right>
      <top/>
      <bottom style="thin">
        <color theme="8" tint="-0.24994659260841701"/>
      </bottom>
      <diagonal/>
    </border>
    <border>
      <left/>
      <right/>
      <top/>
      <bottom style="thin">
        <color theme="9"/>
      </bottom>
      <diagonal/>
    </border>
    <border>
      <left style="thin">
        <color rgb="FF8497B0"/>
      </left>
      <right/>
      <top/>
      <bottom style="thin">
        <color rgb="FF8497B0"/>
      </bottom>
      <diagonal/>
    </border>
    <border>
      <left style="thin">
        <color indexed="64"/>
      </left>
      <right style="thin">
        <color indexed="64"/>
      </right>
      <top style="thin">
        <color indexed="64"/>
      </top>
      <bottom style="thin">
        <color indexed="64"/>
      </bottom>
      <diagonal/>
    </border>
    <border>
      <left/>
      <right/>
      <top style="thin">
        <color theme="5"/>
      </top>
      <bottom/>
      <diagonal/>
    </border>
    <border>
      <left/>
      <right/>
      <top/>
      <bottom style="thin">
        <color theme="5"/>
      </bottom>
      <diagonal/>
    </border>
    <border>
      <left/>
      <right/>
      <top style="thin">
        <color rgb="FF00B0F0"/>
      </top>
      <bottom/>
      <diagonal/>
    </border>
    <border>
      <left/>
      <right/>
      <top/>
      <bottom style="thin">
        <color rgb="FF00B0F0"/>
      </bottom>
      <diagonal/>
    </border>
    <border>
      <left/>
      <right/>
      <top/>
      <bottom style="thin">
        <color theme="8"/>
      </bottom>
      <diagonal/>
    </border>
    <border>
      <left/>
      <right/>
      <top style="thin">
        <color theme="9"/>
      </top>
      <bottom/>
      <diagonal/>
    </border>
    <border>
      <left/>
      <right/>
      <top/>
      <bottom style="thin">
        <color theme="3" tint="0.39994506668294322"/>
      </bottom>
      <diagonal/>
    </border>
    <border>
      <left/>
      <right/>
      <top style="thin">
        <color rgb="FF8497B0"/>
      </top>
      <bottom/>
      <diagonal/>
    </border>
    <border>
      <left/>
      <right/>
      <top style="thin">
        <color rgb="FF8497B0"/>
      </top>
      <bottom style="thin">
        <color rgb="FF8497B0"/>
      </bottom>
      <diagonal/>
    </border>
    <border>
      <left/>
      <right/>
      <top/>
      <bottom style="thin">
        <color rgb="FF8497B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ck">
        <color theme="0"/>
      </right>
      <top/>
      <bottom/>
      <diagonal/>
    </border>
    <border>
      <left/>
      <right/>
      <top style="thick">
        <color theme="0"/>
      </top>
      <bottom/>
      <diagonal/>
    </border>
    <border>
      <left/>
      <right/>
      <top/>
      <bottom style="thick">
        <color theme="0"/>
      </bottom>
      <diagonal/>
    </border>
    <border>
      <left/>
      <right style="thick">
        <color theme="0"/>
      </right>
      <top/>
      <bottom style="thick">
        <color theme="0"/>
      </bottom>
      <diagonal/>
    </border>
    <border>
      <left/>
      <right style="thick">
        <color theme="0"/>
      </right>
      <top style="thick">
        <color theme="0"/>
      </top>
      <bottom/>
      <diagonal/>
    </border>
    <border>
      <left/>
      <right style="thin">
        <color indexed="64"/>
      </right>
      <top style="thin">
        <color theme="5"/>
      </top>
      <bottom/>
      <diagonal/>
    </border>
    <border>
      <left/>
      <right style="thin">
        <color indexed="64"/>
      </right>
      <top/>
      <bottom/>
      <diagonal/>
    </border>
    <border>
      <left/>
      <right style="thin">
        <color indexed="64"/>
      </right>
      <top/>
      <bottom style="thin">
        <color theme="5"/>
      </bottom>
      <diagonal/>
    </border>
    <border>
      <left/>
      <right style="thin">
        <color indexed="64"/>
      </right>
      <top style="thin">
        <color rgb="FF00B0F0"/>
      </top>
      <bottom/>
      <diagonal/>
    </border>
    <border>
      <left/>
      <right style="thin">
        <color indexed="64"/>
      </right>
      <top/>
      <bottom style="thin">
        <color rgb="FF00B0F0"/>
      </bottom>
      <diagonal/>
    </border>
    <border>
      <left/>
      <right style="thin">
        <color theme="8"/>
      </right>
      <top/>
      <bottom style="thin">
        <color theme="8"/>
      </bottom>
      <diagonal/>
    </border>
    <border>
      <left/>
      <right style="thin">
        <color indexed="64"/>
      </right>
      <top/>
      <bottom style="thin">
        <color theme="8"/>
      </bottom>
      <diagonal/>
    </border>
    <border>
      <left/>
      <right style="thin">
        <color indexed="64"/>
      </right>
      <top style="thin">
        <color theme="9"/>
      </top>
      <bottom/>
      <diagonal/>
    </border>
    <border>
      <left/>
      <right style="thin">
        <color indexed="64"/>
      </right>
      <top/>
      <bottom style="thin">
        <color theme="9"/>
      </bottom>
      <diagonal/>
    </border>
    <border>
      <left/>
      <right style="thin">
        <color indexed="64"/>
      </right>
      <top style="thin">
        <color rgb="FF8497B0"/>
      </top>
      <bottom/>
      <diagonal/>
    </border>
  </borders>
  <cellStyleXfs count="3">
    <xf numFmtId="0" fontId="0" fillId="0" borderId="0"/>
    <xf numFmtId="0" fontId="21" fillId="0" borderId="0"/>
    <xf numFmtId="0" fontId="29" fillId="0" borderId="0" applyNumberFormat="0" applyFill="0" applyBorder="0" applyAlignment="0" applyProtection="0"/>
  </cellStyleXfs>
  <cellXfs count="553">
    <xf numFmtId="0" fontId="0" fillId="0" borderId="0" xfId="0"/>
    <xf numFmtId="0" fontId="0" fillId="0" borderId="0" xfId="0" applyAlignment="1">
      <alignment vertical="top" wrapText="1"/>
    </xf>
    <xf numFmtId="0" fontId="5" fillId="0" borderId="0" xfId="0" applyFont="1" applyAlignment="1">
      <alignment vertical="top"/>
    </xf>
    <xf numFmtId="0" fontId="0" fillId="0" borderId="0" xfId="0" applyAlignment="1">
      <alignment vertical="top"/>
    </xf>
    <xf numFmtId="0" fontId="6" fillId="0" borderId="0" xfId="0" applyFont="1" applyAlignment="1">
      <alignment vertical="top" wrapText="1"/>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49" fontId="4" fillId="0" borderId="0" xfId="0" applyNumberFormat="1" applyFont="1" applyAlignment="1">
      <alignment horizontal="center" vertical="center" wrapText="1"/>
    </xf>
    <xf numFmtId="49" fontId="4" fillId="12" borderId="2" xfId="0" applyNumberFormat="1" applyFont="1" applyFill="1" applyBorder="1" applyAlignment="1">
      <alignment horizontal="center" vertical="center" wrapText="1"/>
    </xf>
    <xf numFmtId="49" fontId="5" fillId="8" borderId="0" xfId="0" applyNumberFormat="1" applyFont="1" applyFill="1" applyAlignment="1">
      <alignment horizontal="center" vertical="top" wrapText="1"/>
    </xf>
    <xf numFmtId="49" fontId="5" fillId="2" borderId="1" xfId="0" applyNumberFormat="1" applyFont="1" applyFill="1" applyBorder="1" applyAlignment="1">
      <alignment horizontal="center" vertical="top" wrapText="1"/>
    </xf>
    <xf numFmtId="49" fontId="4" fillId="15" borderId="21" xfId="0" applyNumberFormat="1" applyFont="1" applyFill="1" applyBorder="1" applyAlignment="1">
      <alignment horizontal="center" vertical="center" wrapText="1"/>
    </xf>
    <xf numFmtId="49" fontId="4" fillId="19" borderId="37" xfId="0" applyNumberFormat="1" applyFont="1" applyFill="1" applyBorder="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xf>
    <xf numFmtId="0" fontId="0" fillId="0" borderId="0" xfId="0" applyAlignment="1">
      <alignment horizontal="left" vertical="center" wrapText="1"/>
    </xf>
    <xf numFmtId="0" fontId="4" fillId="23" borderId="40" xfId="0" applyFont="1" applyFill="1" applyBorder="1" applyAlignment="1">
      <alignment vertical="center" wrapText="1"/>
    </xf>
    <xf numFmtId="49" fontId="4" fillId="23" borderId="40" xfId="0" applyNumberFormat="1" applyFont="1" applyFill="1" applyBorder="1" applyAlignment="1">
      <alignment horizontal="center" vertical="center" wrapText="1"/>
    </xf>
    <xf numFmtId="0" fontId="4" fillId="25" borderId="46" xfId="0" applyFont="1" applyFill="1" applyBorder="1" applyAlignment="1">
      <alignment horizontal="center" vertical="center" wrapText="1"/>
    </xf>
    <xf numFmtId="0" fontId="4" fillId="25" borderId="44" xfId="0" applyFont="1" applyFill="1" applyBorder="1" applyAlignment="1">
      <alignment horizontal="center" vertical="center" wrapText="1"/>
    </xf>
    <xf numFmtId="0" fontId="8" fillId="10" borderId="0" xfId="0" applyFont="1" applyFill="1" applyAlignment="1">
      <alignment horizontal="center" vertical="top" wrapText="1"/>
    </xf>
    <xf numFmtId="49" fontId="5" fillId="0" borderId="0" xfId="0" applyNumberFormat="1" applyFont="1" applyAlignment="1">
      <alignment horizontal="center" vertical="top" wrapText="1"/>
    </xf>
    <xf numFmtId="49" fontId="5" fillId="7" borderId="1" xfId="0" applyNumberFormat="1" applyFont="1" applyFill="1" applyBorder="1" applyAlignment="1">
      <alignment horizontal="center" vertical="top" wrapText="1"/>
    </xf>
    <xf numFmtId="49" fontId="5" fillId="3" borderId="0" xfId="0" applyNumberFormat="1" applyFont="1" applyFill="1" applyAlignment="1">
      <alignment horizontal="center" vertical="top" wrapText="1"/>
    </xf>
    <xf numFmtId="49" fontId="5" fillId="4" borderId="0" xfId="0" applyNumberFormat="1" applyFont="1" applyFill="1" applyAlignment="1">
      <alignment horizontal="center" vertical="top" wrapText="1"/>
    </xf>
    <xf numFmtId="49" fontId="5" fillId="5" borderId="0" xfId="0" applyNumberFormat="1" applyFont="1" applyFill="1" applyAlignment="1">
      <alignment horizontal="center" vertical="top" wrapText="1"/>
    </xf>
    <xf numFmtId="49" fontId="5" fillId="6" borderId="0" xfId="0" applyNumberFormat="1" applyFont="1" applyFill="1" applyAlignment="1">
      <alignment horizontal="center" vertical="top" wrapText="1"/>
    </xf>
    <xf numFmtId="49" fontId="5" fillId="9" borderId="0" xfId="0" applyNumberFormat="1" applyFont="1" applyFill="1" applyAlignment="1">
      <alignment horizontal="center" vertical="top" wrapText="1"/>
    </xf>
    <xf numFmtId="0" fontId="4" fillId="17" borderId="27" xfId="0" applyFont="1" applyFill="1" applyBorder="1" applyAlignment="1">
      <alignment horizontal="center" vertical="top" wrapText="1"/>
    </xf>
    <xf numFmtId="0" fontId="4" fillId="17" borderId="29" xfId="0" applyFont="1" applyFill="1" applyBorder="1" applyAlignment="1">
      <alignment horizontal="center" vertical="top"/>
    </xf>
    <xf numFmtId="0" fontId="4" fillId="17" borderId="26" xfId="0" applyFont="1" applyFill="1" applyBorder="1" applyAlignment="1">
      <alignment horizontal="center" vertical="top"/>
    </xf>
    <xf numFmtId="0" fontId="4" fillId="11" borderId="6" xfId="0" applyFont="1" applyFill="1" applyBorder="1" applyAlignment="1">
      <alignment horizontal="center" vertical="top"/>
    </xf>
    <xf numFmtId="0" fontId="4" fillId="11" borderId="7" xfId="0" applyFont="1" applyFill="1" applyBorder="1" applyAlignment="1">
      <alignment horizontal="center" vertical="top"/>
    </xf>
    <xf numFmtId="0" fontId="4" fillId="11" borderId="8" xfId="0" applyFont="1" applyFill="1" applyBorder="1" applyAlignment="1">
      <alignment horizontal="center" vertical="top"/>
    </xf>
    <xf numFmtId="0" fontId="4" fillId="16" borderId="15" xfId="0" applyFont="1" applyFill="1" applyBorder="1" applyAlignment="1">
      <alignment horizontal="center" vertical="top"/>
    </xf>
    <xf numFmtId="0" fontId="4" fillId="16" borderId="16" xfId="0" applyFont="1" applyFill="1" applyBorder="1" applyAlignment="1">
      <alignment horizontal="left" vertical="top" wrapText="1"/>
    </xf>
    <xf numFmtId="0" fontId="4" fillId="13" borderId="11" xfId="0" applyFont="1" applyFill="1" applyBorder="1" applyAlignment="1">
      <alignment horizontal="left" vertical="top" wrapText="1"/>
    </xf>
    <xf numFmtId="0" fontId="4" fillId="13" borderId="12" xfId="0" applyFont="1" applyFill="1" applyBorder="1" applyAlignment="1">
      <alignment horizontal="center" vertical="top"/>
    </xf>
    <xf numFmtId="0" fontId="4" fillId="25" borderId="43" xfId="0" applyFont="1" applyFill="1" applyBorder="1" applyAlignment="1">
      <alignment horizontal="center" vertical="center" wrapText="1"/>
    </xf>
    <xf numFmtId="0" fontId="12" fillId="11" borderId="3" xfId="0" applyFont="1" applyFill="1" applyBorder="1" applyAlignment="1">
      <alignment vertical="top" wrapText="1"/>
    </xf>
    <xf numFmtId="0" fontId="4" fillId="11" borderId="4" xfId="0" applyFont="1" applyFill="1" applyBorder="1" applyAlignment="1">
      <alignment vertical="top" wrapText="1"/>
    </xf>
    <xf numFmtId="0" fontId="4" fillId="11" borderId="5" xfId="0" applyFont="1" applyFill="1" applyBorder="1" applyAlignment="1">
      <alignment vertical="top" wrapText="1"/>
    </xf>
    <xf numFmtId="49" fontId="5" fillId="8" borderId="55" xfId="0" applyNumberFormat="1" applyFont="1" applyFill="1" applyBorder="1" applyAlignment="1">
      <alignment horizontal="center" vertical="top" wrapText="1"/>
    </xf>
    <xf numFmtId="0" fontId="4" fillId="16" borderId="15" xfId="0" applyFont="1" applyFill="1" applyBorder="1" applyAlignment="1">
      <alignment vertical="top"/>
    </xf>
    <xf numFmtId="0" fontId="4" fillId="16" borderId="17" xfId="0" applyFont="1" applyFill="1" applyBorder="1" applyAlignment="1">
      <alignment vertical="top"/>
    </xf>
    <xf numFmtId="49" fontId="5" fillId="4" borderId="0" xfId="0" applyNumberFormat="1" applyFont="1" applyFill="1" applyAlignment="1">
      <alignment vertical="top" wrapText="1"/>
    </xf>
    <xf numFmtId="0" fontId="4" fillId="17" borderId="27" xfId="0" applyFont="1" applyFill="1" applyBorder="1" applyAlignment="1">
      <alignment vertical="top" wrapText="1"/>
    </xf>
    <xf numFmtId="0" fontId="4" fillId="17" borderId="26" xfId="0" applyFont="1" applyFill="1" applyBorder="1" applyAlignment="1">
      <alignment vertical="top"/>
    </xf>
    <xf numFmtId="0" fontId="4" fillId="17" borderId="28" xfId="0" applyFont="1" applyFill="1" applyBorder="1" applyAlignment="1">
      <alignment vertical="top"/>
    </xf>
    <xf numFmtId="49" fontId="4" fillId="18" borderId="24" xfId="0" applyNumberFormat="1" applyFont="1" applyFill="1" applyBorder="1" applyAlignment="1">
      <alignment horizontal="center" vertical="center" wrapText="1"/>
    </xf>
    <xf numFmtId="0" fontId="4" fillId="16" borderId="16" xfId="0" applyFont="1" applyFill="1" applyBorder="1" applyAlignment="1">
      <alignment vertical="top" wrapText="1"/>
    </xf>
    <xf numFmtId="0" fontId="4" fillId="16" borderId="18" xfId="0" applyFont="1" applyFill="1" applyBorder="1" applyAlignment="1">
      <alignment vertical="top" wrapText="1"/>
    </xf>
    <xf numFmtId="0" fontId="4" fillId="13" borderId="11" xfId="0" applyFont="1" applyFill="1" applyBorder="1" applyAlignment="1">
      <alignment vertical="top" wrapText="1"/>
    </xf>
    <xf numFmtId="0" fontId="4" fillId="13" borderId="10" xfId="0" applyFont="1" applyFill="1" applyBorder="1" applyAlignment="1">
      <alignment vertical="top"/>
    </xf>
    <xf numFmtId="49" fontId="5" fillId="3" borderId="0" xfId="0" applyNumberFormat="1" applyFont="1" applyFill="1" applyAlignment="1">
      <alignment vertical="top" wrapText="1"/>
    </xf>
    <xf numFmtId="0" fontId="4" fillId="17" borderId="25" xfId="0" applyFont="1" applyFill="1" applyBorder="1" applyAlignment="1">
      <alignment vertical="top" wrapText="1"/>
    </xf>
    <xf numFmtId="0" fontId="4" fillId="22" borderId="49" xfId="0" applyFont="1" applyFill="1" applyBorder="1" applyAlignment="1">
      <alignment vertical="top" wrapText="1"/>
    </xf>
    <xf numFmtId="0" fontId="4" fillId="22" borderId="50" xfId="0" applyFont="1" applyFill="1" applyBorder="1" applyAlignment="1">
      <alignment vertical="top" wrapText="1"/>
    </xf>
    <xf numFmtId="0" fontId="4" fillId="22" borderId="52" xfId="0" applyFont="1" applyFill="1" applyBorder="1" applyAlignment="1">
      <alignment vertical="top"/>
    </xf>
    <xf numFmtId="0" fontId="4" fillId="22" borderId="53" xfId="0" applyFont="1" applyFill="1" applyBorder="1" applyAlignment="1">
      <alignment vertical="top"/>
    </xf>
    <xf numFmtId="0" fontId="4" fillId="17" borderId="61" xfId="0" applyFont="1" applyFill="1" applyBorder="1" applyAlignment="1">
      <alignment horizontal="center" vertical="top" wrapText="1"/>
    </xf>
    <xf numFmtId="0" fontId="4" fillId="17" borderId="62" xfId="0" applyFont="1" applyFill="1" applyBorder="1" applyAlignment="1">
      <alignment horizontal="center" vertical="top" wrapText="1"/>
    </xf>
    <xf numFmtId="0" fontId="4" fillId="17" borderId="63" xfId="0" applyFont="1" applyFill="1" applyBorder="1" applyAlignment="1">
      <alignment horizontal="center" vertical="top" wrapText="1"/>
    </xf>
    <xf numFmtId="0" fontId="4" fillId="17" borderId="64" xfId="0" applyFont="1" applyFill="1" applyBorder="1" applyAlignment="1">
      <alignment horizontal="center" vertical="top" wrapText="1"/>
    </xf>
    <xf numFmtId="0" fontId="4" fillId="25" borderId="42" xfId="0" applyFont="1" applyFill="1" applyBorder="1" applyAlignment="1">
      <alignment vertical="center" wrapText="1"/>
    </xf>
    <xf numFmtId="0" fontId="4" fillId="25" borderId="43" xfId="0" applyFont="1" applyFill="1" applyBorder="1" applyAlignment="1">
      <alignment vertical="center" wrapText="1"/>
    </xf>
    <xf numFmtId="0" fontId="4" fillId="24" borderId="45" xfId="0" applyFont="1" applyFill="1" applyBorder="1" applyAlignment="1">
      <alignment vertical="top" wrapText="1"/>
    </xf>
    <xf numFmtId="0" fontId="4" fillId="24" borderId="41" xfId="0" applyFont="1" applyFill="1" applyBorder="1" applyAlignment="1">
      <alignment vertical="top" wrapText="1"/>
    </xf>
    <xf numFmtId="0" fontId="8" fillId="10" borderId="0" xfId="0" applyFont="1" applyFill="1" applyAlignment="1">
      <alignment vertical="top" wrapText="1"/>
    </xf>
    <xf numFmtId="0" fontId="4" fillId="21" borderId="47" xfId="0" applyFont="1" applyFill="1" applyBorder="1" applyAlignment="1">
      <alignment vertical="top"/>
    </xf>
    <xf numFmtId="0" fontId="4" fillId="21" borderId="0" xfId="0" applyFont="1" applyFill="1" applyAlignment="1">
      <alignment vertical="top"/>
    </xf>
    <xf numFmtId="0" fontId="0" fillId="0" borderId="0" xfId="0" applyAlignment="1">
      <alignment wrapText="1"/>
    </xf>
    <xf numFmtId="0" fontId="4" fillId="0" borderId="67" xfId="0" applyFont="1" applyBorder="1" applyAlignment="1">
      <alignment vertical="top" wrapText="1"/>
    </xf>
    <xf numFmtId="49" fontId="17" fillId="0" borderId="0" xfId="0" applyNumberFormat="1" applyFont="1" applyAlignment="1">
      <alignment horizontal="left" vertical="top"/>
    </xf>
    <xf numFmtId="0" fontId="18" fillId="0" borderId="0" xfId="0" applyFont="1" applyAlignment="1">
      <alignment vertical="top"/>
    </xf>
    <xf numFmtId="0" fontId="18" fillId="0" borderId="0" xfId="0" applyFont="1" applyAlignment="1">
      <alignment vertical="top" wrapText="1"/>
    </xf>
    <xf numFmtId="49" fontId="17" fillId="0" borderId="0" xfId="0" applyNumberFormat="1" applyFont="1" applyAlignment="1">
      <alignment horizontal="center" vertical="top" wrapText="1"/>
    </xf>
    <xf numFmtId="49" fontId="17" fillId="0" borderId="0" xfId="0" applyNumberFormat="1" applyFont="1" applyAlignment="1">
      <alignment horizontal="right" vertical="top"/>
    </xf>
    <xf numFmtId="0" fontId="5" fillId="20" borderId="0" xfId="0" applyFont="1" applyFill="1" applyAlignment="1">
      <alignment horizontal="center" vertical="center" wrapText="1"/>
    </xf>
    <xf numFmtId="0" fontId="6" fillId="20" borderId="0" xfId="0" applyFont="1" applyFill="1" applyAlignment="1">
      <alignment horizontal="center" vertical="center" wrapText="1"/>
    </xf>
    <xf numFmtId="0" fontId="6" fillId="20" borderId="0" xfId="0" applyFont="1" applyFill="1" applyAlignment="1">
      <alignment horizontal="center" vertical="center"/>
    </xf>
    <xf numFmtId="49" fontId="6" fillId="20" borderId="0" xfId="0" applyNumberFormat="1" applyFont="1" applyFill="1" applyAlignment="1">
      <alignment horizontal="center" vertical="center" wrapText="1"/>
    </xf>
    <xf numFmtId="0" fontId="19" fillId="0" borderId="0" xfId="0" applyFont="1" applyAlignment="1">
      <alignment vertical="top" wrapText="1"/>
    </xf>
    <xf numFmtId="0" fontId="16" fillId="0" borderId="0" xfId="0" applyFont="1" applyAlignment="1">
      <alignment wrapText="1"/>
    </xf>
    <xf numFmtId="0" fontId="5" fillId="0" borderId="0" xfId="0" applyFont="1" applyAlignment="1">
      <alignment wrapText="1"/>
    </xf>
    <xf numFmtId="0" fontId="4" fillId="12" borderId="9" xfId="0" applyFont="1" applyFill="1" applyBorder="1" applyAlignment="1">
      <alignment vertical="center" wrapText="1"/>
    </xf>
    <xf numFmtId="0" fontId="4" fillId="15" borderId="23" xfId="0" applyFont="1" applyFill="1" applyBorder="1" applyAlignment="1">
      <alignment vertical="center" wrapText="1"/>
    </xf>
    <xf numFmtId="0" fontId="7" fillId="18" borderId="70" xfId="0" applyFont="1" applyFill="1" applyBorder="1" applyAlignment="1">
      <alignment vertical="center" wrapText="1"/>
    </xf>
    <xf numFmtId="0" fontId="4" fillId="19" borderId="39" xfId="0" applyFont="1" applyFill="1" applyBorder="1" applyAlignment="1">
      <alignment horizontal="left" vertical="center" wrapText="1"/>
    </xf>
    <xf numFmtId="0" fontId="4" fillId="25" borderId="47" xfId="0" applyFont="1" applyFill="1" applyBorder="1" applyAlignment="1">
      <alignment horizontal="left" vertical="center" wrapText="1"/>
    </xf>
    <xf numFmtId="0" fontId="4" fillId="25" borderId="75" xfId="0" applyFont="1" applyFill="1" applyBorder="1" applyAlignment="1">
      <alignment vertical="center" wrapText="1"/>
    </xf>
    <xf numFmtId="0" fontId="4" fillId="25" borderId="0" xfId="0" applyFont="1" applyFill="1" applyAlignment="1">
      <alignment vertical="center" wrapText="1"/>
    </xf>
    <xf numFmtId="0" fontId="4" fillId="25" borderId="0" xfId="0" applyFont="1" applyFill="1" applyAlignment="1">
      <alignment horizontal="left" vertical="center" wrapText="1"/>
    </xf>
    <xf numFmtId="0" fontId="4" fillId="25" borderId="76" xfId="0" applyFont="1" applyFill="1" applyBorder="1" applyAlignment="1">
      <alignment vertical="center" wrapText="1"/>
    </xf>
    <xf numFmtId="0" fontId="6" fillId="20" borderId="67" xfId="0" applyFont="1" applyFill="1" applyBorder="1" applyAlignment="1">
      <alignment horizontal="center" vertical="center" wrapText="1"/>
    </xf>
    <xf numFmtId="0" fontId="6" fillId="20" borderId="67" xfId="0" applyFont="1" applyFill="1" applyBorder="1" applyAlignment="1">
      <alignment horizontal="center" vertical="center"/>
    </xf>
    <xf numFmtId="0" fontId="6" fillId="0" borderId="67" xfId="0" applyFont="1" applyBorder="1" applyAlignment="1">
      <alignment horizontal="left" vertical="center" wrapText="1"/>
    </xf>
    <xf numFmtId="0" fontId="6" fillId="0" borderId="67" xfId="0" applyFont="1" applyBorder="1" applyAlignment="1">
      <alignment horizontal="center" vertical="center" wrapText="1"/>
    </xf>
    <xf numFmtId="0" fontId="5" fillId="0" borderId="67" xfId="0" applyFont="1" applyBorder="1" applyAlignment="1">
      <alignment horizontal="center" vertical="center"/>
    </xf>
    <xf numFmtId="0" fontId="5" fillId="20" borderId="67" xfId="0" applyFont="1" applyFill="1" applyBorder="1" applyAlignment="1">
      <alignment horizontal="center" vertical="center"/>
    </xf>
    <xf numFmtId="0" fontId="5" fillId="20" borderId="67" xfId="0" applyFont="1" applyFill="1" applyBorder="1" applyAlignment="1">
      <alignment horizontal="center" vertical="center" wrapText="1"/>
    </xf>
    <xf numFmtId="0" fontId="4" fillId="20" borderId="67" xfId="0" applyFont="1" applyFill="1" applyBorder="1" applyAlignment="1">
      <alignment horizontal="center" vertical="center" wrapText="1"/>
    </xf>
    <xf numFmtId="0" fontId="4" fillId="20" borderId="67" xfId="0" applyFont="1" applyFill="1" applyBorder="1" applyAlignment="1">
      <alignment horizontal="left" vertical="center" wrapText="1"/>
    </xf>
    <xf numFmtId="0" fontId="4" fillId="20" borderId="67" xfId="0" applyFont="1" applyFill="1" applyBorder="1" applyAlignment="1">
      <alignment horizontal="center" vertical="center"/>
    </xf>
    <xf numFmtId="0" fontId="4" fillId="0" borderId="67" xfId="0" applyFont="1" applyBorder="1" applyAlignment="1">
      <alignment horizontal="left" vertical="center" wrapText="1"/>
    </xf>
    <xf numFmtId="0" fontId="4" fillId="0" borderId="67" xfId="0" applyFont="1" applyBorder="1" applyAlignment="1">
      <alignment horizontal="center" vertical="center"/>
    </xf>
    <xf numFmtId="0" fontId="0" fillId="0" borderId="67" xfId="0" applyBorder="1" applyAlignment="1">
      <alignment horizontal="center" vertical="center"/>
    </xf>
    <xf numFmtId="0" fontId="0" fillId="20" borderId="67" xfId="0" applyFill="1" applyBorder="1" applyAlignment="1">
      <alignment horizontal="center" vertical="center"/>
    </xf>
    <xf numFmtId="0" fontId="0" fillId="20" borderId="67" xfId="0" applyFill="1" applyBorder="1" applyAlignment="1">
      <alignment horizontal="left" vertical="center" wrapText="1"/>
    </xf>
    <xf numFmtId="0" fontId="0" fillId="0" borderId="67" xfId="0" applyBorder="1" applyAlignment="1">
      <alignment vertical="top"/>
    </xf>
    <xf numFmtId="0" fontId="4" fillId="0" borderId="67" xfId="0" applyFont="1" applyBorder="1" applyAlignment="1">
      <alignment vertical="top"/>
    </xf>
    <xf numFmtId="0" fontId="2" fillId="20" borderId="67" xfId="0" applyFont="1" applyFill="1" applyBorder="1" applyAlignment="1">
      <alignment horizontal="left" vertical="center" wrapText="1"/>
    </xf>
    <xf numFmtId="0" fontId="0" fillId="20" borderId="67" xfId="0" applyFill="1" applyBorder="1" applyAlignment="1">
      <alignment horizontal="center" vertical="center" wrapText="1"/>
    </xf>
    <xf numFmtId="0" fontId="4" fillId="0" borderId="67" xfId="0" applyFont="1" applyBorder="1" applyAlignment="1">
      <alignment horizontal="center" vertical="center" wrapText="1"/>
    </xf>
    <xf numFmtId="0" fontId="12" fillId="20" borderId="67" xfId="0" applyFont="1" applyFill="1" applyBorder="1" applyAlignment="1">
      <alignment horizontal="left" vertical="center" wrapText="1"/>
    </xf>
    <xf numFmtId="0" fontId="4" fillId="0" borderId="67" xfId="0" applyFont="1" applyBorder="1" applyAlignment="1">
      <alignment horizontal="left" vertical="top" wrapText="1"/>
    </xf>
    <xf numFmtId="0" fontId="4" fillId="0" borderId="67" xfId="0" quotePrefix="1" applyFont="1" applyBorder="1" applyAlignment="1">
      <alignment vertical="top" wrapText="1"/>
    </xf>
    <xf numFmtId="0" fontId="7" fillId="0" borderId="67" xfId="0" applyFont="1" applyBorder="1" applyAlignment="1">
      <alignment vertical="top"/>
    </xf>
    <xf numFmtId="0" fontId="9" fillId="0" borderId="67" xfId="0" applyFont="1" applyBorder="1" applyAlignment="1">
      <alignment vertical="top" wrapText="1"/>
    </xf>
    <xf numFmtId="0" fontId="12" fillId="20" borderId="67" xfId="0" applyFont="1" applyFill="1" applyBorder="1" applyAlignment="1">
      <alignment horizontal="center" vertical="center" wrapText="1"/>
    </xf>
    <xf numFmtId="0" fontId="12" fillId="0" borderId="67" xfId="0" applyFont="1" applyBorder="1" applyAlignment="1">
      <alignment vertical="top" wrapText="1"/>
    </xf>
    <xf numFmtId="0" fontId="11" fillId="20" borderId="67" xfId="0" applyFont="1" applyFill="1" applyBorder="1" applyAlignment="1">
      <alignment horizontal="left" vertical="center" wrapText="1"/>
    </xf>
    <xf numFmtId="0" fontId="10" fillId="0" borderId="67" xfId="0" applyFont="1" applyBorder="1" applyAlignment="1">
      <alignment vertical="top" wrapText="1"/>
    </xf>
    <xf numFmtId="0" fontId="12" fillId="20" borderId="67" xfId="0" applyFont="1" applyFill="1" applyBorder="1" applyAlignment="1">
      <alignment horizontal="center" vertical="center"/>
    </xf>
    <xf numFmtId="0" fontId="7" fillId="20" borderId="67" xfId="0" applyFont="1" applyFill="1" applyBorder="1" applyAlignment="1">
      <alignment horizontal="left" vertical="center" wrapText="1"/>
    </xf>
    <xf numFmtId="0" fontId="0" fillId="0" borderId="67" xfId="0" applyBorder="1" applyAlignment="1">
      <alignment vertical="top" wrapText="1"/>
    </xf>
    <xf numFmtId="0" fontId="5" fillId="0" borderId="67" xfId="0" applyFont="1" applyBorder="1" applyAlignment="1">
      <alignment horizontal="center" vertical="center" wrapText="1"/>
    </xf>
    <xf numFmtId="0" fontId="5" fillId="26" borderId="0" xfId="0" applyFont="1" applyFill="1" applyAlignment="1">
      <alignment wrapText="1"/>
    </xf>
    <xf numFmtId="0" fontId="0" fillId="26" borderId="0" xfId="0" applyFill="1" applyAlignment="1">
      <alignment wrapText="1"/>
    </xf>
    <xf numFmtId="0" fontId="5" fillId="26" borderId="0" xfId="0" applyFont="1" applyFill="1"/>
    <xf numFmtId="0" fontId="20" fillId="0" borderId="0" xfId="0" applyFont="1"/>
    <xf numFmtId="0" fontId="5" fillId="0" borderId="0" xfId="0" applyFont="1"/>
    <xf numFmtId="0" fontId="16" fillId="0" borderId="0" xfId="0" applyFont="1"/>
    <xf numFmtId="0" fontId="0" fillId="0" borderId="67" xfId="0" applyBorder="1" applyAlignment="1">
      <alignment wrapText="1"/>
    </xf>
    <xf numFmtId="0" fontId="16" fillId="0" borderId="82" xfId="0" applyFont="1" applyBorder="1" applyAlignment="1">
      <alignment horizontal="center"/>
    </xf>
    <xf numFmtId="0" fontId="16" fillId="0" borderId="83" xfId="0" applyFont="1" applyBorder="1" applyAlignment="1">
      <alignment horizontal="center"/>
    </xf>
    <xf numFmtId="0" fontId="16" fillId="0" borderId="84" xfId="0" applyFont="1" applyBorder="1" applyAlignment="1">
      <alignment horizontal="center" wrapText="1"/>
    </xf>
    <xf numFmtId="0" fontId="22" fillId="0" borderId="0" xfId="1" applyFont="1" applyAlignment="1">
      <alignment vertical="center"/>
    </xf>
    <xf numFmtId="0" fontId="23" fillId="0" borderId="0" xfId="1" applyFont="1" applyAlignment="1">
      <alignment horizontal="left" vertical="center"/>
    </xf>
    <xf numFmtId="0" fontId="23" fillId="0" borderId="0" xfId="1" applyFont="1" applyAlignment="1">
      <alignment vertical="center"/>
    </xf>
    <xf numFmtId="0" fontId="23" fillId="0" borderId="0" xfId="1" applyFont="1" applyAlignment="1">
      <alignment vertical="center" wrapText="1"/>
    </xf>
    <xf numFmtId="0" fontId="21" fillId="0" borderId="0" xfId="1"/>
    <xf numFmtId="0" fontId="24" fillId="0" borderId="0" xfId="1" applyFont="1" applyAlignment="1">
      <alignment horizontal="left" vertical="center"/>
    </xf>
    <xf numFmtId="0" fontId="26" fillId="0" borderId="0" xfId="1" applyFont="1" applyAlignment="1">
      <alignment horizontal="left" vertical="center"/>
    </xf>
    <xf numFmtId="0" fontId="8" fillId="27" borderId="0" xfId="1" applyFont="1" applyFill="1" applyAlignment="1">
      <alignment horizontal="center" vertical="top" wrapText="1"/>
    </xf>
    <xf numFmtId="0" fontId="8" fillId="27" borderId="0" xfId="1" applyFont="1" applyFill="1" applyAlignment="1">
      <alignment horizontal="left" vertical="top" wrapText="1"/>
    </xf>
    <xf numFmtId="0" fontId="8" fillId="27" borderId="0" xfId="1" applyFont="1" applyFill="1" applyAlignment="1">
      <alignment vertical="top" wrapText="1"/>
    </xf>
    <xf numFmtId="0" fontId="23" fillId="0" borderId="0" xfId="1" applyFont="1" applyAlignment="1">
      <alignment horizontal="center" vertical="top" wrapText="1"/>
    </xf>
    <xf numFmtId="0" fontId="23" fillId="0" borderId="0" xfId="1" applyFont="1" applyAlignment="1">
      <alignment vertical="top" wrapText="1"/>
    </xf>
    <xf numFmtId="0" fontId="23" fillId="0" borderId="0" xfId="1" applyFont="1" applyAlignment="1">
      <alignment vertical="top"/>
    </xf>
    <xf numFmtId="0" fontId="27" fillId="28" borderId="0" xfId="1" applyFont="1" applyFill="1" applyAlignment="1">
      <alignment horizontal="center" vertical="top" wrapText="1"/>
    </xf>
    <xf numFmtId="0" fontId="23" fillId="0" borderId="0" xfId="1" applyFont="1" applyAlignment="1">
      <alignment horizontal="left" vertical="top" wrapText="1"/>
    </xf>
    <xf numFmtId="0" fontId="23" fillId="0" borderId="0" xfId="1" applyFont="1" applyAlignment="1">
      <alignment horizontal="center" vertical="center"/>
    </xf>
    <xf numFmtId="0" fontId="23" fillId="0" borderId="0" xfId="1" applyFont="1" applyAlignment="1">
      <alignment horizontal="left" vertical="center" wrapText="1"/>
    </xf>
    <xf numFmtId="0" fontId="23" fillId="0" borderId="0" xfId="1" applyFont="1" applyAlignment="1">
      <alignment horizontal="center" vertical="center" wrapText="1"/>
    </xf>
    <xf numFmtId="0" fontId="28" fillId="28" borderId="0" xfId="1" applyFont="1" applyFill="1" applyAlignment="1">
      <alignment horizontal="center" vertical="center" wrapText="1"/>
    </xf>
    <xf numFmtId="0" fontId="0" fillId="0" borderId="81" xfId="0" applyBorder="1" applyAlignment="1">
      <alignment wrapText="1"/>
    </xf>
    <xf numFmtId="0" fontId="16" fillId="0" borderId="83" xfId="0" applyFont="1" applyBorder="1" applyAlignment="1">
      <alignment horizontal="center" wrapText="1"/>
    </xf>
    <xf numFmtId="0" fontId="0" fillId="29" borderId="0" xfId="0" applyFill="1"/>
    <xf numFmtId="0" fontId="6" fillId="0" borderId="0" xfId="0" applyFont="1" applyAlignment="1">
      <alignment wrapText="1"/>
    </xf>
    <xf numFmtId="0" fontId="4" fillId="0" borderId="0" xfId="0" applyFont="1" applyAlignment="1">
      <alignment wrapText="1"/>
    </xf>
    <xf numFmtId="0" fontId="19" fillId="19" borderId="67" xfId="0" applyFont="1" applyFill="1" applyBorder="1" applyAlignment="1">
      <alignment vertical="top" wrapText="1"/>
    </xf>
    <xf numFmtId="0" fontId="30" fillId="0" borderId="67" xfId="0" applyFont="1" applyBorder="1" applyAlignment="1">
      <alignment vertical="top" wrapText="1"/>
    </xf>
    <xf numFmtId="0" fontId="30" fillId="0" borderId="67" xfId="0" applyFont="1" applyBorder="1" applyAlignment="1">
      <alignment horizontal="left" vertical="top" wrapText="1"/>
    </xf>
    <xf numFmtId="0" fontId="30" fillId="0" borderId="67" xfId="0" quotePrefix="1" applyFont="1" applyBorder="1" applyAlignment="1">
      <alignment vertical="top" wrapText="1"/>
    </xf>
    <xf numFmtId="0" fontId="30" fillId="0" borderId="67" xfId="0" applyFont="1" applyBorder="1" applyAlignment="1">
      <alignment horizontal="left" vertical="center" wrapText="1"/>
    </xf>
    <xf numFmtId="0" fontId="31" fillId="0" borderId="67" xfId="0" applyFont="1" applyBorder="1" applyAlignment="1">
      <alignment vertical="top" wrapText="1"/>
    </xf>
    <xf numFmtId="0" fontId="32" fillId="0" borderId="67" xfId="0" applyFont="1" applyBorder="1" applyAlignment="1">
      <alignment vertical="top" wrapText="1"/>
    </xf>
    <xf numFmtId="0" fontId="30" fillId="0" borderId="0" xfId="0" applyFont="1" applyAlignment="1">
      <alignment vertical="top" wrapText="1"/>
    </xf>
    <xf numFmtId="0" fontId="30" fillId="0" borderId="0" xfId="0" applyFont="1" applyAlignment="1">
      <alignment horizontal="left" vertical="center"/>
    </xf>
    <xf numFmtId="0" fontId="33" fillId="0" borderId="0" xfId="0" applyFont="1" applyAlignment="1">
      <alignment wrapText="1"/>
    </xf>
    <xf numFmtId="0" fontId="34" fillId="0" borderId="0" xfId="0" applyFont="1"/>
    <xf numFmtId="0" fontId="34" fillId="0" borderId="0" xfId="0" applyFont="1" applyAlignment="1">
      <alignment horizontal="center" vertical="center"/>
    </xf>
    <xf numFmtId="0" fontId="23" fillId="0" borderId="0" xfId="0" applyFont="1"/>
    <xf numFmtId="0" fontId="35" fillId="30" borderId="67" xfId="0" applyFont="1" applyFill="1" applyBorder="1"/>
    <xf numFmtId="0" fontId="34" fillId="0" borderId="67" xfId="0" applyFont="1" applyBorder="1" applyAlignment="1">
      <alignment wrapText="1"/>
    </xf>
    <xf numFmtId="0" fontId="34" fillId="0" borderId="67" xfId="0" applyFont="1" applyBorder="1" applyAlignment="1">
      <alignment horizontal="center" vertical="center"/>
    </xf>
    <xf numFmtId="0" fontId="34" fillId="0" borderId="67" xfId="0" applyFont="1" applyBorder="1"/>
    <xf numFmtId="0" fontId="36" fillId="0" borderId="67" xfId="0" applyFont="1" applyBorder="1" applyAlignment="1">
      <alignment wrapText="1"/>
    </xf>
    <xf numFmtId="0" fontId="34" fillId="31" borderId="67" xfId="0" applyFont="1" applyFill="1" applyBorder="1" applyAlignment="1">
      <alignment wrapText="1"/>
    </xf>
    <xf numFmtId="0" fontId="37" fillId="0" borderId="67" xfId="0" applyFont="1" applyBorder="1" applyAlignment="1">
      <alignment wrapText="1"/>
    </xf>
    <xf numFmtId="0" fontId="38" fillId="0" borderId="67" xfId="0" applyFont="1" applyBorder="1" applyAlignment="1">
      <alignment vertical="center" wrapText="1"/>
    </xf>
    <xf numFmtId="0" fontId="23" fillId="0" borderId="67" xfId="0" applyFont="1" applyBorder="1"/>
    <xf numFmtId="0" fontId="37" fillId="0" borderId="0" xfId="0" applyFont="1" applyAlignment="1">
      <alignment wrapText="1"/>
    </xf>
    <xf numFmtId="0" fontId="23" fillId="0" borderId="0" xfId="0" applyFont="1" applyAlignment="1">
      <alignment horizontal="center" vertical="center"/>
    </xf>
    <xf numFmtId="0" fontId="23" fillId="0" borderId="0" xfId="0" applyFont="1" applyAlignment="1">
      <alignment wrapText="1"/>
    </xf>
    <xf numFmtId="0" fontId="35" fillId="30" borderId="67" xfId="0" applyFont="1" applyFill="1" applyBorder="1" applyAlignment="1">
      <alignment wrapText="1"/>
    </xf>
    <xf numFmtId="0" fontId="38" fillId="0" borderId="0" xfId="0" applyFont="1" applyAlignment="1">
      <alignment vertical="center" wrapText="1"/>
    </xf>
    <xf numFmtId="0" fontId="35" fillId="0" borderId="85" xfId="0" applyFont="1" applyBorder="1" applyAlignment="1">
      <alignment wrapText="1"/>
    </xf>
    <xf numFmtId="0" fontId="34" fillId="0" borderId="0" xfId="0" applyFont="1" applyAlignment="1">
      <alignment horizontal="center"/>
    </xf>
    <xf numFmtId="0" fontId="40" fillId="0" borderId="0" xfId="0" applyFont="1"/>
    <xf numFmtId="0" fontId="36" fillId="0" borderId="0" xfId="0" applyFont="1"/>
    <xf numFmtId="0" fontId="38" fillId="0" borderId="0" xfId="0" applyFont="1"/>
    <xf numFmtId="0" fontId="43" fillId="0" borderId="67" xfId="0" applyFont="1" applyBorder="1" applyAlignment="1">
      <alignment wrapText="1"/>
    </xf>
    <xf numFmtId="0" fontId="44" fillId="0" borderId="67" xfId="0" applyFont="1" applyBorder="1" applyAlignment="1">
      <alignment wrapText="1"/>
    </xf>
    <xf numFmtId="0" fontId="45" fillId="0" borderId="67" xfId="0" applyFont="1" applyBorder="1" applyAlignment="1">
      <alignment wrapText="1"/>
    </xf>
    <xf numFmtId="0" fontId="46" fillId="31" borderId="67" xfId="0" applyFont="1" applyFill="1" applyBorder="1" applyAlignment="1">
      <alignment wrapText="1"/>
    </xf>
    <xf numFmtId="0" fontId="33" fillId="0" borderId="0" xfId="0" applyFont="1" applyAlignment="1">
      <alignment horizontal="center" wrapText="1"/>
    </xf>
    <xf numFmtId="0" fontId="35" fillId="0" borderId="0" xfId="0" applyFont="1" applyAlignment="1">
      <alignment horizontal="center" wrapText="1"/>
    </xf>
    <xf numFmtId="0" fontId="35" fillId="30" borderId="67" xfId="0" applyFont="1" applyFill="1" applyBorder="1" applyAlignment="1">
      <alignment horizontal="center"/>
    </xf>
    <xf numFmtId="0" fontId="34" fillId="0" borderId="67" xfId="0" applyFont="1" applyBorder="1" applyAlignment="1">
      <alignment horizontal="center" wrapText="1"/>
    </xf>
    <xf numFmtId="0" fontId="34" fillId="0" borderId="67" xfId="0" applyFont="1" applyBorder="1" applyAlignment="1">
      <alignment horizontal="center"/>
    </xf>
    <xf numFmtId="0" fontId="34" fillId="0" borderId="0" xfId="0" applyFont="1" applyAlignment="1">
      <alignment horizontal="center" wrapText="1"/>
    </xf>
    <xf numFmtId="0" fontId="40" fillId="0" borderId="67" xfId="0" applyFont="1" applyBorder="1" applyAlignment="1">
      <alignment horizontal="center" wrapText="1"/>
    </xf>
    <xf numFmtId="0" fontId="41" fillId="0" borderId="67" xfId="0" applyFont="1" applyBorder="1" applyAlignment="1">
      <alignment horizontal="center" wrapText="1"/>
    </xf>
    <xf numFmtId="0" fontId="23" fillId="0" borderId="67" xfId="0" applyFont="1" applyBorder="1" applyAlignment="1">
      <alignment horizontal="center"/>
    </xf>
    <xf numFmtId="0" fontId="40" fillId="0" borderId="0" xfId="0" applyFont="1" applyAlignment="1">
      <alignment horizontal="center" wrapText="1"/>
    </xf>
    <xf numFmtId="0" fontId="36" fillId="0" borderId="0" xfId="0" applyFont="1" applyAlignment="1">
      <alignment horizontal="center" wrapText="1"/>
    </xf>
    <xf numFmtId="0" fontId="42" fillId="0" borderId="0" xfId="0" applyFont="1" applyAlignment="1">
      <alignment horizontal="center"/>
    </xf>
    <xf numFmtId="0" fontId="23" fillId="0" borderId="0" xfId="0" applyFont="1" applyAlignment="1">
      <alignment horizontal="center"/>
    </xf>
    <xf numFmtId="0" fontId="35" fillId="0" borderId="0" xfId="0" applyFont="1"/>
    <xf numFmtId="0" fontId="35" fillId="0" borderId="0" xfId="0" applyFont="1" applyAlignment="1">
      <alignment horizontal="center"/>
    </xf>
    <xf numFmtId="0" fontId="35" fillId="0" borderId="0" xfId="0" applyFont="1" applyAlignment="1">
      <alignment horizontal="center" vertical="center"/>
    </xf>
    <xf numFmtId="0" fontId="47" fillId="0" borderId="0" xfId="0" applyFont="1"/>
    <xf numFmtId="0" fontId="0" fillId="0" borderId="0" xfId="0" applyAlignment="1">
      <alignment horizontal="center" vertical="top"/>
    </xf>
    <xf numFmtId="0" fontId="0" fillId="15" borderId="0" xfId="0" applyFill="1" applyAlignment="1">
      <alignment vertical="top" wrapText="1"/>
    </xf>
    <xf numFmtId="0" fontId="0" fillId="23" borderId="0" xfId="0" applyFill="1" applyAlignment="1">
      <alignment vertical="top" wrapText="1"/>
    </xf>
    <xf numFmtId="0" fontId="0" fillId="19" borderId="0" xfId="0" applyFill="1" applyAlignment="1">
      <alignment vertical="top" wrapText="1"/>
    </xf>
    <xf numFmtId="0" fontId="0" fillId="18" borderId="86" xfId="0" applyFill="1" applyBorder="1" applyAlignment="1">
      <alignment vertical="top" wrapText="1"/>
    </xf>
    <xf numFmtId="0" fontId="0" fillId="0" borderId="87" xfId="0" applyBorder="1" applyAlignment="1">
      <alignment horizontal="center" vertical="top" wrapText="1"/>
    </xf>
    <xf numFmtId="0" fontId="0" fillId="0" borderId="0" xfId="0" applyAlignment="1">
      <alignment horizontal="center" vertical="top" wrapText="1"/>
    </xf>
    <xf numFmtId="0" fontId="0" fillId="0" borderId="88" xfId="0" applyBorder="1" applyAlignment="1">
      <alignment horizontal="center" vertical="top" wrapText="1"/>
    </xf>
    <xf numFmtId="0" fontId="0" fillId="18" borderId="89" xfId="0" applyFill="1" applyBorder="1" applyAlignment="1">
      <alignment vertical="top" wrapText="1"/>
    </xf>
    <xf numFmtId="0" fontId="0" fillId="18" borderId="90" xfId="0" applyFill="1" applyBorder="1" applyAlignment="1">
      <alignment vertical="top" wrapText="1"/>
    </xf>
    <xf numFmtId="0" fontId="0" fillId="0" borderId="87" xfId="0" applyBorder="1" applyAlignment="1">
      <alignment horizontal="center" vertical="top"/>
    </xf>
    <xf numFmtId="0" fontId="0" fillId="0" borderId="88" xfId="0" applyBorder="1" applyAlignment="1">
      <alignment horizontal="center" vertical="top"/>
    </xf>
    <xf numFmtId="0" fontId="0" fillId="18" borderId="0" xfId="0" applyFill="1" applyAlignment="1">
      <alignment vertical="top" wrapText="1"/>
    </xf>
    <xf numFmtId="0" fontId="0" fillId="18" borderId="86" xfId="0" applyFill="1" applyBorder="1" applyAlignment="1">
      <alignment horizontal="left" vertical="top" wrapText="1"/>
    </xf>
    <xf numFmtId="0" fontId="0" fillId="12" borderId="0" xfId="0" applyFill="1" applyAlignment="1">
      <alignment vertical="top" wrapText="1"/>
    </xf>
    <xf numFmtId="0" fontId="49" fillId="0" borderId="0" xfId="0" applyFont="1" applyAlignment="1">
      <alignment vertical="top" wrapText="1"/>
    </xf>
    <xf numFmtId="0" fontId="49" fillId="0" borderId="0" xfId="0" applyFont="1" applyAlignment="1">
      <alignment horizontal="left" vertical="top" wrapText="1"/>
    </xf>
    <xf numFmtId="0" fontId="13" fillId="15" borderId="0" xfId="0" applyFont="1" applyFill="1" applyAlignment="1">
      <alignment horizontal="left" vertical="center" wrapText="1"/>
    </xf>
    <xf numFmtId="0" fontId="5" fillId="0" borderId="67" xfId="0" applyFont="1" applyBorder="1" applyAlignment="1">
      <alignment horizontal="center" vertical="center" textRotation="45" wrapText="1"/>
    </xf>
    <xf numFmtId="0" fontId="7" fillId="0" borderId="0" xfId="0" applyFont="1" applyAlignment="1">
      <alignment wrapText="1"/>
    </xf>
    <xf numFmtId="0" fontId="5" fillId="32" borderId="0" xfId="0" applyFont="1" applyFill="1" applyAlignment="1">
      <alignment wrapText="1"/>
    </xf>
    <xf numFmtId="0" fontId="5" fillId="59" borderId="0" xfId="0" applyFont="1" applyFill="1" applyAlignment="1">
      <alignment wrapText="1"/>
    </xf>
    <xf numFmtId="0" fontId="5" fillId="32" borderId="0" xfId="0" applyFont="1" applyFill="1" applyAlignment="1">
      <alignment horizontal="left" wrapText="1"/>
    </xf>
    <xf numFmtId="0" fontId="0" fillId="34" borderId="0" xfId="0" applyFill="1" applyAlignment="1">
      <alignment horizontal="left" vertical="top" wrapText="1"/>
    </xf>
    <xf numFmtId="0" fontId="0" fillId="35" borderId="0" xfId="0" applyFill="1" applyAlignment="1">
      <alignment horizontal="left" vertical="top"/>
    </xf>
    <xf numFmtId="0" fontId="0" fillId="16" borderId="0" xfId="0" applyFill="1" applyAlignment="1">
      <alignment horizontal="left" vertical="top"/>
    </xf>
    <xf numFmtId="0" fontId="0" fillId="36" borderId="0" xfId="0" applyFill="1" applyAlignment="1">
      <alignment horizontal="left" vertical="top" wrapText="1"/>
    </xf>
    <xf numFmtId="0" fontId="0" fillId="37" borderId="0" xfId="0" applyFill="1" applyAlignment="1">
      <alignment horizontal="left" vertical="top"/>
    </xf>
    <xf numFmtId="0" fontId="0" fillId="38" borderId="0" xfId="0" applyFill="1" applyAlignment="1">
      <alignment horizontal="left" vertical="top"/>
    </xf>
    <xf numFmtId="0" fontId="0" fillId="39" borderId="0" xfId="0" applyFill="1" applyAlignment="1">
      <alignment horizontal="left" vertical="top"/>
    </xf>
    <xf numFmtId="0" fontId="0" fillId="40" borderId="0" xfId="0" applyFill="1" applyAlignment="1">
      <alignment horizontal="left" vertical="top"/>
    </xf>
    <xf numFmtId="0" fontId="0" fillId="42" borderId="0" xfId="0" applyFill="1" applyAlignment="1">
      <alignment horizontal="left" vertical="top" wrapText="1"/>
    </xf>
    <xf numFmtId="0" fontId="0" fillId="23" borderId="0" xfId="0" applyFill="1" applyAlignment="1">
      <alignment horizontal="left" vertical="top" wrapText="1"/>
    </xf>
    <xf numFmtId="0" fontId="0" fillId="22" borderId="0" xfId="0" applyFill="1" applyAlignment="1">
      <alignment horizontal="left" vertical="top" wrapText="1"/>
    </xf>
    <xf numFmtId="0" fontId="0" fillId="43" borderId="0" xfId="0" applyFill="1" applyAlignment="1">
      <alignment horizontal="left" vertical="top" wrapText="1"/>
    </xf>
    <xf numFmtId="0" fontId="0" fillId="44" borderId="0" xfId="0" applyFill="1" applyAlignment="1">
      <alignment horizontal="left" vertical="top" wrapText="1"/>
    </xf>
    <xf numFmtId="0" fontId="0" fillId="45" borderId="0" xfId="0" applyFill="1" applyAlignment="1">
      <alignment horizontal="left" vertical="top" wrapText="1"/>
    </xf>
    <xf numFmtId="0" fontId="0" fillId="46" borderId="0" xfId="0" applyFill="1" applyAlignment="1">
      <alignment horizontal="left" vertical="top" wrapText="1"/>
    </xf>
    <xf numFmtId="0" fontId="0" fillId="19" borderId="0" xfId="0" applyFill="1" applyAlignment="1">
      <alignment horizontal="left" vertical="top" wrapText="1"/>
    </xf>
    <xf numFmtId="0" fontId="0" fillId="20" borderId="0" xfId="0" applyFill="1" applyAlignment="1">
      <alignment horizontal="left" vertical="top"/>
    </xf>
    <xf numFmtId="0" fontId="0" fillId="26" borderId="0" xfId="0" applyFill="1" applyAlignment="1">
      <alignment horizontal="left" vertical="top"/>
    </xf>
    <xf numFmtId="0" fontId="0" fillId="18" borderId="0" xfId="0" applyFill="1" applyAlignment="1">
      <alignment horizontal="left" vertical="top" wrapText="1"/>
    </xf>
    <xf numFmtId="0" fontId="0" fillId="18" borderId="87" xfId="0" applyFill="1" applyBorder="1" applyAlignment="1">
      <alignment horizontal="left" vertical="top" wrapText="1"/>
    </xf>
    <xf numFmtId="0" fontId="0" fillId="17" borderId="87" xfId="0" applyFill="1" applyBorder="1" applyAlignment="1">
      <alignment horizontal="left" vertical="top"/>
    </xf>
    <xf numFmtId="0" fontId="0" fillId="49" borderId="87" xfId="0" applyFill="1" applyBorder="1" applyAlignment="1">
      <alignment horizontal="left" vertical="top"/>
    </xf>
    <xf numFmtId="0" fontId="0" fillId="49" borderId="0" xfId="0" applyFill="1" applyAlignment="1">
      <alignment horizontal="left" vertical="top"/>
    </xf>
    <xf numFmtId="0" fontId="0" fillId="50" borderId="0" xfId="0" applyFill="1" applyAlignment="1">
      <alignment horizontal="left" vertical="top"/>
    </xf>
    <xf numFmtId="0" fontId="0" fillId="50" borderId="87" xfId="0" applyFill="1" applyBorder="1" applyAlignment="1">
      <alignment horizontal="left" vertical="top"/>
    </xf>
    <xf numFmtId="0" fontId="0" fillId="51" borderId="87" xfId="0" applyFill="1" applyBorder="1" applyAlignment="1">
      <alignment horizontal="left" vertical="top"/>
    </xf>
    <xf numFmtId="0" fontId="0" fillId="52" borderId="87" xfId="0" applyFill="1" applyBorder="1" applyAlignment="1">
      <alignment horizontal="left" vertical="top"/>
    </xf>
    <xf numFmtId="0" fontId="0" fillId="53" borderId="87" xfId="0" applyFill="1" applyBorder="1" applyAlignment="1">
      <alignment horizontal="left" vertical="top"/>
    </xf>
    <xf numFmtId="0" fontId="0" fillId="54" borderId="87" xfId="0" applyFill="1" applyBorder="1" applyAlignment="1">
      <alignment horizontal="left" vertical="top" wrapText="1"/>
    </xf>
    <xf numFmtId="0" fontId="0" fillId="48" borderId="87" xfId="0" applyFill="1" applyBorder="1" applyAlignment="1">
      <alignment horizontal="left" vertical="top" wrapText="1"/>
    </xf>
    <xf numFmtId="0" fontId="0" fillId="26" borderId="87" xfId="0" applyFill="1" applyBorder="1" applyAlignment="1">
      <alignment horizontal="left" vertical="top" wrapText="1"/>
    </xf>
    <xf numFmtId="0" fontId="0" fillId="26" borderId="0" xfId="0" applyFill="1" applyAlignment="1">
      <alignment horizontal="left" vertical="top" wrapText="1"/>
    </xf>
    <xf numFmtId="0" fontId="0" fillId="23" borderId="0" xfId="0" applyFill="1" applyAlignment="1">
      <alignment horizontal="left" vertical="top"/>
    </xf>
    <xf numFmtId="0" fontId="0" fillId="22" borderId="0" xfId="0" applyFill="1" applyAlignment="1">
      <alignment horizontal="left" vertical="top"/>
    </xf>
    <xf numFmtId="0" fontId="0" fillId="43" borderId="0" xfId="0" applyFill="1" applyAlignment="1">
      <alignment horizontal="left" vertical="top"/>
    </xf>
    <xf numFmtId="0" fontId="0" fillId="57" borderId="0" xfId="0" applyFill="1" applyAlignment="1">
      <alignment horizontal="left" vertical="top"/>
    </xf>
    <xf numFmtId="0" fontId="0" fillId="58" borderId="0" xfId="0" applyFill="1" applyAlignment="1">
      <alignment horizontal="left" vertical="top"/>
    </xf>
    <xf numFmtId="0" fontId="13" fillId="36" borderId="0" xfId="0" applyFont="1" applyFill="1" applyAlignment="1">
      <alignment horizontal="left" vertical="center"/>
    </xf>
    <xf numFmtId="0" fontId="13" fillId="62" borderId="0" xfId="0" applyFont="1" applyFill="1" applyAlignment="1">
      <alignment horizontal="left" vertical="center"/>
    </xf>
    <xf numFmtId="0" fontId="13" fillId="63" borderId="0" xfId="0" applyFont="1" applyFill="1" applyAlignment="1">
      <alignment horizontal="left" vertical="center"/>
    </xf>
    <xf numFmtId="0" fontId="13" fillId="64" borderId="0" xfId="0" applyFont="1" applyFill="1" applyAlignment="1">
      <alignment horizontal="left" vertical="center"/>
    </xf>
    <xf numFmtId="0" fontId="0" fillId="0" borderId="0" xfId="0" applyAlignment="1">
      <alignment horizontal="left" vertical="top"/>
    </xf>
    <xf numFmtId="0" fontId="48" fillId="33" borderId="0" xfId="0" applyFont="1" applyFill="1" applyAlignment="1">
      <alignment horizontal="left" vertical="top"/>
    </xf>
    <xf numFmtId="0" fontId="48" fillId="41" borderId="0" xfId="0" applyFont="1" applyFill="1" applyAlignment="1">
      <alignment horizontal="left" vertical="top"/>
    </xf>
    <xf numFmtId="0" fontId="48" fillId="47" borderId="0" xfId="0" applyFont="1" applyFill="1" applyAlignment="1">
      <alignment horizontal="left" vertical="top"/>
    </xf>
    <xf numFmtId="0" fontId="48" fillId="48" borderId="0" xfId="0" applyFont="1" applyFill="1" applyAlignment="1">
      <alignment horizontal="left" vertical="top"/>
    </xf>
    <xf numFmtId="0" fontId="48" fillId="55" borderId="0" xfId="0" applyFont="1" applyFill="1" applyAlignment="1">
      <alignment horizontal="left" vertical="top"/>
    </xf>
    <xf numFmtId="0" fontId="48" fillId="56" borderId="0" xfId="0" applyFont="1" applyFill="1" applyAlignment="1">
      <alignment horizontal="left" vertical="top"/>
    </xf>
    <xf numFmtId="0" fontId="48" fillId="59" borderId="0" xfId="0" applyFont="1" applyFill="1" applyAlignment="1">
      <alignment horizontal="left" vertical="top"/>
    </xf>
    <xf numFmtId="0" fontId="7" fillId="0" borderId="0" xfId="0" applyFont="1" applyAlignment="1">
      <alignment vertical="top" wrapText="1"/>
    </xf>
    <xf numFmtId="0" fontId="13" fillId="4" borderId="0" xfId="0" applyFont="1" applyFill="1" applyAlignment="1">
      <alignment horizontal="left" vertical="center"/>
    </xf>
    <xf numFmtId="0" fontId="13" fillId="61" borderId="0" xfId="0" applyFont="1" applyFill="1" applyAlignment="1">
      <alignment horizontal="left" vertical="center"/>
    </xf>
    <xf numFmtId="0" fontId="13" fillId="16" borderId="0" xfId="0" applyFont="1" applyFill="1" applyAlignment="1">
      <alignment horizontal="left" vertical="center"/>
    </xf>
    <xf numFmtId="0" fontId="13" fillId="15" borderId="0" xfId="0" applyFont="1" applyFill="1" applyAlignment="1">
      <alignment horizontal="left" vertical="center"/>
    </xf>
    <xf numFmtId="0" fontId="0" fillId="0" borderId="0" xfId="0" applyAlignment="1">
      <alignment horizontal="left" vertical="top" wrapText="1"/>
    </xf>
    <xf numFmtId="0" fontId="5" fillId="0" borderId="0" xfId="0" applyFont="1" applyAlignment="1">
      <alignment horizontal="center"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left" vertical="top" wrapText="1"/>
    </xf>
    <xf numFmtId="0" fontId="5" fillId="66" borderId="0" xfId="0" applyFont="1" applyFill="1" applyAlignment="1">
      <alignment vertical="top"/>
    </xf>
    <xf numFmtId="0" fontId="5" fillId="9" borderId="0" xfId="0" applyFont="1" applyFill="1" applyAlignment="1">
      <alignment horizontal="left" vertical="top"/>
    </xf>
    <xf numFmtId="0" fontId="4" fillId="0" borderId="0" xfId="0" applyFont="1" applyAlignment="1">
      <alignment horizontal="left" vertical="top" wrapText="1"/>
    </xf>
    <xf numFmtId="0" fontId="5" fillId="0" borderId="0" xfId="0" applyFont="1" applyAlignment="1">
      <alignment vertical="top" wrapText="1"/>
    </xf>
    <xf numFmtId="0" fontId="12" fillId="0" borderId="0" xfId="0" applyFont="1" applyAlignment="1">
      <alignment horizontal="left" vertical="top" wrapText="1"/>
    </xf>
    <xf numFmtId="0" fontId="5" fillId="0" borderId="0" xfId="0" applyFont="1" applyAlignment="1">
      <alignment horizontal="center" vertical="top"/>
    </xf>
    <xf numFmtId="0" fontId="54" fillId="0" borderId="0" xfId="0" applyFont="1" applyAlignment="1">
      <alignment horizontal="center" vertical="top" wrapText="1"/>
    </xf>
    <xf numFmtId="0" fontId="8" fillId="0" borderId="0" xfId="0" applyFont="1" applyAlignment="1">
      <alignment horizontal="center" vertical="top" wrapText="1"/>
    </xf>
    <xf numFmtId="0" fontId="8" fillId="0" borderId="0" xfId="0" applyFont="1" applyAlignment="1">
      <alignment horizontal="left" vertical="top" wrapText="1"/>
    </xf>
    <xf numFmtId="0" fontId="48" fillId="67" borderId="0" xfId="0" applyFont="1" applyFill="1" applyAlignment="1">
      <alignment horizontal="center" vertical="center"/>
    </xf>
    <xf numFmtId="0" fontId="0" fillId="14" borderId="0" xfId="0" applyFill="1" applyAlignment="1">
      <alignment vertical="top" wrapText="1"/>
    </xf>
    <xf numFmtId="0" fontId="7" fillId="29" borderId="0" xfId="0" applyFont="1" applyFill="1" applyAlignment="1">
      <alignment horizontal="left" vertical="top" wrapText="1"/>
    </xf>
    <xf numFmtId="0" fontId="0" fillId="13" borderId="0" xfId="0" applyFill="1" applyAlignment="1">
      <alignment vertical="top" wrapText="1"/>
    </xf>
    <xf numFmtId="0" fontId="7" fillId="68" borderId="0" xfId="0" applyFont="1" applyFill="1" applyAlignment="1">
      <alignment vertical="top" wrapText="1"/>
    </xf>
    <xf numFmtId="0" fontId="7" fillId="69" borderId="0" xfId="0" applyFont="1" applyFill="1" applyAlignment="1">
      <alignment vertical="top" wrapText="1"/>
    </xf>
    <xf numFmtId="0" fontId="7" fillId="67" borderId="0" xfId="0" applyFont="1" applyFill="1" applyAlignment="1">
      <alignment vertical="top" wrapText="1"/>
    </xf>
    <xf numFmtId="0" fontId="4" fillId="0" borderId="0" xfId="0" applyFont="1" applyAlignment="1">
      <alignment horizontal="right" vertical="center" wrapText="1"/>
    </xf>
    <xf numFmtId="0" fontId="6" fillId="0" borderId="0" xfId="0" applyFont="1" applyAlignment="1">
      <alignment horizontal="center" vertical="center" wrapText="1"/>
    </xf>
    <xf numFmtId="0" fontId="48" fillId="59" borderId="0" xfId="0" applyFont="1" applyFill="1" applyAlignment="1">
      <alignment horizontal="center" vertical="top"/>
    </xf>
    <xf numFmtId="0" fontId="57" fillId="0" borderId="0" xfId="0" applyFont="1" applyAlignment="1">
      <alignment horizontal="center" vertical="top" wrapText="1"/>
    </xf>
    <xf numFmtId="0" fontId="57" fillId="0" borderId="0" xfId="0" applyFont="1" applyAlignment="1">
      <alignment horizontal="left" vertical="top" wrapText="1"/>
    </xf>
    <xf numFmtId="0" fontId="0" fillId="0" borderId="0" xfId="0" applyAlignment="1">
      <alignment vertical="center" wrapText="1"/>
    </xf>
    <xf numFmtId="0" fontId="5" fillId="59" borderId="0" xfId="0" applyFont="1" applyFill="1"/>
    <xf numFmtId="0" fontId="50" fillId="0" borderId="0" xfId="0" applyFont="1" applyAlignment="1">
      <alignment vertical="top"/>
    </xf>
    <xf numFmtId="0" fontId="50" fillId="0" borderId="0" xfId="0" applyFont="1" applyAlignment="1">
      <alignment horizontal="left" vertical="top"/>
    </xf>
    <xf numFmtId="0" fontId="55" fillId="0" borderId="0" xfId="0" applyFont="1" applyAlignment="1">
      <alignment vertical="top"/>
    </xf>
    <xf numFmtId="0" fontId="50" fillId="0" borderId="0" xfId="0" applyFont="1"/>
    <xf numFmtId="0" fontId="56" fillId="0" borderId="0" xfId="0" applyFont="1"/>
    <xf numFmtId="0" fontId="50" fillId="60" borderId="0" xfId="0" applyFont="1" applyFill="1"/>
    <xf numFmtId="0" fontId="4" fillId="0" borderId="67" xfId="0" applyFont="1" applyBorder="1" applyAlignment="1">
      <alignment vertical="center" wrapText="1"/>
    </xf>
    <xf numFmtId="0" fontId="7" fillId="29" borderId="0" xfId="0" applyFont="1" applyFill="1" applyAlignment="1">
      <alignment vertical="top" wrapText="1"/>
    </xf>
    <xf numFmtId="0" fontId="58" fillId="0" borderId="67" xfId="0" applyFont="1" applyBorder="1" applyAlignment="1">
      <alignment horizontal="center" vertical="center" wrapText="1"/>
    </xf>
    <xf numFmtId="0" fontId="6" fillId="15" borderId="67" xfId="0" applyFont="1" applyFill="1" applyBorder="1" applyAlignment="1">
      <alignment horizontal="center" vertical="center" wrapText="1"/>
    </xf>
    <xf numFmtId="0" fontId="6" fillId="18" borderId="67" xfId="0" applyFont="1" applyFill="1" applyBorder="1" applyAlignment="1">
      <alignment horizontal="center" vertical="center" wrapText="1"/>
    </xf>
    <xf numFmtId="0" fontId="5" fillId="12" borderId="67" xfId="0" applyFont="1" applyFill="1" applyBorder="1" applyAlignment="1">
      <alignment horizontal="center" vertical="center"/>
    </xf>
    <xf numFmtId="0" fontId="5" fillId="19" borderId="67" xfId="0" applyFont="1" applyFill="1" applyBorder="1" applyAlignment="1">
      <alignment horizontal="center" vertical="center" wrapText="1"/>
    </xf>
    <xf numFmtId="0" fontId="5" fillId="70" borderId="67" xfId="0" applyFont="1" applyFill="1" applyBorder="1" applyAlignment="1">
      <alignment horizontal="center" vertical="center" wrapText="1"/>
    </xf>
    <xf numFmtId="0" fontId="2" fillId="0" borderId="67" xfId="0" applyFont="1" applyBorder="1" applyAlignment="1">
      <alignment vertical="top" wrapText="1"/>
    </xf>
    <xf numFmtId="0" fontId="4" fillId="0" borderId="67" xfId="0" applyFont="1" applyBorder="1" applyAlignment="1">
      <alignment horizontal="left" vertical="center"/>
    </xf>
    <xf numFmtId="0" fontId="4" fillId="20" borderId="67" xfId="0" applyFont="1" applyFill="1" applyBorder="1" applyAlignment="1">
      <alignment horizontal="left" vertical="center"/>
    </xf>
    <xf numFmtId="0" fontId="21" fillId="65" borderId="0" xfId="0" quotePrefix="1" applyFont="1" applyFill="1"/>
    <xf numFmtId="0" fontId="4" fillId="19" borderId="0" xfId="0" applyFont="1" applyFill="1" applyAlignment="1">
      <alignment horizontal="left" vertical="center" wrapText="1"/>
    </xf>
    <xf numFmtId="49" fontId="4" fillId="19" borderId="33" xfId="0" applyNumberFormat="1" applyFont="1" applyFill="1" applyBorder="1" applyAlignment="1">
      <alignment horizontal="center" vertical="center" wrapText="1"/>
    </xf>
    <xf numFmtId="0" fontId="2" fillId="0" borderId="67" xfId="0" applyFont="1" applyBorder="1" applyAlignment="1">
      <alignment horizontal="center" vertical="center"/>
    </xf>
    <xf numFmtId="0" fontId="2" fillId="20" borderId="67" xfId="0" applyFont="1" applyFill="1" applyBorder="1" applyAlignment="1">
      <alignment horizontal="center" vertical="center"/>
    </xf>
    <xf numFmtId="49" fontId="58" fillId="7" borderId="1" xfId="0" applyNumberFormat="1" applyFont="1" applyFill="1" applyBorder="1" applyAlignment="1">
      <alignment horizontal="center" vertical="top" wrapText="1"/>
    </xf>
    <xf numFmtId="0" fontId="2" fillId="20" borderId="67" xfId="0" applyFont="1" applyFill="1" applyBorder="1" applyAlignment="1">
      <alignment horizontal="center" vertical="center" wrapText="1"/>
    </xf>
    <xf numFmtId="0" fontId="2" fillId="20" borderId="67" xfId="0" applyFont="1" applyFill="1" applyBorder="1" applyAlignment="1">
      <alignment horizontal="left" vertical="center"/>
    </xf>
    <xf numFmtId="0" fontId="2" fillId="0" borderId="67" xfId="0" applyFont="1" applyBorder="1" applyAlignment="1">
      <alignment vertical="top"/>
    </xf>
    <xf numFmtId="0" fontId="2" fillId="0" borderId="0" xfId="0" applyFont="1" applyAlignment="1">
      <alignment vertical="top"/>
    </xf>
    <xf numFmtId="0" fontId="4" fillId="31" borderId="53" xfId="0" applyFont="1" applyFill="1" applyBorder="1" applyAlignment="1">
      <alignment vertical="top"/>
    </xf>
    <xf numFmtId="0" fontId="4" fillId="31" borderId="50" xfId="0" applyFont="1" applyFill="1" applyBorder="1" applyAlignment="1">
      <alignment vertical="top" wrapText="1"/>
    </xf>
    <xf numFmtId="0" fontId="4" fillId="31" borderId="67" xfId="0" applyFont="1" applyFill="1" applyBorder="1" applyAlignment="1">
      <alignment horizontal="center" vertical="center"/>
    </xf>
    <xf numFmtId="0" fontId="0" fillId="31" borderId="67" xfId="0" applyFill="1" applyBorder="1" applyAlignment="1">
      <alignment vertical="center" wrapText="1"/>
    </xf>
    <xf numFmtId="0" fontId="4" fillId="31" borderId="67" xfId="0" applyFont="1" applyFill="1" applyBorder="1" applyAlignment="1">
      <alignment vertical="top" wrapText="1"/>
    </xf>
    <xf numFmtId="0" fontId="0" fillId="31" borderId="67" xfId="0" applyFill="1" applyBorder="1" applyAlignment="1">
      <alignment horizontal="center" vertical="center"/>
    </xf>
    <xf numFmtId="0" fontId="30" fillId="31" borderId="67" xfId="0" applyFont="1" applyFill="1" applyBorder="1" applyAlignment="1">
      <alignment vertical="top" wrapText="1"/>
    </xf>
    <xf numFmtId="0" fontId="0" fillId="31" borderId="67" xfId="0" applyFill="1" applyBorder="1" applyAlignment="1">
      <alignment horizontal="left" vertical="center" wrapText="1"/>
    </xf>
    <xf numFmtId="0" fontId="0" fillId="31" borderId="67" xfId="0" applyFill="1" applyBorder="1" applyAlignment="1">
      <alignment vertical="top" wrapText="1"/>
    </xf>
    <xf numFmtId="0" fontId="0" fillId="31" borderId="67" xfId="0" applyFill="1" applyBorder="1" applyAlignment="1">
      <alignment vertical="top"/>
    </xf>
    <xf numFmtId="0" fontId="0" fillId="31" borderId="0" xfId="0" applyFill="1" applyAlignment="1">
      <alignment vertical="top"/>
    </xf>
    <xf numFmtId="0" fontId="59" fillId="0" borderId="0" xfId="0" applyFont="1" applyAlignment="1">
      <alignment horizontal="left" vertical="center"/>
    </xf>
    <xf numFmtId="0" fontId="59" fillId="0" borderId="67" xfId="0" applyFont="1" applyBorder="1" applyAlignment="1">
      <alignment vertical="top" wrapText="1"/>
    </xf>
    <xf numFmtId="0" fontId="59" fillId="31" borderId="67" xfId="0" applyFont="1" applyFill="1" applyBorder="1" applyAlignment="1">
      <alignment vertical="top" wrapText="1"/>
    </xf>
    <xf numFmtId="0" fontId="59" fillId="0" borderId="67" xfId="0" applyFont="1" applyBorder="1" applyAlignment="1">
      <alignment horizontal="left" vertical="top" wrapText="1"/>
    </xf>
    <xf numFmtId="0" fontId="59" fillId="0" borderId="0" xfId="0" applyFont="1" applyAlignment="1">
      <alignment vertical="top" wrapText="1"/>
    </xf>
    <xf numFmtId="0" fontId="0" fillId="0" borderId="67" xfId="0" applyBorder="1" applyAlignment="1">
      <alignment horizontal="center" vertical="center" wrapText="1"/>
    </xf>
    <xf numFmtId="0" fontId="59" fillId="0" borderId="67" xfId="0" applyFont="1" applyBorder="1" applyAlignment="1">
      <alignment horizontal="left" vertical="center" wrapText="1"/>
    </xf>
    <xf numFmtId="0" fontId="60" fillId="0" borderId="67" xfId="0" applyFont="1" applyBorder="1" applyAlignment="1">
      <alignment vertical="top" wrapText="1"/>
    </xf>
    <xf numFmtId="0" fontId="4" fillId="0" borderId="67" xfId="0" applyFont="1" applyBorder="1" applyAlignment="1">
      <alignment horizontal="center" vertical="center" wrapText="1" shrinkToFit="1"/>
    </xf>
    <xf numFmtId="0" fontId="61" fillId="0" borderId="0" xfId="0" applyFont="1"/>
    <xf numFmtId="0" fontId="0" fillId="29" borderId="0" xfId="0" applyFill="1" applyAlignment="1">
      <alignment vertical="top"/>
    </xf>
    <xf numFmtId="0" fontId="64" fillId="31" borderId="67" xfId="0" applyFont="1" applyFill="1" applyBorder="1" applyAlignment="1">
      <alignment horizontal="left" vertical="center" wrapText="1"/>
    </xf>
    <xf numFmtId="0" fontId="63" fillId="0" borderId="67" xfId="0" applyFont="1" applyBorder="1" applyAlignment="1">
      <alignment vertical="top" wrapText="1"/>
    </xf>
    <xf numFmtId="0" fontId="60" fillId="31" borderId="67" xfId="0" applyFont="1" applyFill="1" applyBorder="1" applyAlignment="1">
      <alignment vertical="top" wrapText="1"/>
    </xf>
    <xf numFmtId="0" fontId="63" fillId="0" borderId="0" xfId="0" applyFont="1" applyAlignment="1">
      <alignment wrapText="1"/>
    </xf>
    <xf numFmtId="0" fontId="1" fillId="0" borderId="67" xfId="0" applyFont="1" applyBorder="1" applyAlignment="1">
      <alignment vertical="top" wrapText="1"/>
    </xf>
    <xf numFmtId="0" fontId="66" fillId="0" borderId="67" xfId="0" applyFont="1" applyBorder="1" applyAlignment="1">
      <alignment vertical="top"/>
    </xf>
    <xf numFmtId="0" fontId="67" fillId="0" borderId="67" xfId="0" applyFont="1" applyBorder="1" applyAlignment="1">
      <alignment vertical="top" wrapText="1"/>
    </xf>
    <xf numFmtId="0" fontId="10" fillId="20" borderId="67" xfId="0" applyFont="1" applyFill="1" applyBorder="1" applyAlignment="1">
      <alignment horizontal="left" vertical="center" wrapText="1"/>
    </xf>
    <xf numFmtId="0" fontId="68" fillId="0" borderId="0" xfId="0" applyFont="1"/>
    <xf numFmtId="0" fontId="69" fillId="0" borderId="67" xfId="0" applyFont="1" applyBorder="1" applyAlignment="1">
      <alignment vertical="top" wrapText="1"/>
    </xf>
    <xf numFmtId="49" fontId="5" fillId="20" borderId="1" xfId="0" applyNumberFormat="1" applyFont="1" applyFill="1" applyBorder="1" applyAlignment="1">
      <alignment horizontal="center" vertical="top" wrapText="1"/>
    </xf>
    <xf numFmtId="0" fontId="4" fillId="20" borderId="7" xfId="0" applyFont="1" applyFill="1" applyBorder="1" applyAlignment="1">
      <alignment horizontal="center" vertical="top"/>
    </xf>
    <xf numFmtId="0" fontId="4" fillId="20" borderId="4" xfId="0" applyFont="1" applyFill="1" applyBorder="1" applyAlignment="1">
      <alignment vertical="top" wrapText="1"/>
    </xf>
    <xf numFmtId="0" fontId="4" fillId="20" borderId="67" xfId="0" applyFont="1" applyFill="1" applyBorder="1" applyAlignment="1">
      <alignment vertical="top" wrapText="1"/>
    </xf>
    <xf numFmtId="0" fontId="30" fillId="20" borderId="67" xfId="0" applyFont="1" applyFill="1" applyBorder="1" applyAlignment="1">
      <alignment vertical="top" wrapText="1"/>
    </xf>
    <xf numFmtId="0" fontId="0" fillId="20" borderId="0" xfId="0" applyFill="1" applyAlignment="1">
      <alignment vertical="top"/>
    </xf>
    <xf numFmtId="0" fontId="4" fillId="31" borderId="67" xfId="0" applyFont="1" applyFill="1" applyBorder="1" applyAlignment="1">
      <alignment vertical="center" wrapText="1"/>
    </xf>
    <xf numFmtId="0" fontId="13" fillId="31" borderId="0" xfId="0" applyFont="1" applyFill="1" applyAlignment="1">
      <alignment wrapText="1"/>
    </xf>
    <xf numFmtId="0" fontId="4" fillId="31" borderId="10" xfId="0" applyFont="1" applyFill="1" applyBorder="1" applyAlignment="1">
      <alignment vertical="top"/>
    </xf>
    <xf numFmtId="0" fontId="4" fillId="31" borderId="11" xfId="0" applyFont="1" applyFill="1" applyBorder="1" applyAlignment="1">
      <alignment vertical="top" wrapText="1"/>
    </xf>
    <xf numFmtId="0" fontId="4" fillId="31" borderId="67" xfId="0" applyFont="1" applyFill="1" applyBorder="1" applyAlignment="1">
      <alignment horizontal="left" vertical="center" wrapText="1"/>
    </xf>
    <xf numFmtId="0" fontId="13" fillId="0" borderId="67" xfId="0" applyFont="1" applyBorder="1" applyAlignment="1">
      <alignment vertical="top" wrapText="1"/>
    </xf>
    <xf numFmtId="0" fontId="70" fillId="0" borderId="0" xfId="0" applyFont="1" applyAlignment="1">
      <alignment wrapText="1"/>
    </xf>
    <xf numFmtId="0" fontId="30" fillId="31" borderId="67" xfId="0" quotePrefix="1" applyFont="1" applyFill="1" applyBorder="1" applyAlignment="1">
      <alignment vertical="top" wrapText="1"/>
    </xf>
    <xf numFmtId="0" fontId="59" fillId="31" borderId="67" xfId="0" applyFont="1" applyFill="1" applyBorder="1" applyAlignment="1">
      <alignment horizontal="left" vertical="center" wrapText="1"/>
    </xf>
    <xf numFmtId="0" fontId="59" fillId="8" borderId="67" xfId="0" applyFont="1" applyFill="1" applyBorder="1" applyAlignment="1">
      <alignment vertical="top" wrapText="1"/>
    </xf>
    <xf numFmtId="0" fontId="70" fillId="0" borderId="0" xfId="0" applyFont="1" applyAlignment="1">
      <alignment vertical="top" wrapText="1"/>
    </xf>
    <xf numFmtId="0" fontId="70" fillId="0" borderId="0" xfId="0" applyFont="1" applyAlignment="1">
      <alignment vertical="center" wrapText="1"/>
    </xf>
    <xf numFmtId="0" fontId="9" fillId="0" borderId="0" xfId="0" applyFont="1" applyAlignment="1">
      <alignment vertical="top"/>
    </xf>
    <xf numFmtId="0" fontId="71" fillId="0" borderId="79" xfId="0" applyFont="1" applyBorder="1" applyAlignment="1">
      <alignment horizontal="center" vertical="top"/>
    </xf>
    <xf numFmtId="0" fontId="71" fillId="19" borderId="67" xfId="0" applyFont="1" applyFill="1" applyBorder="1" applyAlignment="1">
      <alignment horizontal="center" vertical="center" wrapText="1"/>
    </xf>
    <xf numFmtId="0" fontId="9" fillId="0" borderId="67" xfId="0" applyFont="1" applyBorder="1" applyAlignment="1">
      <alignment vertical="top"/>
    </xf>
    <xf numFmtId="0" fontId="9" fillId="31" borderId="67" xfId="0" applyFont="1" applyFill="1" applyBorder="1" applyAlignment="1">
      <alignment vertical="top" wrapText="1"/>
    </xf>
    <xf numFmtId="0" fontId="9" fillId="0" borderId="67" xfId="0" applyFont="1" applyBorder="1" applyAlignment="1">
      <alignment vertical="center" wrapText="1"/>
    </xf>
    <xf numFmtId="0" fontId="9" fillId="31" borderId="67" xfId="0" applyFont="1" applyFill="1" applyBorder="1" applyAlignment="1">
      <alignment vertical="center" wrapText="1"/>
    </xf>
    <xf numFmtId="0" fontId="9" fillId="12" borderId="67" xfId="0" applyFont="1" applyFill="1" applyBorder="1" applyAlignment="1">
      <alignment vertical="top" wrapText="1"/>
    </xf>
    <xf numFmtId="0" fontId="9" fillId="18" borderId="67" xfId="0" applyFont="1" applyFill="1" applyBorder="1" applyAlignment="1">
      <alignment vertical="top" wrapText="1"/>
    </xf>
    <xf numFmtId="0" fontId="9" fillId="23" borderId="67" xfId="0" applyFont="1" applyFill="1" applyBorder="1" applyAlignment="1">
      <alignment vertical="top" wrapText="1"/>
    </xf>
    <xf numFmtId="0" fontId="4" fillId="18" borderId="67" xfId="0" applyFont="1" applyFill="1" applyBorder="1" applyAlignment="1">
      <alignment vertical="top" wrapText="1"/>
    </xf>
    <xf numFmtId="0" fontId="72" fillId="0" borderId="0" xfId="0" applyFont="1" applyAlignment="1">
      <alignment horizontal="left" vertical="center" wrapText="1"/>
    </xf>
    <xf numFmtId="0" fontId="73" fillId="0" borderId="0" xfId="0" applyFont="1" applyAlignment="1">
      <alignment horizontal="left" vertical="center" wrapText="1"/>
    </xf>
    <xf numFmtId="0" fontId="4" fillId="0" borderId="67" xfId="0" applyFont="1" applyBorder="1" applyAlignment="1">
      <alignment horizontal="right" vertical="top" wrapText="1"/>
    </xf>
    <xf numFmtId="0" fontId="0" fillId="8" borderId="0" xfId="0" applyFill="1"/>
    <xf numFmtId="0" fontId="0" fillId="7" borderId="0" xfId="0" applyFill="1"/>
    <xf numFmtId="0" fontId="0" fillId="61" borderId="0" xfId="0" applyFill="1"/>
    <xf numFmtId="0" fontId="0" fillId="72" borderId="0" xfId="0" applyFill="1"/>
    <xf numFmtId="0" fontId="4" fillId="61" borderId="0" xfId="0" applyFont="1" applyFill="1"/>
    <xf numFmtId="0" fontId="0" fillId="71" borderId="0" xfId="0" applyFill="1"/>
    <xf numFmtId="0" fontId="0" fillId="9" borderId="0" xfId="0" applyFill="1"/>
    <xf numFmtId="0" fontId="0" fillId="0" borderId="67" xfId="0" applyBorder="1" applyAlignment="1">
      <alignment horizontal="left" vertical="top"/>
    </xf>
    <xf numFmtId="0" fontId="0" fillId="63" borderId="0" xfId="0" applyFill="1"/>
    <xf numFmtId="0" fontId="4" fillId="31" borderId="7" xfId="0" applyFont="1" applyFill="1" applyBorder="1" applyAlignment="1">
      <alignment horizontal="center" vertical="top"/>
    </xf>
    <xf numFmtId="0" fontId="4" fillId="31" borderId="4" xfId="0" applyFont="1" applyFill="1" applyBorder="1" applyAlignment="1">
      <alignment vertical="top" wrapText="1"/>
    </xf>
    <xf numFmtId="0" fontId="4" fillId="31" borderId="67" xfId="0" applyFont="1" applyFill="1" applyBorder="1" applyAlignment="1">
      <alignment horizontal="left" vertical="center"/>
    </xf>
    <xf numFmtId="0" fontId="7" fillId="0" borderId="67" xfId="0" applyFont="1" applyBorder="1" applyAlignment="1">
      <alignment vertical="top" wrapText="1"/>
    </xf>
    <xf numFmtId="0" fontId="0" fillId="0" borderId="67" xfId="0" applyFont="1" applyBorder="1" applyAlignment="1">
      <alignment vertical="top" wrapText="1"/>
    </xf>
    <xf numFmtId="0" fontId="35" fillId="0" borderId="67" xfId="0" applyFont="1" applyBorder="1" applyAlignment="1">
      <alignment horizontal="left"/>
    </xf>
    <xf numFmtId="0" fontId="4" fillId="25" borderId="42" xfId="0" applyFont="1" applyFill="1" applyBorder="1" applyAlignment="1">
      <alignment horizontal="center" vertical="center" wrapText="1"/>
    </xf>
    <xf numFmtId="0" fontId="4" fillId="25" borderId="43" xfId="0" applyFont="1" applyFill="1" applyBorder="1" applyAlignment="1">
      <alignment horizontal="center" vertical="center" wrapText="1"/>
    </xf>
    <xf numFmtId="0" fontId="4" fillId="25" borderId="75" xfId="0" applyFont="1" applyFill="1" applyBorder="1" applyAlignment="1">
      <alignment horizontal="left" vertical="center" wrapText="1"/>
    </xf>
    <xf numFmtId="0" fontId="4" fillId="25" borderId="0" xfId="0" applyFont="1" applyFill="1" applyAlignment="1">
      <alignment horizontal="left" vertical="center" wrapText="1"/>
    </xf>
    <xf numFmtId="0" fontId="4" fillId="25" borderId="46" xfId="0" applyFont="1" applyFill="1" applyBorder="1" applyAlignment="1">
      <alignment horizontal="center" vertical="center" wrapText="1"/>
    </xf>
    <xf numFmtId="0" fontId="4" fillId="25" borderId="47" xfId="0" applyFont="1" applyFill="1" applyBorder="1" applyAlignment="1">
      <alignment horizontal="left" vertical="center" wrapText="1"/>
    </xf>
    <xf numFmtId="0" fontId="4" fillId="25" borderId="100" xfId="0" applyFont="1" applyFill="1" applyBorder="1" applyAlignment="1">
      <alignment horizontal="center" vertical="center" wrapText="1"/>
    </xf>
    <xf numFmtId="0" fontId="4" fillId="25" borderId="92" xfId="0" applyFont="1" applyFill="1" applyBorder="1" applyAlignment="1">
      <alignment horizontal="center" vertical="center" wrapText="1"/>
    </xf>
    <xf numFmtId="0" fontId="4" fillId="20" borderId="37" xfId="0" applyFont="1" applyFill="1" applyBorder="1" applyAlignment="1">
      <alignment horizontal="center" vertical="top"/>
    </xf>
    <xf numFmtId="0" fontId="4" fillId="20" borderId="38" xfId="0" applyFont="1" applyFill="1" applyBorder="1" applyAlignment="1">
      <alignment horizontal="left" vertical="top" wrapText="1"/>
    </xf>
    <xf numFmtId="49" fontId="4" fillId="19" borderId="37" xfId="0" applyNumberFormat="1" applyFont="1" applyFill="1" applyBorder="1" applyAlignment="1">
      <alignment horizontal="center" vertical="center" wrapText="1"/>
    </xf>
    <xf numFmtId="0" fontId="4" fillId="19" borderId="73" xfId="0" applyFont="1" applyFill="1" applyBorder="1" applyAlignment="1">
      <alignment horizontal="left" vertical="center" wrapText="1"/>
    </xf>
    <xf numFmtId="0" fontId="4" fillId="19" borderId="65" xfId="0" applyFont="1" applyFill="1" applyBorder="1" applyAlignment="1">
      <alignment horizontal="left" vertical="center" wrapText="1"/>
    </xf>
    <xf numFmtId="0" fontId="4" fillId="19" borderId="39" xfId="0" applyFont="1" applyFill="1" applyBorder="1" applyAlignment="1">
      <alignment horizontal="left" vertical="center" wrapText="1"/>
    </xf>
    <xf numFmtId="0" fontId="4" fillId="21" borderId="47" xfId="0" applyFont="1" applyFill="1" applyBorder="1" applyAlignment="1">
      <alignment horizontal="center" vertical="top"/>
    </xf>
    <xf numFmtId="0" fontId="4" fillId="21" borderId="0" xfId="0" applyFont="1" applyFill="1" applyAlignment="1">
      <alignment horizontal="center" vertical="top"/>
    </xf>
    <xf numFmtId="0" fontId="4" fillId="21" borderId="47" xfId="0" applyFont="1" applyFill="1" applyBorder="1" applyAlignment="1">
      <alignment horizontal="left" vertical="top" wrapText="1"/>
    </xf>
    <xf numFmtId="0" fontId="4" fillId="21" borderId="0" xfId="0" applyFont="1" applyFill="1" applyAlignment="1">
      <alignment horizontal="left" vertical="top" wrapText="1"/>
    </xf>
    <xf numFmtId="0" fontId="4" fillId="25" borderId="48" xfId="0" applyFont="1" applyFill="1" applyBorder="1" applyAlignment="1">
      <alignment horizontal="center" vertical="center" wrapText="1"/>
    </xf>
    <xf numFmtId="0" fontId="4" fillId="25" borderId="74" xfId="0" applyFont="1" applyFill="1" applyBorder="1" applyAlignment="1">
      <alignment horizontal="left" vertical="center" wrapText="1"/>
    </xf>
    <xf numFmtId="0" fontId="5" fillId="0" borderId="78" xfId="0" applyFont="1" applyBorder="1" applyAlignment="1">
      <alignment horizontal="center" vertical="top"/>
    </xf>
    <xf numFmtId="0" fontId="5" fillId="0" borderId="79" xfId="0" applyFont="1" applyBorder="1" applyAlignment="1">
      <alignment horizontal="center" vertical="top"/>
    </xf>
    <xf numFmtId="0" fontId="5" fillId="0" borderId="80" xfId="0" applyFont="1" applyBorder="1" applyAlignment="1">
      <alignment horizontal="center" vertical="top"/>
    </xf>
    <xf numFmtId="49" fontId="4" fillId="19" borderId="32" xfId="0" applyNumberFormat="1" applyFont="1" applyFill="1" applyBorder="1" applyAlignment="1">
      <alignment horizontal="center" vertical="center" wrapText="1"/>
    </xf>
    <xf numFmtId="49" fontId="4" fillId="19" borderId="33" xfId="0" applyNumberFormat="1" applyFont="1" applyFill="1" applyBorder="1" applyAlignment="1">
      <alignment horizontal="center" vertical="center" wrapText="1"/>
    </xf>
    <xf numFmtId="49" fontId="4" fillId="19" borderId="35" xfId="0" applyNumberFormat="1" applyFont="1" applyFill="1" applyBorder="1" applyAlignment="1">
      <alignment horizontal="center" vertical="center" wrapText="1"/>
    </xf>
    <xf numFmtId="0" fontId="12" fillId="19" borderId="98" xfId="0" applyFont="1" applyFill="1" applyBorder="1" applyAlignment="1">
      <alignment horizontal="center" vertical="center" wrapText="1"/>
    </xf>
    <xf numFmtId="0" fontId="12" fillId="19" borderId="92" xfId="0" applyFont="1" applyFill="1" applyBorder="1" applyAlignment="1">
      <alignment horizontal="center" vertical="center" wrapText="1"/>
    </xf>
    <xf numFmtId="0" fontId="12" fillId="19" borderId="99" xfId="0" applyFont="1" applyFill="1" applyBorder="1" applyAlignment="1">
      <alignment horizontal="center" vertical="center" wrapText="1"/>
    </xf>
    <xf numFmtId="0" fontId="4" fillId="19" borderId="32" xfId="0" applyFont="1" applyFill="1" applyBorder="1" applyAlignment="1">
      <alignment horizontal="center" vertical="center"/>
    </xf>
    <xf numFmtId="0" fontId="4" fillId="19" borderId="33" xfId="0" applyFont="1" applyFill="1" applyBorder="1" applyAlignment="1">
      <alignment horizontal="center" vertical="center"/>
    </xf>
    <xf numFmtId="0" fontId="4" fillId="19" borderId="35" xfId="0" applyFont="1" applyFill="1" applyBorder="1" applyAlignment="1">
      <alignment horizontal="center" vertical="center"/>
    </xf>
    <xf numFmtId="0" fontId="12" fillId="19" borderId="73" xfId="0" applyFont="1" applyFill="1" applyBorder="1" applyAlignment="1">
      <alignment horizontal="left" vertical="center" wrapText="1"/>
    </xf>
    <xf numFmtId="0" fontId="4" fillId="19" borderId="0" xfId="0" applyFont="1" applyFill="1" applyAlignment="1">
      <alignment horizontal="left" vertical="center" wrapText="1"/>
    </xf>
    <xf numFmtId="49" fontId="4" fillId="18" borderId="29" xfId="0" applyNumberFormat="1" applyFont="1" applyFill="1" applyBorder="1" applyAlignment="1">
      <alignment horizontal="center" vertical="center" wrapText="1"/>
    </xf>
    <xf numFmtId="49" fontId="4" fillId="18" borderId="26" xfId="0" applyNumberFormat="1" applyFont="1" applyFill="1" applyBorder="1" applyAlignment="1">
      <alignment horizontal="center" vertical="center" wrapText="1"/>
    </xf>
    <xf numFmtId="49" fontId="4" fillId="18" borderId="28" xfId="0" applyNumberFormat="1" applyFont="1" applyFill="1" applyBorder="1" applyAlignment="1">
      <alignment horizontal="center" vertical="center" wrapText="1"/>
    </xf>
    <xf numFmtId="0" fontId="4" fillId="18" borderId="30" xfId="0" applyFont="1" applyFill="1" applyBorder="1" applyAlignment="1">
      <alignment horizontal="left" vertical="center" wrapText="1"/>
    </xf>
    <xf numFmtId="0" fontId="4" fillId="18" borderId="0" xfId="0" applyFont="1" applyFill="1" applyAlignment="1">
      <alignment horizontal="left" vertical="center" wrapText="1"/>
    </xf>
    <xf numFmtId="0" fontId="4" fillId="18" borderId="72" xfId="0" applyFont="1" applyFill="1" applyBorder="1" applyAlignment="1">
      <alignment horizontal="left" vertical="center" wrapText="1"/>
    </xf>
    <xf numFmtId="49" fontId="4" fillId="14" borderId="13" xfId="0" applyNumberFormat="1" applyFont="1" applyFill="1" applyBorder="1" applyAlignment="1">
      <alignment horizontal="center" vertical="center" wrapText="1"/>
    </xf>
    <xf numFmtId="0" fontId="4" fillId="14" borderId="14" xfId="0" applyFont="1" applyFill="1" applyBorder="1" applyAlignment="1">
      <alignment vertical="center" wrapText="1"/>
    </xf>
    <xf numFmtId="0" fontId="4" fillId="20" borderId="33" xfId="0" applyFont="1" applyFill="1" applyBorder="1" applyAlignment="1">
      <alignment horizontal="center" vertical="top"/>
    </xf>
    <xf numFmtId="0" fontId="4" fillId="20" borderId="35" xfId="0" applyFont="1" applyFill="1" applyBorder="1" applyAlignment="1">
      <alignment horizontal="center" vertical="top"/>
    </xf>
    <xf numFmtId="0" fontId="4" fillId="20" borderId="34" xfId="0" applyFont="1" applyFill="1" applyBorder="1" applyAlignment="1">
      <alignment horizontal="left" vertical="top" wrapText="1"/>
    </xf>
    <xf numFmtId="0" fontId="4" fillId="20" borderId="36" xfId="0" applyFont="1" applyFill="1" applyBorder="1" applyAlignment="1">
      <alignment horizontal="left" vertical="top" wrapText="1"/>
    </xf>
    <xf numFmtId="0" fontId="7" fillId="19" borderId="73" xfId="0" applyFont="1" applyFill="1" applyBorder="1" applyAlignment="1">
      <alignment horizontal="left" vertical="center" wrapText="1"/>
    </xf>
    <xf numFmtId="0" fontId="13" fillId="19" borderId="73" xfId="0" applyFont="1" applyFill="1" applyBorder="1" applyAlignment="1">
      <alignment horizontal="left" vertical="center" wrapText="1"/>
    </xf>
    <xf numFmtId="0" fontId="4" fillId="17" borderId="31" xfId="0" applyFont="1" applyFill="1" applyBorder="1" applyAlignment="1">
      <alignment horizontal="left" vertical="top" wrapText="1"/>
    </xf>
    <xf numFmtId="0" fontId="4" fillId="17" borderId="27" xfId="0" applyFont="1" applyFill="1" applyBorder="1" applyAlignment="1">
      <alignment horizontal="left" vertical="top" wrapText="1"/>
    </xf>
    <xf numFmtId="0" fontId="4" fillId="18" borderId="30" xfId="0" applyFont="1" applyFill="1" applyBorder="1" applyAlignment="1">
      <alignment horizontal="center" vertical="center"/>
    </xf>
    <xf numFmtId="0" fontId="4" fillId="18" borderId="72" xfId="0" applyFont="1" applyFill="1" applyBorder="1" applyAlignment="1">
      <alignment horizontal="center" vertical="center"/>
    </xf>
    <xf numFmtId="49" fontId="4" fillId="15" borderId="15" xfId="0" applyNumberFormat="1" applyFont="1" applyFill="1" applyBorder="1" applyAlignment="1">
      <alignment horizontal="center" vertical="center" wrapText="1"/>
    </xf>
    <xf numFmtId="49" fontId="4" fillId="15" borderId="19" xfId="0" applyNumberFormat="1" applyFont="1" applyFill="1" applyBorder="1" applyAlignment="1">
      <alignment horizontal="center" vertical="center" wrapText="1"/>
    </xf>
    <xf numFmtId="0" fontId="4" fillId="15" borderId="70" xfId="0" applyFont="1" applyFill="1" applyBorder="1" applyAlignment="1">
      <alignment horizontal="left" vertical="center" wrapText="1"/>
    </xf>
    <xf numFmtId="0" fontId="4" fillId="15" borderId="71" xfId="0" applyFont="1" applyFill="1" applyBorder="1" applyAlignment="1">
      <alignment horizontal="left" vertical="center" wrapText="1"/>
    </xf>
    <xf numFmtId="0" fontId="4" fillId="17" borderId="26" xfId="0" applyFont="1" applyFill="1" applyBorder="1" applyAlignment="1">
      <alignment horizontal="center" vertical="top"/>
    </xf>
    <xf numFmtId="0" fontId="4" fillId="17" borderId="28" xfId="0" applyFont="1" applyFill="1" applyBorder="1" applyAlignment="1">
      <alignment horizontal="center" vertical="top"/>
    </xf>
    <xf numFmtId="0" fontId="4" fillId="17" borderId="25" xfId="0" applyFont="1" applyFill="1" applyBorder="1" applyAlignment="1">
      <alignment horizontal="center" vertical="top" wrapText="1"/>
    </xf>
    <xf numFmtId="0" fontId="4" fillId="17" borderId="96" xfId="0" applyFont="1" applyFill="1" applyBorder="1" applyAlignment="1">
      <alignment horizontal="center" vertical="top" wrapText="1"/>
    </xf>
    <xf numFmtId="49" fontId="4" fillId="18" borderId="24" xfId="0" applyNumberFormat="1" applyFont="1" applyFill="1" applyBorder="1" applyAlignment="1">
      <alignment horizontal="center" vertical="center" wrapText="1"/>
    </xf>
    <xf numFmtId="0" fontId="7" fillId="18" borderId="94" xfId="0" applyFont="1" applyFill="1" applyBorder="1" applyAlignment="1">
      <alignment horizontal="center" vertical="center" wrapText="1"/>
    </xf>
    <xf numFmtId="0" fontId="7" fillId="18" borderId="97" xfId="0" applyFont="1" applyFill="1" applyBorder="1" applyAlignment="1">
      <alignment horizontal="center" vertical="center" wrapText="1"/>
    </xf>
    <xf numFmtId="49" fontId="5" fillId="4" borderId="0" xfId="0" applyNumberFormat="1" applyFont="1" applyFill="1" applyAlignment="1">
      <alignment horizontal="center" vertical="top" wrapText="1"/>
    </xf>
    <xf numFmtId="49" fontId="4" fillId="15" borderId="21" xfId="0" applyNumberFormat="1" applyFont="1" applyFill="1" applyBorder="1" applyAlignment="1">
      <alignment horizontal="center" vertical="center" wrapText="1"/>
    </xf>
    <xf numFmtId="0" fontId="4" fillId="15" borderId="23" xfId="0" applyFont="1" applyFill="1" applyBorder="1" applyAlignment="1">
      <alignment vertical="center" wrapText="1"/>
    </xf>
    <xf numFmtId="0" fontId="4" fillId="15" borderId="23" xfId="0" applyFont="1" applyFill="1" applyBorder="1" applyAlignment="1">
      <alignment horizontal="left" vertical="center" wrapText="1"/>
    </xf>
    <xf numFmtId="49" fontId="4" fillId="15" borderId="17" xfId="0" applyNumberFormat="1" applyFont="1" applyFill="1" applyBorder="1" applyAlignment="1">
      <alignment horizontal="center" vertical="center" wrapText="1"/>
    </xf>
    <xf numFmtId="0" fontId="4" fillId="15" borderId="94" xfId="0" applyFont="1" applyFill="1" applyBorder="1" applyAlignment="1">
      <alignment horizontal="center" vertical="center" wrapText="1"/>
    </xf>
    <xf numFmtId="0" fontId="4" fillId="15" borderId="92" xfId="0" applyFont="1" applyFill="1" applyBorder="1" applyAlignment="1">
      <alignment horizontal="center" vertical="center" wrapText="1"/>
    </xf>
    <xf numFmtId="0" fontId="4" fillId="15" borderId="95" xfId="0" applyFont="1" applyFill="1" applyBorder="1" applyAlignment="1">
      <alignment horizontal="center" vertical="center" wrapText="1"/>
    </xf>
    <xf numFmtId="0" fontId="4" fillId="16" borderId="15" xfId="0" applyFont="1" applyFill="1" applyBorder="1" applyAlignment="1">
      <alignment horizontal="center" vertical="top"/>
    </xf>
    <xf numFmtId="0" fontId="4" fillId="16" borderId="17" xfId="0" applyFont="1" applyFill="1" applyBorder="1" applyAlignment="1">
      <alignment horizontal="center" vertical="top"/>
    </xf>
    <xf numFmtId="0" fontId="4" fillId="16" borderId="19" xfId="0" applyFont="1" applyFill="1" applyBorder="1" applyAlignment="1">
      <alignment horizontal="center" vertical="top"/>
    </xf>
    <xf numFmtId="0" fontId="4" fillId="16" borderId="16" xfId="0" applyFont="1" applyFill="1" applyBorder="1" applyAlignment="1">
      <alignment horizontal="left" vertical="top" wrapText="1"/>
    </xf>
    <xf numFmtId="0" fontId="4" fillId="16" borderId="18" xfId="0" applyFont="1" applyFill="1" applyBorder="1" applyAlignment="1">
      <alignment horizontal="left" vertical="top" wrapText="1"/>
    </xf>
    <xf numFmtId="0" fontId="4" fillId="16" borderId="20" xfId="0" applyFont="1" applyFill="1" applyBorder="1" applyAlignment="1">
      <alignment horizontal="left" vertical="top" wrapText="1"/>
    </xf>
    <xf numFmtId="0" fontId="4" fillId="15" borderId="0" xfId="0" applyFont="1" applyFill="1" applyAlignment="1">
      <alignment horizontal="left" vertical="center" wrapText="1"/>
    </xf>
    <xf numFmtId="0" fontId="4" fillId="23" borderId="40" xfId="0" applyFont="1" applyFill="1" applyBorder="1" applyAlignment="1">
      <alignment horizontal="center" vertical="center"/>
    </xf>
    <xf numFmtId="0" fontId="4" fillId="23" borderId="40" xfId="0" applyFont="1" applyFill="1" applyBorder="1" applyAlignment="1">
      <alignment vertical="center" wrapText="1"/>
    </xf>
    <xf numFmtId="0" fontId="4" fillId="22" borderId="57" xfId="0" applyFont="1" applyFill="1" applyBorder="1" applyAlignment="1">
      <alignment horizontal="center" vertical="top"/>
    </xf>
    <xf numFmtId="0" fontId="4" fillId="22" borderId="0" xfId="0" applyFont="1" applyFill="1" applyAlignment="1">
      <alignment horizontal="center" vertical="top"/>
    </xf>
    <xf numFmtId="0" fontId="4" fillId="22" borderId="58" xfId="0" applyFont="1" applyFill="1" applyBorder="1" applyAlignment="1">
      <alignment horizontal="center" vertical="top"/>
    </xf>
    <xf numFmtId="0" fontId="4" fillId="22" borderId="56" xfId="0" applyFont="1" applyFill="1" applyBorder="1" applyAlignment="1">
      <alignment horizontal="left" vertical="top" wrapText="1"/>
    </xf>
    <xf numFmtId="0" fontId="4" fillId="22" borderId="50" xfId="0" applyFont="1" applyFill="1" applyBorder="1" applyAlignment="1">
      <alignment horizontal="left" vertical="top" wrapText="1"/>
    </xf>
    <xf numFmtId="0" fontId="4" fillId="22" borderId="51" xfId="0" applyFont="1" applyFill="1" applyBorder="1" applyAlignment="1">
      <alignment horizontal="left" vertical="top" wrapText="1"/>
    </xf>
    <xf numFmtId="49" fontId="4" fillId="23" borderId="57" xfId="0" applyNumberFormat="1" applyFont="1" applyFill="1" applyBorder="1" applyAlignment="1">
      <alignment horizontal="center" vertical="center" wrapText="1"/>
    </xf>
    <xf numFmtId="49" fontId="4" fillId="23" borderId="0" xfId="0" applyNumberFormat="1" applyFont="1" applyFill="1" applyAlignment="1">
      <alignment horizontal="center" vertical="center" wrapText="1"/>
    </xf>
    <xf numFmtId="49" fontId="4" fillId="23" borderId="58" xfId="0" applyNumberFormat="1" applyFont="1" applyFill="1" applyBorder="1" applyAlignment="1">
      <alignment horizontal="center" vertical="center" wrapText="1"/>
    </xf>
    <xf numFmtId="0" fontId="4" fillId="23" borderId="57" xfId="0" applyFont="1" applyFill="1" applyBorder="1" applyAlignment="1">
      <alignment horizontal="left" vertical="center" wrapText="1"/>
    </xf>
    <xf numFmtId="0" fontId="4" fillId="23" borderId="0" xfId="0" applyFont="1" applyFill="1" applyAlignment="1">
      <alignment horizontal="left" vertical="center" wrapText="1"/>
    </xf>
    <xf numFmtId="0" fontId="4" fillId="23" borderId="58" xfId="0" applyFont="1" applyFill="1" applyBorder="1" applyAlignment="1">
      <alignment horizontal="left" vertical="center" wrapText="1"/>
    </xf>
    <xf numFmtId="49" fontId="4" fillId="23" borderId="22" xfId="0" applyNumberFormat="1" applyFont="1" applyFill="1" applyBorder="1" applyAlignment="1">
      <alignment horizontal="center" vertical="center" wrapText="1"/>
    </xf>
    <xf numFmtId="0" fontId="4" fillId="23" borderId="60" xfId="0" applyFont="1" applyFill="1" applyBorder="1" applyAlignment="1">
      <alignment horizontal="center" vertical="center"/>
    </xf>
    <xf numFmtId="0" fontId="4" fillId="23" borderId="59" xfId="0" applyFont="1" applyFill="1" applyBorder="1" applyAlignment="1">
      <alignment horizontal="center" vertical="center"/>
    </xf>
    <xf numFmtId="0" fontId="4" fillId="23" borderId="68" xfId="0" applyFont="1" applyFill="1" applyBorder="1" applyAlignment="1">
      <alignment vertical="center" wrapText="1"/>
    </xf>
    <xf numFmtId="0" fontId="4" fillId="23" borderId="0" xfId="0" applyFont="1" applyFill="1" applyAlignment="1">
      <alignment vertical="center" wrapText="1"/>
    </xf>
    <xf numFmtId="0" fontId="4" fillId="23" borderId="55" xfId="0" applyFont="1" applyFill="1" applyBorder="1" applyAlignment="1">
      <alignment vertical="center" wrapText="1"/>
    </xf>
    <xf numFmtId="49" fontId="4" fillId="23" borderId="53" xfId="0" applyNumberFormat="1" applyFont="1" applyFill="1" applyBorder="1" applyAlignment="1">
      <alignment horizontal="center" vertical="center" wrapText="1"/>
    </xf>
    <xf numFmtId="49" fontId="4" fillId="23" borderId="54" xfId="0" applyNumberFormat="1" applyFont="1" applyFill="1" applyBorder="1" applyAlignment="1">
      <alignment horizontal="center" vertical="center" wrapText="1"/>
    </xf>
    <xf numFmtId="0" fontId="4" fillId="23" borderId="55" xfId="0" applyFont="1" applyFill="1" applyBorder="1" applyAlignment="1">
      <alignment horizontal="left" vertical="center" wrapText="1"/>
    </xf>
    <xf numFmtId="49" fontId="4" fillId="12" borderId="2" xfId="0" applyNumberFormat="1" applyFont="1" applyFill="1" applyBorder="1" applyAlignment="1">
      <alignment horizontal="center" vertical="center" wrapText="1"/>
    </xf>
    <xf numFmtId="0" fontId="4" fillId="12" borderId="9" xfId="0" applyFont="1" applyFill="1" applyBorder="1" applyAlignment="1">
      <alignment vertical="center" wrapText="1"/>
    </xf>
    <xf numFmtId="49" fontId="4" fillId="12" borderId="6" xfId="0" applyNumberFormat="1" applyFont="1" applyFill="1" applyBorder="1" applyAlignment="1">
      <alignment horizontal="center" vertical="center" wrapText="1"/>
    </xf>
    <xf numFmtId="49" fontId="4" fillId="12" borderId="7" xfId="0" applyNumberFormat="1" applyFont="1" applyFill="1" applyBorder="1" applyAlignment="1">
      <alignment horizontal="center" vertical="center" wrapText="1"/>
    </xf>
    <xf numFmtId="49" fontId="4" fillId="12" borderId="8" xfId="0" applyNumberFormat="1" applyFont="1" applyFill="1" applyBorder="1" applyAlignment="1">
      <alignment horizontal="center" vertical="center" wrapText="1"/>
    </xf>
    <xf numFmtId="0" fontId="4" fillId="12" borderId="68" xfId="0" applyFont="1" applyFill="1" applyBorder="1" applyAlignment="1">
      <alignment horizontal="left" vertical="center" wrapText="1"/>
    </xf>
    <xf numFmtId="0" fontId="4" fillId="12" borderId="0" xfId="0" applyFont="1" applyFill="1" applyAlignment="1">
      <alignment horizontal="left" vertical="center" wrapText="1"/>
    </xf>
    <xf numFmtId="0" fontId="4" fillId="12" borderId="69" xfId="0" applyFont="1" applyFill="1" applyBorder="1" applyAlignment="1">
      <alignment horizontal="left" vertical="center" wrapText="1"/>
    </xf>
    <xf numFmtId="0" fontId="4" fillId="11" borderId="6" xfId="0" applyFont="1" applyFill="1" applyBorder="1" applyAlignment="1">
      <alignment horizontal="center" vertical="top"/>
    </xf>
    <xf numFmtId="0" fontId="4" fillId="11" borderId="7" xfId="0" applyFont="1" applyFill="1" applyBorder="1" applyAlignment="1">
      <alignment horizontal="center" vertical="top"/>
    </xf>
    <xf numFmtId="0" fontId="4" fillId="11" borderId="8" xfId="0" applyFont="1" applyFill="1" applyBorder="1" applyAlignment="1">
      <alignment horizontal="center" vertical="top"/>
    </xf>
    <xf numFmtId="0" fontId="4" fillId="11" borderId="3" xfId="0" applyFont="1" applyFill="1" applyBorder="1" applyAlignment="1">
      <alignment horizontal="left" vertical="top" wrapText="1"/>
    </xf>
    <xf numFmtId="0" fontId="4" fillId="11" borderId="4" xfId="0" applyFont="1" applyFill="1" applyBorder="1" applyAlignment="1">
      <alignment horizontal="left" vertical="top" wrapText="1"/>
    </xf>
    <xf numFmtId="0" fontId="4" fillId="11" borderId="5" xfId="0" applyFont="1" applyFill="1" applyBorder="1" applyAlignment="1">
      <alignment horizontal="left" vertical="top" wrapText="1"/>
    </xf>
    <xf numFmtId="0" fontId="4" fillId="12" borderId="9" xfId="0" applyFont="1" applyFill="1" applyBorder="1" applyAlignment="1">
      <alignment horizontal="left" vertical="center" wrapText="1"/>
    </xf>
    <xf numFmtId="0" fontId="4" fillId="12" borderId="91" xfId="0" applyFont="1" applyFill="1" applyBorder="1" applyAlignment="1">
      <alignment horizontal="center" vertical="center" wrapText="1"/>
    </xf>
    <xf numFmtId="0" fontId="4" fillId="12" borderId="92" xfId="0" applyFont="1" applyFill="1" applyBorder="1" applyAlignment="1">
      <alignment horizontal="center" vertical="center" wrapText="1"/>
    </xf>
    <xf numFmtId="0" fontId="4" fillId="12" borderId="93" xfId="0" applyFont="1" applyFill="1" applyBorder="1" applyAlignment="1">
      <alignment horizontal="center" vertical="center" wrapText="1"/>
    </xf>
    <xf numFmtId="0" fontId="4" fillId="25" borderId="66" xfId="0" applyFont="1" applyFill="1" applyBorder="1" applyAlignment="1">
      <alignment horizontal="center" vertical="center" wrapText="1"/>
    </xf>
    <xf numFmtId="0" fontId="4" fillId="25" borderId="77" xfId="0" applyFont="1" applyFill="1" applyBorder="1" applyAlignment="1">
      <alignment horizontal="left" vertical="center" wrapText="1"/>
    </xf>
    <xf numFmtId="0" fontId="23" fillId="0" borderId="0" xfId="1" applyFont="1" applyAlignment="1">
      <alignment horizontal="center" vertical="top"/>
    </xf>
    <xf numFmtId="0" fontId="21" fillId="0" borderId="0" xfId="1"/>
    <xf numFmtId="0" fontId="23" fillId="0" borderId="0" xfId="1" applyFont="1" applyAlignment="1">
      <alignment horizontal="left" vertical="top" wrapText="1"/>
    </xf>
  </cellXfs>
  <cellStyles count="3">
    <cellStyle name="Hyperlink" xfId="2"/>
    <cellStyle name="Normal" xfId="0" builtinId="0"/>
    <cellStyle name="Normal 2" xfId="1"/>
  </cellStyles>
  <dxfs count="8">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C4"/>
  <sheetViews>
    <sheetView topLeftCell="A19" workbookViewId="0">
      <selection activeCell="A4" sqref="A4"/>
    </sheetView>
  </sheetViews>
  <sheetFormatPr defaultColWidth="8.7265625" defaultRowHeight="14.5"/>
  <sheetData>
    <row r="3" spans="3:3" ht="26">
      <c r="C3" s="134" t="s">
        <v>0</v>
      </c>
    </row>
    <row r="4" spans="3:3" ht="26">
      <c r="C4" s="134"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topLeftCell="A28" zoomScale="90" zoomScaleNormal="90" workbookViewId="0">
      <selection activeCell="B24" sqref="B24"/>
    </sheetView>
  </sheetViews>
  <sheetFormatPr defaultColWidth="8.7265625" defaultRowHeight="14.5"/>
  <cols>
    <col min="1" max="1" width="23.453125" style="75" customWidth="1"/>
    <col min="2" max="2" width="95.1796875" style="75" customWidth="1"/>
  </cols>
  <sheetData>
    <row r="1" spans="1:2">
      <c r="A1" s="133" t="s">
        <v>2</v>
      </c>
      <c r="B1" s="132"/>
    </row>
    <row r="2" spans="1:2" ht="29">
      <c r="A2" s="163" t="s">
        <v>3</v>
      </c>
      <c r="B2" s="164" t="s">
        <v>4</v>
      </c>
    </row>
    <row r="3" spans="1:2">
      <c r="A3" s="164"/>
      <c r="B3" s="164"/>
    </row>
    <row r="4" spans="1:2" ht="43.5">
      <c r="A4" s="163" t="s">
        <v>5</v>
      </c>
      <c r="B4" s="164" t="s">
        <v>6</v>
      </c>
    </row>
    <row r="5" spans="1:2">
      <c r="A5" s="164"/>
      <c r="B5" s="164"/>
    </row>
    <row r="6" spans="1:2">
      <c r="A6" s="131" t="s">
        <v>7</v>
      </c>
      <c r="B6" s="132"/>
    </row>
    <row r="7" spans="1:2" ht="15.5">
      <c r="A7" s="87" t="s">
        <v>8</v>
      </c>
    </row>
    <row r="8" spans="1:2">
      <c r="B8" s="75" t="s">
        <v>9</v>
      </c>
    </row>
    <row r="9" spans="1:2" ht="29">
      <c r="B9" s="75" t="s">
        <v>10</v>
      </c>
    </row>
    <row r="10" spans="1:2" ht="29">
      <c r="B10" s="75" t="s">
        <v>11</v>
      </c>
    </row>
    <row r="11" spans="1:2">
      <c r="B11" s="75" t="s">
        <v>12</v>
      </c>
    </row>
    <row r="14" spans="1:2" ht="15.5">
      <c r="A14" s="87" t="s">
        <v>13</v>
      </c>
    </row>
    <row r="15" spans="1:2" ht="29">
      <c r="A15" s="88" t="s">
        <v>14</v>
      </c>
      <c r="B15" s="75" t="s">
        <v>15</v>
      </c>
    </row>
    <row r="16" spans="1:2">
      <c r="B16" s="75" t="s">
        <v>16</v>
      </c>
    </row>
    <row r="17" spans="1:2" ht="29">
      <c r="B17" s="75" t="s">
        <v>17</v>
      </c>
    </row>
    <row r="18" spans="1:2" ht="43.5">
      <c r="B18" s="75" t="s">
        <v>18</v>
      </c>
    </row>
    <row r="19" spans="1:2" ht="43.5">
      <c r="B19" s="75" t="s">
        <v>19</v>
      </c>
    </row>
    <row r="20" spans="1:2" ht="43.5">
      <c r="B20" s="75" t="s">
        <v>20</v>
      </c>
    </row>
    <row r="21" spans="1:2" ht="29">
      <c r="B21" s="75" t="s">
        <v>21</v>
      </c>
    </row>
    <row r="22" spans="1:2" ht="58">
      <c r="A22" s="88" t="s">
        <v>22</v>
      </c>
      <c r="B22" s="75" t="s">
        <v>23</v>
      </c>
    </row>
    <row r="23" spans="1:2" ht="43.5">
      <c r="B23" s="75" t="s">
        <v>24</v>
      </c>
    </row>
    <row r="24" spans="1:2" ht="47.5" customHeight="1">
      <c r="A24" s="88" t="s">
        <v>25</v>
      </c>
      <c r="B24" s="75" t="s">
        <v>26</v>
      </c>
    </row>
    <row r="25" spans="1:2">
      <c r="A25" s="88" t="s">
        <v>27</v>
      </c>
      <c r="B25" s="75" t="s">
        <v>28</v>
      </c>
    </row>
    <row r="26" spans="1:2" ht="29">
      <c r="A26" s="88" t="s">
        <v>29</v>
      </c>
      <c r="B26" s="75" t="s">
        <v>30</v>
      </c>
    </row>
    <row r="27" spans="1:2">
      <c r="A27" s="88" t="s">
        <v>31</v>
      </c>
      <c r="B27" s="75" t="s">
        <v>32</v>
      </c>
    </row>
    <row r="28" spans="1:2">
      <c r="A28" s="88" t="s">
        <v>33</v>
      </c>
      <c r="B28" s="75" t="s">
        <v>34</v>
      </c>
    </row>
    <row r="30" spans="1:2">
      <c r="A30" s="131" t="s">
        <v>35</v>
      </c>
      <c r="B30" s="132"/>
    </row>
    <row r="31" spans="1:2" ht="43.5">
      <c r="A31" s="75" t="s">
        <v>36</v>
      </c>
      <c r="B31" s="75" t="s">
        <v>37</v>
      </c>
    </row>
    <row r="32" spans="1:2" ht="29">
      <c r="B32" s="75" t="s">
        <v>38</v>
      </c>
    </row>
    <row r="33" spans="2:2" ht="29">
      <c r="B33" s="75" t="s">
        <v>39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7"/>
  <sheetViews>
    <sheetView topLeftCell="A58" workbookViewId="0">
      <selection activeCell="E137" sqref="E137"/>
    </sheetView>
  </sheetViews>
  <sheetFormatPr defaultColWidth="8.81640625" defaultRowHeight="13"/>
  <cols>
    <col min="1" max="1" width="60.54296875" style="189" customWidth="1"/>
    <col min="2" max="3" width="5.54296875" style="213" customWidth="1"/>
    <col min="4" max="4" width="6.81640625" style="213" bestFit="1" customWidth="1"/>
    <col min="5" max="5" width="11.453125" style="177" bestFit="1" customWidth="1"/>
    <col min="6" max="6" width="11.81640625" style="188" bestFit="1" customWidth="1"/>
    <col min="7" max="9" width="30.81640625" style="177" customWidth="1"/>
    <col min="10" max="10" width="30.54296875" style="177" customWidth="1"/>
    <col min="11" max="11" width="30.81640625" style="177" customWidth="1"/>
    <col min="12" max="12" width="41" style="177" customWidth="1"/>
    <col min="13" max="16384" width="8.81640625" style="177"/>
  </cols>
  <sheetData>
    <row r="1" spans="1:12">
      <c r="A1" s="174"/>
      <c r="B1" s="201"/>
      <c r="C1" s="201"/>
      <c r="D1" s="193"/>
      <c r="E1" s="175"/>
      <c r="F1" s="176"/>
      <c r="G1" s="175"/>
      <c r="H1" s="175"/>
      <c r="I1" s="175"/>
      <c r="J1" s="175"/>
      <c r="K1" s="175"/>
      <c r="L1" s="175"/>
    </row>
    <row r="2" spans="1:12" s="217" customFormat="1">
      <c r="A2" s="214" t="s">
        <v>40</v>
      </c>
      <c r="B2" s="215"/>
      <c r="C2" s="215"/>
      <c r="D2" s="215"/>
      <c r="E2" s="214"/>
      <c r="F2" s="216"/>
      <c r="G2" s="214"/>
      <c r="H2" s="214"/>
      <c r="I2" s="214"/>
      <c r="J2" s="214"/>
      <c r="K2" s="214"/>
      <c r="L2" s="214"/>
    </row>
    <row r="3" spans="1:12" s="217" customFormat="1" ht="14.5" customHeight="1">
      <c r="A3" s="192" t="s">
        <v>41</v>
      </c>
      <c r="B3" s="202" t="s">
        <v>42</v>
      </c>
      <c r="C3" s="202" t="s">
        <v>42</v>
      </c>
      <c r="D3" s="215" t="s">
        <v>42</v>
      </c>
      <c r="E3" s="214" t="s">
        <v>42</v>
      </c>
      <c r="F3" s="216"/>
      <c r="G3" s="214" t="s">
        <v>42</v>
      </c>
      <c r="H3" s="428" t="s">
        <v>43</v>
      </c>
      <c r="I3" s="428"/>
      <c r="J3" s="428"/>
      <c r="K3" s="428"/>
      <c r="L3" s="428"/>
    </row>
    <row r="4" spans="1:12" ht="26">
      <c r="A4" s="178" t="s">
        <v>44</v>
      </c>
      <c r="B4" s="203" t="s">
        <v>45</v>
      </c>
      <c r="C4" s="203" t="s">
        <v>46</v>
      </c>
      <c r="D4" s="203" t="s">
        <v>47</v>
      </c>
      <c r="E4" s="178" t="s">
        <v>48</v>
      </c>
      <c r="F4" s="178" t="s">
        <v>49</v>
      </c>
      <c r="G4" s="190" t="s">
        <v>50</v>
      </c>
      <c r="H4" s="178" t="s">
        <v>51</v>
      </c>
      <c r="I4" s="178" t="s">
        <v>52</v>
      </c>
      <c r="J4" s="178" t="s">
        <v>53</v>
      </c>
      <c r="K4" s="178" t="s">
        <v>54</v>
      </c>
      <c r="L4" s="178" t="s">
        <v>55</v>
      </c>
    </row>
    <row r="5" spans="1:12" ht="26">
      <c r="A5" s="179" t="s">
        <v>56</v>
      </c>
      <c r="B5" s="204" t="s">
        <v>42</v>
      </c>
      <c r="C5" s="204" t="s">
        <v>57</v>
      </c>
      <c r="D5" s="204" t="s">
        <v>42</v>
      </c>
      <c r="E5" s="179" t="s">
        <v>42</v>
      </c>
      <c r="F5" s="180" t="s">
        <v>58</v>
      </c>
      <c r="G5" s="179" t="s">
        <v>42</v>
      </c>
      <c r="H5" s="181" t="s">
        <v>59</v>
      </c>
      <c r="I5" s="181" t="s">
        <v>60</v>
      </c>
      <c r="J5" s="181" t="s">
        <v>61</v>
      </c>
      <c r="K5" s="181" t="s">
        <v>62</v>
      </c>
      <c r="L5" s="181" t="s">
        <v>63</v>
      </c>
    </row>
    <row r="6" spans="1:12">
      <c r="A6" s="179" t="s">
        <v>64</v>
      </c>
      <c r="B6" s="204" t="s">
        <v>42</v>
      </c>
      <c r="C6" s="204" t="s">
        <v>57</v>
      </c>
      <c r="D6" s="205" t="s">
        <v>42</v>
      </c>
      <c r="E6" s="181" t="s">
        <v>42</v>
      </c>
      <c r="F6" s="180" t="s">
        <v>58</v>
      </c>
      <c r="G6" s="181" t="s">
        <v>42</v>
      </c>
      <c r="H6" s="181" t="s">
        <v>59</v>
      </c>
      <c r="I6" s="181" t="s">
        <v>65</v>
      </c>
      <c r="J6" s="181" t="s">
        <v>66</v>
      </c>
      <c r="K6" s="181" t="s">
        <v>67</v>
      </c>
      <c r="L6" s="181"/>
    </row>
    <row r="7" spans="1:12">
      <c r="A7" s="182" t="s">
        <v>68</v>
      </c>
      <c r="B7" s="204" t="s">
        <v>57</v>
      </c>
      <c r="C7" s="204" t="s">
        <v>42</v>
      </c>
      <c r="D7" s="205" t="s">
        <v>42</v>
      </c>
      <c r="E7" s="181" t="s">
        <v>42</v>
      </c>
      <c r="F7" s="180" t="s">
        <v>58</v>
      </c>
      <c r="G7" s="181" t="s">
        <v>42</v>
      </c>
      <c r="H7" s="181" t="s">
        <v>59</v>
      </c>
      <c r="I7" s="181" t="s">
        <v>65</v>
      </c>
      <c r="J7" s="181" t="s">
        <v>66</v>
      </c>
      <c r="K7" s="181" t="s">
        <v>67</v>
      </c>
      <c r="L7" s="181"/>
    </row>
    <row r="8" spans="1:12" ht="26">
      <c r="A8" s="179" t="s">
        <v>69</v>
      </c>
      <c r="B8" s="204" t="s">
        <v>57</v>
      </c>
      <c r="C8" s="204" t="s">
        <v>57</v>
      </c>
      <c r="D8" s="205" t="s">
        <v>57</v>
      </c>
      <c r="E8" s="181">
        <v>4</v>
      </c>
      <c r="F8" s="180" t="s">
        <v>58</v>
      </c>
      <c r="G8" s="181" t="s">
        <v>42</v>
      </c>
      <c r="H8" s="181" t="s">
        <v>59</v>
      </c>
      <c r="I8" s="181" t="s">
        <v>65</v>
      </c>
      <c r="J8" s="181" t="s">
        <v>66</v>
      </c>
      <c r="K8" s="181" t="s">
        <v>67</v>
      </c>
      <c r="L8" s="181"/>
    </row>
    <row r="9" spans="1:12" ht="26">
      <c r="A9" s="179" t="s">
        <v>70</v>
      </c>
      <c r="B9" s="204" t="s">
        <v>57</v>
      </c>
      <c r="C9" s="204" t="s">
        <v>57</v>
      </c>
      <c r="D9" s="205" t="s">
        <v>42</v>
      </c>
      <c r="E9" s="181" t="s">
        <v>42</v>
      </c>
      <c r="F9" s="180" t="s">
        <v>58</v>
      </c>
      <c r="G9" s="181" t="s">
        <v>42</v>
      </c>
      <c r="H9" s="181" t="s">
        <v>71</v>
      </c>
      <c r="I9" s="181" t="s">
        <v>72</v>
      </c>
      <c r="J9" s="181" t="s">
        <v>73</v>
      </c>
      <c r="K9" s="181" t="s">
        <v>74</v>
      </c>
      <c r="L9" s="181" t="s">
        <v>75</v>
      </c>
    </row>
    <row r="10" spans="1:12">
      <c r="A10" s="179" t="s">
        <v>76</v>
      </c>
      <c r="B10" s="204" t="s">
        <v>57</v>
      </c>
      <c r="C10" s="204" t="s">
        <v>57</v>
      </c>
      <c r="D10" s="205" t="s">
        <v>57</v>
      </c>
      <c r="E10" s="181">
        <v>3.625</v>
      </c>
      <c r="F10" s="180" t="s">
        <v>58</v>
      </c>
      <c r="G10" s="181" t="s">
        <v>42</v>
      </c>
      <c r="H10" s="181" t="s">
        <v>60</v>
      </c>
      <c r="I10" s="181" t="s">
        <v>65</v>
      </c>
      <c r="J10" s="181" t="s">
        <v>72</v>
      </c>
      <c r="K10" s="181" t="s">
        <v>73</v>
      </c>
      <c r="L10" s="181" t="s">
        <v>77</v>
      </c>
    </row>
    <row r="11" spans="1:12">
      <c r="A11" s="179" t="s">
        <v>78</v>
      </c>
      <c r="B11" s="204" t="s">
        <v>57</v>
      </c>
      <c r="C11" s="204" t="s">
        <v>57</v>
      </c>
      <c r="D11" s="205" t="s">
        <v>42</v>
      </c>
      <c r="E11" s="181" t="s">
        <v>42</v>
      </c>
      <c r="F11" s="180" t="s">
        <v>79</v>
      </c>
      <c r="G11" s="181" t="s">
        <v>80</v>
      </c>
      <c r="H11" s="181" t="s">
        <v>42</v>
      </c>
      <c r="I11" s="181" t="s">
        <v>42</v>
      </c>
      <c r="J11" s="181" t="s">
        <v>42</v>
      </c>
      <c r="K11" s="181" t="s">
        <v>42</v>
      </c>
      <c r="L11" s="181"/>
    </row>
    <row r="12" spans="1:12">
      <c r="A12" s="179" t="s">
        <v>81</v>
      </c>
      <c r="B12" s="204" t="s">
        <v>42</v>
      </c>
      <c r="C12" s="204" t="s">
        <v>57</v>
      </c>
      <c r="D12" s="205" t="s">
        <v>42</v>
      </c>
      <c r="E12" s="181" t="s">
        <v>42</v>
      </c>
      <c r="F12" s="180" t="s">
        <v>79</v>
      </c>
      <c r="G12" s="181" t="s">
        <v>80</v>
      </c>
      <c r="H12" s="181" t="s">
        <v>42</v>
      </c>
      <c r="I12" s="181" t="s">
        <v>42</v>
      </c>
      <c r="J12" s="181" t="s">
        <v>42</v>
      </c>
      <c r="K12" s="181" t="s">
        <v>42</v>
      </c>
      <c r="L12" s="181"/>
    </row>
    <row r="13" spans="1:12">
      <c r="A13" s="183" t="s">
        <v>82</v>
      </c>
      <c r="B13" s="204" t="s">
        <v>42</v>
      </c>
      <c r="C13" s="204" t="s">
        <v>57</v>
      </c>
      <c r="D13" s="205" t="s">
        <v>57</v>
      </c>
      <c r="E13" s="181">
        <v>4.75</v>
      </c>
      <c r="F13" s="180" t="s">
        <v>79</v>
      </c>
      <c r="G13" s="181" t="s">
        <v>83</v>
      </c>
      <c r="H13" s="181" t="s">
        <v>42</v>
      </c>
      <c r="I13" s="181" t="s">
        <v>42</v>
      </c>
      <c r="J13" s="181" t="s">
        <v>42</v>
      </c>
      <c r="K13" s="181" t="s">
        <v>42</v>
      </c>
      <c r="L13" s="181" t="s">
        <v>84</v>
      </c>
    </row>
    <row r="14" spans="1:12">
      <c r="A14" s="179" t="s">
        <v>85</v>
      </c>
      <c r="B14" s="204" t="s">
        <v>57</v>
      </c>
      <c r="C14" s="204" t="s">
        <v>57</v>
      </c>
      <c r="D14" s="205" t="s">
        <v>57</v>
      </c>
      <c r="E14" s="181">
        <v>3.625</v>
      </c>
      <c r="F14" s="180" t="s">
        <v>58</v>
      </c>
      <c r="G14" s="181" t="s">
        <v>42</v>
      </c>
      <c r="H14" s="181" t="s">
        <v>86</v>
      </c>
      <c r="I14" s="181" t="s">
        <v>61</v>
      </c>
      <c r="J14" s="181" t="s">
        <v>42</v>
      </c>
      <c r="K14" s="181" t="s">
        <v>42</v>
      </c>
      <c r="L14" s="181" t="s">
        <v>87</v>
      </c>
    </row>
    <row r="15" spans="1:12">
      <c r="A15" s="179" t="s">
        <v>88</v>
      </c>
      <c r="B15" s="204" t="s">
        <v>42</v>
      </c>
      <c r="C15" s="204" t="s">
        <v>57</v>
      </c>
      <c r="D15" s="205" t="s">
        <v>57</v>
      </c>
      <c r="E15" s="181">
        <v>3.625</v>
      </c>
      <c r="F15" s="180" t="s">
        <v>58</v>
      </c>
      <c r="G15" s="181" t="s">
        <v>42</v>
      </c>
      <c r="H15" s="181" t="s">
        <v>86</v>
      </c>
      <c r="I15" s="181" t="s">
        <v>61</v>
      </c>
      <c r="J15" s="181" t="s">
        <v>42</v>
      </c>
      <c r="K15" s="181" t="s">
        <v>42</v>
      </c>
      <c r="L15" s="181" t="s">
        <v>87</v>
      </c>
    </row>
    <row r="16" spans="1:12">
      <c r="A16" s="179" t="s">
        <v>89</v>
      </c>
      <c r="B16" s="204" t="s">
        <v>57</v>
      </c>
      <c r="C16" s="204" t="s">
        <v>57</v>
      </c>
      <c r="D16" s="205" t="s">
        <v>57</v>
      </c>
      <c r="E16" s="181">
        <v>3.875</v>
      </c>
      <c r="F16" s="180" t="s">
        <v>58</v>
      </c>
      <c r="G16" s="181" t="s">
        <v>42</v>
      </c>
      <c r="H16" s="181" t="s">
        <v>86</v>
      </c>
      <c r="I16" s="181" t="s">
        <v>61</v>
      </c>
      <c r="J16" s="181" t="s">
        <v>42</v>
      </c>
      <c r="K16" s="181" t="s">
        <v>42</v>
      </c>
      <c r="L16" s="181" t="s">
        <v>87</v>
      </c>
    </row>
    <row r="17" spans="1:12">
      <c r="A17" s="179" t="s">
        <v>90</v>
      </c>
      <c r="B17" s="204" t="s">
        <v>57</v>
      </c>
      <c r="C17" s="204" t="s">
        <v>57</v>
      </c>
      <c r="D17" s="205" t="s">
        <v>42</v>
      </c>
      <c r="E17" s="181" t="s">
        <v>42</v>
      </c>
      <c r="F17" s="180" t="s">
        <v>58</v>
      </c>
      <c r="G17" s="181" t="s">
        <v>42</v>
      </c>
      <c r="H17" s="181" t="s">
        <v>86</v>
      </c>
      <c r="I17" s="181" t="s">
        <v>61</v>
      </c>
      <c r="J17" s="181" t="s">
        <v>42</v>
      </c>
      <c r="K17" s="181" t="s">
        <v>42</v>
      </c>
      <c r="L17" s="181"/>
    </row>
    <row r="18" spans="1:12">
      <c r="A18" s="179" t="s">
        <v>91</v>
      </c>
      <c r="B18" s="204" t="s">
        <v>42</v>
      </c>
      <c r="C18" s="204" t="s">
        <v>57</v>
      </c>
      <c r="D18" s="205" t="s">
        <v>57</v>
      </c>
      <c r="E18" s="181" t="s">
        <v>42</v>
      </c>
      <c r="F18" s="180" t="s">
        <v>79</v>
      </c>
      <c r="G18" s="181" t="s">
        <v>92</v>
      </c>
      <c r="H18" s="181" t="s">
        <v>42</v>
      </c>
      <c r="I18" s="181" t="s">
        <v>42</v>
      </c>
      <c r="J18" s="181" t="s">
        <v>42</v>
      </c>
      <c r="K18" s="181" t="s">
        <v>42</v>
      </c>
      <c r="L18" s="181" t="s">
        <v>93</v>
      </c>
    </row>
    <row r="19" spans="1:12">
      <c r="A19" s="179" t="s">
        <v>94</v>
      </c>
      <c r="B19" s="204" t="s">
        <v>57</v>
      </c>
      <c r="C19" s="204" t="s">
        <v>57</v>
      </c>
      <c r="D19" s="205" t="s">
        <v>57</v>
      </c>
      <c r="E19" s="181">
        <v>3.625</v>
      </c>
      <c r="F19" s="180" t="s">
        <v>58</v>
      </c>
      <c r="G19" s="181" t="s">
        <v>42</v>
      </c>
      <c r="H19" s="181" t="s">
        <v>59</v>
      </c>
      <c r="I19" s="181" t="s">
        <v>65</v>
      </c>
      <c r="J19" s="181" t="s">
        <v>66</v>
      </c>
      <c r="K19" s="181" t="s">
        <v>95</v>
      </c>
      <c r="L19" s="181"/>
    </row>
    <row r="20" spans="1:12">
      <c r="A20" s="179" t="s">
        <v>96</v>
      </c>
      <c r="B20" s="204" t="s">
        <v>57</v>
      </c>
      <c r="C20" s="204" t="s">
        <v>57</v>
      </c>
      <c r="D20" s="205" t="s">
        <v>42</v>
      </c>
      <c r="E20" s="181" t="s">
        <v>42</v>
      </c>
      <c r="F20" s="180" t="s">
        <v>79</v>
      </c>
      <c r="G20" s="181" t="s">
        <v>97</v>
      </c>
      <c r="H20" s="181" t="s">
        <v>42</v>
      </c>
      <c r="I20" s="181" t="s">
        <v>42</v>
      </c>
      <c r="J20" s="181" t="s">
        <v>42</v>
      </c>
      <c r="K20" s="181" t="s">
        <v>42</v>
      </c>
      <c r="L20" s="181"/>
    </row>
    <row r="21" spans="1:12">
      <c r="A21" s="179" t="s">
        <v>98</v>
      </c>
      <c r="B21" s="204" t="s">
        <v>57</v>
      </c>
      <c r="C21" s="204" t="s">
        <v>57</v>
      </c>
      <c r="D21" s="205" t="s">
        <v>42</v>
      </c>
      <c r="E21" s="181" t="s">
        <v>42</v>
      </c>
      <c r="F21" s="180" t="s">
        <v>58</v>
      </c>
      <c r="G21" s="181" t="s">
        <v>42</v>
      </c>
      <c r="H21" s="181" t="s">
        <v>86</v>
      </c>
      <c r="I21" s="181" t="s">
        <v>61</v>
      </c>
      <c r="J21" s="181" t="s">
        <v>42</v>
      </c>
      <c r="K21" s="181" t="s">
        <v>42</v>
      </c>
      <c r="L21" s="181"/>
    </row>
    <row r="22" spans="1:12">
      <c r="A22" s="179" t="s">
        <v>99</v>
      </c>
      <c r="B22" s="204" t="s">
        <v>57</v>
      </c>
      <c r="C22" s="204" t="s">
        <v>57</v>
      </c>
      <c r="D22" s="205" t="s">
        <v>57</v>
      </c>
      <c r="E22" s="181">
        <v>4.25</v>
      </c>
      <c r="F22" s="180" t="s">
        <v>58</v>
      </c>
      <c r="G22" s="181" t="s">
        <v>42</v>
      </c>
      <c r="H22" s="181" t="s">
        <v>86</v>
      </c>
      <c r="I22" s="181" t="s">
        <v>61</v>
      </c>
      <c r="J22" s="181" t="s">
        <v>42</v>
      </c>
      <c r="K22" s="181" t="s">
        <v>42</v>
      </c>
      <c r="L22" s="181"/>
    </row>
    <row r="23" spans="1:12">
      <c r="A23" s="179" t="s">
        <v>100</v>
      </c>
      <c r="B23" s="204" t="s">
        <v>57</v>
      </c>
      <c r="C23" s="204" t="s">
        <v>57</v>
      </c>
      <c r="D23" s="205" t="s">
        <v>57</v>
      </c>
      <c r="E23" s="181" t="s">
        <v>42</v>
      </c>
      <c r="F23" s="180" t="s">
        <v>79</v>
      </c>
      <c r="G23" s="181" t="s">
        <v>80</v>
      </c>
      <c r="H23" s="181" t="s">
        <v>42</v>
      </c>
      <c r="I23" s="181" t="s">
        <v>42</v>
      </c>
      <c r="J23" s="181" t="s">
        <v>42</v>
      </c>
      <c r="K23" s="181" t="s">
        <v>42</v>
      </c>
      <c r="L23" s="181"/>
    </row>
    <row r="24" spans="1:12">
      <c r="A24" s="184" t="s">
        <v>101</v>
      </c>
      <c r="B24" s="204" t="s">
        <v>57</v>
      </c>
      <c r="C24" s="204"/>
      <c r="D24" s="205"/>
      <c r="E24" s="181"/>
      <c r="F24" s="180" t="s">
        <v>58</v>
      </c>
      <c r="G24" s="181"/>
      <c r="H24" s="181" t="s">
        <v>71</v>
      </c>
      <c r="I24" s="181"/>
      <c r="J24" s="181"/>
      <c r="K24" s="181"/>
      <c r="L24" s="181" t="s">
        <v>102</v>
      </c>
    </row>
    <row r="25" spans="1:12">
      <c r="A25" s="184" t="s">
        <v>103</v>
      </c>
      <c r="B25" s="204"/>
      <c r="C25" s="204"/>
      <c r="D25" s="205"/>
      <c r="E25" s="181"/>
      <c r="F25" s="180" t="s">
        <v>58</v>
      </c>
      <c r="G25" s="181"/>
      <c r="H25" s="181" t="s">
        <v>71</v>
      </c>
      <c r="I25" s="181"/>
      <c r="J25" s="181"/>
      <c r="K25" s="181"/>
      <c r="L25" s="181" t="s">
        <v>102</v>
      </c>
    </row>
    <row r="26" spans="1:12">
      <c r="A26" s="184" t="s">
        <v>104</v>
      </c>
      <c r="B26" s="204"/>
      <c r="C26" s="204"/>
      <c r="D26" s="205"/>
      <c r="E26" s="181"/>
      <c r="F26" s="180" t="s">
        <v>58</v>
      </c>
      <c r="G26" s="181"/>
      <c r="H26" s="181" t="s">
        <v>71</v>
      </c>
      <c r="I26" s="181" t="s">
        <v>73</v>
      </c>
      <c r="J26" s="181"/>
      <c r="K26" s="181"/>
      <c r="L26" s="181"/>
    </row>
    <row r="27" spans="1:12" ht="26">
      <c r="A27" s="184" t="s">
        <v>105</v>
      </c>
      <c r="B27" s="204" t="s">
        <v>57</v>
      </c>
      <c r="C27" s="204"/>
      <c r="D27" s="205"/>
      <c r="E27" s="181"/>
      <c r="F27" s="180" t="s">
        <v>58</v>
      </c>
      <c r="G27" s="181"/>
      <c r="H27" s="181" t="s">
        <v>86</v>
      </c>
      <c r="I27" s="181" t="s">
        <v>61</v>
      </c>
      <c r="J27" s="181"/>
      <c r="K27" s="181"/>
      <c r="L27" s="181"/>
    </row>
    <row r="28" spans="1:12" ht="39">
      <c r="A28" s="185" t="s">
        <v>106</v>
      </c>
      <c r="B28" s="204"/>
      <c r="C28" s="204"/>
      <c r="D28" s="205"/>
      <c r="E28" s="181"/>
      <c r="F28" s="180" t="s">
        <v>58</v>
      </c>
      <c r="G28" s="181"/>
      <c r="H28" s="181" t="s">
        <v>59</v>
      </c>
      <c r="I28" s="181" t="s">
        <v>65</v>
      </c>
      <c r="J28" s="181" t="s">
        <v>66</v>
      </c>
      <c r="K28" s="181" t="s">
        <v>67</v>
      </c>
      <c r="L28" s="181"/>
    </row>
    <row r="29" spans="1:12">
      <c r="A29" s="191"/>
      <c r="B29" s="206"/>
      <c r="C29" s="206"/>
      <c r="D29" s="193"/>
      <c r="E29" s="175"/>
      <c r="F29" s="176"/>
      <c r="G29" s="175"/>
      <c r="H29" s="175"/>
      <c r="I29" s="175"/>
      <c r="J29" s="175"/>
      <c r="K29" s="175"/>
      <c r="L29" s="175"/>
    </row>
    <row r="30" spans="1:12">
      <c r="A30" s="178" t="s">
        <v>107</v>
      </c>
      <c r="B30" s="203" t="s">
        <v>45</v>
      </c>
      <c r="C30" s="203" t="s">
        <v>46</v>
      </c>
      <c r="D30" s="203" t="s">
        <v>47</v>
      </c>
      <c r="E30" s="178" t="s">
        <v>48</v>
      </c>
      <c r="F30" s="178" t="s">
        <v>49</v>
      </c>
      <c r="G30" s="178" t="s">
        <v>50</v>
      </c>
      <c r="H30" s="178" t="s">
        <v>51</v>
      </c>
      <c r="I30" s="178" t="s">
        <v>52</v>
      </c>
      <c r="J30" s="178" t="s">
        <v>53</v>
      </c>
      <c r="K30" s="178" t="s">
        <v>54</v>
      </c>
      <c r="L30" s="181"/>
    </row>
    <row r="31" spans="1:12">
      <c r="A31" s="197" t="s">
        <v>108</v>
      </c>
      <c r="B31" s="204" t="s">
        <v>57</v>
      </c>
      <c r="C31" s="204" t="s">
        <v>42</v>
      </c>
      <c r="D31" s="205" t="s">
        <v>42</v>
      </c>
      <c r="E31" s="181" t="s">
        <v>42</v>
      </c>
      <c r="F31" s="180" t="s">
        <v>58</v>
      </c>
      <c r="G31" s="181" t="s">
        <v>42</v>
      </c>
      <c r="H31" s="181" t="s">
        <v>59</v>
      </c>
      <c r="I31" s="181" t="s">
        <v>61</v>
      </c>
      <c r="J31" s="181" t="s">
        <v>42</v>
      </c>
      <c r="K31" s="181" t="s">
        <v>42</v>
      </c>
      <c r="L31" s="181"/>
    </row>
    <row r="32" spans="1:12">
      <c r="A32" s="198" t="s">
        <v>109</v>
      </c>
      <c r="B32" s="204" t="s">
        <v>42</v>
      </c>
      <c r="C32" s="204" t="s">
        <v>57</v>
      </c>
      <c r="D32" s="205" t="s">
        <v>42</v>
      </c>
      <c r="E32" s="181" t="s">
        <v>42</v>
      </c>
      <c r="F32" s="180" t="s">
        <v>79</v>
      </c>
      <c r="G32" s="181" t="s">
        <v>110</v>
      </c>
      <c r="H32" s="181" t="s">
        <v>42</v>
      </c>
      <c r="I32" s="181" t="s">
        <v>42</v>
      </c>
      <c r="J32" s="181" t="s">
        <v>42</v>
      </c>
      <c r="K32" s="181" t="s">
        <v>42</v>
      </c>
      <c r="L32" s="181"/>
    </row>
    <row r="33" spans="1:12">
      <c r="A33" s="197" t="s">
        <v>111</v>
      </c>
      <c r="B33" s="204" t="s">
        <v>57</v>
      </c>
      <c r="C33" s="204" t="s">
        <v>42</v>
      </c>
      <c r="D33" s="205" t="s">
        <v>42</v>
      </c>
      <c r="E33" s="181" t="s">
        <v>42</v>
      </c>
      <c r="F33" s="180" t="s">
        <v>58</v>
      </c>
      <c r="G33" s="181" t="s">
        <v>42</v>
      </c>
      <c r="H33" s="181" t="s">
        <v>86</v>
      </c>
      <c r="I33" s="181" t="s">
        <v>65</v>
      </c>
      <c r="J33" s="181" t="s">
        <v>61</v>
      </c>
      <c r="K33" s="181" t="s">
        <v>42</v>
      </c>
      <c r="L33" s="181"/>
    </row>
    <row r="34" spans="1:12">
      <c r="A34" s="198" t="s">
        <v>112</v>
      </c>
      <c r="B34" s="204" t="s">
        <v>42</v>
      </c>
      <c r="C34" s="204" t="s">
        <v>57</v>
      </c>
      <c r="D34" s="205" t="s">
        <v>42</v>
      </c>
      <c r="E34" s="181" t="s">
        <v>42</v>
      </c>
      <c r="F34" s="180" t="s">
        <v>79</v>
      </c>
      <c r="G34" s="181" t="s">
        <v>113</v>
      </c>
      <c r="H34" s="181" t="s">
        <v>42</v>
      </c>
      <c r="I34" s="181" t="s">
        <v>42</v>
      </c>
      <c r="J34" s="181" t="s">
        <v>42</v>
      </c>
      <c r="K34" s="181" t="s">
        <v>42</v>
      </c>
      <c r="L34" s="181"/>
    </row>
    <row r="35" spans="1:12">
      <c r="A35" s="198" t="s">
        <v>114</v>
      </c>
      <c r="B35" s="204" t="s">
        <v>42</v>
      </c>
      <c r="C35" s="204" t="s">
        <v>57</v>
      </c>
      <c r="D35" s="205" t="s">
        <v>57</v>
      </c>
      <c r="E35" s="181">
        <v>1.833</v>
      </c>
      <c r="F35" s="180" t="s">
        <v>79</v>
      </c>
      <c r="G35" s="181" t="s">
        <v>113</v>
      </c>
      <c r="H35" s="181" t="s">
        <v>42</v>
      </c>
      <c r="I35" s="181" t="s">
        <v>42</v>
      </c>
      <c r="J35" s="181" t="s">
        <v>42</v>
      </c>
      <c r="K35" s="181" t="s">
        <v>42</v>
      </c>
      <c r="L35" s="181"/>
    </row>
    <row r="36" spans="1:12">
      <c r="A36" s="198" t="s">
        <v>115</v>
      </c>
      <c r="B36" s="204" t="s">
        <v>42</v>
      </c>
      <c r="C36" s="204" t="s">
        <v>57</v>
      </c>
      <c r="D36" s="205" t="s">
        <v>42</v>
      </c>
      <c r="E36" s="181" t="s">
        <v>42</v>
      </c>
      <c r="F36" s="180" t="s">
        <v>58</v>
      </c>
      <c r="G36" s="181" t="s">
        <v>42</v>
      </c>
      <c r="H36" s="181" t="s">
        <v>59</v>
      </c>
      <c r="I36" s="181" t="s">
        <v>65</v>
      </c>
      <c r="J36" s="181" t="s">
        <v>116</v>
      </c>
      <c r="K36" s="181" t="s">
        <v>42</v>
      </c>
      <c r="L36" s="181"/>
    </row>
    <row r="37" spans="1:12">
      <c r="A37" s="198" t="s">
        <v>117</v>
      </c>
      <c r="B37" s="204" t="s">
        <v>42</v>
      </c>
      <c r="C37" s="204" t="s">
        <v>57</v>
      </c>
      <c r="D37" s="205" t="s">
        <v>42</v>
      </c>
      <c r="E37" s="181" t="s">
        <v>42</v>
      </c>
      <c r="F37" s="180" t="s">
        <v>79</v>
      </c>
      <c r="G37" s="181" t="s">
        <v>113</v>
      </c>
      <c r="H37" s="181" t="s">
        <v>42</v>
      </c>
      <c r="I37" s="181" t="s">
        <v>42</v>
      </c>
      <c r="J37" s="181" t="s">
        <v>42</v>
      </c>
      <c r="K37" s="181" t="s">
        <v>42</v>
      </c>
      <c r="L37" s="181"/>
    </row>
    <row r="38" spans="1:12">
      <c r="A38" s="197" t="s">
        <v>118</v>
      </c>
      <c r="B38" s="204" t="s">
        <v>57</v>
      </c>
      <c r="C38" s="204" t="s">
        <v>42</v>
      </c>
      <c r="D38" s="205" t="s">
        <v>42</v>
      </c>
      <c r="E38" s="181" t="s">
        <v>42</v>
      </c>
      <c r="F38" s="180" t="s">
        <v>79</v>
      </c>
      <c r="G38" s="181"/>
      <c r="H38" s="186"/>
      <c r="I38" s="186"/>
      <c r="J38" s="186"/>
      <c r="K38" s="181" t="s">
        <v>42</v>
      </c>
      <c r="L38" s="181"/>
    </row>
    <row r="39" spans="1:12">
      <c r="A39" s="198" t="s">
        <v>120</v>
      </c>
      <c r="B39" s="204" t="s">
        <v>57</v>
      </c>
      <c r="C39" s="204" t="s">
        <v>57</v>
      </c>
      <c r="D39" s="205" t="s">
        <v>57</v>
      </c>
      <c r="E39" s="181">
        <v>2.1669999999999998</v>
      </c>
      <c r="F39" s="180" t="s">
        <v>58</v>
      </c>
      <c r="G39" s="181" t="s">
        <v>42</v>
      </c>
      <c r="H39" s="181" t="s">
        <v>116</v>
      </c>
      <c r="I39" s="181" t="s">
        <v>59</v>
      </c>
      <c r="J39" s="181" t="s">
        <v>73</v>
      </c>
      <c r="K39" s="181" t="s">
        <v>42</v>
      </c>
      <c r="L39" s="181"/>
    </row>
    <row r="40" spans="1:12">
      <c r="A40" s="198" t="s">
        <v>121</v>
      </c>
      <c r="B40" s="204" t="s">
        <v>42</v>
      </c>
      <c r="C40" s="204" t="s">
        <v>57</v>
      </c>
      <c r="D40" s="205" t="s">
        <v>57</v>
      </c>
      <c r="E40" s="181">
        <v>2.3889999999999998</v>
      </c>
      <c r="F40" s="180" t="s">
        <v>58</v>
      </c>
      <c r="G40" s="181" t="s">
        <v>42</v>
      </c>
      <c r="H40" s="181" t="s">
        <v>86</v>
      </c>
      <c r="I40" s="181" t="s">
        <v>42</v>
      </c>
      <c r="J40" s="181" t="s">
        <v>42</v>
      </c>
      <c r="K40" s="181" t="s">
        <v>42</v>
      </c>
      <c r="L40" s="181"/>
    </row>
    <row r="41" spans="1:12">
      <c r="A41" s="198" t="s">
        <v>122</v>
      </c>
      <c r="B41" s="204" t="s">
        <v>42</v>
      </c>
      <c r="C41" s="204" t="s">
        <v>57</v>
      </c>
      <c r="D41" s="205" t="s">
        <v>57</v>
      </c>
      <c r="E41" s="181">
        <v>2.3889999999999998</v>
      </c>
      <c r="F41" s="180" t="s">
        <v>58</v>
      </c>
      <c r="G41" s="181" t="s">
        <v>42</v>
      </c>
      <c r="H41" s="181" t="s">
        <v>59</v>
      </c>
      <c r="I41" s="181" t="s">
        <v>66</v>
      </c>
      <c r="J41" s="181" t="s">
        <v>73</v>
      </c>
      <c r="K41" s="181" t="s">
        <v>42</v>
      </c>
      <c r="L41" s="181"/>
    </row>
    <row r="42" spans="1:12">
      <c r="A42" s="197" t="s">
        <v>123</v>
      </c>
      <c r="B42" s="204" t="s">
        <v>57</v>
      </c>
      <c r="C42" s="204" t="s">
        <v>42</v>
      </c>
      <c r="D42" s="205" t="s">
        <v>42</v>
      </c>
      <c r="E42" s="181" t="s">
        <v>42</v>
      </c>
      <c r="F42" s="180" t="s">
        <v>58</v>
      </c>
      <c r="G42" s="181" t="s">
        <v>42</v>
      </c>
      <c r="H42" s="181" t="s">
        <v>86</v>
      </c>
      <c r="I42" s="181" t="s">
        <v>42</v>
      </c>
      <c r="J42" s="181" t="s">
        <v>42</v>
      </c>
      <c r="K42" s="181" t="s">
        <v>42</v>
      </c>
      <c r="L42" s="181"/>
    </row>
    <row r="43" spans="1:12">
      <c r="A43" s="197" t="s">
        <v>124</v>
      </c>
      <c r="B43" s="204" t="s">
        <v>57</v>
      </c>
      <c r="C43" s="204" t="s">
        <v>42</v>
      </c>
      <c r="D43" s="205" t="s">
        <v>42</v>
      </c>
      <c r="E43" s="181" t="s">
        <v>42</v>
      </c>
      <c r="F43" s="180" t="s">
        <v>58</v>
      </c>
      <c r="G43" s="181" t="s">
        <v>42</v>
      </c>
      <c r="H43" s="181" t="s">
        <v>42</v>
      </c>
      <c r="I43" s="181" t="s">
        <v>59</v>
      </c>
      <c r="J43" s="181" t="s">
        <v>42</v>
      </c>
      <c r="K43" s="181" t="s">
        <v>42</v>
      </c>
      <c r="L43" s="181"/>
    </row>
    <row r="44" spans="1:12">
      <c r="A44" s="198" t="s">
        <v>125</v>
      </c>
      <c r="B44" s="204" t="s">
        <v>42</v>
      </c>
      <c r="C44" s="204" t="s">
        <v>57</v>
      </c>
      <c r="D44" s="205" t="s">
        <v>42</v>
      </c>
      <c r="E44" s="181" t="s">
        <v>42</v>
      </c>
      <c r="F44" s="180" t="s">
        <v>79</v>
      </c>
      <c r="G44" s="181" t="s">
        <v>113</v>
      </c>
      <c r="H44" s="181" t="s">
        <v>42</v>
      </c>
      <c r="I44" s="181" t="s">
        <v>42</v>
      </c>
      <c r="J44" s="181" t="s">
        <v>42</v>
      </c>
      <c r="K44" s="181" t="s">
        <v>42</v>
      </c>
      <c r="L44" s="181"/>
    </row>
    <row r="45" spans="1:12">
      <c r="A45" s="199" t="s">
        <v>126</v>
      </c>
      <c r="B45" s="207" t="s">
        <v>42</v>
      </c>
      <c r="C45" s="207" t="s">
        <v>42</v>
      </c>
      <c r="D45" s="205" t="s">
        <v>57</v>
      </c>
      <c r="E45" s="181">
        <v>1.833</v>
      </c>
      <c r="F45" s="180" t="s">
        <v>58</v>
      </c>
      <c r="G45" s="181" t="s">
        <v>42</v>
      </c>
      <c r="H45" s="181" t="s">
        <v>59</v>
      </c>
      <c r="I45" s="181" t="s">
        <v>65</v>
      </c>
      <c r="J45" s="181" t="s">
        <v>116</v>
      </c>
      <c r="K45" s="181" t="s">
        <v>42</v>
      </c>
      <c r="L45" s="181"/>
    </row>
    <row r="46" spans="1:12">
      <c r="A46" s="198" t="s">
        <v>127</v>
      </c>
      <c r="B46" s="204" t="s">
        <v>42</v>
      </c>
      <c r="C46" s="204" t="s">
        <v>57</v>
      </c>
      <c r="D46" s="205" t="s">
        <v>42</v>
      </c>
      <c r="E46" s="181" t="s">
        <v>42</v>
      </c>
      <c r="F46" s="180" t="s">
        <v>79</v>
      </c>
      <c r="G46" s="181" t="s">
        <v>128</v>
      </c>
      <c r="H46" s="181" t="s">
        <v>42</v>
      </c>
      <c r="I46" s="181" t="s">
        <v>42</v>
      </c>
      <c r="J46" s="181" t="s">
        <v>42</v>
      </c>
      <c r="K46" s="181" t="s">
        <v>42</v>
      </c>
      <c r="L46" s="181"/>
    </row>
    <row r="47" spans="1:12">
      <c r="A47" s="199" t="s">
        <v>129</v>
      </c>
      <c r="B47" s="204" t="s">
        <v>57</v>
      </c>
      <c r="C47" s="207" t="s">
        <v>42</v>
      </c>
      <c r="D47" s="205" t="s">
        <v>57</v>
      </c>
      <c r="E47" s="181" t="s">
        <v>42</v>
      </c>
      <c r="F47" s="180" t="s">
        <v>79</v>
      </c>
      <c r="G47" s="181" t="s">
        <v>128</v>
      </c>
      <c r="H47" s="181" t="s">
        <v>42</v>
      </c>
      <c r="I47" s="181" t="s">
        <v>42</v>
      </c>
      <c r="J47" s="181" t="s">
        <v>42</v>
      </c>
      <c r="K47" s="181" t="s">
        <v>42</v>
      </c>
      <c r="L47" s="181"/>
    </row>
    <row r="48" spans="1:12">
      <c r="A48" s="197" t="s">
        <v>130</v>
      </c>
      <c r="B48" s="204" t="s">
        <v>57</v>
      </c>
      <c r="C48" s="207" t="s">
        <v>42</v>
      </c>
      <c r="D48" s="205" t="s">
        <v>42</v>
      </c>
      <c r="E48" s="181" t="s">
        <v>42</v>
      </c>
      <c r="F48" s="180" t="s">
        <v>58</v>
      </c>
      <c r="G48" s="181" t="s">
        <v>42</v>
      </c>
      <c r="H48" s="181" t="s">
        <v>86</v>
      </c>
      <c r="I48" s="181" t="s">
        <v>42</v>
      </c>
      <c r="J48" s="181" t="s">
        <v>42</v>
      </c>
      <c r="K48" s="181" t="s">
        <v>42</v>
      </c>
      <c r="L48" s="181"/>
    </row>
    <row r="49" spans="1:12">
      <c r="A49" s="198" t="s">
        <v>131</v>
      </c>
      <c r="B49" s="204" t="s">
        <v>42</v>
      </c>
      <c r="C49" s="204" t="s">
        <v>57</v>
      </c>
      <c r="D49" s="205" t="s">
        <v>42</v>
      </c>
      <c r="E49" s="181" t="s">
        <v>42</v>
      </c>
      <c r="F49" s="180" t="s">
        <v>79</v>
      </c>
      <c r="G49" s="181" t="s">
        <v>113</v>
      </c>
      <c r="H49" s="181" t="s">
        <v>42</v>
      </c>
      <c r="I49" s="181" t="s">
        <v>42</v>
      </c>
      <c r="J49" s="181" t="s">
        <v>42</v>
      </c>
      <c r="K49" s="181" t="s">
        <v>42</v>
      </c>
      <c r="L49" s="181"/>
    </row>
    <row r="50" spans="1:12">
      <c r="A50" s="198" t="s">
        <v>132</v>
      </c>
      <c r="B50" s="204" t="s">
        <v>42</v>
      </c>
      <c r="C50" s="204" t="s">
        <v>57</v>
      </c>
      <c r="D50" s="205" t="s">
        <v>42</v>
      </c>
      <c r="E50" s="181" t="s">
        <v>42</v>
      </c>
      <c r="F50" s="180" t="s">
        <v>79</v>
      </c>
      <c r="G50" s="181" t="s">
        <v>113</v>
      </c>
      <c r="H50" s="181" t="s">
        <v>42</v>
      </c>
      <c r="I50" s="181" t="s">
        <v>42</v>
      </c>
      <c r="J50" s="181" t="s">
        <v>42</v>
      </c>
      <c r="K50" s="181" t="s">
        <v>42</v>
      </c>
      <c r="L50" s="181"/>
    </row>
    <row r="51" spans="1:12">
      <c r="A51" s="198" t="s">
        <v>133</v>
      </c>
      <c r="B51" s="204" t="s">
        <v>42</v>
      </c>
      <c r="C51" s="204" t="s">
        <v>57</v>
      </c>
      <c r="D51" s="205" t="s">
        <v>42</v>
      </c>
      <c r="E51" s="181" t="s">
        <v>42</v>
      </c>
      <c r="F51" s="180" t="s">
        <v>58</v>
      </c>
      <c r="G51" s="181" t="s">
        <v>42</v>
      </c>
      <c r="H51" s="181" t="s">
        <v>59</v>
      </c>
      <c r="I51" s="181" t="s">
        <v>66</v>
      </c>
      <c r="J51" s="181" t="s">
        <v>42</v>
      </c>
      <c r="K51" s="181" t="s">
        <v>42</v>
      </c>
      <c r="L51" s="181"/>
    </row>
    <row r="52" spans="1:12">
      <c r="A52" s="198" t="s">
        <v>134</v>
      </c>
      <c r="B52" s="204" t="s">
        <v>42</v>
      </c>
      <c r="C52" s="204" t="s">
        <v>57</v>
      </c>
      <c r="D52" s="205" t="s">
        <v>42</v>
      </c>
      <c r="E52" s="181" t="s">
        <v>42</v>
      </c>
      <c r="F52" s="180" t="s">
        <v>79</v>
      </c>
      <c r="G52" s="181" t="s">
        <v>113</v>
      </c>
      <c r="H52" s="181" t="s">
        <v>42</v>
      </c>
      <c r="I52" s="181" t="s">
        <v>42</v>
      </c>
      <c r="J52" s="181" t="s">
        <v>42</v>
      </c>
      <c r="K52" s="181" t="s">
        <v>42</v>
      </c>
      <c r="L52" s="181"/>
    </row>
    <row r="53" spans="1:12">
      <c r="A53" s="198" t="s">
        <v>135</v>
      </c>
      <c r="B53" s="204" t="s">
        <v>42</v>
      </c>
      <c r="C53" s="204" t="s">
        <v>57</v>
      </c>
      <c r="D53" s="205" t="s">
        <v>42</v>
      </c>
      <c r="E53" s="181" t="s">
        <v>42</v>
      </c>
      <c r="F53" s="180" t="s">
        <v>79</v>
      </c>
      <c r="G53" s="181" t="s">
        <v>136</v>
      </c>
      <c r="H53" s="181" t="s">
        <v>42</v>
      </c>
      <c r="I53" s="181" t="s">
        <v>42</v>
      </c>
      <c r="J53" s="181" t="s">
        <v>42</v>
      </c>
      <c r="K53" s="181" t="s">
        <v>42</v>
      </c>
      <c r="L53" s="181"/>
    </row>
    <row r="54" spans="1:12">
      <c r="A54" s="198" t="s">
        <v>137</v>
      </c>
      <c r="B54" s="204" t="s">
        <v>42</v>
      </c>
      <c r="C54" s="204" t="s">
        <v>57</v>
      </c>
      <c r="D54" s="205" t="s">
        <v>42</v>
      </c>
      <c r="E54" s="181" t="s">
        <v>42</v>
      </c>
      <c r="F54" s="180" t="s">
        <v>58</v>
      </c>
      <c r="G54" s="181" t="s">
        <v>42</v>
      </c>
      <c r="H54" s="181" t="s">
        <v>59</v>
      </c>
      <c r="I54" s="181" t="s">
        <v>66</v>
      </c>
      <c r="J54" s="181" t="s">
        <v>42</v>
      </c>
      <c r="K54" s="181" t="s">
        <v>42</v>
      </c>
      <c r="L54" s="181" t="s">
        <v>138</v>
      </c>
    </row>
    <row r="55" spans="1:12">
      <c r="A55" s="198" t="s">
        <v>139</v>
      </c>
      <c r="B55" s="204" t="s">
        <v>42</v>
      </c>
      <c r="C55" s="204" t="s">
        <v>57</v>
      </c>
      <c r="D55" s="205" t="s">
        <v>42</v>
      </c>
      <c r="E55" s="181" t="s">
        <v>42</v>
      </c>
      <c r="F55" s="180" t="s">
        <v>79</v>
      </c>
      <c r="G55" s="181" t="s">
        <v>113</v>
      </c>
      <c r="H55" s="181" t="s">
        <v>42</v>
      </c>
      <c r="I55" s="181" t="s">
        <v>42</v>
      </c>
      <c r="J55" s="181" t="s">
        <v>42</v>
      </c>
      <c r="K55" s="181" t="s">
        <v>42</v>
      </c>
      <c r="L55" s="181"/>
    </row>
    <row r="56" spans="1:12">
      <c r="A56" s="198" t="s">
        <v>140</v>
      </c>
      <c r="B56" s="204" t="s">
        <v>42</v>
      </c>
      <c r="C56" s="204" t="s">
        <v>57</v>
      </c>
      <c r="D56" s="205" t="s">
        <v>42</v>
      </c>
      <c r="E56" s="181" t="s">
        <v>42</v>
      </c>
      <c r="F56" s="180" t="s">
        <v>58</v>
      </c>
      <c r="G56" s="181" t="s">
        <v>42</v>
      </c>
      <c r="H56" s="181" t="s">
        <v>65</v>
      </c>
      <c r="I56" s="181" t="s">
        <v>141</v>
      </c>
      <c r="J56" s="181" t="s">
        <v>42</v>
      </c>
      <c r="K56" s="181" t="s">
        <v>42</v>
      </c>
      <c r="L56" s="181"/>
    </row>
    <row r="57" spans="1:12">
      <c r="A57" s="197" t="s">
        <v>142</v>
      </c>
      <c r="B57" s="204" t="s">
        <v>57</v>
      </c>
      <c r="C57" s="204" t="s">
        <v>42</v>
      </c>
      <c r="D57" s="205" t="s">
        <v>42</v>
      </c>
      <c r="E57" s="181" t="s">
        <v>42</v>
      </c>
      <c r="F57" s="180" t="s">
        <v>79</v>
      </c>
      <c r="G57" s="181" t="s">
        <v>128</v>
      </c>
      <c r="H57" s="181" t="s">
        <v>42</v>
      </c>
      <c r="I57" s="181" t="s">
        <v>42</v>
      </c>
      <c r="J57" s="181" t="s">
        <v>42</v>
      </c>
      <c r="K57" s="181" t="s">
        <v>42</v>
      </c>
      <c r="L57" s="181"/>
    </row>
    <row r="58" spans="1:12">
      <c r="A58" s="198" t="s">
        <v>143</v>
      </c>
      <c r="B58" s="204" t="s">
        <v>42</v>
      </c>
      <c r="C58" s="204" t="s">
        <v>57</v>
      </c>
      <c r="D58" s="205" t="s">
        <v>57</v>
      </c>
      <c r="E58" s="181">
        <v>1.833</v>
      </c>
      <c r="F58" s="180" t="s">
        <v>79</v>
      </c>
      <c r="G58" s="181" t="s">
        <v>128</v>
      </c>
      <c r="H58" s="181" t="s">
        <v>42</v>
      </c>
      <c r="I58" s="181" t="s">
        <v>42</v>
      </c>
      <c r="J58" s="181" t="s">
        <v>42</v>
      </c>
      <c r="K58" s="181" t="s">
        <v>42</v>
      </c>
      <c r="L58" s="181"/>
    </row>
    <row r="59" spans="1:12">
      <c r="A59" s="198" t="s">
        <v>144</v>
      </c>
      <c r="B59" s="204" t="s">
        <v>42</v>
      </c>
      <c r="C59" s="204" t="s">
        <v>57</v>
      </c>
      <c r="D59" s="205" t="s">
        <v>42</v>
      </c>
      <c r="E59" s="181" t="s">
        <v>42</v>
      </c>
      <c r="F59" s="180" t="s">
        <v>58</v>
      </c>
      <c r="G59" s="181" t="s">
        <v>42</v>
      </c>
      <c r="H59" s="181" t="s">
        <v>65</v>
      </c>
      <c r="I59" s="181" t="s">
        <v>71</v>
      </c>
      <c r="J59" s="181" t="s">
        <v>42</v>
      </c>
      <c r="K59" s="181" t="s">
        <v>42</v>
      </c>
      <c r="L59" s="181"/>
    </row>
    <row r="60" spans="1:12">
      <c r="A60" s="198" t="s">
        <v>145</v>
      </c>
      <c r="B60" s="204" t="s">
        <v>42</v>
      </c>
      <c r="C60" s="204" t="s">
        <v>57</v>
      </c>
      <c r="D60" s="205" t="s">
        <v>42</v>
      </c>
      <c r="E60" s="181" t="s">
        <v>42</v>
      </c>
      <c r="F60" s="180" t="s">
        <v>79</v>
      </c>
      <c r="G60" s="181" t="s">
        <v>113</v>
      </c>
      <c r="H60" s="181" t="s">
        <v>42</v>
      </c>
      <c r="I60" s="181" t="s">
        <v>42</v>
      </c>
      <c r="J60" s="181" t="s">
        <v>42</v>
      </c>
      <c r="K60" s="181" t="s">
        <v>42</v>
      </c>
      <c r="L60" s="181"/>
    </row>
    <row r="61" spans="1:12">
      <c r="A61" s="198" t="s">
        <v>146</v>
      </c>
      <c r="B61" s="204" t="s">
        <v>42</v>
      </c>
      <c r="C61" s="204" t="s">
        <v>57</v>
      </c>
      <c r="D61" s="205" t="s">
        <v>42</v>
      </c>
      <c r="E61" s="181" t="s">
        <v>42</v>
      </c>
      <c r="F61" s="180" t="s">
        <v>79</v>
      </c>
      <c r="G61" s="181" t="s">
        <v>113</v>
      </c>
      <c r="H61" s="181" t="s">
        <v>42</v>
      </c>
      <c r="I61" s="181" t="s">
        <v>42</v>
      </c>
      <c r="J61" s="181" t="s">
        <v>42</v>
      </c>
      <c r="K61" s="181" t="s">
        <v>42</v>
      </c>
      <c r="L61" s="181"/>
    </row>
    <row r="62" spans="1:12">
      <c r="A62" s="199" t="s">
        <v>147</v>
      </c>
      <c r="B62" s="207" t="s">
        <v>42</v>
      </c>
      <c r="C62" s="207" t="s">
        <v>42</v>
      </c>
      <c r="D62" s="205" t="s">
        <v>57</v>
      </c>
      <c r="E62" s="181">
        <v>1.833</v>
      </c>
      <c r="F62" s="180" t="s">
        <v>58</v>
      </c>
      <c r="G62" s="181" t="s">
        <v>42</v>
      </c>
      <c r="H62" s="181" t="s">
        <v>148</v>
      </c>
      <c r="I62" s="181" t="s">
        <v>42</v>
      </c>
      <c r="J62" s="181" t="s">
        <v>42</v>
      </c>
      <c r="K62" s="181" t="s">
        <v>42</v>
      </c>
      <c r="L62" s="181"/>
    </row>
    <row r="63" spans="1:12">
      <c r="A63" s="198" t="s">
        <v>149</v>
      </c>
      <c r="B63" s="204" t="s">
        <v>42</v>
      </c>
      <c r="C63" s="204" t="s">
        <v>57</v>
      </c>
      <c r="D63" s="205" t="s">
        <v>42</v>
      </c>
      <c r="E63" s="181" t="s">
        <v>42</v>
      </c>
      <c r="F63" s="180" t="s">
        <v>79</v>
      </c>
      <c r="G63" s="181" t="s">
        <v>113</v>
      </c>
      <c r="H63" s="181" t="s">
        <v>42</v>
      </c>
      <c r="I63" s="181" t="s">
        <v>42</v>
      </c>
      <c r="J63" s="181" t="s">
        <v>42</v>
      </c>
      <c r="K63" s="181" t="s">
        <v>42</v>
      </c>
      <c r="L63" s="181"/>
    </row>
    <row r="64" spans="1:12">
      <c r="A64" s="197" t="s">
        <v>150</v>
      </c>
      <c r="B64" s="204" t="s">
        <v>57</v>
      </c>
      <c r="C64" s="204" t="s">
        <v>42</v>
      </c>
      <c r="D64" s="205" t="s">
        <v>42</v>
      </c>
      <c r="E64" s="181" t="s">
        <v>42</v>
      </c>
      <c r="F64" s="180" t="s">
        <v>58</v>
      </c>
      <c r="G64" s="181" t="s">
        <v>42</v>
      </c>
      <c r="H64" s="181" t="s">
        <v>86</v>
      </c>
      <c r="I64" s="181" t="s">
        <v>151</v>
      </c>
      <c r="J64" s="181" t="s">
        <v>152</v>
      </c>
      <c r="K64" s="181" t="s">
        <v>42</v>
      </c>
      <c r="L64" s="181"/>
    </row>
    <row r="65" spans="1:12">
      <c r="A65" s="198" t="s">
        <v>153</v>
      </c>
      <c r="B65" s="204" t="s">
        <v>42</v>
      </c>
      <c r="C65" s="204" t="s">
        <v>57</v>
      </c>
      <c r="D65" s="205" t="s">
        <v>42</v>
      </c>
      <c r="E65" s="181" t="s">
        <v>42</v>
      </c>
      <c r="F65" s="180" t="s">
        <v>79</v>
      </c>
      <c r="G65" s="181" t="s">
        <v>113</v>
      </c>
      <c r="H65" s="181" t="s">
        <v>42</v>
      </c>
      <c r="I65" s="181" t="s">
        <v>42</v>
      </c>
      <c r="J65" s="181" t="s">
        <v>42</v>
      </c>
      <c r="K65" s="181" t="s">
        <v>42</v>
      </c>
      <c r="L65" s="181"/>
    </row>
    <row r="66" spans="1:12">
      <c r="A66" s="198" t="s">
        <v>154</v>
      </c>
      <c r="B66" s="204" t="s">
        <v>42</v>
      </c>
      <c r="C66" s="204" t="s">
        <v>57</v>
      </c>
      <c r="D66" s="205" t="s">
        <v>42</v>
      </c>
      <c r="E66" s="181" t="s">
        <v>42</v>
      </c>
      <c r="F66" s="180" t="s">
        <v>58</v>
      </c>
      <c r="G66" s="181" t="s">
        <v>42</v>
      </c>
      <c r="H66" s="181" t="s">
        <v>59</v>
      </c>
      <c r="I66" s="181" t="s">
        <v>73</v>
      </c>
      <c r="J66" s="181" t="s">
        <v>86</v>
      </c>
      <c r="K66" s="181" t="s">
        <v>42</v>
      </c>
      <c r="L66" s="181"/>
    </row>
    <row r="67" spans="1:12">
      <c r="A67" s="198" t="s">
        <v>155</v>
      </c>
      <c r="B67" s="204" t="s">
        <v>57</v>
      </c>
      <c r="C67" s="204" t="s">
        <v>57</v>
      </c>
      <c r="D67" s="205" t="s">
        <v>57</v>
      </c>
      <c r="E67" s="181">
        <v>1.917</v>
      </c>
      <c r="F67" s="180" t="s">
        <v>58</v>
      </c>
      <c r="G67" s="181" t="s">
        <v>42</v>
      </c>
      <c r="H67" s="181" t="s">
        <v>86</v>
      </c>
      <c r="I67" s="181" t="s">
        <v>42</v>
      </c>
      <c r="J67" s="181" t="s">
        <v>42</v>
      </c>
      <c r="K67" s="181" t="s">
        <v>42</v>
      </c>
      <c r="L67" s="181"/>
    </row>
    <row r="68" spans="1:12">
      <c r="A68" s="198" t="s">
        <v>156</v>
      </c>
      <c r="B68" s="204" t="s">
        <v>42</v>
      </c>
      <c r="C68" s="204" t="s">
        <v>57</v>
      </c>
      <c r="D68" s="205" t="s">
        <v>42</v>
      </c>
      <c r="E68" s="181" t="s">
        <v>42</v>
      </c>
      <c r="F68" s="180" t="s">
        <v>79</v>
      </c>
      <c r="G68" s="181" t="s">
        <v>113</v>
      </c>
      <c r="H68" s="181" t="s">
        <v>42</v>
      </c>
      <c r="I68" s="181" t="s">
        <v>42</v>
      </c>
      <c r="J68" s="181" t="s">
        <v>42</v>
      </c>
      <c r="K68" s="181" t="s">
        <v>42</v>
      </c>
      <c r="L68" s="181"/>
    </row>
    <row r="69" spans="1:12">
      <c r="A69" s="199" t="s">
        <v>157</v>
      </c>
      <c r="B69" s="207" t="s">
        <v>42</v>
      </c>
      <c r="C69" s="207" t="s">
        <v>42</v>
      </c>
      <c r="D69" s="205" t="s">
        <v>57</v>
      </c>
      <c r="E69" s="181">
        <v>1.667</v>
      </c>
      <c r="F69" s="180" t="s">
        <v>79</v>
      </c>
      <c r="G69" s="181" t="s">
        <v>158</v>
      </c>
      <c r="H69" s="181" t="s">
        <v>42</v>
      </c>
      <c r="I69" s="181" t="s">
        <v>42</v>
      </c>
      <c r="J69" s="181" t="s">
        <v>42</v>
      </c>
      <c r="K69" s="181" t="s">
        <v>42</v>
      </c>
      <c r="L69" s="181"/>
    </row>
    <row r="70" spans="1:12">
      <c r="A70" s="197" t="s">
        <v>159</v>
      </c>
      <c r="B70" s="208" t="s">
        <v>57</v>
      </c>
      <c r="C70" s="207" t="s">
        <v>42</v>
      </c>
      <c r="D70" s="205" t="s">
        <v>42</v>
      </c>
      <c r="E70" s="181" t="s">
        <v>42</v>
      </c>
      <c r="F70" s="180" t="s">
        <v>58</v>
      </c>
      <c r="G70" s="181" t="s">
        <v>42</v>
      </c>
      <c r="H70" s="181" t="s">
        <v>86</v>
      </c>
      <c r="I70" s="181" t="s">
        <v>160</v>
      </c>
      <c r="J70" s="181" t="s">
        <v>42</v>
      </c>
      <c r="K70" s="181" t="s">
        <v>42</v>
      </c>
      <c r="L70" s="181"/>
    </row>
    <row r="71" spans="1:12">
      <c r="A71" s="197" t="s">
        <v>161</v>
      </c>
      <c r="B71" s="204" t="s">
        <v>57</v>
      </c>
      <c r="C71" s="207" t="s">
        <v>42</v>
      </c>
      <c r="D71" s="205" t="s">
        <v>42</v>
      </c>
      <c r="E71" s="181" t="s">
        <v>42</v>
      </c>
      <c r="F71" s="180" t="s">
        <v>58</v>
      </c>
      <c r="G71" s="181" t="s">
        <v>42</v>
      </c>
      <c r="H71" s="181" t="s">
        <v>86</v>
      </c>
      <c r="I71" s="181" t="s">
        <v>71</v>
      </c>
      <c r="J71" s="181" t="s">
        <v>42</v>
      </c>
      <c r="K71" s="181" t="s">
        <v>42</v>
      </c>
      <c r="L71" s="181"/>
    </row>
    <row r="72" spans="1:12">
      <c r="A72" s="198" t="s">
        <v>162</v>
      </c>
      <c r="B72" s="204" t="s">
        <v>42</v>
      </c>
      <c r="C72" s="204" t="s">
        <v>57</v>
      </c>
      <c r="D72" s="205" t="s">
        <v>42</v>
      </c>
      <c r="E72" s="181" t="s">
        <v>42</v>
      </c>
      <c r="F72" s="180" t="s">
        <v>79</v>
      </c>
      <c r="G72" s="181" t="s">
        <v>113</v>
      </c>
      <c r="H72" s="181" t="s">
        <v>42</v>
      </c>
      <c r="I72" s="181" t="s">
        <v>42</v>
      </c>
      <c r="J72" s="181" t="s">
        <v>42</v>
      </c>
      <c r="K72" s="181" t="s">
        <v>42</v>
      </c>
      <c r="L72" s="181"/>
    </row>
    <row r="73" spans="1:12">
      <c r="A73" s="199" t="s">
        <v>163</v>
      </c>
      <c r="B73" s="207" t="s">
        <v>42</v>
      </c>
      <c r="C73" s="207" t="s">
        <v>42</v>
      </c>
      <c r="D73" s="205" t="s">
        <v>57</v>
      </c>
      <c r="E73" s="181">
        <v>1.833</v>
      </c>
      <c r="F73" s="180" t="s">
        <v>58</v>
      </c>
      <c r="G73" s="181" t="s">
        <v>42</v>
      </c>
      <c r="H73" s="181" t="s">
        <v>86</v>
      </c>
      <c r="I73" s="181" t="s">
        <v>65</v>
      </c>
      <c r="J73" s="181" t="s">
        <v>42</v>
      </c>
      <c r="K73" s="181" t="s">
        <v>42</v>
      </c>
      <c r="L73" s="181"/>
    </row>
    <row r="74" spans="1:12">
      <c r="A74" s="198" t="s">
        <v>164</v>
      </c>
      <c r="B74" s="204" t="s">
        <v>42</v>
      </c>
      <c r="C74" s="204" t="s">
        <v>57</v>
      </c>
      <c r="D74" s="205" t="s">
        <v>42</v>
      </c>
      <c r="E74" s="181" t="s">
        <v>42</v>
      </c>
      <c r="F74" s="180" t="s">
        <v>58</v>
      </c>
      <c r="G74" s="181" t="s">
        <v>42</v>
      </c>
      <c r="H74" s="181" t="s">
        <v>65</v>
      </c>
      <c r="I74" s="181" t="s">
        <v>71</v>
      </c>
      <c r="J74" s="181" t="s">
        <v>42</v>
      </c>
      <c r="K74" s="181" t="s">
        <v>42</v>
      </c>
      <c r="L74" s="181"/>
    </row>
    <row r="75" spans="1:12">
      <c r="A75" s="198" t="s">
        <v>165</v>
      </c>
      <c r="B75" s="204" t="s">
        <v>42</v>
      </c>
      <c r="C75" s="204" t="s">
        <v>57</v>
      </c>
      <c r="D75" s="205" t="s">
        <v>42</v>
      </c>
      <c r="E75" s="181" t="s">
        <v>42</v>
      </c>
      <c r="F75" s="180" t="s">
        <v>58</v>
      </c>
      <c r="G75" s="181"/>
      <c r="H75" s="181" t="s">
        <v>60</v>
      </c>
      <c r="I75" s="181" t="s">
        <v>42</v>
      </c>
      <c r="J75" s="181" t="s">
        <v>42</v>
      </c>
      <c r="K75" s="181" t="s">
        <v>42</v>
      </c>
      <c r="L75" s="181"/>
    </row>
    <row r="76" spans="1:12">
      <c r="A76" s="198" t="s">
        <v>166</v>
      </c>
      <c r="B76" s="204" t="s">
        <v>42</v>
      </c>
      <c r="C76" s="204" t="s">
        <v>57</v>
      </c>
      <c r="D76" s="205" t="s">
        <v>42</v>
      </c>
      <c r="E76" s="181" t="s">
        <v>42</v>
      </c>
      <c r="F76" s="180" t="s">
        <v>79</v>
      </c>
      <c r="G76" s="181" t="s">
        <v>113</v>
      </c>
      <c r="H76" s="181" t="s">
        <v>42</v>
      </c>
      <c r="I76" s="181" t="s">
        <v>42</v>
      </c>
      <c r="J76" s="181" t="s">
        <v>42</v>
      </c>
      <c r="K76" s="181" t="s">
        <v>42</v>
      </c>
      <c r="L76" s="181"/>
    </row>
    <row r="77" spans="1:12">
      <c r="A77" s="198" t="s">
        <v>167</v>
      </c>
      <c r="B77" s="204" t="s">
        <v>42</v>
      </c>
      <c r="C77" s="204" t="s">
        <v>57</v>
      </c>
      <c r="D77" s="205" t="s">
        <v>42</v>
      </c>
      <c r="E77" s="181" t="s">
        <v>42</v>
      </c>
      <c r="F77" s="180" t="s">
        <v>79</v>
      </c>
      <c r="G77" s="181" t="s">
        <v>113</v>
      </c>
      <c r="H77" s="181" t="s">
        <v>42</v>
      </c>
      <c r="I77" s="181" t="s">
        <v>42</v>
      </c>
      <c r="J77" s="181" t="s">
        <v>42</v>
      </c>
      <c r="K77" s="181" t="s">
        <v>42</v>
      </c>
      <c r="L77" s="181"/>
    </row>
    <row r="78" spans="1:12">
      <c r="A78" s="198" t="s">
        <v>168</v>
      </c>
      <c r="B78" s="204" t="s">
        <v>42</v>
      </c>
      <c r="C78" s="204" t="s">
        <v>57</v>
      </c>
      <c r="D78" s="205" t="s">
        <v>42</v>
      </c>
      <c r="E78" s="181" t="s">
        <v>42</v>
      </c>
      <c r="F78" s="180" t="s">
        <v>58</v>
      </c>
      <c r="G78" s="181" t="s">
        <v>42</v>
      </c>
      <c r="H78" s="181" t="s">
        <v>151</v>
      </c>
      <c r="I78" s="181" t="s">
        <v>42</v>
      </c>
      <c r="J78" s="181" t="s">
        <v>42</v>
      </c>
      <c r="K78" s="181" t="s">
        <v>42</v>
      </c>
      <c r="L78" s="181"/>
    </row>
    <row r="79" spans="1:12">
      <c r="A79" s="198" t="s">
        <v>169</v>
      </c>
      <c r="B79" s="204" t="s">
        <v>42</v>
      </c>
      <c r="C79" s="204" t="s">
        <v>57</v>
      </c>
      <c r="D79" s="205" t="s">
        <v>42</v>
      </c>
      <c r="E79" s="181" t="s">
        <v>42</v>
      </c>
      <c r="F79" s="180" t="s">
        <v>58</v>
      </c>
      <c r="G79" s="181" t="s">
        <v>42</v>
      </c>
      <c r="H79" s="181" t="s">
        <v>59</v>
      </c>
      <c r="I79" s="181" t="s">
        <v>170</v>
      </c>
      <c r="J79" s="181" t="s">
        <v>42</v>
      </c>
      <c r="K79" s="181" t="s">
        <v>42</v>
      </c>
      <c r="L79" s="181"/>
    </row>
    <row r="80" spans="1:12">
      <c r="A80" s="199" t="s">
        <v>171</v>
      </c>
      <c r="B80" s="204" t="s">
        <v>57</v>
      </c>
      <c r="C80" s="207" t="s">
        <v>42</v>
      </c>
      <c r="D80" s="205" t="s">
        <v>57</v>
      </c>
      <c r="E80" s="181" t="s">
        <v>42</v>
      </c>
      <c r="F80" s="180" t="s">
        <v>58</v>
      </c>
      <c r="G80" s="181" t="s">
        <v>42</v>
      </c>
      <c r="H80" s="181" t="s">
        <v>72</v>
      </c>
      <c r="I80" s="181" t="s">
        <v>42</v>
      </c>
      <c r="J80" s="181" t="s">
        <v>42</v>
      </c>
      <c r="K80" s="181"/>
      <c r="L80" s="181" t="s">
        <v>172</v>
      </c>
    </row>
    <row r="81" spans="1:12">
      <c r="A81" s="198" t="s">
        <v>173</v>
      </c>
      <c r="B81" s="204" t="s">
        <v>57</v>
      </c>
      <c r="C81" s="204" t="s">
        <v>57</v>
      </c>
      <c r="D81" s="205" t="s">
        <v>42</v>
      </c>
      <c r="E81" s="181" t="s">
        <v>42</v>
      </c>
      <c r="F81" s="180" t="s">
        <v>58</v>
      </c>
      <c r="G81" s="181" t="s">
        <v>42</v>
      </c>
      <c r="H81" s="181" t="s">
        <v>59</v>
      </c>
      <c r="I81" s="181" t="s">
        <v>66</v>
      </c>
      <c r="J81" s="181" t="s">
        <v>151</v>
      </c>
      <c r="K81" s="181" t="s">
        <v>42</v>
      </c>
      <c r="L81" s="181"/>
    </row>
    <row r="82" spans="1:12">
      <c r="A82" s="198" t="s">
        <v>174</v>
      </c>
      <c r="B82" s="204" t="s">
        <v>42</v>
      </c>
      <c r="C82" s="204" t="s">
        <v>57</v>
      </c>
      <c r="D82" s="205" t="s">
        <v>42</v>
      </c>
      <c r="E82" s="181" t="s">
        <v>42</v>
      </c>
      <c r="F82" s="180" t="s">
        <v>79</v>
      </c>
      <c r="G82" s="181" t="s">
        <v>113</v>
      </c>
      <c r="H82" s="181" t="s">
        <v>42</v>
      </c>
      <c r="I82" s="181" t="s">
        <v>42</v>
      </c>
      <c r="J82" s="181" t="s">
        <v>42</v>
      </c>
      <c r="K82" s="181" t="s">
        <v>42</v>
      </c>
      <c r="L82" s="181"/>
    </row>
    <row r="83" spans="1:12">
      <c r="A83" s="198" t="s">
        <v>175</v>
      </c>
      <c r="B83" s="204" t="s">
        <v>42</v>
      </c>
      <c r="C83" s="204" t="s">
        <v>57</v>
      </c>
      <c r="D83" s="205" t="s">
        <v>57</v>
      </c>
      <c r="E83" s="181">
        <v>1.833</v>
      </c>
      <c r="F83" s="180" t="s">
        <v>58</v>
      </c>
      <c r="G83" s="181" t="s">
        <v>42</v>
      </c>
      <c r="H83" s="181" t="s">
        <v>170</v>
      </c>
      <c r="I83" s="181" t="s">
        <v>42</v>
      </c>
      <c r="J83" s="181" t="s">
        <v>42</v>
      </c>
      <c r="K83" s="181" t="s">
        <v>42</v>
      </c>
      <c r="L83" s="181"/>
    </row>
    <row r="84" spans="1:12">
      <c r="A84" s="197" t="s">
        <v>176</v>
      </c>
      <c r="B84" s="204" t="s">
        <v>57</v>
      </c>
      <c r="C84" s="204" t="s">
        <v>42</v>
      </c>
      <c r="D84" s="205" t="s">
        <v>42</v>
      </c>
      <c r="E84" s="181" t="s">
        <v>42</v>
      </c>
      <c r="F84" s="180" t="s">
        <v>79</v>
      </c>
      <c r="G84" s="181" t="s">
        <v>128</v>
      </c>
      <c r="H84" s="181" t="s">
        <v>42</v>
      </c>
      <c r="I84" s="181" t="s">
        <v>42</v>
      </c>
      <c r="J84" s="181" t="s">
        <v>42</v>
      </c>
      <c r="K84" s="181" t="s">
        <v>42</v>
      </c>
      <c r="L84" s="181"/>
    </row>
    <row r="85" spans="1:12">
      <c r="A85" s="197" t="s">
        <v>177</v>
      </c>
      <c r="B85" s="204" t="s">
        <v>57</v>
      </c>
      <c r="C85" s="204" t="s">
        <v>42</v>
      </c>
      <c r="D85" s="205" t="s">
        <v>42</v>
      </c>
      <c r="E85" s="181" t="s">
        <v>42</v>
      </c>
      <c r="F85" s="180" t="s">
        <v>58</v>
      </c>
      <c r="G85" s="181" t="s">
        <v>128</v>
      </c>
      <c r="H85" s="181" t="s">
        <v>151</v>
      </c>
      <c r="I85" s="181" t="s">
        <v>42</v>
      </c>
      <c r="J85" s="181" t="s">
        <v>42</v>
      </c>
      <c r="K85" s="181" t="s">
        <v>42</v>
      </c>
      <c r="L85" s="181"/>
    </row>
    <row r="86" spans="1:12">
      <c r="A86" s="198" t="s">
        <v>178</v>
      </c>
      <c r="B86" s="204" t="s">
        <v>42</v>
      </c>
      <c r="C86" s="204" t="s">
        <v>57</v>
      </c>
      <c r="D86" s="205" t="s">
        <v>42</v>
      </c>
      <c r="E86" s="181" t="s">
        <v>42</v>
      </c>
      <c r="F86" s="180" t="s">
        <v>79</v>
      </c>
      <c r="G86" s="181" t="s">
        <v>113</v>
      </c>
      <c r="H86" s="181" t="s">
        <v>42</v>
      </c>
      <c r="I86" s="181" t="s">
        <v>42</v>
      </c>
      <c r="J86" s="181" t="s">
        <v>42</v>
      </c>
      <c r="K86" s="181" t="s">
        <v>42</v>
      </c>
      <c r="L86" s="181"/>
    </row>
    <row r="87" spans="1:12">
      <c r="A87" s="198" t="s">
        <v>179</v>
      </c>
      <c r="B87" s="204" t="s">
        <v>42</v>
      </c>
      <c r="C87" s="204" t="s">
        <v>57</v>
      </c>
      <c r="D87" s="205" t="s">
        <v>57</v>
      </c>
      <c r="E87" s="181">
        <v>2.1669999999999998</v>
      </c>
      <c r="F87" s="180" t="s">
        <v>58</v>
      </c>
      <c r="G87" s="181" t="s">
        <v>42</v>
      </c>
      <c r="H87" s="181" t="s">
        <v>86</v>
      </c>
      <c r="I87" s="181" t="s">
        <v>151</v>
      </c>
      <c r="J87" s="181" t="s">
        <v>170</v>
      </c>
      <c r="K87" s="181" t="s">
        <v>42</v>
      </c>
      <c r="L87" s="181"/>
    </row>
    <row r="88" spans="1:12">
      <c r="A88" s="198" t="s">
        <v>180</v>
      </c>
      <c r="B88" s="204" t="s">
        <v>42</v>
      </c>
      <c r="C88" s="204" t="s">
        <v>57</v>
      </c>
      <c r="D88" s="205" t="s">
        <v>57</v>
      </c>
      <c r="E88" s="181">
        <v>2.1669999999999998</v>
      </c>
      <c r="F88" s="180" t="s">
        <v>58</v>
      </c>
      <c r="G88" s="181" t="s">
        <v>42</v>
      </c>
      <c r="H88" s="181" t="s">
        <v>151</v>
      </c>
      <c r="I88" s="181" t="s">
        <v>86</v>
      </c>
      <c r="J88" s="181" t="s">
        <v>170</v>
      </c>
      <c r="K88" s="181" t="s">
        <v>42</v>
      </c>
      <c r="L88" s="181"/>
    </row>
    <row r="89" spans="1:12">
      <c r="A89" s="198" t="s">
        <v>181</v>
      </c>
      <c r="B89" s="204" t="s">
        <v>42</v>
      </c>
      <c r="C89" s="204" t="s">
        <v>57</v>
      </c>
      <c r="D89" s="205" t="s">
        <v>57</v>
      </c>
      <c r="E89" s="181">
        <v>1.833</v>
      </c>
      <c r="F89" s="180" t="s">
        <v>58</v>
      </c>
      <c r="G89" s="181" t="s">
        <v>42</v>
      </c>
      <c r="H89" s="181" t="s">
        <v>59</v>
      </c>
      <c r="I89" s="181" t="s">
        <v>170</v>
      </c>
      <c r="J89" s="181" t="s">
        <v>151</v>
      </c>
      <c r="K89" s="181" t="s">
        <v>42</v>
      </c>
      <c r="L89" s="181"/>
    </row>
    <row r="90" spans="1:12">
      <c r="A90" s="199" t="s">
        <v>182</v>
      </c>
      <c r="B90" s="207" t="s">
        <v>42</v>
      </c>
      <c r="C90" s="207" t="s">
        <v>42</v>
      </c>
      <c r="D90" s="205" t="s">
        <v>57</v>
      </c>
      <c r="E90" s="181">
        <v>2.1669999999999998</v>
      </c>
      <c r="F90" s="180" t="s">
        <v>58</v>
      </c>
      <c r="G90" s="181" t="s">
        <v>42</v>
      </c>
      <c r="H90" s="181" t="s">
        <v>59</v>
      </c>
      <c r="I90" s="181" t="s">
        <v>86</v>
      </c>
      <c r="J90" s="181" t="s">
        <v>183</v>
      </c>
      <c r="K90" s="181" t="s">
        <v>42</v>
      </c>
      <c r="L90" s="181"/>
    </row>
    <row r="91" spans="1:12">
      <c r="A91" s="198" t="s">
        <v>184</v>
      </c>
      <c r="B91" s="204" t="s">
        <v>42</v>
      </c>
      <c r="C91" s="204" t="s">
        <v>57</v>
      </c>
      <c r="D91" s="205" t="s">
        <v>57</v>
      </c>
      <c r="E91" s="181">
        <v>2.1669999999999998</v>
      </c>
      <c r="F91" s="180" t="s">
        <v>58</v>
      </c>
      <c r="G91" s="181" t="s">
        <v>42</v>
      </c>
      <c r="H91" s="181" t="s">
        <v>86</v>
      </c>
      <c r="I91" s="181" t="s">
        <v>183</v>
      </c>
      <c r="J91" s="181" t="s">
        <v>170</v>
      </c>
      <c r="K91" s="181" t="s">
        <v>42</v>
      </c>
      <c r="L91" s="181"/>
    </row>
    <row r="92" spans="1:12">
      <c r="A92" s="199" t="s">
        <v>185</v>
      </c>
      <c r="B92" s="207" t="s">
        <v>42</v>
      </c>
      <c r="C92" s="207" t="s">
        <v>42</v>
      </c>
      <c r="D92" s="205" t="s">
        <v>57</v>
      </c>
      <c r="E92" s="181">
        <v>1.667</v>
      </c>
      <c r="F92" s="180" t="s">
        <v>58</v>
      </c>
      <c r="G92" s="181" t="s">
        <v>42</v>
      </c>
      <c r="H92" s="181" t="s">
        <v>86</v>
      </c>
      <c r="I92" s="181" t="s">
        <v>183</v>
      </c>
      <c r="J92" s="181" t="s">
        <v>170</v>
      </c>
      <c r="K92" s="181" t="s">
        <v>42</v>
      </c>
      <c r="L92" s="181"/>
    </row>
    <row r="93" spans="1:12">
      <c r="A93" s="198" t="s">
        <v>186</v>
      </c>
      <c r="B93" s="204" t="s">
        <v>42</v>
      </c>
      <c r="C93" s="204" t="s">
        <v>57</v>
      </c>
      <c r="D93" s="205" t="s">
        <v>42</v>
      </c>
      <c r="E93" s="181" t="s">
        <v>42</v>
      </c>
      <c r="F93" s="180" t="s">
        <v>58</v>
      </c>
      <c r="G93" s="181" t="s">
        <v>42</v>
      </c>
      <c r="H93" s="181" t="s">
        <v>60</v>
      </c>
      <c r="I93" s="181" t="s">
        <v>170</v>
      </c>
      <c r="J93" s="181" t="s">
        <v>42</v>
      </c>
      <c r="K93" s="181" t="s">
        <v>42</v>
      </c>
      <c r="L93" s="181"/>
    </row>
    <row r="94" spans="1:12">
      <c r="A94" s="199" t="s">
        <v>187</v>
      </c>
      <c r="B94" s="207" t="s">
        <v>42</v>
      </c>
      <c r="C94" s="207" t="s">
        <v>42</v>
      </c>
      <c r="D94" s="205" t="s">
        <v>57</v>
      </c>
      <c r="E94" s="181">
        <v>2.1669999999999998</v>
      </c>
      <c r="F94" s="180" t="s">
        <v>58</v>
      </c>
      <c r="G94" s="181" t="s">
        <v>42</v>
      </c>
      <c r="H94" s="181" t="s">
        <v>86</v>
      </c>
      <c r="I94" s="181" t="s">
        <v>42</v>
      </c>
      <c r="J94" s="181" t="s">
        <v>42</v>
      </c>
      <c r="K94" s="181" t="s">
        <v>42</v>
      </c>
      <c r="L94" s="181"/>
    </row>
    <row r="95" spans="1:12">
      <c r="A95" s="199" t="s">
        <v>188</v>
      </c>
      <c r="B95" s="207" t="s">
        <v>42</v>
      </c>
      <c r="C95" s="207" t="s">
        <v>42</v>
      </c>
      <c r="D95" s="205" t="s">
        <v>57</v>
      </c>
      <c r="E95" s="181">
        <v>1.833</v>
      </c>
      <c r="F95" s="180" t="s">
        <v>58</v>
      </c>
      <c r="G95" s="181" t="s">
        <v>42</v>
      </c>
      <c r="H95" s="181" t="s">
        <v>86</v>
      </c>
      <c r="I95" s="181" t="s">
        <v>42</v>
      </c>
      <c r="J95" s="181" t="s">
        <v>42</v>
      </c>
      <c r="K95" s="181" t="s">
        <v>42</v>
      </c>
      <c r="L95" s="181"/>
    </row>
    <row r="96" spans="1:12">
      <c r="A96" s="197" t="s">
        <v>189</v>
      </c>
      <c r="B96" s="208" t="s">
        <v>57</v>
      </c>
      <c r="C96" s="207" t="s">
        <v>42</v>
      </c>
      <c r="D96" s="205" t="s">
        <v>42</v>
      </c>
      <c r="E96" s="181" t="s">
        <v>42</v>
      </c>
      <c r="F96" s="180" t="s">
        <v>79</v>
      </c>
      <c r="G96" s="181" t="s">
        <v>113</v>
      </c>
      <c r="H96" s="181" t="s">
        <v>42</v>
      </c>
      <c r="I96" s="181" t="s">
        <v>42</v>
      </c>
      <c r="J96" s="181" t="s">
        <v>42</v>
      </c>
      <c r="K96" s="181" t="s">
        <v>42</v>
      </c>
      <c r="L96" s="181"/>
    </row>
    <row r="97" spans="1:12">
      <c r="A97" s="198" t="s">
        <v>190</v>
      </c>
      <c r="B97" s="204" t="s">
        <v>42</v>
      </c>
      <c r="C97" s="204" t="s">
        <v>57</v>
      </c>
      <c r="D97" s="205" t="s">
        <v>57</v>
      </c>
      <c r="E97" s="181">
        <v>2</v>
      </c>
      <c r="F97" s="180" t="s">
        <v>79</v>
      </c>
      <c r="G97" s="181" t="s">
        <v>113</v>
      </c>
      <c r="H97" s="181" t="s">
        <v>42</v>
      </c>
      <c r="I97" s="181" t="s">
        <v>42</v>
      </c>
      <c r="J97" s="181" t="s">
        <v>42</v>
      </c>
      <c r="K97" s="181" t="s">
        <v>42</v>
      </c>
      <c r="L97" s="181"/>
    </row>
    <row r="98" spans="1:12">
      <c r="A98" s="198" t="s">
        <v>191</v>
      </c>
      <c r="B98" s="204" t="s">
        <v>42</v>
      </c>
      <c r="C98" s="204" t="s">
        <v>57</v>
      </c>
      <c r="D98" s="205" t="s">
        <v>57</v>
      </c>
      <c r="E98" s="181">
        <v>2.3330000000000002</v>
      </c>
      <c r="F98" s="180" t="s">
        <v>58</v>
      </c>
      <c r="G98" s="181" t="s">
        <v>42</v>
      </c>
      <c r="H98" s="181" t="s">
        <v>59</v>
      </c>
      <c r="I98" s="181" t="s">
        <v>86</v>
      </c>
      <c r="J98" s="181" t="s">
        <v>42</v>
      </c>
      <c r="K98" s="181" t="s">
        <v>42</v>
      </c>
      <c r="L98" s="181"/>
    </row>
    <row r="99" spans="1:12">
      <c r="A99" s="199" t="s">
        <v>192</v>
      </c>
      <c r="B99" s="207" t="s">
        <v>42</v>
      </c>
      <c r="C99" s="207" t="s">
        <v>42</v>
      </c>
      <c r="D99" s="205" t="s">
        <v>57</v>
      </c>
      <c r="E99" s="181">
        <v>2</v>
      </c>
      <c r="F99" s="180" t="s">
        <v>79</v>
      </c>
      <c r="G99" s="181" t="s">
        <v>113</v>
      </c>
      <c r="H99" s="181" t="s">
        <v>42</v>
      </c>
      <c r="I99" s="181" t="s">
        <v>42</v>
      </c>
      <c r="J99" s="181" t="s">
        <v>42</v>
      </c>
      <c r="K99" s="181" t="s">
        <v>42</v>
      </c>
      <c r="L99" s="181"/>
    </row>
    <row r="100" spans="1:12">
      <c r="A100" s="198" t="s">
        <v>193</v>
      </c>
      <c r="B100" s="204" t="s">
        <v>42</v>
      </c>
      <c r="C100" s="204" t="s">
        <v>57</v>
      </c>
      <c r="D100" s="205" t="s">
        <v>42</v>
      </c>
      <c r="E100" s="181" t="s">
        <v>42</v>
      </c>
      <c r="F100" s="180" t="s">
        <v>79</v>
      </c>
      <c r="G100" s="181" t="s">
        <v>113</v>
      </c>
      <c r="H100" s="181" t="s">
        <v>42</v>
      </c>
      <c r="I100" s="181" t="s">
        <v>42</v>
      </c>
      <c r="J100" s="181" t="s">
        <v>42</v>
      </c>
      <c r="K100" s="181" t="s">
        <v>42</v>
      </c>
      <c r="L100" s="181"/>
    </row>
    <row r="101" spans="1:12">
      <c r="A101" s="198" t="s">
        <v>194</v>
      </c>
      <c r="B101" s="204" t="s">
        <v>42</v>
      </c>
      <c r="C101" s="204" t="s">
        <v>57</v>
      </c>
      <c r="D101" s="205" t="s">
        <v>42</v>
      </c>
      <c r="E101" s="181" t="s">
        <v>42</v>
      </c>
      <c r="F101" s="180" t="s">
        <v>79</v>
      </c>
      <c r="G101" s="181" t="s">
        <v>113</v>
      </c>
      <c r="H101" s="181" t="s">
        <v>42</v>
      </c>
      <c r="I101" s="181" t="s">
        <v>42</v>
      </c>
      <c r="J101" s="181" t="s">
        <v>42</v>
      </c>
      <c r="K101" s="181" t="s">
        <v>42</v>
      </c>
      <c r="L101" s="181"/>
    </row>
    <row r="102" spans="1:12">
      <c r="A102" s="197" t="s">
        <v>195</v>
      </c>
      <c r="B102" s="204" t="s">
        <v>57</v>
      </c>
      <c r="C102" s="204" t="s">
        <v>42</v>
      </c>
      <c r="D102" s="205" t="s">
        <v>42</v>
      </c>
      <c r="E102" s="181" t="s">
        <v>42</v>
      </c>
      <c r="F102" s="180" t="s">
        <v>79</v>
      </c>
      <c r="G102" s="181" t="s">
        <v>128</v>
      </c>
      <c r="H102" s="181" t="s">
        <v>42</v>
      </c>
      <c r="I102" s="181" t="s">
        <v>42</v>
      </c>
      <c r="J102" s="181" t="s">
        <v>42</v>
      </c>
      <c r="K102" s="181" t="s">
        <v>42</v>
      </c>
      <c r="L102" s="181"/>
    </row>
    <row r="103" spans="1:12">
      <c r="A103" s="197" t="s">
        <v>196</v>
      </c>
      <c r="B103" s="204" t="s">
        <v>57</v>
      </c>
      <c r="C103" s="204" t="s">
        <v>42</v>
      </c>
      <c r="D103" s="205" t="s">
        <v>42</v>
      </c>
      <c r="E103" s="181" t="s">
        <v>42</v>
      </c>
      <c r="F103" s="180" t="s">
        <v>79</v>
      </c>
      <c r="G103" s="181" t="s">
        <v>128</v>
      </c>
      <c r="H103" s="181" t="s">
        <v>42</v>
      </c>
      <c r="I103" s="181" t="s">
        <v>42</v>
      </c>
      <c r="J103" s="181" t="s">
        <v>42</v>
      </c>
      <c r="K103" s="181" t="s">
        <v>42</v>
      </c>
      <c r="L103" s="181"/>
    </row>
    <row r="104" spans="1:12">
      <c r="A104" s="199" t="s">
        <v>197</v>
      </c>
      <c r="B104" s="207" t="s">
        <v>42</v>
      </c>
      <c r="C104" s="207" t="s">
        <v>42</v>
      </c>
      <c r="D104" s="205" t="s">
        <v>57</v>
      </c>
      <c r="E104" s="181">
        <v>1.833</v>
      </c>
      <c r="F104" s="180" t="s">
        <v>79</v>
      </c>
      <c r="G104" s="181" t="s">
        <v>113</v>
      </c>
      <c r="H104" s="181" t="s">
        <v>42</v>
      </c>
      <c r="I104" s="181" t="s">
        <v>42</v>
      </c>
      <c r="J104" s="181" t="s">
        <v>42</v>
      </c>
      <c r="K104" s="181" t="s">
        <v>42</v>
      </c>
      <c r="L104" s="181"/>
    </row>
    <row r="105" spans="1:12">
      <c r="A105" s="199" t="s">
        <v>198</v>
      </c>
      <c r="B105" s="207" t="s">
        <v>42</v>
      </c>
      <c r="C105" s="207" t="s">
        <v>42</v>
      </c>
      <c r="D105" s="205" t="s">
        <v>57</v>
      </c>
      <c r="E105" s="181">
        <v>1.667</v>
      </c>
      <c r="F105" s="180" t="s">
        <v>79</v>
      </c>
      <c r="G105" s="181" t="s">
        <v>113</v>
      </c>
      <c r="H105" s="181" t="s">
        <v>42</v>
      </c>
      <c r="I105" s="181" t="s">
        <v>42</v>
      </c>
      <c r="J105" s="181" t="s">
        <v>42</v>
      </c>
      <c r="K105" s="181" t="s">
        <v>42</v>
      </c>
      <c r="L105" s="181"/>
    </row>
    <row r="106" spans="1:12">
      <c r="A106" s="198" t="s">
        <v>199</v>
      </c>
      <c r="B106" s="204" t="s">
        <v>42</v>
      </c>
      <c r="C106" s="204" t="s">
        <v>57</v>
      </c>
      <c r="D106" s="205" t="s">
        <v>57</v>
      </c>
      <c r="E106" s="181">
        <v>2.1669999999999998</v>
      </c>
      <c r="F106" s="180" t="s">
        <v>58</v>
      </c>
      <c r="G106" s="181" t="s">
        <v>42</v>
      </c>
      <c r="H106" s="181" t="s">
        <v>183</v>
      </c>
      <c r="I106" s="181" t="s">
        <v>170</v>
      </c>
      <c r="J106" s="181" t="s">
        <v>42</v>
      </c>
      <c r="K106" s="181" t="s">
        <v>42</v>
      </c>
      <c r="L106" s="181"/>
    </row>
    <row r="107" spans="1:12">
      <c r="A107" s="198" t="s">
        <v>200</v>
      </c>
      <c r="B107" s="204" t="s">
        <v>42</v>
      </c>
      <c r="C107" s="204" t="s">
        <v>57</v>
      </c>
      <c r="D107" s="205" t="s">
        <v>57</v>
      </c>
      <c r="E107" s="181">
        <v>2.1669999999999998</v>
      </c>
      <c r="F107" s="180" t="s">
        <v>58</v>
      </c>
      <c r="G107" s="181" t="s">
        <v>42</v>
      </c>
      <c r="H107" s="181" t="s">
        <v>183</v>
      </c>
      <c r="I107" s="181" t="s">
        <v>170</v>
      </c>
      <c r="J107" s="181" t="s">
        <v>42</v>
      </c>
      <c r="K107" s="181" t="s">
        <v>42</v>
      </c>
      <c r="L107" s="181"/>
    </row>
    <row r="108" spans="1:12">
      <c r="A108" s="198" t="s">
        <v>201</v>
      </c>
      <c r="B108" s="204" t="s">
        <v>42</v>
      </c>
      <c r="C108" s="204" t="s">
        <v>57</v>
      </c>
      <c r="D108" s="205" t="s">
        <v>42</v>
      </c>
      <c r="E108" s="181" t="s">
        <v>42</v>
      </c>
      <c r="F108" s="180" t="s">
        <v>58</v>
      </c>
      <c r="G108" s="181" t="s">
        <v>42</v>
      </c>
      <c r="H108" s="181" t="s">
        <v>183</v>
      </c>
      <c r="I108" s="181" t="s">
        <v>170</v>
      </c>
      <c r="J108" s="181" t="s">
        <v>42</v>
      </c>
      <c r="K108" s="181" t="s">
        <v>42</v>
      </c>
      <c r="L108" s="181"/>
    </row>
    <row r="109" spans="1:12">
      <c r="A109" s="198" t="s">
        <v>202</v>
      </c>
      <c r="B109" s="204" t="s">
        <v>42</v>
      </c>
      <c r="C109" s="204" t="s">
        <v>57</v>
      </c>
      <c r="D109" s="205" t="s">
        <v>57</v>
      </c>
      <c r="E109" s="181">
        <v>1.833</v>
      </c>
      <c r="F109" s="180" t="s">
        <v>58</v>
      </c>
      <c r="G109" s="181" t="s">
        <v>42</v>
      </c>
      <c r="H109" s="181" t="s">
        <v>86</v>
      </c>
      <c r="I109" s="181" t="s">
        <v>141</v>
      </c>
      <c r="J109" s="181" t="s">
        <v>42</v>
      </c>
      <c r="K109" s="181" t="s">
        <v>42</v>
      </c>
      <c r="L109" s="181"/>
    </row>
    <row r="110" spans="1:12">
      <c r="A110" s="198" t="s">
        <v>203</v>
      </c>
      <c r="B110" s="204" t="s">
        <v>42</v>
      </c>
      <c r="C110" s="204" t="s">
        <v>57</v>
      </c>
      <c r="D110" s="205" t="s">
        <v>57</v>
      </c>
      <c r="E110" s="181">
        <v>1.833</v>
      </c>
      <c r="F110" s="180" t="s">
        <v>79</v>
      </c>
      <c r="G110" s="181" t="s">
        <v>113</v>
      </c>
      <c r="H110" s="181" t="s">
        <v>42</v>
      </c>
      <c r="I110" s="181" t="s">
        <v>42</v>
      </c>
      <c r="J110" s="181" t="s">
        <v>42</v>
      </c>
      <c r="K110" s="181" t="s">
        <v>42</v>
      </c>
      <c r="L110" s="181"/>
    </row>
    <row r="111" spans="1:12">
      <c r="A111" s="198" t="s">
        <v>204</v>
      </c>
      <c r="B111" s="204" t="s">
        <v>42</v>
      </c>
      <c r="C111" s="204" t="s">
        <v>57</v>
      </c>
      <c r="D111" s="205" t="s">
        <v>42</v>
      </c>
      <c r="E111" s="181" t="s">
        <v>42</v>
      </c>
      <c r="F111" s="180" t="s">
        <v>58</v>
      </c>
      <c r="G111" s="181" t="s">
        <v>42</v>
      </c>
      <c r="H111" s="181" t="s">
        <v>141</v>
      </c>
      <c r="I111" s="181" t="s">
        <v>42</v>
      </c>
      <c r="J111" s="181" t="s">
        <v>42</v>
      </c>
      <c r="K111" s="181" t="s">
        <v>42</v>
      </c>
      <c r="L111" s="181"/>
    </row>
    <row r="112" spans="1:12">
      <c r="A112" s="198" t="s">
        <v>205</v>
      </c>
      <c r="B112" s="204" t="s">
        <v>42</v>
      </c>
      <c r="C112" s="204" t="s">
        <v>57</v>
      </c>
      <c r="D112" s="205" t="s">
        <v>42</v>
      </c>
      <c r="E112" s="181" t="s">
        <v>42</v>
      </c>
      <c r="F112" s="180" t="s">
        <v>58</v>
      </c>
      <c r="G112" s="181" t="s">
        <v>42</v>
      </c>
      <c r="H112" s="181" t="s">
        <v>141</v>
      </c>
      <c r="I112" s="181" t="s">
        <v>42</v>
      </c>
      <c r="J112" s="181" t="s">
        <v>42</v>
      </c>
      <c r="K112" s="181" t="s">
        <v>42</v>
      </c>
      <c r="L112" s="181"/>
    </row>
    <row r="113" spans="1:12">
      <c r="A113" s="199" t="s">
        <v>206</v>
      </c>
      <c r="B113" s="207" t="s">
        <v>42</v>
      </c>
      <c r="C113" s="207" t="s">
        <v>42</v>
      </c>
      <c r="D113" s="205" t="s">
        <v>57</v>
      </c>
      <c r="E113" s="181">
        <v>1.833</v>
      </c>
      <c r="F113" s="180" t="s">
        <v>79</v>
      </c>
      <c r="G113" s="181" t="s">
        <v>113</v>
      </c>
      <c r="H113" s="181" t="s">
        <v>42</v>
      </c>
      <c r="I113" s="181" t="s">
        <v>42</v>
      </c>
      <c r="J113" s="181" t="s">
        <v>42</v>
      </c>
      <c r="K113" s="181" t="s">
        <v>42</v>
      </c>
      <c r="L113" s="181"/>
    </row>
    <row r="114" spans="1:12">
      <c r="A114" s="198" t="s">
        <v>207</v>
      </c>
      <c r="B114" s="204" t="s">
        <v>42</v>
      </c>
      <c r="C114" s="204" t="s">
        <v>57</v>
      </c>
      <c r="D114" s="205" t="s">
        <v>42</v>
      </c>
      <c r="E114" s="181" t="s">
        <v>42</v>
      </c>
      <c r="F114" s="180" t="s">
        <v>79</v>
      </c>
      <c r="G114" s="181" t="s">
        <v>128</v>
      </c>
      <c r="H114" s="181" t="s">
        <v>42</v>
      </c>
      <c r="I114" s="181" t="s">
        <v>42</v>
      </c>
      <c r="J114" s="181" t="s">
        <v>42</v>
      </c>
      <c r="K114" s="181" t="s">
        <v>42</v>
      </c>
      <c r="L114" s="181"/>
    </row>
    <row r="115" spans="1:12">
      <c r="A115" s="198" t="s">
        <v>208</v>
      </c>
      <c r="B115" s="204" t="s">
        <v>42</v>
      </c>
      <c r="C115" s="204" t="s">
        <v>57</v>
      </c>
      <c r="D115" s="205" t="s">
        <v>42</v>
      </c>
      <c r="E115" s="181" t="s">
        <v>42</v>
      </c>
      <c r="F115" s="180" t="s">
        <v>58</v>
      </c>
      <c r="G115" s="181" t="s">
        <v>42</v>
      </c>
      <c r="H115" s="181" t="s">
        <v>59</v>
      </c>
      <c r="I115" s="181" t="s">
        <v>170</v>
      </c>
      <c r="J115" s="181" t="s">
        <v>42</v>
      </c>
      <c r="K115" s="181" t="s">
        <v>42</v>
      </c>
      <c r="L115" s="181"/>
    </row>
    <row r="116" spans="1:12">
      <c r="A116" s="198" t="s">
        <v>209</v>
      </c>
      <c r="B116" s="204" t="s">
        <v>42</v>
      </c>
      <c r="C116" s="204" t="s">
        <v>57</v>
      </c>
      <c r="D116" s="205" t="s">
        <v>42</v>
      </c>
      <c r="E116" s="181" t="s">
        <v>42</v>
      </c>
      <c r="F116" s="180" t="s">
        <v>79</v>
      </c>
      <c r="G116" s="181" t="s">
        <v>113</v>
      </c>
      <c r="H116" s="181" t="s">
        <v>42</v>
      </c>
      <c r="I116" s="181" t="s">
        <v>42</v>
      </c>
      <c r="J116" s="181" t="s">
        <v>42</v>
      </c>
      <c r="K116" s="181" t="s">
        <v>42</v>
      </c>
      <c r="L116" s="181"/>
    </row>
    <row r="117" spans="1:12">
      <c r="A117" s="199" t="s">
        <v>210</v>
      </c>
      <c r="B117" s="207" t="s">
        <v>42</v>
      </c>
      <c r="C117" s="207" t="s">
        <v>42</v>
      </c>
      <c r="D117" s="205" t="s">
        <v>57</v>
      </c>
      <c r="E117" s="181">
        <v>2.1669999999999998</v>
      </c>
      <c r="F117" s="180" t="s">
        <v>58</v>
      </c>
      <c r="G117" s="181" t="s">
        <v>42</v>
      </c>
      <c r="H117" s="181" t="s">
        <v>183</v>
      </c>
      <c r="I117" s="181" t="s">
        <v>42</v>
      </c>
      <c r="J117" s="181" t="s">
        <v>42</v>
      </c>
      <c r="K117" s="181" t="s">
        <v>211</v>
      </c>
      <c r="L117" s="181"/>
    </row>
    <row r="118" spans="1:12">
      <c r="A118" s="197" t="s">
        <v>212</v>
      </c>
      <c r="B118" s="208" t="s">
        <v>57</v>
      </c>
      <c r="C118" s="207" t="s">
        <v>42</v>
      </c>
      <c r="D118" s="205" t="s">
        <v>42</v>
      </c>
      <c r="E118" s="181" t="s">
        <v>42</v>
      </c>
      <c r="F118" s="180" t="s">
        <v>58</v>
      </c>
      <c r="G118" s="181" t="s">
        <v>42</v>
      </c>
      <c r="H118" s="181" t="s">
        <v>59</v>
      </c>
      <c r="I118" s="181" t="s">
        <v>73</v>
      </c>
      <c r="J118" s="181" t="s">
        <v>42</v>
      </c>
      <c r="K118" s="181" t="s">
        <v>42</v>
      </c>
      <c r="L118" s="181"/>
    </row>
    <row r="119" spans="1:12">
      <c r="A119" s="198" t="s">
        <v>213</v>
      </c>
      <c r="B119" s="204" t="s">
        <v>42</v>
      </c>
      <c r="C119" s="204" t="s">
        <v>57</v>
      </c>
      <c r="D119" s="205" t="s">
        <v>42</v>
      </c>
      <c r="E119" s="181" t="s">
        <v>42</v>
      </c>
      <c r="F119" s="180" t="s">
        <v>79</v>
      </c>
      <c r="G119" s="181" t="s">
        <v>113</v>
      </c>
      <c r="H119" s="181" t="s">
        <v>42</v>
      </c>
      <c r="I119" s="181" t="s">
        <v>42</v>
      </c>
      <c r="J119" s="181" t="s">
        <v>42</v>
      </c>
      <c r="K119" s="181" t="s">
        <v>42</v>
      </c>
      <c r="L119" s="181"/>
    </row>
    <row r="120" spans="1:12">
      <c r="A120" s="198" t="s">
        <v>214</v>
      </c>
      <c r="B120" s="204" t="s">
        <v>42</v>
      </c>
      <c r="C120" s="204" t="s">
        <v>57</v>
      </c>
      <c r="D120" s="205" t="s">
        <v>42</v>
      </c>
      <c r="E120" s="181" t="s">
        <v>42</v>
      </c>
      <c r="F120" s="180" t="s">
        <v>79</v>
      </c>
      <c r="G120" s="181" t="s">
        <v>113</v>
      </c>
      <c r="H120" s="181" t="s">
        <v>42</v>
      </c>
      <c r="I120" s="181" t="s">
        <v>42</v>
      </c>
      <c r="J120" s="181" t="s">
        <v>42</v>
      </c>
      <c r="K120" s="181" t="s">
        <v>42</v>
      </c>
      <c r="L120" s="181"/>
    </row>
    <row r="121" spans="1:12">
      <c r="A121" s="197" t="s">
        <v>215</v>
      </c>
      <c r="B121" s="204" t="s">
        <v>57</v>
      </c>
      <c r="C121" s="204" t="s">
        <v>42</v>
      </c>
      <c r="D121" s="205" t="s">
        <v>42</v>
      </c>
      <c r="E121" s="181" t="s">
        <v>42</v>
      </c>
      <c r="F121" s="180" t="s">
        <v>58</v>
      </c>
      <c r="G121" s="181" t="s">
        <v>42</v>
      </c>
      <c r="H121" s="181" t="s">
        <v>59</v>
      </c>
      <c r="I121" s="181" t="s">
        <v>86</v>
      </c>
      <c r="J121" s="181" t="s">
        <v>71</v>
      </c>
      <c r="K121" s="181" t="s">
        <v>42</v>
      </c>
      <c r="L121" s="181"/>
    </row>
    <row r="122" spans="1:12">
      <c r="A122" s="199" t="s">
        <v>216</v>
      </c>
      <c r="B122" s="207" t="s">
        <v>42</v>
      </c>
      <c r="C122" s="207" t="s">
        <v>42</v>
      </c>
      <c r="D122" s="205" t="s">
        <v>57</v>
      </c>
      <c r="E122" s="181">
        <v>1.833</v>
      </c>
      <c r="F122" s="180" t="s">
        <v>79</v>
      </c>
      <c r="G122" s="181" t="s">
        <v>113</v>
      </c>
      <c r="H122" s="181" t="s">
        <v>42</v>
      </c>
      <c r="I122" s="181" t="s">
        <v>42</v>
      </c>
      <c r="J122" s="181" t="s">
        <v>42</v>
      </c>
      <c r="K122" s="181" t="s">
        <v>42</v>
      </c>
      <c r="L122" s="181"/>
    </row>
    <row r="123" spans="1:12">
      <c r="A123" s="200" t="s">
        <v>217</v>
      </c>
      <c r="B123" s="204" t="s">
        <v>57</v>
      </c>
      <c r="C123" s="207"/>
      <c r="D123" s="205"/>
      <c r="E123" s="181"/>
      <c r="F123" s="180" t="s">
        <v>58</v>
      </c>
      <c r="G123" s="181"/>
      <c r="H123" s="181" t="s">
        <v>86</v>
      </c>
      <c r="I123" s="181" t="s">
        <v>151</v>
      </c>
      <c r="J123" s="181" t="s">
        <v>218</v>
      </c>
      <c r="K123" s="179" t="s">
        <v>219</v>
      </c>
      <c r="L123" s="181"/>
    </row>
    <row r="124" spans="1:12">
      <c r="A124" s="200" t="s">
        <v>220</v>
      </c>
      <c r="B124" s="204" t="s">
        <v>57</v>
      </c>
      <c r="C124" s="207"/>
      <c r="D124" s="205"/>
      <c r="E124" s="181"/>
      <c r="F124" s="180" t="s">
        <v>58</v>
      </c>
      <c r="G124" s="181"/>
      <c r="H124" s="181" t="s">
        <v>59</v>
      </c>
      <c r="I124" s="181" t="s">
        <v>61</v>
      </c>
      <c r="J124" s="181" t="s">
        <v>151</v>
      </c>
      <c r="K124" s="179"/>
      <c r="L124" s="181"/>
    </row>
    <row r="125" spans="1:12">
      <c r="A125" s="200" t="s">
        <v>221</v>
      </c>
      <c r="B125" s="204" t="s">
        <v>57</v>
      </c>
      <c r="C125" s="207"/>
      <c r="D125" s="205"/>
      <c r="E125" s="181"/>
      <c r="F125" s="180" t="s">
        <v>58</v>
      </c>
      <c r="G125" s="181"/>
      <c r="H125" s="181" t="s">
        <v>59</v>
      </c>
      <c r="I125" s="181" t="s">
        <v>61</v>
      </c>
      <c r="J125" s="181" t="s">
        <v>151</v>
      </c>
      <c r="K125" s="179"/>
      <c r="L125" s="181"/>
    </row>
    <row r="126" spans="1:12">
      <c r="A126" s="200" t="s">
        <v>222</v>
      </c>
      <c r="B126" s="204" t="s">
        <v>57</v>
      </c>
      <c r="C126" s="207"/>
      <c r="D126" s="205"/>
      <c r="E126" s="181"/>
      <c r="F126" s="180" t="s">
        <v>58</v>
      </c>
      <c r="G126" s="181"/>
      <c r="H126" s="181" t="s">
        <v>151</v>
      </c>
      <c r="I126" s="181"/>
      <c r="J126" s="181"/>
      <c r="K126" s="179" t="s">
        <v>223</v>
      </c>
      <c r="L126" s="181"/>
    </row>
    <row r="127" spans="1:12">
      <c r="A127" s="200" t="s">
        <v>224</v>
      </c>
      <c r="B127" s="204" t="s">
        <v>57</v>
      </c>
      <c r="C127" s="207"/>
      <c r="D127" s="205"/>
      <c r="E127" s="181"/>
      <c r="F127" s="180" t="s">
        <v>58</v>
      </c>
      <c r="G127" s="181"/>
      <c r="H127" s="181" t="s">
        <v>151</v>
      </c>
      <c r="I127" s="181" t="s">
        <v>225</v>
      </c>
      <c r="J127" s="181" t="s">
        <v>151</v>
      </c>
      <c r="K127" s="179"/>
      <c r="L127" s="181"/>
    </row>
    <row r="128" spans="1:12" ht="14.5" customHeight="1">
      <c r="A128" s="200" t="s">
        <v>226</v>
      </c>
      <c r="B128" s="204" t="s">
        <v>57</v>
      </c>
      <c r="C128" s="207"/>
      <c r="D128" s="205"/>
      <c r="E128" s="181"/>
      <c r="F128" s="180" t="s">
        <v>58</v>
      </c>
      <c r="G128" s="181" t="s">
        <v>227</v>
      </c>
      <c r="H128" s="181" t="s">
        <v>151</v>
      </c>
      <c r="I128" s="181"/>
      <c r="J128" s="181"/>
      <c r="K128" s="179" t="s">
        <v>228</v>
      </c>
      <c r="L128" s="181"/>
    </row>
    <row r="129" spans="1:12" ht="14.15" customHeight="1">
      <c r="A129" s="200" t="s">
        <v>229</v>
      </c>
      <c r="B129" s="204" t="s">
        <v>57</v>
      </c>
      <c r="C129" s="207"/>
      <c r="D129" s="205"/>
      <c r="E129" s="181"/>
      <c r="F129" s="180" t="s">
        <v>58</v>
      </c>
      <c r="G129" s="181"/>
      <c r="H129" s="181" t="s">
        <v>60</v>
      </c>
      <c r="I129" s="181" t="s">
        <v>151</v>
      </c>
      <c r="J129" s="181"/>
      <c r="K129" s="179" t="s">
        <v>230</v>
      </c>
      <c r="L129" s="181"/>
    </row>
    <row r="130" spans="1:12" ht="14.15" customHeight="1">
      <c r="A130" s="200" t="s">
        <v>231</v>
      </c>
      <c r="B130" s="204"/>
      <c r="C130" s="207"/>
      <c r="D130" s="205"/>
      <c r="E130" s="181"/>
      <c r="F130" s="180" t="s">
        <v>58</v>
      </c>
      <c r="G130" s="181" t="s">
        <v>227</v>
      </c>
      <c r="H130" s="181" t="s">
        <v>151</v>
      </c>
      <c r="I130" s="181"/>
      <c r="J130" s="181"/>
      <c r="K130" s="179" t="s">
        <v>232</v>
      </c>
      <c r="L130" s="181"/>
    </row>
    <row r="131" spans="1:12">
      <c r="A131" s="200" t="s">
        <v>233</v>
      </c>
      <c r="B131" s="204"/>
      <c r="C131" s="207"/>
      <c r="D131" s="205"/>
      <c r="E131" s="181"/>
      <c r="F131" s="180" t="s">
        <v>58</v>
      </c>
      <c r="G131" s="181"/>
      <c r="H131" s="181" t="s">
        <v>86</v>
      </c>
      <c r="I131" s="181" t="s">
        <v>234</v>
      </c>
      <c r="J131" s="181"/>
      <c r="K131" s="179"/>
      <c r="L131" s="181"/>
    </row>
    <row r="132" spans="1:12" ht="15" customHeight="1">
      <c r="A132" s="200" t="s">
        <v>235</v>
      </c>
      <c r="B132" s="204" t="s">
        <v>57</v>
      </c>
      <c r="C132" s="207"/>
      <c r="D132" s="205"/>
      <c r="E132" s="181"/>
      <c r="F132" s="180" t="s">
        <v>58</v>
      </c>
      <c r="G132" s="181"/>
      <c r="H132" s="181" t="s">
        <v>151</v>
      </c>
      <c r="I132" s="181" t="s">
        <v>86</v>
      </c>
      <c r="J132" s="181" t="s">
        <v>61</v>
      </c>
      <c r="K132" s="179" t="s">
        <v>236</v>
      </c>
      <c r="L132" s="181"/>
    </row>
    <row r="133" spans="1:12" ht="14.15" customHeight="1">
      <c r="A133" s="200" t="s">
        <v>237</v>
      </c>
      <c r="B133" s="207"/>
      <c r="C133" s="207"/>
      <c r="D133" s="205"/>
      <c r="E133" s="181"/>
      <c r="F133" s="180" t="s">
        <v>58</v>
      </c>
      <c r="G133" s="181"/>
      <c r="H133" s="181" t="s">
        <v>59</v>
      </c>
      <c r="I133" s="181" t="s">
        <v>66</v>
      </c>
      <c r="J133" s="181"/>
      <c r="K133" s="179" t="s">
        <v>238</v>
      </c>
      <c r="L133" s="181"/>
    </row>
    <row r="134" spans="1:12">
      <c r="A134" s="200" t="s">
        <v>239</v>
      </c>
      <c r="B134" s="204" t="s">
        <v>57</v>
      </c>
      <c r="C134" s="207"/>
      <c r="D134" s="205"/>
      <c r="E134" s="181"/>
      <c r="F134" s="180" t="s">
        <v>58</v>
      </c>
      <c r="G134" s="181"/>
      <c r="H134" s="181" t="s">
        <v>72</v>
      </c>
      <c r="I134" s="181" t="s">
        <v>86</v>
      </c>
      <c r="J134" s="181" t="s">
        <v>151</v>
      </c>
      <c r="K134" s="179" t="s">
        <v>240</v>
      </c>
      <c r="L134" s="181"/>
    </row>
    <row r="135" spans="1:12">
      <c r="A135" s="200" t="s">
        <v>241</v>
      </c>
      <c r="B135" s="204" t="s">
        <v>57</v>
      </c>
      <c r="C135" s="207"/>
      <c r="D135" s="205"/>
      <c r="E135" s="181"/>
      <c r="F135" s="180" t="s">
        <v>79</v>
      </c>
      <c r="G135" s="181"/>
      <c r="H135" s="181"/>
      <c r="I135" s="181"/>
      <c r="J135" s="181"/>
      <c r="K135" s="179"/>
      <c r="L135" s="181"/>
    </row>
    <row r="136" spans="1:12">
      <c r="A136" s="200" t="s">
        <v>242</v>
      </c>
      <c r="B136" s="204" t="s">
        <v>57</v>
      </c>
      <c r="C136" s="207"/>
      <c r="D136" s="205"/>
      <c r="E136" s="181"/>
      <c r="F136" s="180" t="s">
        <v>79</v>
      </c>
      <c r="G136" s="181"/>
      <c r="H136" s="181"/>
      <c r="I136" s="181"/>
      <c r="J136" s="181"/>
      <c r="K136" s="179"/>
      <c r="L136" s="181"/>
    </row>
    <row r="137" spans="1:12">
      <c r="A137" s="200" t="s">
        <v>243</v>
      </c>
      <c r="B137" s="204" t="s">
        <v>57</v>
      </c>
      <c r="C137" s="207"/>
      <c r="D137" s="205"/>
      <c r="E137" s="181"/>
      <c r="F137" s="180" t="s">
        <v>79</v>
      </c>
      <c r="G137" s="181"/>
      <c r="H137" s="181"/>
      <c r="I137" s="181"/>
      <c r="J137" s="181"/>
      <c r="K137" s="179"/>
      <c r="L137" s="181"/>
    </row>
    <row r="138" spans="1:12">
      <c r="A138" s="200" t="s">
        <v>244</v>
      </c>
      <c r="B138" s="208" t="s">
        <v>57</v>
      </c>
      <c r="C138" s="207"/>
      <c r="D138" s="205"/>
      <c r="E138" s="181"/>
      <c r="F138" s="180" t="s">
        <v>58</v>
      </c>
      <c r="G138" s="181"/>
      <c r="H138" s="181" t="s">
        <v>86</v>
      </c>
      <c r="I138" s="181" t="s">
        <v>151</v>
      </c>
      <c r="J138" s="181" t="s">
        <v>218</v>
      </c>
      <c r="K138" s="179"/>
      <c r="L138" s="181"/>
    </row>
    <row r="139" spans="1:12">
      <c r="A139" s="200" t="s">
        <v>245</v>
      </c>
      <c r="B139" s="208" t="s">
        <v>57</v>
      </c>
      <c r="C139" s="207"/>
      <c r="D139" s="205"/>
      <c r="E139" s="181"/>
      <c r="F139" s="180" t="s">
        <v>58</v>
      </c>
      <c r="G139" s="181"/>
      <c r="H139" s="181" t="s">
        <v>59</v>
      </c>
      <c r="I139" s="181" t="s">
        <v>73</v>
      </c>
      <c r="J139" s="181" t="s">
        <v>61</v>
      </c>
      <c r="K139" s="179"/>
      <c r="L139" s="181"/>
    </row>
    <row r="140" spans="1:12">
      <c r="A140" s="200" t="s">
        <v>246</v>
      </c>
      <c r="B140" s="208" t="s">
        <v>57</v>
      </c>
      <c r="C140" s="207"/>
      <c r="D140" s="205"/>
      <c r="E140" s="181"/>
      <c r="F140" s="180" t="s">
        <v>58</v>
      </c>
      <c r="G140" s="181"/>
      <c r="H140" s="181" t="s">
        <v>59</v>
      </c>
      <c r="I140" s="181" t="s">
        <v>73</v>
      </c>
      <c r="J140" s="181" t="s">
        <v>61</v>
      </c>
      <c r="K140" s="179"/>
      <c r="L140" s="181"/>
    </row>
    <row r="141" spans="1:12">
      <c r="A141" s="200" t="s">
        <v>247</v>
      </c>
      <c r="B141" s="208" t="s">
        <v>57</v>
      </c>
      <c r="C141" s="207"/>
      <c r="D141" s="205"/>
      <c r="E141" s="181"/>
      <c r="F141" s="180" t="s">
        <v>79</v>
      </c>
      <c r="G141" s="181" t="s">
        <v>227</v>
      </c>
      <c r="H141" s="181"/>
      <c r="I141" s="181"/>
      <c r="J141" s="181"/>
      <c r="K141" s="179"/>
      <c r="L141" s="181"/>
    </row>
    <row r="142" spans="1:12" ht="14.5" customHeight="1">
      <c r="A142" s="200" t="s">
        <v>248</v>
      </c>
      <c r="B142" s="204"/>
      <c r="C142" s="207"/>
      <c r="D142" s="205"/>
      <c r="E142" s="181"/>
      <c r="F142" s="180" t="s">
        <v>58</v>
      </c>
      <c r="G142" s="181"/>
      <c r="H142" s="181" t="s">
        <v>151</v>
      </c>
      <c r="I142" s="181" t="s">
        <v>86</v>
      </c>
      <c r="J142" s="181"/>
      <c r="K142" s="179" t="s">
        <v>249</v>
      </c>
      <c r="L142" s="181"/>
    </row>
    <row r="143" spans="1:12">
      <c r="A143" s="200" t="s">
        <v>250</v>
      </c>
      <c r="B143" s="209"/>
      <c r="C143" s="207"/>
      <c r="D143" s="205"/>
      <c r="E143" s="181"/>
      <c r="F143" s="180" t="s">
        <v>58</v>
      </c>
      <c r="G143" s="186"/>
      <c r="H143" s="181" t="s">
        <v>251</v>
      </c>
      <c r="I143" s="181" t="s">
        <v>234</v>
      </c>
      <c r="J143" s="186"/>
      <c r="K143" s="186"/>
      <c r="L143" s="181"/>
    </row>
    <row r="144" spans="1:12">
      <c r="A144" s="187"/>
      <c r="B144" s="210"/>
      <c r="C144" s="210"/>
      <c r="D144" s="193"/>
      <c r="E144" s="175"/>
      <c r="F144" s="176"/>
      <c r="G144" s="175"/>
      <c r="H144" s="175"/>
      <c r="I144" s="175"/>
      <c r="J144" s="175"/>
      <c r="K144" s="175"/>
      <c r="L144" s="175"/>
    </row>
    <row r="145" spans="1:12">
      <c r="A145" s="194" t="s">
        <v>252</v>
      </c>
      <c r="B145" s="210"/>
      <c r="C145" s="210"/>
      <c r="D145" s="193"/>
      <c r="E145" s="175"/>
      <c r="F145" s="176"/>
      <c r="G145" s="175"/>
      <c r="H145" s="175"/>
      <c r="I145" s="175"/>
      <c r="J145" s="175"/>
      <c r="K145" s="175"/>
      <c r="L145" s="175"/>
    </row>
    <row r="146" spans="1:12">
      <c r="A146" s="195" t="s">
        <v>253</v>
      </c>
      <c r="B146" s="211"/>
      <c r="C146" s="211"/>
      <c r="D146" s="212"/>
      <c r="E146" s="175"/>
      <c r="F146" s="176"/>
      <c r="G146" s="175"/>
      <c r="H146" s="175"/>
      <c r="I146" s="175"/>
      <c r="J146" s="175"/>
      <c r="K146" s="175"/>
      <c r="L146" s="175"/>
    </row>
    <row r="147" spans="1:12">
      <c r="A147" s="196" t="s">
        <v>254</v>
      </c>
    </row>
  </sheetData>
  <mergeCells count="1">
    <mergeCell ref="H3:L3"/>
  </mergeCells>
  <conditionalFormatting sqref="F5:F29">
    <cfRule type="cellIs" dxfId="7" priority="16" operator="equal">
      <formula>"Dubtós"</formula>
    </cfRule>
    <cfRule type="cellIs" dxfId="6" priority="17" operator="equal">
      <formula>"No"</formula>
    </cfRule>
    <cfRule type="cellIs" dxfId="5" priority="18" operator="equal">
      <formula>"Sí"</formula>
    </cfRule>
  </conditionalFormatting>
  <conditionalFormatting sqref="F31:F144">
    <cfRule type="cellIs" dxfId="4" priority="1" operator="equal">
      <formula>"Dubtós"</formula>
    </cfRule>
    <cfRule type="cellIs" dxfId="3" priority="2" operator="equal">
      <formula>"No"</formula>
    </cfRule>
    <cfRule type="cellIs" dxfId="2" priority="3" operator="equal">
      <formula>"Sí"</formula>
    </cfRule>
  </conditionalFormatting>
  <dataValidations count="2">
    <dataValidation type="list" allowBlank="1" showInputMessage="1" showErrorMessage="1" sqref="F5:F29 F31:F144">
      <formula1>"Sí, No, Dubtós"</formula1>
    </dataValidation>
    <dataValidation type="list" allowBlank="1" showInputMessage="1" showErrorMessage="1" sqref="H123:J142"/>
  </dataValidations>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'Taxonomia Amenaces'!$D$9:$D$49</xm:f>
          </x14:formula1>
          <xm:sqref>K5 J6:J27 H5:I27 H31:J37 H28:J29 H144:J144 H39:J122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heetPr>
  <dimension ref="A1:AO194"/>
  <sheetViews>
    <sheetView showGridLines="0" tabSelected="1" zoomScale="82" zoomScaleNormal="82" workbookViewId="0">
      <pane xSplit="11" ySplit="4" topLeftCell="L5" activePane="bottomRight" state="frozen"/>
      <selection activeCell="A4" sqref="A4"/>
      <selection pane="topRight" activeCell="L4" sqref="L4"/>
      <selection pane="bottomLeft" activeCell="A5" sqref="A5"/>
      <selection pane="bottomRight" activeCell="A5" sqref="A5"/>
    </sheetView>
  </sheetViews>
  <sheetFormatPr defaultColWidth="8.54296875" defaultRowHeight="14.5"/>
  <cols>
    <col min="1" max="1" width="22.81640625" style="25" customWidth="1"/>
    <col min="2" max="2" width="4" style="5" hidden="1" customWidth="1"/>
    <col min="3" max="3" width="34.1796875" style="6" hidden="1" customWidth="1"/>
    <col min="4" max="4" width="7.453125" style="11" hidden="1" customWidth="1"/>
    <col min="5" max="5" width="50" style="7" hidden="1" customWidth="1"/>
    <col min="6" max="6" width="10.81640625" style="7" customWidth="1"/>
    <col min="7" max="7" width="54.81640625" style="8" customWidth="1"/>
    <col min="8" max="8" width="7.81640625" style="9" customWidth="1"/>
    <col min="9" max="9" width="15.453125" style="10" hidden="1" customWidth="1"/>
    <col min="10" max="10" width="18.1796875" style="10" hidden="1" customWidth="1"/>
    <col min="11" max="11" width="48.54296875" style="7" customWidth="1"/>
    <col min="12" max="12" width="30.81640625" style="10" customWidth="1"/>
    <col min="13" max="14" width="28.1796875" style="5" customWidth="1"/>
    <col min="15" max="15" width="10.54296875" style="17" customWidth="1"/>
    <col min="16" max="16" width="56" style="172" hidden="1" customWidth="1"/>
    <col min="17" max="17" width="24.54296875" style="17" customWidth="1"/>
    <col min="18" max="18" width="47.54296875" style="19" customWidth="1"/>
    <col min="19" max="19" width="56" style="365" customWidth="1"/>
    <col min="20" max="20" width="41.453125" style="3" customWidth="1"/>
    <col min="21" max="21" width="9.54296875" style="3" customWidth="1"/>
    <col min="22" max="22" width="11.453125" style="3" customWidth="1"/>
    <col min="23" max="23" width="24.453125" style="400" customWidth="1"/>
    <col min="24" max="24" width="13.81640625" style="3" customWidth="1"/>
    <col min="25" max="25" width="21.6328125" style="3" bestFit="1" customWidth="1"/>
    <col min="26" max="26" width="16.54296875" style="3" customWidth="1"/>
    <col min="27" max="28" width="13.54296875" style="3" customWidth="1"/>
    <col min="29" max="29" width="11.54296875" style="3" customWidth="1"/>
    <col min="30" max="30" width="6.81640625" style="3" customWidth="1"/>
    <col min="31" max="34" width="6.1796875" style="3" customWidth="1"/>
    <col min="35" max="48" width="8.54296875" style="3"/>
    <col min="49" max="49" width="8.54296875" style="3" customWidth="1"/>
    <col min="50" max="16384" width="8.54296875" style="3"/>
  </cols>
  <sheetData>
    <row r="1" spans="1:34" ht="18.5">
      <c r="A1" s="77" t="s">
        <v>255</v>
      </c>
      <c r="B1" s="78"/>
      <c r="C1" s="79"/>
      <c r="E1" s="316"/>
      <c r="F1" s="9"/>
      <c r="G1" s="316"/>
      <c r="S1" s="6"/>
    </row>
    <row r="2" spans="1:34" ht="18.5">
      <c r="A2" s="80"/>
      <c r="B2" s="81" t="s">
        <v>256</v>
      </c>
      <c r="C2" s="165" t="s">
        <v>257</v>
      </c>
      <c r="F2" s="9"/>
      <c r="G2" s="7"/>
      <c r="S2" s="6"/>
    </row>
    <row r="3" spans="1:34" ht="18.5">
      <c r="A3" s="80"/>
      <c r="B3" s="81"/>
      <c r="C3" s="86"/>
      <c r="F3" s="9"/>
      <c r="P3" s="173" t="s">
        <v>258</v>
      </c>
      <c r="S3" s="361"/>
      <c r="U3" s="449" t="s">
        <v>259</v>
      </c>
      <c r="V3" s="451"/>
      <c r="W3" s="401"/>
      <c r="X3" s="449" t="s">
        <v>260</v>
      </c>
      <c r="Y3" s="450"/>
      <c r="Z3" s="451"/>
      <c r="AA3" s="449" t="s">
        <v>261</v>
      </c>
      <c r="AB3" s="450"/>
      <c r="AC3" s="451"/>
      <c r="AD3" s="449" t="s">
        <v>262</v>
      </c>
      <c r="AE3" s="450"/>
      <c r="AF3" s="450"/>
      <c r="AG3" s="450"/>
      <c r="AH3" s="451"/>
    </row>
    <row r="4" spans="1:34" s="18" customFormat="1" ht="43.5">
      <c r="A4" s="82" t="s">
        <v>263</v>
      </c>
      <c r="B4" s="84"/>
      <c r="C4" s="83" t="s">
        <v>264</v>
      </c>
      <c r="D4" s="85"/>
      <c r="E4" s="83" t="s">
        <v>265</v>
      </c>
      <c r="F4" s="98" t="s">
        <v>266</v>
      </c>
      <c r="G4" s="98" t="s">
        <v>267</v>
      </c>
      <c r="H4" s="98" t="s">
        <v>266</v>
      </c>
      <c r="I4" s="98" t="s">
        <v>268</v>
      </c>
      <c r="J4" s="99" t="s">
        <v>269</v>
      </c>
      <c r="K4" s="332" t="s">
        <v>270</v>
      </c>
      <c r="L4" s="332" t="s">
        <v>271</v>
      </c>
      <c r="M4" s="333" t="s">
        <v>272</v>
      </c>
      <c r="N4" s="333" t="s">
        <v>273</v>
      </c>
      <c r="O4" s="334" t="s">
        <v>274</v>
      </c>
      <c r="P4" s="331" t="s">
        <v>275</v>
      </c>
      <c r="Q4" s="103" t="s">
        <v>276</v>
      </c>
      <c r="R4" s="104" t="s">
        <v>277</v>
      </c>
      <c r="S4" s="101" t="s">
        <v>2796</v>
      </c>
      <c r="T4" s="335" t="s">
        <v>281</v>
      </c>
      <c r="U4" s="335" t="s">
        <v>282</v>
      </c>
      <c r="V4" s="335" t="s">
        <v>283</v>
      </c>
      <c r="W4" s="402" t="s">
        <v>2745</v>
      </c>
      <c r="X4" s="336" t="s">
        <v>284</v>
      </c>
      <c r="Y4" s="336" t="s">
        <v>285</v>
      </c>
      <c r="Z4" s="336" t="s">
        <v>286</v>
      </c>
      <c r="AA4" s="130" t="s">
        <v>287</v>
      </c>
      <c r="AB4" s="130" t="s">
        <v>288</v>
      </c>
      <c r="AC4" s="130" t="s">
        <v>289</v>
      </c>
      <c r="AD4" s="236" t="s">
        <v>290</v>
      </c>
      <c r="AE4" s="236">
        <v>2025</v>
      </c>
      <c r="AF4" s="236">
        <v>2026</v>
      </c>
      <c r="AG4" s="236">
        <v>2027</v>
      </c>
      <c r="AH4" s="236">
        <v>2028</v>
      </c>
    </row>
    <row r="5" spans="1:34" ht="145">
      <c r="A5" s="14" t="s">
        <v>291</v>
      </c>
      <c r="B5" s="35">
        <v>1</v>
      </c>
      <c r="C5" s="43" t="s">
        <v>292</v>
      </c>
      <c r="D5" s="530" t="s">
        <v>293</v>
      </c>
      <c r="E5" s="531" t="s">
        <v>294</v>
      </c>
      <c r="F5" s="105" t="s">
        <v>295</v>
      </c>
      <c r="G5" s="106" t="s">
        <v>296</v>
      </c>
      <c r="H5" s="105" t="s">
        <v>295</v>
      </c>
      <c r="I5" s="339" t="s">
        <v>297</v>
      </c>
      <c r="J5" s="339" t="s">
        <v>298</v>
      </c>
      <c r="K5" s="7" t="s">
        <v>299</v>
      </c>
      <c r="L5" s="117" t="s">
        <v>300</v>
      </c>
      <c r="M5" s="76" t="s">
        <v>58</v>
      </c>
      <c r="N5" s="76" t="s">
        <v>58</v>
      </c>
      <c r="O5" s="110" t="s">
        <v>301</v>
      </c>
      <c r="P5" s="166" t="s">
        <v>302</v>
      </c>
      <c r="Q5" s="111" t="s">
        <v>46</v>
      </c>
      <c r="R5" s="112" t="s">
        <v>303</v>
      </c>
      <c r="S5" s="426" t="s">
        <v>3000</v>
      </c>
      <c r="T5" s="426" t="s">
        <v>3001</v>
      </c>
      <c r="U5" s="129" t="s">
        <v>3002</v>
      </c>
      <c r="V5" s="427" t="s">
        <v>3003</v>
      </c>
      <c r="W5" s="122"/>
      <c r="X5" s="129" t="s">
        <v>2891</v>
      </c>
      <c r="Y5" s="113" t="s">
        <v>305</v>
      </c>
      <c r="Z5" s="129" t="s">
        <v>2516</v>
      </c>
      <c r="AA5" s="113"/>
      <c r="AB5" s="113"/>
      <c r="AC5" s="113"/>
      <c r="AD5" s="113"/>
      <c r="AE5" s="113"/>
      <c r="AF5" s="113"/>
      <c r="AG5" s="113"/>
      <c r="AH5" s="113"/>
    </row>
    <row r="6" spans="1:34" ht="145">
      <c r="A6" s="26"/>
      <c r="B6" s="36"/>
      <c r="C6" s="44"/>
      <c r="D6" s="530"/>
      <c r="E6" s="531"/>
      <c r="F6" s="105" t="s">
        <v>307</v>
      </c>
      <c r="G6" s="106" t="s">
        <v>308</v>
      </c>
      <c r="H6" s="105" t="s">
        <v>307</v>
      </c>
      <c r="I6" s="339" t="s">
        <v>297</v>
      </c>
      <c r="J6" s="339" t="s">
        <v>298</v>
      </c>
      <c r="K6" s="329" t="s">
        <v>309</v>
      </c>
      <c r="L6" s="108" t="s">
        <v>310</v>
      </c>
      <c r="M6" s="76" t="s">
        <v>58</v>
      </c>
      <c r="N6" s="114" t="s">
        <v>58</v>
      </c>
      <c r="O6" s="110" t="s">
        <v>301</v>
      </c>
      <c r="P6" s="166" t="s">
        <v>311</v>
      </c>
      <c r="Q6" s="111"/>
      <c r="R6" s="115"/>
      <c r="S6" s="76" t="s">
        <v>312</v>
      </c>
      <c r="T6" s="129" t="s">
        <v>313</v>
      </c>
      <c r="U6" s="129" t="s">
        <v>314</v>
      </c>
      <c r="V6" s="129" t="s">
        <v>315</v>
      </c>
      <c r="W6" s="122"/>
      <c r="X6" s="113">
        <v>150</v>
      </c>
      <c r="Y6" s="113" t="s">
        <v>305</v>
      </c>
      <c r="Z6" s="113" t="s">
        <v>306</v>
      </c>
      <c r="AA6" s="113"/>
      <c r="AB6" s="113"/>
      <c r="AC6" s="113"/>
      <c r="AD6" s="113"/>
      <c r="AE6" s="113"/>
      <c r="AF6" s="113"/>
      <c r="AG6" s="113"/>
      <c r="AH6" s="113"/>
    </row>
    <row r="7" spans="1:34" ht="72.5">
      <c r="A7" s="26"/>
      <c r="B7" s="36"/>
      <c r="C7" s="44"/>
      <c r="D7" s="532" t="s">
        <v>316</v>
      </c>
      <c r="E7" s="535" t="s">
        <v>317</v>
      </c>
      <c r="F7" s="105" t="s">
        <v>318</v>
      </c>
      <c r="G7" s="106" t="s">
        <v>319</v>
      </c>
      <c r="H7" s="105" t="s">
        <v>318</v>
      </c>
      <c r="I7" s="339" t="s">
        <v>297</v>
      </c>
      <c r="J7" s="339" t="s">
        <v>320</v>
      </c>
      <c r="K7" s="329" t="str">
        <f t="shared" ref="K7:K38" si="0">G7</f>
        <v>Implementar la metodologia de gestió adaptativa (Estàndards Oberts de Gestió Adaptativa a Catalunya) en tots els processos de l'ENP</v>
      </c>
      <c r="L7" s="109"/>
      <c r="M7" s="76" t="s">
        <v>58</v>
      </c>
      <c r="N7" s="114" t="s">
        <v>58</v>
      </c>
      <c r="O7" s="110" t="s">
        <v>321</v>
      </c>
      <c r="P7" s="166" t="s">
        <v>322</v>
      </c>
      <c r="Q7" s="111" t="s">
        <v>323</v>
      </c>
      <c r="R7" s="112" t="s">
        <v>324</v>
      </c>
      <c r="S7" s="76" t="s">
        <v>325</v>
      </c>
      <c r="T7" s="129" t="s">
        <v>326</v>
      </c>
      <c r="U7" s="129" t="s">
        <v>327</v>
      </c>
      <c r="V7" s="129" t="s">
        <v>328</v>
      </c>
      <c r="W7" s="122"/>
      <c r="X7" s="113">
        <v>100</v>
      </c>
      <c r="Y7" s="113" t="s">
        <v>329</v>
      </c>
      <c r="Z7" s="113" t="s">
        <v>330</v>
      </c>
      <c r="AA7" s="113"/>
      <c r="AB7" s="113"/>
      <c r="AC7" s="113"/>
      <c r="AD7" s="113"/>
      <c r="AE7" s="113"/>
      <c r="AF7" s="113"/>
      <c r="AG7" s="113"/>
      <c r="AH7" s="113"/>
    </row>
    <row r="8" spans="1:34" ht="261">
      <c r="A8" s="26"/>
      <c r="B8" s="36"/>
      <c r="C8" s="44"/>
      <c r="D8" s="533"/>
      <c r="E8" s="536"/>
      <c r="F8" s="105" t="s">
        <v>331</v>
      </c>
      <c r="G8" s="106" t="s">
        <v>332</v>
      </c>
      <c r="H8" s="105" t="s">
        <v>331</v>
      </c>
      <c r="I8" s="339" t="s">
        <v>297</v>
      </c>
      <c r="J8" s="339" t="s">
        <v>298</v>
      </c>
      <c r="K8" s="329" t="str">
        <f t="shared" si="0"/>
        <v>Executar les mesures previstes en els plans de conservació o recuperació d'espècies amenaçades de forma coordinada amb el Servei de Flora i Fauna en l'àmbit de l'ENP</v>
      </c>
      <c r="L8" s="109"/>
      <c r="M8" s="76" t="s">
        <v>58</v>
      </c>
      <c r="N8" s="76" t="s">
        <v>58</v>
      </c>
      <c r="O8" s="110" t="s">
        <v>301</v>
      </c>
      <c r="P8" s="166" t="s">
        <v>333</v>
      </c>
      <c r="Q8" s="116" t="s">
        <v>334</v>
      </c>
      <c r="R8" s="112" t="s">
        <v>335</v>
      </c>
      <c r="S8" s="76" t="s">
        <v>2988</v>
      </c>
      <c r="T8" s="124" t="s">
        <v>2989</v>
      </c>
      <c r="U8" s="129" t="s">
        <v>2990</v>
      </c>
      <c r="V8" s="129" t="s">
        <v>2991</v>
      </c>
      <c r="W8" s="122"/>
      <c r="X8" s="113">
        <v>320</v>
      </c>
      <c r="Y8" s="113" t="s">
        <v>305</v>
      </c>
      <c r="Z8" s="113" t="s">
        <v>306</v>
      </c>
      <c r="AA8" s="113"/>
      <c r="AB8" s="113"/>
      <c r="AC8" s="113"/>
      <c r="AD8" s="113"/>
      <c r="AE8" s="113"/>
      <c r="AF8" s="113"/>
      <c r="AG8" s="113"/>
      <c r="AH8" s="113"/>
    </row>
    <row r="9" spans="1:34" ht="217.5">
      <c r="A9" s="26"/>
      <c r="B9" s="36"/>
      <c r="C9" s="44"/>
      <c r="D9" s="533"/>
      <c r="E9" s="536"/>
      <c r="F9" s="105" t="s">
        <v>336</v>
      </c>
      <c r="G9" s="106" t="s">
        <v>337</v>
      </c>
      <c r="H9" s="105" t="s">
        <v>336</v>
      </c>
      <c r="I9" s="339" t="s">
        <v>297</v>
      </c>
      <c r="J9" s="339" t="s">
        <v>298</v>
      </c>
      <c r="K9" s="329" t="s">
        <v>338</v>
      </c>
      <c r="L9" s="108" t="s">
        <v>339</v>
      </c>
      <c r="M9" s="76" t="s">
        <v>58</v>
      </c>
      <c r="N9" s="76" t="s">
        <v>58</v>
      </c>
      <c r="O9" s="110" t="s">
        <v>301</v>
      </c>
      <c r="P9" s="166" t="s">
        <v>340</v>
      </c>
      <c r="Q9" s="116" t="s">
        <v>341</v>
      </c>
      <c r="R9" s="112" t="s">
        <v>342</v>
      </c>
      <c r="S9" s="76" t="s">
        <v>343</v>
      </c>
      <c r="T9" s="129" t="s">
        <v>344</v>
      </c>
      <c r="U9" s="129" t="s">
        <v>2517</v>
      </c>
      <c r="V9" s="129" t="s">
        <v>2518</v>
      </c>
      <c r="W9" s="122"/>
      <c r="X9" s="113">
        <v>160</v>
      </c>
      <c r="Y9" s="113" t="s">
        <v>305</v>
      </c>
      <c r="Z9" s="113" t="s">
        <v>306</v>
      </c>
      <c r="AA9" s="113"/>
      <c r="AB9" s="113"/>
      <c r="AC9" s="113"/>
      <c r="AD9" s="113"/>
      <c r="AE9" s="113"/>
      <c r="AF9" s="113"/>
      <c r="AG9" s="113"/>
      <c r="AH9" s="113"/>
    </row>
    <row r="10" spans="1:34" ht="130.5">
      <c r="A10" s="26"/>
      <c r="B10" s="36"/>
      <c r="C10" s="44"/>
      <c r="D10" s="534"/>
      <c r="E10" s="537"/>
      <c r="F10" s="105" t="s">
        <v>345</v>
      </c>
      <c r="G10" s="106" t="s">
        <v>346</v>
      </c>
      <c r="H10" s="105" t="s">
        <v>345</v>
      </c>
      <c r="I10" s="339" t="s">
        <v>347</v>
      </c>
      <c r="J10" s="339" t="s">
        <v>348</v>
      </c>
      <c r="K10" s="329" t="str">
        <f t="shared" si="0"/>
        <v xml:space="preserve">Desplegar els objectius i tasques recollits en els instruments de referència i compromisos internacionals  </v>
      </c>
      <c r="L10" s="109"/>
      <c r="M10" s="76" t="s">
        <v>58</v>
      </c>
      <c r="N10" s="76" t="s">
        <v>58</v>
      </c>
      <c r="O10" s="110" t="s">
        <v>349</v>
      </c>
      <c r="P10" s="166" t="s">
        <v>350</v>
      </c>
      <c r="Q10" s="116"/>
      <c r="R10" s="112"/>
      <c r="S10" s="76" t="s">
        <v>351</v>
      </c>
      <c r="T10" s="129" t="s">
        <v>352</v>
      </c>
      <c r="U10" s="113" t="s">
        <v>353</v>
      </c>
      <c r="V10" s="113" t="s">
        <v>354</v>
      </c>
      <c r="W10" s="407" t="s">
        <v>2746</v>
      </c>
      <c r="X10" s="113">
        <v>160</v>
      </c>
      <c r="Y10" s="113" t="s">
        <v>305</v>
      </c>
      <c r="Z10" s="113" t="s">
        <v>355</v>
      </c>
      <c r="AA10" s="113"/>
      <c r="AB10" s="113"/>
      <c r="AC10" s="113"/>
      <c r="AD10" s="113"/>
      <c r="AE10" s="113"/>
      <c r="AF10" s="113"/>
      <c r="AG10" s="113"/>
      <c r="AH10" s="113"/>
    </row>
    <row r="11" spans="1:34" ht="58">
      <c r="A11" s="26"/>
      <c r="B11" s="36"/>
      <c r="C11" s="44"/>
      <c r="D11" s="532" t="s">
        <v>356</v>
      </c>
      <c r="E11" s="545" t="s">
        <v>357</v>
      </c>
      <c r="F11" s="105" t="s">
        <v>358</v>
      </c>
      <c r="G11" s="106" t="s">
        <v>359</v>
      </c>
      <c r="H11" s="105" t="s">
        <v>358</v>
      </c>
      <c r="I11" s="339" t="s">
        <v>297</v>
      </c>
      <c r="J11" s="339" t="s">
        <v>298</v>
      </c>
      <c r="K11" s="329" t="str">
        <f t="shared" si="0"/>
        <v>Identificar espais pel foment de la dinàmica natural i l'aprofitament no extractiu</v>
      </c>
      <c r="L11" s="109"/>
      <c r="M11" s="76" t="s">
        <v>58</v>
      </c>
      <c r="N11" s="76" t="s">
        <v>79</v>
      </c>
      <c r="O11" s="110" t="s">
        <v>301</v>
      </c>
      <c r="P11" s="166" t="s">
        <v>360</v>
      </c>
      <c r="Q11" s="111" t="s">
        <v>323</v>
      </c>
      <c r="R11" s="112" t="s">
        <v>361</v>
      </c>
      <c r="S11" s="76" t="s">
        <v>362</v>
      </c>
      <c r="T11" s="129" t="s">
        <v>363</v>
      </c>
      <c r="U11" s="113" t="s">
        <v>353</v>
      </c>
      <c r="V11" s="113" t="s">
        <v>2519</v>
      </c>
      <c r="W11" s="403"/>
      <c r="X11" s="113">
        <v>145</v>
      </c>
      <c r="Y11" s="113" t="s">
        <v>305</v>
      </c>
      <c r="Z11" s="113" t="s">
        <v>364</v>
      </c>
      <c r="AA11" s="113"/>
      <c r="AB11" s="113"/>
      <c r="AC11" s="113"/>
      <c r="AD11" s="113"/>
      <c r="AE11" s="113"/>
      <c r="AF11" s="113"/>
      <c r="AG11" s="113"/>
      <c r="AH11" s="113"/>
    </row>
    <row r="12" spans="1:34" ht="101.5">
      <c r="A12" s="26"/>
      <c r="B12" s="36"/>
      <c r="C12" s="44"/>
      <c r="D12" s="533"/>
      <c r="E12" s="546"/>
      <c r="F12" s="105" t="s">
        <v>365</v>
      </c>
      <c r="G12" s="106" t="s">
        <v>366</v>
      </c>
      <c r="H12" s="105" t="s">
        <v>365</v>
      </c>
      <c r="I12" s="339" t="s">
        <v>347</v>
      </c>
      <c r="J12" s="339" t="s">
        <v>348</v>
      </c>
      <c r="K12" s="329" t="str">
        <f t="shared" si="0"/>
        <v>Afavorir la maduresa dels sistemes forestals</v>
      </c>
      <c r="L12" s="109"/>
      <c r="M12" s="76" t="s">
        <v>58</v>
      </c>
      <c r="N12" s="76" t="s">
        <v>58</v>
      </c>
      <c r="O12" s="110" t="s">
        <v>301</v>
      </c>
      <c r="P12" s="166" t="s">
        <v>367</v>
      </c>
      <c r="Q12" s="111" t="s">
        <v>46</v>
      </c>
      <c r="R12" s="112" t="s">
        <v>361</v>
      </c>
      <c r="S12" s="124" t="s">
        <v>2973</v>
      </c>
      <c r="T12" s="129" t="s">
        <v>2966</v>
      </c>
      <c r="U12" s="129" t="s">
        <v>2967</v>
      </c>
      <c r="V12" s="129" t="s">
        <v>2968</v>
      </c>
      <c r="W12" s="403"/>
      <c r="X12" s="113">
        <v>120</v>
      </c>
      <c r="Y12" s="129" t="s">
        <v>2845</v>
      </c>
      <c r="Z12" s="129" t="s">
        <v>2969</v>
      </c>
      <c r="AA12" s="113"/>
      <c r="AB12" s="113"/>
      <c r="AC12" s="113"/>
      <c r="AD12" s="113"/>
      <c r="AE12" s="113"/>
      <c r="AF12" s="113"/>
      <c r="AG12" s="113"/>
      <c r="AH12" s="113"/>
    </row>
    <row r="13" spans="1:34" s="360" customFormat="1" ht="87">
      <c r="A13" s="26"/>
      <c r="B13" s="423"/>
      <c r="C13" s="424"/>
      <c r="D13" s="533"/>
      <c r="E13" s="546"/>
      <c r="F13" s="105" t="s">
        <v>368</v>
      </c>
      <c r="G13" s="106" t="s">
        <v>369</v>
      </c>
      <c r="H13" s="105" t="s">
        <v>368</v>
      </c>
      <c r="I13" s="425" t="s">
        <v>347</v>
      </c>
      <c r="J13" s="425" t="s">
        <v>348</v>
      </c>
      <c r="K13" s="388" t="s">
        <v>2797</v>
      </c>
      <c r="L13" s="352"/>
      <c r="M13" s="354"/>
      <c r="N13" s="354"/>
      <c r="O13" s="352"/>
      <c r="P13" s="363" t="s">
        <v>370</v>
      </c>
      <c r="Q13" s="107" t="s">
        <v>46</v>
      </c>
      <c r="R13" s="106" t="s">
        <v>361</v>
      </c>
      <c r="S13" s="354" t="s">
        <v>371</v>
      </c>
      <c r="T13" s="354" t="s">
        <v>372</v>
      </c>
      <c r="U13" s="359"/>
      <c r="V13" s="359"/>
      <c r="W13" s="404" t="s">
        <v>2747</v>
      </c>
      <c r="X13" s="359"/>
      <c r="Y13" s="359" t="s">
        <v>305</v>
      </c>
      <c r="Z13" s="359" t="s">
        <v>364</v>
      </c>
      <c r="AA13" s="359"/>
      <c r="AB13" s="359"/>
      <c r="AC13" s="359"/>
      <c r="AD13" s="359"/>
      <c r="AE13" s="359"/>
      <c r="AF13" s="359"/>
      <c r="AG13" s="359"/>
      <c r="AH13" s="359"/>
    </row>
    <row r="14" spans="1:34" ht="203">
      <c r="A14" s="26"/>
      <c r="B14" s="36"/>
      <c r="C14" s="44"/>
      <c r="D14" s="533"/>
      <c r="E14" s="546"/>
      <c r="F14" s="105" t="s">
        <v>373</v>
      </c>
      <c r="G14" s="106" t="s">
        <v>374</v>
      </c>
      <c r="H14" s="105" t="s">
        <v>373</v>
      </c>
      <c r="I14" s="339" t="s">
        <v>347</v>
      </c>
      <c r="J14" s="339" t="s">
        <v>348</v>
      </c>
      <c r="K14" s="321" t="s">
        <v>375</v>
      </c>
      <c r="L14" s="117" t="s">
        <v>376</v>
      </c>
      <c r="M14" s="76" t="s">
        <v>58</v>
      </c>
      <c r="N14" s="76"/>
      <c r="O14" s="110"/>
      <c r="P14" s="166" t="s">
        <v>377</v>
      </c>
      <c r="Q14" s="111" t="s">
        <v>46</v>
      </c>
      <c r="R14" s="112" t="s">
        <v>361</v>
      </c>
      <c r="S14" s="76" t="s">
        <v>2972</v>
      </c>
      <c r="T14" s="129" t="s">
        <v>2521</v>
      </c>
      <c r="U14" s="129" t="s">
        <v>1248</v>
      </c>
      <c r="V14" s="129" t="s">
        <v>2522</v>
      </c>
      <c r="W14" s="407" t="s">
        <v>2749</v>
      </c>
      <c r="X14" s="113">
        <v>380</v>
      </c>
      <c r="Y14" s="113" t="s">
        <v>305</v>
      </c>
      <c r="Z14" s="113" t="s">
        <v>306</v>
      </c>
      <c r="AA14" s="113"/>
      <c r="AB14" s="113"/>
      <c r="AC14" s="113"/>
      <c r="AD14" s="113"/>
      <c r="AE14" s="113"/>
      <c r="AF14" s="113"/>
      <c r="AG14" s="113"/>
      <c r="AH14" s="113"/>
    </row>
    <row r="15" spans="1:34" ht="116">
      <c r="A15" s="26"/>
      <c r="B15" s="36"/>
      <c r="C15" s="44"/>
      <c r="D15" s="533"/>
      <c r="E15" s="546"/>
      <c r="F15" s="105" t="s">
        <v>378</v>
      </c>
      <c r="G15" s="106" t="s">
        <v>379</v>
      </c>
      <c r="H15" s="105" t="s">
        <v>378</v>
      </c>
      <c r="I15" s="339" t="s">
        <v>347</v>
      </c>
      <c r="J15" s="339" t="s">
        <v>348</v>
      </c>
      <c r="K15" s="329" t="str">
        <f t="shared" si="0"/>
        <v>Fomentar el paisatge en mosaïc</v>
      </c>
      <c r="L15" s="109"/>
      <c r="M15" s="76" t="s">
        <v>58</v>
      </c>
      <c r="N15" s="76"/>
      <c r="O15" s="110" t="s">
        <v>301</v>
      </c>
      <c r="P15" s="166" t="s">
        <v>380</v>
      </c>
      <c r="Q15" s="111" t="s">
        <v>323</v>
      </c>
      <c r="R15" s="112" t="s">
        <v>361</v>
      </c>
      <c r="S15" s="76" t="s">
        <v>381</v>
      </c>
      <c r="T15" s="129" t="s">
        <v>2523</v>
      </c>
      <c r="U15" s="129" t="s">
        <v>2524</v>
      </c>
      <c r="V15" s="129" t="s">
        <v>2525</v>
      </c>
      <c r="W15" s="407" t="s">
        <v>2748</v>
      </c>
      <c r="X15" s="113">
        <v>280</v>
      </c>
      <c r="Y15" s="113" t="s">
        <v>305</v>
      </c>
      <c r="Z15" s="113" t="s">
        <v>355</v>
      </c>
      <c r="AA15" s="113"/>
      <c r="AB15" s="113"/>
      <c r="AC15" s="113"/>
      <c r="AD15" s="113"/>
      <c r="AE15" s="113"/>
      <c r="AF15" s="113"/>
      <c r="AG15" s="113"/>
      <c r="AH15" s="113"/>
    </row>
    <row r="16" spans="1:34" ht="72.5">
      <c r="A16" s="26"/>
      <c r="B16" s="36"/>
      <c r="C16" s="44"/>
      <c r="D16" s="533"/>
      <c r="E16" s="546"/>
      <c r="F16" s="105" t="s">
        <v>382</v>
      </c>
      <c r="G16" s="106" t="s">
        <v>383</v>
      </c>
      <c r="H16" s="105" t="s">
        <v>382</v>
      </c>
      <c r="I16" s="339" t="s">
        <v>347</v>
      </c>
      <c r="J16" s="339" t="s">
        <v>348</v>
      </c>
      <c r="K16" s="329" t="str">
        <f t="shared" si="0"/>
        <v>Gestionar i intervenir en la dinàmica de poblacions de fauna que no tenen depredador natural</v>
      </c>
      <c r="L16" s="109"/>
      <c r="M16" s="76" t="s">
        <v>58</v>
      </c>
      <c r="N16" s="76" t="s">
        <v>58</v>
      </c>
      <c r="O16" s="110" t="s">
        <v>321</v>
      </c>
      <c r="P16" s="166" t="s">
        <v>384</v>
      </c>
      <c r="Q16" s="111"/>
      <c r="R16" s="112" t="s">
        <v>361</v>
      </c>
      <c r="S16" s="76" t="s">
        <v>385</v>
      </c>
      <c r="T16" s="129" t="s">
        <v>2526</v>
      </c>
      <c r="U16" s="129" t="s">
        <v>2527</v>
      </c>
      <c r="V16" s="129" t="s">
        <v>2528</v>
      </c>
      <c r="W16" s="122"/>
      <c r="X16" s="113">
        <v>225</v>
      </c>
      <c r="Y16" s="113" t="s">
        <v>305</v>
      </c>
      <c r="Z16" s="113" t="s">
        <v>306</v>
      </c>
      <c r="AA16" s="113"/>
      <c r="AB16" s="113"/>
      <c r="AC16" s="113"/>
      <c r="AD16" s="113"/>
      <c r="AE16" s="113"/>
      <c r="AF16" s="113"/>
      <c r="AG16" s="113"/>
      <c r="AH16" s="113"/>
    </row>
    <row r="17" spans="1:41" ht="145">
      <c r="A17" s="26"/>
      <c r="B17" s="36"/>
      <c r="C17" s="44"/>
      <c r="D17" s="534"/>
      <c r="E17" s="547"/>
      <c r="F17" s="105" t="s">
        <v>386</v>
      </c>
      <c r="G17" s="106" t="s">
        <v>387</v>
      </c>
      <c r="H17" s="105" t="s">
        <v>386</v>
      </c>
      <c r="I17" s="339" t="s">
        <v>297</v>
      </c>
      <c r="J17" s="339" t="s">
        <v>320</v>
      </c>
      <c r="K17" s="329" t="str">
        <f t="shared" si="0"/>
        <v>Afavorir la connectivitat ecològica del territori</v>
      </c>
      <c r="L17" s="109"/>
      <c r="M17" s="76" t="s">
        <v>58</v>
      </c>
      <c r="N17" s="76"/>
      <c r="O17" s="110" t="s">
        <v>301</v>
      </c>
      <c r="P17" s="166"/>
      <c r="Q17" s="111"/>
      <c r="R17" s="112"/>
      <c r="S17" s="76" t="s">
        <v>2974</v>
      </c>
      <c r="T17" s="381" t="s">
        <v>2975</v>
      </c>
      <c r="U17" s="129" t="s">
        <v>2529</v>
      </c>
      <c r="V17" s="129" t="s">
        <v>2530</v>
      </c>
      <c r="W17" s="407" t="s">
        <v>2748</v>
      </c>
      <c r="X17" s="129" t="s">
        <v>2893</v>
      </c>
      <c r="Y17" s="113" t="s">
        <v>305</v>
      </c>
      <c r="Z17" s="129" t="s">
        <v>2810</v>
      </c>
      <c r="AA17" s="113"/>
      <c r="AB17" s="113"/>
      <c r="AC17" s="113"/>
      <c r="AD17" s="113"/>
      <c r="AE17" s="113"/>
      <c r="AF17" s="113"/>
      <c r="AG17" s="113"/>
      <c r="AH17" s="113"/>
    </row>
    <row r="18" spans="1:41" s="387" customFormat="1" ht="72.5">
      <c r="A18" s="382"/>
      <c r="B18" s="383"/>
      <c r="C18" s="384"/>
      <c r="D18" s="530" t="s">
        <v>388</v>
      </c>
      <c r="E18" s="531" t="s">
        <v>389</v>
      </c>
      <c r="F18" s="105" t="s">
        <v>390</v>
      </c>
      <c r="G18" s="106" t="s">
        <v>391</v>
      </c>
      <c r="H18" s="105" t="s">
        <v>390</v>
      </c>
      <c r="I18" s="339" t="s">
        <v>297</v>
      </c>
      <c r="J18" s="339" t="s">
        <v>348</v>
      </c>
      <c r="K18" s="388" t="s">
        <v>392</v>
      </c>
      <c r="L18" s="388" t="s">
        <v>393</v>
      </c>
      <c r="M18" s="385" t="s">
        <v>58</v>
      </c>
      <c r="N18" s="385"/>
      <c r="O18" s="111" t="s">
        <v>301</v>
      </c>
      <c r="P18" s="386" t="s">
        <v>394</v>
      </c>
      <c r="Q18" s="111" t="s">
        <v>46</v>
      </c>
      <c r="R18" s="112" t="s">
        <v>395</v>
      </c>
      <c r="S18" s="354" t="s">
        <v>396</v>
      </c>
      <c r="T18" s="358" t="s">
        <v>2750</v>
      </c>
      <c r="U18" s="358" t="s">
        <v>2532</v>
      </c>
      <c r="V18" s="358" t="s">
        <v>2531</v>
      </c>
      <c r="W18" s="404"/>
      <c r="X18" s="358" t="s">
        <v>2894</v>
      </c>
      <c r="Y18" s="113" t="s">
        <v>305</v>
      </c>
      <c r="Z18" s="129" t="s">
        <v>2810</v>
      </c>
      <c r="AA18" s="359"/>
      <c r="AB18" s="359"/>
      <c r="AC18" s="359"/>
      <c r="AD18" s="359"/>
      <c r="AE18" s="359"/>
      <c r="AF18" s="359"/>
      <c r="AG18" s="359"/>
      <c r="AH18" s="359"/>
      <c r="AI18" s="360"/>
      <c r="AJ18" s="360"/>
      <c r="AK18" s="360"/>
      <c r="AL18" s="360"/>
      <c r="AM18" s="360"/>
      <c r="AN18" s="360"/>
      <c r="AO18" s="360"/>
    </row>
    <row r="19" spans="1:41" ht="246.5">
      <c r="A19" s="26"/>
      <c r="B19" s="36"/>
      <c r="C19" s="44"/>
      <c r="D19" s="530"/>
      <c r="E19" s="531"/>
      <c r="F19" s="105" t="s">
        <v>397</v>
      </c>
      <c r="G19" s="106" t="s">
        <v>398</v>
      </c>
      <c r="H19" s="105" t="s">
        <v>397</v>
      </c>
      <c r="I19" s="339" t="s">
        <v>297</v>
      </c>
      <c r="J19" s="339" t="s">
        <v>348</v>
      </c>
      <c r="K19" s="329" t="s">
        <v>398</v>
      </c>
      <c r="L19" s="109"/>
      <c r="M19" s="76" t="s">
        <v>58</v>
      </c>
      <c r="N19" s="76"/>
      <c r="O19" s="110" t="s">
        <v>301</v>
      </c>
      <c r="P19" s="166" t="s">
        <v>399</v>
      </c>
      <c r="Q19" s="111"/>
      <c r="R19" s="112"/>
      <c r="S19" s="76" t="s">
        <v>400</v>
      </c>
      <c r="T19" s="376" t="s">
        <v>2535</v>
      </c>
      <c r="U19" s="129" t="s">
        <v>2533</v>
      </c>
      <c r="V19" s="129" t="s">
        <v>2534</v>
      </c>
      <c r="W19" s="407" t="s">
        <v>2748</v>
      </c>
      <c r="X19" s="358" t="s">
        <v>2895</v>
      </c>
      <c r="Y19" s="113" t="s">
        <v>305</v>
      </c>
      <c r="Z19" s="129" t="s">
        <v>2810</v>
      </c>
      <c r="AA19" s="113"/>
      <c r="AB19" s="113"/>
      <c r="AC19" s="113"/>
      <c r="AD19" s="113"/>
      <c r="AE19" s="113"/>
      <c r="AF19" s="113"/>
      <c r="AG19" s="113"/>
      <c r="AH19" s="113"/>
    </row>
    <row r="20" spans="1:41" ht="174">
      <c r="A20" s="26"/>
      <c r="B20" s="37"/>
      <c r="C20" s="45"/>
      <c r="D20" s="530"/>
      <c r="E20" s="531"/>
      <c r="F20" s="105" t="s">
        <v>401</v>
      </c>
      <c r="G20" s="106" t="s">
        <v>402</v>
      </c>
      <c r="H20" s="105" t="s">
        <v>401</v>
      </c>
      <c r="I20" s="339" t="s">
        <v>347</v>
      </c>
      <c r="J20" s="339" t="s">
        <v>348</v>
      </c>
      <c r="K20" s="329" t="str">
        <f>G20</f>
        <v>Impulsar la coordinació amb els ens locals en la gestió finques públiques situades dins d’ENP</v>
      </c>
      <c r="L20" s="109"/>
      <c r="M20" s="76" t="s">
        <v>58</v>
      </c>
      <c r="N20" s="76"/>
      <c r="O20" s="110" t="s">
        <v>301</v>
      </c>
      <c r="P20" s="166" t="s">
        <v>403</v>
      </c>
      <c r="Q20" s="111" t="s">
        <v>323</v>
      </c>
      <c r="R20" s="112"/>
      <c r="S20" s="76" t="s">
        <v>2976</v>
      </c>
      <c r="T20" s="129" t="s">
        <v>2977</v>
      </c>
      <c r="U20" s="129" t="s">
        <v>1248</v>
      </c>
      <c r="V20" s="129" t="s">
        <v>2978</v>
      </c>
      <c r="W20" s="407" t="s">
        <v>2748</v>
      </c>
      <c r="X20" s="113">
        <v>262</v>
      </c>
      <c r="Y20" s="113" t="s">
        <v>329</v>
      </c>
      <c r="Z20" s="113" t="s">
        <v>2811</v>
      </c>
      <c r="AA20" s="113"/>
      <c r="AB20" s="113"/>
      <c r="AC20" s="113"/>
      <c r="AD20" s="113"/>
      <c r="AE20" s="113"/>
      <c r="AF20" s="113"/>
      <c r="AG20" s="113"/>
      <c r="AH20" s="113"/>
    </row>
    <row r="21" spans="1:41" ht="87">
      <c r="A21" s="26"/>
      <c r="B21" s="538">
        <v>2</v>
      </c>
      <c r="C21" s="541" t="s">
        <v>404</v>
      </c>
      <c r="D21" s="532" t="s">
        <v>405</v>
      </c>
      <c r="E21" s="535" t="s">
        <v>406</v>
      </c>
      <c r="F21" s="105" t="s">
        <v>407</v>
      </c>
      <c r="G21" s="106" t="s">
        <v>408</v>
      </c>
      <c r="H21" s="105" t="s">
        <v>407</v>
      </c>
      <c r="I21" s="339" t="s">
        <v>297</v>
      </c>
      <c r="J21" s="339" t="s">
        <v>298</v>
      </c>
      <c r="K21" s="388" t="str">
        <f t="shared" si="0"/>
        <v>Adaptar i implementar el Pla d'adaptació de l'ENP al canvi climàtic</v>
      </c>
      <c r="L21" s="343"/>
      <c r="M21" s="76" t="s">
        <v>58</v>
      </c>
      <c r="N21" s="76"/>
      <c r="O21" s="110" t="s">
        <v>321</v>
      </c>
      <c r="P21" s="166" t="s">
        <v>409</v>
      </c>
      <c r="Q21" s="111"/>
      <c r="R21" s="112" t="s">
        <v>410</v>
      </c>
      <c r="S21" s="76" t="s">
        <v>411</v>
      </c>
      <c r="T21" s="129" t="s">
        <v>412</v>
      </c>
      <c r="U21" s="129" t="s">
        <v>852</v>
      </c>
      <c r="V21" s="129" t="s">
        <v>2536</v>
      </c>
      <c r="W21" s="407" t="s">
        <v>2748</v>
      </c>
      <c r="X21" s="129" t="s">
        <v>2896</v>
      </c>
      <c r="Y21" s="129" t="s">
        <v>2813</v>
      </c>
      <c r="Z21" s="129" t="s">
        <v>2812</v>
      </c>
      <c r="AA21" s="113"/>
      <c r="AB21" s="113"/>
      <c r="AC21" s="113"/>
      <c r="AD21" s="113"/>
      <c r="AE21" s="113"/>
      <c r="AF21" s="113"/>
      <c r="AG21" s="113"/>
      <c r="AH21" s="113"/>
    </row>
    <row r="22" spans="1:41" ht="72.5">
      <c r="A22" s="26"/>
      <c r="B22" s="539"/>
      <c r="C22" s="542"/>
      <c r="D22" s="533"/>
      <c r="E22" s="536"/>
      <c r="F22" s="105" t="s">
        <v>413</v>
      </c>
      <c r="G22" s="106" t="s">
        <v>414</v>
      </c>
      <c r="H22" s="105" t="s">
        <v>413</v>
      </c>
      <c r="I22" s="339" t="s">
        <v>297</v>
      </c>
      <c r="J22" s="339" t="s">
        <v>320</v>
      </c>
      <c r="K22" s="329" t="str">
        <f t="shared" si="0"/>
        <v>Gestionar i planificar els recursos hídrics de l'ENP</v>
      </c>
      <c r="L22" s="109"/>
      <c r="M22" s="76" t="s">
        <v>58</v>
      </c>
      <c r="N22" s="76"/>
      <c r="O22" s="110" t="s">
        <v>301</v>
      </c>
      <c r="P22" s="166"/>
      <c r="Q22" s="111"/>
      <c r="R22" s="112"/>
      <c r="S22" s="76" t="s">
        <v>415</v>
      </c>
      <c r="T22" s="129" t="s">
        <v>2537</v>
      </c>
      <c r="U22" s="129" t="s">
        <v>2538</v>
      </c>
      <c r="V22" s="129" t="s">
        <v>2539</v>
      </c>
      <c r="W22" s="407" t="s">
        <v>2748</v>
      </c>
      <c r="X22" s="129" t="s">
        <v>2897</v>
      </c>
      <c r="Y22" s="129" t="s">
        <v>2813</v>
      </c>
      <c r="Z22" s="129" t="s">
        <v>2814</v>
      </c>
      <c r="AA22" s="113"/>
      <c r="AB22" s="113"/>
      <c r="AC22" s="113"/>
      <c r="AD22" s="113"/>
      <c r="AE22" s="113"/>
      <c r="AF22" s="113"/>
      <c r="AG22" s="113"/>
      <c r="AH22" s="113"/>
    </row>
    <row r="23" spans="1:41" ht="72.5">
      <c r="A23" s="26"/>
      <c r="B23" s="539"/>
      <c r="C23" s="542"/>
      <c r="D23" s="533"/>
      <c r="E23" s="536"/>
      <c r="F23" s="105" t="s">
        <v>416</v>
      </c>
      <c r="G23" s="106" t="s">
        <v>417</v>
      </c>
      <c r="H23" s="105" t="s">
        <v>416</v>
      </c>
      <c r="I23" s="339" t="s">
        <v>347</v>
      </c>
      <c r="J23" s="339" t="s">
        <v>348</v>
      </c>
      <c r="K23" s="7" t="s">
        <v>418</v>
      </c>
      <c r="L23" s="117" t="s">
        <v>419</v>
      </c>
      <c r="M23" s="76" t="s">
        <v>58</v>
      </c>
      <c r="N23" s="76" t="s">
        <v>58</v>
      </c>
      <c r="O23" s="110" t="s">
        <v>321</v>
      </c>
      <c r="P23" s="166" t="s">
        <v>420</v>
      </c>
      <c r="Q23" s="111"/>
      <c r="R23" s="112" t="s">
        <v>421</v>
      </c>
      <c r="S23" s="76" t="s">
        <v>3009</v>
      </c>
      <c r="T23" s="129" t="s">
        <v>2542</v>
      </c>
      <c r="U23" s="129" t="s">
        <v>2540</v>
      </c>
      <c r="V23" s="129" t="s">
        <v>2541</v>
      </c>
      <c r="W23" s="122"/>
      <c r="X23" s="113">
        <v>680</v>
      </c>
      <c r="Y23" s="113" t="s">
        <v>305</v>
      </c>
      <c r="Z23" s="113" t="s">
        <v>364</v>
      </c>
      <c r="AA23" s="113"/>
      <c r="AB23" s="113"/>
      <c r="AC23" s="113"/>
      <c r="AD23" s="113"/>
      <c r="AE23" s="113"/>
      <c r="AF23" s="113"/>
      <c r="AG23" s="113"/>
      <c r="AH23" s="113"/>
    </row>
    <row r="24" spans="1:41" ht="43.5">
      <c r="A24" s="26"/>
      <c r="B24" s="539"/>
      <c r="C24" s="542"/>
      <c r="D24" s="534"/>
      <c r="E24" s="537"/>
      <c r="F24" s="105" t="s">
        <v>422</v>
      </c>
      <c r="G24" s="106" t="s">
        <v>423</v>
      </c>
      <c r="H24" s="105" t="s">
        <v>422</v>
      </c>
      <c r="I24" s="339" t="s">
        <v>347</v>
      </c>
      <c r="J24" s="339" t="s">
        <v>424</v>
      </c>
      <c r="K24" s="329" t="str">
        <f t="shared" si="0"/>
        <v>Promoure la redacció d'instruments d'ordenació forestal per reduir la sensibilitat i vulnerabilitat dels boscos al canvi climàtic en finques privades</v>
      </c>
      <c r="L24" s="109"/>
      <c r="M24" s="76" t="s">
        <v>58</v>
      </c>
      <c r="N24" s="76" t="s">
        <v>58</v>
      </c>
      <c r="O24" s="110"/>
      <c r="P24" s="166" t="s">
        <v>425</v>
      </c>
      <c r="Q24" s="111"/>
      <c r="R24" s="112"/>
      <c r="S24" s="76" t="s">
        <v>426</v>
      </c>
      <c r="T24" s="129" t="s">
        <v>427</v>
      </c>
      <c r="U24" s="129" t="s">
        <v>2543</v>
      </c>
      <c r="V24" s="129" t="s">
        <v>2544</v>
      </c>
      <c r="W24" s="122"/>
      <c r="X24" s="113">
        <v>595</v>
      </c>
      <c r="Y24" s="113" t="s">
        <v>305</v>
      </c>
      <c r="Z24" s="113" t="s">
        <v>364</v>
      </c>
      <c r="AA24" s="113"/>
      <c r="AB24" s="113"/>
      <c r="AC24" s="113"/>
      <c r="AD24" s="113"/>
      <c r="AE24" s="113"/>
      <c r="AF24" s="113"/>
      <c r="AG24" s="113"/>
      <c r="AH24" s="113"/>
    </row>
    <row r="25" spans="1:41" ht="58">
      <c r="A25" s="26"/>
      <c r="B25" s="539"/>
      <c r="C25" s="542"/>
      <c r="D25" s="530" t="s">
        <v>428</v>
      </c>
      <c r="E25" s="531" t="s">
        <v>429</v>
      </c>
      <c r="F25" s="105" t="s">
        <v>430</v>
      </c>
      <c r="G25" s="106" t="s">
        <v>431</v>
      </c>
      <c r="H25" s="105" t="s">
        <v>430</v>
      </c>
      <c r="I25" s="339" t="s">
        <v>297</v>
      </c>
      <c r="J25" s="339" t="s">
        <v>298</v>
      </c>
      <c r="K25" s="329" t="s">
        <v>2546</v>
      </c>
      <c r="L25" s="109" t="s">
        <v>2545</v>
      </c>
      <c r="M25" s="76" t="s">
        <v>58</v>
      </c>
      <c r="N25" s="76" t="s">
        <v>58</v>
      </c>
      <c r="O25" s="110" t="s">
        <v>321</v>
      </c>
      <c r="P25" s="166" t="s">
        <v>432</v>
      </c>
      <c r="Q25" s="111" t="s">
        <v>323</v>
      </c>
      <c r="R25" s="112" t="s">
        <v>433</v>
      </c>
      <c r="S25" s="76" t="s">
        <v>2547</v>
      </c>
      <c r="T25" s="129" t="s">
        <v>2548</v>
      </c>
      <c r="U25" s="113" t="s">
        <v>353</v>
      </c>
      <c r="V25" s="113" t="s">
        <v>2520</v>
      </c>
      <c r="W25" s="403"/>
      <c r="X25" s="113"/>
      <c r="Y25" s="113" t="s">
        <v>305</v>
      </c>
      <c r="Z25" s="113" t="s">
        <v>364</v>
      </c>
      <c r="AA25" s="113"/>
      <c r="AB25" s="113"/>
      <c r="AC25" s="113"/>
      <c r="AD25" s="113"/>
      <c r="AE25" s="113"/>
      <c r="AF25" s="113"/>
      <c r="AG25" s="113"/>
      <c r="AH25" s="113"/>
    </row>
    <row r="26" spans="1:41" ht="29">
      <c r="A26" s="26"/>
      <c r="B26" s="539"/>
      <c r="C26" s="542"/>
      <c r="D26" s="530"/>
      <c r="E26" s="531"/>
      <c r="F26" s="105" t="s">
        <v>434</v>
      </c>
      <c r="G26" s="106" t="s">
        <v>435</v>
      </c>
      <c r="H26" s="105" t="s">
        <v>434</v>
      </c>
      <c r="I26" s="339" t="s">
        <v>347</v>
      </c>
      <c r="J26" s="339" t="s">
        <v>348</v>
      </c>
      <c r="K26" s="329" t="str">
        <f t="shared" si="0"/>
        <v>Definir i planificar la gestió del foc per a la millora de l'ENP</v>
      </c>
      <c r="L26" s="117" t="s">
        <v>436</v>
      </c>
      <c r="M26" s="76" t="s">
        <v>79</v>
      </c>
      <c r="N26" s="76" t="s">
        <v>79</v>
      </c>
      <c r="O26" s="110"/>
      <c r="P26" s="166" t="s">
        <v>437</v>
      </c>
      <c r="Q26" s="111"/>
      <c r="R26" s="112" t="s">
        <v>438</v>
      </c>
      <c r="S26" s="76"/>
      <c r="T26" s="129"/>
      <c r="U26" s="113"/>
      <c r="V26" s="113"/>
      <c r="W26" s="403"/>
      <c r="X26" s="113"/>
      <c r="Y26" s="113"/>
      <c r="Z26" s="113"/>
      <c r="AA26" s="113"/>
      <c r="AB26" s="113"/>
      <c r="AC26" s="113"/>
      <c r="AD26" s="113"/>
      <c r="AE26" s="113"/>
      <c r="AF26" s="113"/>
      <c r="AG26" s="113"/>
      <c r="AH26" s="113"/>
    </row>
    <row r="27" spans="1:41" ht="43.5">
      <c r="A27" s="26"/>
      <c r="B27" s="539"/>
      <c r="C27" s="542"/>
      <c r="D27" s="530"/>
      <c r="E27" s="531"/>
      <c r="F27" s="105" t="s">
        <v>439</v>
      </c>
      <c r="G27" s="106" t="s">
        <v>440</v>
      </c>
      <c r="H27" s="105" t="s">
        <v>439</v>
      </c>
      <c r="I27" s="339" t="s">
        <v>297</v>
      </c>
      <c r="J27" s="339" t="s">
        <v>298</v>
      </c>
      <c r="K27" s="329" t="str">
        <f t="shared" si="0"/>
        <v>Treballar per a la prevenció d'incendis juntament amb els propietaris, ajuntaments, protecció civil, ADF i bombers.</v>
      </c>
      <c r="L27" s="109"/>
      <c r="M27" s="76" t="s">
        <v>58</v>
      </c>
      <c r="N27" s="76" t="s">
        <v>79</v>
      </c>
      <c r="O27" s="110" t="s">
        <v>321</v>
      </c>
      <c r="P27" s="166"/>
      <c r="Q27" s="111"/>
      <c r="R27" s="112"/>
      <c r="S27" s="76" t="s">
        <v>441</v>
      </c>
      <c r="T27" s="129" t="s">
        <v>2751</v>
      </c>
      <c r="U27" s="129" t="s">
        <v>2549</v>
      </c>
      <c r="V27" s="129" t="s">
        <v>2550</v>
      </c>
      <c r="W27" s="122"/>
      <c r="X27" s="113">
        <v>690</v>
      </c>
      <c r="Y27" s="113" t="s">
        <v>305</v>
      </c>
      <c r="Z27" s="113" t="s">
        <v>364</v>
      </c>
      <c r="AA27" s="113"/>
      <c r="AB27" s="113"/>
      <c r="AC27" s="113"/>
      <c r="AD27" s="113"/>
      <c r="AE27" s="113"/>
      <c r="AF27" s="113"/>
      <c r="AG27" s="113"/>
      <c r="AH27" s="113"/>
    </row>
    <row r="28" spans="1:41" s="349" customFormat="1" ht="72.5">
      <c r="A28" s="345"/>
      <c r="B28" s="538">
        <v>3</v>
      </c>
      <c r="C28" s="541" t="s">
        <v>442</v>
      </c>
      <c r="D28" s="530" t="s">
        <v>443</v>
      </c>
      <c r="E28" s="544" t="s">
        <v>444</v>
      </c>
      <c r="F28" s="105" t="s">
        <v>445</v>
      </c>
      <c r="G28" s="106" t="s">
        <v>446</v>
      </c>
      <c r="H28" s="346" t="s">
        <v>445</v>
      </c>
      <c r="I28" s="347" t="s">
        <v>297</v>
      </c>
      <c r="J28" s="347" t="s">
        <v>320</v>
      </c>
      <c r="K28" s="329" t="str">
        <f t="shared" si="0"/>
        <v>Participar en les consultes dels procesos d'Avaluació Ambiental que afectin directament o indirectament l’espai del ENP</v>
      </c>
      <c r="L28" s="343"/>
      <c r="M28" s="76" t="s">
        <v>58</v>
      </c>
      <c r="N28" s="348"/>
      <c r="O28" s="343"/>
      <c r="P28" s="166"/>
      <c r="Q28" s="344"/>
      <c r="R28" s="115"/>
      <c r="S28" s="76" t="s">
        <v>2551</v>
      </c>
      <c r="T28" s="354" t="s">
        <v>2552</v>
      </c>
      <c r="U28" s="76" t="s">
        <v>2553</v>
      </c>
      <c r="V28" s="76" t="s">
        <v>2553</v>
      </c>
      <c r="W28" s="407" t="s">
        <v>2752</v>
      </c>
      <c r="X28" s="413" t="s">
        <v>2898</v>
      </c>
      <c r="Y28" s="113" t="s">
        <v>305</v>
      </c>
      <c r="Z28" s="129" t="s">
        <v>2810</v>
      </c>
      <c r="AA28" s="348"/>
      <c r="AB28" s="348"/>
      <c r="AC28" s="348"/>
      <c r="AD28" s="348"/>
      <c r="AE28" s="348"/>
      <c r="AF28" s="348"/>
      <c r="AG28" s="348"/>
      <c r="AH28" s="348"/>
    </row>
    <row r="29" spans="1:41" s="349" customFormat="1" ht="72.5">
      <c r="A29" s="345"/>
      <c r="B29" s="539"/>
      <c r="C29" s="542"/>
      <c r="D29" s="530"/>
      <c r="E29" s="544"/>
      <c r="F29" s="346" t="s">
        <v>447</v>
      </c>
      <c r="G29" s="106" t="s">
        <v>448</v>
      </c>
      <c r="H29" s="346" t="s">
        <v>447</v>
      </c>
      <c r="I29" s="347" t="s">
        <v>297</v>
      </c>
      <c r="J29" s="347" t="s">
        <v>320</v>
      </c>
      <c r="K29" s="329" t="str">
        <f t="shared" si="0"/>
        <v>Exercir un seguiment efectiu de les obres al Parc juntament amb les Oficines Territorials d'Acció i Avaluació Ambiental als efectes d'assegurar la correcta translació de la tutela administrativa.</v>
      </c>
      <c r="L29" s="343"/>
      <c r="M29" s="76" t="s">
        <v>58</v>
      </c>
      <c r="N29" s="337"/>
      <c r="O29" s="343"/>
      <c r="P29" s="166"/>
      <c r="Q29" s="344"/>
      <c r="R29" s="115"/>
      <c r="S29" s="76" t="s">
        <v>2554</v>
      </c>
      <c r="T29" s="114" t="s">
        <v>2556</v>
      </c>
      <c r="U29" s="114" t="s">
        <v>2557</v>
      </c>
      <c r="V29" s="114" t="s">
        <v>1201</v>
      </c>
      <c r="W29" s="407" t="s">
        <v>2752</v>
      </c>
      <c r="X29" s="114">
        <v>300</v>
      </c>
      <c r="Y29" s="114" t="s">
        <v>2815</v>
      </c>
      <c r="Z29" s="114" t="s">
        <v>2811</v>
      </c>
      <c r="AA29" s="348"/>
      <c r="AB29" s="348"/>
      <c r="AC29" s="348"/>
      <c r="AD29" s="348"/>
      <c r="AE29" s="348"/>
      <c r="AF29" s="348"/>
      <c r="AG29" s="348"/>
      <c r="AH29" s="348"/>
    </row>
    <row r="30" spans="1:41" s="349" customFormat="1" ht="72.5">
      <c r="A30" s="345"/>
      <c r="B30" s="539"/>
      <c r="C30" s="542"/>
      <c r="D30" s="530"/>
      <c r="E30" s="544"/>
      <c r="F30" s="346" t="s">
        <v>449</v>
      </c>
      <c r="G30" s="106" t="s">
        <v>450</v>
      </c>
      <c r="H30" s="346" t="s">
        <v>449</v>
      </c>
      <c r="I30" s="347" t="s">
        <v>297</v>
      </c>
      <c r="J30" s="347" t="s">
        <v>348</v>
      </c>
      <c r="K30" s="7" t="s">
        <v>451</v>
      </c>
      <c r="L30" s="117" t="s">
        <v>452</v>
      </c>
      <c r="M30" s="76" t="s">
        <v>58</v>
      </c>
      <c r="N30" s="337"/>
      <c r="O30" s="343"/>
      <c r="P30" s="166" t="s">
        <v>453</v>
      </c>
      <c r="Q30" s="344"/>
      <c r="R30" s="115"/>
      <c r="S30" s="76" t="s">
        <v>2979</v>
      </c>
      <c r="T30" s="76" t="s">
        <v>454</v>
      </c>
      <c r="U30" s="114" t="s">
        <v>2558</v>
      </c>
      <c r="V30" s="114" t="s">
        <v>1041</v>
      </c>
      <c r="W30" s="407" t="s">
        <v>2752</v>
      </c>
      <c r="X30" s="114">
        <v>50</v>
      </c>
      <c r="Y30" s="114" t="s">
        <v>2815</v>
      </c>
      <c r="Z30" s="114" t="s">
        <v>2811</v>
      </c>
      <c r="AA30" s="348"/>
      <c r="AB30" s="348"/>
      <c r="AC30" s="348"/>
      <c r="AD30" s="348"/>
      <c r="AE30" s="348"/>
      <c r="AF30" s="348"/>
      <c r="AG30" s="348"/>
      <c r="AH30" s="348"/>
    </row>
    <row r="31" spans="1:41" ht="101.5">
      <c r="A31" s="26"/>
      <c r="B31" s="539"/>
      <c r="C31" s="542"/>
      <c r="D31" s="12" t="s">
        <v>455</v>
      </c>
      <c r="E31" s="89" t="s">
        <v>456</v>
      </c>
      <c r="F31" s="105" t="s">
        <v>457</v>
      </c>
      <c r="G31" s="106" t="s">
        <v>458</v>
      </c>
      <c r="H31" s="105" t="s">
        <v>457</v>
      </c>
      <c r="I31" s="339" t="s">
        <v>297</v>
      </c>
      <c r="J31" s="106" t="s">
        <v>320</v>
      </c>
      <c r="K31" s="108" t="s">
        <v>459</v>
      </c>
      <c r="L31" s="117" t="s">
        <v>460</v>
      </c>
      <c r="M31" s="76" t="s">
        <v>58</v>
      </c>
      <c r="N31" s="76"/>
      <c r="O31" s="110" t="s">
        <v>301</v>
      </c>
      <c r="P31" s="166" t="s">
        <v>461</v>
      </c>
      <c r="Q31" s="111"/>
      <c r="R31" s="112" t="s">
        <v>462</v>
      </c>
      <c r="S31" s="76" t="s">
        <v>3004</v>
      </c>
      <c r="T31" s="113" t="s">
        <v>463</v>
      </c>
      <c r="U31" s="113" t="s">
        <v>1187</v>
      </c>
      <c r="V31" s="113" t="s">
        <v>2559</v>
      </c>
      <c r="W31" s="407" t="s">
        <v>2754</v>
      </c>
      <c r="X31" s="113">
        <v>800</v>
      </c>
      <c r="Y31" s="114" t="s">
        <v>2815</v>
      </c>
      <c r="Z31" s="114" t="s">
        <v>2811</v>
      </c>
      <c r="AA31" s="113"/>
      <c r="AB31" s="113"/>
      <c r="AC31" s="113"/>
      <c r="AD31" s="113"/>
      <c r="AE31" s="113"/>
      <c r="AF31" s="113"/>
      <c r="AG31" s="113"/>
      <c r="AH31" s="113"/>
    </row>
    <row r="32" spans="1:41" ht="87">
      <c r="A32" s="26"/>
      <c r="B32" s="539"/>
      <c r="C32" s="542"/>
      <c r="D32" s="532" t="s">
        <v>464</v>
      </c>
      <c r="E32" s="545" t="s">
        <v>465</v>
      </c>
      <c r="F32" s="105" t="s">
        <v>466</v>
      </c>
      <c r="G32" s="106" t="s">
        <v>467</v>
      </c>
      <c r="H32" s="105" t="s">
        <v>466</v>
      </c>
      <c r="I32" s="339" t="s">
        <v>347</v>
      </c>
      <c r="J32" s="339" t="s">
        <v>424</v>
      </c>
      <c r="K32" s="329" t="str">
        <f t="shared" si="0"/>
        <v>Vetllar pel manteniment del cabal ecològic dels rius definit al Pla sectorial corresponent</v>
      </c>
      <c r="L32" s="109"/>
      <c r="M32" s="76" t="s">
        <v>58</v>
      </c>
      <c r="N32" s="76"/>
      <c r="O32" s="110" t="s">
        <v>301</v>
      </c>
      <c r="P32" s="166" t="s">
        <v>468</v>
      </c>
      <c r="Q32" s="111" t="s">
        <v>323</v>
      </c>
      <c r="R32" s="112" t="s">
        <v>469</v>
      </c>
      <c r="S32" s="76" t="s">
        <v>470</v>
      </c>
      <c r="T32" s="129" t="s">
        <v>2560</v>
      </c>
      <c r="U32" s="129" t="s">
        <v>2561</v>
      </c>
      <c r="V32" s="129" t="s">
        <v>2562</v>
      </c>
      <c r="W32" s="407" t="s">
        <v>2755</v>
      </c>
      <c r="X32" s="113">
        <v>250</v>
      </c>
      <c r="Y32" s="113" t="s">
        <v>305</v>
      </c>
      <c r="Z32" s="113" t="s">
        <v>2816</v>
      </c>
      <c r="AA32" s="113"/>
      <c r="AB32" s="113"/>
      <c r="AC32" s="113"/>
      <c r="AD32" s="113"/>
      <c r="AE32" s="113"/>
      <c r="AF32" s="113"/>
      <c r="AG32" s="113"/>
      <c r="AH32" s="113"/>
    </row>
    <row r="33" spans="1:34" ht="72.5">
      <c r="A33" s="26"/>
      <c r="B33" s="539"/>
      <c r="C33" s="542"/>
      <c r="D33" s="533"/>
      <c r="E33" s="546"/>
      <c r="F33" s="105" t="s">
        <v>471</v>
      </c>
      <c r="G33" s="106" t="s">
        <v>472</v>
      </c>
      <c r="H33" s="105" t="s">
        <v>471</v>
      </c>
      <c r="I33" s="339" t="s">
        <v>347</v>
      </c>
      <c r="J33" s="339" t="s">
        <v>348</v>
      </c>
      <c r="K33" s="329" t="str">
        <f t="shared" si="0"/>
        <v>Vetllar per la regulació dels dragatges, canalitzacions o implantació d'activitats extractives que puguin modificar la llera i el cabal dels rius</v>
      </c>
      <c r="L33" s="109"/>
      <c r="M33" s="76" t="s">
        <v>58</v>
      </c>
      <c r="N33" s="76"/>
      <c r="O33" s="110" t="s">
        <v>321</v>
      </c>
      <c r="P33" s="166"/>
      <c r="Q33" s="111"/>
      <c r="R33" s="112"/>
      <c r="S33" s="76" t="s">
        <v>473</v>
      </c>
      <c r="T33" s="129" t="s">
        <v>474</v>
      </c>
      <c r="U33" s="113" t="s">
        <v>353</v>
      </c>
      <c r="V33" s="113" t="s">
        <v>1041</v>
      </c>
      <c r="W33" s="407" t="s">
        <v>2754</v>
      </c>
      <c r="X33" s="113">
        <v>100</v>
      </c>
      <c r="Y33" s="113" t="s">
        <v>305</v>
      </c>
      <c r="Z33" s="113" t="s">
        <v>2816</v>
      </c>
      <c r="AA33" s="113"/>
      <c r="AB33" s="113"/>
      <c r="AC33" s="113"/>
      <c r="AD33" s="113"/>
      <c r="AE33" s="113"/>
      <c r="AF33" s="113"/>
      <c r="AG33" s="113"/>
      <c r="AH33" s="113"/>
    </row>
    <row r="34" spans="1:34" ht="130.5">
      <c r="A34" s="26"/>
      <c r="B34" s="539"/>
      <c r="C34" s="542"/>
      <c r="D34" s="533"/>
      <c r="E34" s="546"/>
      <c r="F34" s="105" t="s">
        <v>475</v>
      </c>
      <c r="G34" s="106" t="s">
        <v>476</v>
      </c>
      <c r="H34" s="105" t="s">
        <v>475</v>
      </c>
      <c r="I34" s="339" t="s">
        <v>347</v>
      </c>
      <c r="J34" s="339" t="s">
        <v>348</v>
      </c>
      <c r="K34" s="329" t="s">
        <v>2756</v>
      </c>
      <c r="L34" s="108" t="s">
        <v>2795</v>
      </c>
      <c r="M34" s="76" t="s">
        <v>58</v>
      </c>
      <c r="N34" s="76"/>
      <c r="O34" s="110" t="s">
        <v>301</v>
      </c>
      <c r="P34" s="166" t="s">
        <v>477</v>
      </c>
      <c r="Q34" s="111"/>
      <c r="R34" s="112"/>
      <c r="S34" s="76" t="s">
        <v>2980</v>
      </c>
      <c r="T34" s="129" t="s">
        <v>2563</v>
      </c>
      <c r="U34" s="129" t="s">
        <v>2564</v>
      </c>
      <c r="V34" s="129" t="s">
        <v>2565</v>
      </c>
      <c r="W34" s="407" t="s">
        <v>2755</v>
      </c>
      <c r="X34" s="113">
        <v>180</v>
      </c>
      <c r="Y34" s="113" t="s">
        <v>305</v>
      </c>
      <c r="Z34" s="113" t="s">
        <v>2816</v>
      </c>
      <c r="AA34" s="113"/>
      <c r="AB34" s="113"/>
      <c r="AC34" s="113"/>
      <c r="AD34" s="113"/>
      <c r="AE34" s="113"/>
      <c r="AF34" s="113"/>
      <c r="AG34" s="113"/>
      <c r="AH34" s="113"/>
    </row>
    <row r="35" spans="1:34" ht="58">
      <c r="A35" s="26"/>
      <c r="B35" s="539"/>
      <c r="C35" s="542"/>
      <c r="D35" s="533"/>
      <c r="E35" s="546"/>
      <c r="F35" s="105" t="s">
        <v>478</v>
      </c>
      <c r="G35" s="106" t="s">
        <v>479</v>
      </c>
      <c r="H35" s="105" t="s">
        <v>478</v>
      </c>
      <c r="I35" s="339" t="s">
        <v>347</v>
      </c>
      <c r="J35" s="339" t="s">
        <v>348</v>
      </c>
      <c r="K35" s="329" t="str">
        <f t="shared" si="0"/>
        <v>Vetllar pel compliment de la normativa de depuració dels efluents agroramaders, urbans i industrials que s'aboquen als cursos fluvials</v>
      </c>
      <c r="L35" s="109"/>
      <c r="M35" s="76" t="s">
        <v>58</v>
      </c>
      <c r="N35" s="76"/>
      <c r="O35" s="110" t="s">
        <v>301</v>
      </c>
      <c r="P35" s="166" t="s">
        <v>480</v>
      </c>
      <c r="Q35" s="111"/>
      <c r="R35" s="112"/>
      <c r="S35" s="76" t="s">
        <v>481</v>
      </c>
      <c r="T35" s="129" t="s">
        <v>482</v>
      </c>
      <c r="U35" s="129" t="s">
        <v>2566</v>
      </c>
      <c r="V35" s="129" t="s">
        <v>578</v>
      </c>
      <c r="W35" s="407" t="s">
        <v>2755</v>
      </c>
      <c r="X35" s="113">
        <v>225</v>
      </c>
      <c r="Y35" s="113" t="s">
        <v>305</v>
      </c>
      <c r="Z35" s="113" t="s">
        <v>2816</v>
      </c>
      <c r="AA35" s="113"/>
      <c r="AB35" s="113"/>
      <c r="AC35" s="113"/>
      <c r="AD35" s="113"/>
      <c r="AE35" s="113"/>
      <c r="AF35" s="113"/>
      <c r="AG35" s="113"/>
      <c r="AH35" s="113"/>
    </row>
    <row r="36" spans="1:34" ht="58">
      <c r="A36" s="26"/>
      <c r="B36" s="539"/>
      <c r="C36" s="542"/>
      <c r="D36" s="534"/>
      <c r="E36" s="547"/>
      <c r="F36" s="105" t="s">
        <v>483</v>
      </c>
      <c r="G36" s="106" t="s">
        <v>484</v>
      </c>
      <c r="H36" s="105" t="s">
        <v>483</v>
      </c>
      <c r="I36" s="339" t="s">
        <v>297</v>
      </c>
      <c r="J36" s="339" t="s">
        <v>424</v>
      </c>
      <c r="K36" s="329" t="s">
        <v>485</v>
      </c>
      <c r="L36" s="338" t="s">
        <v>486</v>
      </c>
      <c r="M36" s="76" t="s">
        <v>58</v>
      </c>
      <c r="N36" s="76"/>
      <c r="O36" s="110" t="s">
        <v>321</v>
      </c>
      <c r="P36" s="166"/>
      <c r="Q36" s="111"/>
      <c r="R36" s="112"/>
      <c r="S36" s="76" t="s">
        <v>487</v>
      </c>
      <c r="T36" s="113" t="s">
        <v>488</v>
      </c>
      <c r="U36" s="113" t="s">
        <v>563</v>
      </c>
      <c r="V36" s="113" t="s">
        <v>1041</v>
      </c>
      <c r="W36" s="407" t="s">
        <v>2755</v>
      </c>
      <c r="X36" s="113">
        <v>75</v>
      </c>
      <c r="Y36" s="113" t="s">
        <v>305</v>
      </c>
      <c r="Z36" s="113" t="s">
        <v>2816</v>
      </c>
      <c r="AA36" s="113"/>
      <c r="AB36" s="113"/>
      <c r="AC36" s="113"/>
      <c r="AD36" s="113"/>
      <c r="AE36" s="113"/>
      <c r="AF36" s="113"/>
      <c r="AG36" s="113"/>
      <c r="AH36" s="113"/>
    </row>
    <row r="37" spans="1:34" ht="87">
      <c r="A37" s="26"/>
      <c r="B37" s="539"/>
      <c r="C37" s="542"/>
      <c r="D37" s="530" t="s">
        <v>489</v>
      </c>
      <c r="E37" s="531" t="s">
        <v>490</v>
      </c>
      <c r="F37" s="105" t="s">
        <v>491</v>
      </c>
      <c r="G37" s="106" t="s">
        <v>492</v>
      </c>
      <c r="H37" s="105" t="s">
        <v>491</v>
      </c>
      <c r="I37" s="339"/>
      <c r="J37" s="339" t="s">
        <v>348</v>
      </c>
      <c r="K37" s="329" t="str">
        <f t="shared" si="0"/>
        <v xml:space="preserve">Identificar espais prioritaris per a la compra de terrenys de més valor dins l'ENP </v>
      </c>
      <c r="L37" s="109"/>
      <c r="M37" s="76" t="s">
        <v>58</v>
      </c>
      <c r="N37" s="76"/>
      <c r="O37" s="110" t="s">
        <v>301</v>
      </c>
      <c r="P37" s="166" t="s">
        <v>493</v>
      </c>
      <c r="Q37" s="111"/>
      <c r="R37" s="112" t="s">
        <v>494</v>
      </c>
      <c r="S37" s="76" t="s">
        <v>495</v>
      </c>
      <c r="T37" s="129" t="s">
        <v>496</v>
      </c>
      <c r="U37" s="129" t="s">
        <v>2567</v>
      </c>
      <c r="V37" s="129" t="s">
        <v>2568</v>
      </c>
      <c r="W37" s="407" t="s">
        <v>2755</v>
      </c>
      <c r="X37" s="113">
        <v>200</v>
      </c>
      <c r="Y37" s="113" t="s">
        <v>329</v>
      </c>
      <c r="Z37" s="113" t="s">
        <v>2811</v>
      </c>
      <c r="AA37" s="113"/>
      <c r="AB37" s="113"/>
      <c r="AC37" s="113"/>
      <c r="AD37" s="113"/>
      <c r="AE37" s="113"/>
      <c r="AF37" s="113"/>
      <c r="AG37" s="113"/>
      <c r="AH37" s="113"/>
    </row>
    <row r="38" spans="1:34" ht="72.5">
      <c r="A38" s="26"/>
      <c r="B38" s="540"/>
      <c r="C38" s="543"/>
      <c r="D38" s="530"/>
      <c r="E38" s="531"/>
      <c r="F38" s="105" t="s">
        <v>497</v>
      </c>
      <c r="G38" s="106" t="s">
        <v>498</v>
      </c>
      <c r="H38" s="105" t="s">
        <v>497</v>
      </c>
      <c r="I38" s="339" t="s">
        <v>297</v>
      </c>
      <c r="J38" s="339" t="s">
        <v>424</v>
      </c>
      <c r="K38" s="329" t="str">
        <f t="shared" si="0"/>
        <v>Identificar espais prioritaris per a la gestió directa</v>
      </c>
      <c r="L38" s="109"/>
      <c r="M38" s="76" t="s">
        <v>58</v>
      </c>
      <c r="N38" s="76"/>
      <c r="O38" s="110"/>
      <c r="P38" s="166" t="s">
        <v>499</v>
      </c>
      <c r="Q38" s="111"/>
      <c r="R38" s="112" t="s">
        <v>494</v>
      </c>
      <c r="S38" s="76" t="s">
        <v>500</v>
      </c>
      <c r="T38" s="129" t="s">
        <v>501</v>
      </c>
      <c r="U38" s="129" t="s">
        <v>502</v>
      </c>
      <c r="V38" s="129" t="s">
        <v>503</v>
      </c>
      <c r="W38" s="407" t="s">
        <v>2754</v>
      </c>
      <c r="X38" s="113">
        <v>200</v>
      </c>
      <c r="Y38" s="113" t="s">
        <v>329</v>
      </c>
      <c r="Z38" s="113" t="s">
        <v>330</v>
      </c>
      <c r="AA38" s="113"/>
      <c r="AB38" s="113"/>
      <c r="AC38" s="113"/>
      <c r="AD38" s="113"/>
      <c r="AE38" s="113"/>
      <c r="AF38" s="113"/>
      <c r="AG38" s="113"/>
      <c r="AH38" s="113"/>
    </row>
    <row r="39" spans="1:34" ht="145">
      <c r="A39" s="13" t="s">
        <v>504</v>
      </c>
      <c r="B39" s="62">
        <v>4</v>
      </c>
      <c r="C39" s="60" t="s">
        <v>505</v>
      </c>
      <c r="D39" s="522" t="s">
        <v>506</v>
      </c>
      <c r="E39" s="524" t="s">
        <v>507</v>
      </c>
      <c r="F39" s="105" t="s">
        <v>508</v>
      </c>
      <c r="G39" s="106" t="s">
        <v>509</v>
      </c>
      <c r="H39" s="105" t="s">
        <v>508</v>
      </c>
      <c r="I39" s="107" t="s">
        <v>297</v>
      </c>
      <c r="J39" s="107" t="s">
        <v>424</v>
      </c>
      <c r="K39" s="329" t="s">
        <v>2569</v>
      </c>
      <c r="L39" s="117" t="s">
        <v>510</v>
      </c>
      <c r="M39" s="76" t="s">
        <v>58</v>
      </c>
      <c r="N39" s="76"/>
      <c r="O39" s="110" t="s">
        <v>349</v>
      </c>
      <c r="P39" s="166" t="s">
        <v>512</v>
      </c>
      <c r="Q39" s="111"/>
      <c r="R39" s="112"/>
      <c r="S39" s="76" t="s">
        <v>513</v>
      </c>
      <c r="T39" s="129" t="s">
        <v>2570</v>
      </c>
      <c r="U39" s="129" t="s">
        <v>2571</v>
      </c>
      <c r="V39" s="129" t="s">
        <v>2572</v>
      </c>
      <c r="W39" s="407" t="s">
        <v>2757</v>
      </c>
      <c r="X39" s="113">
        <v>280</v>
      </c>
      <c r="Y39" s="113" t="s">
        <v>2817</v>
      </c>
      <c r="Z39" s="113" t="s">
        <v>2818</v>
      </c>
      <c r="AA39" s="113"/>
      <c r="AB39" s="113"/>
      <c r="AC39" s="113"/>
      <c r="AD39" s="113"/>
      <c r="AE39" s="113"/>
      <c r="AF39" s="113"/>
      <c r="AG39" s="113"/>
      <c r="AH39" s="113"/>
    </row>
    <row r="40" spans="1:34" ht="116">
      <c r="A40" s="13"/>
      <c r="B40" s="63"/>
      <c r="C40" s="61"/>
      <c r="D40" s="523"/>
      <c r="E40" s="525"/>
      <c r="F40" s="105" t="s">
        <v>514</v>
      </c>
      <c r="G40" s="106" t="s">
        <v>515</v>
      </c>
      <c r="H40" s="105" t="s">
        <v>514</v>
      </c>
      <c r="I40" s="107" t="s">
        <v>297</v>
      </c>
      <c r="J40" s="107" t="s">
        <v>424</v>
      </c>
      <c r="K40" s="405" t="s">
        <v>1517</v>
      </c>
      <c r="L40" s="117" t="s">
        <v>516</v>
      </c>
      <c r="M40" s="76" t="s">
        <v>58</v>
      </c>
      <c r="N40" s="76"/>
      <c r="O40" s="110" t="s">
        <v>517</v>
      </c>
      <c r="P40" s="166"/>
      <c r="Q40" s="111"/>
      <c r="R40" s="112"/>
      <c r="S40" s="76"/>
      <c r="T40" s="113"/>
      <c r="U40" s="113"/>
      <c r="V40" s="113"/>
      <c r="W40" s="407" t="s">
        <v>2766</v>
      </c>
      <c r="X40" s="113"/>
      <c r="Y40" s="113"/>
      <c r="Z40" s="113"/>
      <c r="AA40" s="113"/>
      <c r="AB40" s="113"/>
      <c r="AC40" s="113"/>
      <c r="AD40" s="113"/>
      <c r="AE40" s="113"/>
      <c r="AF40" s="113"/>
      <c r="AG40" s="113"/>
      <c r="AH40" s="113"/>
    </row>
    <row r="41" spans="1:34" ht="72.5">
      <c r="A41" s="13"/>
      <c r="B41" s="63"/>
      <c r="C41" s="61"/>
      <c r="D41" s="523"/>
      <c r="E41" s="526"/>
      <c r="F41" s="105" t="s">
        <v>518</v>
      </c>
      <c r="G41" s="106" t="s">
        <v>519</v>
      </c>
      <c r="H41" s="105" t="s">
        <v>518</v>
      </c>
      <c r="I41" s="107" t="s">
        <v>297</v>
      </c>
      <c r="J41" s="107" t="s">
        <v>424</v>
      </c>
      <c r="K41" s="329"/>
      <c r="L41" s="117"/>
      <c r="M41" s="76"/>
      <c r="N41" s="76"/>
      <c r="O41" s="110" t="s">
        <v>517</v>
      </c>
      <c r="P41" s="166"/>
      <c r="Q41" s="111"/>
      <c r="R41" s="112"/>
      <c r="S41" s="76"/>
      <c r="T41" s="129"/>
      <c r="U41" s="129"/>
      <c r="V41" s="129"/>
      <c r="W41" s="407" t="s">
        <v>2767</v>
      </c>
      <c r="X41" s="113"/>
      <c r="Y41" s="113"/>
      <c r="Z41" s="113"/>
      <c r="AA41" s="113"/>
      <c r="AB41" s="113"/>
      <c r="AC41" s="113"/>
      <c r="AD41" s="113"/>
      <c r="AE41" s="113"/>
      <c r="AF41" s="113"/>
      <c r="AG41" s="113"/>
      <c r="AH41" s="113"/>
    </row>
    <row r="42" spans="1:34" ht="87">
      <c r="A42" s="13"/>
      <c r="B42" s="63"/>
      <c r="C42" s="61"/>
      <c r="D42" s="527" t="s">
        <v>520</v>
      </c>
      <c r="E42" s="519" t="s">
        <v>521</v>
      </c>
      <c r="F42" s="105" t="s">
        <v>522</v>
      </c>
      <c r="G42" s="106" t="s">
        <v>523</v>
      </c>
      <c r="H42" s="105" t="s">
        <v>522</v>
      </c>
      <c r="I42" s="107" t="s">
        <v>297</v>
      </c>
      <c r="J42" s="107" t="s">
        <v>320</v>
      </c>
      <c r="K42" s="329" t="s">
        <v>524</v>
      </c>
      <c r="L42" s="117" t="s">
        <v>510</v>
      </c>
      <c r="M42" s="76" t="s">
        <v>58</v>
      </c>
      <c r="N42" s="76"/>
      <c r="O42" s="110" t="s">
        <v>321</v>
      </c>
      <c r="P42" s="166" t="s">
        <v>525</v>
      </c>
      <c r="Q42" s="111"/>
      <c r="R42" s="112"/>
      <c r="S42" s="76" t="s">
        <v>526</v>
      </c>
      <c r="T42" s="129" t="s">
        <v>2573</v>
      </c>
      <c r="U42" s="129" t="s">
        <v>2574</v>
      </c>
      <c r="V42" s="129" t="s">
        <v>2575</v>
      </c>
      <c r="W42" s="122"/>
      <c r="X42" s="129" t="s">
        <v>2901</v>
      </c>
      <c r="Y42" s="129" t="s">
        <v>2899</v>
      </c>
      <c r="Z42" s="129" t="s">
        <v>2900</v>
      </c>
      <c r="AA42" s="113"/>
      <c r="AB42" s="113"/>
      <c r="AC42" s="113"/>
      <c r="AD42" s="113"/>
      <c r="AE42" s="113"/>
      <c r="AF42" s="113"/>
      <c r="AG42" s="113"/>
      <c r="AH42" s="113"/>
    </row>
    <row r="43" spans="1:34" s="360" customFormat="1" ht="87">
      <c r="A43" s="13"/>
      <c r="B43" s="350"/>
      <c r="C43" s="351"/>
      <c r="D43" s="527"/>
      <c r="E43" s="519"/>
      <c r="F43" s="105" t="s">
        <v>527</v>
      </c>
      <c r="G43" s="106" t="s">
        <v>528</v>
      </c>
      <c r="H43" s="105" t="s">
        <v>527</v>
      </c>
      <c r="I43" s="107" t="s">
        <v>297</v>
      </c>
      <c r="J43" s="107" t="s">
        <v>424</v>
      </c>
      <c r="K43" s="353" t="s">
        <v>528</v>
      </c>
      <c r="L43" s="352"/>
      <c r="M43" s="354" t="s">
        <v>58</v>
      </c>
      <c r="N43" s="354"/>
      <c r="O43" s="355" t="s">
        <v>529</v>
      </c>
      <c r="P43" s="356" t="s">
        <v>530</v>
      </c>
      <c r="Q43" s="355"/>
      <c r="R43" s="357"/>
      <c r="S43" s="354" t="s">
        <v>2758</v>
      </c>
      <c r="T43" s="358" t="s">
        <v>531</v>
      </c>
      <c r="U43" s="358" t="s">
        <v>760</v>
      </c>
      <c r="V43" s="358" t="s">
        <v>761</v>
      </c>
      <c r="W43" s="404"/>
      <c r="X43" s="358" t="s">
        <v>2902</v>
      </c>
      <c r="Y43" s="129" t="s">
        <v>2826</v>
      </c>
      <c r="Z43" s="129" t="s">
        <v>2819</v>
      </c>
      <c r="AA43" s="359"/>
      <c r="AB43" s="359"/>
      <c r="AC43" s="359"/>
      <c r="AD43" s="359"/>
      <c r="AE43" s="359"/>
      <c r="AF43" s="359"/>
      <c r="AG43" s="359"/>
      <c r="AH43" s="359"/>
    </row>
    <row r="44" spans="1:34" ht="87">
      <c r="A44" s="46"/>
      <c r="B44" s="63"/>
      <c r="C44" s="61"/>
      <c r="D44" s="527"/>
      <c r="E44" s="519"/>
      <c r="F44" s="105" t="s">
        <v>534</v>
      </c>
      <c r="G44" s="106" t="s">
        <v>535</v>
      </c>
      <c r="H44" s="105" t="s">
        <v>534</v>
      </c>
      <c r="I44" s="107" t="s">
        <v>297</v>
      </c>
      <c r="J44" s="107" t="s">
        <v>424</v>
      </c>
      <c r="K44" s="329" t="str">
        <f>G44</f>
        <v>Impulsar i/o participar dels treballs de restauració arquitectònica, arqueològica i del patrimoni cultural</v>
      </c>
      <c r="L44" s="109" t="s">
        <v>536</v>
      </c>
      <c r="M44" s="76" t="s">
        <v>58</v>
      </c>
      <c r="N44" s="76"/>
      <c r="O44" s="110" t="s">
        <v>321</v>
      </c>
      <c r="P44" s="166" t="s">
        <v>537</v>
      </c>
      <c r="Q44" s="111"/>
      <c r="R44" s="112"/>
      <c r="S44" s="76" t="s">
        <v>2964</v>
      </c>
      <c r="T44" s="129" t="s">
        <v>2965</v>
      </c>
      <c r="U44" s="129" t="s">
        <v>2576</v>
      </c>
      <c r="V44" s="129" t="s">
        <v>2577</v>
      </c>
      <c r="W44" s="122"/>
      <c r="X44" s="113">
        <v>450</v>
      </c>
      <c r="Y44" s="76" t="s">
        <v>2820</v>
      </c>
      <c r="Z44" s="113" t="s">
        <v>330</v>
      </c>
      <c r="AA44" s="113"/>
      <c r="AB44" s="113"/>
      <c r="AC44" s="113"/>
      <c r="AD44" s="113"/>
      <c r="AE44" s="113"/>
      <c r="AF44" s="113"/>
      <c r="AG44" s="113"/>
      <c r="AH44" s="113"/>
    </row>
    <row r="45" spans="1:34" ht="72.5">
      <c r="A45" s="13"/>
      <c r="B45" s="63"/>
      <c r="C45" s="61"/>
      <c r="D45" s="528"/>
      <c r="E45" s="529"/>
      <c r="F45" s="105" t="s">
        <v>538</v>
      </c>
      <c r="G45" s="106" t="s">
        <v>539</v>
      </c>
      <c r="H45" s="105" t="s">
        <v>538</v>
      </c>
      <c r="I45" s="107" t="s">
        <v>297</v>
      </c>
      <c r="J45" s="107" t="s">
        <v>298</v>
      </c>
      <c r="K45" s="329" t="s">
        <v>540</v>
      </c>
      <c r="L45" s="109" t="s">
        <v>541</v>
      </c>
      <c r="M45" s="76" t="s">
        <v>58</v>
      </c>
      <c r="N45" s="76" t="s">
        <v>58</v>
      </c>
      <c r="O45" s="110" t="s">
        <v>529</v>
      </c>
      <c r="P45" s="166" t="s">
        <v>542</v>
      </c>
      <c r="Q45" s="111"/>
      <c r="R45" s="112"/>
      <c r="S45" s="76" t="s">
        <v>543</v>
      </c>
      <c r="T45" s="113" t="s">
        <v>544</v>
      </c>
      <c r="U45" s="113" t="s">
        <v>353</v>
      </c>
      <c r="V45" s="113" t="s">
        <v>545</v>
      </c>
      <c r="W45" s="407" t="s">
        <v>2759</v>
      </c>
      <c r="X45" s="113">
        <v>40</v>
      </c>
      <c r="Y45" s="113" t="s">
        <v>329</v>
      </c>
      <c r="Z45" s="113" t="s">
        <v>330</v>
      </c>
      <c r="AA45" s="113"/>
      <c r="AB45" s="113"/>
      <c r="AC45" s="113"/>
      <c r="AD45" s="113"/>
      <c r="AE45" s="113"/>
      <c r="AF45" s="113"/>
      <c r="AG45" s="113"/>
      <c r="AH45" s="113"/>
    </row>
    <row r="46" spans="1:34" ht="43.5">
      <c r="A46" s="13"/>
      <c r="B46" s="63"/>
      <c r="C46" s="61"/>
      <c r="D46" s="507" t="s">
        <v>546</v>
      </c>
      <c r="E46" s="508" t="s">
        <v>547</v>
      </c>
      <c r="F46" s="105" t="s">
        <v>548</v>
      </c>
      <c r="G46" s="106" t="s">
        <v>549</v>
      </c>
      <c r="H46" s="105" t="s">
        <v>548</v>
      </c>
      <c r="I46" s="107" t="s">
        <v>297</v>
      </c>
      <c r="J46" s="107" t="s">
        <v>298</v>
      </c>
      <c r="K46" s="329" t="str">
        <f t="shared" ref="K46:K71" si="1">G46</f>
        <v>Recuperar i conservar el patrimoni cultural immaterial (associat a les activitats i aprofitaments rurals tradicionals) i els valors espirituals</v>
      </c>
      <c r="L46" s="109"/>
      <c r="M46" s="76" t="s">
        <v>58</v>
      </c>
      <c r="N46" s="76"/>
      <c r="O46" s="110" t="s">
        <v>349</v>
      </c>
      <c r="P46" s="166"/>
      <c r="Q46" s="111" t="s">
        <v>46</v>
      </c>
      <c r="R46" s="112"/>
      <c r="S46" s="76" t="s">
        <v>550</v>
      </c>
      <c r="T46" s="129" t="s">
        <v>551</v>
      </c>
      <c r="U46" s="129" t="s">
        <v>552</v>
      </c>
      <c r="V46" s="129" t="s">
        <v>553</v>
      </c>
      <c r="W46" s="122"/>
      <c r="X46" s="129" t="s">
        <v>2903</v>
      </c>
      <c r="Y46" s="129" t="s">
        <v>2821</v>
      </c>
      <c r="Z46" s="129" t="s">
        <v>2822</v>
      </c>
      <c r="AA46" s="113"/>
      <c r="AB46" s="113"/>
      <c r="AC46" s="113"/>
      <c r="AD46" s="113"/>
      <c r="AE46" s="113"/>
      <c r="AF46" s="113"/>
      <c r="AG46" s="113"/>
      <c r="AH46" s="113"/>
    </row>
    <row r="47" spans="1:34" ht="130.5">
      <c r="A47" s="13"/>
      <c r="B47" s="63"/>
      <c r="C47" s="61"/>
      <c r="D47" s="507"/>
      <c r="E47" s="508"/>
      <c r="F47" s="105" t="s">
        <v>554</v>
      </c>
      <c r="G47" s="106" t="s">
        <v>555</v>
      </c>
      <c r="H47" s="105" t="s">
        <v>554</v>
      </c>
      <c r="I47" s="107" t="s">
        <v>347</v>
      </c>
      <c r="J47" s="107" t="s">
        <v>298</v>
      </c>
      <c r="K47" s="329" t="str">
        <f t="shared" si="1"/>
        <v>Recuperar i conservar el patrimoni cultural rural vinculat específicament a construccions de pedra en sec</v>
      </c>
      <c r="L47" s="109"/>
      <c r="M47" s="76" t="s">
        <v>58</v>
      </c>
      <c r="N47" s="76"/>
      <c r="O47" s="110" t="s">
        <v>321</v>
      </c>
      <c r="P47" s="166"/>
      <c r="Q47" s="111" t="s">
        <v>46</v>
      </c>
      <c r="R47" s="112"/>
      <c r="S47" s="354" t="s">
        <v>2981</v>
      </c>
      <c r="T47" s="129" t="s">
        <v>556</v>
      </c>
      <c r="U47" s="129" t="s">
        <v>557</v>
      </c>
      <c r="V47" s="129" t="s">
        <v>558</v>
      </c>
      <c r="W47" s="122"/>
      <c r="X47" s="129" t="s">
        <v>2904</v>
      </c>
      <c r="Y47" s="129" t="s">
        <v>2823</v>
      </c>
      <c r="Z47" s="129" t="s">
        <v>2824</v>
      </c>
      <c r="AA47" s="113"/>
      <c r="AB47" s="113"/>
      <c r="AC47" s="113"/>
      <c r="AD47" s="113"/>
      <c r="AE47" s="113"/>
      <c r="AF47" s="113"/>
      <c r="AG47" s="113"/>
      <c r="AH47" s="113"/>
    </row>
    <row r="48" spans="1:34" ht="58">
      <c r="A48" s="13"/>
      <c r="B48" s="63"/>
      <c r="C48" s="61"/>
      <c r="D48" s="507"/>
      <c r="E48" s="508"/>
      <c r="F48" s="105" t="s">
        <v>559</v>
      </c>
      <c r="G48" s="106" t="s">
        <v>560</v>
      </c>
      <c r="H48" s="105" t="s">
        <v>559</v>
      </c>
      <c r="I48" s="107" t="s">
        <v>297</v>
      </c>
      <c r="J48" s="107" t="s">
        <v>348</v>
      </c>
      <c r="K48" s="388" t="str">
        <f t="shared" si="1"/>
        <v xml:space="preserve">Fomentar la recuperació i conservació de l'arquitectura tradicional d'intrès de les edificacions i construccions </v>
      </c>
      <c r="L48" s="109"/>
      <c r="M48" s="76" t="s">
        <v>58</v>
      </c>
      <c r="N48" s="76"/>
      <c r="O48" s="110" t="s">
        <v>321</v>
      </c>
      <c r="P48" s="166"/>
      <c r="Q48" s="111"/>
      <c r="R48" s="112"/>
      <c r="S48" s="76" t="s">
        <v>561</v>
      </c>
      <c r="T48" s="129" t="s">
        <v>562</v>
      </c>
      <c r="U48" s="129" t="s">
        <v>2578</v>
      </c>
      <c r="V48" s="129" t="s">
        <v>2579</v>
      </c>
      <c r="W48" s="407" t="s">
        <v>2755</v>
      </c>
      <c r="X48" s="113">
        <v>320</v>
      </c>
      <c r="Y48" s="129" t="s">
        <v>2825</v>
      </c>
      <c r="Z48" s="129" t="s">
        <v>2827</v>
      </c>
      <c r="AA48" s="113"/>
      <c r="AB48" s="113"/>
      <c r="AC48" s="113"/>
      <c r="AD48" s="113"/>
      <c r="AE48" s="113"/>
      <c r="AF48" s="113"/>
      <c r="AG48" s="113"/>
      <c r="AH48" s="113"/>
    </row>
    <row r="49" spans="1:34" ht="101.5">
      <c r="A49" s="13"/>
      <c r="B49" s="63"/>
      <c r="C49" s="61"/>
      <c r="D49" s="507"/>
      <c r="E49" s="508"/>
      <c r="F49" s="105" t="s">
        <v>564</v>
      </c>
      <c r="G49" s="106" t="s">
        <v>565</v>
      </c>
      <c r="H49" s="105" t="s">
        <v>564</v>
      </c>
      <c r="I49" s="107" t="s">
        <v>297</v>
      </c>
      <c r="J49" s="107" t="s">
        <v>320</v>
      </c>
      <c r="K49" s="329" t="str">
        <f t="shared" si="1"/>
        <v>Identificar i conservar la diversitat domesticada de varietats agrícoles i ramaderes locals</v>
      </c>
      <c r="L49" s="109"/>
      <c r="M49" s="76" t="s">
        <v>58</v>
      </c>
      <c r="N49" s="76"/>
      <c r="O49" s="110" t="s">
        <v>321</v>
      </c>
      <c r="P49" s="166" t="s">
        <v>566</v>
      </c>
      <c r="Q49" s="111" t="s">
        <v>323</v>
      </c>
      <c r="R49" s="112"/>
      <c r="S49" s="76" t="s">
        <v>567</v>
      </c>
      <c r="T49" s="129" t="s">
        <v>568</v>
      </c>
      <c r="U49" s="129" t="s">
        <v>569</v>
      </c>
      <c r="V49" s="129" t="s">
        <v>570</v>
      </c>
      <c r="W49" s="122"/>
      <c r="X49" s="129" t="s">
        <v>2905</v>
      </c>
      <c r="Y49" s="129" t="s">
        <v>2835</v>
      </c>
      <c r="Z49" s="129" t="s">
        <v>2836</v>
      </c>
      <c r="AA49" s="113"/>
      <c r="AB49" s="113"/>
      <c r="AC49" s="113"/>
      <c r="AD49" s="113"/>
      <c r="AE49" s="113"/>
      <c r="AF49" s="113"/>
      <c r="AG49" s="113"/>
      <c r="AH49" s="113"/>
    </row>
    <row r="50" spans="1:34" ht="58">
      <c r="A50" s="13"/>
      <c r="B50" s="63"/>
      <c r="C50" s="61"/>
      <c r="D50" s="507" t="s">
        <v>571</v>
      </c>
      <c r="E50" s="508" t="s">
        <v>572</v>
      </c>
      <c r="F50" s="105" t="s">
        <v>573</v>
      </c>
      <c r="G50" s="106" t="s">
        <v>574</v>
      </c>
      <c r="H50" s="105" t="s">
        <v>573</v>
      </c>
      <c r="I50" s="107" t="s">
        <v>297</v>
      </c>
      <c r="J50" s="107" t="s">
        <v>298</v>
      </c>
      <c r="K50" s="329" t="str">
        <f>G50</f>
        <v>Integrar el patrimoni cultural als itineraris i cartelleria de l'ENP.</v>
      </c>
      <c r="L50" s="117"/>
      <c r="M50" s="76" t="s">
        <v>58</v>
      </c>
      <c r="N50" s="76"/>
      <c r="O50" s="110" t="s">
        <v>349</v>
      </c>
      <c r="P50" s="166"/>
      <c r="Q50" s="111"/>
      <c r="R50" s="112"/>
      <c r="S50" s="76" t="s">
        <v>575</v>
      </c>
      <c r="T50" s="129" t="s">
        <v>576</v>
      </c>
      <c r="U50" s="129" t="s">
        <v>577</v>
      </c>
      <c r="V50" s="129" t="s">
        <v>578</v>
      </c>
      <c r="W50" s="122"/>
      <c r="X50" s="113">
        <v>152</v>
      </c>
      <c r="Y50" s="113" t="s">
        <v>2828</v>
      </c>
      <c r="Z50" s="113" t="s">
        <v>2829</v>
      </c>
      <c r="AA50" s="113"/>
      <c r="AB50" s="113"/>
      <c r="AC50" s="113"/>
      <c r="AD50" s="113"/>
      <c r="AE50" s="113"/>
      <c r="AF50" s="113"/>
      <c r="AG50" s="113"/>
      <c r="AH50" s="113"/>
    </row>
    <row r="51" spans="1:34" ht="72.5">
      <c r="A51" s="13"/>
      <c r="B51" s="63"/>
      <c r="C51" s="61"/>
      <c r="D51" s="507"/>
      <c r="E51" s="508"/>
      <c r="F51" s="105" t="s">
        <v>579</v>
      </c>
      <c r="G51" s="106" t="s">
        <v>580</v>
      </c>
      <c r="H51" s="105" t="s">
        <v>579</v>
      </c>
      <c r="I51" s="107" t="s">
        <v>297</v>
      </c>
      <c r="J51" s="107" t="s">
        <v>298</v>
      </c>
      <c r="K51" s="329" t="str">
        <f t="shared" si="1"/>
        <v>Incorporar el patrimoni cultural en els plans d’ús públic i educació ambiental per fomentar-ne la seva conservació i divulgació.</v>
      </c>
      <c r="L51" s="109"/>
      <c r="M51" s="76" t="s">
        <v>58</v>
      </c>
      <c r="N51" s="76"/>
      <c r="O51" s="110" t="s">
        <v>321</v>
      </c>
      <c r="P51" s="166"/>
      <c r="Q51" s="111"/>
      <c r="R51" s="112"/>
      <c r="S51" s="76" t="s">
        <v>581</v>
      </c>
      <c r="T51" s="129" t="s">
        <v>2580</v>
      </c>
      <c r="U51" s="129" t="s">
        <v>2581</v>
      </c>
      <c r="V51" s="129" t="s">
        <v>2582</v>
      </c>
      <c r="W51" s="122"/>
      <c r="X51" s="129" t="s">
        <v>2906</v>
      </c>
      <c r="Y51" s="129" t="s">
        <v>2830</v>
      </c>
      <c r="Z51" s="129" t="s">
        <v>2831</v>
      </c>
      <c r="AA51" s="113"/>
      <c r="AB51" s="113"/>
      <c r="AC51" s="113"/>
      <c r="AD51" s="113"/>
      <c r="AE51" s="113"/>
      <c r="AF51" s="113"/>
      <c r="AG51" s="113"/>
      <c r="AH51" s="113"/>
    </row>
    <row r="52" spans="1:34" ht="87">
      <c r="A52" s="13"/>
      <c r="B52" s="63"/>
      <c r="C52" s="61"/>
      <c r="D52" s="507"/>
      <c r="E52" s="508"/>
      <c r="F52" s="105" t="s">
        <v>582</v>
      </c>
      <c r="G52" s="106" t="s">
        <v>583</v>
      </c>
      <c r="H52" s="105" t="s">
        <v>582</v>
      </c>
      <c r="I52" s="107" t="s">
        <v>297</v>
      </c>
      <c r="J52" s="107" t="s">
        <v>298</v>
      </c>
      <c r="K52" s="329" t="str">
        <f t="shared" si="1"/>
        <v>Formar el personal dels punts d’informació en els valors culturals de l'ENP</v>
      </c>
      <c r="L52" s="109"/>
      <c r="M52" s="76" t="s">
        <v>58</v>
      </c>
      <c r="N52" s="76"/>
      <c r="O52" s="110" t="s">
        <v>321</v>
      </c>
      <c r="P52" s="166"/>
      <c r="Q52" s="111"/>
      <c r="R52" s="112"/>
      <c r="S52" s="76" t="s">
        <v>584</v>
      </c>
      <c r="T52" s="129" t="s">
        <v>585</v>
      </c>
      <c r="U52" s="129" t="s">
        <v>586</v>
      </c>
      <c r="V52" s="129" t="s">
        <v>587</v>
      </c>
      <c r="W52" s="122"/>
      <c r="X52" s="113">
        <v>300</v>
      </c>
      <c r="Y52" s="113" t="s">
        <v>2828</v>
      </c>
      <c r="Z52" s="113" t="s">
        <v>2829</v>
      </c>
      <c r="AA52" s="113"/>
      <c r="AB52" s="113"/>
      <c r="AC52" s="113"/>
      <c r="AD52" s="113"/>
      <c r="AE52" s="113"/>
      <c r="AF52" s="113"/>
      <c r="AG52" s="113"/>
      <c r="AH52" s="113"/>
    </row>
    <row r="53" spans="1:34" ht="116">
      <c r="A53" s="13"/>
      <c r="B53" s="509">
        <v>5</v>
      </c>
      <c r="C53" s="512" t="s">
        <v>588</v>
      </c>
      <c r="D53" s="21" t="s">
        <v>589</v>
      </c>
      <c r="E53" s="20" t="s">
        <v>590</v>
      </c>
      <c r="F53" s="105" t="s">
        <v>591</v>
      </c>
      <c r="G53" s="106" t="s">
        <v>592</v>
      </c>
      <c r="H53" s="105" t="s">
        <v>591</v>
      </c>
      <c r="I53" s="107" t="s">
        <v>297</v>
      </c>
      <c r="J53" s="107" t="s">
        <v>424</v>
      </c>
      <c r="K53" s="405" t="s">
        <v>2797</v>
      </c>
      <c r="L53" s="117" t="s">
        <v>593</v>
      </c>
      <c r="M53" s="76"/>
      <c r="N53" s="76"/>
      <c r="O53" s="110"/>
      <c r="P53" s="166"/>
      <c r="Q53" s="111"/>
      <c r="R53" s="112"/>
      <c r="S53" s="76"/>
      <c r="T53" s="113"/>
      <c r="U53" s="113"/>
      <c r="V53" s="113"/>
      <c r="W53" s="407" t="s">
        <v>2766</v>
      </c>
      <c r="X53" s="113"/>
      <c r="Y53" s="113"/>
      <c r="Z53" s="113"/>
      <c r="AA53" s="113"/>
      <c r="AB53" s="113"/>
      <c r="AC53" s="113"/>
      <c r="AD53" s="113"/>
      <c r="AE53" s="113"/>
      <c r="AF53" s="113"/>
      <c r="AG53" s="113"/>
      <c r="AH53" s="113"/>
    </row>
    <row r="54" spans="1:34" ht="101.5">
      <c r="A54" s="13"/>
      <c r="B54" s="510"/>
      <c r="C54" s="513"/>
      <c r="D54" s="515" t="s">
        <v>594</v>
      </c>
      <c r="E54" s="518" t="s">
        <v>595</v>
      </c>
      <c r="F54" s="105" t="s">
        <v>596</v>
      </c>
      <c r="G54" s="106" t="s">
        <v>597</v>
      </c>
      <c r="H54" s="105" t="s">
        <v>596</v>
      </c>
      <c r="I54" s="107" t="s">
        <v>297</v>
      </c>
      <c r="J54" s="107" t="s">
        <v>424</v>
      </c>
      <c r="K54" s="329" t="str">
        <f t="shared" si="1"/>
        <v>Desplegar actuacions de restauració dels elements d'interès paisatgístic degradats</v>
      </c>
      <c r="L54" s="117" t="s">
        <v>598</v>
      </c>
      <c r="M54" s="76" t="s">
        <v>58</v>
      </c>
      <c r="N54" s="76"/>
      <c r="O54" s="110" t="s">
        <v>321</v>
      </c>
      <c r="P54" s="166"/>
      <c r="Q54" s="111"/>
      <c r="R54" s="112"/>
      <c r="S54" s="76" t="s">
        <v>2583</v>
      </c>
      <c r="T54" s="113" t="s">
        <v>2761</v>
      </c>
      <c r="U54" s="113" t="s">
        <v>353</v>
      </c>
      <c r="V54" s="113" t="s">
        <v>533</v>
      </c>
      <c r="W54" s="407" t="s">
        <v>2762</v>
      </c>
      <c r="X54" s="129" t="s">
        <v>2963</v>
      </c>
      <c r="Y54" s="129" t="s">
        <v>2832</v>
      </c>
      <c r="Z54" s="129" t="s">
        <v>2833</v>
      </c>
      <c r="AA54" s="113"/>
      <c r="AB54" s="113"/>
      <c r="AC54" s="113"/>
      <c r="AD54" s="113"/>
      <c r="AE54" s="113"/>
      <c r="AF54" s="113"/>
      <c r="AG54" s="113"/>
      <c r="AH54" s="113"/>
    </row>
    <row r="55" spans="1:34" ht="72.5">
      <c r="A55" s="13"/>
      <c r="B55" s="510"/>
      <c r="C55" s="513"/>
      <c r="D55" s="516"/>
      <c r="E55" s="519"/>
      <c r="F55" s="105" t="s">
        <v>599</v>
      </c>
      <c r="G55" s="106" t="s">
        <v>600</v>
      </c>
      <c r="H55" s="105" t="s">
        <v>599</v>
      </c>
      <c r="I55" s="107"/>
      <c r="J55" s="107"/>
      <c r="K55" s="329" t="str">
        <f>G55</f>
        <v>Gestionar l'abandonament d'infraestructures i instal·lacions amb impactes sobre els valors de l'espai</v>
      </c>
      <c r="L55" s="117"/>
      <c r="M55" s="76" t="s">
        <v>58</v>
      </c>
      <c r="N55" s="76"/>
      <c r="O55" s="110" t="s">
        <v>349</v>
      </c>
      <c r="P55" s="166"/>
      <c r="Q55" s="111"/>
      <c r="R55" s="112"/>
      <c r="S55" s="124" t="s">
        <v>2760</v>
      </c>
      <c r="T55" s="129" t="s">
        <v>601</v>
      </c>
      <c r="U55" s="129" t="s">
        <v>798</v>
      </c>
      <c r="V55" s="129" t="s">
        <v>798</v>
      </c>
      <c r="W55" s="407" t="s">
        <v>2755</v>
      </c>
      <c r="X55" s="113">
        <v>180</v>
      </c>
      <c r="Y55" s="113" t="s">
        <v>329</v>
      </c>
      <c r="Z55" s="113" t="s">
        <v>330</v>
      </c>
      <c r="AA55" s="113"/>
      <c r="AB55" s="113"/>
      <c r="AC55" s="113"/>
      <c r="AD55" s="113"/>
      <c r="AE55" s="113"/>
      <c r="AF55" s="113"/>
      <c r="AG55" s="113"/>
      <c r="AH55" s="113"/>
    </row>
    <row r="56" spans="1:34" ht="43.5">
      <c r="A56" s="13"/>
      <c r="B56" s="510"/>
      <c r="C56" s="513"/>
      <c r="D56" s="517"/>
      <c r="E56" s="520"/>
      <c r="F56" s="105" t="s">
        <v>602</v>
      </c>
      <c r="G56" s="106" t="s">
        <v>603</v>
      </c>
      <c r="H56" s="105" t="s">
        <v>602</v>
      </c>
      <c r="I56" s="107" t="s">
        <v>297</v>
      </c>
      <c r="J56" s="107" t="s">
        <v>320</v>
      </c>
      <c r="K56" s="329" t="str">
        <f t="shared" si="1"/>
        <v>Minimitzar la brutícia, deixalles, vandalisme i males praxis dins l'ENP</v>
      </c>
      <c r="L56" s="109"/>
      <c r="M56" s="76" t="s">
        <v>58</v>
      </c>
      <c r="N56" s="76"/>
      <c r="O56" s="110" t="s">
        <v>321</v>
      </c>
      <c r="P56" s="166"/>
      <c r="Q56" s="111"/>
      <c r="R56" s="112"/>
      <c r="S56" s="76" t="s">
        <v>2584</v>
      </c>
      <c r="T56" s="129" t="s">
        <v>2585</v>
      </c>
      <c r="U56" s="129" t="s">
        <v>2586</v>
      </c>
      <c r="V56" s="129" t="s">
        <v>2587</v>
      </c>
      <c r="W56" s="122"/>
      <c r="X56" s="113">
        <v>190</v>
      </c>
      <c r="Y56" s="129" t="s">
        <v>2834</v>
      </c>
      <c r="Z56" s="113" t="s">
        <v>2829</v>
      </c>
      <c r="AA56" s="113"/>
      <c r="AB56" s="113"/>
      <c r="AC56" s="113"/>
      <c r="AD56" s="113"/>
      <c r="AE56" s="113"/>
      <c r="AF56" s="113"/>
      <c r="AG56" s="113"/>
      <c r="AH56" s="113"/>
    </row>
    <row r="57" spans="1:34" ht="116">
      <c r="A57" s="13"/>
      <c r="B57" s="510"/>
      <c r="C57" s="513"/>
      <c r="D57" s="521" t="s">
        <v>604</v>
      </c>
      <c r="E57" s="518" t="s">
        <v>605</v>
      </c>
      <c r="F57" s="105" t="s">
        <v>606</v>
      </c>
      <c r="G57" s="106" t="s">
        <v>607</v>
      </c>
      <c r="H57" s="105" t="s">
        <v>606</v>
      </c>
      <c r="I57" s="107" t="s">
        <v>347</v>
      </c>
      <c r="J57" s="107" t="s">
        <v>424</v>
      </c>
      <c r="K57" s="405" t="s">
        <v>2797</v>
      </c>
      <c r="L57" s="117" t="s">
        <v>608</v>
      </c>
      <c r="M57" s="76"/>
      <c r="N57" s="76"/>
      <c r="O57" s="110"/>
      <c r="P57" s="166"/>
      <c r="Q57" s="111" t="s">
        <v>323</v>
      </c>
      <c r="R57" s="112"/>
      <c r="S57" s="119"/>
      <c r="T57" s="129"/>
      <c r="U57" s="113"/>
      <c r="V57" s="113"/>
      <c r="W57" s="407" t="s">
        <v>2766</v>
      </c>
      <c r="X57" s="113"/>
      <c r="Y57" s="113"/>
      <c r="Z57" s="113"/>
      <c r="AA57" s="113"/>
      <c r="AB57" s="113"/>
      <c r="AC57" s="113"/>
      <c r="AD57" s="113"/>
      <c r="AE57" s="113"/>
      <c r="AF57" s="113"/>
      <c r="AG57" s="113"/>
      <c r="AH57" s="113"/>
    </row>
    <row r="58" spans="1:34" ht="43.5">
      <c r="A58" s="13"/>
      <c r="B58" s="511"/>
      <c r="C58" s="514"/>
      <c r="D58" s="517"/>
      <c r="E58" s="519"/>
      <c r="F58" s="105" t="s">
        <v>609</v>
      </c>
      <c r="G58" s="106" t="s">
        <v>610</v>
      </c>
      <c r="H58" s="105" t="s">
        <v>609</v>
      </c>
      <c r="I58" s="107" t="s">
        <v>347</v>
      </c>
      <c r="J58" s="107" t="s">
        <v>424</v>
      </c>
      <c r="K58" s="389" t="s">
        <v>2982</v>
      </c>
      <c r="L58" s="117"/>
      <c r="M58" s="76" t="s">
        <v>58</v>
      </c>
      <c r="N58" s="119" t="s">
        <v>79</v>
      </c>
      <c r="O58" s="110" t="s">
        <v>349</v>
      </c>
      <c r="P58" s="166"/>
      <c r="Q58" s="111" t="s">
        <v>323</v>
      </c>
      <c r="R58" s="112"/>
      <c r="S58" s="76" t="s">
        <v>2983</v>
      </c>
      <c r="T58" s="129" t="s">
        <v>611</v>
      </c>
      <c r="U58" s="113" t="s">
        <v>353</v>
      </c>
      <c r="V58" s="113" t="s">
        <v>353</v>
      </c>
      <c r="W58" s="403"/>
      <c r="X58" s="113">
        <v>60</v>
      </c>
      <c r="Y58" s="113" t="s">
        <v>329</v>
      </c>
      <c r="Z58" s="113" t="s">
        <v>330</v>
      </c>
      <c r="AA58" s="113"/>
      <c r="AB58" s="113"/>
      <c r="AC58" s="113"/>
      <c r="AD58" s="113"/>
      <c r="AE58" s="113"/>
      <c r="AF58" s="113"/>
      <c r="AG58" s="113"/>
      <c r="AH58" s="113"/>
    </row>
    <row r="59" spans="1:34" ht="145">
      <c r="A59" s="27" t="s">
        <v>612</v>
      </c>
      <c r="B59" s="41">
        <v>6</v>
      </c>
      <c r="C59" s="40" t="s">
        <v>613</v>
      </c>
      <c r="D59" s="469" t="s">
        <v>614</v>
      </c>
      <c r="E59" s="470" t="s">
        <v>615</v>
      </c>
      <c r="F59" s="105" t="s">
        <v>616</v>
      </c>
      <c r="G59" s="106" t="s">
        <v>617</v>
      </c>
      <c r="H59" s="105" t="s">
        <v>616</v>
      </c>
      <c r="I59" s="107" t="s">
        <v>297</v>
      </c>
      <c r="J59" s="107" t="s">
        <v>320</v>
      </c>
      <c r="K59" s="329" t="str">
        <f t="shared" si="1"/>
        <v>Identificar i prioritzar els elements clau i d'interès per la gestió de la biodiversitat i geodiversitat de Catalunya que es troben dins l'ENP (especies amenaçades, espècies exòtiques invasores,.. )</v>
      </c>
      <c r="L59" s="109"/>
      <c r="M59" s="76"/>
      <c r="N59" s="76"/>
      <c r="O59" s="110" t="s">
        <v>321</v>
      </c>
      <c r="P59" s="167" t="s">
        <v>618</v>
      </c>
      <c r="Q59" s="116" t="s">
        <v>619</v>
      </c>
      <c r="R59" s="112" t="s">
        <v>620</v>
      </c>
      <c r="S59" s="124" t="s">
        <v>621</v>
      </c>
      <c r="T59" s="129" t="s">
        <v>2588</v>
      </c>
      <c r="U59" s="129" t="s">
        <v>2591</v>
      </c>
      <c r="V59" s="129" t="s">
        <v>2592</v>
      </c>
      <c r="W59" s="122" t="s">
        <v>2755</v>
      </c>
      <c r="X59" s="113">
        <v>300</v>
      </c>
      <c r="Y59" s="113" t="s">
        <v>305</v>
      </c>
      <c r="Z59" s="113" t="s">
        <v>306</v>
      </c>
      <c r="AA59" s="113"/>
      <c r="AB59" s="113"/>
      <c r="AC59" s="113"/>
      <c r="AD59" s="113"/>
      <c r="AE59" s="113"/>
      <c r="AF59" s="113"/>
      <c r="AG59" s="113"/>
      <c r="AH59" s="113"/>
    </row>
    <row r="60" spans="1:34" ht="116">
      <c r="A60" s="27"/>
      <c r="B60" s="57"/>
      <c r="C60" s="40"/>
      <c r="D60" s="469"/>
      <c r="E60" s="470"/>
      <c r="F60" s="105" t="s">
        <v>622</v>
      </c>
      <c r="G60" s="106" t="s">
        <v>623</v>
      </c>
      <c r="H60" s="105" t="s">
        <v>622</v>
      </c>
      <c r="I60" s="107" t="s">
        <v>297</v>
      </c>
      <c r="J60" s="107" t="s">
        <v>320</v>
      </c>
      <c r="K60" s="329" t="str">
        <f t="shared" si="1"/>
        <v>Definir espais fràgils i zones d'especial atenció</v>
      </c>
      <c r="L60" s="109"/>
      <c r="M60" s="76" t="s">
        <v>58</v>
      </c>
      <c r="N60" s="76"/>
      <c r="O60" s="110" t="s">
        <v>301</v>
      </c>
      <c r="P60" s="166" t="s">
        <v>624</v>
      </c>
      <c r="Q60" s="111"/>
      <c r="R60" s="112" t="s">
        <v>625</v>
      </c>
      <c r="S60" s="76" t="s">
        <v>2593</v>
      </c>
      <c r="T60" s="129" t="s">
        <v>626</v>
      </c>
      <c r="U60" s="129" t="s">
        <v>2594</v>
      </c>
      <c r="V60" s="129" t="s">
        <v>2595</v>
      </c>
      <c r="W60" s="122"/>
      <c r="X60" s="129" t="s">
        <v>2907</v>
      </c>
      <c r="Y60" s="129" t="s">
        <v>2835</v>
      </c>
      <c r="Z60" s="129" t="s">
        <v>2836</v>
      </c>
      <c r="AA60" s="113"/>
      <c r="AB60" s="113"/>
      <c r="AC60" s="113"/>
      <c r="AD60" s="113"/>
      <c r="AE60" s="113"/>
      <c r="AF60" s="113"/>
      <c r="AG60" s="113"/>
      <c r="AH60" s="113"/>
    </row>
    <row r="61" spans="1:34" ht="43.5">
      <c r="A61" s="27"/>
      <c r="B61" s="57"/>
      <c r="C61" s="56"/>
      <c r="D61" s="469" t="s">
        <v>627</v>
      </c>
      <c r="E61" s="470" t="s">
        <v>628</v>
      </c>
      <c r="F61" s="105" t="s">
        <v>629</v>
      </c>
      <c r="G61" s="106" t="s">
        <v>630</v>
      </c>
      <c r="H61" s="105" t="s">
        <v>629</v>
      </c>
      <c r="I61" s="107" t="s">
        <v>297</v>
      </c>
      <c r="J61" s="107" t="s">
        <v>320</v>
      </c>
      <c r="K61" s="329" t="str">
        <f t="shared" si="1"/>
        <v>Participar en l'elaboració de la cartografia que elabora la UIC</v>
      </c>
      <c r="L61" s="109"/>
      <c r="M61" s="76" t="s">
        <v>58</v>
      </c>
      <c r="N61" s="76"/>
      <c r="O61" s="110" t="s">
        <v>301</v>
      </c>
      <c r="P61" s="166" t="s">
        <v>631</v>
      </c>
      <c r="Q61" s="111" t="s">
        <v>323</v>
      </c>
      <c r="R61" s="112" t="s">
        <v>632</v>
      </c>
      <c r="S61" s="76" t="s">
        <v>633</v>
      </c>
      <c r="T61" s="129" t="s">
        <v>634</v>
      </c>
      <c r="U61" s="113" t="s">
        <v>353</v>
      </c>
      <c r="V61" s="113" t="s">
        <v>1041</v>
      </c>
      <c r="W61" s="403"/>
      <c r="X61" s="113">
        <v>200</v>
      </c>
      <c r="Y61" s="113" t="s">
        <v>2817</v>
      </c>
      <c r="Z61" s="113" t="s">
        <v>2818</v>
      </c>
      <c r="AA61" s="113"/>
      <c r="AB61" s="113"/>
      <c r="AC61" s="113"/>
      <c r="AD61" s="113"/>
      <c r="AE61" s="113"/>
      <c r="AF61" s="113"/>
      <c r="AG61" s="113"/>
      <c r="AH61" s="113"/>
    </row>
    <row r="62" spans="1:34" ht="290">
      <c r="A62" s="58"/>
      <c r="B62" s="57"/>
      <c r="C62" s="56"/>
      <c r="D62" s="469"/>
      <c r="E62" s="470"/>
      <c r="F62" s="105" t="s">
        <v>635</v>
      </c>
      <c r="G62" s="106" t="s">
        <v>636</v>
      </c>
      <c r="H62" s="105" t="s">
        <v>635</v>
      </c>
      <c r="I62" s="107" t="s">
        <v>297</v>
      </c>
      <c r="J62" s="107" t="s">
        <v>320</v>
      </c>
      <c r="K62" s="321" t="s">
        <v>637</v>
      </c>
      <c r="L62" s="108" t="s">
        <v>638</v>
      </c>
      <c r="M62" s="76" t="s">
        <v>58</v>
      </c>
      <c r="N62" s="76"/>
      <c r="O62" s="110" t="s">
        <v>321</v>
      </c>
      <c r="P62" s="166" t="s">
        <v>639</v>
      </c>
      <c r="Q62" s="111"/>
      <c r="R62" s="112"/>
      <c r="S62" s="124" t="s">
        <v>640</v>
      </c>
      <c r="T62" s="129" t="s">
        <v>641</v>
      </c>
      <c r="U62" s="129" t="s">
        <v>798</v>
      </c>
      <c r="V62" s="129" t="s">
        <v>2596</v>
      </c>
      <c r="W62" s="407" t="s">
        <v>2755</v>
      </c>
      <c r="X62" s="129" t="s">
        <v>2910</v>
      </c>
      <c r="Y62" s="129" t="s">
        <v>2837</v>
      </c>
      <c r="Z62" s="129" t="s">
        <v>2838</v>
      </c>
      <c r="AA62" s="113"/>
      <c r="AB62" s="113"/>
      <c r="AC62" s="113"/>
      <c r="AD62" s="113"/>
      <c r="AE62" s="113"/>
      <c r="AF62" s="113"/>
      <c r="AG62" s="113"/>
      <c r="AH62" s="113"/>
    </row>
    <row r="63" spans="1:34" ht="203">
      <c r="A63" s="58"/>
      <c r="B63" s="57"/>
      <c r="C63" s="56"/>
      <c r="D63" s="469"/>
      <c r="E63" s="470"/>
      <c r="F63" s="105" t="s">
        <v>642</v>
      </c>
      <c r="G63" s="106" t="s">
        <v>643</v>
      </c>
      <c r="H63" s="105" t="s">
        <v>642</v>
      </c>
      <c r="I63" s="107" t="s">
        <v>297</v>
      </c>
      <c r="J63" s="107" t="s">
        <v>320</v>
      </c>
      <c r="K63" s="329" t="str">
        <f t="shared" si="1"/>
        <v>Conèixer els usos i factors de canvi rellevants en l'evolució dels elements de conservació, i avaluar els efectes que generen en l’espai (pressions i amenaces)</v>
      </c>
      <c r="L63" s="109"/>
      <c r="M63" s="76" t="s">
        <v>58</v>
      </c>
      <c r="N63" s="76"/>
      <c r="O63" s="110" t="s">
        <v>301</v>
      </c>
      <c r="P63" s="166" t="s">
        <v>644</v>
      </c>
      <c r="Q63" s="111" t="s">
        <v>323</v>
      </c>
      <c r="R63" s="112" t="s">
        <v>645</v>
      </c>
      <c r="S63" s="76" t="s">
        <v>2970</v>
      </c>
      <c r="T63" s="129" t="s">
        <v>2971</v>
      </c>
      <c r="U63" s="129" t="s">
        <v>2597</v>
      </c>
      <c r="V63" s="129" t="s">
        <v>2598</v>
      </c>
      <c r="W63" s="407" t="s">
        <v>2755</v>
      </c>
      <c r="X63" s="129" t="s">
        <v>2911</v>
      </c>
      <c r="Y63" s="129" t="s">
        <v>2908</v>
      </c>
      <c r="Z63" s="129" t="s">
        <v>2909</v>
      </c>
      <c r="AA63" s="113"/>
      <c r="AB63" s="113"/>
      <c r="AC63" s="113"/>
      <c r="AD63" s="113"/>
      <c r="AE63" s="113"/>
      <c r="AF63" s="113"/>
      <c r="AG63" s="113"/>
      <c r="AH63" s="113"/>
    </row>
    <row r="64" spans="1:34" ht="116">
      <c r="A64" s="58"/>
      <c r="B64" s="57"/>
      <c r="C64" s="56"/>
      <c r="D64" s="469"/>
      <c r="E64" s="470"/>
      <c r="F64" s="105" t="s">
        <v>646</v>
      </c>
      <c r="G64" s="106" t="s">
        <v>647</v>
      </c>
      <c r="H64" s="105" t="s">
        <v>646</v>
      </c>
      <c r="I64" s="107" t="s">
        <v>297</v>
      </c>
      <c r="J64" s="107" t="s">
        <v>424</v>
      </c>
      <c r="K64" s="329" t="s">
        <v>648</v>
      </c>
      <c r="L64" s="108" t="s">
        <v>649</v>
      </c>
      <c r="M64" s="76" t="s">
        <v>58</v>
      </c>
      <c r="N64" s="76"/>
      <c r="O64" s="110" t="s">
        <v>301</v>
      </c>
      <c r="P64" s="166" t="s">
        <v>650</v>
      </c>
      <c r="Q64" s="111"/>
      <c r="R64" s="112"/>
      <c r="S64" s="124" t="s">
        <v>2599</v>
      </c>
      <c r="T64" s="129" t="s">
        <v>2600</v>
      </c>
      <c r="U64" s="129" t="s">
        <v>2601</v>
      </c>
      <c r="V64" s="129" t="s">
        <v>2602</v>
      </c>
      <c r="W64" s="407" t="s">
        <v>2755</v>
      </c>
      <c r="X64" s="113">
        <v>200</v>
      </c>
      <c r="Y64" s="113" t="s">
        <v>305</v>
      </c>
      <c r="Z64" s="113" t="s">
        <v>306</v>
      </c>
      <c r="AA64" s="113"/>
      <c r="AB64" s="113"/>
      <c r="AC64" s="113"/>
      <c r="AD64" s="113"/>
      <c r="AE64" s="113"/>
      <c r="AF64" s="113"/>
      <c r="AG64" s="113"/>
      <c r="AH64" s="113"/>
    </row>
    <row r="65" spans="1:34" ht="58">
      <c r="A65" s="58"/>
      <c r="B65" s="57"/>
      <c r="C65" s="56"/>
      <c r="D65" s="469"/>
      <c r="E65" s="470"/>
      <c r="F65" s="105" t="s">
        <v>651</v>
      </c>
      <c r="G65" s="106" t="s">
        <v>652</v>
      </c>
      <c r="H65" s="105" t="s">
        <v>651</v>
      </c>
      <c r="I65" s="107" t="s">
        <v>297</v>
      </c>
      <c r="J65" s="107" t="s">
        <v>424</v>
      </c>
      <c r="K65" s="329" t="str">
        <f t="shared" si="1"/>
        <v>Participar en el coneixement de la tendència d'espècies plaga amb afectacions sobre ecosistemes o activitats econòmiques dins l'ENP</v>
      </c>
      <c r="L65" s="109"/>
      <c r="M65" s="76" t="s">
        <v>58</v>
      </c>
      <c r="N65" s="76"/>
      <c r="O65" s="110" t="s">
        <v>321</v>
      </c>
      <c r="P65" s="166" t="s">
        <v>653</v>
      </c>
      <c r="Q65" s="111"/>
      <c r="R65" s="112"/>
      <c r="S65" s="76" t="s">
        <v>654</v>
      </c>
      <c r="T65" s="129" t="s">
        <v>2603</v>
      </c>
      <c r="U65" s="129" t="s">
        <v>304</v>
      </c>
      <c r="V65" s="129" t="s">
        <v>2604</v>
      </c>
      <c r="W65" s="407" t="s">
        <v>2755</v>
      </c>
      <c r="X65" s="129" t="s">
        <v>2912</v>
      </c>
      <c r="Y65" s="129" t="s">
        <v>2837</v>
      </c>
      <c r="Z65" s="129" t="s">
        <v>2838</v>
      </c>
      <c r="AA65" s="113"/>
      <c r="AB65" s="113"/>
      <c r="AC65" s="113"/>
      <c r="AD65" s="113"/>
      <c r="AE65" s="113"/>
      <c r="AF65" s="113"/>
      <c r="AG65" s="113"/>
      <c r="AH65" s="113"/>
    </row>
    <row r="66" spans="1:34" ht="87">
      <c r="A66" s="58"/>
      <c r="B66" s="57"/>
      <c r="C66" s="56"/>
      <c r="D66" s="469"/>
      <c r="E66" s="470"/>
      <c r="F66" s="105" t="s">
        <v>655</v>
      </c>
      <c r="G66" s="106" t="s">
        <v>656</v>
      </c>
      <c r="H66" s="105" t="s">
        <v>655</v>
      </c>
      <c r="I66" s="107" t="s">
        <v>297</v>
      </c>
      <c r="J66" s="107" t="s">
        <v>320</v>
      </c>
      <c r="K66" s="329" t="str">
        <f t="shared" si="1"/>
        <v>Conèixer la tendència d'espècies exòtiques invasores amb afectacions sobre ecosistemes o activitats econòmiques dins l'ENP</v>
      </c>
      <c r="L66" s="109"/>
      <c r="M66" s="76" t="s">
        <v>58</v>
      </c>
      <c r="N66" s="76" t="s">
        <v>58</v>
      </c>
      <c r="O66" s="110" t="s">
        <v>321</v>
      </c>
      <c r="P66" s="166" t="s">
        <v>657</v>
      </c>
      <c r="Q66" s="111" t="s">
        <v>323</v>
      </c>
      <c r="R66" s="112"/>
      <c r="S66" s="76" t="s">
        <v>2605</v>
      </c>
      <c r="T66" s="129" t="s">
        <v>2606</v>
      </c>
      <c r="U66" s="129" t="s">
        <v>2607</v>
      </c>
      <c r="V66" s="129" t="s">
        <v>2608</v>
      </c>
      <c r="W66" s="122"/>
      <c r="X66" s="113">
        <v>75</v>
      </c>
      <c r="Y66" s="129" t="s">
        <v>2839</v>
      </c>
      <c r="Z66" s="129" t="s">
        <v>2840</v>
      </c>
      <c r="AA66" s="113"/>
      <c r="AB66" s="113"/>
      <c r="AC66" s="113"/>
      <c r="AD66" s="113"/>
      <c r="AE66" s="113"/>
      <c r="AF66" s="113"/>
      <c r="AG66" s="113"/>
      <c r="AH66" s="113"/>
    </row>
    <row r="67" spans="1:34" s="360" customFormat="1" ht="116">
      <c r="A67" s="58"/>
      <c r="B67" s="390"/>
      <c r="C67" s="391"/>
      <c r="D67" s="469"/>
      <c r="E67" s="470"/>
      <c r="F67" s="105" t="s">
        <v>658</v>
      </c>
      <c r="G67" s="106" t="s">
        <v>659</v>
      </c>
      <c r="H67" s="105" t="s">
        <v>658</v>
      </c>
      <c r="I67" s="352" t="s">
        <v>297</v>
      </c>
      <c r="J67" s="352" t="s">
        <v>424</v>
      </c>
      <c r="K67" s="406" t="s">
        <v>1517</v>
      </c>
      <c r="L67" s="392" t="s">
        <v>660</v>
      </c>
      <c r="M67" s="354"/>
      <c r="N67" s="354"/>
      <c r="O67" s="355"/>
      <c r="P67" s="356" t="s">
        <v>661</v>
      </c>
      <c r="Q67" s="111" t="s">
        <v>323</v>
      </c>
      <c r="R67" s="112"/>
      <c r="S67" s="363"/>
      <c r="T67" s="359"/>
      <c r="U67" s="359"/>
      <c r="V67" s="359"/>
      <c r="W67" s="407" t="s">
        <v>2766</v>
      </c>
      <c r="X67" s="359"/>
      <c r="Y67" s="359"/>
      <c r="Z67" s="359"/>
      <c r="AA67" s="359"/>
      <c r="AB67" s="359"/>
      <c r="AC67" s="359"/>
      <c r="AD67" s="359"/>
      <c r="AE67" s="359"/>
      <c r="AF67" s="359"/>
      <c r="AG67" s="359"/>
      <c r="AH67" s="359"/>
    </row>
    <row r="68" spans="1:34" ht="43.5">
      <c r="A68" s="58"/>
      <c r="B68" s="57"/>
      <c r="C68" s="56"/>
      <c r="D68" s="469" t="s">
        <v>662</v>
      </c>
      <c r="E68" s="470" t="s">
        <v>663</v>
      </c>
      <c r="F68" s="105" t="s">
        <v>664</v>
      </c>
      <c r="G68" s="106" t="s">
        <v>665</v>
      </c>
      <c r="H68" s="105" t="s">
        <v>664</v>
      </c>
      <c r="I68" s="107" t="s">
        <v>297</v>
      </c>
      <c r="J68" s="107" t="s">
        <v>320</v>
      </c>
      <c r="K68" s="329" t="str">
        <f t="shared" si="1"/>
        <v>Participar en la definició del sistema estàndard de seguiment de flora, fauna i hàbitats de la DG</v>
      </c>
      <c r="L68" s="109"/>
      <c r="M68" s="76" t="s">
        <v>58</v>
      </c>
      <c r="N68" s="76" t="s">
        <v>58</v>
      </c>
      <c r="O68" s="110"/>
      <c r="P68" s="166" t="s">
        <v>666</v>
      </c>
      <c r="Q68" s="111" t="s">
        <v>323</v>
      </c>
      <c r="R68" s="112" t="s">
        <v>667</v>
      </c>
      <c r="S68" s="76" t="s">
        <v>668</v>
      </c>
      <c r="T68" s="129" t="s">
        <v>2609</v>
      </c>
      <c r="U68" s="113" t="s">
        <v>353</v>
      </c>
      <c r="V68" s="113" t="s">
        <v>2520</v>
      </c>
      <c r="W68" s="403"/>
      <c r="X68" s="113">
        <v>20</v>
      </c>
      <c r="Y68" s="129" t="s">
        <v>2839</v>
      </c>
      <c r="Z68" s="129" t="s">
        <v>2840</v>
      </c>
      <c r="AA68" s="113"/>
      <c r="AB68" s="113"/>
      <c r="AC68" s="113"/>
      <c r="AD68" s="113"/>
      <c r="AE68" s="113"/>
      <c r="AF68" s="113"/>
      <c r="AG68" s="113"/>
      <c r="AH68" s="113"/>
    </row>
    <row r="69" spans="1:34" ht="130.5">
      <c r="A69" s="58"/>
      <c r="B69" s="57"/>
      <c r="C69" s="56"/>
      <c r="D69" s="469"/>
      <c r="E69" s="470"/>
      <c r="F69" s="105" t="s">
        <v>669</v>
      </c>
      <c r="G69" s="106" t="s">
        <v>670</v>
      </c>
      <c r="H69" s="105" t="s">
        <v>669</v>
      </c>
      <c r="I69" s="107" t="s">
        <v>297</v>
      </c>
      <c r="J69" s="107" t="s">
        <v>320</v>
      </c>
      <c r="K69" s="329" t="str">
        <f t="shared" si="1"/>
        <v>Adequar i executar el sistema de seguiment periòdic dels grups clau de l'ENP al sistema estàndard de seguiment</v>
      </c>
      <c r="L69" s="109"/>
      <c r="M69" s="76" t="s">
        <v>58</v>
      </c>
      <c r="N69" s="76"/>
      <c r="O69" s="110"/>
      <c r="P69" s="166" t="s">
        <v>671</v>
      </c>
      <c r="Q69" s="111" t="s">
        <v>323</v>
      </c>
      <c r="R69" s="112" t="s">
        <v>672</v>
      </c>
      <c r="S69" s="76" t="s">
        <v>2610</v>
      </c>
      <c r="T69" s="129" t="s">
        <v>2611</v>
      </c>
      <c r="U69" s="129" t="s">
        <v>798</v>
      </c>
      <c r="V69" s="129" t="s">
        <v>2590</v>
      </c>
      <c r="W69" s="407" t="s">
        <v>2755</v>
      </c>
      <c r="X69" s="113">
        <v>150</v>
      </c>
      <c r="Y69" s="113" t="s">
        <v>305</v>
      </c>
      <c r="Z69" s="113" t="s">
        <v>306</v>
      </c>
      <c r="AA69" s="113"/>
      <c r="AB69" s="113"/>
      <c r="AC69" s="113"/>
      <c r="AD69" s="113"/>
      <c r="AE69" s="113"/>
      <c r="AF69" s="113"/>
      <c r="AG69" s="113"/>
      <c r="AH69" s="113"/>
    </row>
    <row r="70" spans="1:34" ht="43.5">
      <c r="A70" s="58"/>
      <c r="B70" s="57"/>
      <c r="C70" s="56"/>
      <c r="D70" s="469"/>
      <c r="E70" s="470"/>
      <c r="F70" s="105" t="s">
        <v>673</v>
      </c>
      <c r="G70" s="106" t="s">
        <v>674</v>
      </c>
      <c r="H70" s="105" t="s">
        <v>673</v>
      </c>
      <c r="I70" s="107" t="s">
        <v>297</v>
      </c>
      <c r="J70" s="107" t="s">
        <v>320</v>
      </c>
      <c r="K70" s="329" t="str">
        <f t="shared" si="1"/>
        <v xml:space="preserve">Mantenir una base de dades de seguiment de patrimoni natural de l'ENP actualitzada i ordenada </v>
      </c>
      <c r="L70" s="109"/>
      <c r="M70" s="76" t="s">
        <v>58</v>
      </c>
      <c r="N70" s="114" t="s">
        <v>58</v>
      </c>
      <c r="O70" s="110" t="s">
        <v>301</v>
      </c>
      <c r="P70" s="166"/>
      <c r="Q70" s="111"/>
      <c r="R70" s="112"/>
      <c r="S70" s="76" t="s">
        <v>675</v>
      </c>
      <c r="T70" s="129" t="s">
        <v>2612</v>
      </c>
      <c r="U70" s="129" t="s">
        <v>852</v>
      </c>
      <c r="V70" s="129" t="s">
        <v>852</v>
      </c>
      <c r="W70" s="122"/>
      <c r="X70" s="129" t="s">
        <v>2913</v>
      </c>
      <c r="Y70" s="129" t="s">
        <v>2841</v>
      </c>
      <c r="Z70" s="129" t="s">
        <v>2842</v>
      </c>
      <c r="AA70" s="113"/>
      <c r="AB70" s="113"/>
      <c r="AC70" s="113"/>
      <c r="AD70" s="113"/>
      <c r="AE70" s="113"/>
      <c r="AF70" s="113"/>
      <c r="AG70" s="113"/>
      <c r="AH70" s="113"/>
    </row>
    <row r="71" spans="1:34" ht="29">
      <c r="A71" s="58"/>
      <c r="B71" s="57"/>
      <c r="C71" s="56"/>
      <c r="D71" s="469"/>
      <c r="E71" s="470"/>
      <c r="F71" s="105" t="s">
        <v>676</v>
      </c>
      <c r="G71" s="106" t="s">
        <v>677</v>
      </c>
      <c r="H71" s="105" t="s">
        <v>676</v>
      </c>
      <c r="I71" s="107" t="s">
        <v>297</v>
      </c>
      <c r="J71" s="107" t="s">
        <v>320</v>
      </c>
      <c r="K71" s="329" t="str">
        <f t="shared" si="1"/>
        <v>Participar en la definició, organització i bolcatge de dades del SINATCAT</v>
      </c>
      <c r="L71" s="109"/>
      <c r="M71" s="76"/>
      <c r="N71" s="76" t="s">
        <v>58</v>
      </c>
      <c r="O71" s="110" t="s">
        <v>301</v>
      </c>
      <c r="P71" s="166"/>
      <c r="Q71" s="111"/>
      <c r="R71" s="112" t="s">
        <v>678</v>
      </c>
      <c r="S71" s="76" t="s">
        <v>679</v>
      </c>
      <c r="T71" s="113" t="s">
        <v>2613</v>
      </c>
      <c r="U71" s="113" t="s">
        <v>353</v>
      </c>
      <c r="V71" s="113" t="s">
        <v>1041</v>
      </c>
      <c r="W71" s="403"/>
      <c r="X71" s="113">
        <v>300</v>
      </c>
      <c r="Y71" s="129" t="s">
        <v>2844</v>
      </c>
      <c r="Z71" s="129" t="s">
        <v>2843</v>
      </c>
      <c r="AA71" s="113"/>
      <c r="AB71" s="113"/>
      <c r="AC71" s="113"/>
      <c r="AD71" s="113"/>
      <c r="AE71" s="113"/>
      <c r="AF71" s="113"/>
      <c r="AG71" s="113"/>
      <c r="AH71" s="113"/>
    </row>
    <row r="72" spans="1:34" ht="130.5">
      <c r="A72" s="58"/>
      <c r="B72" s="57"/>
      <c r="C72" s="56"/>
      <c r="D72" s="469" t="s">
        <v>680</v>
      </c>
      <c r="E72" s="470" t="s">
        <v>681</v>
      </c>
      <c r="F72" s="105" t="s">
        <v>682</v>
      </c>
      <c r="G72" s="106" t="s">
        <v>683</v>
      </c>
      <c r="H72" s="105" t="s">
        <v>682</v>
      </c>
      <c r="I72" s="107" t="s">
        <v>297</v>
      </c>
      <c r="J72" s="107" t="s">
        <v>424</v>
      </c>
      <c r="K72" s="329" t="s">
        <v>2800</v>
      </c>
      <c r="L72" s="117" t="s">
        <v>684</v>
      </c>
      <c r="M72" s="76" t="s">
        <v>58</v>
      </c>
      <c r="N72" s="76"/>
      <c r="O72" s="110" t="s">
        <v>321</v>
      </c>
      <c r="P72" s="166"/>
      <c r="Q72" s="111"/>
      <c r="R72" s="112" t="s">
        <v>685</v>
      </c>
      <c r="S72" s="393" t="s">
        <v>2798</v>
      </c>
      <c r="T72" s="129" t="s">
        <v>2799</v>
      </c>
      <c r="U72" s="129" t="s">
        <v>798</v>
      </c>
      <c r="V72" s="129" t="s">
        <v>1057</v>
      </c>
      <c r="W72" s="407" t="s">
        <v>2763</v>
      </c>
      <c r="X72" s="129" t="s">
        <v>2962</v>
      </c>
      <c r="Y72" s="129" t="s">
        <v>2914</v>
      </c>
      <c r="Z72" s="129" t="s">
        <v>2915</v>
      </c>
      <c r="AA72" s="113"/>
      <c r="AB72" s="113"/>
      <c r="AC72" s="113"/>
      <c r="AD72" s="113"/>
      <c r="AE72" s="113"/>
      <c r="AF72" s="113"/>
      <c r="AG72" s="113"/>
      <c r="AH72" s="113"/>
    </row>
    <row r="73" spans="1:34" ht="58">
      <c r="A73" s="58"/>
      <c r="B73" s="57"/>
      <c r="C73" s="56"/>
      <c r="D73" s="469"/>
      <c r="E73" s="470"/>
      <c r="F73" s="105" t="s">
        <v>687</v>
      </c>
      <c r="G73" s="106" t="s">
        <v>688</v>
      </c>
      <c r="H73" s="105" t="s">
        <v>687</v>
      </c>
      <c r="I73" s="107" t="s">
        <v>297</v>
      </c>
      <c r="J73" s="107" t="s">
        <v>424</v>
      </c>
      <c r="K73" s="329" t="s">
        <v>688</v>
      </c>
      <c r="L73" s="109"/>
      <c r="M73" s="76" t="s">
        <v>58</v>
      </c>
      <c r="N73" s="76"/>
      <c r="O73" s="110" t="s">
        <v>321</v>
      </c>
      <c r="P73" s="166"/>
      <c r="Q73" s="111"/>
      <c r="R73" s="112" t="s">
        <v>689</v>
      </c>
      <c r="S73" s="76" t="s">
        <v>690</v>
      </c>
      <c r="T73" s="129" t="s">
        <v>691</v>
      </c>
      <c r="U73" s="129" t="s">
        <v>798</v>
      </c>
      <c r="V73" s="129" t="s">
        <v>2614</v>
      </c>
      <c r="W73" s="122"/>
      <c r="X73" s="129" t="s">
        <v>2916</v>
      </c>
      <c r="Y73" s="129" t="s">
        <v>2845</v>
      </c>
      <c r="Z73" s="129" t="s">
        <v>2846</v>
      </c>
      <c r="AA73" s="113"/>
      <c r="AB73" s="113"/>
      <c r="AC73" s="113"/>
      <c r="AD73" s="113"/>
      <c r="AE73" s="113"/>
      <c r="AF73" s="113"/>
      <c r="AG73" s="113"/>
      <c r="AH73" s="113"/>
    </row>
    <row r="74" spans="1:34" ht="58">
      <c r="A74" s="58"/>
      <c r="B74" s="57"/>
      <c r="C74" s="56"/>
      <c r="D74" s="469"/>
      <c r="E74" s="470"/>
      <c r="F74" s="105" t="s">
        <v>692</v>
      </c>
      <c r="G74" s="106" t="s">
        <v>693</v>
      </c>
      <c r="H74" s="105" t="s">
        <v>692</v>
      </c>
      <c r="I74" s="107" t="s">
        <v>297</v>
      </c>
      <c r="J74" s="107" t="s">
        <v>424</v>
      </c>
      <c r="K74" s="329" t="str">
        <f t="shared" ref="K74:K98" si="2">G74</f>
        <v xml:space="preserve">Potenciar la ciència ciutadana en l’ENP com a eina per generar coneixement </v>
      </c>
      <c r="L74" s="109"/>
      <c r="M74" s="76" t="s">
        <v>58</v>
      </c>
      <c r="N74" s="76"/>
      <c r="O74" s="110" t="s">
        <v>349</v>
      </c>
      <c r="P74" s="166" t="s">
        <v>694</v>
      </c>
      <c r="Q74" s="111"/>
      <c r="R74" s="112"/>
      <c r="S74" s="76" t="s">
        <v>695</v>
      </c>
      <c r="T74" s="129" t="s">
        <v>2615</v>
      </c>
      <c r="U74" s="113" t="s">
        <v>2616</v>
      </c>
      <c r="V74" s="113" t="s">
        <v>2617</v>
      </c>
      <c r="W74" s="403"/>
      <c r="X74" s="129" t="s">
        <v>2917</v>
      </c>
      <c r="Y74" s="129" t="s">
        <v>2847</v>
      </c>
      <c r="Z74" s="129" t="s">
        <v>2848</v>
      </c>
      <c r="AA74" s="113"/>
      <c r="AB74" s="113"/>
      <c r="AC74" s="113"/>
      <c r="AD74" s="113"/>
      <c r="AE74" s="113"/>
      <c r="AF74" s="113"/>
      <c r="AG74" s="113"/>
      <c r="AH74" s="113"/>
    </row>
    <row r="75" spans="1:34" ht="43.5">
      <c r="A75" s="58"/>
      <c r="B75" s="57"/>
      <c r="C75" s="56"/>
      <c r="D75" s="469"/>
      <c r="E75" s="470"/>
      <c r="F75" s="105" t="s">
        <v>696</v>
      </c>
      <c r="G75" s="106" t="s">
        <v>697</v>
      </c>
      <c r="H75" s="105" t="s">
        <v>696</v>
      </c>
      <c r="I75" s="107" t="s">
        <v>297</v>
      </c>
      <c r="J75" s="107" t="s">
        <v>424</v>
      </c>
      <c r="K75" s="329" t="str">
        <f t="shared" si="2"/>
        <v xml:space="preserve">Crear i desenvolupar jornades de recerca de l'ENP de forma anual on els diferents centres mostrin els estudis realizats en l'ENP </v>
      </c>
      <c r="L75" s="109"/>
      <c r="M75" s="76" t="s">
        <v>58</v>
      </c>
      <c r="N75" s="76"/>
      <c r="O75" s="110" t="s">
        <v>321</v>
      </c>
      <c r="P75" s="166"/>
      <c r="Q75" s="111"/>
      <c r="R75" s="112" t="s">
        <v>698</v>
      </c>
      <c r="S75" s="76" t="s">
        <v>699</v>
      </c>
      <c r="T75" s="113" t="s">
        <v>2618</v>
      </c>
      <c r="U75" s="113" t="s">
        <v>353</v>
      </c>
      <c r="V75" s="113" t="s">
        <v>533</v>
      </c>
      <c r="W75" s="403"/>
      <c r="X75" s="113">
        <v>50</v>
      </c>
      <c r="Y75" s="129" t="s">
        <v>2849</v>
      </c>
      <c r="Z75" s="129" t="s">
        <v>2850</v>
      </c>
      <c r="AA75" s="113"/>
      <c r="AB75" s="113"/>
      <c r="AC75" s="113"/>
      <c r="AD75" s="113"/>
      <c r="AE75" s="113"/>
      <c r="AF75" s="113"/>
      <c r="AG75" s="113"/>
      <c r="AH75" s="113"/>
    </row>
    <row r="76" spans="1:34" ht="58">
      <c r="A76" s="58"/>
      <c r="B76" s="57"/>
      <c r="C76" s="56"/>
      <c r="D76" s="469"/>
      <c r="E76" s="470"/>
      <c r="F76" s="105" t="s">
        <v>700</v>
      </c>
      <c r="G76" s="106" t="s">
        <v>701</v>
      </c>
      <c r="H76" s="105" t="s">
        <v>700</v>
      </c>
      <c r="I76" s="107" t="s">
        <v>297</v>
      </c>
      <c r="J76" s="107" t="s">
        <v>424</v>
      </c>
      <c r="K76" s="388" t="str">
        <f t="shared" si="2"/>
        <v>Posar a disposició de la recerca, equipaments i serveis de l'ENP</v>
      </c>
      <c r="L76" s="109"/>
      <c r="M76" s="76" t="s">
        <v>58</v>
      </c>
      <c r="N76" s="76"/>
      <c r="O76" s="110" t="s">
        <v>349</v>
      </c>
      <c r="P76" s="166"/>
      <c r="Q76" s="111" t="s">
        <v>323</v>
      </c>
      <c r="R76" s="112"/>
      <c r="S76" s="76" t="s">
        <v>702</v>
      </c>
      <c r="T76" s="129" t="s">
        <v>2619</v>
      </c>
      <c r="U76" s="129" t="s">
        <v>2620</v>
      </c>
      <c r="V76" s="129" t="s">
        <v>2621</v>
      </c>
      <c r="W76" s="122"/>
      <c r="X76" s="129" t="s">
        <v>2918</v>
      </c>
      <c r="Y76" s="129" t="s">
        <v>2919</v>
      </c>
      <c r="Z76" s="129" t="s">
        <v>2851</v>
      </c>
      <c r="AA76" s="113"/>
      <c r="AB76" s="113"/>
      <c r="AC76" s="113"/>
      <c r="AD76" s="113"/>
      <c r="AE76" s="113"/>
      <c r="AF76" s="113"/>
      <c r="AG76" s="113"/>
      <c r="AH76" s="113"/>
    </row>
    <row r="77" spans="1:34" ht="116">
      <c r="A77" s="58"/>
      <c r="B77" s="57"/>
      <c r="C77" s="56"/>
      <c r="D77" s="469"/>
      <c r="E77" s="470"/>
      <c r="F77" s="105" t="s">
        <v>703</v>
      </c>
      <c r="G77" s="106" t="s">
        <v>704</v>
      </c>
      <c r="H77" s="105" t="s">
        <v>703</v>
      </c>
      <c r="I77" s="107" t="s">
        <v>297</v>
      </c>
      <c r="J77" s="107" t="s">
        <v>424</v>
      </c>
      <c r="K77" s="405" t="s">
        <v>2797</v>
      </c>
      <c r="L77" s="108" t="s">
        <v>705</v>
      </c>
      <c r="M77" s="76" t="s">
        <v>79</v>
      </c>
      <c r="N77" s="76"/>
      <c r="O77" s="110"/>
      <c r="P77" s="166" t="s">
        <v>706</v>
      </c>
      <c r="Q77" s="111"/>
      <c r="R77" s="112" t="s">
        <v>707</v>
      </c>
      <c r="S77" s="362"/>
      <c r="T77" s="113"/>
      <c r="U77" s="113"/>
      <c r="V77" s="113"/>
      <c r="W77" s="407" t="s">
        <v>2766</v>
      </c>
      <c r="X77" s="113"/>
      <c r="Y77" s="113"/>
      <c r="Z77" s="113"/>
      <c r="AA77" s="113"/>
      <c r="AB77" s="113"/>
      <c r="AC77" s="113"/>
      <c r="AD77" s="113"/>
      <c r="AE77" s="113"/>
      <c r="AF77" s="113"/>
      <c r="AG77" s="113"/>
      <c r="AH77" s="113"/>
    </row>
    <row r="78" spans="1:34" ht="58">
      <c r="A78" s="58"/>
      <c r="B78" s="57"/>
      <c r="C78" s="56"/>
      <c r="D78" s="469" t="s">
        <v>708</v>
      </c>
      <c r="E78" s="470" t="s">
        <v>709</v>
      </c>
      <c r="F78" s="105" t="s">
        <v>710</v>
      </c>
      <c r="G78" s="106" t="s">
        <v>711</v>
      </c>
      <c r="H78" s="105" t="s">
        <v>710</v>
      </c>
      <c r="I78" s="107" t="s">
        <v>297</v>
      </c>
      <c r="J78" s="107" t="s">
        <v>320</v>
      </c>
      <c r="K78" s="329" t="str">
        <f t="shared" si="2"/>
        <v>Participar en la definició del sistema estándard de seguiment de l'ús públic amb el SENP</v>
      </c>
      <c r="L78" s="117"/>
      <c r="M78" s="76" t="s">
        <v>58</v>
      </c>
      <c r="N78" s="76"/>
      <c r="O78" s="110"/>
      <c r="P78" s="166"/>
      <c r="Q78" s="111"/>
      <c r="R78" s="112" t="s">
        <v>712</v>
      </c>
      <c r="S78" s="362" t="s">
        <v>2622</v>
      </c>
      <c r="T78" s="113" t="s">
        <v>2623</v>
      </c>
      <c r="U78" s="113" t="s">
        <v>353</v>
      </c>
      <c r="V78" s="113" t="s">
        <v>1062</v>
      </c>
      <c r="W78" s="407" t="s">
        <v>2753</v>
      </c>
      <c r="X78" s="113">
        <v>60</v>
      </c>
      <c r="Y78" s="113" t="s">
        <v>2834</v>
      </c>
      <c r="Z78" s="113" t="s">
        <v>2829</v>
      </c>
      <c r="AA78" s="113"/>
      <c r="AB78" s="113"/>
      <c r="AC78" s="113"/>
      <c r="AD78" s="113"/>
      <c r="AE78" s="113"/>
      <c r="AF78" s="113"/>
      <c r="AG78" s="113"/>
      <c r="AH78" s="113"/>
    </row>
    <row r="79" spans="1:34" ht="130.5">
      <c r="A79" s="58"/>
      <c r="B79" s="57"/>
      <c r="C79" s="56"/>
      <c r="D79" s="469"/>
      <c r="E79" s="470"/>
      <c r="F79" s="105" t="s">
        <v>713</v>
      </c>
      <c r="G79" s="106" t="s">
        <v>714</v>
      </c>
      <c r="H79" s="105" t="s">
        <v>713</v>
      </c>
      <c r="I79" s="107" t="s">
        <v>297</v>
      </c>
      <c r="J79" s="107" t="s">
        <v>320</v>
      </c>
      <c r="K79" s="329" t="str">
        <f t="shared" si="2"/>
        <v xml:space="preserve">Disposar de dades de freqüentació i perfil d'usuari en l'ENP i en especial en equipaments i en zones d'alta freqüentació segons el model de DG </v>
      </c>
      <c r="L79" s="109"/>
      <c r="M79" s="76" t="s">
        <v>58</v>
      </c>
      <c r="N79" s="76"/>
      <c r="O79" s="110" t="s">
        <v>321</v>
      </c>
      <c r="P79" s="166" t="s">
        <v>715</v>
      </c>
      <c r="Q79" s="111"/>
      <c r="R79" s="112" t="s">
        <v>716</v>
      </c>
      <c r="S79" s="362" t="s">
        <v>717</v>
      </c>
      <c r="T79" s="129" t="s">
        <v>718</v>
      </c>
      <c r="U79" s="129" t="s">
        <v>719</v>
      </c>
      <c r="V79" s="129" t="s">
        <v>720</v>
      </c>
      <c r="W79" s="122"/>
      <c r="X79" s="129" t="s">
        <v>2961</v>
      </c>
      <c r="Y79" s="129" t="s">
        <v>2852</v>
      </c>
      <c r="Z79" s="129" t="s">
        <v>2831</v>
      </c>
      <c r="AA79" s="113"/>
      <c r="AB79" s="113"/>
      <c r="AC79" s="113"/>
      <c r="AD79" s="113"/>
      <c r="AE79" s="113"/>
      <c r="AF79" s="113"/>
      <c r="AG79" s="113"/>
      <c r="AH79" s="113"/>
    </row>
    <row r="80" spans="1:34" ht="58">
      <c r="A80" s="58"/>
      <c r="B80" s="57"/>
      <c r="C80" s="56"/>
      <c r="D80" s="469"/>
      <c r="E80" s="470"/>
      <c r="F80" s="105" t="s">
        <v>721</v>
      </c>
      <c r="G80" s="106" t="s">
        <v>722</v>
      </c>
      <c r="H80" s="105" t="s">
        <v>721</v>
      </c>
      <c r="I80" s="107" t="s">
        <v>297</v>
      </c>
      <c r="J80" s="107" t="s">
        <v>320</v>
      </c>
      <c r="K80" s="329" t="str">
        <f t="shared" si="2"/>
        <v>Identificar les activitats i actors de l’espai.</v>
      </c>
      <c r="L80" s="109"/>
      <c r="M80" s="76" t="s">
        <v>58</v>
      </c>
      <c r="N80" s="76"/>
      <c r="O80" s="110" t="s">
        <v>349</v>
      </c>
      <c r="P80" s="166"/>
      <c r="Q80" s="111"/>
      <c r="R80" s="112"/>
      <c r="S80" s="362" t="s">
        <v>723</v>
      </c>
      <c r="T80" s="129" t="s">
        <v>724</v>
      </c>
      <c r="U80" s="129" t="s">
        <v>798</v>
      </c>
      <c r="V80" s="129" t="s">
        <v>2624</v>
      </c>
      <c r="W80" s="122"/>
      <c r="X80" s="113">
        <v>300</v>
      </c>
      <c r="Y80" s="113" t="s">
        <v>2817</v>
      </c>
      <c r="Z80" s="113" t="s">
        <v>2818</v>
      </c>
      <c r="AA80" s="113"/>
      <c r="AB80" s="113"/>
      <c r="AC80" s="113"/>
      <c r="AD80" s="113"/>
      <c r="AE80" s="113"/>
      <c r="AF80" s="113"/>
      <c r="AG80" s="113"/>
      <c r="AH80" s="113"/>
    </row>
    <row r="81" spans="1:34" ht="72.5">
      <c r="A81" s="58"/>
      <c r="B81" s="57"/>
      <c r="C81" s="56"/>
      <c r="D81" s="469"/>
      <c r="E81" s="470"/>
      <c r="F81" s="105" t="s">
        <v>725</v>
      </c>
      <c r="G81" s="106" t="s">
        <v>726</v>
      </c>
      <c r="H81" s="105" t="s">
        <v>725</v>
      </c>
      <c r="I81" s="107"/>
      <c r="J81" s="107"/>
      <c r="K81" s="329" t="str">
        <f t="shared" si="2"/>
        <v>Identificar en cartografia les males praxis i punts de massificació</v>
      </c>
      <c r="L81" s="109"/>
      <c r="M81" s="76" t="s">
        <v>58</v>
      </c>
      <c r="N81" s="76"/>
      <c r="O81" s="110"/>
      <c r="P81" s="166"/>
      <c r="Q81" s="111"/>
      <c r="R81" s="112"/>
      <c r="S81" s="362" t="s">
        <v>727</v>
      </c>
      <c r="T81" s="129" t="s">
        <v>2625</v>
      </c>
      <c r="U81" s="129" t="s">
        <v>798</v>
      </c>
      <c r="V81" s="129" t="s">
        <v>798</v>
      </c>
      <c r="W81" s="122"/>
      <c r="X81" s="113">
        <v>200</v>
      </c>
      <c r="Y81" s="113" t="s">
        <v>2817</v>
      </c>
      <c r="Z81" s="113" t="s">
        <v>2818</v>
      </c>
      <c r="AA81" s="113"/>
      <c r="AB81" s="113"/>
      <c r="AC81" s="113"/>
      <c r="AD81" s="113"/>
      <c r="AE81" s="113"/>
      <c r="AF81" s="113"/>
      <c r="AG81" s="113"/>
      <c r="AH81" s="113"/>
    </row>
    <row r="82" spans="1:34" ht="72.5">
      <c r="A82" s="58"/>
      <c r="B82" s="57"/>
      <c r="C82" s="56"/>
      <c r="D82" s="469"/>
      <c r="E82" s="470"/>
      <c r="F82" s="105" t="s">
        <v>728</v>
      </c>
      <c r="G82" s="106" t="s">
        <v>729</v>
      </c>
      <c r="H82" s="105" t="s">
        <v>728</v>
      </c>
      <c r="I82" s="107" t="s">
        <v>297</v>
      </c>
      <c r="J82" s="107" t="s">
        <v>320</v>
      </c>
      <c r="K82" s="329" t="str">
        <f t="shared" si="2"/>
        <v>Adaptar i mantenir un registre d'activitats, actors i inciències en ús públic (curses, conflictes, queixes, etc)</v>
      </c>
      <c r="L82" s="109"/>
      <c r="M82" s="76" t="s">
        <v>58</v>
      </c>
      <c r="N82" s="76"/>
      <c r="O82" s="110"/>
      <c r="P82" s="166"/>
      <c r="Q82" s="111"/>
      <c r="R82" s="112" t="s">
        <v>730</v>
      </c>
      <c r="S82" s="362" t="s">
        <v>731</v>
      </c>
      <c r="T82" s="129" t="s">
        <v>2626</v>
      </c>
      <c r="U82" s="129" t="s">
        <v>1073</v>
      </c>
      <c r="V82" s="129" t="s">
        <v>2627</v>
      </c>
      <c r="W82" s="407" t="s">
        <v>2753</v>
      </c>
      <c r="X82" s="113">
        <v>250</v>
      </c>
      <c r="Y82" s="113" t="s">
        <v>2817</v>
      </c>
      <c r="Z82" s="113" t="s">
        <v>2818</v>
      </c>
      <c r="AA82" s="113"/>
      <c r="AB82" s="113"/>
      <c r="AC82" s="113"/>
      <c r="AD82" s="113"/>
      <c r="AE82" s="113"/>
      <c r="AF82" s="113"/>
      <c r="AG82" s="113"/>
      <c r="AH82" s="113"/>
    </row>
    <row r="83" spans="1:34" ht="58">
      <c r="A83" s="58"/>
      <c r="B83" s="57"/>
      <c r="C83" s="56"/>
      <c r="D83" s="469"/>
      <c r="E83" s="470"/>
      <c r="F83" s="105" t="s">
        <v>732</v>
      </c>
      <c r="G83" s="106" t="s">
        <v>733</v>
      </c>
      <c r="H83" s="105" t="s">
        <v>732</v>
      </c>
      <c r="I83" s="107" t="s">
        <v>297</v>
      </c>
      <c r="J83" s="107" t="s">
        <v>320</v>
      </c>
      <c r="K83" s="329" t="str">
        <f t="shared" si="2"/>
        <v>Identificar els impactes (positius i negatius) que generen les activitats d'ús públic dins l'ENP</v>
      </c>
      <c r="L83" s="109"/>
      <c r="M83" s="76" t="s">
        <v>58</v>
      </c>
      <c r="N83" s="76"/>
      <c r="O83" s="110"/>
      <c r="P83" s="166"/>
      <c r="Q83" s="111" t="s">
        <v>323</v>
      </c>
      <c r="R83" s="112"/>
      <c r="S83" s="362" t="s">
        <v>734</v>
      </c>
      <c r="T83" s="129" t="s">
        <v>2628</v>
      </c>
      <c r="U83" s="129" t="s">
        <v>798</v>
      </c>
      <c r="V83" s="129" t="s">
        <v>798</v>
      </c>
      <c r="W83" s="407" t="s">
        <v>2753</v>
      </c>
      <c r="X83" s="129" t="s">
        <v>2960</v>
      </c>
      <c r="Y83" s="129" t="s">
        <v>2826</v>
      </c>
      <c r="Z83" s="129" t="s">
        <v>2819</v>
      </c>
      <c r="AA83" s="113"/>
      <c r="AB83" s="113"/>
      <c r="AC83" s="113"/>
      <c r="AD83" s="113"/>
      <c r="AE83" s="113"/>
      <c r="AF83" s="113"/>
      <c r="AG83" s="113"/>
      <c r="AH83" s="113"/>
    </row>
    <row r="84" spans="1:34" ht="58">
      <c r="A84" s="28" t="s">
        <v>735</v>
      </c>
      <c r="B84" s="38">
        <v>7</v>
      </c>
      <c r="C84" s="39" t="s">
        <v>736</v>
      </c>
      <c r="D84" s="15" t="s">
        <v>737</v>
      </c>
      <c r="E84" s="90" t="s">
        <v>738</v>
      </c>
      <c r="F84" s="105" t="s">
        <v>739</v>
      </c>
      <c r="G84" s="106" t="s">
        <v>740</v>
      </c>
      <c r="H84" s="105" t="s">
        <v>739</v>
      </c>
      <c r="I84" s="107" t="s">
        <v>297</v>
      </c>
      <c r="J84" s="107" t="s">
        <v>298</v>
      </c>
      <c r="K84" s="329" t="str">
        <f t="shared" si="2"/>
        <v xml:space="preserve">Promoure i/o col·laborar en l'aplicació de Plans de Desenvolupament Local Sostenible </v>
      </c>
      <c r="L84" s="109"/>
      <c r="M84" s="76" t="s">
        <v>58</v>
      </c>
      <c r="N84" s="76"/>
      <c r="O84" s="110" t="s">
        <v>321</v>
      </c>
      <c r="P84" s="166"/>
      <c r="Q84" s="111"/>
      <c r="R84" s="112"/>
      <c r="S84" s="393" t="s">
        <v>2629</v>
      </c>
      <c r="T84" s="129" t="s">
        <v>741</v>
      </c>
      <c r="U84" s="113" t="s">
        <v>353</v>
      </c>
      <c r="V84" s="113" t="s">
        <v>533</v>
      </c>
      <c r="W84" s="407" t="s">
        <v>2753</v>
      </c>
      <c r="X84" s="113">
        <v>150</v>
      </c>
      <c r="Y84" s="113" t="s">
        <v>329</v>
      </c>
      <c r="Z84" s="113" t="s">
        <v>330</v>
      </c>
      <c r="AA84" s="113"/>
      <c r="AB84" s="113"/>
      <c r="AC84" s="113"/>
      <c r="AD84" s="113"/>
      <c r="AE84" s="113"/>
      <c r="AF84" s="113"/>
      <c r="AG84" s="113"/>
      <c r="AH84" s="113"/>
    </row>
    <row r="85" spans="1:34" ht="87">
      <c r="A85" s="28"/>
      <c r="B85" s="500">
        <v>8</v>
      </c>
      <c r="C85" s="503" t="s">
        <v>742</v>
      </c>
      <c r="D85" s="481" t="s">
        <v>743</v>
      </c>
      <c r="E85" s="483" t="s">
        <v>744</v>
      </c>
      <c r="F85" s="105" t="s">
        <v>745</v>
      </c>
      <c r="G85" s="106" t="s">
        <v>746</v>
      </c>
      <c r="H85" s="105" t="s">
        <v>745</v>
      </c>
      <c r="I85" s="107" t="s">
        <v>297</v>
      </c>
      <c r="J85" s="107" t="s">
        <v>298</v>
      </c>
      <c r="K85" s="7" t="s">
        <v>747</v>
      </c>
      <c r="L85" s="117" t="s">
        <v>748</v>
      </c>
      <c r="M85" s="76" t="s">
        <v>58</v>
      </c>
      <c r="N85" s="76"/>
      <c r="O85" s="110" t="s">
        <v>301</v>
      </c>
      <c r="P85" s="166" t="s">
        <v>749</v>
      </c>
      <c r="Q85" s="111"/>
      <c r="R85" s="112"/>
      <c r="S85" s="76" t="s">
        <v>750</v>
      </c>
      <c r="T85" s="129" t="s">
        <v>751</v>
      </c>
      <c r="U85" s="129" t="s">
        <v>752</v>
      </c>
      <c r="V85" s="129" t="s">
        <v>753</v>
      </c>
      <c r="W85" s="407" t="s">
        <v>2753</v>
      </c>
      <c r="X85" s="113">
        <v>995</v>
      </c>
      <c r="Y85" s="113" t="s">
        <v>2088</v>
      </c>
      <c r="Z85" s="113" t="s">
        <v>355</v>
      </c>
      <c r="AA85" s="113"/>
      <c r="AB85" s="113"/>
      <c r="AC85" s="113"/>
      <c r="AD85" s="113"/>
      <c r="AE85" s="113"/>
      <c r="AF85" s="113"/>
      <c r="AG85" s="113"/>
      <c r="AH85" s="113"/>
    </row>
    <row r="86" spans="1:34" ht="87">
      <c r="A86" s="28"/>
      <c r="B86" s="501"/>
      <c r="C86" s="504"/>
      <c r="D86" s="496"/>
      <c r="E86" s="506"/>
      <c r="F86" s="105" t="s">
        <v>754</v>
      </c>
      <c r="G86" s="106" t="s">
        <v>755</v>
      </c>
      <c r="H86" s="105" t="s">
        <v>754</v>
      </c>
      <c r="I86" s="107" t="s">
        <v>297</v>
      </c>
      <c r="J86" s="107" t="s">
        <v>298</v>
      </c>
      <c r="K86" s="329" t="s">
        <v>756</v>
      </c>
      <c r="L86" s="117" t="s">
        <v>748</v>
      </c>
      <c r="M86" s="76" t="s">
        <v>58</v>
      </c>
      <c r="N86" s="76"/>
      <c r="O86" s="110" t="s">
        <v>301</v>
      </c>
      <c r="P86" s="166" t="s">
        <v>757</v>
      </c>
      <c r="Q86" s="111"/>
      <c r="R86" s="112"/>
      <c r="S86" s="354" t="s">
        <v>758</v>
      </c>
      <c r="T86" s="129" t="s">
        <v>759</v>
      </c>
      <c r="U86" s="129" t="s">
        <v>2630</v>
      </c>
      <c r="V86" s="129" t="s">
        <v>2631</v>
      </c>
      <c r="W86" s="407" t="s">
        <v>2753</v>
      </c>
      <c r="X86" s="113"/>
      <c r="Y86" s="113" t="s">
        <v>2088</v>
      </c>
      <c r="Z86" s="113" t="s">
        <v>355</v>
      </c>
      <c r="AA86" s="113"/>
      <c r="AB86" s="113"/>
      <c r="AC86" s="113"/>
      <c r="AD86" s="113"/>
      <c r="AE86" s="113"/>
      <c r="AF86" s="113"/>
      <c r="AG86" s="113"/>
      <c r="AH86" s="113"/>
    </row>
    <row r="87" spans="1:34" ht="58">
      <c r="A87" s="28"/>
      <c r="B87" s="501"/>
      <c r="C87" s="504"/>
      <c r="D87" s="482"/>
      <c r="E87" s="484"/>
      <c r="F87" s="105" t="s">
        <v>762</v>
      </c>
      <c r="G87" s="106" t="s">
        <v>763</v>
      </c>
      <c r="H87" s="105" t="s">
        <v>762</v>
      </c>
      <c r="I87" s="107" t="s">
        <v>347</v>
      </c>
      <c r="J87" s="107" t="s">
        <v>424</v>
      </c>
      <c r="K87" s="329" t="s">
        <v>764</v>
      </c>
      <c r="L87" s="117" t="s">
        <v>765</v>
      </c>
      <c r="M87" s="76" t="s">
        <v>58</v>
      </c>
      <c r="N87" s="76"/>
      <c r="O87" s="110" t="s">
        <v>321</v>
      </c>
      <c r="P87" s="166"/>
      <c r="Q87" s="111"/>
      <c r="R87" s="112"/>
      <c r="S87" s="76" t="s">
        <v>2632</v>
      </c>
      <c r="T87" s="129" t="s">
        <v>766</v>
      </c>
      <c r="U87" s="129" t="s">
        <v>761</v>
      </c>
      <c r="V87" s="129" t="s">
        <v>767</v>
      </c>
      <c r="W87" s="407" t="s">
        <v>2753</v>
      </c>
      <c r="X87" s="129" t="s">
        <v>2921</v>
      </c>
      <c r="Y87" s="129" t="s">
        <v>2823</v>
      </c>
      <c r="Z87" s="129" t="s">
        <v>2824</v>
      </c>
      <c r="AA87" s="113"/>
      <c r="AB87" s="113"/>
      <c r="AC87" s="113"/>
      <c r="AD87" s="113"/>
      <c r="AE87" s="113"/>
      <c r="AF87" s="113"/>
      <c r="AG87" s="113"/>
      <c r="AH87" s="113"/>
    </row>
    <row r="88" spans="1:34" ht="188.5">
      <c r="A88" s="492"/>
      <c r="B88" s="501"/>
      <c r="C88" s="504"/>
      <c r="D88" s="15" t="s">
        <v>768</v>
      </c>
      <c r="E88" s="90" t="s">
        <v>769</v>
      </c>
      <c r="F88" s="105" t="s">
        <v>770</v>
      </c>
      <c r="G88" s="106" t="s">
        <v>771</v>
      </c>
      <c r="H88" s="105" t="s">
        <v>770</v>
      </c>
      <c r="I88" s="111"/>
      <c r="J88" s="111"/>
      <c r="K88" s="329" t="str">
        <f>G88</f>
        <v>Establir una relació contínua amb agents socioeconòmics del territori, i si s'escau, crear una Taula de desenvolupament local</v>
      </c>
      <c r="L88" s="366"/>
      <c r="M88" s="76" t="s">
        <v>58</v>
      </c>
      <c r="N88" s="76"/>
      <c r="O88" s="110" t="s">
        <v>321</v>
      </c>
      <c r="P88" s="166" t="s">
        <v>772</v>
      </c>
      <c r="Q88" s="111" t="s">
        <v>323</v>
      </c>
      <c r="R88" s="112"/>
      <c r="S88" s="76" t="s">
        <v>773</v>
      </c>
      <c r="T88" s="129" t="s">
        <v>774</v>
      </c>
      <c r="U88" s="129" t="s">
        <v>775</v>
      </c>
      <c r="V88" s="129" t="s">
        <v>776</v>
      </c>
      <c r="W88" s="407" t="s">
        <v>2753</v>
      </c>
      <c r="X88" s="129" t="s">
        <v>2924</v>
      </c>
      <c r="Y88" s="129" t="s">
        <v>2922</v>
      </c>
      <c r="Z88" s="129" t="s">
        <v>2923</v>
      </c>
      <c r="AA88" s="113"/>
      <c r="AB88" s="113"/>
      <c r="AC88" s="113"/>
      <c r="AD88" s="113"/>
      <c r="AE88" s="113"/>
      <c r="AF88" s="113"/>
      <c r="AG88" s="113"/>
      <c r="AH88" s="113"/>
    </row>
    <row r="89" spans="1:34" ht="145">
      <c r="A89" s="492"/>
      <c r="B89" s="501"/>
      <c r="C89" s="504"/>
      <c r="D89" s="493" t="s">
        <v>777</v>
      </c>
      <c r="E89" s="494" t="s">
        <v>778</v>
      </c>
      <c r="F89" s="105" t="s">
        <v>779</v>
      </c>
      <c r="G89" s="106" t="s">
        <v>780</v>
      </c>
      <c r="H89" s="105" t="s">
        <v>779</v>
      </c>
      <c r="I89" s="107" t="s">
        <v>297</v>
      </c>
      <c r="J89" s="107" t="s">
        <v>424</v>
      </c>
      <c r="K89" s="329" t="s">
        <v>781</v>
      </c>
      <c r="L89" s="117" t="s">
        <v>782</v>
      </c>
      <c r="M89" s="76" t="s">
        <v>58</v>
      </c>
      <c r="N89" s="76"/>
      <c r="O89" s="110" t="s">
        <v>321</v>
      </c>
      <c r="P89" s="166" t="s">
        <v>783</v>
      </c>
      <c r="Q89" s="111" t="s">
        <v>323</v>
      </c>
      <c r="R89" s="112" t="s">
        <v>784</v>
      </c>
      <c r="S89" s="76" t="s">
        <v>2764</v>
      </c>
      <c r="T89" s="129" t="s">
        <v>2633</v>
      </c>
      <c r="U89" s="129" t="s">
        <v>2634</v>
      </c>
      <c r="V89" s="129" t="s">
        <v>2635</v>
      </c>
      <c r="W89" s="407" t="s">
        <v>2753</v>
      </c>
      <c r="X89" s="113">
        <v>600</v>
      </c>
      <c r="Y89" s="113" t="s">
        <v>2088</v>
      </c>
      <c r="Z89" s="113" t="s">
        <v>355</v>
      </c>
      <c r="AA89" s="113"/>
      <c r="AB89" s="113"/>
      <c r="AC89" s="113"/>
      <c r="AD89" s="113"/>
      <c r="AE89" s="113"/>
      <c r="AF89" s="113"/>
      <c r="AG89" s="113"/>
      <c r="AH89" s="113"/>
    </row>
    <row r="90" spans="1:34" ht="101.5">
      <c r="A90" s="492"/>
      <c r="B90" s="501"/>
      <c r="C90" s="504"/>
      <c r="D90" s="493"/>
      <c r="E90" s="494"/>
      <c r="F90" s="105" t="s">
        <v>785</v>
      </c>
      <c r="G90" s="106" t="s">
        <v>786</v>
      </c>
      <c r="H90" s="105" t="s">
        <v>785</v>
      </c>
      <c r="I90" s="107" t="s">
        <v>297</v>
      </c>
      <c r="J90" s="107" t="s">
        <v>320</v>
      </c>
      <c r="K90" s="329" t="str">
        <f t="shared" si="2"/>
        <v>Integrar els productes i activitats locals de qualitat en l'oferta d'activitats d'informació i turístiques de l'ENP</v>
      </c>
      <c r="L90" s="109"/>
      <c r="M90" s="76" t="s">
        <v>58</v>
      </c>
      <c r="N90" s="114"/>
      <c r="O90" s="110" t="s">
        <v>349</v>
      </c>
      <c r="P90" s="166" t="s">
        <v>787</v>
      </c>
      <c r="Q90" s="116" t="s">
        <v>788</v>
      </c>
      <c r="R90" s="112"/>
      <c r="S90" s="362" t="s">
        <v>789</v>
      </c>
      <c r="T90" s="129" t="s">
        <v>790</v>
      </c>
      <c r="U90" s="129" t="s">
        <v>791</v>
      </c>
      <c r="V90" s="129" t="s">
        <v>767</v>
      </c>
      <c r="W90" s="407" t="s">
        <v>2753</v>
      </c>
      <c r="X90" s="129" t="s">
        <v>2912</v>
      </c>
      <c r="Y90" s="129" t="s">
        <v>2853</v>
      </c>
      <c r="Z90" s="129" t="s">
        <v>2812</v>
      </c>
      <c r="AA90" s="113"/>
      <c r="AB90" s="113"/>
      <c r="AC90" s="113"/>
      <c r="AD90" s="113"/>
      <c r="AE90" s="113"/>
      <c r="AF90" s="113"/>
      <c r="AG90" s="113"/>
      <c r="AH90" s="113"/>
    </row>
    <row r="91" spans="1:34" ht="58">
      <c r="A91" s="492"/>
      <c r="B91" s="501"/>
      <c r="C91" s="504"/>
      <c r="D91" s="493"/>
      <c r="E91" s="494"/>
      <c r="F91" s="105" t="s">
        <v>792</v>
      </c>
      <c r="G91" s="106" t="s">
        <v>793</v>
      </c>
      <c r="H91" s="105" t="s">
        <v>792</v>
      </c>
      <c r="I91" s="107" t="s">
        <v>297</v>
      </c>
      <c r="J91" s="107" t="s">
        <v>424</v>
      </c>
      <c r="K91" s="329" t="s">
        <v>794</v>
      </c>
      <c r="L91" s="117" t="s">
        <v>795</v>
      </c>
      <c r="M91" s="76" t="s">
        <v>58</v>
      </c>
      <c r="N91" s="76"/>
      <c r="O91" s="110" t="s">
        <v>349</v>
      </c>
      <c r="P91" s="166"/>
      <c r="Q91" s="111"/>
      <c r="R91" s="112"/>
      <c r="S91" s="76" t="s">
        <v>796</v>
      </c>
      <c r="T91" s="129" t="s">
        <v>797</v>
      </c>
      <c r="U91" s="129" t="s">
        <v>798</v>
      </c>
      <c r="V91" s="129" t="s">
        <v>799</v>
      </c>
      <c r="W91" s="407" t="s">
        <v>2753</v>
      </c>
      <c r="X91" s="113">
        <v>45</v>
      </c>
      <c r="Y91" s="113" t="s">
        <v>2088</v>
      </c>
      <c r="Z91" s="113" t="s">
        <v>355</v>
      </c>
      <c r="AA91" s="113"/>
      <c r="AB91" s="113"/>
      <c r="AC91" s="113"/>
      <c r="AD91" s="113"/>
      <c r="AE91" s="113"/>
      <c r="AF91" s="113"/>
      <c r="AG91" s="113"/>
      <c r="AH91" s="113"/>
    </row>
    <row r="92" spans="1:34" ht="72.5">
      <c r="A92" s="492"/>
      <c r="B92" s="501"/>
      <c r="C92" s="504"/>
      <c r="D92" s="493"/>
      <c r="E92" s="494"/>
      <c r="F92" s="105" t="s">
        <v>800</v>
      </c>
      <c r="G92" s="106" t="s">
        <v>801</v>
      </c>
      <c r="H92" s="105" t="s">
        <v>800</v>
      </c>
      <c r="I92" s="107" t="s">
        <v>297</v>
      </c>
      <c r="J92" s="107" t="s">
        <v>424</v>
      </c>
      <c r="K92" s="329" t="str">
        <f t="shared" si="2"/>
        <v xml:space="preserve">Generar aliances entre el sector primari, el turisme, la restauració i altres per fomentar la gastronomia local </v>
      </c>
      <c r="L92" s="109"/>
      <c r="M92" s="76" t="s">
        <v>58</v>
      </c>
      <c r="N92" s="76"/>
      <c r="O92" s="110" t="s">
        <v>321</v>
      </c>
      <c r="P92" s="166" t="s">
        <v>802</v>
      </c>
      <c r="Q92" s="116" t="s">
        <v>788</v>
      </c>
      <c r="R92" s="112"/>
      <c r="S92" s="76" t="s">
        <v>803</v>
      </c>
      <c r="T92" s="129" t="s">
        <v>804</v>
      </c>
      <c r="U92" s="129" t="s">
        <v>761</v>
      </c>
      <c r="V92" s="129" t="s">
        <v>767</v>
      </c>
      <c r="W92" s="407" t="s">
        <v>2753</v>
      </c>
      <c r="X92" s="129" t="s">
        <v>2959</v>
      </c>
      <c r="Y92" s="129" t="s">
        <v>2854</v>
      </c>
      <c r="Z92" s="129" t="s">
        <v>2855</v>
      </c>
      <c r="AA92" s="113"/>
      <c r="AB92" s="113"/>
      <c r="AC92" s="113"/>
      <c r="AD92" s="113"/>
      <c r="AE92" s="113"/>
      <c r="AF92" s="113"/>
      <c r="AG92" s="113"/>
      <c r="AH92" s="113"/>
    </row>
    <row r="93" spans="1:34" ht="116">
      <c r="A93" s="492"/>
      <c r="B93" s="501"/>
      <c r="C93" s="504"/>
      <c r="D93" s="493"/>
      <c r="E93" s="494"/>
      <c r="F93" s="105" t="s">
        <v>805</v>
      </c>
      <c r="G93" s="106" t="s">
        <v>806</v>
      </c>
      <c r="H93" s="105" t="s">
        <v>805</v>
      </c>
      <c r="I93" s="107" t="s">
        <v>297</v>
      </c>
      <c r="J93" s="107" t="s">
        <v>424</v>
      </c>
      <c r="K93" s="405" t="s">
        <v>2797</v>
      </c>
      <c r="L93" s="76" t="s">
        <v>807</v>
      </c>
      <c r="M93" s="76"/>
      <c r="N93" s="114"/>
      <c r="O93" s="110"/>
      <c r="P93" s="166" t="s">
        <v>808</v>
      </c>
      <c r="Q93" s="116" t="s">
        <v>323</v>
      </c>
      <c r="R93" s="112"/>
      <c r="T93" s="113"/>
      <c r="U93" s="113"/>
      <c r="V93" s="113"/>
      <c r="W93" s="407" t="s">
        <v>2766</v>
      </c>
      <c r="X93" s="113"/>
      <c r="Y93" s="113"/>
      <c r="Z93" s="113"/>
      <c r="AA93" s="113"/>
      <c r="AB93" s="113"/>
      <c r="AC93" s="113"/>
      <c r="AD93" s="113"/>
      <c r="AE93" s="113"/>
      <c r="AF93" s="113"/>
      <c r="AG93" s="113"/>
      <c r="AH93" s="113"/>
    </row>
    <row r="94" spans="1:34" ht="87">
      <c r="A94" s="492"/>
      <c r="B94" s="501"/>
      <c r="C94" s="504"/>
      <c r="D94" s="493"/>
      <c r="E94" s="494"/>
      <c r="F94" s="105" t="s">
        <v>809</v>
      </c>
      <c r="G94" s="106" t="s">
        <v>810</v>
      </c>
      <c r="H94" s="105" t="s">
        <v>809</v>
      </c>
      <c r="I94" s="107" t="s">
        <v>297</v>
      </c>
      <c r="J94" s="107" t="s">
        <v>424</v>
      </c>
      <c r="K94" s="329" t="str">
        <f t="shared" si="2"/>
        <v>Promoure els agents del territori que potencien i difonen els productes locals i de qualitat (artesanies, allotjaments, restaurants, cellers, establiments, elaboradors i productors) que afavoreixin la conservació</v>
      </c>
      <c r="L94" s="109"/>
      <c r="M94" s="76" t="s">
        <v>58</v>
      </c>
      <c r="N94" s="76"/>
      <c r="O94" s="110" t="s">
        <v>321</v>
      </c>
      <c r="P94" s="166" t="s">
        <v>811</v>
      </c>
      <c r="Q94" s="111"/>
      <c r="R94" s="112"/>
      <c r="S94" s="354" t="s">
        <v>812</v>
      </c>
      <c r="T94" s="129" t="s">
        <v>813</v>
      </c>
      <c r="U94" s="129" t="s">
        <v>760</v>
      </c>
      <c r="V94" s="129" t="s">
        <v>761</v>
      </c>
      <c r="W94" s="407" t="s">
        <v>2753</v>
      </c>
      <c r="X94" s="113">
        <v>125</v>
      </c>
      <c r="Y94" s="129" t="s">
        <v>2088</v>
      </c>
      <c r="Z94" s="129" t="s">
        <v>355</v>
      </c>
      <c r="AA94" s="113"/>
      <c r="AB94" s="113"/>
      <c r="AC94" s="113"/>
      <c r="AD94" s="113"/>
      <c r="AE94" s="113"/>
      <c r="AF94" s="113"/>
      <c r="AG94" s="113"/>
      <c r="AH94" s="113"/>
    </row>
    <row r="95" spans="1:34" ht="87">
      <c r="A95" s="492"/>
      <c r="B95" s="501"/>
      <c r="C95" s="504"/>
      <c r="D95" s="493" t="s">
        <v>814</v>
      </c>
      <c r="E95" s="495" t="s">
        <v>815</v>
      </c>
      <c r="F95" s="105" t="s">
        <v>816</v>
      </c>
      <c r="G95" s="106" t="s">
        <v>817</v>
      </c>
      <c r="H95" s="105" t="s">
        <v>816</v>
      </c>
      <c r="I95" s="107" t="s">
        <v>297</v>
      </c>
      <c r="J95" s="107" t="s">
        <v>320</v>
      </c>
      <c r="K95" s="329" t="str">
        <f t="shared" si="2"/>
        <v>Treballar amb l'autoritat competent per garantir objectius de conservació d’espècies i hàbitats en la revisió dels Plans de Gestió Cinegètica</v>
      </c>
      <c r="L95" s="109"/>
      <c r="M95" s="76" t="s">
        <v>58</v>
      </c>
      <c r="N95" s="76"/>
      <c r="O95" s="110" t="s">
        <v>321</v>
      </c>
      <c r="P95" s="166" t="s">
        <v>818</v>
      </c>
      <c r="Q95" s="111" t="s">
        <v>46</v>
      </c>
      <c r="R95" s="112"/>
      <c r="S95" s="76" t="s">
        <v>2639</v>
      </c>
      <c r="T95" s="129" t="s">
        <v>2636</v>
      </c>
      <c r="U95" s="129" t="s">
        <v>2637</v>
      </c>
      <c r="V95" s="129" t="s">
        <v>2638</v>
      </c>
      <c r="W95" s="407" t="s">
        <v>2753</v>
      </c>
      <c r="X95" s="113">
        <v>80</v>
      </c>
      <c r="Y95" s="113" t="s">
        <v>305</v>
      </c>
      <c r="Z95" s="113" t="s">
        <v>306</v>
      </c>
      <c r="AA95" s="113"/>
      <c r="AB95" s="113"/>
      <c r="AC95" s="113"/>
      <c r="AD95" s="113"/>
      <c r="AE95" s="113"/>
      <c r="AF95" s="113"/>
      <c r="AG95" s="113"/>
      <c r="AH95" s="113"/>
    </row>
    <row r="96" spans="1:34" ht="72.5">
      <c r="A96" s="492"/>
      <c r="B96" s="501"/>
      <c r="C96" s="504"/>
      <c r="D96" s="493"/>
      <c r="E96" s="495"/>
      <c r="F96" s="105" t="s">
        <v>819</v>
      </c>
      <c r="G96" s="106" t="s">
        <v>820</v>
      </c>
      <c r="H96" s="105" t="s">
        <v>819</v>
      </c>
      <c r="I96" s="107" t="s">
        <v>297</v>
      </c>
      <c r="J96" s="107" t="s">
        <v>320</v>
      </c>
      <c r="K96" s="329" t="str">
        <f t="shared" si="2"/>
        <v>Col·laborar en la regulació i ordenació de la caça i la pesca en zones sensibles o amb risc d'afectació d'elements clau objecte de conservació</v>
      </c>
      <c r="L96" s="109"/>
      <c r="M96" s="76" t="s">
        <v>58</v>
      </c>
      <c r="N96" s="76"/>
      <c r="O96" s="110" t="s">
        <v>321</v>
      </c>
      <c r="P96" s="166" t="s">
        <v>821</v>
      </c>
      <c r="Q96" s="111" t="s">
        <v>46</v>
      </c>
      <c r="R96" s="112"/>
      <c r="S96" s="76" t="s">
        <v>822</v>
      </c>
      <c r="T96" s="129" t="s">
        <v>2640</v>
      </c>
      <c r="U96" s="129" t="s">
        <v>2641</v>
      </c>
      <c r="V96" s="129" t="s">
        <v>2642</v>
      </c>
      <c r="W96" s="407" t="s">
        <v>2753</v>
      </c>
      <c r="X96" s="113"/>
      <c r="Y96" s="113" t="s">
        <v>305</v>
      </c>
      <c r="Z96" s="113" t="s">
        <v>306</v>
      </c>
      <c r="AA96" s="113"/>
      <c r="AB96" s="113"/>
      <c r="AC96" s="113"/>
      <c r="AD96" s="113"/>
      <c r="AE96" s="113"/>
      <c r="AF96" s="113"/>
      <c r="AG96" s="113"/>
      <c r="AH96" s="113"/>
    </row>
    <row r="97" spans="1:34" ht="87">
      <c r="A97" s="492"/>
      <c r="B97" s="502"/>
      <c r="C97" s="505"/>
      <c r="D97" s="493"/>
      <c r="E97" s="495"/>
      <c r="F97" s="105" t="s">
        <v>823</v>
      </c>
      <c r="G97" s="106" t="s">
        <v>824</v>
      </c>
      <c r="H97" s="105" t="s">
        <v>823</v>
      </c>
      <c r="I97" s="107" t="s">
        <v>297</v>
      </c>
      <c r="J97" s="107" t="s">
        <v>320</v>
      </c>
      <c r="K97" s="329" t="str">
        <f t="shared" si="2"/>
        <v>Donar suport en la gestió de poblacions que generen danys a les activitats econòmiques de l'ENP</v>
      </c>
      <c r="L97" s="109"/>
      <c r="M97" s="76" t="s">
        <v>58</v>
      </c>
      <c r="N97" s="114"/>
      <c r="O97" s="110"/>
      <c r="P97" s="166" t="s">
        <v>825</v>
      </c>
      <c r="Q97" s="111"/>
      <c r="R97" s="112"/>
      <c r="S97" s="76" t="s">
        <v>826</v>
      </c>
      <c r="T97" s="113" t="s">
        <v>2555</v>
      </c>
      <c r="U97" s="113" t="s">
        <v>353</v>
      </c>
      <c r="V97" s="113" t="s">
        <v>533</v>
      </c>
      <c r="W97" s="407" t="s">
        <v>2765</v>
      </c>
      <c r="X97" s="113">
        <v>40</v>
      </c>
      <c r="Y97" s="113"/>
      <c r="Z97" s="113"/>
      <c r="AA97" s="113"/>
      <c r="AB97" s="113"/>
      <c r="AC97" s="113"/>
      <c r="AD97" s="113"/>
      <c r="AE97" s="113"/>
      <c r="AF97" s="113"/>
      <c r="AG97" s="113"/>
      <c r="AH97" s="113"/>
    </row>
    <row r="98" spans="1:34" ht="246.5">
      <c r="A98" s="28"/>
      <c r="B98" s="47">
        <v>9</v>
      </c>
      <c r="C98" s="54" t="s">
        <v>827</v>
      </c>
      <c r="D98" s="481" t="s">
        <v>828</v>
      </c>
      <c r="E98" s="497" t="s">
        <v>829</v>
      </c>
      <c r="F98" s="105" t="s">
        <v>830</v>
      </c>
      <c r="G98" s="106" t="s">
        <v>831</v>
      </c>
      <c r="H98" s="105" t="s">
        <v>830</v>
      </c>
      <c r="I98" s="107" t="s">
        <v>297</v>
      </c>
      <c r="J98" s="107" t="s">
        <v>424</v>
      </c>
      <c r="K98" s="329" t="str">
        <f t="shared" si="2"/>
        <v>Desplegar la Carta Europea de Turisme Sostenible (CETS)</v>
      </c>
      <c r="L98" s="109"/>
      <c r="M98" s="76" t="s">
        <v>58</v>
      </c>
      <c r="N98" s="114"/>
      <c r="O98" s="110" t="s">
        <v>301</v>
      </c>
      <c r="P98" s="166"/>
      <c r="Q98" s="111" t="s">
        <v>323</v>
      </c>
      <c r="R98" s="112"/>
      <c r="S98" s="368" t="s">
        <v>2643</v>
      </c>
      <c r="T98" s="129" t="s">
        <v>2644</v>
      </c>
      <c r="U98" s="129" t="s">
        <v>2646</v>
      </c>
      <c r="V98" s="76" t="s">
        <v>2645</v>
      </c>
      <c r="W98" s="122"/>
      <c r="X98" s="113">
        <v>950</v>
      </c>
      <c r="Y98" s="113" t="s">
        <v>2817</v>
      </c>
      <c r="Z98" s="113" t="s">
        <v>2818</v>
      </c>
      <c r="AA98" s="113"/>
      <c r="AB98" s="113"/>
      <c r="AC98" s="113"/>
      <c r="AD98" s="113"/>
      <c r="AE98" s="113"/>
      <c r="AF98" s="113"/>
      <c r="AG98" s="113"/>
      <c r="AH98" s="113"/>
    </row>
    <row r="99" spans="1:34" ht="116">
      <c r="A99" s="28"/>
      <c r="B99" s="48"/>
      <c r="C99" s="55"/>
      <c r="D99" s="496"/>
      <c r="E99" s="498"/>
      <c r="F99" s="105" t="s">
        <v>832</v>
      </c>
      <c r="G99" s="106" t="s">
        <v>833</v>
      </c>
      <c r="H99" s="105" t="s">
        <v>832</v>
      </c>
      <c r="I99" s="107" t="s">
        <v>297</v>
      </c>
      <c r="J99" s="107" t="s">
        <v>424</v>
      </c>
      <c r="K99" s="405" t="s">
        <v>2797</v>
      </c>
      <c r="L99" s="117" t="s">
        <v>834</v>
      </c>
      <c r="M99" s="76"/>
      <c r="N99" s="114"/>
      <c r="O99" s="110"/>
      <c r="P99" s="166"/>
      <c r="Q99" s="111"/>
      <c r="R99" s="112"/>
      <c r="S99" s="362"/>
      <c r="T99" s="113"/>
      <c r="U99" s="113"/>
      <c r="V99" s="113"/>
      <c r="W99" s="407" t="s">
        <v>2766</v>
      </c>
      <c r="X99" s="113"/>
      <c r="Y99" s="113"/>
      <c r="Z99" s="113"/>
      <c r="AA99" s="113"/>
      <c r="AB99" s="113"/>
      <c r="AC99" s="113"/>
      <c r="AD99" s="113"/>
      <c r="AE99" s="113"/>
      <c r="AF99" s="113"/>
      <c r="AG99" s="113"/>
      <c r="AH99" s="113"/>
    </row>
    <row r="100" spans="1:34" ht="58">
      <c r="A100" s="28"/>
      <c r="B100" s="48"/>
      <c r="C100" s="55"/>
      <c r="D100" s="482"/>
      <c r="E100" s="499"/>
      <c r="F100" s="105" t="s">
        <v>835</v>
      </c>
      <c r="G100" s="106" t="s">
        <v>836</v>
      </c>
      <c r="H100" s="105" t="s">
        <v>835</v>
      </c>
      <c r="I100" s="107" t="s">
        <v>297</v>
      </c>
      <c r="J100" s="107" t="s">
        <v>424</v>
      </c>
      <c r="K100" s="394" t="s">
        <v>2768</v>
      </c>
      <c r="M100" s="76" t="s">
        <v>58</v>
      </c>
      <c r="N100" s="76" t="s">
        <v>79</v>
      </c>
      <c r="O100" s="110" t="s">
        <v>321</v>
      </c>
      <c r="P100" s="166"/>
      <c r="Q100" s="111"/>
      <c r="R100" s="112"/>
      <c r="S100" s="375" t="s">
        <v>837</v>
      </c>
      <c r="T100" s="129" t="s">
        <v>838</v>
      </c>
      <c r="U100" s="129" t="s">
        <v>839</v>
      </c>
      <c r="V100" s="129" t="s">
        <v>840</v>
      </c>
      <c r="W100" s="122"/>
      <c r="X100" s="113">
        <v>100</v>
      </c>
      <c r="Y100" s="113" t="s">
        <v>2817</v>
      </c>
      <c r="Z100" s="113" t="s">
        <v>2818</v>
      </c>
      <c r="AA100" s="113"/>
      <c r="AB100" s="113"/>
      <c r="AC100" s="113"/>
      <c r="AD100" s="113"/>
      <c r="AE100" s="113"/>
      <c r="AF100" s="113"/>
      <c r="AG100" s="113"/>
      <c r="AH100" s="113"/>
    </row>
    <row r="101" spans="1:34" ht="116">
      <c r="A101" s="49"/>
      <c r="B101" s="48"/>
      <c r="C101" s="55"/>
      <c r="D101" s="481" t="s">
        <v>841</v>
      </c>
      <c r="E101" s="483" t="s">
        <v>842</v>
      </c>
      <c r="F101" s="105" t="s">
        <v>843</v>
      </c>
      <c r="G101" s="106" t="s">
        <v>844</v>
      </c>
      <c r="H101" s="105" t="s">
        <v>843</v>
      </c>
      <c r="I101" s="107" t="s">
        <v>297</v>
      </c>
      <c r="J101" s="107" t="s">
        <v>424</v>
      </c>
      <c r="K101" s="329" t="str">
        <f>G101</f>
        <v xml:space="preserve">Treballar amb les empreses turístiques per trobar eines de canvi cap a un model de turisme sostenible i de qualitat </v>
      </c>
      <c r="L101" s="109"/>
      <c r="M101" s="76" t="s">
        <v>58</v>
      </c>
      <c r="N101" s="120"/>
      <c r="O101" s="110" t="s">
        <v>301</v>
      </c>
      <c r="P101" s="166"/>
      <c r="Q101" s="111" t="s">
        <v>323</v>
      </c>
      <c r="R101" s="112"/>
      <c r="S101" s="367" t="s">
        <v>845</v>
      </c>
      <c r="T101" s="129" t="s">
        <v>846</v>
      </c>
      <c r="U101" s="76" t="s">
        <v>2648</v>
      </c>
      <c r="V101" s="129" t="s">
        <v>2647</v>
      </c>
      <c r="W101" s="407" t="s">
        <v>2753</v>
      </c>
      <c r="X101" s="113">
        <v>120</v>
      </c>
      <c r="Y101" s="113" t="s">
        <v>2817</v>
      </c>
      <c r="Z101" s="113" t="s">
        <v>2818</v>
      </c>
      <c r="AA101" s="113"/>
      <c r="AB101" s="113"/>
      <c r="AC101" s="113"/>
      <c r="AD101" s="113"/>
      <c r="AE101" s="113"/>
      <c r="AF101" s="113"/>
      <c r="AG101" s="113"/>
      <c r="AH101" s="113"/>
    </row>
    <row r="102" spans="1:34" ht="72.5">
      <c r="A102" s="49"/>
      <c r="B102" s="48"/>
      <c r="C102" s="55"/>
      <c r="D102" s="482"/>
      <c r="E102" s="484"/>
      <c r="F102" s="105" t="s">
        <v>847</v>
      </c>
      <c r="G102" s="106" t="s">
        <v>848</v>
      </c>
      <c r="H102" s="105" t="s">
        <v>847</v>
      </c>
      <c r="I102" s="107" t="s">
        <v>297</v>
      </c>
      <c r="J102" s="107" t="s">
        <v>424</v>
      </c>
      <c r="K102" s="388" t="s">
        <v>849</v>
      </c>
      <c r="L102" s="109"/>
      <c r="M102" s="76" t="s">
        <v>58</v>
      </c>
      <c r="N102" s="108"/>
      <c r="O102" s="110"/>
      <c r="P102" s="166"/>
      <c r="Q102" s="111" t="s">
        <v>323</v>
      </c>
      <c r="R102" s="112"/>
      <c r="S102" s="367" t="s">
        <v>850</v>
      </c>
      <c r="T102" s="129" t="s">
        <v>851</v>
      </c>
      <c r="U102" s="129" t="s">
        <v>852</v>
      </c>
      <c r="V102" s="129" t="s">
        <v>853</v>
      </c>
      <c r="W102" s="122"/>
      <c r="X102" s="113"/>
      <c r="Y102" s="113" t="s">
        <v>2817</v>
      </c>
      <c r="Z102" s="113" t="s">
        <v>2818</v>
      </c>
      <c r="AA102" s="113"/>
      <c r="AB102" s="113"/>
      <c r="AC102" s="113"/>
      <c r="AD102" s="113"/>
      <c r="AE102" s="113"/>
      <c r="AF102" s="113"/>
      <c r="AG102" s="113"/>
      <c r="AH102" s="113"/>
    </row>
    <row r="103" spans="1:34" s="360" customFormat="1" ht="101.5">
      <c r="A103" s="29" t="s">
        <v>854</v>
      </c>
      <c r="B103" s="485">
        <v>10</v>
      </c>
      <c r="C103" s="487" t="s">
        <v>855</v>
      </c>
      <c r="D103" s="489" t="s">
        <v>856</v>
      </c>
      <c r="E103" s="490" t="s">
        <v>857</v>
      </c>
      <c r="F103" s="105" t="s">
        <v>858</v>
      </c>
      <c r="G103" s="106" t="s">
        <v>859</v>
      </c>
      <c r="H103" s="105" t="s">
        <v>858</v>
      </c>
      <c r="I103" s="107" t="s">
        <v>297</v>
      </c>
      <c r="J103" s="107" t="s">
        <v>320</v>
      </c>
      <c r="K103" s="388" t="str">
        <f>G103</f>
        <v>Establir un model de construcció a l'ENP en base a un model estàndard de Pla de protecció</v>
      </c>
      <c r="L103" s="352"/>
      <c r="M103" s="76" t="s">
        <v>58</v>
      </c>
      <c r="N103" s="76" t="s">
        <v>58</v>
      </c>
      <c r="O103" s="355" t="s">
        <v>301</v>
      </c>
      <c r="P103" s="395" t="s">
        <v>860</v>
      </c>
      <c r="Q103" s="355"/>
      <c r="R103" s="357" t="s">
        <v>861</v>
      </c>
      <c r="S103" s="372" t="s">
        <v>862</v>
      </c>
      <c r="T103" s="359" t="s">
        <v>863</v>
      </c>
      <c r="U103" s="359" t="s">
        <v>353</v>
      </c>
      <c r="V103" s="359" t="s">
        <v>353</v>
      </c>
      <c r="W103" s="407" t="s">
        <v>2769</v>
      </c>
      <c r="X103" s="359">
        <v>80</v>
      </c>
      <c r="Y103" s="359" t="s">
        <v>2856</v>
      </c>
      <c r="Z103" s="359" t="s">
        <v>330</v>
      </c>
      <c r="AA103" s="359"/>
      <c r="AB103" s="359"/>
      <c r="AC103" s="359"/>
      <c r="AD103" s="359"/>
      <c r="AE103" s="359"/>
      <c r="AF103" s="359"/>
      <c r="AG103" s="359"/>
      <c r="AH103" s="359"/>
    </row>
    <row r="104" spans="1:34" ht="87">
      <c r="A104" s="29"/>
      <c r="B104" s="486"/>
      <c r="C104" s="488"/>
      <c r="D104" s="465"/>
      <c r="E104" s="491"/>
      <c r="F104" s="105" t="s">
        <v>864</v>
      </c>
      <c r="G104" s="106" t="s">
        <v>865</v>
      </c>
      <c r="H104" s="105" t="s">
        <v>864</v>
      </c>
      <c r="I104" s="107" t="s">
        <v>297</v>
      </c>
      <c r="J104" s="107" t="s">
        <v>320</v>
      </c>
      <c r="K104" s="329" t="str">
        <f t="shared" ref="K104:K135" si="3">G104</f>
        <v>Ordenar els aprofitaments i extraccions dins l'espai</v>
      </c>
      <c r="L104" s="109"/>
      <c r="M104" s="76"/>
      <c r="N104" s="108"/>
      <c r="O104" s="110" t="s">
        <v>301</v>
      </c>
      <c r="P104" s="168"/>
      <c r="Q104" s="111"/>
      <c r="R104" s="112"/>
      <c r="S104" s="396" t="s">
        <v>2770</v>
      </c>
      <c r="T104" s="354" t="s">
        <v>2650</v>
      </c>
      <c r="U104" s="129" t="s">
        <v>798</v>
      </c>
      <c r="V104" s="129" t="s">
        <v>2649</v>
      </c>
      <c r="W104" s="122"/>
      <c r="X104" s="113">
        <v>150</v>
      </c>
      <c r="Y104" s="113" t="s">
        <v>329</v>
      </c>
      <c r="Z104" s="113" t="s">
        <v>330</v>
      </c>
      <c r="AA104" s="113"/>
      <c r="AB104" s="113"/>
      <c r="AC104" s="113"/>
      <c r="AD104" s="113"/>
      <c r="AE104" s="113"/>
      <c r="AF104" s="113"/>
      <c r="AG104" s="113"/>
      <c r="AH104" s="113"/>
    </row>
    <row r="105" spans="1:34" ht="116">
      <c r="A105" s="29"/>
      <c r="B105" s="33">
        <v>11</v>
      </c>
      <c r="C105" s="477" t="s">
        <v>867</v>
      </c>
      <c r="D105" s="463" t="s">
        <v>868</v>
      </c>
      <c r="E105" s="466" t="s">
        <v>869</v>
      </c>
      <c r="F105" s="105" t="s">
        <v>870</v>
      </c>
      <c r="G105" s="106" t="s">
        <v>871</v>
      </c>
      <c r="H105" s="105" t="s">
        <v>870</v>
      </c>
      <c r="I105" s="107" t="s">
        <v>297</v>
      </c>
      <c r="J105" s="107" t="s">
        <v>320</v>
      </c>
      <c r="K105" s="329" t="s">
        <v>872</v>
      </c>
      <c r="L105" s="117" t="s">
        <v>2777</v>
      </c>
      <c r="M105" s="76"/>
      <c r="N105" s="108"/>
      <c r="O105" s="110" t="s">
        <v>321</v>
      </c>
      <c r="P105" s="169" t="s">
        <v>873</v>
      </c>
      <c r="Q105" s="111"/>
      <c r="R105" s="112" t="s">
        <v>861</v>
      </c>
      <c r="S105" s="367" t="s">
        <v>2801</v>
      </c>
      <c r="T105" s="129" t="s">
        <v>2802</v>
      </c>
      <c r="U105" s="129" t="s">
        <v>2803</v>
      </c>
      <c r="V105" s="129" t="s">
        <v>2804</v>
      </c>
      <c r="W105" s="408" t="s">
        <v>2772</v>
      </c>
      <c r="X105" s="113">
        <v>150</v>
      </c>
      <c r="Y105" s="113" t="s">
        <v>2828</v>
      </c>
      <c r="Z105" s="113" t="s">
        <v>2829</v>
      </c>
      <c r="AA105" s="113"/>
      <c r="AB105" s="113"/>
      <c r="AC105" s="113"/>
      <c r="AD105" s="113"/>
      <c r="AE105" s="113"/>
      <c r="AF105" s="113"/>
      <c r="AG105" s="113"/>
      <c r="AH105" s="113"/>
    </row>
    <row r="106" spans="1:34" ht="72.5">
      <c r="A106" s="29"/>
      <c r="B106" s="34"/>
      <c r="C106" s="478"/>
      <c r="D106" s="464"/>
      <c r="E106" s="467"/>
      <c r="F106" s="105" t="s">
        <v>874</v>
      </c>
      <c r="G106" s="106" t="s">
        <v>875</v>
      </c>
      <c r="H106" s="105" t="s">
        <v>874</v>
      </c>
      <c r="I106" s="107" t="s">
        <v>297</v>
      </c>
      <c r="J106" s="107" t="s">
        <v>320</v>
      </c>
      <c r="K106" s="329" t="str">
        <f t="shared" si="3"/>
        <v>Ordenar la circulació rodada no motoritzada en base a un model estàndard de Pla de protecció</v>
      </c>
      <c r="L106" s="117" t="s">
        <v>2777</v>
      </c>
      <c r="M106" s="76" t="s">
        <v>58</v>
      </c>
      <c r="N106" s="108"/>
      <c r="O106" s="110" t="s">
        <v>321</v>
      </c>
      <c r="P106" s="169" t="s">
        <v>876</v>
      </c>
      <c r="Q106" s="111"/>
      <c r="R106" s="112" t="s">
        <v>861</v>
      </c>
      <c r="S106" s="367" t="s">
        <v>2801</v>
      </c>
      <c r="T106" s="129" t="s">
        <v>2802</v>
      </c>
      <c r="U106" s="129" t="s">
        <v>2803</v>
      </c>
      <c r="V106" s="129" t="s">
        <v>2804</v>
      </c>
      <c r="W106" s="408" t="s">
        <v>2773</v>
      </c>
      <c r="X106" s="113">
        <v>150</v>
      </c>
      <c r="Y106" s="113" t="s">
        <v>2828</v>
      </c>
      <c r="Z106" s="113" t="s">
        <v>2829</v>
      </c>
      <c r="AA106" s="113"/>
      <c r="AB106" s="113"/>
      <c r="AC106" s="113"/>
      <c r="AD106" s="113"/>
      <c r="AE106" s="113"/>
      <c r="AF106" s="113"/>
      <c r="AG106" s="113"/>
      <c r="AH106" s="113"/>
    </row>
    <row r="107" spans="1:34" ht="116">
      <c r="A107" s="29"/>
      <c r="B107" s="34"/>
      <c r="C107" s="478"/>
      <c r="D107" s="464"/>
      <c r="E107" s="467"/>
      <c r="F107" s="105" t="s">
        <v>878</v>
      </c>
      <c r="G107" s="106" t="s">
        <v>879</v>
      </c>
      <c r="H107" s="105" t="s">
        <v>878</v>
      </c>
      <c r="I107" s="107" t="s">
        <v>347</v>
      </c>
      <c r="J107" s="107" t="s">
        <v>320</v>
      </c>
      <c r="K107" s="329" t="str">
        <f t="shared" si="3"/>
        <v>Ordenar l'escalada i alpinisme, barranquisme, i espeleologia  en base a un model estàndard de Pla de protecció</v>
      </c>
      <c r="L107" s="117" t="s">
        <v>2777</v>
      </c>
      <c r="M107" s="76"/>
      <c r="N107" s="108"/>
      <c r="O107" s="110" t="s">
        <v>301</v>
      </c>
      <c r="P107" s="169" t="s">
        <v>880</v>
      </c>
      <c r="Q107" s="111"/>
      <c r="R107" s="112" t="s">
        <v>861</v>
      </c>
      <c r="S107" s="367" t="s">
        <v>2801</v>
      </c>
      <c r="T107" s="129" t="s">
        <v>2802</v>
      </c>
      <c r="U107" s="129" t="s">
        <v>2803</v>
      </c>
      <c r="V107" s="129" t="s">
        <v>2804</v>
      </c>
      <c r="W107" s="408" t="s">
        <v>2771</v>
      </c>
      <c r="X107" s="113">
        <v>150</v>
      </c>
      <c r="Y107" s="113" t="s">
        <v>2828</v>
      </c>
      <c r="Z107" s="113" t="s">
        <v>2829</v>
      </c>
      <c r="AA107" s="113"/>
      <c r="AB107" s="113"/>
      <c r="AC107" s="113"/>
      <c r="AD107" s="113"/>
      <c r="AE107" s="113"/>
      <c r="AF107" s="113"/>
      <c r="AG107" s="113"/>
      <c r="AH107" s="113"/>
    </row>
    <row r="108" spans="1:34" ht="116">
      <c r="A108" s="29"/>
      <c r="B108" s="34"/>
      <c r="C108" s="32"/>
      <c r="D108" s="464"/>
      <c r="E108" s="467"/>
      <c r="F108" s="105" t="s">
        <v>881</v>
      </c>
      <c r="G108" s="106" t="s">
        <v>882</v>
      </c>
      <c r="H108" s="105" t="s">
        <v>881</v>
      </c>
      <c r="I108" s="107" t="s">
        <v>297</v>
      </c>
      <c r="J108" s="107" t="s">
        <v>320</v>
      </c>
      <c r="K108" s="329" t="str">
        <f t="shared" si="3"/>
        <v>Ordenar les curses i altres activitats esportives organitzades en base a un model estàndard de Pla de protecció</v>
      </c>
      <c r="L108" s="117" t="s">
        <v>2777</v>
      </c>
      <c r="M108" s="76"/>
      <c r="N108" s="108"/>
      <c r="O108" s="110" t="s">
        <v>321</v>
      </c>
      <c r="P108" s="169" t="s">
        <v>883</v>
      </c>
      <c r="Q108" s="111"/>
      <c r="R108" s="112" t="s">
        <v>861</v>
      </c>
      <c r="S108" s="367" t="s">
        <v>2801</v>
      </c>
      <c r="T108" s="129" t="s">
        <v>2802</v>
      </c>
      <c r="U108" s="129" t="s">
        <v>2803</v>
      </c>
      <c r="V108" s="129" t="s">
        <v>2804</v>
      </c>
      <c r="W108" s="408" t="s">
        <v>2771</v>
      </c>
      <c r="X108" s="113">
        <v>150</v>
      </c>
      <c r="Y108" s="113" t="s">
        <v>2828</v>
      </c>
      <c r="Z108" s="113" t="s">
        <v>2829</v>
      </c>
      <c r="AA108" s="113"/>
      <c r="AB108" s="113"/>
      <c r="AC108" s="113"/>
      <c r="AD108" s="113"/>
      <c r="AE108" s="113"/>
      <c r="AF108" s="113"/>
      <c r="AG108" s="113"/>
      <c r="AH108" s="113"/>
    </row>
    <row r="109" spans="1:34" ht="116">
      <c r="A109" s="29"/>
      <c r="B109" s="51"/>
      <c r="C109" s="50"/>
      <c r="D109" s="464"/>
      <c r="E109" s="467"/>
      <c r="F109" s="105" t="s">
        <v>884</v>
      </c>
      <c r="G109" s="106" t="s">
        <v>885</v>
      </c>
      <c r="H109" s="105" t="s">
        <v>884</v>
      </c>
      <c r="I109" s="107" t="s">
        <v>297</v>
      </c>
      <c r="J109" s="107" t="s">
        <v>320</v>
      </c>
      <c r="K109" s="329" t="str">
        <f t="shared" si="3"/>
        <v>Ordenar els enregistraments i l'observació de fauna i natura en base a un model estàndard de Pla de protecció</v>
      </c>
      <c r="L109" s="117" t="s">
        <v>2777</v>
      </c>
      <c r="M109" s="76" t="s">
        <v>58</v>
      </c>
      <c r="N109" s="108"/>
      <c r="O109" s="110" t="s">
        <v>529</v>
      </c>
      <c r="P109" s="169" t="s">
        <v>886</v>
      </c>
      <c r="Q109" s="111"/>
      <c r="R109" s="112" t="s">
        <v>861</v>
      </c>
      <c r="S109" s="367" t="s">
        <v>2801</v>
      </c>
      <c r="T109" s="129" t="s">
        <v>2802</v>
      </c>
      <c r="U109" s="129" t="s">
        <v>2803</v>
      </c>
      <c r="V109" s="129" t="s">
        <v>2804</v>
      </c>
      <c r="W109" s="408" t="s">
        <v>2771</v>
      </c>
      <c r="X109" s="113">
        <v>50</v>
      </c>
      <c r="Y109" s="113" t="s">
        <v>2828</v>
      </c>
      <c r="Z109" s="113" t="s">
        <v>2829</v>
      </c>
      <c r="AA109" s="113"/>
      <c r="AB109" s="113"/>
      <c r="AC109" s="113"/>
      <c r="AD109" s="113"/>
      <c r="AE109" s="113"/>
      <c r="AF109" s="113"/>
      <c r="AG109" s="113"/>
      <c r="AH109" s="113"/>
    </row>
    <row r="110" spans="1:34" ht="116">
      <c r="A110" s="29"/>
      <c r="B110" s="51"/>
      <c r="C110" s="50"/>
      <c r="D110" s="464"/>
      <c r="E110" s="467"/>
      <c r="F110" s="105" t="s">
        <v>887</v>
      </c>
      <c r="G110" s="106" t="s">
        <v>888</v>
      </c>
      <c r="H110" s="105" t="s">
        <v>887</v>
      </c>
      <c r="I110" s="107" t="s">
        <v>297</v>
      </c>
      <c r="J110" s="107" t="s">
        <v>320</v>
      </c>
      <c r="K110" s="329" t="str">
        <f t="shared" si="3"/>
        <v>Ordenar les activitats científiques en base a un model estàndard de Pla de protecció</v>
      </c>
      <c r="L110" s="117" t="s">
        <v>2777</v>
      </c>
      <c r="M110" s="76" t="s">
        <v>58</v>
      </c>
      <c r="N110" s="108" t="s">
        <v>58</v>
      </c>
      <c r="O110" s="110"/>
      <c r="P110" s="169" t="s">
        <v>889</v>
      </c>
      <c r="Q110" s="111"/>
      <c r="R110" s="112" t="s">
        <v>861</v>
      </c>
      <c r="S110" s="367" t="s">
        <v>2801</v>
      </c>
      <c r="T110" s="129" t="s">
        <v>2802</v>
      </c>
      <c r="U110" s="129" t="s">
        <v>2803</v>
      </c>
      <c r="V110" s="129" t="s">
        <v>2804</v>
      </c>
      <c r="W110" s="408" t="s">
        <v>2771</v>
      </c>
      <c r="X110" s="113">
        <v>80</v>
      </c>
      <c r="Y110" s="113" t="s">
        <v>2828</v>
      </c>
      <c r="Z110" s="113" t="s">
        <v>2829</v>
      </c>
      <c r="AA110" s="113"/>
      <c r="AB110" s="113"/>
      <c r="AC110" s="113"/>
      <c r="AD110" s="113"/>
      <c r="AE110" s="113"/>
      <c r="AF110" s="113"/>
      <c r="AG110" s="113"/>
      <c r="AH110" s="113"/>
    </row>
    <row r="111" spans="1:34" ht="29">
      <c r="A111" s="29"/>
      <c r="B111" s="34"/>
      <c r="C111" s="32"/>
      <c r="D111" s="464"/>
      <c r="E111" s="467"/>
      <c r="F111" s="105" t="s">
        <v>890</v>
      </c>
      <c r="G111" s="106" t="s">
        <v>891</v>
      </c>
      <c r="H111" s="105" t="s">
        <v>890</v>
      </c>
      <c r="I111" s="107" t="s">
        <v>347</v>
      </c>
      <c r="J111" s="107" t="s">
        <v>320</v>
      </c>
      <c r="K111" s="329" t="s">
        <v>891</v>
      </c>
      <c r="L111" s="109" t="s">
        <v>892</v>
      </c>
      <c r="M111" s="76" t="s">
        <v>58</v>
      </c>
      <c r="N111" s="108" t="s">
        <v>58</v>
      </c>
      <c r="O111" s="110" t="s">
        <v>301</v>
      </c>
      <c r="P111" s="169" t="s">
        <v>893</v>
      </c>
      <c r="Q111" s="111"/>
      <c r="R111" s="112" t="s">
        <v>861</v>
      </c>
      <c r="S111" s="367" t="s">
        <v>877</v>
      </c>
      <c r="T111" s="129" t="s">
        <v>2651</v>
      </c>
      <c r="U111" s="129" t="s">
        <v>894</v>
      </c>
      <c r="V111" s="129" t="s">
        <v>895</v>
      </c>
      <c r="W111" s="122"/>
      <c r="X111" s="113">
        <v>400</v>
      </c>
      <c r="Y111" s="113" t="s">
        <v>2828</v>
      </c>
      <c r="Z111" s="113" t="s">
        <v>2829</v>
      </c>
      <c r="AA111" s="113"/>
      <c r="AB111" s="113"/>
      <c r="AC111" s="113"/>
      <c r="AD111" s="113"/>
      <c r="AE111" s="113"/>
      <c r="AF111" s="113"/>
      <c r="AG111" s="113"/>
      <c r="AH111" s="113"/>
    </row>
    <row r="112" spans="1:34" ht="29">
      <c r="A112" s="29"/>
      <c r="B112" s="34"/>
      <c r="C112" s="32"/>
      <c r="D112" s="464"/>
      <c r="E112" s="467"/>
      <c r="F112" s="105" t="s">
        <v>896</v>
      </c>
      <c r="G112" s="106" t="s">
        <v>897</v>
      </c>
      <c r="H112" s="105" t="s">
        <v>896</v>
      </c>
      <c r="I112" s="107" t="s">
        <v>347</v>
      </c>
      <c r="J112" s="107" t="s">
        <v>320</v>
      </c>
      <c r="K112" s="329" t="str">
        <f t="shared" si="3"/>
        <v>Ordenar l'enlairament i aterratge sense motor</v>
      </c>
      <c r="L112" s="117" t="s">
        <v>2777</v>
      </c>
      <c r="M112" s="76" t="s">
        <v>58</v>
      </c>
      <c r="N112" s="108" t="s">
        <v>58</v>
      </c>
      <c r="O112" s="110" t="s">
        <v>349</v>
      </c>
      <c r="P112" s="169" t="s">
        <v>898</v>
      </c>
      <c r="Q112" s="111"/>
      <c r="R112" s="112" t="s">
        <v>861</v>
      </c>
      <c r="S112" s="367" t="s">
        <v>2801</v>
      </c>
      <c r="T112" s="113"/>
      <c r="U112" s="129" t="s">
        <v>2803</v>
      </c>
      <c r="V112" s="129" t="s">
        <v>2804</v>
      </c>
      <c r="W112" s="408" t="s">
        <v>2774</v>
      </c>
      <c r="X112" s="113">
        <v>100</v>
      </c>
      <c r="Y112" s="113" t="s">
        <v>2828</v>
      </c>
      <c r="Z112" s="113" t="s">
        <v>2829</v>
      </c>
      <c r="AA112" s="113"/>
      <c r="AB112" s="113"/>
      <c r="AC112" s="113"/>
      <c r="AD112" s="113"/>
      <c r="AE112" s="113"/>
      <c r="AF112" s="113"/>
      <c r="AG112" s="113"/>
      <c r="AH112" s="113"/>
    </row>
    <row r="113" spans="1:34" ht="29">
      <c r="A113" s="29"/>
      <c r="B113" s="34"/>
      <c r="C113" s="32"/>
      <c r="D113" s="464"/>
      <c r="E113" s="467"/>
      <c r="F113" s="105" t="s">
        <v>899</v>
      </c>
      <c r="G113" s="106" t="s">
        <v>900</v>
      </c>
      <c r="H113" s="105" t="s">
        <v>899</v>
      </c>
      <c r="I113" s="107" t="s">
        <v>347</v>
      </c>
      <c r="J113" s="107" t="s">
        <v>320</v>
      </c>
      <c r="K113" s="405" t="s">
        <v>1517</v>
      </c>
      <c r="L113" s="109" t="s">
        <v>901</v>
      </c>
      <c r="M113" s="76" t="s">
        <v>79</v>
      </c>
      <c r="N113" s="108" t="s">
        <v>79</v>
      </c>
      <c r="O113" s="110"/>
      <c r="P113" s="169" t="s">
        <v>902</v>
      </c>
      <c r="Q113" s="111"/>
      <c r="R113" s="112" t="s">
        <v>861</v>
      </c>
      <c r="S113" s="362"/>
      <c r="T113" s="113"/>
      <c r="U113" s="113"/>
      <c r="V113" s="113"/>
      <c r="W113" s="403"/>
      <c r="X113" s="113"/>
      <c r="Y113" s="113"/>
      <c r="Z113" s="113"/>
      <c r="AA113" s="113"/>
      <c r="AB113" s="113"/>
      <c r="AC113" s="113"/>
      <c r="AD113" s="113"/>
      <c r="AE113" s="113"/>
      <c r="AF113" s="113"/>
      <c r="AG113" s="113"/>
      <c r="AH113" s="113"/>
    </row>
    <row r="114" spans="1:34" ht="29">
      <c r="A114" s="29"/>
      <c r="B114" s="34"/>
      <c r="C114" s="32"/>
      <c r="D114" s="464"/>
      <c r="E114" s="467"/>
      <c r="F114" s="105" t="s">
        <v>903</v>
      </c>
      <c r="G114" s="106" t="s">
        <v>904</v>
      </c>
      <c r="H114" s="105" t="s">
        <v>903</v>
      </c>
      <c r="I114" s="107" t="s">
        <v>347</v>
      </c>
      <c r="J114" s="107" t="s">
        <v>320</v>
      </c>
      <c r="K114" s="405" t="s">
        <v>1517</v>
      </c>
      <c r="L114" s="109" t="s">
        <v>901</v>
      </c>
      <c r="M114" s="76" t="s">
        <v>79</v>
      </c>
      <c r="N114" s="76" t="s">
        <v>79</v>
      </c>
      <c r="O114" s="110"/>
      <c r="P114" s="169" t="s">
        <v>905</v>
      </c>
      <c r="Q114" s="111"/>
      <c r="R114" s="112" t="s">
        <v>861</v>
      </c>
      <c r="S114" s="362"/>
      <c r="T114" s="113"/>
      <c r="U114" s="113"/>
      <c r="V114" s="113"/>
      <c r="W114" s="403"/>
      <c r="X114" s="113"/>
      <c r="Y114" s="113"/>
      <c r="Z114" s="113"/>
      <c r="AA114" s="113"/>
      <c r="AB114" s="113"/>
      <c r="AC114" s="113"/>
      <c r="AD114" s="113"/>
      <c r="AE114" s="113"/>
      <c r="AF114" s="113"/>
      <c r="AG114" s="113"/>
      <c r="AH114" s="113"/>
    </row>
    <row r="115" spans="1:34" ht="29">
      <c r="A115" s="29"/>
      <c r="B115" s="34"/>
      <c r="C115" s="32"/>
      <c r="D115" s="464"/>
      <c r="E115" s="467"/>
      <c r="F115" s="105" t="s">
        <v>906</v>
      </c>
      <c r="G115" s="106" t="s">
        <v>907</v>
      </c>
      <c r="H115" s="105" t="s">
        <v>906</v>
      </c>
      <c r="I115" s="107" t="s">
        <v>297</v>
      </c>
      <c r="J115" s="107" t="s">
        <v>320</v>
      </c>
      <c r="K115" s="329" t="str">
        <f>G115</f>
        <v>Ordenar la presència d'animals de companyia</v>
      </c>
      <c r="L115" s="329"/>
      <c r="M115" s="76" t="s">
        <v>58</v>
      </c>
      <c r="N115" s="76" t="s">
        <v>58</v>
      </c>
      <c r="O115" s="110" t="s">
        <v>301</v>
      </c>
      <c r="P115" s="169" t="s">
        <v>908</v>
      </c>
      <c r="Q115" s="111"/>
      <c r="R115" s="112" t="s">
        <v>861</v>
      </c>
      <c r="S115" s="367" t="s">
        <v>909</v>
      </c>
      <c r="T115" s="129" t="s">
        <v>2652</v>
      </c>
      <c r="U115" s="129" t="s">
        <v>798</v>
      </c>
      <c r="V115" s="129" t="s">
        <v>798</v>
      </c>
      <c r="W115" s="122"/>
      <c r="X115" s="113">
        <v>450</v>
      </c>
      <c r="Y115" s="113" t="s">
        <v>2828</v>
      </c>
      <c r="Z115" s="113" t="s">
        <v>2829</v>
      </c>
      <c r="AA115" s="113"/>
      <c r="AB115" s="113"/>
      <c r="AC115" s="113"/>
      <c r="AD115" s="113"/>
      <c r="AE115" s="113"/>
      <c r="AF115" s="113"/>
      <c r="AG115" s="113"/>
      <c r="AH115" s="113"/>
    </row>
    <row r="116" spans="1:34" ht="87">
      <c r="A116" s="29"/>
      <c r="B116" s="34"/>
      <c r="C116" s="32"/>
      <c r="D116" s="465"/>
      <c r="E116" s="468"/>
      <c r="F116" s="105" t="s">
        <v>910</v>
      </c>
      <c r="G116" s="106" t="s">
        <v>911</v>
      </c>
      <c r="H116" s="105" t="s">
        <v>910</v>
      </c>
      <c r="I116" s="107" t="s">
        <v>297</v>
      </c>
      <c r="J116" s="107" t="s">
        <v>320</v>
      </c>
      <c r="K116" s="329" t="str">
        <f t="shared" si="3"/>
        <v>Ordenar les activitats d'educació ambiental i el lleure educatiu</v>
      </c>
      <c r="L116" s="109"/>
      <c r="M116" s="76" t="s">
        <v>58</v>
      </c>
      <c r="N116" s="108" t="s">
        <v>58</v>
      </c>
      <c r="O116" s="110" t="s">
        <v>301</v>
      </c>
      <c r="P116" s="169" t="s">
        <v>912</v>
      </c>
      <c r="Q116" s="111"/>
      <c r="R116" s="112" t="s">
        <v>861</v>
      </c>
      <c r="S116" s="367" t="s">
        <v>2653</v>
      </c>
      <c r="T116" s="129" t="s">
        <v>2654</v>
      </c>
      <c r="U116" s="129" t="s">
        <v>852</v>
      </c>
      <c r="V116" s="129" t="s">
        <v>852</v>
      </c>
      <c r="W116" s="122"/>
      <c r="X116" s="113">
        <v>400</v>
      </c>
      <c r="Y116" s="113" t="s">
        <v>2828</v>
      </c>
      <c r="Z116" s="113" t="s">
        <v>2829</v>
      </c>
      <c r="AA116" s="113"/>
      <c r="AB116" s="113"/>
      <c r="AC116" s="113"/>
      <c r="AD116" s="113"/>
      <c r="AE116" s="113"/>
      <c r="AF116" s="113"/>
      <c r="AG116" s="113"/>
      <c r="AH116" s="113"/>
    </row>
    <row r="117" spans="1:34" ht="72.5">
      <c r="A117" s="29"/>
      <c r="B117" s="34"/>
      <c r="C117" s="32"/>
      <c r="D117" s="463" t="s">
        <v>913</v>
      </c>
      <c r="E117" s="479" t="s">
        <v>914</v>
      </c>
      <c r="F117" s="105" t="s">
        <v>915</v>
      </c>
      <c r="G117" s="106" t="s">
        <v>916</v>
      </c>
      <c r="H117" s="105" t="s">
        <v>915</v>
      </c>
      <c r="I117" s="107" t="s">
        <v>297</v>
      </c>
      <c r="J117" s="107" t="s">
        <v>320</v>
      </c>
      <c r="K117" s="329" t="str">
        <f>G117</f>
        <v xml:space="preserve">Identificar i classificar la xarxa viària bàsica, secundària, senders i itineraris senyalitzats d'acord amb els ajuntaments </v>
      </c>
      <c r="L117" s="117" t="s">
        <v>917</v>
      </c>
      <c r="M117" s="76" t="s">
        <v>58</v>
      </c>
      <c r="N117" s="108" t="s">
        <v>58</v>
      </c>
      <c r="O117" s="110" t="s">
        <v>321</v>
      </c>
      <c r="P117" s="166" t="s">
        <v>918</v>
      </c>
      <c r="Q117" s="111"/>
      <c r="R117" s="106" t="s">
        <v>919</v>
      </c>
      <c r="S117" s="367" t="s">
        <v>2655</v>
      </c>
      <c r="T117" s="129" t="s">
        <v>2775</v>
      </c>
      <c r="U117" s="129" t="s">
        <v>798</v>
      </c>
      <c r="V117" s="129" t="s">
        <v>2656</v>
      </c>
      <c r="W117" s="409" t="s">
        <v>2759</v>
      </c>
      <c r="X117" s="129" t="s">
        <v>2921</v>
      </c>
      <c r="Y117" s="129" t="s">
        <v>2830</v>
      </c>
      <c r="Z117" s="129" t="s">
        <v>2831</v>
      </c>
      <c r="AA117" s="113"/>
      <c r="AB117" s="113"/>
      <c r="AC117" s="113"/>
      <c r="AD117" s="113"/>
      <c r="AE117" s="113"/>
      <c r="AF117" s="113"/>
      <c r="AG117" s="113"/>
      <c r="AH117" s="113"/>
    </row>
    <row r="118" spans="1:34" ht="58">
      <c r="A118" s="29"/>
      <c r="B118" s="34"/>
      <c r="C118" s="32"/>
      <c r="D118" s="465"/>
      <c r="E118" s="480"/>
      <c r="F118" s="105" t="s">
        <v>920</v>
      </c>
      <c r="G118" s="106" t="s">
        <v>921</v>
      </c>
      <c r="H118" s="105" t="s">
        <v>920</v>
      </c>
      <c r="I118" s="107" t="s">
        <v>297</v>
      </c>
      <c r="J118" s="107" t="s">
        <v>320</v>
      </c>
      <c r="K118" s="329" t="str">
        <f t="shared" si="3"/>
        <v>Treballar conjuntament amb els principals canals d’informació de rutes  per prioritzar itineraris oficials dins l’ENP</v>
      </c>
      <c r="L118" s="109"/>
      <c r="M118" s="76" t="s">
        <v>58</v>
      </c>
      <c r="N118" s="108" t="s">
        <v>58</v>
      </c>
      <c r="O118" s="110" t="s">
        <v>349</v>
      </c>
      <c r="P118" s="166" t="s">
        <v>922</v>
      </c>
      <c r="Q118" s="111"/>
      <c r="R118" s="106" t="s">
        <v>923</v>
      </c>
      <c r="S118" s="76" t="s">
        <v>924</v>
      </c>
      <c r="T118" s="129" t="s">
        <v>925</v>
      </c>
      <c r="U118" s="129" t="s">
        <v>2657</v>
      </c>
      <c r="V118" s="129" t="s">
        <v>2532</v>
      </c>
      <c r="W118" s="122"/>
      <c r="X118" s="113">
        <v>80</v>
      </c>
      <c r="Y118" s="113" t="s">
        <v>2817</v>
      </c>
      <c r="Z118" s="113" t="s">
        <v>2818</v>
      </c>
      <c r="AA118" s="113"/>
      <c r="AB118" s="113"/>
      <c r="AC118" s="113"/>
      <c r="AD118" s="113"/>
      <c r="AE118" s="113"/>
      <c r="AF118" s="113"/>
      <c r="AG118" s="113"/>
      <c r="AH118" s="113"/>
    </row>
    <row r="119" spans="1:34" ht="58">
      <c r="A119" s="29"/>
      <c r="B119" s="34"/>
      <c r="C119" s="32"/>
      <c r="D119" s="463" t="s">
        <v>926</v>
      </c>
      <c r="E119" s="466" t="s">
        <v>927</v>
      </c>
      <c r="F119" s="105" t="s">
        <v>928</v>
      </c>
      <c r="G119" s="106" t="s">
        <v>929</v>
      </c>
      <c r="H119" s="105" t="s">
        <v>928</v>
      </c>
      <c r="I119" s="107" t="s">
        <v>297</v>
      </c>
      <c r="J119" s="107" t="s">
        <v>320</v>
      </c>
      <c r="K119" s="329" t="s">
        <v>930</v>
      </c>
      <c r="L119" s="117" t="s">
        <v>2658</v>
      </c>
      <c r="M119" s="76" t="s">
        <v>58</v>
      </c>
      <c r="N119" s="108" t="s">
        <v>58</v>
      </c>
      <c r="O119" s="110" t="s">
        <v>301</v>
      </c>
      <c r="P119" s="169" t="s">
        <v>931</v>
      </c>
      <c r="Q119" s="111"/>
      <c r="R119" s="112" t="s">
        <v>861</v>
      </c>
      <c r="S119" s="396" t="s">
        <v>2659</v>
      </c>
      <c r="T119" s="129" t="s">
        <v>2660</v>
      </c>
      <c r="U119" s="129" t="s">
        <v>798</v>
      </c>
      <c r="V119" s="129" t="s">
        <v>2661</v>
      </c>
      <c r="W119" s="122"/>
      <c r="X119" s="113">
        <v>50</v>
      </c>
      <c r="Y119" s="113" t="s">
        <v>2817</v>
      </c>
      <c r="Z119" s="113" t="s">
        <v>2818</v>
      </c>
      <c r="AA119" s="113"/>
      <c r="AB119" s="113"/>
      <c r="AC119" s="113"/>
      <c r="AD119" s="113"/>
      <c r="AE119" s="113"/>
      <c r="AF119" s="113"/>
      <c r="AG119" s="113"/>
      <c r="AH119" s="113"/>
    </row>
    <row r="120" spans="1:34" ht="101.5">
      <c r="A120" s="29"/>
      <c r="B120" s="34"/>
      <c r="C120" s="32"/>
      <c r="D120" s="464"/>
      <c r="E120" s="467"/>
      <c r="F120" s="105" t="s">
        <v>932</v>
      </c>
      <c r="G120" s="106" t="s">
        <v>933</v>
      </c>
      <c r="H120" s="105" t="s">
        <v>932</v>
      </c>
      <c r="I120" s="107" t="s">
        <v>297</v>
      </c>
      <c r="J120" s="107" t="s">
        <v>320</v>
      </c>
      <c r="K120" s="329" t="s">
        <v>2797</v>
      </c>
      <c r="L120" s="117" t="s">
        <v>2777</v>
      </c>
      <c r="M120" s="76"/>
      <c r="N120" s="108"/>
      <c r="O120" s="110"/>
      <c r="P120" s="169" t="s">
        <v>934</v>
      </c>
      <c r="Q120" s="111"/>
      <c r="R120" s="112" t="s">
        <v>861</v>
      </c>
      <c r="S120" s="367"/>
      <c r="T120" s="129"/>
      <c r="U120" s="113" t="s">
        <v>892</v>
      </c>
      <c r="V120" s="113"/>
      <c r="W120" s="408" t="s">
        <v>2778</v>
      </c>
      <c r="X120" s="113"/>
      <c r="Y120" s="129" t="s">
        <v>2830</v>
      </c>
      <c r="Z120" s="129" t="s">
        <v>2831</v>
      </c>
      <c r="AA120" s="113"/>
      <c r="AB120" s="113"/>
      <c r="AC120" s="113"/>
      <c r="AD120" s="113"/>
      <c r="AE120" s="113"/>
      <c r="AF120" s="113"/>
      <c r="AG120" s="113"/>
      <c r="AH120" s="113"/>
    </row>
    <row r="121" spans="1:34" ht="29">
      <c r="A121" s="29"/>
      <c r="B121" s="34"/>
      <c r="C121" s="32"/>
      <c r="D121" s="464"/>
      <c r="E121" s="467"/>
      <c r="F121" s="105" t="s">
        <v>935</v>
      </c>
      <c r="G121" s="106" t="s">
        <v>936</v>
      </c>
      <c r="H121" s="105" t="s">
        <v>935</v>
      </c>
      <c r="I121" s="107" t="s">
        <v>347</v>
      </c>
      <c r="J121" s="107" t="s">
        <v>320</v>
      </c>
      <c r="K121" s="329" t="str">
        <f>G121</f>
        <v>Ordenar l'ús de drons, l'enlairament i l'aterratge</v>
      </c>
      <c r="L121" s="109"/>
      <c r="M121" s="76" t="s">
        <v>511</v>
      </c>
      <c r="N121" s="76" t="s">
        <v>58</v>
      </c>
      <c r="O121" s="110"/>
      <c r="P121" s="169" t="s">
        <v>937</v>
      </c>
      <c r="Q121" s="111"/>
      <c r="R121" s="112" t="s">
        <v>861</v>
      </c>
      <c r="S121" s="367" t="s">
        <v>2662</v>
      </c>
      <c r="T121" s="129" t="s">
        <v>2663</v>
      </c>
      <c r="U121" s="129" t="s">
        <v>353</v>
      </c>
      <c r="V121" s="129" t="s">
        <v>353</v>
      </c>
      <c r="W121" s="122"/>
      <c r="X121" s="129" t="s">
        <v>2925</v>
      </c>
      <c r="Y121" s="129" t="s">
        <v>2830</v>
      </c>
      <c r="Z121" s="129" t="s">
        <v>2831</v>
      </c>
      <c r="AA121" s="113"/>
      <c r="AB121" s="113"/>
      <c r="AC121" s="113"/>
      <c r="AD121" s="113"/>
      <c r="AE121" s="113"/>
      <c r="AF121" s="113"/>
      <c r="AG121" s="113"/>
      <c r="AH121" s="113"/>
    </row>
    <row r="122" spans="1:34" ht="43.5">
      <c r="A122" s="29"/>
      <c r="B122" s="34"/>
      <c r="C122" s="32"/>
      <c r="D122" s="464"/>
      <c r="E122" s="467"/>
      <c r="F122" s="105" t="s">
        <v>938</v>
      </c>
      <c r="G122" s="106" t="s">
        <v>939</v>
      </c>
      <c r="H122" s="105" t="s">
        <v>938</v>
      </c>
      <c r="I122" s="107" t="s">
        <v>297</v>
      </c>
      <c r="J122" s="107" t="s">
        <v>320</v>
      </c>
      <c r="K122" s="329" t="str">
        <f t="shared" si="3"/>
        <v>Aplicar limitacions temporals d'accés o circulació</v>
      </c>
      <c r="L122" s="117" t="s">
        <v>2777</v>
      </c>
      <c r="M122" s="76" t="s">
        <v>58</v>
      </c>
      <c r="N122" s="121"/>
      <c r="O122" s="110"/>
      <c r="P122" s="169" t="s">
        <v>940</v>
      </c>
      <c r="Q122" s="111"/>
      <c r="R122" s="112" t="s">
        <v>861</v>
      </c>
      <c r="S122" s="367" t="s">
        <v>2665</v>
      </c>
      <c r="T122" s="113" t="s">
        <v>2664</v>
      </c>
      <c r="U122" s="129" t="s">
        <v>353</v>
      </c>
      <c r="V122" s="129" t="s">
        <v>353</v>
      </c>
      <c r="W122" s="122"/>
      <c r="X122" s="113">
        <v>150</v>
      </c>
      <c r="Y122" s="129" t="s">
        <v>2857</v>
      </c>
      <c r="Z122" s="129" t="s">
        <v>2831</v>
      </c>
      <c r="AA122" s="113"/>
      <c r="AB122" s="113"/>
      <c r="AC122" s="113"/>
      <c r="AD122" s="113"/>
      <c r="AE122" s="113"/>
      <c r="AF122" s="113"/>
      <c r="AG122" s="113"/>
      <c r="AH122" s="113"/>
    </row>
    <row r="123" spans="1:34" ht="58">
      <c r="A123" s="29"/>
      <c r="B123" s="34"/>
      <c r="C123" s="32"/>
      <c r="D123" s="465"/>
      <c r="E123" s="468"/>
      <c r="F123" s="105" t="s">
        <v>941</v>
      </c>
      <c r="G123" s="106" t="s">
        <v>942</v>
      </c>
      <c r="H123" s="105" t="s">
        <v>941</v>
      </c>
      <c r="I123" s="107" t="s">
        <v>297</v>
      </c>
      <c r="J123" s="107" t="s">
        <v>320</v>
      </c>
      <c r="K123" s="392" t="s">
        <v>2984</v>
      </c>
      <c r="L123" s="109"/>
      <c r="M123" s="76" t="s">
        <v>58</v>
      </c>
      <c r="N123" s="114" t="s">
        <v>58</v>
      </c>
      <c r="O123" s="110" t="s">
        <v>301</v>
      </c>
      <c r="P123" s="169" t="s">
        <v>943</v>
      </c>
      <c r="Q123" s="111"/>
      <c r="R123" s="112" t="s">
        <v>861</v>
      </c>
      <c r="S123" s="367" t="s">
        <v>2992</v>
      </c>
      <c r="T123" s="129" t="s">
        <v>2993</v>
      </c>
      <c r="U123" s="129" t="s">
        <v>798</v>
      </c>
      <c r="V123" s="129" t="s">
        <v>798</v>
      </c>
      <c r="W123" s="122"/>
      <c r="X123" s="129" t="s">
        <v>2920</v>
      </c>
      <c r="Y123" s="129" t="s">
        <v>2830</v>
      </c>
      <c r="Z123" s="129" t="s">
        <v>2831</v>
      </c>
      <c r="AA123" s="113"/>
      <c r="AB123" s="113"/>
      <c r="AC123" s="113"/>
      <c r="AD123" s="113"/>
      <c r="AE123" s="113"/>
      <c r="AF123" s="113"/>
      <c r="AG123" s="113"/>
      <c r="AH123" s="113"/>
    </row>
    <row r="124" spans="1:34" ht="29">
      <c r="A124" s="29"/>
      <c r="B124" s="34"/>
      <c r="C124" s="32"/>
      <c r="D124" s="463" t="s">
        <v>944</v>
      </c>
      <c r="E124" s="466" t="s">
        <v>945</v>
      </c>
      <c r="F124" s="105" t="s">
        <v>946</v>
      </c>
      <c r="G124" s="106" t="s">
        <v>947</v>
      </c>
      <c r="H124" s="105" t="s">
        <v>946</v>
      </c>
      <c r="I124" s="107" t="s">
        <v>297</v>
      </c>
      <c r="J124" s="107" t="s">
        <v>320</v>
      </c>
      <c r="K124" s="329" t="str">
        <f t="shared" si="3"/>
        <v>Implementar l'ordenació de l'ús públic en col·laboració amb els agents del territori</v>
      </c>
      <c r="L124" s="109"/>
      <c r="M124" s="76" t="s">
        <v>58</v>
      </c>
      <c r="N124" s="76" t="s">
        <v>58</v>
      </c>
      <c r="O124" s="110" t="s">
        <v>301</v>
      </c>
      <c r="P124" s="166" t="s">
        <v>948</v>
      </c>
      <c r="Q124" s="111"/>
      <c r="R124" s="112"/>
      <c r="S124" s="362" t="s">
        <v>949</v>
      </c>
      <c r="T124" s="129" t="s">
        <v>2666</v>
      </c>
      <c r="U124" s="129" t="s">
        <v>2661</v>
      </c>
      <c r="V124" s="129" t="s">
        <v>2667</v>
      </c>
      <c r="W124" s="122"/>
      <c r="X124" s="129" t="s">
        <v>2926</v>
      </c>
      <c r="Y124" s="129" t="s">
        <v>2830</v>
      </c>
      <c r="Z124" s="129" t="s">
        <v>2831</v>
      </c>
      <c r="AA124" s="113"/>
      <c r="AB124" s="113"/>
      <c r="AC124" s="113"/>
      <c r="AD124" s="113"/>
      <c r="AE124" s="113"/>
      <c r="AF124" s="113"/>
      <c r="AG124" s="113"/>
      <c r="AH124" s="113"/>
    </row>
    <row r="125" spans="1:34" ht="43.5">
      <c r="A125" s="29"/>
      <c r="B125" s="34"/>
      <c r="C125" s="32"/>
      <c r="D125" s="465"/>
      <c r="E125" s="468"/>
      <c r="F125" s="105" t="s">
        <v>950</v>
      </c>
      <c r="G125" s="106" t="s">
        <v>951</v>
      </c>
      <c r="H125" s="105" t="s">
        <v>950</v>
      </c>
      <c r="I125" s="107" t="s">
        <v>297</v>
      </c>
      <c r="J125" s="107" t="s">
        <v>320</v>
      </c>
      <c r="K125" s="329" t="str">
        <f t="shared" si="3"/>
        <v>Promoció i acompanyament en l'ordenació de l'ús públic de l'ENP des de l'àmbit municipal</v>
      </c>
      <c r="L125" s="109"/>
      <c r="M125" s="76" t="s">
        <v>58</v>
      </c>
      <c r="N125" s="76" t="s">
        <v>58</v>
      </c>
      <c r="O125" s="110" t="s">
        <v>301</v>
      </c>
      <c r="P125" s="166" t="s">
        <v>952</v>
      </c>
      <c r="Q125" s="111"/>
      <c r="R125" s="112"/>
      <c r="S125" s="362" t="s">
        <v>953</v>
      </c>
      <c r="T125" s="129" t="s">
        <v>2666</v>
      </c>
      <c r="U125" s="129" t="s">
        <v>2661</v>
      </c>
      <c r="V125" s="129" t="s">
        <v>2667</v>
      </c>
      <c r="W125" s="122"/>
      <c r="X125" s="113">
        <v>300</v>
      </c>
      <c r="Y125" s="129" t="s">
        <v>2817</v>
      </c>
      <c r="Z125" s="129" t="s">
        <v>2831</v>
      </c>
      <c r="AA125" s="113"/>
      <c r="AB125" s="113"/>
      <c r="AC125" s="113"/>
      <c r="AD125" s="113"/>
      <c r="AE125" s="113"/>
      <c r="AF125" s="113"/>
      <c r="AG125" s="113"/>
      <c r="AH125" s="113"/>
    </row>
    <row r="126" spans="1:34" ht="58">
      <c r="A126" s="29"/>
      <c r="B126" s="34"/>
      <c r="C126" s="32"/>
      <c r="D126" s="463" t="s">
        <v>954</v>
      </c>
      <c r="E126" s="466" t="s">
        <v>955</v>
      </c>
      <c r="F126" s="105" t="s">
        <v>956</v>
      </c>
      <c r="G126" s="106" t="s">
        <v>957</v>
      </c>
      <c r="H126" s="105" t="s">
        <v>956</v>
      </c>
      <c r="I126" s="107" t="s">
        <v>297</v>
      </c>
      <c r="J126" s="107" t="s">
        <v>320</v>
      </c>
      <c r="K126" s="108" t="s">
        <v>958</v>
      </c>
      <c r="L126" s="117" t="s">
        <v>2776</v>
      </c>
      <c r="M126" s="76" t="s">
        <v>58</v>
      </c>
      <c r="N126" s="76"/>
      <c r="O126" s="110" t="s">
        <v>321</v>
      </c>
      <c r="P126" s="166"/>
      <c r="Q126" s="111"/>
      <c r="R126" s="112"/>
      <c r="S126" s="362" t="s">
        <v>2668</v>
      </c>
      <c r="T126" s="129" t="s">
        <v>2669</v>
      </c>
      <c r="U126" s="129" t="s">
        <v>2670</v>
      </c>
      <c r="V126" s="129" t="s">
        <v>2671</v>
      </c>
      <c r="W126" s="122"/>
      <c r="X126" s="129" t="s">
        <v>2927</v>
      </c>
      <c r="Y126" s="129" t="s">
        <v>2830</v>
      </c>
      <c r="Z126" s="129" t="s">
        <v>2831</v>
      </c>
      <c r="AA126" s="113"/>
      <c r="AB126" s="113"/>
      <c r="AC126" s="113"/>
      <c r="AD126" s="113"/>
      <c r="AE126" s="113"/>
      <c r="AF126" s="113"/>
      <c r="AG126" s="113"/>
      <c r="AH126" s="113"/>
    </row>
    <row r="127" spans="1:34" ht="43.5">
      <c r="A127" s="29"/>
      <c r="B127" s="34"/>
      <c r="C127" s="32"/>
      <c r="D127" s="465"/>
      <c r="E127" s="468"/>
      <c r="F127" s="105" t="s">
        <v>959</v>
      </c>
      <c r="G127" s="106"/>
      <c r="H127" s="105" t="s">
        <v>959</v>
      </c>
      <c r="I127" s="107" t="s">
        <v>297</v>
      </c>
      <c r="J127" s="107" t="s">
        <v>320</v>
      </c>
      <c r="K127" s="388">
        <f t="shared" si="3"/>
        <v>0</v>
      </c>
      <c r="L127" s="117" t="s">
        <v>2779</v>
      </c>
      <c r="M127" s="76" t="s">
        <v>58</v>
      </c>
      <c r="N127" s="76" t="s">
        <v>58</v>
      </c>
      <c r="O127" s="110" t="s">
        <v>321</v>
      </c>
      <c r="P127" s="166" t="s">
        <v>961</v>
      </c>
      <c r="Q127" s="116" t="s">
        <v>341</v>
      </c>
      <c r="R127" s="106" t="s">
        <v>962</v>
      </c>
      <c r="S127" s="362" t="s">
        <v>963</v>
      </c>
      <c r="T127" s="129" t="s">
        <v>2672</v>
      </c>
      <c r="U127" s="113" t="s">
        <v>532</v>
      </c>
      <c r="V127" s="113" t="s">
        <v>533</v>
      </c>
      <c r="W127" s="403"/>
      <c r="X127" s="129" t="s">
        <v>2928</v>
      </c>
      <c r="Y127" s="129" t="s">
        <v>2857</v>
      </c>
      <c r="Z127" s="129" t="s">
        <v>2831</v>
      </c>
      <c r="AA127" s="113"/>
      <c r="AB127" s="113"/>
      <c r="AC127" s="113"/>
      <c r="AD127" s="113"/>
      <c r="AE127" s="113"/>
      <c r="AF127" s="113"/>
      <c r="AG127" s="113"/>
      <c r="AH127" s="113"/>
    </row>
    <row r="128" spans="1:34" ht="43.5">
      <c r="A128" s="29"/>
      <c r="B128" s="34"/>
      <c r="C128" s="32"/>
      <c r="D128" s="463" t="s">
        <v>964</v>
      </c>
      <c r="E128" s="466" t="s">
        <v>965</v>
      </c>
      <c r="F128" s="105" t="s">
        <v>966</v>
      </c>
      <c r="G128" s="106" t="s">
        <v>967</v>
      </c>
      <c r="H128" s="105" t="s">
        <v>966</v>
      </c>
      <c r="I128" s="107" t="s">
        <v>297</v>
      </c>
      <c r="J128" s="107" t="s">
        <v>424</v>
      </c>
      <c r="K128" s="388" t="str">
        <f>G128</f>
        <v xml:space="preserve">Potenciar la visita a espais alternatius dins de l'àmbit d'influència de l'espai natural per reduir la pressió en zones sensibles </v>
      </c>
      <c r="L128" s="109"/>
      <c r="M128" s="76" t="s">
        <v>79</v>
      </c>
      <c r="N128" s="76" t="s">
        <v>79</v>
      </c>
      <c r="O128" s="110" t="s">
        <v>321</v>
      </c>
      <c r="P128" s="166"/>
      <c r="Q128" s="111"/>
      <c r="R128" s="112"/>
      <c r="S128" s="362" t="s">
        <v>2673</v>
      </c>
      <c r="T128" s="113" t="s">
        <v>2609</v>
      </c>
      <c r="U128" s="113" t="s">
        <v>353</v>
      </c>
      <c r="V128" s="113" t="s">
        <v>2520</v>
      </c>
      <c r="W128" s="403"/>
      <c r="X128" s="113">
        <v>80</v>
      </c>
      <c r="Y128" s="129" t="s">
        <v>2857</v>
      </c>
      <c r="Z128" s="129" t="s">
        <v>2858</v>
      </c>
      <c r="AA128" s="113"/>
      <c r="AB128" s="113"/>
      <c r="AC128" s="113"/>
      <c r="AD128" s="113"/>
      <c r="AE128" s="113"/>
      <c r="AF128" s="113"/>
      <c r="AG128" s="113"/>
      <c r="AH128" s="113"/>
    </row>
    <row r="129" spans="1:34" ht="43.5">
      <c r="A129" s="29"/>
      <c r="B129" s="34"/>
      <c r="C129" s="32"/>
      <c r="D129" s="465"/>
      <c r="E129" s="468"/>
      <c r="F129" s="105" t="s">
        <v>968</v>
      </c>
      <c r="G129" s="106" t="s">
        <v>969</v>
      </c>
      <c r="H129" s="105" t="s">
        <v>968</v>
      </c>
      <c r="I129" s="107" t="s">
        <v>297</v>
      </c>
      <c r="J129" s="107" t="s">
        <v>424</v>
      </c>
      <c r="K129" s="329" t="s">
        <v>970</v>
      </c>
      <c r="L129" s="117"/>
      <c r="M129" s="76" t="s">
        <v>58</v>
      </c>
      <c r="N129" s="76" t="s">
        <v>58</v>
      </c>
      <c r="O129" s="110" t="s">
        <v>301</v>
      </c>
      <c r="P129" s="166" t="s">
        <v>971</v>
      </c>
      <c r="Q129" s="111"/>
      <c r="R129" s="112"/>
      <c r="S129" s="362" t="s">
        <v>2674</v>
      </c>
      <c r="T129" s="129" t="s">
        <v>2675</v>
      </c>
      <c r="U129" s="129" t="s">
        <v>2676</v>
      </c>
      <c r="V129" s="129" t="s">
        <v>2667</v>
      </c>
      <c r="W129" s="122"/>
      <c r="X129" s="129" t="s">
        <v>2920</v>
      </c>
      <c r="Y129" s="129" t="s">
        <v>2830</v>
      </c>
      <c r="Z129" s="129" t="s">
        <v>2831</v>
      </c>
      <c r="AA129" s="113"/>
      <c r="AB129" s="113"/>
      <c r="AC129" s="113"/>
      <c r="AD129" s="113"/>
      <c r="AE129" s="113"/>
      <c r="AF129" s="113"/>
      <c r="AG129" s="113"/>
      <c r="AH129" s="113"/>
    </row>
    <row r="130" spans="1:34" ht="87">
      <c r="A130" s="29"/>
      <c r="B130" s="34"/>
      <c r="C130" s="32"/>
      <c r="D130" s="463" t="s">
        <v>972</v>
      </c>
      <c r="E130" s="466" t="s">
        <v>973</v>
      </c>
      <c r="F130" s="105" t="s">
        <v>974</v>
      </c>
      <c r="G130" s="106" t="s">
        <v>975</v>
      </c>
      <c r="H130" s="105" t="s">
        <v>974</v>
      </c>
      <c r="I130" s="107" t="s">
        <v>297</v>
      </c>
      <c r="J130" s="107" t="s">
        <v>320</v>
      </c>
      <c r="K130" s="329" t="str">
        <f t="shared" si="3"/>
        <v>Adequar els principals accessos, aparcaments i centres d'interès amb un ús elevat</v>
      </c>
      <c r="L130" s="109"/>
      <c r="M130" s="76" t="s">
        <v>58</v>
      </c>
      <c r="N130" s="76" t="s">
        <v>58</v>
      </c>
      <c r="O130" s="110" t="s">
        <v>301</v>
      </c>
      <c r="P130" s="166" t="s">
        <v>976</v>
      </c>
      <c r="Q130" s="111"/>
      <c r="R130" s="112"/>
      <c r="S130" s="363" t="s">
        <v>2677</v>
      </c>
      <c r="T130" s="129" t="s">
        <v>2678</v>
      </c>
      <c r="U130" s="129" t="s">
        <v>2679</v>
      </c>
      <c r="V130" s="129" t="s">
        <v>2680</v>
      </c>
      <c r="W130" s="122"/>
      <c r="X130" s="129" t="s">
        <v>2929</v>
      </c>
      <c r="Y130" s="129" t="s">
        <v>2859</v>
      </c>
      <c r="Z130" s="129" t="s">
        <v>2860</v>
      </c>
      <c r="AA130" s="113"/>
      <c r="AB130" s="113"/>
      <c r="AC130" s="113"/>
      <c r="AD130" s="113"/>
      <c r="AE130" s="113"/>
      <c r="AF130" s="113"/>
      <c r="AG130" s="113"/>
      <c r="AH130" s="113"/>
    </row>
    <row r="131" spans="1:34" ht="130.5">
      <c r="A131" s="29"/>
      <c r="B131" s="34"/>
      <c r="C131" s="32"/>
      <c r="D131" s="464"/>
      <c r="E131" s="467"/>
      <c r="F131" s="105" t="s">
        <v>978</v>
      </c>
      <c r="G131" s="106" t="s">
        <v>979</v>
      </c>
      <c r="H131" s="105" t="s">
        <v>978</v>
      </c>
      <c r="I131" s="107" t="s">
        <v>297</v>
      </c>
      <c r="J131" s="107" t="s">
        <v>320</v>
      </c>
      <c r="K131" s="329" t="str">
        <f t="shared" si="3"/>
        <v>Disposar i mantenir els serveis, equipaments i infraestructures necessàries i accessibles per acollir, informar, facilitar la visita i garantir la seguretat dels visitants i la protecció de l'entorn</v>
      </c>
      <c r="L131" s="109"/>
      <c r="M131" s="76" t="s">
        <v>58</v>
      </c>
      <c r="N131" s="76"/>
      <c r="O131" s="110"/>
      <c r="P131" s="166" t="s">
        <v>980</v>
      </c>
      <c r="Q131" s="111"/>
      <c r="R131" s="112"/>
      <c r="S131" s="362" t="s">
        <v>3006</v>
      </c>
      <c r="T131" s="129" t="s">
        <v>3005</v>
      </c>
      <c r="U131" s="129" t="s">
        <v>3007</v>
      </c>
      <c r="V131" s="129" t="s">
        <v>3008</v>
      </c>
      <c r="W131" s="409" t="s">
        <v>2753</v>
      </c>
      <c r="X131" s="113">
        <v>125</v>
      </c>
      <c r="Y131" s="113" t="s">
        <v>329</v>
      </c>
      <c r="Z131" s="113" t="s">
        <v>330</v>
      </c>
      <c r="AA131" s="113"/>
      <c r="AB131" s="113"/>
      <c r="AC131" s="113"/>
      <c r="AD131" s="113"/>
      <c r="AE131" s="113"/>
      <c r="AF131" s="113"/>
      <c r="AG131" s="113"/>
      <c r="AH131" s="113"/>
    </row>
    <row r="132" spans="1:34" ht="72.5">
      <c r="A132" s="29"/>
      <c r="B132" s="34"/>
      <c r="C132" s="32"/>
      <c r="D132" s="464"/>
      <c r="E132" s="467"/>
      <c r="F132" s="105" t="s">
        <v>981</v>
      </c>
      <c r="G132" s="106" t="s">
        <v>982</v>
      </c>
      <c r="H132" s="105" t="s">
        <v>981</v>
      </c>
      <c r="I132" s="107" t="s">
        <v>297</v>
      </c>
      <c r="J132" s="107" t="s">
        <v>320</v>
      </c>
      <c r="K132" s="329"/>
      <c r="L132" s="109"/>
      <c r="M132" s="76" t="s">
        <v>79</v>
      </c>
      <c r="N132" s="76" t="s">
        <v>58</v>
      </c>
      <c r="O132" s="110" t="s">
        <v>529</v>
      </c>
      <c r="P132" s="166"/>
      <c r="Q132" s="111"/>
      <c r="R132" s="106" t="s">
        <v>983</v>
      </c>
      <c r="S132" s="362" t="s">
        <v>2805</v>
      </c>
      <c r="T132" s="129" t="s">
        <v>2806</v>
      </c>
      <c r="U132" s="113"/>
      <c r="V132" s="113"/>
      <c r="W132" s="408" t="s">
        <v>2767</v>
      </c>
      <c r="X132" s="113"/>
      <c r="Y132" s="113"/>
      <c r="Z132" s="113"/>
      <c r="AA132" s="113"/>
      <c r="AB132" s="113"/>
      <c r="AC132" s="113"/>
      <c r="AD132" s="113"/>
      <c r="AE132" s="113"/>
      <c r="AF132" s="113"/>
      <c r="AG132" s="113"/>
      <c r="AH132" s="113"/>
    </row>
    <row r="133" spans="1:34" ht="43.5">
      <c r="A133" s="29"/>
      <c r="B133" s="34"/>
      <c r="C133" s="32"/>
      <c r="D133" s="465"/>
      <c r="E133" s="468"/>
      <c r="F133" s="105" t="s">
        <v>984</v>
      </c>
      <c r="G133" s="106" t="s">
        <v>985</v>
      </c>
      <c r="H133" s="105" t="s">
        <v>984</v>
      </c>
      <c r="I133" s="107" t="s">
        <v>297</v>
      </c>
      <c r="J133" s="107" t="s">
        <v>320</v>
      </c>
      <c r="K133" s="405" t="str">
        <f>G133</f>
        <v>Adaptar els missatges a donar des d'oficines d’informació, pròpies i alienes, d'acord amb el model de la DG</v>
      </c>
      <c r="L133" s="109"/>
      <c r="M133" s="76" t="s">
        <v>79</v>
      </c>
      <c r="N133" s="76" t="s">
        <v>58</v>
      </c>
      <c r="O133" s="110" t="s">
        <v>301</v>
      </c>
      <c r="P133" s="166" t="s">
        <v>986</v>
      </c>
      <c r="Q133" s="111" t="s">
        <v>46</v>
      </c>
      <c r="R133" s="106" t="s">
        <v>987</v>
      </c>
      <c r="S133" s="362" t="s">
        <v>2681</v>
      </c>
      <c r="T133" s="129" t="s">
        <v>2682</v>
      </c>
      <c r="U133" s="113">
        <v>1</v>
      </c>
      <c r="V133" s="113">
        <v>20</v>
      </c>
      <c r="W133" s="122" t="s">
        <v>2930</v>
      </c>
      <c r="X133" s="113"/>
      <c r="Y133" s="129" t="s">
        <v>2830</v>
      </c>
      <c r="Z133" s="129" t="s">
        <v>2831</v>
      </c>
      <c r="AA133" s="113"/>
      <c r="AB133" s="113"/>
      <c r="AC133" s="113"/>
      <c r="AD133" s="113"/>
      <c r="AE133" s="113"/>
      <c r="AF133" s="113"/>
      <c r="AG133" s="113"/>
      <c r="AH133" s="113"/>
    </row>
    <row r="134" spans="1:34" ht="58">
      <c r="A134" s="29"/>
      <c r="B134" s="34"/>
      <c r="C134" s="32"/>
      <c r="D134" s="463" t="s">
        <v>988</v>
      </c>
      <c r="E134" s="466" t="s">
        <v>989</v>
      </c>
      <c r="F134" s="105" t="s">
        <v>990</v>
      </c>
      <c r="G134" s="106" t="s">
        <v>991</v>
      </c>
      <c r="H134" s="105" t="s">
        <v>990</v>
      </c>
      <c r="I134" s="107" t="s">
        <v>297</v>
      </c>
      <c r="J134" s="107" t="s">
        <v>424</v>
      </c>
      <c r="K134" s="405" t="str">
        <f>G134</f>
        <v>Elaborar i executar el Pla de vigilància de l’espai d'acord amb els cossos d’inspecció i seguretat</v>
      </c>
      <c r="L134" s="109"/>
      <c r="M134" s="76" t="s">
        <v>58</v>
      </c>
      <c r="N134" s="76" t="s">
        <v>58</v>
      </c>
      <c r="O134" s="110" t="s">
        <v>349</v>
      </c>
      <c r="P134" s="166" t="s">
        <v>992</v>
      </c>
      <c r="Q134" s="111"/>
      <c r="R134" s="112"/>
      <c r="S134" s="373" t="s">
        <v>2995</v>
      </c>
      <c r="T134" s="129" t="s">
        <v>2996</v>
      </c>
      <c r="U134" s="129" t="s">
        <v>798</v>
      </c>
      <c r="V134" s="129" t="s">
        <v>2997</v>
      </c>
      <c r="W134" s="122">
        <v>20</v>
      </c>
      <c r="X134" s="113"/>
      <c r="Y134" s="113" t="s">
        <v>329</v>
      </c>
      <c r="Z134" s="113" t="s">
        <v>330</v>
      </c>
      <c r="AA134" s="113"/>
      <c r="AB134" s="113"/>
      <c r="AC134" s="113"/>
      <c r="AD134" s="113"/>
      <c r="AE134" s="113"/>
      <c r="AF134" s="113"/>
      <c r="AG134" s="113"/>
      <c r="AH134" s="113"/>
    </row>
    <row r="135" spans="1:34" ht="43.5">
      <c r="A135" s="29"/>
      <c r="B135" s="34"/>
      <c r="C135" s="32"/>
      <c r="D135" s="464"/>
      <c r="E135" s="467"/>
      <c r="F135" s="105" t="s">
        <v>993</v>
      </c>
      <c r="G135" s="106" t="s">
        <v>994</v>
      </c>
      <c r="H135" s="105" t="s">
        <v>993</v>
      </c>
      <c r="I135" s="107" t="s">
        <v>297</v>
      </c>
      <c r="J135" s="107" t="s">
        <v>320</v>
      </c>
      <c r="K135" s="329" t="str">
        <f t="shared" si="3"/>
        <v>Millorar la coordinació amb els cossos de seguretat per efectuar accions de control i vigilància</v>
      </c>
      <c r="L135" s="109"/>
      <c r="M135" s="76" t="s">
        <v>58</v>
      </c>
      <c r="N135" s="76" t="s">
        <v>58</v>
      </c>
      <c r="O135" s="110" t="s">
        <v>301</v>
      </c>
      <c r="P135" s="166"/>
      <c r="Q135" s="111"/>
      <c r="R135" s="112"/>
      <c r="S135" s="365" t="s">
        <v>995</v>
      </c>
      <c r="T135" s="129" t="s">
        <v>2683</v>
      </c>
      <c r="U135" s="129" t="s">
        <v>2589</v>
      </c>
      <c r="V135" s="129" t="s">
        <v>2684</v>
      </c>
      <c r="W135" s="122">
        <v>50</v>
      </c>
      <c r="X135" s="113">
        <v>50</v>
      </c>
      <c r="Y135" s="129" t="s">
        <v>2849</v>
      </c>
      <c r="Z135" s="129" t="s">
        <v>2861</v>
      </c>
      <c r="AA135" s="113"/>
      <c r="AB135" s="113"/>
      <c r="AC135" s="113"/>
      <c r="AD135" s="113"/>
      <c r="AE135" s="113"/>
      <c r="AF135" s="113"/>
      <c r="AG135" s="113"/>
      <c r="AH135" s="113"/>
    </row>
    <row r="136" spans="1:34" ht="29">
      <c r="A136" s="29"/>
      <c r="B136" s="34"/>
      <c r="C136" s="32"/>
      <c r="D136" s="464"/>
      <c r="E136" s="467"/>
      <c r="F136" s="105" t="s">
        <v>996</v>
      </c>
      <c r="G136" s="106" t="s">
        <v>997</v>
      </c>
      <c r="H136" s="105" t="s">
        <v>996</v>
      </c>
      <c r="I136" s="107" t="s">
        <v>297</v>
      </c>
      <c r="J136" s="107" t="s">
        <v>320</v>
      </c>
      <c r="K136" s="329" t="s">
        <v>998</v>
      </c>
      <c r="L136" s="109" t="s">
        <v>999</v>
      </c>
      <c r="M136" s="76" t="s">
        <v>58</v>
      </c>
      <c r="N136" s="76" t="s">
        <v>58</v>
      </c>
      <c r="O136" s="110" t="s">
        <v>301</v>
      </c>
      <c r="P136" s="166"/>
      <c r="Q136" s="111"/>
      <c r="R136" s="112"/>
      <c r="S136" s="368" t="s">
        <v>1000</v>
      </c>
      <c r="T136" s="113" t="s">
        <v>2685</v>
      </c>
      <c r="U136" s="113" t="s">
        <v>2686</v>
      </c>
      <c r="V136" s="113" t="s">
        <v>1201</v>
      </c>
      <c r="W136" s="403"/>
      <c r="X136" s="113">
        <v>575</v>
      </c>
      <c r="Y136" s="129" t="s">
        <v>2834</v>
      </c>
      <c r="Z136" s="129" t="s">
        <v>2829</v>
      </c>
      <c r="AA136" s="113"/>
      <c r="AB136" s="113"/>
      <c r="AC136" s="113"/>
      <c r="AD136" s="113"/>
      <c r="AE136" s="113"/>
      <c r="AF136" s="113"/>
      <c r="AG136" s="113"/>
      <c r="AH136" s="113"/>
    </row>
    <row r="137" spans="1:34" ht="43.5">
      <c r="A137" s="29"/>
      <c r="B137" s="64">
        <v>12</v>
      </c>
      <c r="C137" s="65" t="s">
        <v>1001</v>
      </c>
      <c r="D137" s="463" t="s">
        <v>1002</v>
      </c>
      <c r="E137" s="466" t="s">
        <v>1003</v>
      </c>
      <c r="F137" s="105" t="s">
        <v>1004</v>
      </c>
      <c r="G137" s="106" t="s">
        <v>1005</v>
      </c>
      <c r="H137" s="105" t="s">
        <v>1004</v>
      </c>
      <c r="I137" s="107" t="s">
        <v>297</v>
      </c>
      <c r="J137" s="107" t="s">
        <v>320</v>
      </c>
      <c r="K137" s="329" t="s">
        <v>1006</v>
      </c>
      <c r="L137" s="109"/>
      <c r="M137" s="76" t="s">
        <v>58</v>
      </c>
      <c r="N137" s="124" t="s">
        <v>58</v>
      </c>
      <c r="O137" s="110" t="s">
        <v>301</v>
      </c>
      <c r="P137" s="166" t="s">
        <v>1007</v>
      </c>
      <c r="Q137" s="111"/>
      <c r="R137" s="112"/>
      <c r="S137" s="374" t="s">
        <v>2687</v>
      </c>
      <c r="T137" s="129" t="s">
        <v>2688</v>
      </c>
      <c r="U137" s="113" t="s">
        <v>353</v>
      </c>
      <c r="V137" s="113" t="s">
        <v>533</v>
      </c>
      <c r="W137" s="403"/>
      <c r="X137" s="129" t="s">
        <v>2931</v>
      </c>
      <c r="Y137" s="129" t="s">
        <v>2862</v>
      </c>
      <c r="Z137" s="129" t="s">
        <v>2863</v>
      </c>
      <c r="AA137" s="113"/>
      <c r="AB137" s="113"/>
      <c r="AC137" s="113"/>
      <c r="AD137" s="113"/>
      <c r="AE137" s="113"/>
      <c r="AF137" s="113"/>
      <c r="AG137" s="113"/>
      <c r="AH137" s="113"/>
    </row>
    <row r="138" spans="1:34" ht="58">
      <c r="A138" s="29"/>
      <c r="B138" s="66"/>
      <c r="C138" s="67"/>
      <c r="D138" s="465"/>
      <c r="E138" s="468"/>
      <c r="F138" s="105" t="s">
        <v>1008</v>
      </c>
      <c r="G138" s="106" t="s">
        <v>1009</v>
      </c>
      <c r="H138" s="105" t="s">
        <v>1008</v>
      </c>
      <c r="I138" s="107" t="s">
        <v>297</v>
      </c>
      <c r="J138" s="107" t="s">
        <v>320</v>
      </c>
      <c r="K138" s="329" t="str">
        <f t="shared" ref="K138:K173" si="4">G138</f>
        <v>Contribuir a la protecció dels assentaments humans respecte dels riscos naturals</v>
      </c>
      <c r="L138" s="109"/>
      <c r="M138" s="76" t="s">
        <v>58</v>
      </c>
      <c r="N138" s="124"/>
      <c r="O138" s="110"/>
      <c r="P138" s="166" t="s">
        <v>1010</v>
      </c>
      <c r="Q138" s="111"/>
      <c r="R138" s="112"/>
      <c r="S138" s="362" t="s">
        <v>1011</v>
      </c>
      <c r="T138" s="129" t="s">
        <v>2689</v>
      </c>
      <c r="U138" s="129" t="s">
        <v>839</v>
      </c>
      <c r="V138" s="129" t="s">
        <v>2690</v>
      </c>
      <c r="W138" s="409" t="s">
        <v>2753</v>
      </c>
      <c r="X138" s="129" t="s">
        <v>2932</v>
      </c>
      <c r="Y138" s="129" t="s">
        <v>2832</v>
      </c>
      <c r="Z138" s="129" t="s">
        <v>2833</v>
      </c>
      <c r="AA138" s="113"/>
      <c r="AB138" s="113"/>
      <c r="AC138" s="113"/>
      <c r="AD138" s="113"/>
      <c r="AE138" s="113"/>
      <c r="AF138" s="113"/>
      <c r="AG138" s="113"/>
      <c r="AH138" s="113"/>
    </row>
    <row r="139" spans="1:34" ht="87">
      <c r="A139" s="30" t="s">
        <v>1012</v>
      </c>
      <c r="B139" s="471">
        <v>13</v>
      </c>
      <c r="C139" s="473" t="s">
        <v>1013</v>
      </c>
      <c r="D139" s="453" t="s">
        <v>1014</v>
      </c>
      <c r="E139" s="462" t="s">
        <v>1015</v>
      </c>
      <c r="F139" s="105" t="s">
        <v>1016</v>
      </c>
      <c r="G139" s="106" t="s">
        <v>1017</v>
      </c>
      <c r="H139" s="105" t="s">
        <v>1016</v>
      </c>
      <c r="I139" s="107" t="s">
        <v>297</v>
      </c>
      <c r="J139" s="107" t="s">
        <v>320</v>
      </c>
      <c r="K139" s="388" t="str">
        <f t="shared" si="4"/>
        <v>Definir el model de Xarxa d'Escoles de l'Espai Natural (XEEN) a l'ENP amb els agents educatius del territori</v>
      </c>
      <c r="L139" s="109"/>
      <c r="M139" s="76" t="s">
        <v>58</v>
      </c>
      <c r="N139" s="76"/>
      <c r="O139" s="110" t="s">
        <v>529</v>
      </c>
      <c r="P139" s="166" t="s">
        <v>1018</v>
      </c>
      <c r="Q139" s="123" t="s">
        <v>1019</v>
      </c>
      <c r="R139" s="112"/>
      <c r="S139" s="362" t="s">
        <v>1020</v>
      </c>
      <c r="T139" s="129" t="s">
        <v>1021</v>
      </c>
      <c r="U139" s="113" t="s">
        <v>353</v>
      </c>
      <c r="V139" s="113" t="s">
        <v>353</v>
      </c>
      <c r="W139" s="403"/>
      <c r="X139" s="113">
        <v>80</v>
      </c>
      <c r="Y139" s="129" t="s">
        <v>2933</v>
      </c>
      <c r="Z139" s="129" t="s">
        <v>2858</v>
      </c>
      <c r="AA139" s="113"/>
      <c r="AB139" s="113"/>
      <c r="AC139" s="113"/>
      <c r="AD139" s="113"/>
      <c r="AE139" s="113"/>
      <c r="AF139" s="113"/>
      <c r="AG139" s="113"/>
      <c r="AH139" s="113"/>
    </row>
    <row r="140" spans="1:34" ht="130.5">
      <c r="A140" s="30"/>
      <c r="B140" s="471"/>
      <c r="C140" s="473"/>
      <c r="D140" s="453"/>
      <c r="E140" s="462"/>
      <c r="F140" s="105" t="s">
        <v>1022</v>
      </c>
      <c r="G140" s="106" t="s">
        <v>1023</v>
      </c>
      <c r="H140" s="105" t="s">
        <v>1022</v>
      </c>
      <c r="I140" s="107" t="s">
        <v>297</v>
      </c>
      <c r="J140" s="107" t="s">
        <v>320</v>
      </c>
      <c r="K140" s="329" t="str">
        <f t="shared" si="4"/>
        <v>Desplegar el model de Xarxa d'Escoles de l'Espai Natural (XEEN) a l'ENP d'acord amb el model general</v>
      </c>
      <c r="L140" s="109"/>
      <c r="M140" s="76" t="s">
        <v>58</v>
      </c>
      <c r="N140" s="76"/>
      <c r="O140" s="110" t="s">
        <v>529</v>
      </c>
      <c r="P140" s="170" t="s">
        <v>1024</v>
      </c>
      <c r="Q140" s="123" t="s">
        <v>1019</v>
      </c>
      <c r="R140" s="106" t="s">
        <v>1025</v>
      </c>
      <c r="S140" s="362" t="s">
        <v>1026</v>
      </c>
      <c r="T140" s="129" t="s">
        <v>1027</v>
      </c>
      <c r="U140" s="129" t="s">
        <v>1028</v>
      </c>
      <c r="V140" s="129" t="s">
        <v>1029</v>
      </c>
      <c r="W140" s="122"/>
      <c r="X140" s="113">
        <v>100</v>
      </c>
      <c r="Y140" s="129" t="s">
        <v>2933</v>
      </c>
      <c r="Z140" s="129" t="s">
        <v>2858</v>
      </c>
      <c r="AA140" s="113"/>
      <c r="AB140" s="113"/>
      <c r="AC140" s="113"/>
      <c r="AD140" s="113"/>
      <c r="AE140" s="113"/>
      <c r="AF140" s="113"/>
      <c r="AG140" s="113"/>
      <c r="AH140" s="113"/>
    </row>
    <row r="141" spans="1:34" ht="43.5">
      <c r="A141" s="30"/>
      <c r="B141" s="471"/>
      <c r="C141" s="473"/>
      <c r="D141" s="454"/>
      <c r="E141" s="441"/>
      <c r="F141" s="105" t="s">
        <v>1030</v>
      </c>
      <c r="G141" s="106" t="s">
        <v>1031</v>
      </c>
      <c r="H141" s="105" t="s">
        <v>1030</v>
      </c>
      <c r="I141" s="107" t="s">
        <v>297</v>
      </c>
      <c r="J141" s="107" t="s">
        <v>320</v>
      </c>
      <c r="K141" s="329" t="str">
        <f t="shared" si="4"/>
        <v xml:space="preserve">Formar i capacitar al professorat de la XEEN </v>
      </c>
      <c r="L141" s="109"/>
      <c r="M141" s="76" t="s">
        <v>58</v>
      </c>
      <c r="N141" s="76"/>
      <c r="O141" s="110" t="s">
        <v>301</v>
      </c>
      <c r="P141" s="170" t="s">
        <v>1032</v>
      </c>
      <c r="Q141" s="123" t="s">
        <v>1019</v>
      </c>
      <c r="R141" s="106"/>
      <c r="S141" s="362" t="s">
        <v>2691</v>
      </c>
      <c r="T141" s="129" t="s">
        <v>1033</v>
      </c>
      <c r="U141" s="113" t="s">
        <v>532</v>
      </c>
      <c r="V141" s="113" t="s">
        <v>533</v>
      </c>
      <c r="W141" s="403"/>
      <c r="X141" s="113">
        <v>150</v>
      </c>
      <c r="Y141" s="129" t="s">
        <v>2933</v>
      </c>
      <c r="Z141" s="129" t="s">
        <v>2858</v>
      </c>
      <c r="AA141" s="113"/>
      <c r="AB141" s="113"/>
      <c r="AC141" s="113"/>
      <c r="AD141" s="113"/>
      <c r="AE141" s="113"/>
      <c r="AF141" s="113"/>
      <c r="AG141" s="113"/>
      <c r="AH141" s="113"/>
    </row>
    <row r="142" spans="1:34" ht="43.5">
      <c r="A142" s="30"/>
      <c r="B142" s="471"/>
      <c r="C142" s="473"/>
      <c r="D142" s="452" t="s">
        <v>1034</v>
      </c>
      <c r="E142" s="440" t="s">
        <v>1035</v>
      </c>
      <c r="F142" s="105" t="s">
        <v>1036</v>
      </c>
      <c r="G142" s="106" t="s">
        <v>1037</v>
      </c>
      <c r="H142" s="105" t="s">
        <v>1036</v>
      </c>
      <c r="I142" s="107" t="s">
        <v>297</v>
      </c>
      <c r="J142" s="107" t="s">
        <v>320</v>
      </c>
      <c r="K142" s="329" t="str">
        <f t="shared" si="4"/>
        <v>Adaptar i millorar l'oferta pedagògica de l'ENP generant situacions d'aprenentatge i treballs per projecte</v>
      </c>
      <c r="L142" s="109"/>
      <c r="M142" s="76" t="s">
        <v>58</v>
      </c>
      <c r="N142" s="76"/>
      <c r="O142" s="110" t="s">
        <v>321</v>
      </c>
      <c r="P142" s="166" t="s">
        <v>1038</v>
      </c>
      <c r="Q142" s="123" t="s">
        <v>1019</v>
      </c>
      <c r="R142" s="106" t="s">
        <v>1039</v>
      </c>
      <c r="S142" s="362" t="s">
        <v>2692</v>
      </c>
      <c r="T142" s="113" t="s">
        <v>1040</v>
      </c>
      <c r="U142" s="113" t="s">
        <v>1041</v>
      </c>
      <c r="V142" s="113" t="s">
        <v>1042</v>
      </c>
      <c r="W142" s="403"/>
      <c r="X142" s="113">
        <v>50</v>
      </c>
      <c r="Y142" s="129" t="s">
        <v>2934</v>
      </c>
      <c r="Z142" s="129" t="s">
        <v>2829</v>
      </c>
      <c r="AA142" s="113"/>
      <c r="AB142" s="113"/>
      <c r="AC142" s="113"/>
      <c r="AD142" s="113"/>
      <c r="AE142" s="113"/>
      <c r="AF142" s="113"/>
      <c r="AG142" s="113"/>
      <c r="AH142" s="113"/>
    </row>
    <row r="143" spans="1:34" ht="72.5">
      <c r="A143" s="30"/>
      <c r="B143" s="471"/>
      <c r="C143" s="473"/>
      <c r="D143" s="453"/>
      <c r="E143" s="462"/>
      <c r="F143" s="105" t="s">
        <v>1043</v>
      </c>
      <c r="G143" s="106" t="s">
        <v>1044</v>
      </c>
      <c r="H143" s="105" t="s">
        <v>1043</v>
      </c>
      <c r="I143" s="107" t="s">
        <v>297</v>
      </c>
      <c r="J143" s="107" t="s">
        <v>424</v>
      </c>
      <c r="K143" s="388" t="str">
        <f t="shared" si="4"/>
        <v>Dissenyar projectes d'ApS ambiental i Ciència ciutadana i projectes compartits amb entitats del territori que s'incloguin dins de l'oferta pedagògica.</v>
      </c>
      <c r="L143" s="109"/>
      <c r="M143" s="76" t="s">
        <v>58</v>
      </c>
      <c r="N143" s="76"/>
      <c r="O143" s="110" t="s">
        <v>529</v>
      </c>
      <c r="P143" s="166" t="s">
        <v>1045</v>
      </c>
      <c r="Q143" s="123" t="s">
        <v>1019</v>
      </c>
      <c r="R143" s="112"/>
      <c r="S143" s="362" t="s">
        <v>1046</v>
      </c>
      <c r="T143" s="129" t="s">
        <v>1047</v>
      </c>
      <c r="U143" s="129" t="s">
        <v>1048</v>
      </c>
      <c r="V143" s="129" t="s">
        <v>1049</v>
      </c>
      <c r="W143" s="122"/>
      <c r="X143" s="129" t="s">
        <v>2920</v>
      </c>
      <c r="Y143" s="129" t="s">
        <v>2935</v>
      </c>
      <c r="Z143" s="129" t="s">
        <v>2936</v>
      </c>
      <c r="AA143" s="113"/>
      <c r="AB143" s="113"/>
      <c r="AC143" s="113"/>
      <c r="AD143" s="113"/>
      <c r="AE143" s="113"/>
      <c r="AF143" s="113"/>
      <c r="AG143" s="113"/>
      <c r="AH143" s="113"/>
    </row>
    <row r="144" spans="1:34" ht="101.5">
      <c r="A144" s="30"/>
      <c r="B144" s="471"/>
      <c r="C144" s="473"/>
      <c r="D144" s="453"/>
      <c r="E144" s="462"/>
      <c r="F144" s="105" t="s">
        <v>1050</v>
      </c>
      <c r="G144" s="106" t="s">
        <v>1051</v>
      </c>
      <c r="H144" s="105" t="s">
        <v>1050</v>
      </c>
      <c r="I144" s="107" t="s">
        <v>297</v>
      </c>
      <c r="J144" s="107" t="s">
        <v>424</v>
      </c>
      <c r="K144" s="329" t="s">
        <v>2693</v>
      </c>
      <c r="L144" s="117" t="s">
        <v>2780</v>
      </c>
      <c r="M144" s="76" t="s">
        <v>58</v>
      </c>
      <c r="N144" s="76"/>
      <c r="O144" s="110" t="s">
        <v>301</v>
      </c>
      <c r="P144" s="166"/>
      <c r="Q144" s="123" t="s">
        <v>1019</v>
      </c>
      <c r="R144" s="112"/>
      <c r="S144" s="362" t="s">
        <v>2697</v>
      </c>
      <c r="T144" s="129" t="s">
        <v>2694</v>
      </c>
      <c r="U144" s="129" t="s">
        <v>2695</v>
      </c>
      <c r="V144" s="129" t="s">
        <v>2696</v>
      </c>
      <c r="W144" s="122"/>
      <c r="X144" s="113">
        <v>100</v>
      </c>
      <c r="Y144" s="129" t="s">
        <v>2933</v>
      </c>
      <c r="Z144" s="129" t="s">
        <v>2858</v>
      </c>
      <c r="AA144" s="113"/>
      <c r="AB144" s="113"/>
      <c r="AC144" s="113"/>
      <c r="AD144" s="113"/>
      <c r="AE144" s="113"/>
      <c r="AF144" s="113"/>
      <c r="AG144" s="113"/>
      <c r="AH144" s="113"/>
    </row>
    <row r="145" spans="1:34" ht="87">
      <c r="A145" s="30"/>
      <c r="B145" s="471"/>
      <c r="C145" s="473"/>
      <c r="D145" s="454"/>
      <c r="E145" s="441"/>
      <c r="F145" s="105" t="s">
        <v>1052</v>
      </c>
      <c r="G145" s="106" t="s">
        <v>1053</v>
      </c>
      <c r="H145" s="105" t="s">
        <v>1052</v>
      </c>
      <c r="I145" s="107" t="s">
        <v>297</v>
      </c>
      <c r="J145" s="107" t="s">
        <v>424</v>
      </c>
      <c r="K145" s="329" t="str">
        <f t="shared" si="4"/>
        <v>Oferir projectes de recerca vinculats a l'espai natural per a l'alumnat universitari i de la XEEN</v>
      </c>
      <c r="L145" s="109"/>
      <c r="M145" s="76" t="s">
        <v>58</v>
      </c>
      <c r="N145" s="76"/>
      <c r="O145" s="110" t="s">
        <v>529</v>
      </c>
      <c r="P145" s="166" t="s">
        <v>1054</v>
      </c>
      <c r="Q145" s="123" t="s">
        <v>1019</v>
      </c>
      <c r="R145" s="112"/>
      <c r="S145" s="362" t="s">
        <v>1055</v>
      </c>
      <c r="T145" s="129" t="s">
        <v>1056</v>
      </c>
      <c r="U145" s="129" t="s">
        <v>1057</v>
      </c>
      <c r="V145" s="129" t="s">
        <v>1058</v>
      </c>
      <c r="W145" s="122"/>
      <c r="X145" s="129" t="s">
        <v>2939</v>
      </c>
      <c r="Y145" s="129" t="s">
        <v>2937</v>
      </c>
      <c r="Z145" s="129" t="s">
        <v>2938</v>
      </c>
      <c r="AA145" s="113"/>
      <c r="AB145" s="113"/>
      <c r="AC145" s="113"/>
      <c r="AD145" s="113"/>
      <c r="AE145" s="113"/>
      <c r="AF145" s="113"/>
      <c r="AG145" s="113"/>
      <c r="AH145" s="113"/>
    </row>
    <row r="146" spans="1:34" ht="43.5">
      <c r="A146" s="30"/>
      <c r="B146" s="471"/>
      <c r="C146" s="473"/>
      <c r="D146" s="342"/>
      <c r="E146" s="341"/>
      <c r="F146" s="105" t="s">
        <v>1059</v>
      </c>
      <c r="G146" s="106" t="s">
        <v>1060</v>
      </c>
      <c r="H146" s="105" t="s">
        <v>1059</v>
      </c>
      <c r="I146" s="107" t="s">
        <v>297</v>
      </c>
      <c r="J146" s="107" t="s">
        <v>320</v>
      </c>
      <c r="K146" s="388" t="s">
        <v>2698</v>
      </c>
      <c r="L146" s="109" t="s">
        <v>2503</v>
      </c>
      <c r="M146" s="76" t="s">
        <v>58</v>
      </c>
      <c r="N146" s="76"/>
      <c r="O146" s="110" t="s">
        <v>301</v>
      </c>
      <c r="P146" s="166"/>
      <c r="Q146" s="123"/>
      <c r="R146" s="112"/>
      <c r="S146" s="365" t="s">
        <v>2502</v>
      </c>
      <c r="T146" s="113" t="s">
        <v>1061</v>
      </c>
      <c r="U146" s="113" t="s">
        <v>1062</v>
      </c>
      <c r="V146" s="113" t="s">
        <v>1063</v>
      </c>
      <c r="W146" s="122"/>
      <c r="X146" s="421">
        <v>300</v>
      </c>
      <c r="Y146" s="129" t="s">
        <v>2933</v>
      </c>
      <c r="Z146" s="129" t="s">
        <v>2858</v>
      </c>
      <c r="AA146" s="113"/>
      <c r="AB146" s="113"/>
      <c r="AC146" s="113"/>
      <c r="AD146" s="113"/>
      <c r="AE146" s="113"/>
      <c r="AF146" s="113"/>
      <c r="AG146" s="113"/>
      <c r="AH146" s="113"/>
    </row>
    <row r="147" spans="1:34" ht="43.5">
      <c r="A147" s="30"/>
      <c r="B147" s="471"/>
      <c r="C147" s="473"/>
      <c r="D147" s="452" t="s">
        <v>1064</v>
      </c>
      <c r="E147" s="440" t="s">
        <v>1065</v>
      </c>
      <c r="F147" s="105" t="s">
        <v>1066</v>
      </c>
      <c r="G147" s="106" t="s">
        <v>1067</v>
      </c>
      <c r="H147" s="105" t="s">
        <v>1066</v>
      </c>
      <c r="I147" s="107" t="s">
        <v>297</v>
      </c>
      <c r="J147" s="107" t="s">
        <v>320</v>
      </c>
      <c r="K147" s="329" t="s">
        <v>1068</v>
      </c>
      <c r="L147" s="117" t="s">
        <v>1069</v>
      </c>
      <c r="M147" s="76" t="s">
        <v>58</v>
      </c>
      <c r="N147" s="76"/>
      <c r="O147" s="110" t="s">
        <v>321</v>
      </c>
      <c r="P147" s="166" t="s">
        <v>1070</v>
      </c>
      <c r="Q147" s="123" t="s">
        <v>1019</v>
      </c>
      <c r="R147" s="112"/>
      <c r="S147" s="362" t="s">
        <v>1071</v>
      </c>
      <c r="T147" s="129" t="s">
        <v>1072</v>
      </c>
      <c r="U147" s="129" t="s">
        <v>1073</v>
      </c>
      <c r="V147" s="129" t="s">
        <v>1074</v>
      </c>
      <c r="W147" s="122"/>
      <c r="X147" s="113">
        <v>80</v>
      </c>
      <c r="Y147" s="129" t="s">
        <v>2933</v>
      </c>
      <c r="Z147" s="129" t="s">
        <v>2858</v>
      </c>
      <c r="AA147" s="113"/>
      <c r="AB147" s="113"/>
      <c r="AC147" s="113"/>
      <c r="AD147" s="113"/>
      <c r="AE147" s="113"/>
      <c r="AF147" s="113"/>
      <c r="AG147" s="113"/>
      <c r="AH147" s="113"/>
    </row>
    <row r="148" spans="1:34" ht="145">
      <c r="A148" s="30"/>
      <c r="B148" s="471"/>
      <c r="C148" s="473"/>
      <c r="D148" s="453"/>
      <c r="E148" s="462"/>
      <c r="F148" s="105" t="s">
        <v>1075</v>
      </c>
      <c r="G148" s="106" t="s">
        <v>1076</v>
      </c>
      <c r="H148" s="105" t="s">
        <v>1075</v>
      </c>
      <c r="I148" s="107" t="s">
        <v>297</v>
      </c>
      <c r="J148" s="107" t="s">
        <v>320</v>
      </c>
      <c r="K148" s="329" t="str">
        <f t="shared" si="4"/>
        <v>Cercar i establir col·laboracions i projectes conjunts amb agents clau del territori</v>
      </c>
      <c r="L148" s="109"/>
      <c r="M148" s="76" t="s">
        <v>58</v>
      </c>
      <c r="N148" s="76"/>
      <c r="O148" s="110" t="s">
        <v>321</v>
      </c>
      <c r="P148" s="166"/>
      <c r="Q148" s="123" t="s">
        <v>1019</v>
      </c>
      <c r="R148" s="112"/>
      <c r="S148" s="362" t="s">
        <v>2699</v>
      </c>
      <c r="T148" s="129" t="s">
        <v>2700</v>
      </c>
      <c r="U148" s="129" t="s">
        <v>2701</v>
      </c>
      <c r="V148" s="129" t="s">
        <v>2702</v>
      </c>
      <c r="W148" s="122"/>
      <c r="X148" s="129" t="s">
        <v>2940</v>
      </c>
      <c r="Y148" s="129" t="s">
        <v>2933</v>
      </c>
      <c r="Z148" s="129" t="s">
        <v>2831</v>
      </c>
      <c r="AA148" s="113"/>
      <c r="AB148" s="113"/>
      <c r="AC148" s="113"/>
      <c r="AD148" s="113"/>
      <c r="AE148" s="113"/>
      <c r="AF148" s="113"/>
      <c r="AG148" s="113"/>
      <c r="AH148" s="113"/>
    </row>
    <row r="149" spans="1:34" ht="87">
      <c r="A149" s="30"/>
      <c r="B149" s="471"/>
      <c r="C149" s="473"/>
      <c r="D149" s="454"/>
      <c r="E149" s="441"/>
      <c r="F149" s="105" t="s">
        <v>1077</v>
      </c>
      <c r="G149" s="106" t="s">
        <v>1078</v>
      </c>
      <c r="H149" s="105" t="s">
        <v>1077</v>
      </c>
      <c r="I149" s="107" t="s">
        <v>297</v>
      </c>
      <c r="J149" s="107" t="s">
        <v>320</v>
      </c>
      <c r="K149" s="329" t="str">
        <f t="shared" si="4"/>
        <v>Elaborar formacions dirigides als informadors, educadors i altres prescriptors del territori</v>
      </c>
      <c r="L149" s="109"/>
      <c r="M149" s="76" t="s">
        <v>58</v>
      </c>
      <c r="N149" s="76"/>
      <c r="O149" s="110" t="s">
        <v>321</v>
      </c>
      <c r="P149" s="166" t="s">
        <v>1079</v>
      </c>
      <c r="Q149" s="123" t="s">
        <v>1019</v>
      </c>
      <c r="R149" s="106" t="s">
        <v>1080</v>
      </c>
      <c r="S149" s="364" t="s">
        <v>1081</v>
      </c>
      <c r="T149" s="129" t="s">
        <v>2703</v>
      </c>
      <c r="U149" s="113" t="s">
        <v>1062</v>
      </c>
      <c r="V149" s="113" t="s">
        <v>1063</v>
      </c>
      <c r="W149" s="403"/>
      <c r="X149" s="129" t="s">
        <v>2941</v>
      </c>
      <c r="Y149" s="129" t="s">
        <v>2933</v>
      </c>
      <c r="Z149" s="129" t="s">
        <v>2831</v>
      </c>
      <c r="AA149" s="113"/>
      <c r="AB149" s="113"/>
      <c r="AC149" s="113"/>
      <c r="AD149" s="113"/>
      <c r="AE149" s="113"/>
      <c r="AF149" s="113"/>
      <c r="AG149" s="113"/>
      <c r="AH149" s="113"/>
    </row>
    <row r="150" spans="1:34" ht="130.5">
      <c r="A150" s="30"/>
      <c r="B150" s="471"/>
      <c r="C150" s="473"/>
      <c r="D150" s="452" t="s">
        <v>1082</v>
      </c>
      <c r="E150" s="475" t="s">
        <v>1083</v>
      </c>
      <c r="F150" s="105" t="s">
        <v>1084</v>
      </c>
      <c r="G150" s="106" t="s">
        <v>1085</v>
      </c>
      <c r="H150" s="105" t="s">
        <v>1084</v>
      </c>
      <c r="I150" s="107" t="s">
        <v>297</v>
      </c>
      <c r="J150" s="107" t="s">
        <v>320</v>
      </c>
      <c r="K150" s="329" t="s">
        <v>1086</v>
      </c>
      <c r="L150" s="109"/>
      <c r="M150" s="76" t="s">
        <v>58</v>
      </c>
      <c r="N150" s="76" t="s">
        <v>58</v>
      </c>
      <c r="O150" s="110" t="s">
        <v>349</v>
      </c>
      <c r="P150" s="166" t="s">
        <v>1087</v>
      </c>
      <c r="Q150" s="123" t="s">
        <v>1019</v>
      </c>
      <c r="R150" s="106" t="s">
        <v>1088</v>
      </c>
      <c r="S150" s="362" t="s">
        <v>1089</v>
      </c>
      <c r="T150" s="129" t="s">
        <v>1090</v>
      </c>
      <c r="U150" s="129" t="s">
        <v>1091</v>
      </c>
      <c r="V150" s="129" t="s">
        <v>1092</v>
      </c>
      <c r="W150" s="122"/>
      <c r="X150" s="113">
        <v>70</v>
      </c>
      <c r="Y150" s="129" t="s">
        <v>2933</v>
      </c>
      <c r="Z150" s="129" t="s">
        <v>2858</v>
      </c>
      <c r="AA150" s="113"/>
      <c r="AB150" s="113"/>
      <c r="AC150" s="113"/>
      <c r="AD150" s="113"/>
      <c r="AE150" s="113"/>
      <c r="AF150" s="113"/>
      <c r="AG150" s="113"/>
      <c r="AH150" s="113"/>
    </row>
    <row r="151" spans="1:34" ht="72.5">
      <c r="A151" s="30"/>
      <c r="B151" s="471"/>
      <c r="C151" s="473"/>
      <c r="D151" s="453"/>
      <c r="E151" s="462"/>
      <c r="F151" s="105" t="s">
        <v>1093</v>
      </c>
      <c r="G151" s="106" t="s">
        <v>1094</v>
      </c>
      <c r="H151" s="105" t="s">
        <v>1093</v>
      </c>
      <c r="I151" s="107" t="s">
        <v>297</v>
      </c>
      <c r="J151" s="107" t="s">
        <v>424</v>
      </c>
      <c r="K151" s="388" t="s">
        <v>1095</v>
      </c>
      <c r="L151" s="117" t="s">
        <v>1096</v>
      </c>
      <c r="M151" s="76" t="s">
        <v>58</v>
      </c>
      <c r="N151" s="76"/>
      <c r="O151" s="110" t="s">
        <v>321</v>
      </c>
      <c r="P151" s="166" t="s">
        <v>1097</v>
      </c>
      <c r="Q151" s="123" t="s">
        <v>1019</v>
      </c>
      <c r="R151" s="125"/>
      <c r="S151" s="362" t="s">
        <v>1098</v>
      </c>
      <c r="T151" s="129" t="s">
        <v>1099</v>
      </c>
      <c r="U151" s="129" t="s">
        <v>1100</v>
      </c>
      <c r="V151" s="129" t="s">
        <v>1101</v>
      </c>
      <c r="W151" s="122"/>
      <c r="X151" s="113">
        <v>40</v>
      </c>
      <c r="Y151" s="129" t="s">
        <v>2933</v>
      </c>
      <c r="Z151" s="129" t="s">
        <v>2858</v>
      </c>
      <c r="AA151" s="113"/>
      <c r="AB151" s="113"/>
      <c r="AC151" s="113"/>
      <c r="AD151" s="113"/>
      <c r="AE151" s="113"/>
      <c r="AF151" s="113"/>
      <c r="AG151" s="113"/>
      <c r="AH151" s="113"/>
    </row>
    <row r="152" spans="1:34" ht="87">
      <c r="A152" s="30"/>
      <c r="B152" s="471"/>
      <c r="C152" s="473"/>
      <c r="D152" s="453"/>
      <c r="E152" s="462"/>
      <c r="F152" s="105" t="s">
        <v>1102</v>
      </c>
      <c r="G152" s="106" t="s">
        <v>1103</v>
      </c>
      <c r="H152" s="105" t="s">
        <v>1102</v>
      </c>
      <c r="I152" s="107" t="s">
        <v>297</v>
      </c>
      <c r="J152" s="107" t="s">
        <v>424</v>
      </c>
      <c r="K152" s="329" t="str">
        <f t="shared" si="4"/>
        <v xml:space="preserve">Adaptar el programa de divulgació i sensibilització de l'ENP perquè incorpori una oferta d’activitats adequada per a altres perfils </v>
      </c>
      <c r="L152" s="109"/>
      <c r="M152" s="76"/>
      <c r="N152" s="76"/>
      <c r="O152" s="110" t="s">
        <v>349</v>
      </c>
      <c r="P152" s="166" t="s">
        <v>1104</v>
      </c>
      <c r="Q152" s="123" t="s">
        <v>1019</v>
      </c>
      <c r="R152" s="125"/>
      <c r="S152" s="362" t="s">
        <v>1105</v>
      </c>
      <c r="T152" s="129" t="s">
        <v>2704</v>
      </c>
      <c r="U152" s="129" t="s">
        <v>2705</v>
      </c>
      <c r="V152" s="129" t="s">
        <v>2706</v>
      </c>
      <c r="W152" s="122"/>
      <c r="X152" s="113">
        <v>40</v>
      </c>
      <c r="Y152" s="129" t="s">
        <v>2933</v>
      </c>
      <c r="Z152" s="129" t="s">
        <v>2858</v>
      </c>
      <c r="AA152" s="113"/>
      <c r="AB152" s="113"/>
      <c r="AC152" s="113"/>
      <c r="AD152" s="113"/>
      <c r="AE152" s="113"/>
      <c r="AF152" s="113"/>
      <c r="AG152" s="113"/>
      <c r="AH152" s="113"/>
    </row>
    <row r="153" spans="1:34" ht="72.5">
      <c r="A153" s="30"/>
      <c r="B153" s="471"/>
      <c r="C153" s="473"/>
      <c r="D153" s="454"/>
      <c r="E153" s="441"/>
      <c r="F153" s="105" t="s">
        <v>1106</v>
      </c>
      <c r="G153" s="106" t="s">
        <v>1107</v>
      </c>
      <c r="H153" s="105" t="s">
        <v>1106</v>
      </c>
      <c r="I153" s="107" t="s">
        <v>297</v>
      </c>
      <c r="J153" s="107" t="s">
        <v>424</v>
      </c>
      <c r="K153" s="329" t="str">
        <f t="shared" si="4"/>
        <v xml:space="preserve">Adaptar el programa de divulgació i sensibilització de l'ENP perquè incorpori una oferta d’activitats dirigida al lleure educatiu </v>
      </c>
      <c r="L153" s="109"/>
      <c r="M153" s="76" t="s">
        <v>58</v>
      </c>
      <c r="N153" s="114"/>
      <c r="O153" s="110" t="s">
        <v>529</v>
      </c>
      <c r="P153" s="166" t="s">
        <v>1108</v>
      </c>
      <c r="Q153" s="123" t="s">
        <v>1019</v>
      </c>
      <c r="R153" s="125"/>
      <c r="S153" s="362" t="s">
        <v>2707</v>
      </c>
      <c r="T153" s="129" t="s">
        <v>1109</v>
      </c>
      <c r="U153" s="129" t="s">
        <v>1110</v>
      </c>
      <c r="V153" s="129" t="s">
        <v>1111</v>
      </c>
      <c r="W153" s="122"/>
      <c r="X153" s="113">
        <v>40</v>
      </c>
      <c r="Y153" s="129" t="s">
        <v>2933</v>
      </c>
      <c r="Z153" s="129" t="s">
        <v>2858</v>
      </c>
      <c r="AA153" s="113"/>
      <c r="AB153" s="113"/>
      <c r="AC153" s="113"/>
      <c r="AD153" s="113"/>
      <c r="AE153" s="113"/>
      <c r="AF153" s="113"/>
      <c r="AG153" s="113"/>
      <c r="AH153" s="113"/>
    </row>
    <row r="154" spans="1:34" ht="72.5">
      <c r="A154" s="30"/>
      <c r="B154" s="471"/>
      <c r="C154" s="473"/>
      <c r="D154" s="452" t="s">
        <v>1112</v>
      </c>
      <c r="E154" s="440" t="s">
        <v>1113</v>
      </c>
      <c r="F154" s="105" t="s">
        <v>1114</v>
      </c>
      <c r="G154" s="106" t="s">
        <v>1115</v>
      </c>
      <c r="H154" s="105" t="s">
        <v>1114</v>
      </c>
      <c r="I154" s="107" t="s">
        <v>297</v>
      </c>
      <c r="J154" s="107" t="s">
        <v>320</v>
      </c>
      <c r="K154" s="329" t="s">
        <v>1116</v>
      </c>
      <c r="L154" s="109"/>
      <c r="M154" s="76" t="s">
        <v>58</v>
      </c>
      <c r="N154" s="76"/>
      <c r="O154" s="109" t="s">
        <v>321</v>
      </c>
      <c r="P154" s="378"/>
      <c r="Q154" s="123" t="s">
        <v>1019</v>
      </c>
      <c r="R154" s="106"/>
      <c r="S154" s="362" t="s">
        <v>1117</v>
      </c>
      <c r="T154" s="76" t="s">
        <v>1118</v>
      </c>
      <c r="U154" s="76" t="s">
        <v>1119</v>
      </c>
      <c r="V154" s="113" t="s">
        <v>353</v>
      </c>
      <c r="W154" s="403"/>
      <c r="X154" s="113">
        <v>65</v>
      </c>
      <c r="Y154" s="129" t="s">
        <v>2933</v>
      </c>
      <c r="Z154" s="129" t="s">
        <v>2858</v>
      </c>
      <c r="AA154" s="113"/>
      <c r="AB154" s="113"/>
      <c r="AC154" s="113"/>
      <c r="AD154" s="113"/>
      <c r="AE154" s="113"/>
      <c r="AF154" s="113"/>
      <c r="AG154" s="113"/>
      <c r="AH154" s="113"/>
    </row>
    <row r="155" spans="1:34" s="371" customFormat="1" ht="203">
      <c r="A155" s="30"/>
      <c r="B155" s="471"/>
      <c r="C155" s="473"/>
      <c r="D155" s="453"/>
      <c r="E155" s="462"/>
      <c r="F155" s="105" t="s">
        <v>1120</v>
      </c>
      <c r="G155" s="106" t="s">
        <v>1121</v>
      </c>
      <c r="H155" s="105" t="s">
        <v>1120</v>
      </c>
      <c r="I155" s="107" t="s">
        <v>297</v>
      </c>
      <c r="J155" s="107" t="s">
        <v>424</v>
      </c>
      <c r="K155" s="388" t="s">
        <v>2504</v>
      </c>
      <c r="L155" s="109" t="s">
        <v>1122</v>
      </c>
      <c r="M155" s="76" t="s">
        <v>58</v>
      </c>
      <c r="N155" s="76"/>
      <c r="O155" s="109" t="s">
        <v>321</v>
      </c>
      <c r="P155" s="378" t="s">
        <v>1123</v>
      </c>
      <c r="Q155" s="123" t="s">
        <v>1019</v>
      </c>
      <c r="R155" s="106"/>
      <c r="S155" s="362" t="s">
        <v>2505</v>
      </c>
      <c r="T155" s="76" t="s">
        <v>2807</v>
      </c>
      <c r="U155" s="76" t="s">
        <v>2808</v>
      </c>
      <c r="V155" s="129" t="s">
        <v>2809</v>
      </c>
      <c r="W155" s="409" t="s">
        <v>2787</v>
      </c>
      <c r="X155" s="129" t="s">
        <v>2942</v>
      </c>
      <c r="Y155" s="129" t="s">
        <v>2865</v>
      </c>
      <c r="Z155" s="129" t="s">
        <v>2866</v>
      </c>
      <c r="AA155" s="113"/>
      <c r="AB155" s="113"/>
      <c r="AC155" s="113"/>
      <c r="AD155" s="113"/>
      <c r="AE155" s="113"/>
      <c r="AF155" s="113"/>
      <c r="AG155" s="113"/>
      <c r="AH155" s="113"/>
    </row>
    <row r="156" spans="1:34" ht="116">
      <c r="A156" s="30"/>
      <c r="B156" s="471"/>
      <c r="C156" s="473"/>
      <c r="D156" s="453"/>
      <c r="E156" s="462"/>
      <c r="F156" s="105" t="s">
        <v>1124</v>
      </c>
      <c r="G156" s="106" t="s">
        <v>1125</v>
      </c>
      <c r="H156" s="105" t="s">
        <v>1124</v>
      </c>
      <c r="I156" s="107" t="s">
        <v>297</v>
      </c>
      <c r="J156" s="107" t="s">
        <v>424</v>
      </c>
      <c r="K156" s="329" t="str">
        <f t="shared" si="4"/>
        <v xml:space="preserve">Executar els projectes de sensibilització i formació dirigits als agents de lleure educatiu </v>
      </c>
      <c r="L156" s="109"/>
      <c r="M156" s="76" t="s">
        <v>58</v>
      </c>
      <c r="N156" s="76"/>
      <c r="O156" s="109" t="s">
        <v>321</v>
      </c>
      <c r="P156" s="362" t="s">
        <v>1126</v>
      </c>
      <c r="Q156" s="123" t="s">
        <v>1019</v>
      </c>
      <c r="R156" s="379"/>
      <c r="S156" s="362" t="s">
        <v>1127</v>
      </c>
      <c r="T156" s="76" t="s">
        <v>1128</v>
      </c>
      <c r="U156" s="76" t="s">
        <v>1129</v>
      </c>
      <c r="V156" s="129" t="s">
        <v>1130</v>
      </c>
      <c r="W156" s="122"/>
      <c r="X156" s="113">
        <v>80</v>
      </c>
      <c r="Y156" s="129" t="s">
        <v>2933</v>
      </c>
      <c r="Z156" s="129" t="s">
        <v>2864</v>
      </c>
      <c r="AA156" s="113"/>
      <c r="AB156" s="113"/>
      <c r="AC156" s="113"/>
      <c r="AD156" s="113"/>
      <c r="AE156" s="113"/>
      <c r="AF156" s="113"/>
      <c r="AG156" s="113"/>
      <c r="AH156" s="113"/>
    </row>
    <row r="157" spans="1:34" ht="72.5">
      <c r="A157" s="30"/>
      <c r="B157" s="471"/>
      <c r="C157" s="473"/>
      <c r="D157" s="453"/>
      <c r="E157" s="462"/>
      <c r="F157" s="105" t="s">
        <v>1131</v>
      </c>
      <c r="G157" s="106" t="s">
        <v>1132</v>
      </c>
      <c r="H157" s="105" t="s">
        <v>1131</v>
      </c>
      <c r="I157" s="107" t="s">
        <v>297</v>
      </c>
      <c r="J157" s="107" t="s">
        <v>424</v>
      </c>
      <c r="K157" s="329" t="str">
        <f t="shared" si="4"/>
        <v xml:space="preserve">Executar els projectes de sensibilització i formació dirigits als agents del sector primari </v>
      </c>
      <c r="L157" s="109"/>
      <c r="M157" s="76" t="s">
        <v>58</v>
      </c>
      <c r="N157" s="76"/>
      <c r="O157" s="109" t="s">
        <v>321</v>
      </c>
      <c r="P157" s="362"/>
      <c r="Q157" s="123" t="s">
        <v>1019</v>
      </c>
      <c r="R157" s="379"/>
      <c r="S157" s="362" t="s">
        <v>1133</v>
      </c>
      <c r="T157" s="76" t="s">
        <v>1134</v>
      </c>
      <c r="U157" s="76" t="s">
        <v>1135</v>
      </c>
      <c r="V157" s="129" t="s">
        <v>1136</v>
      </c>
      <c r="W157" s="122"/>
      <c r="X157" s="129" t="s">
        <v>2943</v>
      </c>
      <c r="Y157" s="129" t="s">
        <v>2867</v>
      </c>
      <c r="Z157" s="129" t="s">
        <v>2868</v>
      </c>
      <c r="AA157" s="113"/>
      <c r="AB157" s="113"/>
      <c r="AC157" s="113"/>
      <c r="AD157" s="113"/>
      <c r="AE157" s="113"/>
      <c r="AF157" s="113"/>
      <c r="AG157" s="113"/>
      <c r="AH157" s="113"/>
    </row>
    <row r="158" spans="1:34" ht="145">
      <c r="A158" s="30"/>
      <c r="B158" s="471"/>
      <c r="C158" s="473"/>
      <c r="D158" s="454"/>
      <c r="E158" s="441"/>
      <c r="F158" s="105" t="s">
        <v>1137</v>
      </c>
      <c r="G158" s="106" t="s">
        <v>1138</v>
      </c>
      <c r="H158" s="105" t="s">
        <v>1137</v>
      </c>
      <c r="I158" s="107" t="s">
        <v>297</v>
      </c>
      <c r="J158" s="107" t="s">
        <v>320</v>
      </c>
      <c r="K158" s="329" t="str">
        <f t="shared" si="4"/>
        <v>Elaborar i renovar periòdicament un programa d’educació ambiental adreçat a la població local que contribueixi a fomentar el sentiment de pertinença i la implicació en la conservació de l'ENP.</v>
      </c>
      <c r="L158" s="109"/>
      <c r="M158" s="76" t="s">
        <v>58</v>
      </c>
      <c r="N158" s="76"/>
      <c r="O158" s="109" t="s">
        <v>321</v>
      </c>
      <c r="P158" s="362" t="s">
        <v>1139</v>
      </c>
      <c r="Q158" s="123" t="s">
        <v>1019</v>
      </c>
      <c r="R158" s="106"/>
      <c r="S158" s="362" t="s">
        <v>2781</v>
      </c>
      <c r="T158" s="76" t="s">
        <v>1140</v>
      </c>
      <c r="U158" s="76" t="s">
        <v>1141</v>
      </c>
      <c r="V158" s="129" t="s">
        <v>1142</v>
      </c>
      <c r="W158" s="122"/>
      <c r="X158" s="129" t="s">
        <v>2944</v>
      </c>
      <c r="Y158" s="129" t="s">
        <v>2869</v>
      </c>
      <c r="Z158" s="129" t="s">
        <v>2870</v>
      </c>
      <c r="AA158" s="113"/>
      <c r="AB158" s="113"/>
      <c r="AC158" s="113"/>
      <c r="AD158" s="113"/>
      <c r="AE158" s="113"/>
      <c r="AF158" s="113"/>
      <c r="AG158" s="113"/>
      <c r="AH158" s="113"/>
    </row>
    <row r="159" spans="1:34" ht="203">
      <c r="A159" s="30"/>
      <c r="B159" s="471"/>
      <c r="C159" s="473"/>
      <c r="D159" s="452" t="s">
        <v>1143</v>
      </c>
      <c r="E159" s="455" t="s">
        <v>1144</v>
      </c>
      <c r="F159" s="105" t="s">
        <v>1145</v>
      </c>
      <c r="G159" s="106" t="s">
        <v>1146</v>
      </c>
      <c r="H159" s="105" t="s">
        <v>1145</v>
      </c>
      <c r="I159" s="107" t="s">
        <v>297</v>
      </c>
      <c r="J159" s="107" t="s">
        <v>320</v>
      </c>
      <c r="K159" s="329" t="s">
        <v>1147</v>
      </c>
      <c r="L159" s="117" t="s">
        <v>1148</v>
      </c>
      <c r="M159" s="76" t="s">
        <v>58</v>
      </c>
      <c r="N159" s="76"/>
      <c r="O159" s="109"/>
      <c r="P159" s="362"/>
      <c r="Q159" s="123" t="s">
        <v>1019</v>
      </c>
      <c r="R159" s="106"/>
      <c r="S159" s="362" t="s">
        <v>2506</v>
      </c>
      <c r="T159" s="76" t="s">
        <v>2782</v>
      </c>
      <c r="U159" s="76" t="s">
        <v>2783</v>
      </c>
      <c r="V159" s="129" t="s">
        <v>2784</v>
      </c>
      <c r="W159" s="409" t="s">
        <v>2785</v>
      </c>
      <c r="X159" s="129" t="s">
        <v>2946</v>
      </c>
      <c r="Y159" s="129" t="s">
        <v>2871</v>
      </c>
      <c r="Z159" s="129" t="s">
        <v>2945</v>
      </c>
      <c r="AA159" s="113"/>
      <c r="AB159" s="113"/>
      <c r="AC159" s="113"/>
      <c r="AD159" s="113"/>
      <c r="AE159" s="113"/>
      <c r="AF159" s="113"/>
      <c r="AG159" s="113"/>
      <c r="AH159" s="113"/>
    </row>
    <row r="160" spans="1:34" ht="333.5">
      <c r="A160" s="30"/>
      <c r="B160" s="471"/>
      <c r="C160" s="473"/>
      <c r="D160" s="453"/>
      <c r="E160" s="456"/>
      <c r="F160" s="105" t="s">
        <v>1149</v>
      </c>
      <c r="G160" s="106" t="s">
        <v>1150</v>
      </c>
      <c r="H160" s="105" t="s">
        <v>1149</v>
      </c>
      <c r="I160" s="107" t="s">
        <v>2994</v>
      </c>
      <c r="J160" s="107" t="s">
        <v>320</v>
      </c>
      <c r="K160" s="329" t="str">
        <f t="shared" si="4"/>
        <v>Establir un model de coordinació territorial amb agents clau del voluntariat ambiental</v>
      </c>
      <c r="L160" s="109"/>
      <c r="M160" s="76" t="s">
        <v>58</v>
      </c>
      <c r="N160" s="76"/>
      <c r="O160" s="109" t="s">
        <v>301</v>
      </c>
      <c r="P160" s="362" t="s">
        <v>1151</v>
      </c>
      <c r="Q160" s="105" t="s">
        <v>1152</v>
      </c>
      <c r="R160" s="106" t="s">
        <v>1153</v>
      </c>
      <c r="S160" s="362" t="s">
        <v>2507</v>
      </c>
      <c r="T160" s="76" t="s">
        <v>1154</v>
      </c>
      <c r="U160" s="76" t="s">
        <v>1155</v>
      </c>
      <c r="V160" s="129" t="s">
        <v>1156</v>
      </c>
      <c r="W160" s="409" t="s">
        <v>2753</v>
      </c>
      <c r="X160" s="113">
        <v>30</v>
      </c>
      <c r="Y160" s="113" t="s">
        <v>2828</v>
      </c>
      <c r="Z160" s="113" t="s">
        <v>2829</v>
      </c>
      <c r="AA160" s="113"/>
      <c r="AB160" s="113"/>
      <c r="AC160" s="113"/>
      <c r="AD160" s="113"/>
      <c r="AE160" s="113"/>
      <c r="AF160" s="113"/>
      <c r="AG160" s="113"/>
      <c r="AH160" s="113"/>
    </row>
    <row r="161" spans="1:34" ht="188.5">
      <c r="A161" s="30"/>
      <c r="B161" s="471"/>
      <c r="C161" s="473"/>
      <c r="D161" s="454"/>
      <c r="E161" s="457"/>
      <c r="F161" s="105" t="s">
        <v>1157</v>
      </c>
      <c r="G161" s="106" t="s">
        <v>1158</v>
      </c>
      <c r="H161" s="105" t="s">
        <v>1157</v>
      </c>
      <c r="I161" s="107" t="s">
        <v>297</v>
      </c>
      <c r="J161" s="107" t="s">
        <v>320</v>
      </c>
      <c r="K161" s="329" t="s">
        <v>1159</v>
      </c>
      <c r="L161" s="369" t="s">
        <v>1160</v>
      </c>
      <c r="M161" s="76" t="s">
        <v>58</v>
      </c>
      <c r="N161" s="124"/>
      <c r="O161" s="109" t="s">
        <v>301</v>
      </c>
      <c r="P161" s="362"/>
      <c r="Q161" s="105"/>
      <c r="R161" s="106"/>
      <c r="S161" s="362" t="s">
        <v>2508</v>
      </c>
      <c r="T161" s="114" t="s">
        <v>1161</v>
      </c>
      <c r="U161" s="114" t="s">
        <v>1062</v>
      </c>
      <c r="V161" s="113" t="s">
        <v>1063</v>
      </c>
      <c r="W161" s="409" t="s">
        <v>2786</v>
      </c>
      <c r="X161" s="113">
        <v>50</v>
      </c>
      <c r="Y161" s="113" t="s">
        <v>2828</v>
      </c>
      <c r="Z161" s="113" t="s">
        <v>2829</v>
      </c>
      <c r="AA161" s="113"/>
      <c r="AB161" s="113"/>
      <c r="AC161" s="113"/>
      <c r="AD161" s="113"/>
      <c r="AE161" s="113"/>
      <c r="AF161" s="113"/>
      <c r="AG161" s="113"/>
      <c r="AH161" s="113"/>
    </row>
    <row r="162" spans="1:34" ht="145">
      <c r="A162" s="30"/>
      <c r="B162" s="471"/>
      <c r="C162" s="473"/>
      <c r="D162" s="458" t="s">
        <v>1162</v>
      </c>
      <c r="E162" s="461" t="s">
        <v>1163</v>
      </c>
      <c r="F162" s="105" t="s">
        <v>1164</v>
      </c>
      <c r="G162" s="106" t="s">
        <v>1165</v>
      </c>
      <c r="H162" s="105" t="s">
        <v>1164</v>
      </c>
      <c r="I162" s="107" t="s">
        <v>297</v>
      </c>
      <c r="J162" s="107" t="s">
        <v>320</v>
      </c>
      <c r="K162" s="329" t="str">
        <f t="shared" si="4"/>
        <v>Dissenyar i adaptar activitats inclusives per a persones amb necessitats específiques</v>
      </c>
      <c r="L162" s="109"/>
      <c r="M162" s="76" t="s">
        <v>58</v>
      </c>
      <c r="N162" s="76"/>
      <c r="O162" s="109" t="s">
        <v>321</v>
      </c>
      <c r="P162" s="362"/>
      <c r="Q162" s="123" t="s">
        <v>1019</v>
      </c>
      <c r="R162" s="379"/>
      <c r="S162" s="362" t="s">
        <v>1166</v>
      </c>
      <c r="T162" s="76" t="s">
        <v>1167</v>
      </c>
      <c r="U162" s="76" t="s">
        <v>1168</v>
      </c>
      <c r="V162" s="129" t="s">
        <v>1169</v>
      </c>
      <c r="W162" s="122"/>
      <c r="X162" s="129" t="s">
        <v>2950</v>
      </c>
      <c r="Y162" s="129" t="s">
        <v>2948</v>
      </c>
      <c r="Z162" s="129" t="s">
        <v>2949</v>
      </c>
      <c r="AA162" s="113"/>
      <c r="AB162" s="113"/>
      <c r="AC162" s="113"/>
      <c r="AD162" s="113"/>
      <c r="AE162" s="113"/>
      <c r="AF162" s="113"/>
      <c r="AG162" s="113"/>
      <c r="AH162" s="113"/>
    </row>
    <row r="163" spans="1:34" ht="159.5">
      <c r="A163" s="30"/>
      <c r="B163" s="471"/>
      <c r="C163" s="473"/>
      <c r="D163" s="459"/>
      <c r="E163" s="462"/>
      <c r="F163" s="105" t="s">
        <v>1170</v>
      </c>
      <c r="G163" s="106" t="s">
        <v>1171</v>
      </c>
      <c r="H163" s="105" t="s">
        <v>1170</v>
      </c>
      <c r="I163" s="107" t="s">
        <v>297</v>
      </c>
      <c r="J163" s="107" t="s">
        <v>424</v>
      </c>
      <c r="K163" s="329" t="str">
        <f t="shared" si="4"/>
        <v>Formar el personal de l'ENP (informadors i personal que treballa de cara al públic) en accessibilitat, diversitat funcional i diversitat de gènere</v>
      </c>
      <c r="L163" s="109"/>
      <c r="M163" s="76" t="s">
        <v>58</v>
      </c>
      <c r="N163" s="76"/>
      <c r="O163" s="109" t="s">
        <v>321</v>
      </c>
      <c r="P163" s="362"/>
      <c r="Q163" s="123" t="s">
        <v>1019</v>
      </c>
      <c r="R163" s="106"/>
      <c r="S163" s="364" t="s">
        <v>1172</v>
      </c>
      <c r="T163" s="76" t="s">
        <v>1173</v>
      </c>
      <c r="U163" s="76" t="s">
        <v>1174</v>
      </c>
      <c r="V163" s="129" t="s">
        <v>1175</v>
      </c>
      <c r="W163" s="122"/>
      <c r="X163" s="113">
        <v>40</v>
      </c>
      <c r="Y163" s="129" t="s">
        <v>2947</v>
      </c>
      <c r="Z163" s="129" t="s">
        <v>2818</v>
      </c>
      <c r="AA163" s="113"/>
      <c r="AB163" s="113"/>
      <c r="AC163" s="113"/>
      <c r="AD163" s="113"/>
      <c r="AE163" s="113"/>
      <c r="AF163" s="113"/>
      <c r="AG163" s="113"/>
      <c r="AH163" s="113"/>
    </row>
    <row r="164" spans="1:34" ht="58">
      <c r="A164" s="30"/>
      <c r="B164" s="471"/>
      <c r="C164" s="473"/>
      <c r="D164" s="460"/>
      <c r="E164" s="441"/>
      <c r="F164" s="105" t="s">
        <v>1176</v>
      </c>
      <c r="G164" s="106" t="s">
        <v>1177</v>
      </c>
      <c r="H164" s="105" t="s">
        <v>1176</v>
      </c>
      <c r="I164" s="107" t="s">
        <v>297</v>
      </c>
      <c r="J164" s="107" t="s">
        <v>320</v>
      </c>
      <c r="K164" s="329" t="str">
        <f t="shared" si="4"/>
        <v>Incorporar la perspectiva de gènere als continguts i activitats de l'ENP</v>
      </c>
      <c r="L164" s="109"/>
      <c r="M164" s="76" t="s">
        <v>58</v>
      </c>
      <c r="N164" s="119"/>
      <c r="O164" s="109" t="s">
        <v>301</v>
      </c>
      <c r="P164" s="362"/>
      <c r="Q164" s="123" t="s">
        <v>1019</v>
      </c>
      <c r="R164" s="106"/>
      <c r="S164" s="364" t="s">
        <v>2509</v>
      </c>
      <c r="T164" s="76" t="s">
        <v>2510</v>
      </c>
      <c r="U164" s="76" t="s">
        <v>2511</v>
      </c>
      <c r="V164" s="376" t="s">
        <v>1178</v>
      </c>
      <c r="W164" s="122"/>
      <c r="X164" s="113">
        <v>60</v>
      </c>
      <c r="Y164" s="113" t="s">
        <v>329</v>
      </c>
      <c r="Z164" s="113" t="s">
        <v>330</v>
      </c>
      <c r="AA164" s="113"/>
      <c r="AB164" s="113"/>
      <c r="AC164" s="113"/>
      <c r="AD164" s="113"/>
      <c r="AE164" s="113"/>
      <c r="AF164" s="113"/>
      <c r="AG164" s="113"/>
      <c r="AH164" s="113"/>
    </row>
    <row r="165" spans="1:34" ht="58">
      <c r="A165" s="30"/>
      <c r="B165" s="471"/>
      <c r="C165" s="473"/>
      <c r="D165" s="458" t="s">
        <v>1179</v>
      </c>
      <c r="E165" s="476" t="s">
        <v>1180</v>
      </c>
      <c r="F165" s="105" t="s">
        <v>1181</v>
      </c>
      <c r="G165" s="106" t="s">
        <v>1182</v>
      </c>
      <c r="H165" s="105" t="s">
        <v>1181</v>
      </c>
      <c r="I165" s="107" t="s">
        <v>297</v>
      </c>
      <c r="J165" s="107" t="s">
        <v>424</v>
      </c>
      <c r="K165" s="329" t="str">
        <f t="shared" si="4"/>
        <v>Dissenyar, implementar i fomentar itineraris saludables dins dels itineraris oficials dels ENP i en la zona d'influència</v>
      </c>
      <c r="L165" s="117" t="s">
        <v>1183</v>
      </c>
      <c r="M165" s="76" t="s">
        <v>58</v>
      </c>
      <c r="N165" s="119"/>
      <c r="O165" s="109" t="s">
        <v>529</v>
      </c>
      <c r="P165" s="362" t="s">
        <v>1184</v>
      </c>
      <c r="Q165" s="123" t="s">
        <v>1019</v>
      </c>
      <c r="R165" s="106"/>
      <c r="S165" s="364" t="s">
        <v>1185</v>
      </c>
      <c r="T165" s="76" t="s">
        <v>1186</v>
      </c>
      <c r="U165" s="114" t="s">
        <v>353</v>
      </c>
      <c r="V165" s="377" t="s">
        <v>1187</v>
      </c>
      <c r="W165" s="409" t="s">
        <v>2753</v>
      </c>
      <c r="X165" s="113">
        <v>150</v>
      </c>
      <c r="Y165" s="129" t="s">
        <v>2951</v>
      </c>
      <c r="Z165" s="129" t="s">
        <v>2952</v>
      </c>
      <c r="AA165" s="113"/>
      <c r="AB165" s="113"/>
      <c r="AC165" s="113"/>
      <c r="AD165" s="113"/>
      <c r="AE165" s="113"/>
      <c r="AF165" s="113"/>
      <c r="AG165" s="113"/>
      <c r="AH165" s="113"/>
    </row>
    <row r="166" spans="1:34" ht="116">
      <c r="A166" s="30"/>
      <c r="B166" s="471"/>
      <c r="C166" s="473"/>
      <c r="D166" s="459"/>
      <c r="E166" s="462"/>
      <c r="F166" s="105" t="s">
        <v>1188</v>
      </c>
      <c r="G166" s="106" t="s">
        <v>1189</v>
      </c>
      <c r="H166" s="105" t="s">
        <v>1188</v>
      </c>
      <c r="I166" s="107" t="s">
        <v>297</v>
      </c>
      <c r="J166" s="107" t="s">
        <v>424</v>
      </c>
      <c r="K166" s="329" t="str">
        <f t="shared" si="4"/>
        <v>Identificar els agents clau i els àmbits de col·laboració per implementar el binomi salut i natura</v>
      </c>
      <c r="L166" s="109"/>
      <c r="M166" s="76" t="s">
        <v>58</v>
      </c>
      <c r="N166" s="119"/>
      <c r="O166" s="109" t="s">
        <v>321</v>
      </c>
      <c r="P166" s="368" t="s">
        <v>1190</v>
      </c>
      <c r="Q166" s="123" t="s">
        <v>1019</v>
      </c>
      <c r="R166" s="106"/>
      <c r="S166" s="364" t="s">
        <v>2985</v>
      </c>
      <c r="T166" s="76" t="s">
        <v>2998</v>
      </c>
      <c r="U166" s="76" t="s">
        <v>2999</v>
      </c>
      <c r="V166" s="129" t="s">
        <v>2999</v>
      </c>
      <c r="W166" s="122"/>
      <c r="X166" s="129" t="s">
        <v>2950</v>
      </c>
      <c r="Y166" s="129" t="s">
        <v>2872</v>
      </c>
      <c r="Z166" s="129" t="s">
        <v>2873</v>
      </c>
      <c r="AA166" s="113"/>
      <c r="AB166" s="113"/>
      <c r="AC166" s="113"/>
      <c r="AD166" s="113"/>
      <c r="AE166" s="113"/>
      <c r="AF166" s="113"/>
      <c r="AG166" s="113"/>
      <c r="AH166" s="113"/>
    </row>
    <row r="167" spans="1:34" ht="130.5">
      <c r="A167" s="30"/>
      <c r="B167" s="471"/>
      <c r="C167" s="473"/>
      <c r="D167" s="459"/>
      <c r="E167" s="462"/>
      <c r="F167" s="105" t="s">
        <v>1191</v>
      </c>
      <c r="G167" s="106" t="s">
        <v>1192</v>
      </c>
      <c r="H167" s="105" t="s">
        <v>1191</v>
      </c>
      <c r="I167" s="107" t="s">
        <v>297</v>
      </c>
      <c r="J167" s="107" t="s">
        <v>424</v>
      </c>
      <c r="K167" s="329" t="str">
        <f t="shared" si="4"/>
        <v xml:space="preserve">Incloure el concepte de salut i natura en els missatges educatius i comunicatius de l'ENP </v>
      </c>
      <c r="L167" s="109"/>
      <c r="M167" s="76" t="s">
        <v>58</v>
      </c>
      <c r="N167" s="119" t="s">
        <v>58</v>
      </c>
      <c r="O167" s="109" t="s">
        <v>321</v>
      </c>
      <c r="P167" s="362" t="s">
        <v>1193</v>
      </c>
      <c r="Q167" s="123" t="s">
        <v>1019</v>
      </c>
      <c r="R167" s="106"/>
      <c r="S167" s="364" t="s">
        <v>2512</v>
      </c>
      <c r="T167" s="76" t="s">
        <v>1194</v>
      </c>
      <c r="U167" s="76" t="s">
        <v>1195</v>
      </c>
      <c r="V167" s="129" t="s">
        <v>1196</v>
      </c>
      <c r="W167" s="122"/>
      <c r="X167" s="129" t="s">
        <v>2953</v>
      </c>
      <c r="Y167" s="129" t="s">
        <v>2872</v>
      </c>
      <c r="Z167" s="129" t="s">
        <v>2873</v>
      </c>
      <c r="AA167" s="113"/>
      <c r="AB167" s="113"/>
      <c r="AC167" s="113"/>
      <c r="AD167" s="113"/>
      <c r="AE167" s="113"/>
      <c r="AF167" s="113"/>
      <c r="AG167" s="113"/>
      <c r="AH167" s="113"/>
    </row>
    <row r="168" spans="1:34" ht="58">
      <c r="A168" s="30"/>
      <c r="B168" s="472"/>
      <c r="C168" s="474"/>
      <c r="D168" s="460"/>
      <c r="E168" s="441"/>
      <c r="F168" s="105" t="s">
        <v>1197</v>
      </c>
      <c r="G168" s="106" t="s">
        <v>1198</v>
      </c>
      <c r="H168" s="105" t="s">
        <v>1197</v>
      </c>
      <c r="I168" s="107" t="s">
        <v>297</v>
      </c>
      <c r="J168" s="107" t="s">
        <v>424</v>
      </c>
      <c r="K168" s="329" t="str">
        <f t="shared" si="4"/>
        <v>Desplegar i/o participar a les Taules territorials de Salut i Natura</v>
      </c>
      <c r="L168" s="109"/>
      <c r="M168" s="76" t="s">
        <v>58</v>
      </c>
      <c r="N168" s="119"/>
      <c r="O168" s="109" t="s">
        <v>321</v>
      </c>
      <c r="P168" s="362"/>
      <c r="Q168" s="123" t="s">
        <v>1019</v>
      </c>
      <c r="R168" s="106"/>
      <c r="S168" s="364" t="s">
        <v>2986</v>
      </c>
      <c r="T168" s="114" t="s">
        <v>1199</v>
      </c>
      <c r="U168" s="114" t="s">
        <v>1200</v>
      </c>
      <c r="V168" s="113" t="s">
        <v>1201</v>
      </c>
      <c r="W168" s="403"/>
      <c r="X168" s="113">
        <v>80</v>
      </c>
      <c r="Y168" s="129" t="s">
        <v>2947</v>
      </c>
      <c r="Z168" s="129" t="s">
        <v>364</v>
      </c>
      <c r="AA168" s="113"/>
      <c r="AB168" s="113"/>
      <c r="AC168" s="113"/>
      <c r="AD168" s="113"/>
      <c r="AE168" s="113"/>
      <c r="AF168" s="113"/>
      <c r="AG168" s="113"/>
      <c r="AH168" s="113"/>
    </row>
    <row r="169" spans="1:34" ht="217.5">
      <c r="A169" s="31"/>
      <c r="B169" s="437">
        <v>14</v>
      </c>
      <c r="C169" s="438" t="s">
        <v>1202</v>
      </c>
      <c r="D169" s="439" t="s">
        <v>1203</v>
      </c>
      <c r="E169" s="440" t="s">
        <v>1204</v>
      </c>
      <c r="F169" s="105" t="s">
        <v>1205</v>
      </c>
      <c r="G169" s="106" t="s">
        <v>1206</v>
      </c>
      <c r="H169" s="105" t="s">
        <v>1205</v>
      </c>
      <c r="I169" s="107" t="s">
        <v>297</v>
      </c>
      <c r="J169" s="107" t="s">
        <v>320</v>
      </c>
      <c r="K169" s="329" t="s">
        <v>1207</v>
      </c>
      <c r="L169" s="329" t="s">
        <v>1208</v>
      </c>
      <c r="M169" s="76" t="s">
        <v>58</v>
      </c>
      <c r="N169" s="119"/>
      <c r="O169" s="109" t="s">
        <v>321</v>
      </c>
      <c r="P169" s="364" t="s">
        <v>1209</v>
      </c>
      <c r="Q169" s="107" t="s">
        <v>1210</v>
      </c>
      <c r="R169" s="106" t="s">
        <v>1211</v>
      </c>
      <c r="S169" s="364" t="s">
        <v>2513</v>
      </c>
      <c r="T169" s="76" t="s">
        <v>1212</v>
      </c>
      <c r="U169" s="76" t="s">
        <v>1213</v>
      </c>
      <c r="V169" s="376" t="s">
        <v>1214</v>
      </c>
      <c r="W169" s="122"/>
      <c r="X169" s="113">
        <v>750</v>
      </c>
      <c r="Y169" s="129" t="s">
        <v>2874</v>
      </c>
      <c r="Z169" s="129" t="s">
        <v>2875</v>
      </c>
      <c r="AA169" s="113"/>
      <c r="AB169" s="113"/>
      <c r="AC169" s="113"/>
      <c r="AD169" s="113"/>
      <c r="AE169" s="113"/>
      <c r="AF169" s="113"/>
      <c r="AG169" s="113"/>
      <c r="AH169" s="113"/>
    </row>
    <row r="170" spans="1:34" ht="116">
      <c r="A170" s="31"/>
      <c r="B170" s="437"/>
      <c r="C170" s="438"/>
      <c r="D170" s="439"/>
      <c r="E170" s="441"/>
      <c r="F170" s="105" t="s">
        <v>1215</v>
      </c>
      <c r="G170" s="106" t="s">
        <v>1216</v>
      </c>
      <c r="H170" s="105" t="s">
        <v>1215</v>
      </c>
      <c r="I170" s="107" t="s">
        <v>297</v>
      </c>
      <c r="J170" s="107" t="s">
        <v>320</v>
      </c>
      <c r="K170" s="329" t="str">
        <f t="shared" si="4"/>
        <v>Garantir l'accessibilitat i gestió del coneixement disponible sobre l'ENP</v>
      </c>
      <c r="L170" s="109"/>
      <c r="M170" s="76" t="s">
        <v>58</v>
      </c>
      <c r="N170" s="119"/>
      <c r="O170" s="109" t="s">
        <v>321</v>
      </c>
      <c r="P170" s="364" t="s">
        <v>1217</v>
      </c>
      <c r="Q170" s="107"/>
      <c r="R170" s="106"/>
      <c r="S170" s="397" t="s">
        <v>2514</v>
      </c>
      <c r="T170" s="76" t="s">
        <v>1218</v>
      </c>
      <c r="U170" s="76" t="s">
        <v>1219</v>
      </c>
      <c r="V170" s="129" t="s">
        <v>1220</v>
      </c>
      <c r="W170" s="122"/>
      <c r="X170" s="113">
        <v>850</v>
      </c>
      <c r="Y170" s="129" t="s">
        <v>2874</v>
      </c>
      <c r="Z170" s="129" t="s">
        <v>2875</v>
      </c>
      <c r="AA170" s="113"/>
      <c r="AB170" s="113"/>
      <c r="AC170" s="113"/>
      <c r="AD170" s="113"/>
      <c r="AE170" s="113"/>
      <c r="AF170" s="113"/>
      <c r="AG170" s="113"/>
      <c r="AH170" s="113"/>
    </row>
    <row r="171" spans="1:34" ht="145">
      <c r="A171" s="31"/>
      <c r="B171" s="437"/>
      <c r="C171" s="438"/>
      <c r="D171" s="16" t="s">
        <v>1221</v>
      </c>
      <c r="E171" s="92" t="s">
        <v>1222</v>
      </c>
      <c r="F171" s="105" t="s">
        <v>1223</v>
      </c>
      <c r="G171" s="106" t="s">
        <v>1224</v>
      </c>
      <c r="H171" s="105" t="s">
        <v>1223</v>
      </c>
      <c r="I171" s="107" t="s">
        <v>297</v>
      </c>
      <c r="J171" s="107" t="s">
        <v>320</v>
      </c>
      <c r="K171" s="329" t="str">
        <f t="shared" si="4"/>
        <v>Sensibilitzar als diferents agents sobre els valors de l'ENP</v>
      </c>
      <c r="L171" s="109"/>
      <c r="M171" s="76" t="s">
        <v>58</v>
      </c>
      <c r="N171" s="119"/>
      <c r="O171" s="109" t="s">
        <v>321</v>
      </c>
      <c r="P171" s="364" t="s">
        <v>1225</v>
      </c>
      <c r="Q171" s="107"/>
      <c r="R171" s="106" t="s">
        <v>1226</v>
      </c>
      <c r="S171" s="364" t="s">
        <v>2515</v>
      </c>
      <c r="T171" s="76" t="s">
        <v>1227</v>
      </c>
      <c r="U171" s="114" t="s">
        <v>1228</v>
      </c>
      <c r="V171" s="113" t="s">
        <v>1229</v>
      </c>
      <c r="W171" s="403"/>
      <c r="X171" s="129" t="s">
        <v>2954</v>
      </c>
      <c r="Y171" s="129" t="s">
        <v>2876</v>
      </c>
      <c r="Z171" s="129" t="s">
        <v>2877</v>
      </c>
      <c r="AA171" s="113"/>
      <c r="AB171" s="113"/>
      <c r="AC171" s="113"/>
      <c r="AD171" s="113"/>
      <c r="AE171" s="113"/>
      <c r="AF171" s="113"/>
      <c r="AG171" s="113"/>
      <c r="AH171" s="113"/>
    </row>
    <row r="172" spans="1:34" ht="290">
      <c r="A172" s="31"/>
      <c r="B172" s="437"/>
      <c r="C172" s="438"/>
      <c r="D172" s="439" t="s">
        <v>1230</v>
      </c>
      <c r="E172" s="442" t="s">
        <v>1231</v>
      </c>
      <c r="F172" s="105" t="s">
        <v>1232</v>
      </c>
      <c r="G172" s="106" t="s">
        <v>1233</v>
      </c>
      <c r="H172" s="105" t="s">
        <v>1232</v>
      </c>
      <c r="I172" s="107" t="s">
        <v>297</v>
      </c>
      <c r="J172" s="107" t="s">
        <v>320</v>
      </c>
      <c r="K172" s="329" t="s">
        <v>2501</v>
      </c>
      <c r="L172" s="380"/>
      <c r="M172" s="76" t="s">
        <v>58</v>
      </c>
      <c r="N172" s="119"/>
      <c r="O172" s="109" t="s">
        <v>349</v>
      </c>
      <c r="P172" s="364" t="s">
        <v>1234</v>
      </c>
      <c r="Q172" s="107" t="s">
        <v>1210</v>
      </c>
      <c r="R172" s="106"/>
      <c r="S172" s="364" t="s">
        <v>2740</v>
      </c>
      <c r="T172" s="6" t="s">
        <v>2739</v>
      </c>
      <c r="U172" s="76" t="s">
        <v>2737</v>
      </c>
      <c r="V172" s="129" t="s">
        <v>2738</v>
      </c>
      <c r="W172" s="122"/>
      <c r="X172" s="113">
        <v>1072</v>
      </c>
      <c r="Y172" s="129" t="s">
        <v>2874</v>
      </c>
      <c r="Z172" s="129" t="s">
        <v>2875</v>
      </c>
      <c r="AA172" s="113"/>
      <c r="AB172" s="113"/>
      <c r="AC172" s="113"/>
      <c r="AD172" s="113"/>
      <c r="AE172" s="113"/>
      <c r="AF172" s="113"/>
      <c r="AG172" s="113"/>
      <c r="AH172" s="113"/>
    </row>
    <row r="173" spans="1:34" ht="159.5">
      <c r="A173" s="31"/>
      <c r="B173" s="437"/>
      <c r="C173" s="438"/>
      <c r="D173" s="439"/>
      <c r="E173" s="442"/>
      <c r="F173" s="105" t="s">
        <v>1235</v>
      </c>
      <c r="G173" s="106" t="s">
        <v>1236</v>
      </c>
      <c r="H173" s="105" t="s">
        <v>1235</v>
      </c>
      <c r="I173" s="107" t="s">
        <v>297</v>
      </c>
      <c r="J173" s="107" t="s">
        <v>320</v>
      </c>
      <c r="K173" s="388" t="str">
        <f t="shared" si="4"/>
        <v>Garantir l'harmonització de la comunicació com a Parc, Xarxa i Generalitat.</v>
      </c>
      <c r="L173" s="109"/>
      <c r="M173" s="76" t="s">
        <v>58</v>
      </c>
      <c r="N173" s="119" t="s">
        <v>58</v>
      </c>
      <c r="O173" s="109" t="s">
        <v>349</v>
      </c>
      <c r="P173" s="364" t="s">
        <v>1237</v>
      </c>
      <c r="Q173" s="107" t="s">
        <v>1210</v>
      </c>
      <c r="R173" s="106"/>
      <c r="S173" s="364" t="s">
        <v>2987</v>
      </c>
      <c r="T173" s="76" t="s">
        <v>1238</v>
      </c>
      <c r="U173" s="114" t="s">
        <v>1239</v>
      </c>
      <c r="V173" s="113" t="s">
        <v>1201</v>
      </c>
      <c r="W173" s="403"/>
      <c r="X173" s="113">
        <v>350</v>
      </c>
      <c r="Y173" s="129" t="s">
        <v>2874</v>
      </c>
      <c r="Z173" s="129" t="s">
        <v>2875</v>
      </c>
      <c r="AA173" s="113"/>
      <c r="AB173" s="113"/>
      <c r="AC173" s="113"/>
      <c r="AD173" s="113"/>
      <c r="AE173" s="113"/>
      <c r="AF173" s="113"/>
      <c r="AG173" s="113"/>
      <c r="AH173" s="113"/>
    </row>
    <row r="174" spans="1:34" ht="145">
      <c r="A174" s="24" t="s">
        <v>1240</v>
      </c>
      <c r="B174" s="443">
        <v>15</v>
      </c>
      <c r="C174" s="445" t="s">
        <v>1241</v>
      </c>
      <c r="D174" s="433" t="s">
        <v>1242</v>
      </c>
      <c r="E174" s="434" t="s">
        <v>1243</v>
      </c>
      <c r="F174" s="105" t="s">
        <v>1244</v>
      </c>
      <c r="G174" s="106" t="s">
        <v>1245</v>
      </c>
      <c r="H174" s="105" t="s">
        <v>1244</v>
      </c>
      <c r="I174" s="107" t="s">
        <v>297</v>
      </c>
      <c r="J174" s="107" t="s">
        <v>424</v>
      </c>
      <c r="K174" s="398" t="s">
        <v>1246</v>
      </c>
      <c r="L174" s="370"/>
      <c r="M174" s="76" t="s">
        <v>58</v>
      </c>
      <c r="N174" s="119"/>
      <c r="O174" s="110" t="s">
        <v>321</v>
      </c>
      <c r="P174" s="167"/>
      <c r="Q174" s="111"/>
      <c r="R174" s="115"/>
      <c r="S174" s="76" t="s">
        <v>1247</v>
      </c>
      <c r="T174" s="129" t="s">
        <v>2708</v>
      </c>
      <c r="U174" s="129" t="s">
        <v>2709</v>
      </c>
      <c r="V174" s="129" t="s">
        <v>2710</v>
      </c>
      <c r="W174" s="122"/>
      <c r="X174" s="113">
        <v>200</v>
      </c>
      <c r="Y174" s="113" t="s">
        <v>329</v>
      </c>
      <c r="Z174" s="113" t="s">
        <v>330</v>
      </c>
      <c r="AA174" s="113"/>
      <c r="AB174" s="113"/>
      <c r="AC174" s="113"/>
      <c r="AD174" s="113"/>
      <c r="AE174" s="113"/>
      <c r="AF174" s="113"/>
      <c r="AG174" s="113"/>
      <c r="AH174" s="113"/>
    </row>
    <row r="175" spans="1:34" ht="43.5">
      <c r="A175" s="24"/>
      <c r="B175" s="444"/>
      <c r="C175" s="446"/>
      <c r="D175" s="430"/>
      <c r="E175" s="432"/>
      <c r="F175" s="105" t="s">
        <v>1249</v>
      </c>
      <c r="G175" s="106" t="s">
        <v>1250</v>
      </c>
      <c r="H175" s="105" t="s">
        <v>1249</v>
      </c>
      <c r="I175" s="107" t="s">
        <v>297</v>
      </c>
      <c r="J175" s="107" t="s">
        <v>424</v>
      </c>
      <c r="K175" s="388" t="str">
        <f t="shared" ref="K175:K192" si="5">G175</f>
        <v>Disposar d'assessorament científic en l'ENP</v>
      </c>
      <c r="L175" s="109"/>
      <c r="M175" s="76" t="s">
        <v>58</v>
      </c>
      <c r="N175" s="108"/>
      <c r="O175" s="110" t="s">
        <v>349</v>
      </c>
      <c r="P175" s="167"/>
      <c r="Q175" s="111"/>
      <c r="R175" s="115"/>
      <c r="S175" s="362" t="s">
        <v>1251</v>
      </c>
      <c r="T175" s="113" t="s">
        <v>1252</v>
      </c>
      <c r="U175" s="113" t="s">
        <v>533</v>
      </c>
      <c r="V175" s="113" t="s">
        <v>1042</v>
      </c>
      <c r="W175" s="403"/>
      <c r="X175" s="129" t="s">
        <v>2955</v>
      </c>
      <c r="Y175" s="129" t="s">
        <v>2878</v>
      </c>
      <c r="Z175" s="129" t="s">
        <v>2863</v>
      </c>
      <c r="AA175" s="113"/>
      <c r="AB175" s="113"/>
      <c r="AC175" s="113"/>
      <c r="AD175" s="113"/>
      <c r="AE175" s="113"/>
      <c r="AF175" s="113"/>
      <c r="AG175" s="113"/>
      <c r="AH175" s="113"/>
    </row>
    <row r="176" spans="1:34" ht="87">
      <c r="A176" s="24"/>
      <c r="B176" s="444"/>
      <c r="C176" s="446"/>
      <c r="D176" s="430"/>
      <c r="E176" s="432"/>
      <c r="F176" s="105" t="s">
        <v>1253</v>
      </c>
      <c r="G176" s="106" t="s">
        <v>1254</v>
      </c>
      <c r="H176" s="105" t="s">
        <v>1253</v>
      </c>
      <c r="I176" s="107" t="s">
        <v>297</v>
      </c>
      <c r="J176" s="107" t="s">
        <v>424</v>
      </c>
      <c r="K176" s="329" t="str">
        <f t="shared" si="5"/>
        <v>Incloure entitats i organismes científics i culturals de referència en els mecanismes de presa de decisions de l'ENP</v>
      </c>
      <c r="L176" s="109"/>
      <c r="M176" s="76" t="s">
        <v>58</v>
      </c>
      <c r="N176" s="108"/>
      <c r="O176" s="110" t="s">
        <v>349</v>
      </c>
      <c r="P176" s="167" t="s">
        <v>1255</v>
      </c>
      <c r="Q176" s="111"/>
      <c r="R176" s="115"/>
      <c r="S176" s="365" t="s">
        <v>2711</v>
      </c>
      <c r="T176" s="129" t="s">
        <v>1256</v>
      </c>
      <c r="U176" s="113" t="s">
        <v>1257</v>
      </c>
      <c r="V176" s="113" t="s">
        <v>1258</v>
      </c>
      <c r="W176" s="403"/>
      <c r="X176" s="113">
        <v>150</v>
      </c>
      <c r="Y176" s="113" t="s">
        <v>329</v>
      </c>
      <c r="Z176" s="113" t="s">
        <v>330</v>
      </c>
      <c r="AA176" s="113"/>
      <c r="AB176" s="113"/>
      <c r="AC176" s="113"/>
      <c r="AD176" s="113"/>
      <c r="AE176" s="113"/>
      <c r="AF176" s="113"/>
      <c r="AG176" s="113"/>
      <c r="AH176" s="113"/>
    </row>
    <row r="177" spans="1:34" ht="101.5">
      <c r="A177" s="24"/>
      <c r="B177" s="444"/>
      <c r="C177" s="446"/>
      <c r="D177" s="447"/>
      <c r="E177" s="448"/>
      <c r="F177" s="105" t="s">
        <v>1259</v>
      </c>
      <c r="G177" s="106" t="s">
        <v>1260</v>
      </c>
      <c r="H177" s="105" t="s">
        <v>1259</v>
      </c>
      <c r="I177" s="107" t="s">
        <v>297</v>
      </c>
      <c r="J177" s="107" t="s">
        <v>320</v>
      </c>
      <c r="K177" s="388" t="str">
        <f t="shared" si="5"/>
        <v>Adaptar i desplegar el model de governança dels espais naturals protegits</v>
      </c>
      <c r="L177" s="109"/>
      <c r="M177" s="76" t="s">
        <v>58</v>
      </c>
      <c r="N177" s="108"/>
      <c r="O177" s="110" t="s">
        <v>301</v>
      </c>
      <c r="P177" s="167" t="s">
        <v>1261</v>
      </c>
      <c r="Q177" s="111"/>
      <c r="R177" s="106" t="s">
        <v>1262</v>
      </c>
      <c r="S177" s="364" t="s">
        <v>2712</v>
      </c>
      <c r="T177" s="129" t="s">
        <v>2713</v>
      </c>
      <c r="U177" s="113" t="s">
        <v>2714</v>
      </c>
      <c r="V177" s="113" t="s">
        <v>2715</v>
      </c>
      <c r="W177" s="409" t="s">
        <v>2769</v>
      </c>
      <c r="X177" s="113">
        <v>300</v>
      </c>
      <c r="Y177" s="113" t="s">
        <v>329</v>
      </c>
      <c r="Z177" s="113" t="s">
        <v>330</v>
      </c>
      <c r="AA177" s="113"/>
      <c r="AB177" s="113"/>
      <c r="AC177" s="113"/>
      <c r="AD177" s="113"/>
      <c r="AE177" s="113"/>
      <c r="AF177" s="113"/>
      <c r="AG177" s="113"/>
      <c r="AH177" s="113"/>
    </row>
    <row r="178" spans="1:34" ht="116">
      <c r="A178" s="24"/>
      <c r="B178" s="73">
        <v>16</v>
      </c>
      <c r="C178" s="70" t="s">
        <v>1263</v>
      </c>
      <c r="D178" s="22" t="s">
        <v>1264</v>
      </c>
      <c r="E178" s="93" t="s">
        <v>1265</v>
      </c>
      <c r="F178" s="105" t="s">
        <v>1266</v>
      </c>
      <c r="G178" s="106" t="s">
        <v>1267</v>
      </c>
      <c r="H178" s="105" t="s">
        <v>1266</v>
      </c>
      <c r="I178" s="107" t="s">
        <v>297</v>
      </c>
      <c r="J178" s="107" t="s">
        <v>320</v>
      </c>
      <c r="K178" s="329" t="s">
        <v>1268</v>
      </c>
      <c r="L178" s="109" t="s">
        <v>1269</v>
      </c>
      <c r="M178" s="76" t="s">
        <v>58</v>
      </c>
      <c r="N178" s="119"/>
      <c r="O178" s="110" t="s">
        <v>301</v>
      </c>
      <c r="P178" s="167" t="s">
        <v>1270</v>
      </c>
      <c r="Q178" s="111"/>
      <c r="R178" s="115" t="s">
        <v>1271</v>
      </c>
      <c r="S178" s="76" t="s">
        <v>1272</v>
      </c>
      <c r="T178" s="129" t="s">
        <v>1273</v>
      </c>
      <c r="U178" s="129" t="s">
        <v>1274</v>
      </c>
      <c r="V178" s="129" t="s">
        <v>1274</v>
      </c>
      <c r="W178" s="409" t="s">
        <v>2769</v>
      </c>
      <c r="X178" s="113">
        <v>800</v>
      </c>
      <c r="Y178" s="129" t="s">
        <v>2879</v>
      </c>
      <c r="Z178" s="129" t="s">
        <v>2880</v>
      </c>
      <c r="AA178" s="113"/>
      <c r="AB178" s="113"/>
      <c r="AC178" s="113"/>
      <c r="AD178" s="113"/>
      <c r="AE178" s="113"/>
      <c r="AF178" s="113"/>
      <c r="AG178" s="113"/>
      <c r="AH178" s="113"/>
    </row>
    <row r="179" spans="1:34" ht="116">
      <c r="A179" s="72"/>
      <c r="B179" s="74"/>
      <c r="C179" s="71"/>
      <c r="D179" s="429" t="s">
        <v>1275</v>
      </c>
      <c r="E179" s="431" t="s">
        <v>1276</v>
      </c>
      <c r="F179" s="105" t="s">
        <v>1277</v>
      </c>
      <c r="G179" s="106" t="s">
        <v>1278</v>
      </c>
      <c r="H179" s="105" t="s">
        <v>1277</v>
      </c>
      <c r="I179" s="107" t="s">
        <v>297</v>
      </c>
      <c r="J179" s="107" t="s">
        <v>320</v>
      </c>
      <c r="K179" s="329" t="str">
        <f t="shared" si="5"/>
        <v>Planificar, detectar les necessitats de contractació del l'ENP per a l'optimització dels contractes a nivell de Xarxa i gestionar els contractes</v>
      </c>
      <c r="L179" s="109"/>
      <c r="M179" s="76" t="s">
        <v>58</v>
      </c>
      <c r="N179" s="119"/>
      <c r="O179" s="110" t="s">
        <v>301</v>
      </c>
      <c r="P179" s="167" t="s">
        <v>1279</v>
      </c>
      <c r="Q179" s="111"/>
      <c r="R179" s="112" t="s">
        <v>1280</v>
      </c>
      <c r="S179" s="76" t="s">
        <v>1281</v>
      </c>
      <c r="T179" s="129" t="s">
        <v>1282</v>
      </c>
      <c r="U179" s="129" t="s">
        <v>1274</v>
      </c>
      <c r="V179" s="129" t="s">
        <v>1283</v>
      </c>
      <c r="W179" s="409" t="s">
        <v>2769</v>
      </c>
      <c r="X179" s="113">
        <v>700</v>
      </c>
      <c r="Y179" s="129" t="s">
        <v>2879</v>
      </c>
      <c r="Z179" s="129" t="s">
        <v>2880</v>
      </c>
      <c r="AA179" s="113"/>
      <c r="AB179" s="113"/>
      <c r="AC179" s="113"/>
      <c r="AD179" s="113"/>
      <c r="AE179" s="113"/>
      <c r="AF179" s="113"/>
      <c r="AG179" s="113"/>
      <c r="AH179" s="113"/>
    </row>
    <row r="180" spans="1:34" ht="101.5">
      <c r="A180" s="72"/>
      <c r="B180" s="74"/>
      <c r="C180" s="71"/>
      <c r="D180" s="430"/>
      <c r="E180" s="432"/>
      <c r="F180" s="105" t="s">
        <v>1284</v>
      </c>
      <c r="G180" s="106" t="s">
        <v>1285</v>
      </c>
      <c r="H180" s="105" t="s">
        <v>1284</v>
      </c>
      <c r="I180" s="107" t="s">
        <v>297</v>
      </c>
      <c r="J180" s="107" t="s">
        <v>320</v>
      </c>
      <c r="K180" s="329" t="str">
        <f t="shared" si="5"/>
        <v>Planificar i gestionar els ajuts</v>
      </c>
      <c r="L180" s="109"/>
      <c r="M180" s="76" t="s">
        <v>58</v>
      </c>
      <c r="N180" s="119"/>
      <c r="O180" s="110" t="s">
        <v>321</v>
      </c>
      <c r="P180" s="169" t="s">
        <v>1286</v>
      </c>
      <c r="Q180" s="111"/>
      <c r="R180" s="112"/>
      <c r="S180" s="76" t="s">
        <v>1287</v>
      </c>
      <c r="T180" s="129" t="s">
        <v>1288</v>
      </c>
      <c r="U180" s="129" t="s">
        <v>1289</v>
      </c>
      <c r="V180" s="129" t="s">
        <v>1290</v>
      </c>
      <c r="W180" s="409" t="s">
        <v>2769</v>
      </c>
      <c r="X180" s="113">
        <v>400</v>
      </c>
      <c r="Y180" s="129" t="s">
        <v>2879</v>
      </c>
      <c r="Z180" s="129" t="s">
        <v>2880</v>
      </c>
      <c r="AA180" s="113"/>
      <c r="AB180" s="113"/>
      <c r="AC180" s="113"/>
      <c r="AD180" s="113"/>
      <c r="AE180" s="113"/>
      <c r="AF180" s="113"/>
      <c r="AG180" s="113"/>
      <c r="AH180" s="113"/>
    </row>
    <row r="181" spans="1:34" ht="87">
      <c r="A181" s="72"/>
      <c r="B181" s="74"/>
      <c r="C181" s="71"/>
      <c r="D181" s="430"/>
      <c r="E181" s="432"/>
      <c r="F181" s="105" t="s">
        <v>1291</v>
      </c>
      <c r="G181" s="106" t="s">
        <v>1292</v>
      </c>
      <c r="H181" s="105" t="s">
        <v>1291</v>
      </c>
      <c r="I181" s="107" t="s">
        <v>297</v>
      </c>
      <c r="J181" s="107" t="s">
        <v>320</v>
      </c>
      <c r="K181" s="329" t="str">
        <f t="shared" si="5"/>
        <v>Establir i renovar en temps i forma convenis de col·laboració, convenis marc, acords, protocols i altres instruments de col·laboració.</v>
      </c>
      <c r="L181" s="109"/>
      <c r="M181" s="76" t="s">
        <v>58</v>
      </c>
      <c r="N181" s="119" t="s">
        <v>58</v>
      </c>
      <c r="O181" s="110"/>
      <c r="P181" s="169" t="s">
        <v>1293</v>
      </c>
      <c r="Q181" s="111"/>
      <c r="R181" s="115" t="s">
        <v>1294</v>
      </c>
      <c r="S181" s="76" t="s">
        <v>2788</v>
      </c>
      <c r="T181" s="129" t="s">
        <v>1295</v>
      </c>
      <c r="U181" s="129" t="s">
        <v>2716</v>
      </c>
      <c r="V181" s="129" t="s">
        <v>2717</v>
      </c>
      <c r="W181" s="409" t="s">
        <v>2753</v>
      </c>
      <c r="X181" s="129" t="s">
        <v>2956</v>
      </c>
      <c r="Y181" s="129" t="s">
        <v>2878</v>
      </c>
      <c r="Z181" s="129" t="s">
        <v>2863</v>
      </c>
      <c r="AA181" s="113"/>
      <c r="AB181" s="113"/>
      <c r="AC181" s="113"/>
      <c r="AD181" s="113"/>
      <c r="AE181" s="113"/>
      <c r="AF181" s="113"/>
      <c r="AG181" s="113"/>
      <c r="AH181" s="113"/>
    </row>
    <row r="182" spans="1:34" ht="116">
      <c r="A182" s="72"/>
      <c r="B182" s="74"/>
      <c r="C182" s="71"/>
      <c r="D182" s="68" t="s">
        <v>1296</v>
      </c>
      <c r="E182" s="94" t="s">
        <v>1297</v>
      </c>
      <c r="F182" s="105" t="s">
        <v>1298</v>
      </c>
      <c r="G182" s="106" t="s">
        <v>1299</v>
      </c>
      <c r="H182" s="105" t="s">
        <v>1298</v>
      </c>
      <c r="I182" s="107" t="s">
        <v>297</v>
      </c>
      <c r="J182" s="107" t="s">
        <v>320</v>
      </c>
      <c r="K182" s="329" t="s">
        <v>1300</v>
      </c>
      <c r="L182" s="117" t="s">
        <v>2791</v>
      </c>
      <c r="M182" s="76" t="s">
        <v>58</v>
      </c>
      <c r="N182" s="119"/>
      <c r="O182" s="110" t="s">
        <v>321</v>
      </c>
      <c r="P182" s="169" t="s">
        <v>1301</v>
      </c>
      <c r="Q182" s="111"/>
      <c r="R182" s="112"/>
      <c r="S182" s="364" t="s">
        <v>2789</v>
      </c>
      <c r="T182" s="129" t="s">
        <v>2790</v>
      </c>
      <c r="U182" s="129" t="s">
        <v>977</v>
      </c>
      <c r="V182" s="129">
        <v>0</v>
      </c>
      <c r="W182" s="122"/>
      <c r="X182" s="129">
        <v>80</v>
      </c>
      <c r="Y182" s="129" t="s">
        <v>329</v>
      </c>
      <c r="Z182" s="129" t="s">
        <v>330</v>
      </c>
      <c r="AA182" s="129"/>
      <c r="AB182" s="129"/>
      <c r="AC182" s="129"/>
      <c r="AD182" s="129"/>
      <c r="AE182" s="129"/>
      <c r="AF182" s="129"/>
      <c r="AG182" s="129"/>
      <c r="AH182" s="129"/>
    </row>
    <row r="183" spans="1:34" ht="43.5">
      <c r="A183" s="72"/>
      <c r="B183" s="74"/>
      <c r="C183" s="71"/>
      <c r="D183" s="69"/>
      <c r="E183" s="95"/>
      <c r="F183" s="105" t="s">
        <v>1302</v>
      </c>
      <c r="G183" s="106" t="s">
        <v>1303</v>
      </c>
      <c r="H183" s="105" t="s">
        <v>1302</v>
      </c>
      <c r="I183" s="107" t="s">
        <v>297</v>
      </c>
      <c r="J183" s="107" t="s">
        <v>320</v>
      </c>
      <c r="K183" s="329" t="str">
        <f t="shared" si="5"/>
        <v>Adequar i actualitzar els procediments i tramitacions realitzats des de l'ENP als nous processos i eines conjuntes proposades des de Serveis Centrals</v>
      </c>
      <c r="L183" s="109"/>
      <c r="M183" s="76" t="s">
        <v>58</v>
      </c>
      <c r="N183" s="119" t="s">
        <v>58</v>
      </c>
      <c r="O183" s="110" t="s">
        <v>321</v>
      </c>
      <c r="P183" s="167" t="s">
        <v>1304</v>
      </c>
      <c r="Q183" s="111"/>
      <c r="R183" s="115" t="s">
        <v>1305</v>
      </c>
      <c r="S183" s="362" t="s">
        <v>2718</v>
      </c>
      <c r="T183" s="113" t="s">
        <v>2719</v>
      </c>
      <c r="U183" s="113" t="s">
        <v>533</v>
      </c>
      <c r="V183" s="113" t="s">
        <v>1062</v>
      </c>
      <c r="W183" s="403"/>
      <c r="X183" s="129" t="s">
        <v>2958</v>
      </c>
      <c r="Y183" s="129" t="s">
        <v>2878</v>
      </c>
      <c r="Z183" s="129" t="s">
        <v>2957</v>
      </c>
      <c r="AA183" s="113"/>
      <c r="AB183" s="113"/>
      <c r="AC183" s="113"/>
      <c r="AD183" s="113"/>
      <c r="AE183" s="113"/>
      <c r="AF183" s="113"/>
      <c r="AG183" s="113"/>
      <c r="AH183" s="113"/>
    </row>
    <row r="184" spans="1:34" ht="145">
      <c r="A184" s="72"/>
      <c r="B184" s="74"/>
      <c r="C184" s="71"/>
      <c r="D184" s="69"/>
      <c r="E184" s="95"/>
      <c r="F184" s="105" t="s">
        <v>1306</v>
      </c>
      <c r="G184" s="106" t="s">
        <v>1307</v>
      </c>
      <c r="H184" s="105" t="s">
        <v>1306</v>
      </c>
      <c r="I184" s="107" t="s">
        <v>297</v>
      </c>
      <c r="J184" s="107" t="s">
        <v>320</v>
      </c>
      <c r="K184" s="329" t="str">
        <f t="shared" si="5"/>
        <v>Augmentar el coneixement de l'equip de treball en matèria de procediment administratiu</v>
      </c>
      <c r="L184" s="109"/>
      <c r="M184" s="76" t="s">
        <v>58</v>
      </c>
      <c r="N184" s="76"/>
      <c r="O184" s="110" t="s">
        <v>321</v>
      </c>
      <c r="P184" s="167" t="s">
        <v>1308</v>
      </c>
      <c r="Q184" s="111"/>
      <c r="R184" s="112"/>
      <c r="S184" s="76" t="s">
        <v>1309</v>
      </c>
      <c r="T184" s="129" t="s">
        <v>1310</v>
      </c>
      <c r="U184" s="129" t="s">
        <v>2720</v>
      </c>
      <c r="V184" s="129" t="s">
        <v>2721</v>
      </c>
      <c r="W184" s="122"/>
      <c r="X184" s="113">
        <v>500</v>
      </c>
      <c r="Y184" s="129" t="s">
        <v>2879</v>
      </c>
      <c r="Z184" s="129" t="s">
        <v>2880</v>
      </c>
      <c r="AA184" s="113"/>
      <c r="AB184" s="113"/>
      <c r="AC184" s="113"/>
      <c r="AD184" s="113"/>
      <c r="AE184" s="113"/>
      <c r="AF184" s="113"/>
      <c r="AG184" s="113"/>
      <c r="AH184" s="113"/>
    </row>
    <row r="185" spans="1:34" ht="58">
      <c r="A185" s="72"/>
      <c r="B185" s="74"/>
      <c r="C185" s="71"/>
      <c r="D185" s="69"/>
      <c r="E185" s="95"/>
      <c r="F185" s="105" t="s">
        <v>1311</v>
      </c>
      <c r="G185" s="106" t="s">
        <v>1312</v>
      </c>
      <c r="H185" s="105" t="s">
        <v>1311</v>
      </c>
      <c r="I185" s="107" t="s">
        <v>347</v>
      </c>
      <c r="J185" s="107" t="s">
        <v>320</v>
      </c>
      <c r="K185" s="329" t="str">
        <f t="shared" si="5"/>
        <v>Garantir la transparència administrativa</v>
      </c>
      <c r="L185" s="109"/>
      <c r="M185" s="76" t="s">
        <v>58</v>
      </c>
      <c r="N185" s="76"/>
      <c r="O185" s="110" t="s">
        <v>321</v>
      </c>
      <c r="P185" s="167" t="s">
        <v>1313</v>
      </c>
      <c r="Q185" s="111"/>
      <c r="R185" s="112"/>
      <c r="S185" s="368" t="s">
        <v>2722</v>
      </c>
      <c r="T185" s="129" t="s">
        <v>2723</v>
      </c>
      <c r="U185" s="129" t="s">
        <v>2649</v>
      </c>
      <c r="V185" s="129" t="s">
        <v>2724</v>
      </c>
      <c r="W185" s="122"/>
      <c r="X185" s="113">
        <v>400</v>
      </c>
      <c r="Y185" s="113" t="s">
        <v>1314</v>
      </c>
      <c r="Z185" s="129" t="s">
        <v>1315</v>
      </c>
      <c r="AA185" s="113"/>
      <c r="AB185" s="113"/>
      <c r="AC185" s="113"/>
      <c r="AD185" s="113"/>
      <c r="AE185" s="113"/>
      <c r="AF185" s="113"/>
      <c r="AG185" s="113"/>
      <c r="AH185" s="113"/>
    </row>
    <row r="186" spans="1:34" ht="87">
      <c r="A186" s="72"/>
      <c r="B186" s="74"/>
      <c r="C186" s="71"/>
      <c r="D186" s="42"/>
      <c r="E186" s="96"/>
      <c r="F186" s="105" t="s">
        <v>1316</v>
      </c>
      <c r="G186" s="106" t="s">
        <v>1317</v>
      </c>
      <c r="H186" s="105" t="s">
        <v>1316</v>
      </c>
      <c r="I186" s="107" t="s">
        <v>297</v>
      </c>
      <c r="J186" s="107" t="s">
        <v>424</v>
      </c>
      <c r="K186" s="329" t="str">
        <f t="shared" si="5"/>
        <v>Millorar i mantenir el material, infraestructures i equipaments de gestió de l'espai</v>
      </c>
      <c r="L186" s="109"/>
      <c r="M186" s="76" t="s">
        <v>58</v>
      </c>
      <c r="N186" s="76"/>
      <c r="O186" s="110"/>
      <c r="P186" s="167" t="s">
        <v>1318</v>
      </c>
      <c r="Q186" s="111"/>
      <c r="R186" s="106"/>
      <c r="S186" s="76" t="s">
        <v>2792</v>
      </c>
      <c r="T186" s="129" t="s">
        <v>2725</v>
      </c>
      <c r="U186" s="129" t="s">
        <v>2726</v>
      </c>
      <c r="V186" s="129" t="s">
        <v>2727</v>
      </c>
      <c r="W186" s="409" t="s">
        <v>2753</v>
      </c>
      <c r="X186" s="113">
        <v>600</v>
      </c>
      <c r="Y186" s="129" t="s">
        <v>2879</v>
      </c>
      <c r="Z186" s="129" t="s">
        <v>2880</v>
      </c>
      <c r="AA186" s="113"/>
      <c r="AB186" s="113"/>
      <c r="AC186" s="113"/>
      <c r="AD186" s="113"/>
      <c r="AE186" s="113"/>
      <c r="AF186" s="113"/>
      <c r="AG186" s="113"/>
      <c r="AH186" s="113"/>
    </row>
    <row r="187" spans="1:34" s="1" customFormat="1" ht="87">
      <c r="A187" s="72"/>
      <c r="B187" s="74"/>
      <c r="C187" s="71"/>
      <c r="D187" s="433" t="s">
        <v>1319</v>
      </c>
      <c r="E187" s="434" t="s">
        <v>1320</v>
      </c>
      <c r="F187" s="105" t="s">
        <v>1321</v>
      </c>
      <c r="G187" s="106" t="s">
        <v>1322</v>
      </c>
      <c r="H187" s="105" t="s">
        <v>1321</v>
      </c>
      <c r="I187" s="107" t="s">
        <v>297</v>
      </c>
      <c r="J187" s="107" t="s">
        <v>320</v>
      </c>
      <c r="K187" s="329" t="str">
        <f t="shared" si="5"/>
        <v>Revisar l’estat dels béns patrimonials i la situació administrativa-legal dels equipaments del parc</v>
      </c>
      <c r="L187" s="109"/>
      <c r="M187" s="76" t="s">
        <v>58</v>
      </c>
      <c r="N187" s="76" t="s">
        <v>79</v>
      </c>
      <c r="O187" s="110" t="s">
        <v>321</v>
      </c>
      <c r="P187" s="167" t="s">
        <v>1323</v>
      </c>
      <c r="Q187" s="111"/>
      <c r="R187" s="115" t="s">
        <v>1324</v>
      </c>
      <c r="S187" s="76" t="s">
        <v>2793</v>
      </c>
      <c r="T187" s="129" t="s">
        <v>1325</v>
      </c>
      <c r="U187" s="129" t="s">
        <v>1289</v>
      </c>
      <c r="V187" s="129" t="s">
        <v>1326</v>
      </c>
      <c r="W187" s="122"/>
      <c r="X187" s="113">
        <v>100</v>
      </c>
      <c r="Y187" s="113" t="s">
        <v>329</v>
      </c>
      <c r="Z187" s="113" t="s">
        <v>330</v>
      </c>
      <c r="AA187" s="113"/>
      <c r="AB187" s="113"/>
      <c r="AC187" s="113"/>
      <c r="AD187" s="113"/>
      <c r="AE187" s="113"/>
      <c r="AF187" s="113"/>
      <c r="AG187" s="113"/>
      <c r="AH187" s="113"/>
    </row>
    <row r="188" spans="1:34" ht="362.5">
      <c r="A188" s="72"/>
      <c r="B188" s="74"/>
      <c r="C188" s="71"/>
      <c r="D188" s="430"/>
      <c r="E188" s="432"/>
      <c r="F188" s="105" t="s">
        <v>1327</v>
      </c>
      <c r="G188" s="106" t="s">
        <v>1328</v>
      </c>
      <c r="H188" s="105" t="s">
        <v>1327</v>
      </c>
      <c r="I188" s="107" t="s">
        <v>297</v>
      </c>
      <c r="J188" s="107" t="s">
        <v>320</v>
      </c>
      <c r="K188" s="329" t="str">
        <f t="shared" si="5"/>
        <v>Tenir cobertes les pèrdues o danys materials del patrimoni de la Direcció General que hi ha a l'àmbit territorial del Parc, com a conseqüència de la materialització de qualsevol dels riscs emparats en el plec de prescripcions tècniques de la pòlissa.</v>
      </c>
      <c r="L188" s="117" t="s">
        <v>2728</v>
      </c>
      <c r="M188" s="76" t="s">
        <v>79</v>
      </c>
      <c r="N188" s="76" t="s">
        <v>58</v>
      </c>
      <c r="O188" s="110"/>
      <c r="P188" s="167" t="s">
        <v>1329</v>
      </c>
      <c r="Q188" s="111"/>
      <c r="R188" s="115" t="s">
        <v>1330</v>
      </c>
      <c r="T188" s="113"/>
      <c r="U188" s="113"/>
      <c r="V188" s="113"/>
      <c r="W188" s="410" t="s">
        <v>2794</v>
      </c>
      <c r="X188" s="113"/>
      <c r="Y188" s="113"/>
      <c r="Z188" s="113"/>
      <c r="AA188" s="113"/>
      <c r="AB188" s="113"/>
      <c r="AC188" s="113"/>
      <c r="AD188" s="113"/>
      <c r="AE188" s="113"/>
      <c r="AF188" s="113"/>
      <c r="AG188" s="113"/>
      <c r="AH188" s="113"/>
    </row>
    <row r="189" spans="1:34" ht="217.5">
      <c r="A189" s="72"/>
      <c r="B189" s="74"/>
      <c r="C189" s="71"/>
      <c r="D189" s="23" t="s">
        <v>1331</v>
      </c>
      <c r="E189" s="97" t="s">
        <v>1332</v>
      </c>
      <c r="F189" s="105" t="s">
        <v>1333</v>
      </c>
      <c r="G189" s="106" t="s">
        <v>1334</v>
      </c>
      <c r="H189" s="105" t="s">
        <v>1333</v>
      </c>
      <c r="I189" s="107" t="s">
        <v>297</v>
      </c>
      <c r="J189" s="107" t="s">
        <v>320</v>
      </c>
      <c r="K189" s="399" t="str">
        <f>G189</f>
        <v>Millorar l'accessibilitat i de la gestió documental i digital de l'ENP</v>
      </c>
      <c r="L189" s="109"/>
      <c r="M189" s="76" t="s">
        <v>58</v>
      </c>
      <c r="N189" s="76"/>
      <c r="O189" s="110"/>
      <c r="P189" s="166" t="s">
        <v>1335</v>
      </c>
      <c r="Q189" s="111"/>
      <c r="R189" s="112" t="s">
        <v>1336</v>
      </c>
      <c r="S189" s="354" t="s">
        <v>2743</v>
      </c>
      <c r="T189" s="129" t="s">
        <v>2744</v>
      </c>
      <c r="U189" s="129" t="s">
        <v>2741</v>
      </c>
      <c r="V189" s="129" t="s">
        <v>2742</v>
      </c>
      <c r="W189" s="407" t="s">
        <v>2753</v>
      </c>
      <c r="X189" s="113">
        <v>800</v>
      </c>
      <c r="Y189" s="113" t="s">
        <v>2881</v>
      </c>
      <c r="Z189" s="113" t="s">
        <v>1315</v>
      </c>
      <c r="AA189" s="113"/>
      <c r="AB189" s="113"/>
      <c r="AC189" s="113"/>
      <c r="AD189" s="113"/>
      <c r="AE189" s="113"/>
      <c r="AF189" s="113"/>
      <c r="AG189" s="113"/>
      <c r="AH189" s="113"/>
    </row>
    <row r="190" spans="1:34" ht="72.5">
      <c r="A190" s="72"/>
      <c r="B190" s="74"/>
      <c r="C190" s="71"/>
      <c r="D190" s="429" t="s">
        <v>1337</v>
      </c>
      <c r="E190" s="435" t="s">
        <v>1338</v>
      </c>
      <c r="F190" s="105" t="s">
        <v>1339</v>
      </c>
      <c r="G190" s="106" t="s">
        <v>1340</v>
      </c>
      <c r="H190" s="105" t="s">
        <v>1339</v>
      </c>
      <c r="I190" s="107" t="s">
        <v>347</v>
      </c>
      <c r="J190" s="107" t="s">
        <v>320</v>
      </c>
      <c r="K190" s="329" t="str">
        <f t="shared" si="5"/>
        <v>Gestió de la brigada de manteniment</v>
      </c>
      <c r="L190" s="109"/>
      <c r="M190" s="76" t="s">
        <v>58</v>
      </c>
      <c r="N190" s="76"/>
      <c r="O190" s="110" t="s">
        <v>301</v>
      </c>
      <c r="P190" s="166"/>
      <c r="Q190" s="111"/>
      <c r="R190" s="112"/>
      <c r="S190" s="76" t="s">
        <v>1341</v>
      </c>
      <c r="T190" s="129" t="s">
        <v>2729</v>
      </c>
      <c r="U190" s="129" t="s">
        <v>798</v>
      </c>
      <c r="V190" s="129" t="s">
        <v>798</v>
      </c>
      <c r="W190" s="122"/>
      <c r="X190" s="113">
        <v>40</v>
      </c>
      <c r="Y190" s="113" t="s">
        <v>329</v>
      </c>
      <c r="Z190" s="113" t="s">
        <v>330</v>
      </c>
      <c r="AA190" s="113"/>
      <c r="AB190" s="113"/>
      <c r="AC190" s="113"/>
      <c r="AD190" s="113"/>
      <c r="AE190" s="113"/>
      <c r="AF190" s="113"/>
      <c r="AG190" s="113"/>
      <c r="AH190" s="113"/>
    </row>
    <row r="191" spans="1:34" ht="116">
      <c r="A191" s="72"/>
      <c r="B191" s="74"/>
      <c r="C191" s="71"/>
      <c r="D191" s="430"/>
      <c r="E191" s="436"/>
      <c r="F191" s="105" t="s">
        <v>1342</v>
      </c>
      <c r="G191" s="106" t="s">
        <v>1343</v>
      </c>
      <c r="H191" s="105" t="s">
        <v>1342</v>
      </c>
      <c r="I191" s="107" t="s">
        <v>347</v>
      </c>
      <c r="J191" s="107" t="s">
        <v>320</v>
      </c>
      <c r="K191" s="329" t="str">
        <f t="shared" si="5"/>
        <v>Gestionar, enfortir i consolidar l'equip de gestió del parc</v>
      </c>
      <c r="L191" s="109"/>
      <c r="M191" s="76" t="s">
        <v>58</v>
      </c>
      <c r="N191" s="76"/>
      <c r="O191" s="110" t="s">
        <v>301</v>
      </c>
      <c r="P191" s="166"/>
      <c r="Q191" s="111"/>
      <c r="R191" s="112"/>
      <c r="S191" s="76" t="s">
        <v>2730</v>
      </c>
      <c r="T191" s="129" t="s">
        <v>2731</v>
      </c>
      <c r="U191" s="129" t="s">
        <v>2732</v>
      </c>
      <c r="V191" s="129" t="s">
        <v>2733</v>
      </c>
      <c r="W191" s="122"/>
      <c r="X191" s="113">
        <v>50</v>
      </c>
      <c r="Y191" s="113" t="s">
        <v>329</v>
      </c>
      <c r="Z191" s="113" t="s">
        <v>330</v>
      </c>
      <c r="AA191" s="113"/>
      <c r="AB191" s="113"/>
      <c r="AC191" s="113"/>
      <c r="AD191" s="113"/>
      <c r="AE191" s="113"/>
      <c r="AF191" s="113"/>
      <c r="AG191" s="113"/>
      <c r="AH191" s="113"/>
    </row>
    <row r="192" spans="1:34" ht="29">
      <c r="A192" s="72"/>
      <c r="B192" s="74"/>
      <c r="C192" s="71"/>
      <c r="D192" s="430"/>
      <c r="E192" s="436"/>
      <c r="F192" s="105" t="s">
        <v>1344</v>
      </c>
      <c r="G192" s="106" t="s">
        <v>1345</v>
      </c>
      <c r="H192" s="105" t="s">
        <v>1344</v>
      </c>
      <c r="I192" s="107" t="s">
        <v>297</v>
      </c>
      <c r="J192" s="107" t="s">
        <v>424</v>
      </c>
      <c r="K192" s="329" t="str">
        <f t="shared" si="5"/>
        <v>Gestió ordinària i imprevistos no contemplats en cap dels Objectius opertatius anteriors</v>
      </c>
      <c r="L192" s="109"/>
      <c r="M192" s="76"/>
      <c r="N192" s="76"/>
      <c r="O192" s="110" t="s">
        <v>301</v>
      </c>
      <c r="P192" s="166"/>
      <c r="Q192" s="111"/>
      <c r="R192" s="112"/>
      <c r="S192" s="365" t="s">
        <v>2734</v>
      </c>
      <c r="T192" s="113" t="s">
        <v>2735</v>
      </c>
      <c r="U192" s="113" t="s">
        <v>353</v>
      </c>
      <c r="V192" s="113" t="s">
        <v>2736</v>
      </c>
      <c r="W192" s="403"/>
      <c r="X192" s="113"/>
      <c r="Y192" s="113" t="s">
        <v>2883</v>
      </c>
      <c r="Z192" s="113" t="s">
        <v>2883</v>
      </c>
      <c r="AA192" s="113"/>
      <c r="AB192" s="113"/>
      <c r="AC192" s="113"/>
      <c r="AD192" s="113"/>
      <c r="AE192" s="113"/>
      <c r="AF192" s="113"/>
      <c r="AG192" s="113"/>
      <c r="AH192" s="113"/>
    </row>
    <row r="193" spans="7:7" ht="23.5">
      <c r="G193" s="411"/>
    </row>
    <row r="194" spans="7:7" ht="36">
      <c r="G194" s="412"/>
    </row>
  </sheetData>
  <autoFilter ref="A4:AC192"/>
  <dataConsolidate/>
  <mergeCells count="120">
    <mergeCell ref="B28:B38"/>
    <mergeCell ref="C28:C38"/>
    <mergeCell ref="D28:D30"/>
    <mergeCell ref="E28:E30"/>
    <mergeCell ref="D32:D36"/>
    <mergeCell ref="E32:E36"/>
    <mergeCell ref="D37:D38"/>
    <mergeCell ref="E37:E38"/>
    <mergeCell ref="D11:D17"/>
    <mergeCell ref="E11:E17"/>
    <mergeCell ref="D18:D20"/>
    <mergeCell ref="E18:E20"/>
    <mergeCell ref="B21:B27"/>
    <mergeCell ref="C21:C27"/>
    <mergeCell ref="D21:D24"/>
    <mergeCell ref="E21:E24"/>
    <mergeCell ref="D25:D27"/>
    <mergeCell ref="E25:E27"/>
    <mergeCell ref="D39:D41"/>
    <mergeCell ref="E39:E41"/>
    <mergeCell ref="D42:D45"/>
    <mergeCell ref="E42:E45"/>
    <mergeCell ref="D46:D49"/>
    <mergeCell ref="E46:E49"/>
    <mergeCell ref="D5:D6"/>
    <mergeCell ref="E5:E6"/>
    <mergeCell ref="D7:D10"/>
    <mergeCell ref="E7:E10"/>
    <mergeCell ref="D59:D60"/>
    <mergeCell ref="E59:E60"/>
    <mergeCell ref="D61:D67"/>
    <mergeCell ref="E61:E67"/>
    <mergeCell ref="D68:D71"/>
    <mergeCell ref="E68:E71"/>
    <mergeCell ref="D50:D52"/>
    <mergeCell ref="E50:E52"/>
    <mergeCell ref="B53:B58"/>
    <mergeCell ref="C53:C58"/>
    <mergeCell ref="D54:D56"/>
    <mergeCell ref="E54:E56"/>
    <mergeCell ref="D57:D58"/>
    <mergeCell ref="E57:E58"/>
    <mergeCell ref="B103:B104"/>
    <mergeCell ref="C103:C104"/>
    <mergeCell ref="D103:D104"/>
    <mergeCell ref="E103:E104"/>
    <mergeCell ref="A88:A97"/>
    <mergeCell ref="D89:D94"/>
    <mergeCell ref="E89:E94"/>
    <mergeCell ref="D95:D97"/>
    <mergeCell ref="E95:E97"/>
    <mergeCell ref="D98:D100"/>
    <mergeCell ref="E98:E100"/>
    <mergeCell ref="B85:B97"/>
    <mergeCell ref="C85:C97"/>
    <mergeCell ref="D85:D87"/>
    <mergeCell ref="E85:E87"/>
    <mergeCell ref="C105:C107"/>
    <mergeCell ref="D105:D116"/>
    <mergeCell ref="E105:E116"/>
    <mergeCell ref="D117:D118"/>
    <mergeCell ref="E117:E118"/>
    <mergeCell ref="D119:D123"/>
    <mergeCell ref="E119:E123"/>
    <mergeCell ref="D101:D102"/>
    <mergeCell ref="E101:E102"/>
    <mergeCell ref="B139:B168"/>
    <mergeCell ref="C139:C168"/>
    <mergeCell ref="D139:D141"/>
    <mergeCell ref="E139:E141"/>
    <mergeCell ref="D142:D145"/>
    <mergeCell ref="E142:E145"/>
    <mergeCell ref="D147:D149"/>
    <mergeCell ref="E147:E149"/>
    <mergeCell ref="D150:D153"/>
    <mergeCell ref="E150:E153"/>
    <mergeCell ref="D165:D168"/>
    <mergeCell ref="E165:E168"/>
    <mergeCell ref="D154:D158"/>
    <mergeCell ref="E154:E158"/>
    <mergeCell ref="X3:Z3"/>
    <mergeCell ref="AA3:AC3"/>
    <mergeCell ref="U3:V3"/>
    <mergeCell ref="AD3:AH3"/>
    <mergeCell ref="D159:D161"/>
    <mergeCell ref="E159:E161"/>
    <mergeCell ref="D162:D164"/>
    <mergeCell ref="E162:E164"/>
    <mergeCell ref="D130:D133"/>
    <mergeCell ref="E130:E133"/>
    <mergeCell ref="D134:D136"/>
    <mergeCell ref="E134:E136"/>
    <mergeCell ref="D137:D138"/>
    <mergeCell ref="E137:E138"/>
    <mergeCell ref="D124:D125"/>
    <mergeCell ref="E124:E125"/>
    <mergeCell ref="D126:D127"/>
    <mergeCell ref="E126:E127"/>
    <mergeCell ref="D128:D129"/>
    <mergeCell ref="E128:E129"/>
    <mergeCell ref="D72:D77"/>
    <mergeCell ref="E72:E77"/>
    <mergeCell ref="D78:D83"/>
    <mergeCell ref="E78:E83"/>
    <mergeCell ref="D179:D181"/>
    <mergeCell ref="E179:E181"/>
    <mergeCell ref="D187:D188"/>
    <mergeCell ref="E187:E188"/>
    <mergeCell ref="D190:D192"/>
    <mergeCell ref="E190:E192"/>
    <mergeCell ref="B169:B173"/>
    <mergeCell ref="C169:C173"/>
    <mergeCell ref="D169:D170"/>
    <mergeCell ref="E169:E170"/>
    <mergeCell ref="D172:D173"/>
    <mergeCell ref="E172:E173"/>
    <mergeCell ref="B174:B177"/>
    <mergeCell ref="C174:C177"/>
    <mergeCell ref="D174:D177"/>
    <mergeCell ref="E174:E177"/>
  </mergeCells>
  <conditionalFormatting sqref="I160:J161 L160:L161">
    <cfRule type="duplicateValues" dxfId="1" priority="1"/>
  </conditionalFormatting>
  <dataValidations count="3">
    <dataValidation type="list" allowBlank="1" showInputMessage="1" showErrorMessage="1" sqref="N5:N102 N104:N192">
      <formula1>"Sí, No"</formula1>
    </dataValidation>
    <dataValidation type="list" allowBlank="1" showInputMessage="1" showErrorMessage="1" sqref="N103 M5:M192">
      <formula1>"Sí, No, Impuls"</formula1>
    </dataValidation>
    <dataValidation type="list" allowBlank="1" showInputMessage="1" showErrorMessage="1" sqref="O5:O192">
      <formula1>"MÀXIMA, ALTA, MITJANA, BAIXA, FORA DE TERMINI DEL PLA"</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70"/>
  <sheetViews>
    <sheetView workbookViewId="0">
      <pane ySplit="1" topLeftCell="A17" activePane="bottomLeft" state="frozen"/>
      <selection pane="bottomLeft" activeCell="F45" sqref="F45"/>
    </sheetView>
  </sheetViews>
  <sheetFormatPr defaultRowHeight="14.5"/>
  <cols>
    <col min="2" max="2" width="14.6328125" bestFit="1" customWidth="1"/>
    <col min="3" max="3" width="12.1796875" bestFit="1" customWidth="1"/>
    <col min="4" max="4" width="7.1796875" bestFit="1" customWidth="1"/>
    <col min="5" max="5" width="4.81640625" bestFit="1" customWidth="1"/>
    <col min="6" max="6" width="6.36328125" bestFit="1" customWidth="1"/>
    <col min="7" max="7" width="14.6328125" bestFit="1" customWidth="1"/>
    <col min="8" max="9" width="11.26953125" bestFit="1" customWidth="1"/>
    <col min="10" max="10" width="10.1796875" bestFit="1" customWidth="1"/>
    <col min="11" max="11" width="8.36328125" bestFit="1" customWidth="1"/>
    <col min="12" max="12" width="10.1796875" bestFit="1" customWidth="1"/>
  </cols>
  <sheetData>
    <row r="1" spans="2:14">
      <c r="B1" t="s">
        <v>2885</v>
      </c>
      <c r="C1" t="s">
        <v>2882</v>
      </c>
      <c r="D1" t="s">
        <v>2886</v>
      </c>
      <c r="E1" t="s">
        <v>2887</v>
      </c>
      <c r="F1" t="s">
        <v>2888</v>
      </c>
      <c r="G1" t="s">
        <v>364</v>
      </c>
      <c r="H1" t="s">
        <v>2829</v>
      </c>
      <c r="I1" t="s">
        <v>2818</v>
      </c>
      <c r="J1" t="s">
        <v>330</v>
      </c>
      <c r="K1" t="s">
        <v>2889</v>
      </c>
      <c r="L1" t="s">
        <v>2890</v>
      </c>
      <c r="M1" t="s">
        <v>2884</v>
      </c>
      <c r="N1" t="s">
        <v>2892</v>
      </c>
    </row>
    <row r="2" spans="2:14">
      <c r="D2" s="417">
        <v>980</v>
      </c>
      <c r="E2" s="415">
        <v>420</v>
      </c>
      <c r="F2" s="415">
        <v>220</v>
      </c>
      <c r="G2" s="415">
        <v>420</v>
      </c>
      <c r="H2" s="414">
        <v>85</v>
      </c>
      <c r="I2" s="415">
        <v>75</v>
      </c>
      <c r="J2" s="415">
        <v>100</v>
      </c>
      <c r="K2" s="417">
        <v>880</v>
      </c>
      <c r="L2" s="419">
        <v>50</v>
      </c>
    </row>
    <row r="3" spans="2:14">
      <c r="D3" s="417">
        <v>150</v>
      </c>
      <c r="E3" s="415">
        <v>150</v>
      </c>
      <c r="F3" s="415">
        <v>160</v>
      </c>
      <c r="G3" s="415">
        <v>120</v>
      </c>
      <c r="H3" s="414">
        <v>152</v>
      </c>
      <c r="I3" s="415">
        <v>145</v>
      </c>
      <c r="J3" s="415">
        <v>225</v>
      </c>
      <c r="K3" s="419">
        <v>50</v>
      </c>
      <c r="L3" s="422">
        <v>300</v>
      </c>
    </row>
    <row r="4" spans="2:14">
      <c r="D4" s="420">
        <v>300</v>
      </c>
      <c r="E4" s="415">
        <v>320</v>
      </c>
      <c r="F4" s="415">
        <v>280</v>
      </c>
      <c r="G4" s="415">
        <v>145</v>
      </c>
      <c r="H4" s="414">
        <v>250</v>
      </c>
      <c r="I4" s="414">
        <v>280</v>
      </c>
      <c r="J4" s="415">
        <v>120</v>
      </c>
      <c r="K4" s="422">
        <v>300</v>
      </c>
      <c r="L4" s="422">
        <v>400</v>
      </c>
    </row>
    <row r="5" spans="2:14">
      <c r="D5" s="420">
        <v>800</v>
      </c>
      <c r="E5" s="415">
        <v>160</v>
      </c>
      <c r="F5" s="415">
        <v>150</v>
      </c>
      <c r="G5" s="415">
        <v>150</v>
      </c>
      <c r="H5" s="414">
        <v>300</v>
      </c>
      <c r="I5" s="414">
        <v>150</v>
      </c>
      <c r="J5" s="415">
        <v>135</v>
      </c>
      <c r="K5" s="422">
        <v>400</v>
      </c>
      <c r="L5" s="422">
        <v>350</v>
      </c>
    </row>
    <row r="6" spans="2:14">
      <c r="D6" s="420">
        <v>750</v>
      </c>
      <c r="E6" s="415">
        <v>380</v>
      </c>
      <c r="F6" s="415">
        <v>120</v>
      </c>
      <c r="G6" s="415">
        <v>120</v>
      </c>
      <c r="H6" s="414">
        <v>190</v>
      </c>
      <c r="I6" s="414">
        <v>85</v>
      </c>
      <c r="J6" s="415">
        <v>320</v>
      </c>
      <c r="K6" s="422">
        <v>350</v>
      </c>
      <c r="L6" s="422">
        <v>200</v>
      </c>
    </row>
    <row r="7" spans="2:14">
      <c r="D7" s="420">
        <v>850</v>
      </c>
      <c r="E7" s="415">
        <v>225</v>
      </c>
      <c r="F7" s="415">
        <v>135</v>
      </c>
      <c r="G7" s="415">
        <v>135</v>
      </c>
      <c r="H7" s="417">
        <v>40</v>
      </c>
      <c r="I7" s="414">
        <v>140</v>
      </c>
      <c r="J7" s="415">
        <v>300</v>
      </c>
      <c r="K7" s="422">
        <v>200</v>
      </c>
      <c r="L7" s="422">
        <v>450</v>
      </c>
    </row>
    <row r="8" spans="2:14">
      <c r="D8" s="420">
        <v>300</v>
      </c>
      <c r="E8" s="415">
        <v>225</v>
      </c>
      <c r="F8" s="415">
        <v>105</v>
      </c>
      <c r="G8" s="415">
        <v>680</v>
      </c>
      <c r="H8" s="417">
        <v>60</v>
      </c>
      <c r="I8" s="414">
        <v>250</v>
      </c>
      <c r="J8" s="415">
        <v>400</v>
      </c>
      <c r="K8" s="422">
        <v>450</v>
      </c>
      <c r="L8" s="422">
        <v>400</v>
      </c>
    </row>
    <row r="9" spans="2:14">
      <c r="D9" s="420">
        <v>1072</v>
      </c>
      <c r="E9" s="415">
        <v>120</v>
      </c>
      <c r="F9" s="415">
        <v>90</v>
      </c>
      <c r="G9" s="415">
        <v>595</v>
      </c>
      <c r="H9" s="417">
        <v>300</v>
      </c>
      <c r="I9" s="414">
        <v>300</v>
      </c>
      <c r="J9" s="415">
        <v>50</v>
      </c>
      <c r="K9" s="422">
        <v>400</v>
      </c>
      <c r="L9" s="422">
        <v>250</v>
      </c>
    </row>
    <row r="10" spans="2:14">
      <c r="D10" s="420">
        <v>350</v>
      </c>
      <c r="E10" s="415">
        <v>135</v>
      </c>
      <c r="F10" s="414">
        <v>680</v>
      </c>
      <c r="G10" s="415">
        <v>400</v>
      </c>
      <c r="H10" s="417">
        <v>380</v>
      </c>
      <c r="I10" s="417">
        <v>350</v>
      </c>
      <c r="J10" s="415">
        <v>800</v>
      </c>
      <c r="K10" s="422">
        <v>250</v>
      </c>
      <c r="L10" s="422">
        <v>300</v>
      </c>
    </row>
    <row r="11" spans="2:14">
      <c r="D11" s="422">
        <v>400</v>
      </c>
      <c r="E11" s="415">
        <v>150</v>
      </c>
      <c r="F11" s="414">
        <v>280</v>
      </c>
      <c r="G11" s="415">
        <v>690</v>
      </c>
      <c r="H11" s="419">
        <v>80</v>
      </c>
      <c r="I11" s="417">
        <v>300</v>
      </c>
      <c r="J11" s="415">
        <v>200</v>
      </c>
      <c r="K11" s="422">
        <v>300</v>
      </c>
    </row>
    <row r="12" spans="2:14">
      <c r="D12" s="422">
        <v>800</v>
      </c>
      <c r="E12" s="415">
        <v>480</v>
      </c>
      <c r="F12" s="417">
        <v>450</v>
      </c>
      <c r="G12" s="415">
        <v>125</v>
      </c>
      <c r="H12" s="419">
        <v>80</v>
      </c>
      <c r="I12" s="417">
        <v>40</v>
      </c>
      <c r="J12" s="415">
        <v>200</v>
      </c>
    </row>
    <row r="13" spans="2:14">
      <c r="E13" s="415">
        <v>250</v>
      </c>
      <c r="F13" s="417">
        <v>450</v>
      </c>
      <c r="G13" s="414">
        <v>140</v>
      </c>
      <c r="H13" s="419">
        <v>80</v>
      </c>
      <c r="I13" s="417">
        <v>500</v>
      </c>
      <c r="J13" s="414">
        <v>40</v>
      </c>
    </row>
    <row r="14" spans="2:14">
      <c r="E14" s="415">
        <v>100</v>
      </c>
      <c r="F14" s="417">
        <v>50</v>
      </c>
      <c r="G14" s="414">
        <v>498</v>
      </c>
      <c r="H14" s="419">
        <v>150</v>
      </c>
      <c r="I14" s="417">
        <v>200</v>
      </c>
      <c r="J14" s="414">
        <v>450</v>
      </c>
    </row>
    <row r="15" spans="2:14">
      <c r="E15" s="415">
        <v>180</v>
      </c>
      <c r="F15" s="416">
        <v>995</v>
      </c>
      <c r="G15" s="417">
        <v>400</v>
      </c>
      <c r="H15" s="419">
        <v>150</v>
      </c>
      <c r="I15" s="417">
        <v>200</v>
      </c>
      <c r="J15" s="414">
        <v>40</v>
      </c>
    </row>
    <row r="16" spans="2:14">
      <c r="E16" s="415">
        <v>225</v>
      </c>
      <c r="F16" s="416">
        <v>80</v>
      </c>
      <c r="G16" s="416">
        <v>120</v>
      </c>
      <c r="H16" s="419">
        <v>150</v>
      </c>
      <c r="I16" s="417">
        <v>250</v>
      </c>
      <c r="J16" s="414">
        <v>262</v>
      </c>
    </row>
    <row r="17" spans="5:10">
      <c r="E17" s="415">
        <v>75</v>
      </c>
      <c r="F17" s="416">
        <v>600</v>
      </c>
      <c r="G17" s="420">
        <v>40</v>
      </c>
      <c r="H17" s="419">
        <v>150</v>
      </c>
      <c r="I17" s="417">
        <v>217</v>
      </c>
      <c r="J17" s="414">
        <v>300</v>
      </c>
    </row>
    <row r="18" spans="5:10">
      <c r="E18" s="414">
        <v>320</v>
      </c>
      <c r="F18" s="416">
        <v>50</v>
      </c>
      <c r="G18" s="420">
        <v>100</v>
      </c>
      <c r="H18" s="419">
        <v>150</v>
      </c>
      <c r="I18" s="416">
        <v>100</v>
      </c>
      <c r="J18" s="414">
        <v>180</v>
      </c>
    </row>
    <row r="19" spans="5:10">
      <c r="E19" s="414">
        <v>150</v>
      </c>
      <c r="F19" s="416">
        <v>45</v>
      </c>
      <c r="G19" s="420">
        <v>100</v>
      </c>
      <c r="H19" s="419">
        <v>50</v>
      </c>
      <c r="I19" s="416">
        <v>50</v>
      </c>
      <c r="J19" s="414">
        <v>60</v>
      </c>
    </row>
    <row r="20" spans="5:10">
      <c r="E20" s="414">
        <v>177</v>
      </c>
      <c r="F20" s="416">
        <v>125</v>
      </c>
      <c r="H20" s="419">
        <v>80</v>
      </c>
      <c r="I20" s="416">
        <v>950</v>
      </c>
      <c r="J20" s="417">
        <v>250</v>
      </c>
    </row>
    <row r="21" spans="5:10">
      <c r="E21" s="417">
        <v>300</v>
      </c>
      <c r="F21" s="416">
        <v>200</v>
      </c>
      <c r="H21" s="419">
        <v>200</v>
      </c>
      <c r="I21" s="416">
        <v>100</v>
      </c>
      <c r="J21" s="417">
        <v>40</v>
      </c>
    </row>
    <row r="22" spans="5:10">
      <c r="E22" s="417">
        <v>150</v>
      </c>
      <c r="F22" s="420">
        <v>40</v>
      </c>
      <c r="H22" s="419">
        <v>100</v>
      </c>
      <c r="I22" s="416">
        <v>120</v>
      </c>
      <c r="J22" s="417">
        <v>45</v>
      </c>
    </row>
    <row r="23" spans="5:10">
      <c r="E23" s="417">
        <v>450</v>
      </c>
      <c r="F23" s="420">
        <v>150</v>
      </c>
      <c r="H23" s="419">
        <v>450</v>
      </c>
      <c r="I23" s="419">
        <v>400</v>
      </c>
      <c r="J23" s="417">
        <v>40</v>
      </c>
    </row>
    <row r="24" spans="5:10">
      <c r="E24" s="417">
        <v>450</v>
      </c>
      <c r="H24" s="419">
        <v>400</v>
      </c>
      <c r="I24" s="419">
        <v>80</v>
      </c>
      <c r="J24" s="417">
        <v>50</v>
      </c>
    </row>
    <row r="25" spans="5:10">
      <c r="E25" s="417">
        <v>200</v>
      </c>
      <c r="H25" s="419">
        <v>40</v>
      </c>
      <c r="I25" s="419">
        <v>50</v>
      </c>
      <c r="J25" s="417">
        <v>20</v>
      </c>
    </row>
    <row r="26" spans="5:10">
      <c r="E26" s="417">
        <v>50</v>
      </c>
      <c r="H26" s="419">
        <v>50</v>
      </c>
      <c r="I26" s="419"/>
      <c r="J26" s="416">
        <v>150</v>
      </c>
    </row>
    <row r="27" spans="5:10">
      <c r="E27" s="417">
        <v>75</v>
      </c>
      <c r="H27" s="419">
        <v>150</v>
      </c>
      <c r="I27" s="419">
        <v>10</v>
      </c>
      <c r="J27" s="416">
        <v>40</v>
      </c>
    </row>
    <row r="28" spans="5:10">
      <c r="E28" s="417">
        <v>20</v>
      </c>
      <c r="H28" s="419">
        <v>40</v>
      </c>
      <c r="I28" s="419">
        <v>40</v>
      </c>
      <c r="J28" s="419">
        <v>80</v>
      </c>
    </row>
    <row r="29" spans="5:10">
      <c r="E29" s="417">
        <v>150</v>
      </c>
      <c r="H29" s="419">
        <v>20</v>
      </c>
      <c r="I29" s="419">
        <v>100</v>
      </c>
      <c r="J29" s="419">
        <v>80</v>
      </c>
    </row>
    <row r="30" spans="5:10">
      <c r="E30" s="417">
        <v>20</v>
      </c>
      <c r="H30" s="419">
        <v>20</v>
      </c>
      <c r="I30" s="419">
        <v>300</v>
      </c>
      <c r="J30" s="419">
        <v>125</v>
      </c>
    </row>
    <row r="31" spans="5:10">
      <c r="E31" s="417">
        <v>50</v>
      </c>
      <c r="H31" s="419">
        <v>25</v>
      </c>
      <c r="I31" s="419">
        <v>20</v>
      </c>
      <c r="J31" s="419">
        <v>20</v>
      </c>
    </row>
    <row r="32" spans="5:10">
      <c r="E32" s="417">
        <v>45</v>
      </c>
      <c r="H32" s="419">
        <v>80</v>
      </c>
      <c r="I32" s="419">
        <v>40</v>
      </c>
      <c r="J32" s="419">
        <v>50</v>
      </c>
    </row>
    <row r="33" spans="5:10">
      <c r="E33" s="417">
        <v>40</v>
      </c>
      <c r="H33" s="419">
        <v>40</v>
      </c>
      <c r="I33" s="419">
        <v>80</v>
      </c>
      <c r="J33" s="419">
        <v>10</v>
      </c>
    </row>
    <row r="34" spans="5:10">
      <c r="E34" s="418">
        <v>40</v>
      </c>
      <c r="H34" s="419">
        <v>20</v>
      </c>
      <c r="I34" s="419">
        <v>20</v>
      </c>
      <c r="J34" s="419">
        <v>100</v>
      </c>
    </row>
    <row r="35" spans="5:10">
      <c r="E35" s="418">
        <v>10</v>
      </c>
      <c r="H35" s="419">
        <v>40</v>
      </c>
      <c r="I35" s="420">
        <v>40</v>
      </c>
      <c r="J35" s="420">
        <v>40</v>
      </c>
    </row>
    <row r="36" spans="5:10">
      <c r="E36" s="416">
        <v>80</v>
      </c>
      <c r="H36" s="419">
        <v>575</v>
      </c>
      <c r="I36" s="420">
        <v>60</v>
      </c>
      <c r="J36" s="420">
        <v>100</v>
      </c>
    </row>
    <row r="37" spans="5:10">
      <c r="E37" s="416">
        <v>40</v>
      </c>
      <c r="H37" s="420">
        <v>80</v>
      </c>
      <c r="I37" s="420">
        <v>40</v>
      </c>
      <c r="J37" s="420">
        <v>60</v>
      </c>
    </row>
    <row r="38" spans="5:10">
      <c r="E38" s="419">
        <v>200</v>
      </c>
      <c r="H38" s="420">
        <v>100</v>
      </c>
      <c r="I38" s="420">
        <v>90</v>
      </c>
      <c r="J38" s="422">
        <v>200</v>
      </c>
    </row>
    <row r="39" spans="5:10">
      <c r="E39" s="420">
        <v>40</v>
      </c>
      <c r="H39" s="420">
        <v>150</v>
      </c>
      <c r="I39" s="420">
        <v>60</v>
      </c>
      <c r="J39" s="422">
        <v>40</v>
      </c>
    </row>
    <row r="40" spans="5:10">
      <c r="E40" s="420">
        <v>40</v>
      </c>
      <c r="H40" s="420">
        <v>50</v>
      </c>
      <c r="I40" s="420">
        <v>100</v>
      </c>
      <c r="J40" s="422">
        <v>150</v>
      </c>
    </row>
    <row r="41" spans="5:10">
      <c r="E41" s="420">
        <v>60</v>
      </c>
      <c r="H41" s="420">
        <v>40</v>
      </c>
      <c r="I41" s="420">
        <v>40</v>
      </c>
      <c r="J41" s="422">
        <v>300</v>
      </c>
    </row>
    <row r="42" spans="5:10">
      <c r="H42" s="420">
        <v>100</v>
      </c>
      <c r="I42" s="420">
        <v>150</v>
      </c>
      <c r="J42" s="422">
        <v>200</v>
      </c>
    </row>
    <row r="43" spans="5:10">
      <c r="H43" s="420">
        <v>40</v>
      </c>
      <c r="I43" s="420">
        <v>100</v>
      </c>
      <c r="J43" s="422">
        <v>80</v>
      </c>
    </row>
    <row r="44" spans="5:10">
      <c r="H44" s="420">
        <v>300</v>
      </c>
      <c r="I44" s="420">
        <v>50</v>
      </c>
      <c r="J44" s="422">
        <v>200</v>
      </c>
    </row>
    <row r="45" spans="5:10">
      <c r="H45" s="420">
        <v>80</v>
      </c>
      <c r="I45" s="420">
        <v>80</v>
      </c>
      <c r="J45" s="422">
        <v>100</v>
      </c>
    </row>
    <row r="46" spans="5:10">
      <c r="H46" s="420">
        <v>30</v>
      </c>
      <c r="J46" s="422">
        <v>40</v>
      </c>
    </row>
    <row r="47" spans="5:10">
      <c r="H47" s="420">
        <v>50</v>
      </c>
      <c r="J47" s="422">
        <v>50</v>
      </c>
    </row>
    <row r="48" spans="5:10">
      <c r="H48" s="420">
        <v>70</v>
      </c>
      <c r="J48" s="422"/>
    </row>
    <row r="49" spans="2:16">
      <c r="H49" s="420">
        <v>40</v>
      </c>
    </row>
    <row r="50" spans="2:16">
      <c r="H50" s="420">
        <v>40</v>
      </c>
    </row>
    <row r="51" spans="2:16">
      <c r="H51" s="420">
        <v>40</v>
      </c>
    </row>
    <row r="52" spans="2:16">
      <c r="H52" s="420">
        <v>65</v>
      </c>
    </row>
    <row r="53" spans="2:16">
      <c r="H53" s="420">
        <v>80</v>
      </c>
    </row>
    <row r="54" spans="2:16">
      <c r="H54" s="420">
        <v>10</v>
      </c>
    </row>
    <row r="55" spans="2:16">
      <c r="H55" s="420">
        <v>40</v>
      </c>
    </row>
    <row r="56" spans="2:16">
      <c r="H56" s="420">
        <v>60</v>
      </c>
    </row>
    <row r="57" spans="2:16">
      <c r="H57" s="420">
        <v>30</v>
      </c>
    </row>
    <row r="58" spans="2:16">
      <c r="H58" s="420">
        <v>50</v>
      </c>
    </row>
    <row r="59" spans="2:16">
      <c r="H59" s="420">
        <v>80</v>
      </c>
      <c r="P59">
        <f>H63-6752</f>
        <v>-685</v>
      </c>
    </row>
    <row r="63" spans="2:16">
      <c r="B63">
        <f t="shared" ref="B63:C63" si="0">SUM(B2:B40)</f>
        <v>0</v>
      </c>
      <c r="C63">
        <f t="shared" si="0"/>
        <v>0</v>
      </c>
      <c r="D63">
        <f t="shared" ref="D63:I63" si="1">SUM(D2:D45)</f>
        <v>6752</v>
      </c>
      <c r="E63">
        <f t="shared" si="1"/>
        <v>6752</v>
      </c>
      <c r="F63">
        <f t="shared" si="1"/>
        <v>5455</v>
      </c>
      <c r="G63">
        <f t="shared" si="1"/>
        <v>4978</v>
      </c>
      <c r="H63">
        <f t="shared" si="1"/>
        <v>6067</v>
      </c>
      <c r="I63">
        <f t="shared" si="1"/>
        <v>6752</v>
      </c>
      <c r="J63">
        <f>SUM(J2:J45)</f>
        <v>6752</v>
      </c>
      <c r="K63">
        <f t="shared" ref="K63:L63" si="2">SUM(K2:K45)</f>
        <v>3580</v>
      </c>
      <c r="L63">
        <f t="shared" si="2"/>
        <v>2700</v>
      </c>
    </row>
    <row r="64" spans="2:16">
      <c r="D64" s="415"/>
      <c r="E64" s="415"/>
      <c r="H64" s="415"/>
      <c r="I64" s="415"/>
      <c r="J64" s="415"/>
      <c r="O64">
        <v>6752</v>
      </c>
    </row>
    <row r="66" spans="7:10">
      <c r="G66">
        <f>D63-O64</f>
        <v>0</v>
      </c>
    </row>
    <row r="70" spans="7:10">
      <c r="G70">
        <f>E63-O64</f>
        <v>0</v>
      </c>
      <c r="J70">
        <f>400-223</f>
        <v>177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heetPr>
  <dimension ref="A1:AH187"/>
  <sheetViews>
    <sheetView showGridLines="0" topLeftCell="H1" zoomScale="90" zoomScaleNormal="90" workbookViewId="0">
      <pane ySplit="4" topLeftCell="A5" activePane="bottomLeft" state="frozen"/>
      <selection pane="bottomLeft" activeCell="R1" sqref="R1"/>
    </sheetView>
  </sheetViews>
  <sheetFormatPr defaultColWidth="8.54296875" defaultRowHeight="15" customHeight="1"/>
  <cols>
    <col min="1" max="1" width="22.81640625" style="25" customWidth="1"/>
    <col min="2" max="2" width="4" style="5" customWidth="1"/>
    <col min="3" max="3" width="29.81640625" style="6" customWidth="1"/>
    <col min="4" max="4" width="7.453125" style="11" customWidth="1"/>
    <col min="5" max="5" width="50" style="7" customWidth="1"/>
    <col min="6" max="6" width="7.81640625" style="9" customWidth="1"/>
    <col min="7" max="7" width="54.81640625" style="8" customWidth="1"/>
    <col min="8" max="8" width="15.453125" style="10" customWidth="1"/>
    <col min="9" max="9" width="18.1796875" style="10" customWidth="1"/>
    <col min="10" max="10" width="24.54296875" style="17" hidden="1" customWidth="1"/>
    <col min="11" max="11" width="47.54296875" style="19" hidden="1" customWidth="1"/>
    <col min="12" max="12" width="48.54296875" style="8" customWidth="1"/>
    <col min="13" max="13" width="30.81640625" style="10" customWidth="1"/>
    <col min="14" max="15" width="28.1796875" style="5" customWidth="1"/>
    <col min="16" max="16" width="10.54296875" style="17" customWidth="1"/>
    <col min="17" max="20" width="56" style="172" customWidth="1"/>
    <col min="21" max="21" width="17.81640625" style="3" customWidth="1"/>
    <col min="22" max="22" width="9.54296875" style="3" customWidth="1"/>
    <col min="23" max="23" width="11.453125" style="3" customWidth="1"/>
    <col min="24" max="24" width="6.81640625" style="3" customWidth="1"/>
    <col min="25" max="28" width="6.1796875" style="3" customWidth="1"/>
    <col min="29" max="29" width="13.81640625" style="3" customWidth="1"/>
    <col min="30" max="30" width="14.81640625" style="3" customWidth="1"/>
    <col min="31" max="31" width="16.54296875" style="3" customWidth="1"/>
    <col min="32" max="33" width="13.54296875" style="3" customWidth="1"/>
    <col min="34" max="34" width="11.54296875" style="3" customWidth="1"/>
    <col min="35" max="16384" width="8.54296875" style="3"/>
  </cols>
  <sheetData>
    <row r="1" spans="1:34" ht="18.5">
      <c r="A1" s="77" t="s">
        <v>255</v>
      </c>
      <c r="B1" s="78"/>
      <c r="C1" s="79"/>
      <c r="Q1" s="6"/>
      <c r="R1" s="6"/>
      <c r="S1" s="6"/>
      <c r="T1" s="6"/>
    </row>
    <row r="2" spans="1:34" ht="37">
      <c r="A2" s="80"/>
      <c r="B2" s="81" t="s">
        <v>256</v>
      </c>
      <c r="C2" s="165" t="s">
        <v>257</v>
      </c>
      <c r="Q2" s="6"/>
      <c r="R2" s="6"/>
      <c r="S2" s="6"/>
      <c r="T2" s="6"/>
    </row>
    <row r="3" spans="1:34" ht="18.5">
      <c r="A3" s="80"/>
      <c r="B3" s="81"/>
      <c r="C3" s="86"/>
      <c r="Q3" s="173" t="s">
        <v>258</v>
      </c>
      <c r="R3" s="173"/>
      <c r="S3" s="173"/>
      <c r="T3" s="173"/>
      <c r="V3" s="449" t="s">
        <v>259</v>
      </c>
      <c r="W3" s="451"/>
      <c r="X3" s="449" t="s">
        <v>1346</v>
      </c>
      <c r="Y3" s="450"/>
      <c r="Z3" s="450"/>
      <c r="AA3" s="450"/>
      <c r="AB3" s="451"/>
      <c r="AC3" s="449" t="s">
        <v>260</v>
      </c>
      <c r="AD3" s="450"/>
      <c r="AE3" s="451"/>
      <c r="AF3" s="449" t="s">
        <v>1347</v>
      </c>
      <c r="AG3" s="450"/>
      <c r="AH3" s="451"/>
    </row>
    <row r="4" spans="1:34" s="18" customFormat="1" ht="43.5">
      <c r="A4" s="82" t="s">
        <v>263</v>
      </c>
      <c r="B4" s="84"/>
      <c r="C4" s="83" t="s">
        <v>264</v>
      </c>
      <c r="D4" s="85"/>
      <c r="E4" s="83" t="s">
        <v>265</v>
      </c>
      <c r="F4" s="98"/>
      <c r="G4" s="98" t="s">
        <v>267</v>
      </c>
      <c r="H4" s="98" t="s">
        <v>268</v>
      </c>
      <c r="I4" s="99" t="s">
        <v>269</v>
      </c>
      <c r="J4" s="103" t="s">
        <v>276</v>
      </c>
      <c r="K4" s="104" t="s">
        <v>277</v>
      </c>
      <c r="L4" s="100" t="s">
        <v>270</v>
      </c>
      <c r="M4" s="101" t="s">
        <v>271</v>
      </c>
      <c r="N4" s="101" t="s">
        <v>272</v>
      </c>
      <c r="O4" s="101" t="s">
        <v>273</v>
      </c>
      <c r="P4" s="102" t="s">
        <v>274</v>
      </c>
      <c r="Q4" s="101" t="s">
        <v>275</v>
      </c>
      <c r="R4" s="102" t="s">
        <v>278</v>
      </c>
      <c r="S4" s="102" t="s">
        <v>279</v>
      </c>
      <c r="T4" s="101" t="s">
        <v>280</v>
      </c>
      <c r="U4" s="130" t="s">
        <v>281</v>
      </c>
      <c r="V4" s="130" t="s">
        <v>1348</v>
      </c>
      <c r="W4" s="130" t="s">
        <v>1349</v>
      </c>
      <c r="X4" s="236" t="s">
        <v>290</v>
      </c>
      <c r="Y4" s="236">
        <v>2025</v>
      </c>
      <c r="Z4" s="236">
        <v>2026</v>
      </c>
      <c r="AA4" s="236">
        <v>2027</v>
      </c>
      <c r="AB4" s="236">
        <v>2028</v>
      </c>
      <c r="AC4" s="130" t="s">
        <v>284</v>
      </c>
      <c r="AD4" s="130" t="s">
        <v>285</v>
      </c>
      <c r="AE4" s="130" t="s">
        <v>286</v>
      </c>
      <c r="AF4" s="130" t="s">
        <v>287</v>
      </c>
      <c r="AG4" s="130" t="s">
        <v>288</v>
      </c>
      <c r="AH4" s="130" t="s">
        <v>289</v>
      </c>
    </row>
    <row r="5" spans="1:34" ht="72.5">
      <c r="A5" s="14" t="s">
        <v>291</v>
      </c>
      <c r="B5" s="35">
        <v>1</v>
      </c>
      <c r="C5" s="43" t="s">
        <v>292</v>
      </c>
      <c r="D5" s="530" t="s">
        <v>293</v>
      </c>
      <c r="E5" s="531" t="s">
        <v>294</v>
      </c>
      <c r="F5" s="105" t="s">
        <v>295</v>
      </c>
      <c r="G5" s="106" t="s">
        <v>296</v>
      </c>
      <c r="H5" s="107" t="s">
        <v>297</v>
      </c>
      <c r="I5" s="107" t="s">
        <v>298</v>
      </c>
      <c r="J5" s="111" t="s">
        <v>46</v>
      </c>
      <c r="K5" s="112" t="s">
        <v>303</v>
      </c>
      <c r="L5" s="108" t="str">
        <f>G5</f>
        <v>Implementar i executar plans de gestió específics per a hàbitats i espècies de conservació prioritària dins l'ENP</v>
      </c>
      <c r="M5" s="109"/>
      <c r="N5" s="76"/>
      <c r="O5" s="76"/>
      <c r="P5" s="110"/>
      <c r="Q5" s="166" t="s">
        <v>302</v>
      </c>
      <c r="R5" s="166"/>
      <c r="S5" s="166"/>
      <c r="T5" s="166"/>
      <c r="U5" s="113"/>
      <c r="V5" s="113"/>
      <c r="W5" s="113"/>
      <c r="X5" s="113"/>
      <c r="Y5" s="113"/>
      <c r="Z5" s="113"/>
      <c r="AA5" s="113"/>
      <c r="AB5" s="113"/>
      <c r="AC5" s="113"/>
      <c r="AD5" s="113"/>
      <c r="AE5" s="113"/>
      <c r="AF5" s="113"/>
      <c r="AG5" s="113"/>
      <c r="AH5" s="113"/>
    </row>
    <row r="6" spans="1:34" ht="43.5">
      <c r="A6" s="26"/>
      <c r="B6" s="36"/>
      <c r="C6" s="44"/>
      <c r="D6" s="530"/>
      <c r="E6" s="531"/>
      <c r="F6" s="105" t="s">
        <v>307</v>
      </c>
      <c r="G6" s="106" t="s">
        <v>308</v>
      </c>
      <c r="H6" s="107" t="s">
        <v>297</v>
      </c>
      <c r="I6" s="107" t="s">
        <v>298</v>
      </c>
      <c r="J6" s="111"/>
      <c r="K6" s="115"/>
      <c r="L6" s="108" t="str">
        <f t="shared" ref="L6:L70" si="0">G6</f>
        <v>Adaptar i executar plans de gestió específics per a elements geològics de conservació prioritària dins l'ENP</v>
      </c>
      <c r="M6" s="109"/>
      <c r="N6" s="114"/>
      <c r="O6" s="114"/>
      <c r="P6" s="110"/>
      <c r="Q6" s="166" t="s">
        <v>311</v>
      </c>
      <c r="R6" s="166"/>
      <c r="S6" s="166"/>
      <c r="T6" s="166"/>
      <c r="U6" s="113"/>
      <c r="V6" s="113"/>
      <c r="W6" s="113"/>
      <c r="X6" s="113"/>
      <c r="Y6" s="113"/>
      <c r="Z6" s="113"/>
      <c r="AA6" s="113"/>
      <c r="AB6" s="113"/>
      <c r="AC6" s="113"/>
      <c r="AD6" s="113"/>
      <c r="AE6" s="113"/>
      <c r="AF6" s="113"/>
      <c r="AG6" s="113"/>
      <c r="AH6" s="113"/>
    </row>
    <row r="7" spans="1:34" ht="43.5">
      <c r="A7" s="26"/>
      <c r="B7" s="36"/>
      <c r="C7" s="44"/>
      <c r="D7" s="532" t="s">
        <v>316</v>
      </c>
      <c r="E7" s="535" t="s">
        <v>317</v>
      </c>
      <c r="F7" s="107" t="s">
        <v>318</v>
      </c>
      <c r="G7" s="106" t="s">
        <v>319</v>
      </c>
      <c r="H7" s="107" t="s">
        <v>297</v>
      </c>
      <c r="I7" s="107" t="s">
        <v>320</v>
      </c>
      <c r="J7" s="111" t="s">
        <v>323</v>
      </c>
      <c r="K7" s="112" t="s">
        <v>324</v>
      </c>
      <c r="L7" s="108" t="str">
        <f t="shared" si="0"/>
        <v>Implementar la metodologia de gestió adaptativa (Estàndards Oberts de Gestió Adaptativa a Catalunya) en tots els processos de l'ENP</v>
      </c>
      <c r="M7" s="109"/>
      <c r="N7" s="114"/>
      <c r="O7" s="114"/>
      <c r="P7" s="110"/>
      <c r="Q7" s="166" t="s">
        <v>322</v>
      </c>
      <c r="R7" s="166"/>
      <c r="S7" s="166"/>
      <c r="T7" s="166"/>
      <c r="U7" s="113"/>
      <c r="V7" s="113"/>
      <c r="W7" s="113"/>
      <c r="X7" s="113"/>
      <c r="Y7" s="113"/>
      <c r="Z7" s="113"/>
      <c r="AA7" s="113"/>
      <c r="AB7" s="113"/>
      <c r="AC7" s="113"/>
      <c r="AD7" s="113"/>
      <c r="AE7" s="113"/>
      <c r="AF7" s="113"/>
      <c r="AG7" s="113"/>
      <c r="AH7" s="113"/>
    </row>
    <row r="8" spans="1:34" ht="101.5">
      <c r="A8" s="26"/>
      <c r="B8" s="36"/>
      <c r="C8" s="44"/>
      <c r="D8" s="533"/>
      <c r="E8" s="536"/>
      <c r="F8" s="107" t="s">
        <v>331</v>
      </c>
      <c r="G8" s="106" t="s">
        <v>332</v>
      </c>
      <c r="H8" s="107" t="s">
        <v>297</v>
      </c>
      <c r="I8" s="107" t="s">
        <v>298</v>
      </c>
      <c r="J8" s="116" t="s">
        <v>334</v>
      </c>
      <c r="K8" s="112" t="s">
        <v>335</v>
      </c>
      <c r="L8" s="108" t="str">
        <f t="shared" si="0"/>
        <v>Executar les mesures previstes en els plans de conservació o recuperació d'espècies amenaçades de forma coordinada amb el Servei de Flora i Fauna en l'àmbit de l'ENP</v>
      </c>
      <c r="M8" s="109"/>
      <c r="N8" s="76"/>
      <c r="O8" s="76"/>
      <c r="P8" s="110"/>
      <c r="Q8" s="166" t="s">
        <v>333</v>
      </c>
      <c r="R8" s="166"/>
      <c r="S8" s="166"/>
      <c r="T8" s="166"/>
      <c r="U8" s="113"/>
      <c r="V8" s="113"/>
      <c r="W8" s="113"/>
      <c r="X8" s="113"/>
      <c r="Y8" s="113"/>
      <c r="Z8" s="113"/>
      <c r="AA8" s="113"/>
      <c r="AB8" s="113"/>
      <c r="AC8" s="113"/>
      <c r="AD8" s="113"/>
      <c r="AE8" s="113"/>
      <c r="AF8" s="113"/>
      <c r="AG8" s="113"/>
      <c r="AH8" s="113"/>
    </row>
    <row r="9" spans="1:34" ht="72.5">
      <c r="A9" s="26"/>
      <c r="B9" s="36"/>
      <c r="C9" s="44"/>
      <c r="D9" s="533"/>
      <c r="E9" s="536"/>
      <c r="F9" s="107" t="s">
        <v>336</v>
      </c>
      <c r="G9" s="106" t="s">
        <v>337</v>
      </c>
      <c r="H9" s="107" t="s">
        <v>297</v>
      </c>
      <c r="I9" s="107" t="s">
        <v>298</v>
      </c>
      <c r="J9" s="116" t="s">
        <v>341</v>
      </c>
      <c r="K9" s="112" t="s">
        <v>342</v>
      </c>
      <c r="L9" s="108" t="str">
        <f t="shared" si="0"/>
        <v>Executar les mesures de gestió previstes en els plans de control i erradicació d'espècies exòtiques de forma coordinada amb el Servei de Flora i Fauna en l'àmbit de l'ENP</v>
      </c>
      <c r="M9" s="109"/>
      <c r="N9" s="76"/>
      <c r="O9" s="76"/>
      <c r="P9" s="110"/>
      <c r="Q9" s="166" t="s">
        <v>340</v>
      </c>
      <c r="R9" s="166"/>
      <c r="S9" s="166"/>
      <c r="T9" s="166"/>
      <c r="U9" s="113"/>
      <c r="V9" s="113"/>
      <c r="W9" s="113"/>
      <c r="X9" s="113"/>
      <c r="Y9" s="113"/>
      <c r="Z9" s="113"/>
      <c r="AA9" s="113"/>
      <c r="AB9" s="113"/>
      <c r="AC9" s="113"/>
      <c r="AD9" s="113"/>
      <c r="AE9" s="113"/>
      <c r="AF9" s="113"/>
      <c r="AG9" s="113"/>
      <c r="AH9" s="113"/>
    </row>
    <row r="10" spans="1:34" ht="130.5">
      <c r="A10" s="26"/>
      <c r="B10" s="36"/>
      <c r="C10" s="44"/>
      <c r="D10" s="534"/>
      <c r="E10" s="537"/>
      <c r="F10" s="107" t="s">
        <v>345</v>
      </c>
      <c r="G10" s="106" t="s">
        <v>346</v>
      </c>
      <c r="H10" s="107" t="s">
        <v>347</v>
      </c>
      <c r="I10" s="107" t="s">
        <v>348</v>
      </c>
      <c r="J10" s="116"/>
      <c r="K10" s="112"/>
      <c r="L10" s="108" t="str">
        <f t="shared" si="0"/>
        <v xml:space="preserve">Desplegar els objectius i tasques recollits en els instruments de referència i compromisos internacionals  </v>
      </c>
      <c r="M10" s="109"/>
      <c r="N10" s="76"/>
      <c r="O10" s="76"/>
      <c r="P10" s="110"/>
      <c r="Q10" s="166" t="s">
        <v>350</v>
      </c>
      <c r="R10" s="166"/>
      <c r="S10" s="166"/>
      <c r="T10" s="166"/>
      <c r="U10" s="113"/>
      <c r="V10" s="113"/>
      <c r="W10" s="113"/>
      <c r="X10" s="113"/>
      <c r="Y10" s="113"/>
      <c r="Z10" s="113"/>
      <c r="AA10" s="113"/>
      <c r="AB10" s="113"/>
      <c r="AC10" s="113"/>
      <c r="AD10" s="113"/>
      <c r="AE10" s="113"/>
      <c r="AF10" s="113"/>
      <c r="AG10" s="113"/>
      <c r="AH10" s="113"/>
    </row>
    <row r="11" spans="1:34" ht="58">
      <c r="A11" s="26"/>
      <c r="B11" s="36"/>
      <c r="C11" s="44"/>
      <c r="D11" s="530" t="s">
        <v>356</v>
      </c>
      <c r="E11" s="531" t="s">
        <v>357</v>
      </c>
      <c r="F11" s="105" t="s">
        <v>358</v>
      </c>
      <c r="G11" s="106" t="s">
        <v>359</v>
      </c>
      <c r="H11" s="107" t="s">
        <v>297</v>
      </c>
      <c r="I11" s="107" t="s">
        <v>298</v>
      </c>
      <c r="J11" s="111" t="s">
        <v>323</v>
      </c>
      <c r="K11" s="112" t="s">
        <v>361</v>
      </c>
      <c r="L11" s="108" t="str">
        <f t="shared" si="0"/>
        <v>Identificar espais pel foment de la dinàmica natural i l'aprofitament no extractiu</v>
      </c>
      <c r="M11" s="109"/>
      <c r="N11" s="76"/>
      <c r="O11" s="76"/>
      <c r="P11" s="110"/>
      <c r="Q11" s="166" t="s">
        <v>360</v>
      </c>
      <c r="R11" s="166"/>
      <c r="S11" s="166"/>
      <c r="T11" s="166"/>
      <c r="U11" s="113"/>
      <c r="V11" s="113"/>
      <c r="W11" s="113"/>
      <c r="X11" s="113"/>
      <c r="Y11" s="113"/>
      <c r="Z11" s="113"/>
      <c r="AA11" s="113"/>
      <c r="AB11" s="113"/>
      <c r="AC11" s="113"/>
      <c r="AD11" s="113"/>
      <c r="AE11" s="113"/>
      <c r="AF11" s="113"/>
      <c r="AG11" s="113"/>
      <c r="AH11" s="113"/>
    </row>
    <row r="12" spans="1:34" ht="43.5">
      <c r="A12" s="26"/>
      <c r="B12" s="36"/>
      <c r="C12" s="44"/>
      <c r="D12" s="530"/>
      <c r="E12" s="531"/>
      <c r="F12" s="105" t="s">
        <v>365</v>
      </c>
      <c r="G12" s="106" t="s">
        <v>366</v>
      </c>
      <c r="H12" s="107" t="s">
        <v>347</v>
      </c>
      <c r="I12" s="107" t="s">
        <v>348</v>
      </c>
      <c r="J12" s="111" t="s">
        <v>46</v>
      </c>
      <c r="K12" s="112" t="s">
        <v>361</v>
      </c>
      <c r="L12" s="108" t="str">
        <f t="shared" si="0"/>
        <v>Afavorir la maduresa dels sistemes forestals</v>
      </c>
      <c r="M12" s="109"/>
      <c r="N12" s="76"/>
      <c r="O12" s="76"/>
      <c r="P12" s="110"/>
      <c r="Q12" s="166" t="s">
        <v>367</v>
      </c>
      <c r="R12" s="166"/>
      <c r="S12" s="166"/>
      <c r="T12" s="166"/>
      <c r="U12" s="113"/>
      <c r="V12" s="113"/>
      <c r="W12" s="113"/>
      <c r="X12" s="113"/>
      <c r="Y12" s="113"/>
      <c r="Z12" s="113"/>
      <c r="AA12" s="113"/>
      <c r="AB12" s="113"/>
      <c r="AC12" s="113"/>
      <c r="AD12" s="113"/>
      <c r="AE12" s="113"/>
      <c r="AF12" s="113"/>
      <c r="AG12" s="113"/>
      <c r="AH12" s="113"/>
    </row>
    <row r="13" spans="1:34" ht="87">
      <c r="A13" s="26"/>
      <c r="B13" s="36"/>
      <c r="C13" s="44"/>
      <c r="D13" s="530"/>
      <c r="E13" s="531"/>
      <c r="F13" s="105" t="s">
        <v>368</v>
      </c>
      <c r="G13" s="106" t="s">
        <v>369</v>
      </c>
      <c r="H13" s="107" t="s">
        <v>347</v>
      </c>
      <c r="I13" s="107" t="s">
        <v>348</v>
      </c>
      <c r="J13" s="111" t="s">
        <v>46</v>
      </c>
      <c r="K13" s="112" t="s">
        <v>361</v>
      </c>
      <c r="L13" s="108" t="str">
        <f t="shared" si="0"/>
        <v>Generar pertorbacions controlades</v>
      </c>
      <c r="M13" s="109"/>
      <c r="N13" s="76"/>
      <c r="O13" s="76"/>
      <c r="P13" s="110"/>
      <c r="Q13" s="166" t="s">
        <v>370</v>
      </c>
      <c r="R13" s="166"/>
      <c r="S13" s="166"/>
      <c r="T13" s="166"/>
      <c r="U13" s="113"/>
      <c r="V13" s="113"/>
      <c r="W13" s="113"/>
      <c r="X13" s="113"/>
      <c r="Y13" s="113"/>
      <c r="Z13" s="113"/>
      <c r="AA13" s="113"/>
      <c r="AB13" s="113"/>
      <c r="AC13" s="113"/>
      <c r="AD13" s="113"/>
      <c r="AE13" s="113"/>
      <c r="AF13" s="113"/>
      <c r="AG13" s="113"/>
      <c r="AH13" s="113"/>
    </row>
    <row r="14" spans="1:34" ht="43.5">
      <c r="A14" s="26"/>
      <c r="B14" s="36"/>
      <c r="C14" s="44"/>
      <c r="D14" s="530"/>
      <c r="E14" s="531"/>
      <c r="F14" s="105" t="s">
        <v>373</v>
      </c>
      <c r="G14" s="106" t="s">
        <v>374</v>
      </c>
      <c r="H14" s="107" t="s">
        <v>347</v>
      </c>
      <c r="I14" s="107" t="s">
        <v>348</v>
      </c>
      <c r="J14" s="111" t="s">
        <v>46</v>
      </c>
      <c r="K14" s="112" t="s">
        <v>361</v>
      </c>
      <c r="L14" s="108" t="str">
        <f t="shared" si="0"/>
        <v xml:space="preserve">Restaurar la dinàmica natural dels rius </v>
      </c>
      <c r="M14" s="109"/>
      <c r="N14" s="76"/>
      <c r="O14" s="76"/>
      <c r="P14" s="110"/>
      <c r="Q14" s="166" t="s">
        <v>377</v>
      </c>
      <c r="R14" s="166"/>
      <c r="S14" s="166"/>
      <c r="T14" s="166"/>
      <c r="U14" s="113"/>
      <c r="V14" s="113"/>
      <c r="W14" s="113"/>
      <c r="X14" s="113"/>
      <c r="Y14" s="113"/>
      <c r="Z14" s="113"/>
      <c r="AA14" s="113"/>
      <c r="AB14" s="113"/>
      <c r="AC14" s="113"/>
      <c r="AD14" s="113"/>
      <c r="AE14" s="113"/>
      <c r="AF14" s="113"/>
      <c r="AG14" s="113"/>
      <c r="AH14" s="113"/>
    </row>
    <row r="15" spans="1:34" ht="101.5">
      <c r="A15" s="26"/>
      <c r="B15" s="36"/>
      <c r="C15" s="44"/>
      <c r="D15" s="530"/>
      <c r="E15" s="531"/>
      <c r="F15" s="105" t="s">
        <v>378</v>
      </c>
      <c r="G15" s="106" t="s">
        <v>379</v>
      </c>
      <c r="H15" s="107" t="s">
        <v>347</v>
      </c>
      <c r="I15" s="107" t="s">
        <v>348</v>
      </c>
      <c r="J15" s="111" t="s">
        <v>323</v>
      </c>
      <c r="K15" s="112" t="s">
        <v>361</v>
      </c>
      <c r="L15" s="108" t="str">
        <f t="shared" si="0"/>
        <v>Fomentar el paisatge en mosaïc</v>
      </c>
      <c r="M15" s="109"/>
      <c r="N15" s="76"/>
      <c r="O15" s="76"/>
      <c r="P15" s="110"/>
      <c r="Q15" s="166" t="s">
        <v>380</v>
      </c>
      <c r="R15" s="166"/>
      <c r="S15" s="166"/>
      <c r="T15" s="166"/>
      <c r="U15" s="113"/>
      <c r="V15" s="113"/>
      <c r="W15" s="113"/>
      <c r="X15" s="113"/>
      <c r="Y15" s="113"/>
      <c r="Z15" s="113"/>
      <c r="AA15" s="113"/>
      <c r="AB15" s="113"/>
      <c r="AC15" s="113"/>
      <c r="AD15" s="113"/>
      <c r="AE15" s="113"/>
      <c r="AF15" s="113"/>
      <c r="AG15" s="113"/>
      <c r="AH15" s="113"/>
    </row>
    <row r="16" spans="1:34" ht="43.5">
      <c r="A16" s="26"/>
      <c r="B16" s="36"/>
      <c r="C16" s="44"/>
      <c r="D16" s="530"/>
      <c r="E16" s="531"/>
      <c r="F16" s="105" t="s">
        <v>382</v>
      </c>
      <c r="G16" s="106" t="s">
        <v>383</v>
      </c>
      <c r="H16" s="107" t="s">
        <v>347</v>
      </c>
      <c r="I16" s="107" t="s">
        <v>348</v>
      </c>
      <c r="J16" s="111"/>
      <c r="K16" s="112" t="s">
        <v>361</v>
      </c>
      <c r="L16" s="108" t="str">
        <f t="shared" si="0"/>
        <v>Gestionar i intervenir en la dinàmica de poblacions de fauna que no tenen depredador natural</v>
      </c>
      <c r="M16" s="109"/>
      <c r="N16" s="76"/>
      <c r="O16" s="76"/>
      <c r="P16" s="110"/>
      <c r="Q16" s="166" t="s">
        <v>384</v>
      </c>
      <c r="R16" s="166"/>
      <c r="S16" s="166"/>
      <c r="T16" s="166"/>
      <c r="U16" s="113"/>
      <c r="V16" s="113"/>
      <c r="W16" s="113"/>
      <c r="X16" s="113"/>
      <c r="Y16" s="113"/>
      <c r="Z16" s="113"/>
      <c r="AA16" s="113"/>
      <c r="AB16" s="113"/>
      <c r="AC16" s="113"/>
      <c r="AD16" s="113"/>
      <c r="AE16" s="113"/>
      <c r="AF16" s="113"/>
      <c r="AG16" s="113"/>
      <c r="AH16" s="113"/>
    </row>
    <row r="17" spans="1:34" ht="14.5">
      <c r="A17" s="26"/>
      <c r="B17" s="36"/>
      <c r="C17" s="44"/>
      <c r="D17" s="12"/>
      <c r="E17" s="89"/>
      <c r="F17" s="105"/>
      <c r="G17" s="106"/>
      <c r="H17" s="107"/>
      <c r="I17" s="107"/>
      <c r="J17" s="111"/>
      <c r="K17" s="112"/>
      <c r="L17" s="108"/>
      <c r="M17" s="109"/>
      <c r="N17" s="76"/>
      <c r="O17" s="76"/>
      <c r="P17" s="110"/>
      <c r="Q17" s="166"/>
      <c r="R17" s="166"/>
      <c r="S17" s="166"/>
      <c r="T17" s="166"/>
      <c r="U17" s="113"/>
      <c r="V17" s="113"/>
      <c r="W17" s="113"/>
      <c r="X17" s="113"/>
      <c r="Y17" s="113"/>
      <c r="Z17" s="113"/>
      <c r="AA17" s="113"/>
      <c r="AB17" s="113"/>
      <c r="AC17" s="113"/>
      <c r="AD17" s="113"/>
      <c r="AE17" s="113"/>
      <c r="AF17" s="113"/>
      <c r="AG17" s="113"/>
      <c r="AH17" s="113"/>
    </row>
    <row r="18" spans="1:34" ht="29">
      <c r="A18" s="26"/>
      <c r="B18" s="36"/>
      <c r="C18" s="44"/>
      <c r="D18" s="530" t="s">
        <v>388</v>
      </c>
      <c r="E18" s="531" t="s">
        <v>389</v>
      </c>
      <c r="F18" s="105" t="s">
        <v>390</v>
      </c>
      <c r="G18" s="106" t="s">
        <v>391</v>
      </c>
      <c r="H18" s="107" t="s">
        <v>297</v>
      </c>
      <c r="I18" s="107" t="s">
        <v>348</v>
      </c>
      <c r="J18" s="111" t="s">
        <v>46</v>
      </c>
      <c r="K18" s="112" t="s">
        <v>395</v>
      </c>
      <c r="L18" s="108" t="str">
        <f t="shared" si="0"/>
        <v>Fomentar acords de custòdia en espais d'alt valor dins l'ENP per a la gestió dels elements prioritaris</v>
      </c>
      <c r="M18" s="109"/>
      <c r="N18" s="76"/>
      <c r="O18" s="76"/>
      <c r="P18" s="110"/>
      <c r="Q18" s="166" t="s">
        <v>394</v>
      </c>
      <c r="R18" s="166"/>
      <c r="S18" s="166"/>
      <c r="T18" s="166"/>
      <c r="U18" s="113"/>
      <c r="V18" s="113"/>
      <c r="W18" s="113"/>
      <c r="X18" s="113"/>
      <c r="Y18" s="113"/>
      <c r="Z18" s="113"/>
      <c r="AA18" s="113"/>
      <c r="AB18" s="113"/>
      <c r="AC18" s="113"/>
      <c r="AD18" s="113"/>
      <c r="AE18" s="113"/>
      <c r="AF18" s="113"/>
      <c r="AG18" s="113"/>
      <c r="AH18" s="113"/>
    </row>
    <row r="19" spans="1:34" ht="29">
      <c r="A19" s="26"/>
      <c r="B19" s="36"/>
      <c r="C19" s="44"/>
      <c r="D19" s="530"/>
      <c r="E19" s="531"/>
      <c r="F19" s="105" t="s">
        <v>397</v>
      </c>
      <c r="G19" s="106" t="s">
        <v>398</v>
      </c>
      <c r="H19" s="107" t="s">
        <v>297</v>
      </c>
      <c r="I19" s="107" t="s">
        <v>348</v>
      </c>
      <c r="J19" s="111"/>
      <c r="K19" s="112"/>
      <c r="L19" s="108" t="str">
        <f t="shared" si="0"/>
        <v>Fomentar bones pràctiques entre els col·lectius de propietaris i gestors del territori</v>
      </c>
      <c r="M19" s="109"/>
      <c r="N19" s="76"/>
      <c r="O19" s="76"/>
      <c r="P19" s="110"/>
      <c r="Q19" s="166" t="s">
        <v>399</v>
      </c>
      <c r="R19" s="166"/>
      <c r="S19" s="166"/>
      <c r="T19" s="166"/>
      <c r="U19" s="113"/>
      <c r="V19" s="113"/>
      <c r="W19" s="113"/>
      <c r="X19" s="113"/>
      <c r="Y19" s="113"/>
      <c r="Z19" s="113"/>
      <c r="AA19" s="113"/>
      <c r="AB19" s="113"/>
      <c r="AC19" s="113"/>
      <c r="AD19" s="113"/>
      <c r="AE19" s="113"/>
      <c r="AF19" s="113"/>
      <c r="AG19" s="113"/>
      <c r="AH19" s="113"/>
    </row>
    <row r="20" spans="1:34" ht="43.5">
      <c r="A20" s="26"/>
      <c r="B20" s="37"/>
      <c r="C20" s="45"/>
      <c r="D20" s="530"/>
      <c r="E20" s="531"/>
      <c r="F20" s="105" t="s">
        <v>401</v>
      </c>
      <c r="G20" s="106" t="s">
        <v>402</v>
      </c>
      <c r="H20" s="107" t="s">
        <v>347</v>
      </c>
      <c r="I20" s="107" t="s">
        <v>348</v>
      </c>
      <c r="J20" s="111" t="s">
        <v>323</v>
      </c>
      <c r="K20" s="112"/>
      <c r="L20" s="108" t="str">
        <f t="shared" si="0"/>
        <v>Impulsar la coordinació amb els ens locals en la gestió finques públiques situades dins d’ENP</v>
      </c>
      <c r="M20" s="109"/>
      <c r="N20" s="76"/>
      <c r="O20" s="76"/>
      <c r="P20" s="110"/>
      <c r="Q20" s="166" t="s">
        <v>403</v>
      </c>
      <c r="R20" s="166"/>
      <c r="S20" s="166"/>
      <c r="T20" s="166"/>
      <c r="U20" s="113"/>
      <c r="V20" s="113"/>
      <c r="W20" s="113"/>
      <c r="X20" s="113"/>
      <c r="Y20" s="113"/>
      <c r="Z20" s="113"/>
      <c r="AA20" s="113"/>
      <c r="AB20" s="113"/>
      <c r="AC20" s="113"/>
      <c r="AD20" s="113"/>
      <c r="AE20" s="113"/>
      <c r="AF20" s="113"/>
      <c r="AG20" s="113"/>
      <c r="AH20" s="113"/>
    </row>
    <row r="21" spans="1:34" ht="43.5">
      <c r="A21" s="26"/>
      <c r="B21" s="538">
        <v>2</v>
      </c>
      <c r="C21" s="541" t="s">
        <v>404</v>
      </c>
      <c r="D21" s="532" t="s">
        <v>405</v>
      </c>
      <c r="E21" s="535" t="s">
        <v>406</v>
      </c>
      <c r="F21" s="105" t="s">
        <v>407</v>
      </c>
      <c r="G21" s="106" t="s">
        <v>408</v>
      </c>
      <c r="H21" s="107" t="s">
        <v>297</v>
      </c>
      <c r="I21" s="107" t="s">
        <v>298</v>
      </c>
      <c r="J21" s="111"/>
      <c r="K21" s="112" t="s">
        <v>410</v>
      </c>
      <c r="L21" s="108" t="str">
        <f t="shared" si="0"/>
        <v>Adaptar i implementar el Pla d'adaptació de l'ENP al canvi climàtic</v>
      </c>
      <c r="M21" s="109"/>
      <c r="N21" s="76"/>
      <c r="O21" s="76"/>
      <c r="P21" s="110"/>
      <c r="Q21" s="166" t="s">
        <v>409</v>
      </c>
      <c r="R21" s="166"/>
      <c r="S21" s="166"/>
      <c r="T21" s="166"/>
      <c r="U21" s="113"/>
      <c r="V21" s="113"/>
      <c r="W21" s="113"/>
      <c r="X21" s="113"/>
      <c r="Y21" s="113"/>
      <c r="Z21" s="113"/>
      <c r="AA21" s="113"/>
      <c r="AB21" s="113"/>
      <c r="AC21" s="113"/>
      <c r="AD21" s="113"/>
      <c r="AE21" s="113"/>
      <c r="AF21" s="113"/>
      <c r="AG21" s="113"/>
      <c r="AH21" s="113"/>
    </row>
    <row r="22" spans="1:34" ht="14.5">
      <c r="A22" s="26"/>
      <c r="B22" s="539"/>
      <c r="C22" s="542"/>
      <c r="D22" s="533"/>
      <c r="E22" s="536"/>
      <c r="F22" s="105" t="s">
        <v>413</v>
      </c>
      <c r="G22" s="106" t="s">
        <v>414</v>
      </c>
      <c r="H22" s="107" t="s">
        <v>297</v>
      </c>
      <c r="I22" s="107" t="s">
        <v>320</v>
      </c>
      <c r="J22" s="111"/>
      <c r="K22" s="112"/>
      <c r="L22" s="108" t="str">
        <f t="shared" si="0"/>
        <v>Gestionar i planificar els recursos hídrics de l'ENP</v>
      </c>
      <c r="M22" s="109"/>
      <c r="N22" s="76"/>
      <c r="O22" s="76"/>
      <c r="P22" s="110"/>
      <c r="Q22" s="166"/>
      <c r="R22" s="166"/>
      <c r="S22" s="166"/>
      <c r="T22" s="166"/>
      <c r="U22" s="113"/>
      <c r="V22" s="113"/>
      <c r="W22" s="113"/>
      <c r="X22" s="113"/>
      <c r="Y22" s="113"/>
      <c r="Z22" s="113"/>
      <c r="AA22" s="113"/>
      <c r="AB22" s="113"/>
      <c r="AC22" s="113"/>
      <c r="AD22" s="113"/>
      <c r="AE22" s="113"/>
      <c r="AF22" s="113"/>
      <c r="AG22" s="113"/>
      <c r="AH22" s="113"/>
    </row>
    <row r="23" spans="1:34" ht="72.5">
      <c r="A23" s="26"/>
      <c r="B23" s="539"/>
      <c r="C23" s="542"/>
      <c r="D23" s="533"/>
      <c r="E23" s="536"/>
      <c r="F23" s="105" t="s">
        <v>416</v>
      </c>
      <c r="G23" s="106" t="s">
        <v>417</v>
      </c>
      <c r="H23" s="107" t="s">
        <v>347</v>
      </c>
      <c r="I23" s="107" t="s">
        <v>348</v>
      </c>
      <c r="J23" s="111"/>
      <c r="K23" s="112" t="s">
        <v>421</v>
      </c>
      <c r="L23" s="108" t="str">
        <f t="shared" si="0"/>
        <v>Participar en la redacció i execució dels instruments d'ordenació forestal sostenible i per la conservació en finques públiques</v>
      </c>
      <c r="M23" s="109"/>
      <c r="N23" s="76"/>
      <c r="O23" s="76"/>
      <c r="P23" s="110"/>
      <c r="Q23" s="166" t="s">
        <v>420</v>
      </c>
      <c r="R23" s="166"/>
      <c r="S23" s="166"/>
      <c r="T23" s="166"/>
      <c r="U23" s="113"/>
      <c r="V23" s="113"/>
      <c r="W23" s="113"/>
      <c r="X23" s="113"/>
      <c r="Y23" s="113"/>
      <c r="Z23" s="113"/>
      <c r="AA23" s="113"/>
      <c r="AB23" s="113"/>
      <c r="AC23" s="113"/>
      <c r="AD23" s="113"/>
      <c r="AE23" s="113"/>
      <c r="AF23" s="113"/>
      <c r="AG23" s="113"/>
      <c r="AH23" s="113"/>
    </row>
    <row r="24" spans="1:34" ht="43.5">
      <c r="A24" s="26"/>
      <c r="B24" s="539"/>
      <c r="C24" s="542"/>
      <c r="D24" s="534"/>
      <c r="E24" s="537"/>
      <c r="F24" s="105" t="s">
        <v>422</v>
      </c>
      <c r="G24" s="106" t="s">
        <v>423</v>
      </c>
      <c r="H24" s="107" t="s">
        <v>347</v>
      </c>
      <c r="I24" s="107" t="s">
        <v>424</v>
      </c>
      <c r="J24" s="111"/>
      <c r="K24" s="112"/>
      <c r="L24" s="108" t="str">
        <f t="shared" si="0"/>
        <v>Promoure la redacció d'instruments d'ordenació forestal per reduir la sensibilitat i vulnerabilitat dels boscos al canvi climàtic en finques privades</v>
      </c>
      <c r="M24" s="109"/>
      <c r="N24" s="76"/>
      <c r="O24" s="76"/>
      <c r="P24" s="110"/>
      <c r="Q24" s="166" t="s">
        <v>425</v>
      </c>
      <c r="R24" s="166"/>
      <c r="S24" s="166"/>
      <c r="T24" s="166"/>
      <c r="U24" s="113"/>
      <c r="V24" s="113"/>
      <c r="W24" s="113"/>
      <c r="X24" s="113"/>
      <c r="Y24" s="113"/>
      <c r="Z24" s="113"/>
      <c r="AA24" s="113"/>
      <c r="AB24" s="113"/>
      <c r="AC24" s="113"/>
      <c r="AD24" s="113"/>
      <c r="AE24" s="113"/>
      <c r="AF24" s="113"/>
      <c r="AG24" s="113"/>
      <c r="AH24" s="113"/>
    </row>
    <row r="25" spans="1:34" ht="58">
      <c r="A25" s="26"/>
      <c r="B25" s="539"/>
      <c r="C25" s="542"/>
      <c r="D25" s="530" t="s">
        <v>428</v>
      </c>
      <c r="E25" s="531" t="s">
        <v>429</v>
      </c>
      <c r="F25" s="105" t="s">
        <v>430</v>
      </c>
      <c r="G25" s="106" t="s">
        <v>1350</v>
      </c>
      <c r="H25" s="107" t="s">
        <v>297</v>
      </c>
      <c r="I25" s="107" t="s">
        <v>298</v>
      </c>
      <c r="J25" s="111" t="s">
        <v>323</v>
      </c>
      <c r="K25" s="112" t="s">
        <v>433</v>
      </c>
      <c r="L25" s="108" t="str">
        <f t="shared" si="0"/>
        <v xml:space="preserve">Redactar i implementar el Pla de Prevenció d'Incendis </v>
      </c>
      <c r="M25" s="109"/>
      <c r="N25" s="76"/>
      <c r="O25" s="76"/>
      <c r="P25" s="110"/>
      <c r="Q25" s="166" t="s">
        <v>432</v>
      </c>
      <c r="R25" s="166"/>
      <c r="S25" s="166"/>
      <c r="T25" s="166"/>
      <c r="U25" s="113"/>
      <c r="V25" s="113"/>
      <c r="W25" s="113"/>
      <c r="X25" s="113"/>
      <c r="Y25" s="113"/>
      <c r="Z25" s="113"/>
      <c r="AA25" s="113"/>
      <c r="AB25" s="113"/>
      <c r="AC25" s="113"/>
      <c r="AD25" s="113"/>
      <c r="AE25" s="113"/>
      <c r="AF25" s="113"/>
      <c r="AG25" s="113"/>
      <c r="AH25" s="113"/>
    </row>
    <row r="26" spans="1:34" ht="29">
      <c r="A26" s="26"/>
      <c r="B26" s="539"/>
      <c r="C26" s="542"/>
      <c r="D26" s="530"/>
      <c r="E26" s="531"/>
      <c r="F26" s="105" t="s">
        <v>434</v>
      </c>
      <c r="G26" s="106" t="s">
        <v>435</v>
      </c>
      <c r="H26" s="107" t="s">
        <v>347</v>
      </c>
      <c r="I26" s="107" t="s">
        <v>348</v>
      </c>
      <c r="J26" s="111"/>
      <c r="K26" s="112" t="s">
        <v>438</v>
      </c>
      <c r="L26" s="108" t="str">
        <f t="shared" si="0"/>
        <v>Definir i planificar la gestió del foc per a la millora de l'ENP</v>
      </c>
      <c r="M26" s="109"/>
      <c r="N26" s="76"/>
      <c r="O26" s="76"/>
      <c r="P26" s="110"/>
      <c r="Q26" s="166" t="s">
        <v>437</v>
      </c>
      <c r="R26" s="166"/>
      <c r="S26" s="166"/>
      <c r="T26" s="166"/>
      <c r="U26" s="113"/>
      <c r="V26" s="113"/>
      <c r="W26" s="113"/>
      <c r="X26" s="113"/>
      <c r="Y26" s="113"/>
      <c r="Z26" s="113"/>
      <c r="AA26" s="113"/>
      <c r="AB26" s="113"/>
      <c r="AC26" s="113"/>
      <c r="AD26" s="113"/>
      <c r="AE26" s="113"/>
      <c r="AF26" s="113"/>
      <c r="AG26" s="113"/>
      <c r="AH26" s="113"/>
    </row>
    <row r="27" spans="1:34" ht="43.5">
      <c r="A27" s="26"/>
      <c r="B27" s="539"/>
      <c r="C27" s="542"/>
      <c r="D27" s="530"/>
      <c r="E27" s="531"/>
      <c r="F27" s="105" t="s">
        <v>439</v>
      </c>
      <c r="G27" s="106" t="s">
        <v>440</v>
      </c>
      <c r="H27" s="107" t="s">
        <v>297</v>
      </c>
      <c r="I27" s="107" t="s">
        <v>298</v>
      </c>
      <c r="J27" s="111"/>
      <c r="K27" s="112"/>
      <c r="L27" s="108" t="str">
        <f t="shared" si="0"/>
        <v>Treballar per a la prevenció d'incendis juntament amb els propietaris, ajuntaments, protecció civil, ADF i bombers.</v>
      </c>
      <c r="M27" s="109"/>
      <c r="N27" s="76"/>
      <c r="O27" s="76"/>
      <c r="P27" s="110"/>
      <c r="Q27" s="166"/>
      <c r="R27" s="166"/>
      <c r="S27" s="166"/>
      <c r="T27" s="166"/>
      <c r="U27" s="113"/>
      <c r="V27" s="113"/>
      <c r="W27" s="113"/>
      <c r="X27" s="113"/>
      <c r="Y27" s="113"/>
      <c r="Z27" s="113"/>
      <c r="AA27" s="113"/>
      <c r="AB27" s="113"/>
      <c r="AC27" s="113"/>
      <c r="AD27" s="113"/>
      <c r="AE27" s="113"/>
      <c r="AF27" s="113"/>
      <c r="AG27" s="113"/>
      <c r="AH27" s="113"/>
    </row>
    <row r="28" spans="1:34" ht="43.5">
      <c r="A28" s="26"/>
      <c r="B28" s="538">
        <v>3</v>
      </c>
      <c r="C28" s="541" t="s">
        <v>442</v>
      </c>
      <c r="D28" s="530" t="s">
        <v>443</v>
      </c>
      <c r="E28" s="544" t="s">
        <v>444</v>
      </c>
      <c r="F28" s="105" t="s">
        <v>445</v>
      </c>
      <c r="G28" s="106" t="s">
        <v>446</v>
      </c>
      <c r="H28" s="107" t="s">
        <v>297</v>
      </c>
      <c r="I28" s="107" t="s">
        <v>320</v>
      </c>
      <c r="J28" s="111"/>
      <c r="K28" s="112"/>
      <c r="L28" s="108" t="str">
        <f t="shared" si="0"/>
        <v>Participar en les consultes dels procesos d'Avaluació Ambiental que afectin directament o indirectament l’espai del ENP</v>
      </c>
      <c r="M28" s="109"/>
      <c r="N28" s="114"/>
      <c r="O28" s="114"/>
      <c r="P28" s="110"/>
      <c r="Q28" s="166"/>
      <c r="R28" s="166"/>
      <c r="S28" s="166"/>
      <c r="T28" s="166"/>
      <c r="U28" s="113"/>
      <c r="V28" s="113"/>
      <c r="W28" s="113"/>
      <c r="X28" s="113"/>
      <c r="Y28" s="113"/>
      <c r="Z28" s="113"/>
      <c r="AA28" s="113"/>
      <c r="AB28" s="113"/>
      <c r="AC28" s="113"/>
      <c r="AD28" s="113"/>
      <c r="AE28" s="113"/>
      <c r="AF28" s="113"/>
      <c r="AG28" s="113"/>
      <c r="AH28" s="113"/>
    </row>
    <row r="29" spans="1:34" ht="58">
      <c r="A29" s="26"/>
      <c r="B29" s="539"/>
      <c r="C29" s="542"/>
      <c r="D29" s="530"/>
      <c r="E29" s="544"/>
      <c r="F29" s="105" t="s">
        <v>447</v>
      </c>
      <c r="G29" s="106" t="s">
        <v>448</v>
      </c>
      <c r="H29" s="107" t="s">
        <v>297</v>
      </c>
      <c r="I29" s="107" t="s">
        <v>320</v>
      </c>
      <c r="J29" s="111"/>
      <c r="K29" s="112"/>
      <c r="L29" s="108" t="str">
        <f t="shared" si="0"/>
        <v>Exercir un seguiment efectiu de les obres al Parc juntament amb les Oficines Territorials d'Acció i Avaluació Ambiental als efectes d'assegurar la correcta translació de la tutela administrativa.</v>
      </c>
      <c r="M29" s="109"/>
      <c r="N29" s="76"/>
      <c r="O29" s="76"/>
      <c r="P29" s="110"/>
      <c r="Q29" s="166"/>
      <c r="R29" s="166"/>
      <c r="S29" s="166"/>
      <c r="T29" s="166"/>
      <c r="U29" s="113"/>
      <c r="V29" s="113"/>
      <c r="W29" s="113"/>
      <c r="X29" s="113"/>
      <c r="Y29" s="113"/>
      <c r="Z29" s="113"/>
      <c r="AA29" s="113"/>
      <c r="AB29" s="113"/>
      <c r="AC29" s="113"/>
      <c r="AD29" s="113"/>
      <c r="AE29" s="113"/>
      <c r="AF29" s="113"/>
      <c r="AG29" s="113"/>
      <c r="AH29" s="113"/>
    </row>
    <row r="30" spans="1:34" ht="58">
      <c r="A30" s="26"/>
      <c r="B30" s="539"/>
      <c r="C30" s="542"/>
      <c r="D30" s="530"/>
      <c r="E30" s="544"/>
      <c r="F30" s="105" t="s">
        <v>449</v>
      </c>
      <c r="G30" s="106" t="s">
        <v>450</v>
      </c>
      <c r="H30" s="107" t="s">
        <v>297</v>
      </c>
      <c r="I30" s="107" t="s">
        <v>348</v>
      </c>
      <c r="J30" s="111"/>
      <c r="K30" s="112"/>
      <c r="L30" s="108" t="str">
        <f t="shared" si="0"/>
        <v>Participar en la compensació d'impactes residuals durant els processos d'avaluació ambiental mitjançant la identificació de necessitats d'actuació prioritària dins i fora dels límits de l’ENP</v>
      </c>
      <c r="M30" s="109"/>
      <c r="N30" s="76"/>
      <c r="O30" s="76"/>
      <c r="P30" s="110"/>
      <c r="Q30" s="166" t="s">
        <v>453</v>
      </c>
      <c r="R30" s="166"/>
      <c r="S30" s="166"/>
      <c r="T30" s="166"/>
      <c r="U30" s="113"/>
      <c r="V30" s="113"/>
      <c r="W30" s="113"/>
      <c r="X30" s="113"/>
      <c r="Y30" s="113"/>
      <c r="Z30" s="113"/>
      <c r="AA30" s="113"/>
      <c r="AB30" s="113"/>
      <c r="AC30" s="113"/>
      <c r="AD30" s="113"/>
      <c r="AE30" s="113"/>
      <c r="AF30" s="113"/>
      <c r="AG30" s="113"/>
      <c r="AH30" s="113"/>
    </row>
    <row r="31" spans="1:34" ht="87">
      <c r="A31" s="26"/>
      <c r="B31" s="539"/>
      <c r="C31" s="542"/>
      <c r="D31" s="12" t="s">
        <v>455</v>
      </c>
      <c r="E31" s="89" t="s">
        <v>456</v>
      </c>
      <c r="F31" s="105" t="s">
        <v>457</v>
      </c>
      <c r="G31" s="106" t="s">
        <v>458</v>
      </c>
      <c r="H31" s="107" t="s">
        <v>297</v>
      </c>
      <c r="I31" s="105" t="s">
        <v>320</v>
      </c>
      <c r="J31" s="111"/>
      <c r="K31" s="112" t="s">
        <v>462</v>
      </c>
      <c r="L31" s="108" t="str">
        <f t="shared" si="0"/>
        <v>Participar en l'elaboració dels instruments de planificació de l'ENP</v>
      </c>
      <c r="M31" s="117"/>
      <c r="N31" s="76"/>
      <c r="O31" s="76"/>
      <c r="P31" s="110"/>
      <c r="Q31" s="166" t="s">
        <v>461</v>
      </c>
      <c r="R31" s="166"/>
      <c r="S31" s="166"/>
      <c r="T31" s="166"/>
      <c r="U31" s="113"/>
      <c r="V31" s="113"/>
      <c r="W31" s="113"/>
      <c r="X31" s="113"/>
      <c r="Y31" s="113"/>
      <c r="Z31" s="113"/>
      <c r="AA31" s="113"/>
      <c r="AB31" s="113"/>
      <c r="AC31" s="113"/>
      <c r="AD31" s="113"/>
      <c r="AE31" s="113"/>
      <c r="AF31" s="113"/>
      <c r="AG31" s="113"/>
      <c r="AH31" s="113"/>
    </row>
    <row r="32" spans="1:34" ht="87">
      <c r="A32" s="26"/>
      <c r="B32" s="539"/>
      <c r="C32" s="542"/>
      <c r="D32" s="530" t="s">
        <v>464</v>
      </c>
      <c r="E32" s="531" t="s">
        <v>465</v>
      </c>
      <c r="F32" s="105" t="s">
        <v>466</v>
      </c>
      <c r="G32" s="106" t="s">
        <v>467</v>
      </c>
      <c r="H32" s="107" t="s">
        <v>347</v>
      </c>
      <c r="I32" s="107" t="s">
        <v>424</v>
      </c>
      <c r="J32" s="111" t="s">
        <v>323</v>
      </c>
      <c r="K32" s="112" t="s">
        <v>469</v>
      </c>
      <c r="L32" s="108" t="str">
        <f t="shared" si="0"/>
        <v>Vetllar pel manteniment del cabal ecològic dels rius definit al Pla sectorial corresponent</v>
      </c>
      <c r="M32" s="109"/>
      <c r="N32" s="76"/>
      <c r="O32" s="76"/>
      <c r="P32" s="110"/>
      <c r="Q32" s="166" t="s">
        <v>468</v>
      </c>
      <c r="R32" s="166"/>
      <c r="S32" s="166"/>
      <c r="T32" s="166"/>
      <c r="U32" s="113"/>
      <c r="V32" s="113"/>
      <c r="W32" s="113"/>
      <c r="X32" s="113"/>
      <c r="Y32" s="113"/>
      <c r="Z32" s="113"/>
      <c r="AA32" s="113"/>
      <c r="AB32" s="113"/>
      <c r="AC32" s="113"/>
      <c r="AD32" s="113"/>
      <c r="AE32" s="113"/>
      <c r="AF32" s="113"/>
      <c r="AG32" s="113"/>
      <c r="AH32" s="113"/>
    </row>
    <row r="33" spans="1:34" ht="43.5">
      <c r="A33" s="26"/>
      <c r="B33" s="539"/>
      <c r="C33" s="542"/>
      <c r="D33" s="530"/>
      <c r="E33" s="531"/>
      <c r="F33" s="105" t="s">
        <v>471</v>
      </c>
      <c r="G33" s="106" t="s">
        <v>472</v>
      </c>
      <c r="H33" s="107" t="s">
        <v>347</v>
      </c>
      <c r="I33" s="107" t="s">
        <v>348</v>
      </c>
      <c r="J33" s="111"/>
      <c r="K33" s="112"/>
      <c r="L33" s="108" t="str">
        <f t="shared" si="0"/>
        <v>Vetllar per la regulació dels dragatges, canalitzacions o implantació d'activitats extractives que puguin modificar la llera i el cabal dels rius</v>
      </c>
      <c r="M33" s="109"/>
      <c r="N33" s="76"/>
      <c r="O33" s="76"/>
      <c r="P33" s="110"/>
      <c r="Q33" s="166"/>
      <c r="R33" s="166"/>
      <c r="S33" s="166"/>
      <c r="T33" s="166"/>
      <c r="U33" s="113"/>
      <c r="V33" s="113"/>
      <c r="W33" s="113"/>
      <c r="X33" s="113"/>
      <c r="Y33" s="113"/>
      <c r="Z33" s="113"/>
      <c r="AA33" s="113"/>
      <c r="AB33" s="113"/>
      <c r="AC33" s="113"/>
      <c r="AD33" s="113"/>
      <c r="AE33" s="113"/>
      <c r="AF33" s="113"/>
      <c r="AG33" s="113"/>
      <c r="AH33" s="113"/>
    </row>
    <row r="34" spans="1:34" ht="87">
      <c r="A34" s="26"/>
      <c r="B34" s="539"/>
      <c r="C34" s="542"/>
      <c r="D34" s="530"/>
      <c r="E34" s="531"/>
      <c r="F34" s="105" t="s">
        <v>475</v>
      </c>
      <c r="G34" s="106" t="s">
        <v>476</v>
      </c>
      <c r="H34" s="107" t="s">
        <v>347</v>
      </c>
      <c r="I34" s="107" t="s">
        <v>348</v>
      </c>
      <c r="J34" s="111"/>
      <c r="K34" s="112"/>
      <c r="L34" s="108" t="str">
        <f t="shared" si="0"/>
        <v>Avaluar i controlar les actuacions que produeixin drenatges, captacions o que puguin impedir l’arribada d’aigua tant superficial com freàtica</v>
      </c>
      <c r="M34" s="109"/>
      <c r="N34" s="76"/>
      <c r="O34" s="76"/>
      <c r="P34" s="110"/>
      <c r="Q34" s="166" t="s">
        <v>477</v>
      </c>
      <c r="R34" s="166"/>
      <c r="S34" s="166"/>
      <c r="T34" s="166"/>
      <c r="U34" s="113"/>
      <c r="V34" s="113"/>
      <c r="W34" s="113"/>
      <c r="X34" s="113"/>
      <c r="Y34" s="113"/>
      <c r="Z34" s="113"/>
      <c r="AA34" s="113"/>
      <c r="AB34" s="113"/>
      <c r="AC34" s="113"/>
      <c r="AD34" s="113"/>
      <c r="AE34" s="113"/>
      <c r="AF34" s="113"/>
      <c r="AG34" s="113"/>
      <c r="AH34" s="113"/>
    </row>
    <row r="35" spans="1:34" ht="43.5">
      <c r="A35" s="26"/>
      <c r="B35" s="539"/>
      <c r="C35" s="542"/>
      <c r="D35" s="530"/>
      <c r="E35" s="531"/>
      <c r="F35" s="105" t="s">
        <v>478</v>
      </c>
      <c r="G35" s="106" t="s">
        <v>479</v>
      </c>
      <c r="H35" s="107" t="s">
        <v>347</v>
      </c>
      <c r="I35" s="107" t="s">
        <v>348</v>
      </c>
      <c r="J35" s="111"/>
      <c r="K35" s="112"/>
      <c r="L35" s="108" t="str">
        <f t="shared" si="0"/>
        <v>Vetllar pel compliment de la normativa de depuració dels efluents agroramaders, urbans i industrials que s'aboquen als cursos fluvials</v>
      </c>
      <c r="M35" s="109"/>
      <c r="N35" s="76"/>
      <c r="O35" s="76"/>
      <c r="P35" s="110"/>
      <c r="Q35" s="166" t="s">
        <v>480</v>
      </c>
      <c r="R35" s="166"/>
      <c r="S35" s="166"/>
      <c r="T35" s="166"/>
      <c r="U35" s="113"/>
      <c r="V35" s="113"/>
      <c r="W35" s="113"/>
      <c r="X35" s="113"/>
      <c r="Y35" s="113"/>
      <c r="Z35" s="113"/>
      <c r="AA35" s="113"/>
      <c r="AB35" s="113"/>
      <c r="AC35" s="113"/>
      <c r="AD35" s="113"/>
      <c r="AE35" s="113"/>
      <c r="AF35" s="113"/>
      <c r="AG35" s="113"/>
      <c r="AH35" s="113"/>
    </row>
    <row r="36" spans="1:34" ht="29">
      <c r="A36" s="26"/>
      <c r="B36" s="539"/>
      <c r="C36" s="542"/>
      <c r="D36" s="530" t="s">
        <v>489</v>
      </c>
      <c r="E36" s="531" t="s">
        <v>490</v>
      </c>
      <c r="F36" s="105" t="s">
        <v>491</v>
      </c>
      <c r="G36" s="106" t="s">
        <v>492</v>
      </c>
      <c r="H36" s="107" t="s">
        <v>297</v>
      </c>
      <c r="I36" s="107" t="s">
        <v>348</v>
      </c>
      <c r="J36" s="111"/>
      <c r="K36" s="112" t="s">
        <v>494</v>
      </c>
      <c r="L36" s="108" t="str">
        <f t="shared" si="0"/>
        <v xml:space="preserve">Identificar espais prioritaris per a la compra de terrenys de més valor dins l'ENP </v>
      </c>
      <c r="M36" s="109"/>
      <c r="N36" s="76"/>
      <c r="O36" s="76"/>
      <c r="P36" s="110"/>
      <c r="Q36" s="166" t="s">
        <v>493</v>
      </c>
      <c r="R36" s="166"/>
      <c r="S36" s="166"/>
      <c r="T36" s="166"/>
      <c r="U36" s="113"/>
      <c r="V36" s="113"/>
      <c r="W36" s="113"/>
      <c r="X36" s="113"/>
      <c r="Y36" s="113"/>
      <c r="Z36" s="113"/>
      <c r="AA36" s="113"/>
      <c r="AB36" s="113"/>
      <c r="AC36" s="113"/>
      <c r="AD36" s="113"/>
      <c r="AE36" s="113"/>
      <c r="AF36" s="113"/>
      <c r="AG36" s="113"/>
      <c r="AH36" s="113"/>
    </row>
    <row r="37" spans="1:34" ht="58">
      <c r="A37" s="26"/>
      <c r="B37" s="540"/>
      <c r="C37" s="543"/>
      <c r="D37" s="530"/>
      <c r="E37" s="531"/>
      <c r="F37" s="105" t="s">
        <v>497</v>
      </c>
      <c r="G37" s="106" t="s">
        <v>498</v>
      </c>
      <c r="H37" s="107" t="s">
        <v>297</v>
      </c>
      <c r="I37" s="107" t="s">
        <v>424</v>
      </c>
      <c r="J37" s="111"/>
      <c r="K37" s="112" t="s">
        <v>494</v>
      </c>
      <c r="L37" s="108" t="str">
        <f t="shared" si="0"/>
        <v>Identificar espais prioritaris per a la gestió directa</v>
      </c>
      <c r="M37" s="109"/>
      <c r="N37" s="76"/>
      <c r="O37" s="76"/>
      <c r="P37" s="110"/>
      <c r="Q37" s="166" t="s">
        <v>499</v>
      </c>
      <c r="R37" s="166"/>
      <c r="S37" s="166"/>
      <c r="T37" s="166"/>
      <c r="U37" s="113"/>
      <c r="V37" s="113"/>
      <c r="W37" s="113"/>
      <c r="X37" s="113"/>
      <c r="Y37" s="113"/>
      <c r="Z37" s="113"/>
      <c r="AA37" s="113"/>
      <c r="AB37" s="113"/>
      <c r="AC37" s="113"/>
      <c r="AD37" s="113"/>
      <c r="AE37" s="113"/>
      <c r="AF37" s="113"/>
      <c r="AG37" s="113"/>
      <c r="AH37" s="113"/>
    </row>
    <row r="38" spans="1:34" ht="87">
      <c r="A38" s="13" t="s">
        <v>504</v>
      </c>
      <c r="B38" s="62">
        <v>4</v>
      </c>
      <c r="C38" s="60" t="s">
        <v>505</v>
      </c>
      <c r="D38" s="522" t="s">
        <v>506</v>
      </c>
      <c r="E38" s="524" t="s">
        <v>507</v>
      </c>
      <c r="F38" s="105" t="s">
        <v>508</v>
      </c>
      <c r="G38" s="106" t="s">
        <v>509</v>
      </c>
      <c r="H38" s="107" t="s">
        <v>297</v>
      </c>
      <c r="I38" s="107" t="s">
        <v>424</v>
      </c>
      <c r="J38" s="111"/>
      <c r="K38" s="112"/>
      <c r="L38" s="108" t="str">
        <f t="shared" si="0"/>
        <v>Elaborar l'inventari i cartografia de patrimoni cultural de l'ENP, que també inclogui el patrimoni etnològic i immaterial</v>
      </c>
      <c r="M38" s="109"/>
      <c r="N38" s="76"/>
      <c r="O38" s="76"/>
      <c r="P38" s="110"/>
      <c r="Q38" s="166" t="s">
        <v>512</v>
      </c>
      <c r="R38" s="166"/>
      <c r="S38" s="166"/>
      <c r="T38" s="166"/>
      <c r="U38" s="113"/>
      <c r="V38" s="113"/>
      <c r="W38" s="113"/>
      <c r="X38" s="113"/>
      <c r="Y38" s="113"/>
      <c r="Z38" s="113"/>
      <c r="AA38" s="113"/>
      <c r="AB38" s="113"/>
      <c r="AC38" s="113"/>
      <c r="AD38" s="113"/>
      <c r="AE38" s="113"/>
      <c r="AF38" s="113"/>
      <c r="AG38" s="113"/>
      <c r="AH38" s="113"/>
    </row>
    <row r="39" spans="1:34" ht="43.5">
      <c r="A39" s="13"/>
      <c r="B39" s="63"/>
      <c r="C39" s="61"/>
      <c r="D39" s="523"/>
      <c r="E39" s="525"/>
      <c r="F39" s="105" t="s">
        <v>514</v>
      </c>
      <c r="G39" s="106" t="s">
        <v>515</v>
      </c>
      <c r="H39" s="107" t="s">
        <v>297</v>
      </c>
      <c r="I39" s="107" t="s">
        <v>424</v>
      </c>
      <c r="J39" s="111"/>
      <c r="K39" s="112"/>
      <c r="L39" s="108" t="str">
        <f t="shared" si="0"/>
        <v>Elaborar el catàleg lingüístic (localismes) de patrimoni natural, geografia popular, festes i activitats tradicionals de l'ENP</v>
      </c>
      <c r="M39" s="109"/>
      <c r="N39" s="76"/>
      <c r="O39" s="76"/>
      <c r="P39" s="110"/>
      <c r="Q39" s="166"/>
      <c r="R39" s="166"/>
      <c r="S39" s="166"/>
      <c r="T39" s="166"/>
      <c r="U39" s="113"/>
      <c r="V39" s="113"/>
      <c r="W39" s="113"/>
      <c r="X39" s="113"/>
      <c r="Y39" s="113"/>
      <c r="Z39" s="113"/>
      <c r="AA39" s="113"/>
      <c r="AB39" s="113"/>
      <c r="AC39" s="113"/>
      <c r="AD39" s="113"/>
      <c r="AE39" s="113"/>
      <c r="AF39" s="113"/>
      <c r="AG39" s="113"/>
      <c r="AH39" s="113"/>
    </row>
    <row r="40" spans="1:34" ht="29">
      <c r="A40" s="13"/>
      <c r="B40" s="63"/>
      <c r="C40" s="61"/>
      <c r="D40" s="523"/>
      <c r="E40" s="526"/>
      <c r="F40" s="105" t="s">
        <v>518</v>
      </c>
      <c r="G40" s="106" t="s">
        <v>519</v>
      </c>
      <c r="H40" s="107" t="s">
        <v>297</v>
      </c>
      <c r="I40" s="107" t="s">
        <v>424</v>
      </c>
      <c r="J40" s="111"/>
      <c r="K40" s="112"/>
      <c r="L40" s="108" t="str">
        <f t="shared" si="0"/>
        <v>Elaborar la cartografia de la xarxa de camins ramaders i senders tradicionals de l'ENP</v>
      </c>
      <c r="M40" s="109"/>
      <c r="N40" s="76"/>
      <c r="O40" s="76"/>
      <c r="P40" s="110"/>
      <c r="Q40" s="166"/>
      <c r="R40" s="166"/>
      <c r="S40" s="166"/>
      <c r="T40" s="166"/>
      <c r="U40" s="113"/>
      <c r="V40" s="113"/>
      <c r="W40" s="113"/>
      <c r="X40" s="113"/>
      <c r="Y40" s="113"/>
      <c r="Z40" s="113"/>
      <c r="AA40" s="113"/>
      <c r="AB40" s="113"/>
      <c r="AC40" s="113"/>
      <c r="AD40" s="113"/>
      <c r="AE40" s="113"/>
      <c r="AF40" s="113"/>
      <c r="AG40" s="113"/>
      <c r="AH40" s="113"/>
    </row>
    <row r="41" spans="1:34" ht="43.5">
      <c r="A41" s="13"/>
      <c r="B41" s="63"/>
      <c r="C41" s="61"/>
      <c r="D41" s="527" t="s">
        <v>520</v>
      </c>
      <c r="E41" s="519" t="s">
        <v>521</v>
      </c>
      <c r="F41" s="105" t="s">
        <v>522</v>
      </c>
      <c r="G41" s="106" t="s">
        <v>523</v>
      </c>
      <c r="H41" s="107" t="s">
        <v>297</v>
      </c>
      <c r="I41" s="107" t="s">
        <v>320</v>
      </c>
      <c r="J41" s="111"/>
      <c r="K41" s="112"/>
      <c r="L41" s="108" t="str">
        <f t="shared" si="0"/>
        <v>Identificar els ens de referència en patrimoni cultural (entitats, associacions, museus i ecomuseus, etc.) en l'àmbit de l'ENP</v>
      </c>
      <c r="M41" s="109"/>
      <c r="N41" s="76"/>
      <c r="O41" s="76"/>
      <c r="P41" s="110"/>
      <c r="Q41" s="166" t="s">
        <v>525</v>
      </c>
      <c r="R41" s="166"/>
      <c r="S41" s="166"/>
      <c r="T41" s="166"/>
      <c r="U41" s="113"/>
      <c r="V41" s="113"/>
      <c r="W41" s="113"/>
      <c r="X41" s="113"/>
      <c r="Y41" s="113"/>
      <c r="Z41" s="113"/>
      <c r="AA41" s="113"/>
      <c r="AB41" s="113"/>
      <c r="AC41" s="113"/>
      <c r="AD41" s="113"/>
      <c r="AE41" s="113"/>
      <c r="AF41" s="113"/>
      <c r="AG41" s="113"/>
      <c r="AH41" s="113"/>
    </row>
    <row r="42" spans="1:34" ht="87">
      <c r="A42" s="46"/>
      <c r="B42" s="63"/>
      <c r="C42" s="61"/>
      <c r="D42" s="527"/>
      <c r="E42" s="519"/>
      <c r="F42" s="105" t="s">
        <v>527</v>
      </c>
      <c r="G42" s="106" t="s">
        <v>528</v>
      </c>
      <c r="H42" s="107" t="s">
        <v>297</v>
      </c>
      <c r="I42" s="107" t="s">
        <v>424</v>
      </c>
      <c r="J42" s="111"/>
      <c r="K42" s="112"/>
      <c r="L42" s="108" t="str">
        <f t="shared" si="0"/>
        <v>Articular treballs conjunts entre l'ENP i representants, gestors o custodis del patrimoni cultural per a la seva protecció i millora</v>
      </c>
      <c r="M42" s="109"/>
      <c r="N42" s="76"/>
      <c r="O42" s="76"/>
      <c r="P42" s="110"/>
      <c r="Q42" s="166" t="s">
        <v>530</v>
      </c>
      <c r="R42" s="166"/>
      <c r="S42" s="166"/>
      <c r="T42" s="166"/>
      <c r="U42" s="113"/>
      <c r="V42" s="113"/>
      <c r="W42" s="113"/>
      <c r="X42" s="113"/>
      <c r="Y42" s="113"/>
      <c r="Z42" s="113"/>
      <c r="AA42" s="113"/>
      <c r="AB42" s="113"/>
      <c r="AC42" s="113"/>
      <c r="AD42" s="113"/>
      <c r="AE42" s="113"/>
      <c r="AF42" s="113"/>
      <c r="AG42" s="113"/>
      <c r="AH42" s="113"/>
    </row>
    <row r="43" spans="1:34" ht="58">
      <c r="A43" s="46"/>
      <c r="B43" s="63"/>
      <c r="C43" s="61"/>
      <c r="D43" s="527"/>
      <c r="E43" s="519"/>
      <c r="F43" s="105" t="s">
        <v>534</v>
      </c>
      <c r="G43" s="106" t="s">
        <v>1351</v>
      </c>
      <c r="H43" s="107" t="s">
        <v>297</v>
      </c>
      <c r="I43" s="107" t="s">
        <v>424</v>
      </c>
      <c r="J43" s="111"/>
      <c r="K43" s="112"/>
      <c r="L43" s="108" t="str">
        <f t="shared" si="0"/>
        <v>Coordinar i participar dels treballs de restauració arquitectònica i del patrimoni cultural</v>
      </c>
      <c r="M43" s="109"/>
      <c r="N43" s="76"/>
      <c r="O43" s="76"/>
      <c r="P43" s="110"/>
      <c r="Q43" s="166" t="s">
        <v>537</v>
      </c>
      <c r="R43" s="166"/>
      <c r="S43" s="166"/>
      <c r="T43" s="166"/>
      <c r="U43" s="113"/>
      <c r="V43" s="113"/>
      <c r="W43" s="113"/>
      <c r="X43" s="113"/>
      <c r="Y43" s="113"/>
      <c r="Z43" s="113"/>
      <c r="AA43" s="113"/>
      <c r="AB43" s="113"/>
      <c r="AC43" s="113"/>
      <c r="AD43" s="113"/>
      <c r="AE43" s="113"/>
      <c r="AF43" s="113"/>
      <c r="AG43" s="113"/>
      <c r="AH43" s="113"/>
    </row>
    <row r="44" spans="1:34" ht="29">
      <c r="A44" s="13"/>
      <c r="B44" s="63"/>
      <c r="C44" s="61"/>
      <c r="D44" s="528"/>
      <c r="E44" s="529"/>
      <c r="F44" s="105" t="s">
        <v>538</v>
      </c>
      <c r="G44" s="106" t="s">
        <v>539</v>
      </c>
      <c r="H44" s="107" t="s">
        <v>297</v>
      </c>
      <c r="I44" s="107" t="s">
        <v>298</v>
      </c>
      <c r="J44" s="111"/>
      <c r="K44" s="112"/>
      <c r="L44" s="108" t="str">
        <f t="shared" si="0"/>
        <v>Disposar de personal especialitzat en patrimoni cultural</v>
      </c>
      <c r="M44" s="109"/>
      <c r="N44" s="76"/>
      <c r="O44" s="76"/>
      <c r="P44" s="110"/>
      <c r="Q44" s="166" t="s">
        <v>542</v>
      </c>
      <c r="R44" s="166"/>
      <c r="S44" s="166"/>
      <c r="T44" s="166"/>
      <c r="U44" s="113"/>
      <c r="V44" s="113"/>
      <c r="W44" s="113"/>
      <c r="X44" s="113"/>
      <c r="Y44" s="113"/>
      <c r="Z44" s="113"/>
      <c r="AA44" s="113"/>
      <c r="AB44" s="113"/>
      <c r="AC44" s="113"/>
      <c r="AD44" s="113"/>
      <c r="AE44" s="113"/>
      <c r="AF44" s="113"/>
      <c r="AG44" s="113"/>
      <c r="AH44" s="113"/>
    </row>
    <row r="45" spans="1:34" ht="43.5">
      <c r="A45" s="13"/>
      <c r="B45" s="63"/>
      <c r="C45" s="61"/>
      <c r="D45" s="507" t="s">
        <v>546</v>
      </c>
      <c r="E45" s="508" t="s">
        <v>547</v>
      </c>
      <c r="F45" s="105" t="s">
        <v>548</v>
      </c>
      <c r="G45" s="106" t="s">
        <v>1352</v>
      </c>
      <c r="H45" s="107" t="s">
        <v>297</v>
      </c>
      <c r="I45" s="107" t="s">
        <v>298</v>
      </c>
      <c r="J45" s="111" t="s">
        <v>46</v>
      </c>
      <c r="K45" s="112"/>
      <c r="L45" s="108" t="str">
        <f t="shared" si="0"/>
        <v xml:space="preserve">Recuperar i conservar el patrimoni cultural rural immaterial associat a les activitats i aprofitaments tradicionals </v>
      </c>
      <c r="M45" s="109"/>
      <c r="N45" s="76"/>
      <c r="O45" s="76"/>
      <c r="P45" s="110"/>
      <c r="Q45" s="166"/>
      <c r="R45" s="166"/>
      <c r="S45" s="166"/>
      <c r="T45" s="166"/>
      <c r="U45" s="113"/>
      <c r="V45" s="113"/>
      <c r="W45" s="113"/>
      <c r="X45" s="113"/>
      <c r="Y45" s="113"/>
      <c r="Z45" s="113"/>
      <c r="AA45" s="113"/>
      <c r="AB45" s="113"/>
      <c r="AC45" s="113"/>
      <c r="AD45" s="113"/>
      <c r="AE45" s="113"/>
      <c r="AF45" s="113"/>
      <c r="AG45" s="113"/>
      <c r="AH45" s="113"/>
    </row>
    <row r="46" spans="1:34" ht="29">
      <c r="A46" s="13"/>
      <c r="B46" s="63"/>
      <c r="C46" s="61"/>
      <c r="D46" s="507"/>
      <c r="E46" s="508"/>
      <c r="F46" s="105" t="s">
        <v>554</v>
      </c>
      <c r="G46" s="106" t="s">
        <v>555</v>
      </c>
      <c r="H46" s="107" t="s">
        <v>347</v>
      </c>
      <c r="I46" s="107" t="s">
        <v>298</v>
      </c>
      <c r="J46" s="111" t="s">
        <v>46</v>
      </c>
      <c r="K46" s="112"/>
      <c r="L46" s="108" t="str">
        <f t="shared" si="0"/>
        <v>Recuperar i conservar el patrimoni cultural rural vinculat específicament a construccions de pedra en sec</v>
      </c>
      <c r="M46" s="109"/>
      <c r="N46" s="76"/>
      <c r="O46" s="76"/>
      <c r="P46" s="110"/>
      <c r="Q46" s="166"/>
      <c r="R46" s="166"/>
      <c r="S46" s="166"/>
      <c r="T46" s="166"/>
      <c r="U46" s="113"/>
      <c r="V46" s="113"/>
      <c r="W46" s="113"/>
      <c r="X46" s="113"/>
      <c r="Y46" s="113"/>
      <c r="Z46" s="113"/>
      <c r="AA46" s="113"/>
      <c r="AB46" s="113"/>
      <c r="AC46" s="113"/>
      <c r="AD46" s="113"/>
      <c r="AE46" s="113"/>
      <c r="AF46" s="113"/>
      <c r="AG46" s="113"/>
      <c r="AH46" s="113"/>
    </row>
    <row r="47" spans="1:34" ht="29">
      <c r="A47" s="13"/>
      <c r="B47" s="63"/>
      <c r="C47" s="61"/>
      <c r="D47" s="507"/>
      <c r="E47" s="508"/>
      <c r="F47" s="105" t="s">
        <v>559</v>
      </c>
      <c r="G47" s="106" t="s">
        <v>560</v>
      </c>
      <c r="H47" s="107" t="s">
        <v>297</v>
      </c>
      <c r="I47" s="107" t="s">
        <v>348</v>
      </c>
      <c r="J47" s="111"/>
      <c r="K47" s="112"/>
      <c r="L47" s="108" t="str">
        <f t="shared" si="0"/>
        <v xml:space="preserve">Fomentar la recuperació i conservació de l'arquitectura tradicional d'intrès de les edificacions i construccions </v>
      </c>
      <c r="M47" s="109"/>
      <c r="N47" s="76"/>
      <c r="O47" s="76"/>
      <c r="P47" s="110"/>
      <c r="Q47" s="166"/>
      <c r="R47" s="166"/>
      <c r="S47" s="166"/>
      <c r="T47" s="166"/>
      <c r="U47" s="113"/>
      <c r="V47" s="113"/>
      <c r="W47" s="113"/>
      <c r="X47" s="113"/>
      <c r="Y47" s="113"/>
      <c r="Z47" s="113"/>
      <c r="AA47" s="113"/>
      <c r="AB47" s="113"/>
      <c r="AC47" s="113"/>
      <c r="AD47" s="113"/>
      <c r="AE47" s="113"/>
      <c r="AF47" s="113"/>
      <c r="AG47" s="113"/>
      <c r="AH47" s="113"/>
    </row>
    <row r="48" spans="1:34" ht="29">
      <c r="A48" s="13"/>
      <c r="B48" s="63"/>
      <c r="C48" s="61"/>
      <c r="D48" s="507"/>
      <c r="E48" s="508"/>
      <c r="F48" s="105" t="s">
        <v>564</v>
      </c>
      <c r="G48" s="106" t="s">
        <v>565</v>
      </c>
      <c r="H48" s="107" t="s">
        <v>297</v>
      </c>
      <c r="I48" s="107" t="s">
        <v>320</v>
      </c>
      <c r="J48" s="111" t="s">
        <v>323</v>
      </c>
      <c r="K48" s="112"/>
      <c r="L48" s="108" t="str">
        <f t="shared" si="0"/>
        <v>Identificar i conservar la diversitat domesticada de varietats agrícoles i ramaderes locals</v>
      </c>
      <c r="M48" s="109"/>
      <c r="N48" s="76"/>
      <c r="O48" s="76"/>
      <c r="P48" s="110"/>
      <c r="Q48" s="166" t="s">
        <v>566</v>
      </c>
      <c r="R48" s="166"/>
      <c r="S48" s="166"/>
      <c r="T48" s="166"/>
      <c r="U48" s="113"/>
      <c r="V48" s="113"/>
      <c r="W48" s="113"/>
      <c r="X48" s="113"/>
      <c r="Y48" s="113"/>
      <c r="Z48" s="113"/>
      <c r="AA48" s="113"/>
      <c r="AB48" s="113"/>
      <c r="AC48" s="113"/>
      <c r="AD48" s="113"/>
      <c r="AE48" s="113"/>
      <c r="AF48" s="113"/>
      <c r="AG48" s="113"/>
      <c r="AH48" s="113"/>
    </row>
    <row r="49" spans="1:34" ht="29">
      <c r="A49" s="13"/>
      <c r="B49" s="63"/>
      <c r="C49" s="61"/>
      <c r="D49" s="507" t="s">
        <v>571</v>
      </c>
      <c r="E49" s="508" t="s">
        <v>572</v>
      </c>
      <c r="F49" s="107" t="s">
        <v>573</v>
      </c>
      <c r="G49" s="106" t="s">
        <v>574</v>
      </c>
      <c r="H49" s="107" t="s">
        <v>297</v>
      </c>
      <c r="I49" s="107" t="s">
        <v>298</v>
      </c>
      <c r="J49" s="111"/>
      <c r="K49" s="112"/>
      <c r="L49" s="108" t="str">
        <f t="shared" si="0"/>
        <v>Integrar el patrimoni cultural als itineraris i cartelleria de l'ENP.</v>
      </c>
      <c r="M49" s="109"/>
      <c r="N49" s="76"/>
      <c r="O49" s="76"/>
      <c r="P49" s="110"/>
      <c r="Q49" s="166"/>
      <c r="R49" s="166"/>
      <c r="S49" s="166"/>
      <c r="T49" s="166"/>
      <c r="U49" s="113"/>
      <c r="V49" s="113"/>
      <c r="W49" s="113"/>
      <c r="X49" s="113"/>
      <c r="Y49" s="113"/>
      <c r="Z49" s="113"/>
      <c r="AA49" s="113"/>
      <c r="AB49" s="113"/>
      <c r="AC49" s="113"/>
      <c r="AD49" s="113"/>
      <c r="AE49" s="113"/>
      <c r="AF49" s="113"/>
      <c r="AG49" s="113"/>
      <c r="AH49" s="113"/>
    </row>
    <row r="50" spans="1:34" ht="43.5">
      <c r="A50" s="13"/>
      <c r="B50" s="63"/>
      <c r="C50" s="61"/>
      <c r="D50" s="507"/>
      <c r="E50" s="508"/>
      <c r="F50" s="107" t="s">
        <v>579</v>
      </c>
      <c r="G50" s="106" t="s">
        <v>580</v>
      </c>
      <c r="H50" s="107" t="s">
        <v>297</v>
      </c>
      <c r="I50" s="107" t="s">
        <v>298</v>
      </c>
      <c r="J50" s="111"/>
      <c r="K50" s="112"/>
      <c r="L50" s="108" t="str">
        <f t="shared" si="0"/>
        <v>Incorporar el patrimoni cultural en els plans d’ús públic i educació ambiental per fomentar-ne la seva conservació i divulgació.</v>
      </c>
      <c r="M50" s="109"/>
      <c r="N50" s="76"/>
      <c r="O50" s="76"/>
      <c r="P50" s="110"/>
      <c r="Q50" s="166"/>
      <c r="R50" s="166"/>
      <c r="S50" s="166"/>
      <c r="T50" s="166"/>
      <c r="U50" s="113"/>
      <c r="V50" s="113"/>
      <c r="W50" s="113"/>
      <c r="X50" s="113"/>
      <c r="Y50" s="113"/>
      <c r="Z50" s="113"/>
      <c r="AA50" s="113"/>
      <c r="AB50" s="113"/>
      <c r="AC50" s="113"/>
      <c r="AD50" s="113"/>
      <c r="AE50" s="113"/>
      <c r="AF50" s="113"/>
      <c r="AG50" s="113"/>
      <c r="AH50" s="113"/>
    </row>
    <row r="51" spans="1:34" ht="29">
      <c r="A51" s="13"/>
      <c r="B51" s="63"/>
      <c r="C51" s="61"/>
      <c r="D51" s="507"/>
      <c r="E51" s="508"/>
      <c r="F51" s="107" t="s">
        <v>582</v>
      </c>
      <c r="G51" s="106" t="s">
        <v>583</v>
      </c>
      <c r="H51" s="107" t="s">
        <v>297</v>
      </c>
      <c r="I51" s="107" t="s">
        <v>298</v>
      </c>
      <c r="J51" s="111"/>
      <c r="K51" s="112"/>
      <c r="L51" s="108" t="str">
        <f t="shared" si="0"/>
        <v>Formar el personal dels punts d’informació en els valors culturals de l'ENP</v>
      </c>
      <c r="M51" s="109"/>
      <c r="N51" s="76"/>
      <c r="O51" s="76"/>
      <c r="P51" s="110"/>
      <c r="Q51" s="166"/>
      <c r="R51" s="166"/>
      <c r="S51" s="166"/>
      <c r="T51" s="166"/>
      <c r="U51" s="113"/>
      <c r="V51" s="113"/>
      <c r="W51" s="113"/>
      <c r="X51" s="113"/>
      <c r="Y51" s="113"/>
      <c r="Z51" s="113"/>
      <c r="AA51" s="113"/>
      <c r="AB51" s="113"/>
      <c r="AC51" s="113"/>
      <c r="AD51" s="113"/>
      <c r="AE51" s="113"/>
      <c r="AF51" s="113"/>
      <c r="AG51" s="113"/>
      <c r="AH51" s="113"/>
    </row>
    <row r="52" spans="1:34" ht="29">
      <c r="A52" s="13"/>
      <c r="B52" s="509">
        <v>5</v>
      </c>
      <c r="C52" s="512" t="s">
        <v>588</v>
      </c>
      <c r="D52" s="21" t="s">
        <v>589</v>
      </c>
      <c r="E52" s="20" t="s">
        <v>590</v>
      </c>
      <c r="F52" s="107" t="s">
        <v>591</v>
      </c>
      <c r="G52" s="106" t="s">
        <v>592</v>
      </c>
      <c r="H52" s="107" t="s">
        <v>297</v>
      </c>
      <c r="I52" s="107" t="s">
        <v>424</v>
      </c>
      <c r="J52" s="111"/>
      <c r="K52" s="112"/>
      <c r="L52" s="108" t="str">
        <f t="shared" si="0"/>
        <v xml:space="preserve">Elaborar un inventari d'elements d'interès paisatgístic de l'ENP d'acord amb el Catàleg de paisatge de la zona </v>
      </c>
      <c r="M52" s="109"/>
      <c r="N52" s="76"/>
      <c r="O52" s="76"/>
      <c r="P52" s="110"/>
      <c r="Q52" s="166"/>
      <c r="R52" s="166"/>
      <c r="S52" s="166"/>
      <c r="T52" s="166"/>
      <c r="U52" s="113"/>
      <c r="V52" s="113"/>
      <c r="W52" s="113"/>
      <c r="X52" s="113"/>
      <c r="Y52" s="113"/>
      <c r="Z52" s="113"/>
      <c r="AA52" s="113"/>
      <c r="AB52" s="113"/>
      <c r="AC52" s="113"/>
      <c r="AD52" s="113"/>
      <c r="AE52" s="113"/>
      <c r="AF52" s="113"/>
      <c r="AG52" s="113"/>
      <c r="AH52" s="113"/>
    </row>
    <row r="53" spans="1:34" ht="29">
      <c r="A53" s="13"/>
      <c r="B53" s="510"/>
      <c r="C53" s="513"/>
      <c r="D53" s="515" t="s">
        <v>594</v>
      </c>
      <c r="E53" s="518" t="s">
        <v>595</v>
      </c>
      <c r="F53" s="105" t="s">
        <v>596</v>
      </c>
      <c r="G53" s="106" t="s">
        <v>597</v>
      </c>
      <c r="H53" s="107" t="s">
        <v>297</v>
      </c>
      <c r="I53" s="107" t="s">
        <v>424</v>
      </c>
      <c r="J53" s="111"/>
      <c r="K53" s="112"/>
      <c r="L53" s="108" t="str">
        <f t="shared" si="0"/>
        <v>Desplegar actuacions de restauració dels elements d'interès paisatgístic degradats</v>
      </c>
      <c r="M53" s="109"/>
      <c r="N53" s="76"/>
      <c r="O53" s="76"/>
      <c r="P53" s="110"/>
      <c r="Q53" s="166"/>
      <c r="R53" s="166"/>
      <c r="S53" s="166"/>
      <c r="T53" s="166"/>
      <c r="U53" s="113"/>
      <c r="V53" s="113"/>
      <c r="W53" s="113"/>
      <c r="X53" s="113"/>
      <c r="Y53" s="113"/>
      <c r="Z53" s="113"/>
      <c r="AA53" s="113"/>
      <c r="AB53" s="113"/>
      <c r="AC53" s="113"/>
      <c r="AD53" s="113"/>
      <c r="AE53" s="113"/>
      <c r="AF53" s="113"/>
      <c r="AG53" s="113"/>
      <c r="AH53" s="113"/>
    </row>
    <row r="54" spans="1:34" ht="29">
      <c r="A54" s="13"/>
      <c r="B54" s="510"/>
      <c r="C54" s="513"/>
      <c r="D54" s="516"/>
      <c r="E54" s="519"/>
      <c r="F54" s="105" t="s">
        <v>599</v>
      </c>
      <c r="G54" s="106" t="s">
        <v>1353</v>
      </c>
      <c r="H54" s="107"/>
      <c r="I54" s="107"/>
      <c r="J54" s="111"/>
      <c r="K54" s="112"/>
      <c r="L54" s="108" t="str">
        <f t="shared" si="0"/>
        <v>Gestionar l'abandonament d'infraestructures i instal·lacions amb inpactes sobre els valors de l'espai</v>
      </c>
      <c r="M54" s="109"/>
      <c r="N54" s="76"/>
      <c r="O54" s="76"/>
      <c r="P54" s="110"/>
      <c r="Q54" s="166"/>
      <c r="R54" s="166"/>
      <c r="S54" s="166"/>
      <c r="T54" s="166"/>
      <c r="U54" s="113"/>
      <c r="V54" s="113"/>
      <c r="W54" s="113"/>
      <c r="X54" s="113"/>
      <c r="Y54" s="113"/>
      <c r="Z54" s="113"/>
      <c r="AA54" s="113"/>
      <c r="AB54" s="113"/>
      <c r="AC54" s="113"/>
      <c r="AD54" s="113"/>
      <c r="AE54" s="113"/>
      <c r="AF54" s="113"/>
      <c r="AG54" s="113"/>
      <c r="AH54" s="113"/>
    </row>
    <row r="55" spans="1:34" ht="29">
      <c r="A55" s="13"/>
      <c r="B55" s="510"/>
      <c r="C55" s="513"/>
      <c r="D55" s="517"/>
      <c r="E55" s="520"/>
      <c r="F55" s="105" t="s">
        <v>602</v>
      </c>
      <c r="G55" s="106" t="s">
        <v>603</v>
      </c>
      <c r="H55" s="107" t="s">
        <v>297</v>
      </c>
      <c r="I55" s="107" t="s">
        <v>320</v>
      </c>
      <c r="J55" s="111"/>
      <c r="K55" s="112"/>
      <c r="L55" s="108" t="str">
        <f t="shared" si="0"/>
        <v>Minimitzar la brutícia, deixalles, vandalisme i males praxis dins l'ENP</v>
      </c>
      <c r="M55" s="109"/>
      <c r="N55" s="76"/>
      <c r="O55" s="76"/>
      <c r="P55" s="110"/>
      <c r="Q55" s="166"/>
      <c r="R55" s="166"/>
      <c r="S55" s="166"/>
      <c r="T55" s="166"/>
      <c r="U55" s="113"/>
      <c r="V55" s="113"/>
      <c r="W55" s="113"/>
      <c r="X55" s="113"/>
      <c r="Y55" s="113"/>
      <c r="Z55" s="113"/>
      <c r="AA55" s="113"/>
      <c r="AB55" s="113"/>
      <c r="AC55" s="113"/>
      <c r="AD55" s="113"/>
      <c r="AE55" s="113"/>
      <c r="AF55" s="113"/>
      <c r="AG55" s="113"/>
      <c r="AH55" s="113"/>
    </row>
    <row r="56" spans="1:34" ht="14.5">
      <c r="A56" s="13"/>
      <c r="B56" s="510"/>
      <c r="C56" s="513"/>
      <c r="D56" s="521" t="s">
        <v>604</v>
      </c>
      <c r="E56" s="518" t="s">
        <v>605</v>
      </c>
      <c r="F56" s="105" t="s">
        <v>606</v>
      </c>
      <c r="G56" s="106" t="s">
        <v>607</v>
      </c>
      <c r="H56" s="107" t="s">
        <v>347</v>
      </c>
      <c r="I56" s="107" t="s">
        <v>424</v>
      </c>
      <c r="J56" s="111" t="s">
        <v>323</v>
      </c>
      <c r="K56" s="112"/>
      <c r="L56" s="108" t="str">
        <f t="shared" si="0"/>
        <v>Promoure la certificació de qualitat del cel nocturn</v>
      </c>
      <c r="M56" s="109"/>
      <c r="N56" s="76"/>
      <c r="O56" s="76"/>
      <c r="P56" s="110"/>
      <c r="Q56" s="166"/>
      <c r="R56" s="166"/>
      <c r="S56" s="166"/>
      <c r="T56" s="166"/>
      <c r="U56" s="113"/>
      <c r="V56" s="113"/>
      <c r="W56" s="113"/>
      <c r="X56" s="113"/>
      <c r="Y56" s="113"/>
      <c r="Z56" s="113"/>
      <c r="AA56" s="113"/>
      <c r="AB56" s="113"/>
      <c r="AC56" s="113"/>
      <c r="AD56" s="113"/>
      <c r="AE56" s="113"/>
      <c r="AF56" s="113"/>
      <c r="AG56" s="113"/>
      <c r="AH56" s="113"/>
    </row>
    <row r="57" spans="1:34" ht="29">
      <c r="A57" s="13"/>
      <c r="B57" s="511"/>
      <c r="C57" s="514"/>
      <c r="D57" s="517"/>
      <c r="E57" s="519"/>
      <c r="F57" s="105" t="s">
        <v>609</v>
      </c>
      <c r="G57" s="106" t="s">
        <v>610</v>
      </c>
      <c r="H57" s="107" t="s">
        <v>347</v>
      </c>
      <c r="I57" s="107" t="s">
        <v>424</v>
      </c>
      <c r="J57" s="111" t="s">
        <v>323</v>
      </c>
      <c r="K57" s="112"/>
      <c r="L57" s="108" t="str">
        <f t="shared" si="0"/>
        <v>Promoure la certificació de zones d'especial protecció de la qualitat acústica</v>
      </c>
      <c r="M57" s="109"/>
      <c r="N57" s="76"/>
      <c r="O57" s="76"/>
      <c r="P57" s="110"/>
      <c r="Q57" s="166"/>
      <c r="R57" s="166"/>
      <c r="S57" s="166"/>
      <c r="T57" s="166"/>
      <c r="U57" s="113"/>
      <c r="V57" s="113"/>
      <c r="W57" s="113"/>
      <c r="X57" s="113"/>
      <c r="Y57" s="113"/>
      <c r="Z57" s="113"/>
      <c r="AA57" s="113"/>
      <c r="AB57" s="113"/>
      <c r="AC57" s="113"/>
      <c r="AD57" s="113"/>
      <c r="AE57" s="113"/>
      <c r="AF57" s="113"/>
      <c r="AG57" s="113"/>
      <c r="AH57" s="113"/>
    </row>
    <row r="58" spans="1:34" ht="76.5" customHeight="1">
      <c r="A58" s="27" t="s">
        <v>612</v>
      </c>
      <c r="B58" s="41">
        <v>6</v>
      </c>
      <c r="C58" s="40" t="s">
        <v>613</v>
      </c>
      <c r="D58" s="469" t="s">
        <v>614</v>
      </c>
      <c r="E58" s="470" t="s">
        <v>615</v>
      </c>
      <c r="F58" s="105" t="s">
        <v>616</v>
      </c>
      <c r="G58" s="118" t="s">
        <v>1354</v>
      </c>
      <c r="H58" s="107" t="s">
        <v>297</v>
      </c>
      <c r="I58" s="107" t="s">
        <v>320</v>
      </c>
      <c r="J58" s="116" t="s">
        <v>619</v>
      </c>
      <c r="K58" s="112" t="s">
        <v>620</v>
      </c>
      <c r="L58" s="108" t="str">
        <f t="shared" si="0"/>
        <v>Identificar i prioritzar els elements clau i d'interès per la gestió de la biodiversitat i geodiversitat de Catalunya es troben dins l'ENP (especies amenaçades, espècies exòtiques invasores,.. )</v>
      </c>
      <c r="M58" s="109"/>
      <c r="N58" s="119"/>
      <c r="O58" s="119"/>
      <c r="P58" s="110"/>
      <c r="Q58" s="167" t="s">
        <v>618</v>
      </c>
      <c r="R58" s="167"/>
      <c r="S58" s="167"/>
      <c r="T58" s="167"/>
      <c r="U58" s="113"/>
      <c r="V58" s="113"/>
      <c r="W58" s="113"/>
      <c r="X58" s="113"/>
      <c r="Y58" s="113"/>
      <c r="Z58" s="113"/>
      <c r="AA58" s="113"/>
      <c r="AB58" s="113"/>
      <c r="AC58" s="113"/>
      <c r="AD58" s="113"/>
      <c r="AE58" s="113"/>
      <c r="AF58" s="113"/>
      <c r="AG58" s="113"/>
      <c r="AH58" s="113"/>
    </row>
    <row r="59" spans="1:34" ht="58">
      <c r="A59" s="27"/>
      <c r="B59" s="57"/>
      <c r="C59" s="40"/>
      <c r="D59" s="469"/>
      <c r="E59" s="470"/>
      <c r="F59" s="105" t="s">
        <v>622</v>
      </c>
      <c r="G59" s="106" t="s">
        <v>623</v>
      </c>
      <c r="H59" s="107" t="s">
        <v>297</v>
      </c>
      <c r="I59" s="107" t="s">
        <v>320</v>
      </c>
      <c r="J59" s="111"/>
      <c r="K59" s="112" t="s">
        <v>625</v>
      </c>
      <c r="L59" s="108" t="str">
        <f t="shared" si="0"/>
        <v>Definir espais fràgils i zones d'especial atenció</v>
      </c>
      <c r="M59" s="109"/>
      <c r="N59" s="76"/>
      <c r="O59" s="76"/>
      <c r="P59" s="110"/>
      <c r="Q59" s="166" t="s">
        <v>624</v>
      </c>
      <c r="R59" s="166"/>
      <c r="S59" s="166"/>
      <c r="T59" s="166"/>
      <c r="U59" s="113"/>
      <c r="V59" s="113"/>
      <c r="W59" s="113"/>
      <c r="X59" s="113"/>
      <c r="Y59" s="113"/>
      <c r="Z59" s="113"/>
      <c r="AA59" s="113"/>
      <c r="AB59" s="113"/>
      <c r="AC59" s="113"/>
      <c r="AD59" s="113"/>
      <c r="AE59" s="113"/>
      <c r="AF59" s="113"/>
      <c r="AG59" s="113"/>
      <c r="AH59" s="113"/>
    </row>
    <row r="60" spans="1:34" ht="29">
      <c r="A60" s="27"/>
      <c r="B60" s="57"/>
      <c r="C60" s="56"/>
      <c r="D60" s="469" t="s">
        <v>627</v>
      </c>
      <c r="E60" s="470" t="s">
        <v>628</v>
      </c>
      <c r="F60" s="105" t="s">
        <v>629</v>
      </c>
      <c r="G60" s="106" t="s">
        <v>630</v>
      </c>
      <c r="H60" s="107" t="s">
        <v>297</v>
      </c>
      <c r="I60" s="107" t="s">
        <v>320</v>
      </c>
      <c r="J60" s="111" t="s">
        <v>323</v>
      </c>
      <c r="K60" s="112" t="s">
        <v>632</v>
      </c>
      <c r="L60" s="108" t="str">
        <f t="shared" si="0"/>
        <v>Participar en l'elaboració de la cartografia que elabora la UIC</v>
      </c>
      <c r="M60" s="109"/>
      <c r="N60" s="76"/>
      <c r="O60" s="76"/>
      <c r="P60" s="110"/>
      <c r="Q60" s="166" t="s">
        <v>631</v>
      </c>
      <c r="R60" s="166"/>
      <c r="S60" s="166"/>
      <c r="T60" s="166"/>
      <c r="U60" s="113"/>
      <c r="V60" s="113"/>
      <c r="W60" s="113"/>
      <c r="X60" s="113"/>
      <c r="Y60" s="113"/>
      <c r="Z60" s="113"/>
      <c r="AA60" s="113"/>
      <c r="AB60" s="113"/>
      <c r="AC60" s="113"/>
      <c r="AD60" s="113"/>
      <c r="AE60" s="113"/>
      <c r="AF60" s="113"/>
      <c r="AG60" s="113"/>
      <c r="AH60" s="113"/>
    </row>
    <row r="61" spans="1:34" ht="130.5">
      <c r="A61" s="58"/>
      <c r="B61" s="57"/>
      <c r="C61" s="56"/>
      <c r="D61" s="469"/>
      <c r="E61" s="470"/>
      <c r="F61" s="105" t="s">
        <v>635</v>
      </c>
      <c r="G61" s="106" t="s">
        <v>636</v>
      </c>
      <c r="H61" s="107" t="s">
        <v>297</v>
      </c>
      <c r="I61" s="107" t="s">
        <v>320</v>
      </c>
      <c r="J61" s="111"/>
      <c r="K61" s="112"/>
      <c r="L61" s="108" t="str">
        <f t="shared" si="0"/>
        <v>Conèixer i estudiar els processos naturals propis de l’espai, la seva funcionalitat, i ecologia en referència als ecosistemes</v>
      </c>
      <c r="M61" s="109"/>
      <c r="N61" s="76"/>
      <c r="O61" s="76"/>
      <c r="P61" s="110"/>
      <c r="Q61" s="166" t="s">
        <v>639</v>
      </c>
      <c r="R61" s="166"/>
      <c r="S61" s="166"/>
      <c r="T61" s="166"/>
      <c r="U61" s="113"/>
      <c r="V61" s="113"/>
      <c r="W61" s="113"/>
      <c r="X61" s="113"/>
      <c r="Y61" s="113"/>
      <c r="Z61" s="113"/>
      <c r="AA61" s="113"/>
      <c r="AB61" s="113"/>
      <c r="AC61" s="113"/>
      <c r="AD61" s="113"/>
      <c r="AE61" s="113"/>
      <c r="AF61" s="113"/>
      <c r="AG61" s="113"/>
      <c r="AH61" s="113"/>
    </row>
    <row r="62" spans="1:34" ht="159.5">
      <c r="A62" s="58"/>
      <c r="B62" s="57"/>
      <c r="C62" s="56"/>
      <c r="D62" s="469"/>
      <c r="E62" s="470"/>
      <c r="F62" s="105" t="s">
        <v>642</v>
      </c>
      <c r="G62" s="106" t="s">
        <v>643</v>
      </c>
      <c r="H62" s="107" t="s">
        <v>297</v>
      </c>
      <c r="I62" s="107" t="s">
        <v>320</v>
      </c>
      <c r="J62" s="111" t="s">
        <v>323</v>
      </c>
      <c r="K62" s="112" t="s">
        <v>645</v>
      </c>
      <c r="L62" s="108" t="str">
        <f t="shared" si="0"/>
        <v>Conèixer els usos i factors de canvi rellevants en l'evolució dels elements de conservació, i avaluar els efectes que generen en l’espai (pressions i amenaces)</v>
      </c>
      <c r="M62" s="109"/>
      <c r="N62" s="76"/>
      <c r="O62" s="76"/>
      <c r="P62" s="110"/>
      <c r="Q62" s="166" t="s">
        <v>644</v>
      </c>
      <c r="R62" s="166"/>
      <c r="S62" s="166"/>
      <c r="T62" s="166"/>
      <c r="U62" s="113"/>
      <c r="V62" s="113"/>
      <c r="W62" s="113"/>
      <c r="X62" s="113"/>
      <c r="Y62" s="113"/>
      <c r="Z62" s="113"/>
      <c r="AA62" s="113"/>
      <c r="AB62" s="113"/>
      <c r="AC62" s="113"/>
      <c r="AD62" s="113"/>
      <c r="AE62" s="113"/>
      <c r="AF62" s="113"/>
      <c r="AG62" s="113"/>
      <c r="AH62" s="113"/>
    </row>
    <row r="63" spans="1:34" ht="58">
      <c r="A63" s="58"/>
      <c r="B63" s="57"/>
      <c r="C63" s="56"/>
      <c r="D63" s="469"/>
      <c r="E63" s="470"/>
      <c r="F63" s="105" t="s">
        <v>646</v>
      </c>
      <c r="G63" s="106" t="s">
        <v>647</v>
      </c>
      <c r="H63" s="107" t="s">
        <v>297</v>
      </c>
      <c r="I63" s="107" t="s">
        <v>424</v>
      </c>
      <c r="J63" s="111"/>
      <c r="K63" s="112"/>
      <c r="L63" s="108" t="str">
        <f t="shared" si="0"/>
        <v>Conèixer l'impacte de les gestió de l'aigua, sobre la biodiversitat.</v>
      </c>
      <c r="M63" s="109"/>
      <c r="N63" s="76"/>
      <c r="O63" s="76"/>
      <c r="P63" s="110"/>
      <c r="Q63" s="166" t="s">
        <v>650</v>
      </c>
      <c r="R63" s="166"/>
      <c r="S63" s="166"/>
      <c r="T63" s="166"/>
      <c r="U63" s="113"/>
      <c r="V63" s="113"/>
      <c r="W63" s="113"/>
      <c r="X63" s="113"/>
      <c r="Y63" s="113"/>
      <c r="Z63" s="113"/>
      <c r="AA63" s="113"/>
      <c r="AB63" s="113"/>
      <c r="AC63" s="113"/>
      <c r="AD63" s="113"/>
      <c r="AE63" s="113"/>
      <c r="AF63" s="113"/>
      <c r="AG63" s="113"/>
      <c r="AH63" s="113"/>
    </row>
    <row r="64" spans="1:34" ht="43.5">
      <c r="A64" s="58"/>
      <c r="B64" s="57"/>
      <c r="C64" s="56"/>
      <c r="D64" s="469"/>
      <c r="E64" s="470"/>
      <c r="F64" s="105" t="s">
        <v>651</v>
      </c>
      <c r="G64" s="106" t="s">
        <v>652</v>
      </c>
      <c r="H64" s="107" t="s">
        <v>297</v>
      </c>
      <c r="I64" s="107" t="s">
        <v>424</v>
      </c>
      <c r="J64" s="111"/>
      <c r="K64" s="112"/>
      <c r="L64" s="108" t="str">
        <f t="shared" si="0"/>
        <v>Participar en el coneixement de la tendència d'espècies plaga amb afectacions sobre ecosistemes o activitats econòmiques dins l'ENP</v>
      </c>
      <c r="M64" s="109"/>
      <c r="N64" s="76"/>
      <c r="O64" s="76"/>
      <c r="P64" s="110"/>
      <c r="Q64" s="166" t="s">
        <v>653</v>
      </c>
      <c r="R64" s="166"/>
      <c r="S64" s="166"/>
      <c r="T64" s="166"/>
      <c r="U64" s="113"/>
      <c r="V64" s="113"/>
      <c r="W64" s="113"/>
      <c r="X64" s="113"/>
      <c r="Y64" s="113"/>
      <c r="Z64" s="113"/>
      <c r="AA64" s="113"/>
      <c r="AB64" s="113"/>
      <c r="AC64" s="113"/>
      <c r="AD64" s="113"/>
      <c r="AE64" s="113"/>
      <c r="AF64" s="113"/>
      <c r="AG64" s="113"/>
      <c r="AH64" s="113"/>
    </row>
    <row r="65" spans="1:34" ht="43.5">
      <c r="A65" s="58"/>
      <c r="B65" s="57"/>
      <c r="C65" s="56"/>
      <c r="D65" s="469"/>
      <c r="E65" s="470"/>
      <c r="F65" s="105" t="s">
        <v>655</v>
      </c>
      <c r="G65" s="106" t="s">
        <v>656</v>
      </c>
      <c r="H65" s="107" t="s">
        <v>297</v>
      </c>
      <c r="I65" s="107" t="s">
        <v>320</v>
      </c>
      <c r="J65" s="111" t="s">
        <v>323</v>
      </c>
      <c r="K65" s="112"/>
      <c r="L65" s="108" t="str">
        <f t="shared" si="0"/>
        <v>Conèixer la tendència d'espècies exòtiques invasores amb afectacions sobre ecosistemes o activitats econòmiques dins l'ENP</v>
      </c>
      <c r="M65" s="109"/>
      <c r="N65" s="76"/>
      <c r="O65" s="76"/>
      <c r="P65" s="110"/>
      <c r="Q65" s="166" t="s">
        <v>657</v>
      </c>
      <c r="R65" s="166"/>
      <c r="S65" s="166"/>
      <c r="T65" s="166"/>
      <c r="U65" s="113"/>
      <c r="V65" s="113"/>
      <c r="W65" s="113"/>
      <c r="X65" s="113"/>
      <c r="Y65" s="113"/>
      <c r="Z65" s="113"/>
      <c r="AA65" s="113"/>
      <c r="AB65" s="113"/>
      <c r="AC65" s="113"/>
      <c r="AD65" s="113"/>
      <c r="AE65" s="113"/>
      <c r="AF65" s="113"/>
      <c r="AG65" s="113"/>
      <c r="AH65" s="113"/>
    </row>
    <row r="66" spans="1:34" ht="29">
      <c r="A66" s="58"/>
      <c r="B66" s="57"/>
      <c r="C66" s="56"/>
      <c r="D66" s="469"/>
      <c r="E66" s="470"/>
      <c r="F66" s="105" t="s">
        <v>658</v>
      </c>
      <c r="G66" s="106" t="s">
        <v>659</v>
      </c>
      <c r="H66" s="107" t="s">
        <v>297</v>
      </c>
      <c r="I66" s="107" t="s">
        <v>424</v>
      </c>
      <c r="J66" s="111" t="s">
        <v>323</v>
      </c>
      <c r="K66" s="112"/>
      <c r="L66" s="108" t="str">
        <f t="shared" si="0"/>
        <v>Coneixer com millorar la connectivitat de forma coordinada amb altres ENP</v>
      </c>
      <c r="M66" s="109"/>
      <c r="N66" s="76"/>
      <c r="O66" s="76"/>
      <c r="P66" s="110"/>
      <c r="Q66" s="166" t="s">
        <v>661</v>
      </c>
      <c r="R66" s="166"/>
      <c r="S66" s="166"/>
      <c r="T66" s="166"/>
      <c r="U66" s="113"/>
      <c r="V66" s="113"/>
      <c r="W66" s="113"/>
      <c r="X66" s="113"/>
      <c r="Y66" s="113"/>
      <c r="Z66" s="113"/>
      <c r="AA66" s="113"/>
      <c r="AB66" s="113"/>
      <c r="AC66" s="113"/>
      <c r="AD66" s="113"/>
      <c r="AE66" s="113"/>
      <c r="AF66" s="113"/>
      <c r="AG66" s="113"/>
      <c r="AH66" s="113"/>
    </row>
    <row r="67" spans="1:34" ht="45.75" customHeight="1">
      <c r="A67" s="58"/>
      <c r="B67" s="57"/>
      <c r="C67" s="56"/>
      <c r="D67" s="469" t="s">
        <v>662</v>
      </c>
      <c r="E67" s="470" t="s">
        <v>663</v>
      </c>
      <c r="F67" s="105" t="s">
        <v>664</v>
      </c>
      <c r="G67" s="106" t="s">
        <v>665</v>
      </c>
      <c r="H67" s="107" t="s">
        <v>297</v>
      </c>
      <c r="I67" s="107" t="s">
        <v>320</v>
      </c>
      <c r="J67" s="111" t="s">
        <v>323</v>
      </c>
      <c r="K67" s="112" t="s">
        <v>667</v>
      </c>
      <c r="L67" s="108" t="str">
        <f t="shared" si="0"/>
        <v>Participar en la definició del sistema estàndard de seguiment de flora, fauna i hàbitats de la DG</v>
      </c>
      <c r="M67" s="109"/>
      <c r="N67" s="76"/>
      <c r="O67" s="76"/>
      <c r="P67" s="110"/>
      <c r="Q67" s="166" t="s">
        <v>666</v>
      </c>
      <c r="R67" s="166"/>
      <c r="S67" s="166"/>
      <c r="T67" s="166"/>
      <c r="U67" s="113"/>
      <c r="V67" s="113"/>
      <c r="W67" s="113"/>
      <c r="X67" s="113"/>
      <c r="Y67" s="113"/>
      <c r="Z67" s="113"/>
      <c r="AA67" s="113"/>
      <c r="AB67" s="113"/>
      <c r="AC67" s="113"/>
      <c r="AD67" s="113"/>
      <c r="AE67" s="113"/>
      <c r="AF67" s="113"/>
      <c r="AG67" s="113"/>
      <c r="AH67" s="113"/>
    </row>
    <row r="68" spans="1:34" ht="130.5">
      <c r="A68" s="58"/>
      <c r="B68" s="57"/>
      <c r="C68" s="56"/>
      <c r="D68" s="469"/>
      <c r="E68" s="470"/>
      <c r="F68" s="105" t="s">
        <v>669</v>
      </c>
      <c r="G68" s="106" t="s">
        <v>670</v>
      </c>
      <c r="H68" s="107" t="s">
        <v>297</v>
      </c>
      <c r="I68" s="107" t="s">
        <v>320</v>
      </c>
      <c r="J68" s="111" t="s">
        <v>323</v>
      </c>
      <c r="K68" s="112" t="s">
        <v>672</v>
      </c>
      <c r="L68" s="108" t="str">
        <f t="shared" si="0"/>
        <v>Adequar i executar el sistema de seguiment periòdic dels grups clau de l'ENP al sistema estàndard de seguiment</v>
      </c>
      <c r="M68" s="109"/>
      <c r="N68" s="76"/>
      <c r="O68" s="76"/>
      <c r="P68" s="110"/>
      <c r="Q68" s="166" t="s">
        <v>671</v>
      </c>
      <c r="R68" s="166"/>
      <c r="S68" s="166"/>
      <c r="T68" s="166"/>
      <c r="U68" s="113"/>
      <c r="V68" s="113"/>
      <c r="W68" s="113"/>
      <c r="X68" s="113"/>
      <c r="Y68" s="113"/>
      <c r="Z68" s="113"/>
      <c r="AA68" s="113"/>
      <c r="AB68" s="113"/>
      <c r="AC68" s="113"/>
      <c r="AD68" s="113"/>
      <c r="AE68" s="113"/>
      <c r="AF68" s="113"/>
      <c r="AG68" s="113"/>
      <c r="AH68" s="113"/>
    </row>
    <row r="69" spans="1:34" ht="29">
      <c r="A69" s="58"/>
      <c r="B69" s="57"/>
      <c r="C69" s="56"/>
      <c r="D69" s="469"/>
      <c r="E69" s="470"/>
      <c r="F69" s="105" t="s">
        <v>673</v>
      </c>
      <c r="G69" s="106" t="s">
        <v>674</v>
      </c>
      <c r="H69" s="107" t="s">
        <v>297</v>
      </c>
      <c r="I69" s="107" t="s">
        <v>320</v>
      </c>
      <c r="J69" s="111"/>
      <c r="K69" s="112"/>
      <c r="L69" s="108" t="str">
        <f t="shared" si="0"/>
        <v xml:space="preserve">Mantenir una base de dades de seguiment de patrimoni natural de l'ENP actualitzada i ordenada </v>
      </c>
      <c r="M69" s="109"/>
      <c r="N69" s="76"/>
      <c r="O69" s="76"/>
      <c r="P69" s="110"/>
      <c r="Q69" s="166"/>
      <c r="R69" s="166"/>
      <c r="S69" s="166"/>
      <c r="T69" s="166"/>
      <c r="U69" s="113"/>
      <c r="V69" s="113"/>
      <c r="W69" s="113"/>
      <c r="X69" s="113"/>
      <c r="Y69" s="113"/>
      <c r="Z69" s="113"/>
      <c r="AA69" s="113"/>
      <c r="AB69" s="113"/>
      <c r="AC69" s="113"/>
      <c r="AD69" s="113"/>
      <c r="AE69" s="113"/>
      <c r="AF69" s="113"/>
      <c r="AG69" s="113"/>
      <c r="AH69" s="113"/>
    </row>
    <row r="70" spans="1:34" ht="29">
      <c r="A70" s="58"/>
      <c r="B70" s="57"/>
      <c r="C70" s="56"/>
      <c r="D70" s="469"/>
      <c r="E70" s="470"/>
      <c r="F70" s="105" t="s">
        <v>676</v>
      </c>
      <c r="G70" s="106" t="s">
        <v>1355</v>
      </c>
      <c r="H70" s="107" t="s">
        <v>297</v>
      </c>
      <c r="I70" s="107" t="s">
        <v>320</v>
      </c>
      <c r="J70" s="111"/>
      <c r="K70" s="112" t="s">
        <v>678</v>
      </c>
      <c r="L70" s="108" t="str">
        <f t="shared" si="0"/>
        <v>Participar en el grups de treball per a la definició i organització del SINATCAT</v>
      </c>
      <c r="M70" s="109"/>
      <c r="N70" s="114"/>
      <c r="O70" s="114"/>
      <c r="P70" s="110"/>
      <c r="Q70" s="166"/>
      <c r="R70" s="166"/>
      <c r="S70" s="166"/>
      <c r="T70" s="166"/>
      <c r="U70" s="113"/>
      <c r="V70" s="113"/>
      <c r="W70" s="113"/>
      <c r="X70" s="113"/>
      <c r="Y70" s="113"/>
      <c r="Z70" s="113"/>
      <c r="AA70" s="113"/>
      <c r="AB70" s="113"/>
      <c r="AC70" s="113"/>
      <c r="AD70" s="113"/>
      <c r="AE70" s="113"/>
      <c r="AF70" s="113"/>
      <c r="AG70" s="113"/>
      <c r="AH70" s="113"/>
    </row>
    <row r="71" spans="1:34" ht="43.5">
      <c r="A71" s="58"/>
      <c r="B71" s="57"/>
      <c r="C71" s="56"/>
      <c r="D71" s="469" t="s">
        <v>680</v>
      </c>
      <c r="E71" s="470" t="s">
        <v>681</v>
      </c>
      <c r="F71" s="105" t="s">
        <v>682</v>
      </c>
      <c r="G71" s="106" t="s">
        <v>683</v>
      </c>
      <c r="H71" s="107" t="s">
        <v>297</v>
      </c>
      <c r="I71" s="107" t="s">
        <v>424</v>
      </c>
      <c r="J71" s="111"/>
      <c r="K71" s="112" t="s">
        <v>685</v>
      </c>
      <c r="L71" s="108" t="str">
        <f t="shared" ref="L71:L134" si="1">G71</f>
        <v>Crear sinèrgies i col·laborar amb museus i equipaments de referència per definir línies d'actuació conjunta entre patrimoni cultural i natural</v>
      </c>
      <c r="M71" s="109"/>
      <c r="N71" s="76"/>
      <c r="O71" s="76"/>
      <c r="P71" s="110"/>
      <c r="Q71" s="166"/>
      <c r="R71" s="166"/>
      <c r="S71" s="166"/>
      <c r="T71" s="166"/>
      <c r="U71" s="113"/>
      <c r="V71" s="113"/>
      <c r="W71" s="113"/>
      <c r="X71" s="113"/>
      <c r="Y71" s="113"/>
      <c r="Z71" s="113"/>
      <c r="AA71" s="113"/>
      <c r="AB71" s="113"/>
      <c r="AC71" s="113"/>
      <c r="AD71" s="113"/>
      <c r="AE71" s="113"/>
      <c r="AF71" s="113"/>
      <c r="AG71" s="113"/>
      <c r="AH71" s="113"/>
    </row>
    <row r="72" spans="1:34" ht="58">
      <c r="A72" s="58"/>
      <c r="B72" s="57"/>
      <c r="C72" s="56"/>
      <c r="D72" s="469"/>
      <c r="E72" s="470"/>
      <c r="F72" s="105" t="s">
        <v>687</v>
      </c>
      <c r="G72" s="106" t="s">
        <v>688</v>
      </c>
      <c r="H72" s="107" t="s">
        <v>297</v>
      </c>
      <c r="I72" s="107" t="s">
        <v>424</v>
      </c>
      <c r="J72" s="111"/>
      <c r="K72" s="112" t="s">
        <v>689</v>
      </c>
      <c r="L72" s="108" t="str">
        <f t="shared" si="1"/>
        <v>Establir acords amb les institucions de recerca i naturalistes per al desenvolupament d'estudis i inventaris dins l'ENP en el marc de les seves línies de recerca</v>
      </c>
      <c r="M72" s="109"/>
      <c r="N72" s="76"/>
      <c r="O72" s="76"/>
      <c r="P72" s="110"/>
      <c r="Q72" s="166"/>
      <c r="R72" s="166"/>
      <c r="S72" s="166"/>
      <c r="T72" s="166"/>
      <c r="U72" s="113"/>
      <c r="V72" s="113"/>
      <c r="W72" s="113"/>
      <c r="X72" s="113"/>
      <c r="Y72" s="113"/>
      <c r="Z72" s="113"/>
      <c r="AA72" s="113"/>
      <c r="AB72" s="113"/>
      <c r="AC72" s="113"/>
      <c r="AD72" s="113"/>
      <c r="AE72" s="113"/>
      <c r="AF72" s="113"/>
      <c r="AG72" s="113"/>
      <c r="AH72" s="113"/>
    </row>
    <row r="73" spans="1:34" ht="29">
      <c r="A73" s="58"/>
      <c r="B73" s="57"/>
      <c r="C73" s="56"/>
      <c r="D73" s="469"/>
      <c r="E73" s="470"/>
      <c r="F73" s="105" t="s">
        <v>692</v>
      </c>
      <c r="G73" s="106" t="s">
        <v>693</v>
      </c>
      <c r="H73" s="107" t="s">
        <v>297</v>
      </c>
      <c r="I73" s="107" t="s">
        <v>424</v>
      </c>
      <c r="J73" s="111"/>
      <c r="K73" s="112"/>
      <c r="L73" s="108" t="str">
        <f t="shared" si="1"/>
        <v xml:space="preserve">Potenciar la ciència ciutadana en l’ENP com a eina per generar coneixement </v>
      </c>
      <c r="M73" s="109"/>
      <c r="N73" s="76"/>
      <c r="O73" s="76"/>
      <c r="P73" s="110"/>
      <c r="Q73" s="166" t="s">
        <v>694</v>
      </c>
      <c r="R73" s="166"/>
      <c r="S73" s="166"/>
      <c r="T73" s="166"/>
      <c r="U73" s="113"/>
      <c r="V73" s="113"/>
      <c r="W73" s="113"/>
      <c r="X73" s="113"/>
      <c r="Y73" s="113"/>
      <c r="Z73" s="113"/>
      <c r="AA73" s="113"/>
      <c r="AB73" s="113"/>
      <c r="AC73" s="113"/>
      <c r="AD73" s="113"/>
      <c r="AE73" s="113"/>
      <c r="AF73" s="113"/>
      <c r="AG73" s="113"/>
      <c r="AH73" s="113"/>
    </row>
    <row r="74" spans="1:34" ht="43.5">
      <c r="A74" s="58"/>
      <c r="B74" s="57"/>
      <c r="C74" s="56"/>
      <c r="D74" s="469"/>
      <c r="E74" s="470"/>
      <c r="F74" s="105" t="s">
        <v>696</v>
      </c>
      <c r="G74" s="106" t="s">
        <v>697</v>
      </c>
      <c r="H74" s="107" t="s">
        <v>297</v>
      </c>
      <c r="I74" s="107" t="s">
        <v>424</v>
      </c>
      <c r="J74" s="111"/>
      <c r="K74" s="112" t="s">
        <v>698</v>
      </c>
      <c r="L74" s="108" t="str">
        <f t="shared" si="1"/>
        <v xml:space="preserve">Crear i desenvolupar jornades de recerca de l'ENP de forma anual on els diferents centres mostrin els estudis realizats en l'ENP </v>
      </c>
      <c r="M74" s="109"/>
      <c r="N74" s="76"/>
      <c r="O74" s="76"/>
      <c r="P74" s="110"/>
      <c r="Q74" s="166"/>
      <c r="R74" s="166"/>
      <c r="S74" s="166"/>
      <c r="T74" s="166"/>
      <c r="U74" s="113"/>
      <c r="V74" s="113"/>
      <c r="W74" s="113"/>
      <c r="X74" s="113"/>
      <c r="Y74" s="113"/>
      <c r="Z74" s="113"/>
      <c r="AA74" s="113"/>
      <c r="AB74" s="113"/>
      <c r="AC74" s="113"/>
      <c r="AD74" s="113"/>
      <c r="AE74" s="113"/>
      <c r="AF74" s="113"/>
      <c r="AG74" s="113"/>
      <c r="AH74" s="113"/>
    </row>
    <row r="75" spans="1:34" ht="29">
      <c r="A75" s="58"/>
      <c r="B75" s="57"/>
      <c r="C75" s="56"/>
      <c r="D75" s="469"/>
      <c r="E75" s="470"/>
      <c r="F75" s="105" t="s">
        <v>700</v>
      </c>
      <c r="G75" s="106" t="s">
        <v>701</v>
      </c>
      <c r="H75" s="107" t="s">
        <v>297</v>
      </c>
      <c r="I75" s="107" t="s">
        <v>424</v>
      </c>
      <c r="J75" s="111" t="s">
        <v>323</v>
      </c>
      <c r="K75" s="112"/>
      <c r="L75" s="108" t="str">
        <f t="shared" si="1"/>
        <v>Posar a disposició de la recerca, equipaments i serveis de l'ENP</v>
      </c>
      <c r="M75" s="109"/>
      <c r="N75" s="76"/>
      <c r="O75" s="76"/>
      <c r="P75" s="110"/>
      <c r="Q75" s="166"/>
      <c r="R75" s="166"/>
      <c r="S75" s="166"/>
      <c r="T75" s="166"/>
      <c r="U75" s="113"/>
      <c r="V75" s="113"/>
      <c r="W75" s="113"/>
      <c r="X75" s="113"/>
      <c r="Y75" s="113"/>
      <c r="Z75" s="113"/>
      <c r="AA75" s="113"/>
      <c r="AB75" s="113"/>
      <c r="AC75" s="113"/>
      <c r="AD75" s="113"/>
      <c r="AE75" s="113"/>
      <c r="AF75" s="113"/>
      <c r="AG75" s="113"/>
      <c r="AH75" s="113"/>
    </row>
    <row r="76" spans="1:34" ht="29">
      <c r="A76" s="58"/>
      <c r="B76" s="57"/>
      <c r="C76" s="56"/>
      <c r="D76" s="469"/>
      <c r="E76" s="470"/>
      <c r="F76" s="105" t="s">
        <v>703</v>
      </c>
      <c r="G76" s="106" t="s">
        <v>704</v>
      </c>
      <c r="H76" s="107" t="s">
        <v>297</v>
      </c>
      <c r="I76" s="107" t="s">
        <v>424</v>
      </c>
      <c r="J76" s="111"/>
      <c r="K76" s="112" t="s">
        <v>707</v>
      </c>
      <c r="L76" s="108" t="str">
        <f t="shared" si="1"/>
        <v xml:space="preserve">Crear l'Observatori de recerca de l'ENP vinculat a l'Observatori del Patrimoni natural i la biodiversitat </v>
      </c>
      <c r="M76" s="109"/>
      <c r="N76" s="76"/>
      <c r="O76" s="76"/>
      <c r="P76" s="110"/>
      <c r="Q76" s="166" t="s">
        <v>706</v>
      </c>
      <c r="R76" s="166"/>
      <c r="S76" s="166"/>
      <c r="T76" s="166"/>
      <c r="U76" s="113"/>
      <c r="V76" s="113"/>
      <c r="W76" s="113"/>
      <c r="X76" s="113"/>
      <c r="Y76" s="113"/>
      <c r="Z76" s="113"/>
      <c r="AA76" s="113"/>
      <c r="AB76" s="113"/>
      <c r="AC76" s="113"/>
      <c r="AD76" s="113"/>
      <c r="AE76" s="113"/>
      <c r="AF76" s="113"/>
      <c r="AG76" s="113"/>
      <c r="AH76" s="113"/>
    </row>
    <row r="77" spans="1:34" ht="29">
      <c r="A77" s="58"/>
      <c r="B77" s="57"/>
      <c r="C77" s="56"/>
      <c r="D77" s="469" t="s">
        <v>708</v>
      </c>
      <c r="E77" s="470" t="s">
        <v>709</v>
      </c>
      <c r="F77" s="105" t="s">
        <v>710</v>
      </c>
      <c r="G77" s="106" t="s">
        <v>711</v>
      </c>
      <c r="H77" s="107" t="s">
        <v>297</v>
      </c>
      <c r="I77" s="107" t="s">
        <v>320</v>
      </c>
      <c r="J77" s="111"/>
      <c r="K77" s="112" t="s">
        <v>712</v>
      </c>
      <c r="L77" s="108" t="str">
        <f t="shared" si="1"/>
        <v>Participar en la definició del sistema estándard de seguiment de l'ús públic amb el SENP</v>
      </c>
      <c r="M77" s="109"/>
      <c r="N77" s="76"/>
      <c r="O77" s="76"/>
      <c r="P77" s="110"/>
      <c r="Q77" s="166"/>
      <c r="R77" s="166"/>
      <c r="S77" s="166"/>
      <c r="T77" s="166"/>
      <c r="U77" s="113"/>
      <c r="V77" s="113"/>
      <c r="W77" s="113"/>
      <c r="X77" s="113"/>
      <c r="Y77" s="113"/>
      <c r="Z77" s="113"/>
      <c r="AA77" s="113"/>
      <c r="AB77" s="113"/>
      <c r="AC77" s="113"/>
      <c r="AD77" s="113"/>
      <c r="AE77" s="113"/>
      <c r="AF77" s="113"/>
      <c r="AG77" s="113"/>
      <c r="AH77" s="113"/>
    </row>
    <row r="78" spans="1:34" ht="58">
      <c r="A78" s="58"/>
      <c r="B78" s="57"/>
      <c r="C78" s="56"/>
      <c r="D78" s="469"/>
      <c r="E78" s="470"/>
      <c r="F78" s="105" t="s">
        <v>713</v>
      </c>
      <c r="G78" s="106" t="s">
        <v>714</v>
      </c>
      <c r="H78" s="107" t="s">
        <v>297</v>
      </c>
      <c r="I78" s="107" t="s">
        <v>320</v>
      </c>
      <c r="J78" s="111"/>
      <c r="K78" s="112" t="s">
        <v>716</v>
      </c>
      <c r="L78" s="108" t="str">
        <f t="shared" si="1"/>
        <v xml:space="preserve">Disposar de dades de freqüentació i perfil d'usuari en l'ENP i en especial en equipaments i en zones d'alta freqüentació segons el model de DG </v>
      </c>
      <c r="M78" s="109"/>
      <c r="N78" s="76"/>
      <c r="O78" s="76"/>
      <c r="P78" s="110"/>
      <c r="Q78" s="166" t="s">
        <v>715</v>
      </c>
      <c r="R78" s="166"/>
      <c r="S78" s="166"/>
      <c r="T78" s="166"/>
      <c r="U78" s="113"/>
      <c r="V78" s="113"/>
      <c r="W78" s="113"/>
      <c r="X78" s="113"/>
      <c r="Y78" s="113"/>
      <c r="Z78" s="113"/>
      <c r="AA78" s="113"/>
      <c r="AB78" s="113"/>
      <c r="AC78" s="113"/>
      <c r="AD78" s="113"/>
      <c r="AE78" s="113"/>
      <c r="AF78" s="113"/>
      <c r="AG78" s="113"/>
      <c r="AH78" s="113"/>
    </row>
    <row r="79" spans="1:34" ht="14.5">
      <c r="A79" s="58"/>
      <c r="B79" s="57"/>
      <c r="C79" s="56"/>
      <c r="D79" s="469"/>
      <c r="E79" s="470"/>
      <c r="F79" s="105" t="s">
        <v>721</v>
      </c>
      <c r="G79" s="106" t="s">
        <v>722</v>
      </c>
      <c r="H79" s="107" t="s">
        <v>297</v>
      </c>
      <c r="I79" s="107" t="s">
        <v>320</v>
      </c>
      <c r="J79" s="111"/>
      <c r="K79" s="112"/>
      <c r="L79" s="108" t="str">
        <f t="shared" si="1"/>
        <v>Identificar les activitats i actors de l’espai.</v>
      </c>
      <c r="M79" s="109"/>
      <c r="N79" s="76"/>
      <c r="O79" s="76"/>
      <c r="P79" s="110"/>
      <c r="Q79" s="166"/>
      <c r="R79" s="166"/>
      <c r="S79" s="166"/>
      <c r="T79" s="166"/>
      <c r="U79" s="113"/>
      <c r="V79" s="113"/>
      <c r="W79" s="113"/>
      <c r="X79" s="113"/>
      <c r="Y79" s="113"/>
      <c r="Z79" s="113"/>
      <c r="AA79" s="113"/>
      <c r="AB79" s="113"/>
      <c r="AC79" s="113"/>
      <c r="AD79" s="113"/>
      <c r="AE79" s="113"/>
      <c r="AF79" s="113"/>
      <c r="AG79" s="113"/>
      <c r="AH79" s="113"/>
    </row>
    <row r="80" spans="1:34" ht="29">
      <c r="A80" s="58"/>
      <c r="B80" s="57"/>
      <c r="C80" s="56"/>
      <c r="D80" s="469"/>
      <c r="E80" s="470"/>
      <c r="F80" s="105" t="s">
        <v>725</v>
      </c>
      <c r="G80" s="106" t="s">
        <v>726</v>
      </c>
      <c r="H80" s="107"/>
      <c r="I80" s="107"/>
      <c r="J80" s="111"/>
      <c r="K80" s="112"/>
      <c r="L80" s="108" t="str">
        <f t="shared" si="1"/>
        <v>Identificar en cartografia les males praxis i punts de massificació</v>
      </c>
      <c r="M80" s="109"/>
      <c r="N80" s="76"/>
      <c r="O80" s="76"/>
      <c r="P80" s="110"/>
      <c r="Q80" s="166"/>
      <c r="R80" s="166"/>
      <c r="S80" s="166"/>
      <c r="T80" s="166"/>
      <c r="U80" s="113"/>
      <c r="V80" s="113"/>
      <c r="W80" s="113"/>
      <c r="X80" s="113"/>
      <c r="Y80" s="113"/>
      <c r="Z80" s="113"/>
      <c r="AA80" s="113"/>
      <c r="AB80" s="113"/>
      <c r="AC80" s="113"/>
      <c r="AD80" s="113"/>
      <c r="AE80" s="113"/>
      <c r="AF80" s="113"/>
      <c r="AG80" s="113"/>
      <c r="AH80" s="113"/>
    </row>
    <row r="81" spans="1:34" ht="29">
      <c r="A81" s="58"/>
      <c r="B81" s="57"/>
      <c r="C81" s="56"/>
      <c r="D81" s="469"/>
      <c r="E81" s="470"/>
      <c r="F81" s="105" t="s">
        <v>728</v>
      </c>
      <c r="G81" s="106" t="s">
        <v>729</v>
      </c>
      <c r="H81" s="107" t="s">
        <v>297</v>
      </c>
      <c r="I81" s="107" t="s">
        <v>320</v>
      </c>
      <c r="J81" s="111"/>
      <c r="K81" s="112" t="s">
        <v>730</v>
      </c>
      <c r="L81" s="108" t="str">
        <f t="shared" si="1"/>
        <v>Adaptar i mantenir un registre d'activitats, actors i inciències en ús públic (curses, conflictes, queixes, etc)</v>
      </c>
      <c r="M81" s="109"/>
      <c r="N81" s="76"/>
      <c r="O81" s="76"/>
      <c r="P81" s="110"/>
      <c r="Q81" s="166"/>
      <c r="R81" s="166"/>
      <c r="S81" s="166"/>
      <c r="T81" s="166"/>
      <c r="U81" s="113"/>
      <c r="V81" s="113"/>
      <c r="W81" s="113"/>
      <c r="X81" s="113"/>
      <c r="Y81" s="113"/>
      <c r="Z81" s="113"/>
      <c r="AA81" s="113"/>
      <c r="AB81" s="113"/>
      <c r="AC81" s="113"/>
      <c r="AD81" s="113"/>
      <c r="AE81" s="113"/>
      <c r="AF81" s="113"/>
      <c r="AG81" s="113"/>
      <c r="AH81" s="113"/>
    </row>
    <row r="82" spans="1:34" ht="29">
      <c r="A82" s="58"/>
      <c r="B82" s="57"/>
      <c r="C82" s="56"/>
      <c r="D82" s="469"/>
      <c r="E82" s="470"/>
      <c r="F82" s="105" t="s">
        <v>732</v>
      </c>
      <c r="G82" s="106" t="s">
        <v>733</v>
      </c>
      <c r="H82" s="107" t="s">
        <v>297</v>
      </c>
      <c r="I82" s="107" t="s">
        <v>320</v>
      </c>
      <c r="J82" s="111" t="s">
        <v>323</v>
      </c>
      <c r="K82" s="112"/>
      <c r="L82" s="108" t="str">
        <f t="shared" si="1"/>
        <v>Identificar els impactes (positius i negatius) que generen les activitats d'ús públic dins l'ENP</v>
      </c>
      <c r="M82" s="109"/>
      <c r="N82" s="76"/>
      <c r="O82" s="76"/>
      <c r="P82" s="110"/>
      <c r="Q82" s="166"/>
      <c r="R82" s="166"/>
      <c r="S82" s="166"/>
      <c r="T82" s="166"/>
      <c r="U82" s="113"/>
      <c r="V82" s="113"/>
      <c r="W82" s="113"/>
      <c r="X82" s="113"/>
      <c r="Y82" s="113"/>
      <c r="Z82" s="113"/>
      <c r="AA82" s="113"/>
      <c r="AB82" s="113"/>
      <c r="AC82" s="113"/>
      <c r="AD82" s="113"/>
      <c r="AE82" s="113"/>
      <c r="AF82" s="113"/>
      <c r="AG82" s="113"/>
      <c r="AH82" s="113"/>
    </row>
    <row r="83" spans="1:34" ht="43.5">
      <c r="A83" s="28" t="s">
        <v>735</v>
      </c>
      <c r="B83" s="38">
        <v>7</v>
      </c>
      <c r="C83" s="39" t="s">
        <v>736</v>
      </c>
      <c r="D83" s="15" t="s">
        <v>737</v>
      </c>
      <c r="E83" s="90" t="s">
        <v>738</v>
      </c>
      <c r="F83" s="105" t="s">
        <v>739</v>
      </c>
      <c r="G83" s="106" t="s">
        <v>1356</v>
      </c>
      <c r="H83" s="107" t="s">
        <v>297</v>
      </c>
      <c r="I83" s="107" t="s">
        <v>298</v>
      </c>
      <c r="J83" s="111"/>
      <c r="K83" s="112"/>
      <c r="L83" s="108" t="str">
        <f t="shared" si="1"/>
        <v xml:space="preserve">Promoure i col·laborar en l'aplicació de Plans de Desenvolupament Local Sostenible </v>
      </c>
      <c r="M83" s="109"/>
      <c r="N83" s="76"/>
      <c r="O83" s="76"/>
      <c r="P83" s="110"/>
      <c r="Q83" s="166"/>
      <c r="R83" s="166"/>
      <c r="S83" s="166"/>
      <c r="T83" s="166"/>
      <c r="U83" s="113"/>
      <c r="V83" s="113"/>
      <c r="W83" s="113"/>
      <c r="X83" s="113"/>
      <c r="Y83" s="113"/>
      <c r="Z83" s="113"/>
      <c r="AA83" s="113"/>
      <c r="AB83" s="113"/>
      <c r="AC83" s="113"/>
      <c r="AD83" s="113"/>
      <c r="AE83" s="113"/>
      <c r="AF83" s="113"/>
      <c r="AG83" s="113"/>
      <c r="AH83" s="113"/>
    </row>
    <row r="84" spans="1:34" ht="87">
      <c r="A84" s="28"/>
      <c r="B84" s="500">
        <v>8</v>
      </c>
      <c r="C84" s="503" t="s">
        <v>742</v>
      </c>
      <c r="D84" s="481" t="s">
        <v>743</v>
      </c>
      <c r="E84" s="483" t="s">
        <v>744</v>
      </c>
      <c r="F84" s="105" t="s">
        <v>745</v>
      </c>
      <c r="G84" s="106" t="s">
        <v>746</v>
      </c>
      <c r="H84" s="107" t="s">
        <v>297</v>
      </c>
      <c r="I84" s="107" t="s">
        <v>298</v>
      </c>
      <c r="J84" s="111"/>
      <c r="K84" s="112"/>
      <c r="L84" s="108" t="str">
        <f t="shared" si="1"/>
        <v xml:space="preserve">Acompanyar i assessorar els productors agraris per millorar les tècniques productives agràries i afavorir la conservació dels hàbitats i paisatges </v>
      </c>
      <c r="M84" s="109"/>
      <c r="N84" s="76"/>
      <c r="O84" s="76"/>
      <c r="P84" s="110"/>
      <c r="Q84" s="166" t="s">
        <v>749</v>
      </c>
      <c r="R84" s="166"/>
      <c r="S84" s="166"/>
      <c r="T84" s="166"/>
      <c r="U84" s="113"/>
      <c r="V84" s="113"/>
      <c r="W84" s="113"/>
      <c r="X84" s="113"/>
      <c r="Y84" s="113"/>
      <c r="Z84" s="113"/>
      <c r="AA84" s="113"/>
      <c r="AB84" s="113"/>
      <c r="AC84" s="113"/>
      <c r="AD84" s="113"/>
      <c r="AE84" s="113"/>
      <c r="AF84" s="113"/>
      <c r="AG84" s="113"/>
      <c r="AH84" s="113"/>
    </row>
    <row r="85" spans="1:34" ht="43.5">
      <c r="A85" s="28"/>
      <c r="B85" s="501"/>
      <c r="C85" s="504"/>
      <c r="D85" s="496"/>
      <c r="E85" s="506"/>
      <c r="F85" s="105" t="s">
        <v>754</v>
      </c>
      <c r="G85" s="106" t="s">
        <v>1357</v>
      </c>
      <c r="H85" s="107" t="s">
        <v>297</v>
      </c>
      <c r="I85" s="107" t="s">
        <v>298</v>
      </c>
      <c r="J85" s="111"/>
      <c r="K85" s="112"/>
      <c r="L85" s="108" t="str">
        <f t="shared" si="1"/>
        <v xml:space="preserve">Oferir formació als productors agraris per millorar el seu coneixement sobre tècniques eficients i respectuoses amb la conservació del patrimoni natural i cultural </v>
      </c>
      <c r="M85" s="109"/>
      <c r="N85" s="76"/>
      <c r="O85" s="76"/>
      <c r="P85" s="110"/>
      <c r="Q85" s="166" t="s">
        <v>757</v>
      </c>
      <c r="R85" s="166"/>
      <c r="S85" s="166"/>
      <c r="T85" s="166"/>
      <c r="U85" s="113"/>
      <c r="V85" s="113"/>
      <c r="W85" s="113"/>
      <c r="X85" s="113"/>
      <c r="Y85" s="113"/>
      <c r="Z85" s="113"/>
      <c r="AA85" s="113"/>
      <c r="AB85" s="113"/>
      <c r="AC85" s="113"/>
      <c r="AD85" s="113"/>
      <c r="AE85" s="113"/>
      <c r="AF85" s="113"/>
      <c r="AG85" s="113"/>
      <c r="AH85" s="113"/>
    </row>
    <row r="86" spans="1:34" ht="43.5">
      <c r="A86" s="28"/>
      <c r="B86" s="501"/>
      <c r="C86" s="504"/>
      <c r="D86" s="482"/>
      <c r="E86" s="484"/>
      <c r="F86" s="105" t="s">
        <v>762</v>
      </c>
      <c r="G86" s="106" t="s">
        <v>763</v>
      </c>
      <c r="H86" s="107" t="s">
        <v>347</v>
      </c>
      <c r="I86" s="107" t="s">
        <v>424</v>
      </c>
      <c r="J86" s="111"/>
      <c r="K86" s="112"/>
      <c r="L86" s="108" t="str">
        <f t="shared" si="1"/>
        <v>Promoure la recuperació i conservació de marges i punts d'aigua associats a la ramaderia i l'agricultura i d'interès per la biodiversitat</v>
      </c>
      <c r="M86" s="109"/>
      <c r="N86" s="76"/>
      <c r="O86" s="76"/>
      <c r="P86" s="110"/>
      <c r="Q86" s="166"/>
      <c r="R86" s="166"/>
      <c r="S86" s="166"/>
      <c r="T86" s="166"/>
      <c r="U86" s="113"/>
      <c r="V86" s="113"/>
      <c r="W86" s="113"/>
      <c r="X86" s="113"/>
      <c r="Y86" s="113"/>
      <c r="Z86" s="113"/>
      <c r="AA86" s="113"/>
      <c r="AB86" s="113"/>
      <c r="AC86" s="113"/>
      <c r="AD86" s="113"/>
      <c r="AE86" s="113"/>
      <c r="AF86" s="113"/>
      <c r="AG86" s="113"/>
      <c r="AH86" s="113"/>
    </row>
    <row r="87" spans="1:34" ht="188.5">
      <c r="A87" s="492"/>
      <c r="B87" s="501"/>
      <c r="C87" s="504"/>
      <c r="D87" s="15" t="s">
        <v>768</v>
      </c>
      <c r="E87" s="90" t="s">
        <v>769</v>
      </c>
      <c r="F87" s="107" t="s">
        <v>770</v>
      </c>
      <c r="G87" s="106" t="s">
        <v>771</v>
      </c>
      <c r="H87" s="111"/>
      <c r="I87" s="111"/>
      <c r="J87" s="111" t="s">
        <v>323</v>
      </c>
      <c r="K87" s="112"/>
      <c r="L87" s="108" t="str">
        <f t="shared" si="1"/>
        <v>Establir una relació contínua amb agents socioeconòmics del territori, i si s'escau, crear una Taula de desenvolupament local</v>
      </c>
      <c r="M87" s="110"/>
      <c r="N87" s="76"/>
      <c r="O87" s="76"/>
      <c r="P87" s="110"/>
      <c r="Q87" s="166" t="s">
        <v>772</v>
      </c>
      <c r="R87" s="166"/>
      <c r="S87" s="166"/>
      <c r="T87" s="166"/>
      <c r="U87" s="113"/>
      <c r="V87" s="113"/>
      <c r="W87" s="113"/>
      <c r="X87" s="113"/>
      <c r="Y87" s="113"/>
      <c r="Z87" s="113"/>
      <c r="AA87" s="113"/>
      <c r="AB87" s="113"/>
      <c r="AC87" s="113"/>
      <c r="AD87" s="113"/>
      <c r="AE87" s="113"/>
      <c r="AF87" s="113"/>
      <c r="AG87" s="113"/>
      <c r="AH87" s="113"/>
    </row>
    <row r="88" spans="1:34" ht="58">
      <c r="A88" s="492"/>
      <c r="B88" s="501"/>
      <c r="C88" s="504"/>
      <c r="D88" s="493" t="s">
        <v>777</v>
      </c>
      <c r="E88" s="494" t="s">
        <v>778</v>
      </c>
      <c r="F88" s="105" t="s">
        <v>779</v>
      </c>
      <c r="G88" s="106" t="s">
        <v>780</v>
      </c>
      <c r="H88" s="107" t="s">
        <v>297</v>
      </c>
      <c r="I88" s="107" t="s">
        <v>424</v>
      </c>
      <c r="J88" s="111" t="s">
        <v>323</v>
      </c>
      <c r="K88" s="112" t="s">
        <v>784</v>
      </c>
      <c r="L88" s="108" t="str">
        <f t="shared" si="1"/>
        <v>Implantar un distintiu de qualitat i compatibilitat amb la conservació dels productes de la Xarxa d'ENP o criteris de qualitat propis de l'ENP</v>
      </c>
      <c r="M88" s="109"/>
      <c r="N88" s="76"/>
      <c r="O88" s="76"/>
      <c r="P88" s="110"/>
      <c r="Q88" s="166" t="s">
        <v>783</v>
      </c>
      <c r="R88" s="166"/>
      <c r="S88" s="166"/>
      <c r="T88" s="166"/>
      <c r="U88" s="113"/>
      <c r="V88" s="113"/>
      <c r="W88" s="113"/>
      <c r="X88" s="113"/>
      <c r="Y88" s="113"/>
      <c r="Z88" s="113"/>
      <c r="AA88" s="113"/>
      <c r="AB88" s="113"/>
      <c r="AC88" s="113"/>
      <c r="AD88" s="113"/>
      <c r="AE88" s="113"/>
      <c r="AF88" s="113"/>
      <c r="AG88" s="113"/>
      <c r="AH88" s="113"/>
    </row>
    <row r="89" spans="1:34" ht="43.5">
      <c r="A89" s="492"/>
      <c r="B89" s="501"/>
      <c r="C89" s="504"/>
      <c r="D89" s="493"/>
      <c r="E89" s="494"/>
      <c r="F89" s="105" t="s">
        <v>785</v>
      </c>
      <c r="G89" s="106" t="s">
        <v>786</v>
      </c>
      <c r="H89" s="107" t="s">
        <v>297</v>
      </c>
      <c r="I89" s="107" t="s">
        <v>320</v>
      </c>
      <c r="J89" s="116" t="s">
        <v>788</v>
      </c>
      <c r="K89" s="112"/>
      <c r="L89" s="108" t="str">
        <f t="shared" si="1"/>
        <v>Integrar els productes i activitats locals de qualitat en l'oferta d'activitats d'informació i turístiques de l'ENP</v>
      </c>
      <c r="M89" s="109"/>
      <c r="N89" s="76"/>
      <c r="O89" s="76"/>
      <c r="P89" s="110"/>
      <c r="Q89" s="166" t="s">
        <v>787</v>
      </c>
      <c r="R89" s="166"/>
      <c r="S89" s="166"/>
      <c r="T89" s="166"/>
      <c r="U89" s="113"/>
      <c r="V89" s="113"/>
      <c r="W89" s="113"/>
      <c r="X89" s="113"/>
      <c r="Y89" s="113"/>
      <c r="Z89" s="113"/>
      <c r="AA89" s="113"/>
      <c r="AB89" s="113"/>
      <c r="AC89" s="113"/>
      <c r="AD89" s="113"/>
      <c r="AE89" s="113"/>
      <c r="AF89" s="113"/>
      <c r="AG89" s="113"/>
      <c r="AH89" s="113"/>
    </row>
    <row r="90" spans="1:34" ht="14.5">
      <c r="A90" s="492"/>
      <c r="B90" s="501"/>
      <c r="C90" s="504"/>
      <c r="D90" s="493"/>
      <c r="E90" s="494"/>
      <c r="F90" s="105" t="s">
        <v>792</v>
      </c>
      <c r="G90" s="106" t="s">
        <v>793</v>
      </c>
      <c r="H90" s="107" t="s">
        <v>297</v>
      </c>
      <c r="I90" s="107" t="s">
        <v>424</v>
      </c>
      <c r="J90" s="111"/>
      <c r="K90" s="112"/>
      <c r="L90" s="108" t="str">
        <f t="shared" si="1"/>
        <v>Promoure fires d'artesania i productes locals de l'ENP</v>
      </c>
      <c r="M90" s="109"/>
      <c r="N90" s="114"/>
      <c r="O90" s="114"/>
      <c r="P90" s="110"/>
      <c r="Q90" s="166"/>
      <c r="R90" s="166"/>
      <c r="S90" s="166"/>
      <c r="T90" s="166"/>
      <c r="U90" s="113"/>
      <c r="V90" s="113"/>
      <c r="W90" s="113"/>
      <c r="X90" s="113"/>
      <c r="Y90" s="113"/>
      <c r="Z90" s="113"/>
      <c r="AA90" s="113"/>
      <c r="AB90" s="113"/>
      <c r="AC90" s="113"/>
      <c r="AD90" s="113"/>
      <c r="AE90" s="113"/>
      <c r="AF90" s="113"/>
      <c r="AG90" s="113"/>
      <c r="AH90" s="113"/>
    </row>
    <row r="91" spans="1:34" ht="58">
      <c r="A91" s="492"/>
      <c r="B91" s="501"/>
      <c r="C91" s="504"/>
      <c r="D91" s="493"/>
      <c r="E91" s="494"/>
      <c r="F91" s="105" t="s">
        <v>800</v>
      </c>
      <c r="G91" s="106" t="s">
        <v>801</v>
      </c>
      <c r="H91" s="107" t="s">
        <v>297</v>
      </c>
      <c r="I91" s="107" t="s">
        <v>424</v>
      </c>
      <c r="J91" s="116" t="s">
        <v>788</v>
      </c>
      <c r="K91" s="112"/>
      <c r="L91" s="108" t="str">
        <f t="shared" si="1"/>
        <v xml:space="preserve">Generar aliances entre el sector primari, el turisme, la restauració i altres per fomentar la gastronomia local </v>
      </c>
      <c r="M91" s="109"/>
      <c r="N91" s="76"/>
      <c r="O91" s="76"/>
      <c r="P91" s="110"/>
      <c r="Q91" s="166" t="s">
        <v>802</v>
      </c>
      <c r="R91" s="166"/>
      <c r="S91" s="166"/>
      <c r="T91" s="166"/>
      <c r="U91" s="113"/>
      <c r="V91" s="113"/>
      <c r="W91" s="113"/>
      <c r="X91" s="113"/>
      <c r="Y91" s="113"/>
      <c r="Z91" s="113"/>
      <c r="AA91" s="113"/>
      <c r="AB91" s="113"/>
      <c r="AC91" s="113"/>
      <c r="AD91" s="113"/>
      <c r="AE91" s="113"/>
      <c r="AF91" s="113"/>
      <c r="AG91" s="113"/>
      <c r="AH91" s="113"/>
    </row>
    <row r="92" spans="1:34" ht="43.5">
      <c r="A92" s="492"/>
      <c r="B92" s="501"/>
      <c r="C92" s="504"/>
      <c r="D92" s="493"/>
      <c r="E92" s="494"/>
      <c r="F92" s="105" t="s">
        <v>805</v>
      </c>
      <c r="G92" s="106" t="s">
        <v>806</v>
      </c>
      <c r="H92" s="107" t="s">
        <v>297</v>
      </c>
      <c r="I92" s="107" t="s">
        <v>424</v>
      </c>
      <c r="J92" s="116" t="s">
        <v>323</v>
      </c>
      <c r="K92" s="112"/>
      <c r="L92" s="108" t="str">
        <f t="shared" si="1"/>
        <v>Elaborar una diagnòsi del teixit productiu local i un pla d’acció amb línies de treball i actuacions concretes per donar-li suport</v>
      </c>
      <c r="M92" s="109"/>
      <c r="N92" s="76"/>
      <c r="O92" s="76"/>
      <c r="P92" s="110"/>
      <c r="Q92" s="166" t="s">
        <v>808</v>
      </c>
      <c r="R92" s="166"/>
      <c r="S92" s="166"/>
      <c r="T92" s="166"/>
      <c r="U92" s="113"/>
      <c r="V92" s="113"/>
      <c r="W92" s="113"/>
      <c r="X92" s="113"/>
      <c r="Y92" s="113"/>
      <c r="Z92" s="113"/>
      <c r="AA92" s="113"/>
      <c r="AB92" s="113"/>
      <c r="AC92" s="113"/>
      <c r="AD92" s="113"/>
      <c r="AE92" s="113"/>
      <c r="AF92" s="113"/>
      <c r="AG92" s="113"/>
      <c r="AH92" s="113"/>
    </row>
    <row r="93" spans="1:34" ht="58">
      <c r="A93" s="492"/>
      <c r="B93" s="501"/>
      <c r="C93" s="504"/>
      <c r="D93" s="493"/>
      <c r="E93" s="494"/>
      <c r="F93" s="105" t="s">
        <v>809</v>
      </c>
      <c r="G93" s="106" t="s">
        <v>1358</v>
      </c>
      <c r="H93" s="107" t="s">
        <v>297</v>
      </c>
      <c r="I93" s="107" t="s">
        <v>424</v>
      </c>
      <c r="J93" s="111"/>
      <c r="K93" s="112"/>
      <c r="L93" s="108" t="str">
        <f t="shared" si="1"/>
        <v>Elaborar una guia per promocionar els agents del territori que potencien i difonen els productes alimentaris locals i de qualitat (allotjaments, restaurants, cellers, establiments, elaboradors i productors)</v>
      </c>
      <c r="M93" s="109"/>
      <c r="N93" s="114"/>
      <c r="O93" s="114"/>
      <c r="P93" s="110"/>
      <c r="Q93" s="166" t="s">
        <v>811</v>
      </c>
      <c r="R93" s="166"/>
      <c r="S93" s="166"/>
      <c r="T93" s="166"/>
      <c r="U93" s="113"/>
      <c r="V93" s="113"/>
      <c r="W93" s="113"/>
      <c r="X93" s="113"/>
      <c r="Y93" s="113"/>
      <c r="Z93" s="113"/>
      <c r="AA93" s="113"/>
      <c r="AB93" s="113"/>
      <c r="AC93" s="113"/>
      <c r="AD93" s="113"/>
      <c r="AE93" s="113"/>
      <c r="AF93" s="113"/>
      <c r="AG93" s="113"/>
      <c r="AH93" s="113"/>
    </row>
    <row r="94" spans="1:34" ht="43.5">
      <c r="A94" s="492"/>
      <c r="B94" s="501"/>
      <c r="C94" s="504"/>
      <c r="D94" s="493" t="s">
        <v>814</v>
      </c>
      <c r="E94" s="495" t="s">
        <v>815</v>
      </c>
      <c r="F94" s="105" t="s">
        <v>816</v>
      </c>
      <c r="G94" s="106" t="s">
        <v>817</v>
      </c>
      <c r="H94" s="107" t="s">
        <v>297</v>
      </c>
      <c r="I94" s="107" t="s">
        <v>320</v>
      </c>
      <c r="J94" s="111" t="s">
        <v>46</v>
      </c>
      <c r="K94" s="112"/>
      <c r="L94" s="108" t="str">
        <f t="shared" si="1"/>
        <v>Treballar amb l'autoritat competent per garantir objectius de conservació d’espècies i hàbitats en la revisió dels Plans de Gestió Cinegètica</v>
      </c>
      <c r="M94" s="109"/>
      <c r="N94" s="76"/>
      <c r="O94" s="76"/>
      <c r="P94" s="110"/>
      <c r="Q94" s="166" t="s">
        <v>818</v>
      </c>
      <c r="R94" s="166"/>
      <c r="S94" s="166"/>
      <c r="T94" s="166"/>
      <c r="U94" s="113"/>
      <c r="V94" s="113"/>
      <c r="W94" s="113"/>
      <c r="X94" s="113"/>
      <c r="Y94" s="113"/>
      <c r="Z94" s="113"/>
      <c r="AA94" s="113"/>
      <c r="AB94" s="113"/>
      <c r="AC94" s="113"/>
      <c r="AD94" s="113"/>
      <c r="AE94" s="113"/>
      <c r="AF94" s="113"/>
      <c r="AG94" s="113"/>
      <c r="AH94" s="113"/>
    </row>
    <row r="95" spans="1:34" ht="43.5">
      <c r="A95" s="492"/>
      <c r="B95" s="501"/>
      <c r="C95" s="504"/>
      <c r="D95" s="493"/>
      <c r="E95" s="495"/>
      <c r="F95" s="105" t="s">
        <v>819</v>
      </c>
      <c r="G95" s="106" t="s">
        <v>820</v>
      </c>
      <c r="H95" s="107" t="s">
        <v>297</v>
      </c>
      <c r="I95" s="107" t="s">
        <v>320</v>
      </c>
      <c r="J95" s="111" t="s">
        <v>46</v>
      </c>
      <c r="K95" s="112"/>
      <c r="L95" s="108" t="str">
        <f t="shared" si="1"/>
        <v>Col·laborar en la regulació i ordenació de la caça i la pesca en zones sensibles o amb risc d'afectació d'elements clau objecte de conservació</v>
      </c>
      <c r="M95" s="109"/>
      <c r="N95" s="76"/>
      <c r="O95" s="76"/>
      <c r="P95" s="110"/>
      <c r="Q95" s="166" t="s">
        <v>821</v>
      </c>
      <c r="R95" s="166"/>
      <c r="S95" s="166"/>
      <c r="T95" s="166"/>
      <c r="U95" s="113"/>
      <c r="V95" s="113"/>
      <c r="W95" s="113"/>
      <c r="X95" s="113"/>
      <c r="Y95" s="113"/>
      <c r="Z95" s="113"/>
      <c r="AA95" s="113"/>
      <c r="AB95" s="113"/>
      <c r="AC95" s="113"/>
      <c r="AD95" s="113"/>
      <c r="AE95" s="113"/>
      <c r="AF95" s="113"/>
      <c r="AG95" s="113"/>
      <c r="AH95" s="113"/>
    </row>
    <row r="96" spans="1:34" ht="87">
      <c r="A96" s="492"/>
      <c r="B96" s="502"/>
      <c r="C96" s="505"/>
      <c r="D96" s="493"/>
      <c r="E96" s="495"/>
      <c r="F96" s="105" t="s">
        <v>823</v>
      </c>
      <c r="G96" s="106" t="s">
        <v>824</v>
      </c>
      <c r="H96" s="107" t="s">
        <v>297</v>
      </c>
      <c r="I96" s="107" t="s">
        <v>320</v>
      </c>
      <c r="J96" s="111"/>
      <c r="K96" s="112"/>
      <c r="L96" s="108" t="str">
        <f t="shared" si="1"/>
        <v>Donar suport en la gestió de poblacions que generen danys a les activitats econòmiques de l'ENP</v>
      </c>
      <c r="M96" s="109"/>
      <c r="N96" s="76"/>
      <c r="O96" s="76"/>
      <c r="P96" s="110"/>
      <c r="Q96" s="166" t="s">
        <v>825</v>
      </c>
      <c r="R96" s="166"/>
      <c r="S96" s="166"/>
      <c r="T96" s="166"/>
      <c r="U96" s="113"/>
      <c r="V96" s="113"/>
      <c r="W96" s="113"/>
      <c r="X96" s="113"/>
      <c r="Y96" s="113"/>
      <c r="Z96" s="113"/>
      <c r="AA96" s="113"/>
      <c r="AB96" s="113"/>
      <c r="AC96" s="113"/>
      <c r="AD96" s="113"/>
      <c r="AE96" s="113"/>
      <c r="AF96" s="113"/>
      <c r="AG96" s="113"/>
      <c r="AH96" s="113"/>
    </row>
    <row r="97" spans="1:34" ht="43.5">
      <c r="A97" s="28"/>
      <c r="B97" s="47">
        <v>9</v>
      </c>
      <c r="C97" s="54" t="s">
        <v>827</v>
      </c>
      <c r="D97" s="481" t="s">
        <v>828</v>
      </c>
      <c r="E97" s="483" t="s">
        <v>829</v>
      </c>
      <c r="F97" s="105" t="s">
        <v>830</v>
      </c>
      <c r="G97" s="106" t="s">
        <v>831</v>
      </c>
      <c r="H97" s="107" t="s">
        <v>297</v>
      </c>
      <c r="I97" s="107" t="s">
        <v>424</v>
      </c>
      <c r="J97" s="111" t="s">
        <v>323</v>
      </c>
      <c r="K97" s="112"/>
      <c r="L97" s="108" t="str">
        <f t="shared" si="1"/>
        <v>Desplegar la Carta Europea de Turisme Sostenible (CETS)</v>
      </c>
      <c r="M97" s="109"/>
      <c r="N97" s="114"/>
      <c r="O97" s="114"/>
      <c r="P97" s="110"/>
      <c r="Q97" s="166"/>
      <c r="R97" s="166"/>
      <c r="S97" s="166"/>
      <c r="T97" s="166"/>
      <c r="U97" s="113"/>
      <c r="V97" s="113"/>
      <c r="W97" s="113"/>
      <c r="X97" s="113"/>
      <c r="Y97" s="113"/>
      <c r="Z97" s="113"/>
      <c r="AA97" s="113"/>
      <c r="AB97" s="113"/>
      <c r="AC97" s="113"/>
      <c r="AD97" s="113"/>
      <c r="AE97" s="113"/>
      <c r="AF97" s="113"/>
      <c r="AG97" s="113"/>
      <c r="AH97" s="113"/>
    </row>
    <row r="98" spans="1:34" ht="14.5">
      <c r="A98" s="28"/>
      <c r="B98" s="48"/>
      <c r="C98" s="55"/>
      <c r="D98" s="482"/>
      <c r="E98" s="484"/>
      <c r="F98" s="105" t="s">
        <v>832</v>
      </c>
      <c r="G98" s="106" t="s">
        <v>833</v>
      </c>
      <c r="H98" s="107" t="s">
        <v>297</v>
      </c>
      <c r="I98" s="107" t="s">
        <v>424</v>
      </c>
      <c r="J98" s="111"/>
      <c r="K98" s="112"/>
      <c r="L98" s="108" t="str">
        <f t="shared" si="1"/>
        <v>Tramitar la certificació Biosphere</v>
      </c>
      <c r="M98" s="109"/>
      <c r="N98" s="114"/>
      <c r="O98" s="114"/>
      <c r="P98" s="110"/>
      <c r="Q98" s="166"/>
      <c r="R98" s="166"/>
      <c r="S98" s="166"/>
      <c r="T98" s="166"/>
      <c r="U98" s="113"/>
      <c r="V98" s="113"/>
      <c r="W98" s="113"/>
      <c r="X98" s="113"/>
      <c r="Y98" s="113"/>
      <c r="Z98" s="113"/>
      <c r="AA98" s="113"/>
      <c r="AB98" s="113"/>
      <c r="AC98" s="113"/>
      <c r="AD98" s="113"/>
      <c r="AE98" s="113"/>
      <c r="AF98" s="113"/>
      <c r="AG98" s="113"/>
      <c r="AH98" s="113"/>
    </row>
    <row r="99" spans="1:34" ht="43.5">
      <c r="A99" s="49"/>
      <c r="B99" s="48"/>
      <c r="C99" s="55"/>
      <c r="D99" s="481" t="s">
        <v>841</v>
      </c>
      <c r="E99" s="483" t="s">
        <v>842</v>
      </c>
      <c r="F99" s="105" t="s">
        <v>843</v>
      </c>
      <c r="G99" s="106" t="s">
        <v>844</v>
      </c>
      <c r="H99" s="107" t="s">
        <v>297</v>
      </c>
      <c r="I99" s="107" t="s">
        <v>424</v>
      </c>
      <c r="J99" s="111" t="s">
        <v>323</v>
      </c>
      <c r="K99" s="112"/>
      <c r="L99" s="108" t="str">
        <f t="shared" si="1"/>
        <v xml:space="preserve">Treballar amb les empreses turístiques per trobar eines de canvi cap a un model de turisme sostenible i de qualitat </v>
      </c>
      <c r="M99" s="109"/>
      <c r="N99" s="114"/>
      <c r="O99" s="114"/>
      <c r="P99" s="110"/>
      <c r="Q99" s="166"/>
      <c r="R99" s="166"/>
      <c r="S99" s="166"/>
      <c r="T99" s="166"/>
      <c r="U99" s="113"/>
      <c r="V99" s="113"/>
      <c r="W99" s="113"/>
      <c r="X99" s="113"/>
      <c r="Y99" s="113"/>
      <c r="Z99" s="113"/>
      <c r="AA99" s="113"/>
      <c r="AB99" s="113"/>
      <c r="AC99" s="113"/>
      <c r="AD99" s="113"/>
      <c r="AE99" s="113"/>
      <c r="AF99" s="113"/>
      <c r="AG99" s="113"/>
      <c r="AH99" s="113"/>
    </row>
    <row r="100" spans="1:34" ht="29">
      <c r="A100" s="49"/>
      <c r="B100" s="48"/>
      <c r="C100" s="55"/>
      <c r="D100" s="482"/>
      <c r="E100" s="484"/>
      <c r="F100" s="105" t="s">
        <v>847</v>
      </c>
      <c r="G100" s="106" t="s">
        <v>848</v>
      </c>
      <c r="H100" s="107" t="s">
        <v>297</v>
      </c>
      <c r="I100" s="107" t="s">
        <v>424</v>
      </c>
      <c r="J100" s="111" t="s">
        <v>323</v>
      </c>
      <c r="K100" s="112"/>
      <c r="L100" s="108" t="str">
        <f t="shared" si="1"/>
        <v>Crear productes i paquets turístics amb associacions d’empreses turístiques i operadors turístics</v>
      </c>
      <c r="M100" s="109"/>
      <c r="N100" s="76"/>
      <c r="O100" s="76"/>
      <c r="P100" s="110"/>
      <c r="Q100" s="166"/>
      <c r="R100" s="166"/>
      <c r="S100" s="166"/>
      <c r="T100" s="166"/>
      <c r="U100" s="113"/>
      <c r="V100" s="113"/>
      <c r="W100" s="113"/>
      <c r="X100" s="113"/>
      <c r="Y100" s="113"/>
      <c r="Z100" s="113"/>
      <c r="AA100" s="113"/>
      <c r="AB100" s="113"/>
      <c r="AC100" s="113"/>
      <c r="AD100" s="113"/>
      <c r="AE100" s="113"/>
      <c r="AF100" s="113"/>
      <c r="AG100" s="113"/>
      <c r="AH100" s="113"/>
    </row>
    <row r="101" spans="1:34" ht="72.5">
      <c r="A101" s="29" t="s">
        <v>854</v>
      </c>
      <c r="B101" s="52">
        <v>10</v>
      </c>
      <c r="C101" s="59" t="s">
        <v>855</v>
      </c>
      <c r="D101" s="53" t="s">
        <v>856</v>
      </c>
      <c r="E101" s="91" t="s">
        <v>1359</v>
      </c>
      <c r="F101" s="105" t="s">
        <v>858</v>
      </c>
      <c r="G101" s="106" t="s">
        <v>1360</v>
      </c>
      <c r="H101" s="107" t="s">
        <v>297</v>
      </c>
      <c r="I101" s="107" t="s">
        <v>320</v>
      </c>
      <c r="J101" s="111"/>
      <c r="K101" s="112" t="s">
        <v>861</v>
      </c>
      <c r="L101" s="108" t="str">
        <f t="shared" si="1"/>
        <v>Establir un model de construcció a l'ENP en base al model de Pla de protecció</v>
      </c>
      <c r="M101" s="109"/>
      <c r="N101" s="120"/>
      <c r="O101" s="120"/>
      <c r="P101" s="110"/>
      <c r="Q101" s="168" t="s">
        <v>860</v>
      </c>
      <c r="R101" s="168"/>
      <c r="S101" s="168"/>
      <c r="T101" s="168"/>
      <c r="U101" s="113"/>
      <c r="V101" s="113"/>
      <c r="W101" s="113"/>
      <c r="X101" s="113"/>
      <c r="Y101" s="113"/>
      <c r="Z101" s="113"/>
      <c r="AA101" s="113"/>
      <c r="AB101" s="113"/>
      <c r="AC101" s="113"/>
      <c r="AD101" s="113"/>
      <c r="AE101" s="113"/>
      <c r="AF101" s="113"/>
      <c r="AG101" s="113"/>
      <c r="AH101" s="113"/>
    </row>
    <row r="102" spans="1:34" ht="29">
      <c r="A102" s="29"/>
      <c r="B102" s="33">
        <v>11</v>
      </c>
      <c r="C102" s="477" t="s">
        <v>867</v>
      </c>
      <c r="D102" s="463" t="s">
        <v>868</v>
      </c>
      <c r="E102" s="466" t="s">
        <v>869</v>
      </c>
      <c r="F102" s="105" t="s">
        <v>870</v>
      </c>
      <c r="G102" s="106" t="s">
        <v>1361</v>
      </c>
      <c r="H102" s="107" t="s">
        <v>297</v>
      </c>
      <c r="I102" s="107" t="s">
        <v>320</v>
      </c>
      <c r="J102" s="111"/>
      <c r="K102" s="112" t="s">
        <v>861</v>
      </c>
      <c r="L102" s="108" t="str">
        <f t="shared" si="1"/>
        <v>Regular l'acampada i pernoctació  en base al model de Pla de protecció</v>
      </c>
      <c r="M102" s="109"/>
      <c r="N102" s="108"/>
      <c r="O102" s="108"/>
      <c r="P102" s="110"/>
      <c r="Q102" s="169" t="s">
        <v>1362</v>
      </c>
      <c r="R102" s="169"/>
      <c r="S102" s="169"/>
      <c r="T102" s="169"/>
      <c r="U102" s="113"/>
      <c r="V102" s="113"/>
      <c r="W102" s="113"/>
      <c r="X102" s="113"/>
      <c r="Y102" s="113"/>
      <c r="Z102" s="113"/>
      <c r="AA102" s="113"/>
      <c r="AB102" s="113"/>
      <c r="AC102" s="113"/>
      <c r="AD102" s="113"/>
      <c r="AE102" s="113"/>
      <c r="AF102" s="113"/>
      <c r="AG102" s="113"/>
      <c r="AH102" s="113"/>
    </row>
    <row r="103" spans="1:34" ht="29">
      <c r="A103" s="29"/>
      <c r="B103" s="34"/>
      <c r="C103" s="478"/>
      <c r="D103" s="464"/>
      <c r="E103" s="467"/>
      <c r="F103" s="105" t="s">
        <v>874</v>
      </c>
      <c r="G103" s="106" t="s">
        <v>1363</v>
      </c>
      <c r="H103" s="107" t="s">
        <v>297</v>
      </c>
      <c r="I103" s="107" t="s">
        <v>320</v>
      </c>
      <c r="J103" s="111"/>
      <c r="K103" s="112" t="s">
        <v>861</v>
      </c>
      <c r="L103" s="108" t="str">
        <f t="shared" si="1"/>
        <v>Regular la circulació rodada no motoritzada en base al model de Pla de protecció</v>
      </c>
      <c r="M103" s="109"/>
      <c r="N103" s="108"/>
      <c r="O103" s="108"/>
      <c r="P103" s="110"/>
      <c r="Q103" s="169" t="s">
        <v>1364</v>
      </c>
      <c r="R103" s="169"/>
      <c r="S103" s="169"/>
      <c r="T103" s="169"/>
      <c r="U103" s="113"/>
      <c r="V103" s="113"/>
      <c r="W103" s="113"/>
      <c r="X103" s="113"/>
      <c r="Y103" s="113"/>
      <c r="Z103" s="113"/>
      <c r="AA103" s="113"/>
      <c r="AB103" s="113"/>
      <c r="AC103" s="113"/>
      <c r="AD103" s="113"/>
      <c r="AE103" s="113"/>
      <c r="AF103" s="113"/>
      <c r="AG103" s="113"/>
      <c r="AH103" s="113"/>
    </row>
    <row r="104" spans="1:34" ht="43.5">
      <c r="A104" s="29"/>
      <c r="B104" s="34"/>
      <c r="C104" s="478"/>
      <c r="D104" s="464"/>
      <c r="E104" s="467"/>
      <c r="F104" s="105" t="s">
        <v>878</v>
      </c>
      <c r="G104" s="106" t="s">
        <v>1365</v>
      </c>
      <c r="H104" s="107" t="s">
        <v>347</v>
      </c>
      <c r="I104" s="107" t="s">
        <v>320</v>
      </c>
      <c r="J104" s="111"/>
      <c r="K104" s="112" t="s">
        <v>861</v>
      </c>
      <c r="L104" s="108" t="str">
        <f t="shared" si="1"/>
        <v>Regular l'escalada i alpinisme, barranquisme, i espeleologia  en base al model de Pla de protecció</v>
      </c>
      <c r="M104" s="109"/>
      <c r="N104" s="108"/>
      <c r="O104" s="108"/>
      <c r="P104" s="110"/>
      <c r="Q104" s="169" t="s">
        <v>1366</v>
      </c>
      <c r="R104" s="169"/>
      <c r="S104" s="169"/>
      <c r="T104" s="169"/>
      <c r="U104" s="113"/>
      <c r="V104" s="113"/>
      <c r="W104" s="113"/>
      <c r="X104" s="113"/>
      <c r="Y104" s="113"/>
      <c r="Z104" s="113"/>
      <c r="AA104" s="113"/>
      <c r="AB104" s="113"/>
      <c r="AC104" s="113"/>
      <c r="AD104" s="113"/>
      <c r="AE104" s="113"/>
      <c r="AF104" s="113"/>
      <c r="AG104" s="113"/>
      <c r="AH104" s="113"/>
    </row>
    <row r="105" spans="1:34" ht="43.5">
      <c r="A105" s="29"/>
      <c r="B105" s="34"/>
      <c r="C105" s="32"/>
      <c r="D105" s="464"/>
      <c r="E105" s="467"/>
      <c r="F105" s="105" t="s">
        <v>881</v>
      </c>
      <c r="G105" s="106" t="s">
        <v>1367</v>
      </c>
      <c r="H105" s="107" t="s">
        <v>297</v>
      </c>
      <c r="I105" s="107" t="s">
        <v>320</v>
      </c>
      <c r="J105" s="111"/>
      <c r="K105" s="112" t="s">
        <v>861</v>
      </c>
      <c r="L105" s="108" t="str">
        <f t="shared" si="1"/>
        <v>Regular les curses i altres activitats esportives organitzades en base al model de Pla de protecció</v>
      </c>
      <c r="M105" s="109"/>
      <c r="N105" s="108"/>
      <c r="O105" s="108"/>
      <c r="P105" s="110"/>
      <c r="Q105" s="169" t="s">
        <v>1368</v>
      </c>
      <c r="R105" s="169"/>
      <c r="S105" s="169"/>
      <c r="T105" s="169"/>
      <c r="U105" s="113"/>
      <c r="V105" s="113"/>
      <c r="W105" s="113"/>
      <c r="X105" s="113"/>
      <c r="Y105" s="113"/>
      <c r="Z105" s="113"/>
      <c r="AA105" s="113"/>
      <c r="AB105" s="113"/>
      <c r="AC105" s="113"/>
      <c r="AD105" s="113"/>
      <c r="AE105" s="113"/>
      <c r="AF105" s="113"/>
      <c r="AG105" s="113"/>
      <c r="AH105" s="113"/>
    </row>
    <row r="106" spans="1:34" ht="43.5">
      <c r="A106" s="29"/>
      <c r="B106" s="51"/>
      <c r="C106" s="50"/>
      <c r="D106" s="464"/>
      <c r="E106" s="467"/>
      <c r="F106" s="105" t="s">
        <v>884</v>
      </c>
      <c r="G106" s="106" t="s">
        <v>1369</v>
      </c>
      <c r="H106" s="107" t="s">
        <v>297</v>
      </c>
      <c r="I106" s="107" t="s">
        <v>320</v>
      </c>
      <c r="J106" s="111"/>
      <c r="K106" s="112" t="s">
        <v>861</v>
      </c>
      <c r="L106" s="108" t="str">
        <f t="shared" si="1"/>
        <v>Regular els enregistraments i l'observació de fauna i natura en base al model de Pla de protecció</v>
      </c>
      <c r="M106" s="109"/>
      <c r="N106" s="108"/>
      <c r="O106" s="108"/>
      <c r="P106" s="110"/>
      <c r="Q106" s="169" t="s">
        <v>1370</v>
      </c>
      <c r="R106" s="169"/>
      <c r="S106" s="169"/>
      <c r="T106" s="169"/>
      <c r="U106" s="113"/>
      <c r="V106" s="113"/>
      <c r="W106" s="113"/>
      <c r="X106" s="113"/>
      <c r="Y106" s="113"/>
      <c r="Z106" s="113"/>
      <c r="AA106" s="113"/>
      <c r="AB106" s="113"/>
      <c r="AC106" s="113"/>
      <c r="AD106" s="113"/>
      <c r="AE106" s="113"/>
      <c r="AF106" s="113"/>
      <c r="AG106" s="113"/>
      <c r="AH106" s="113"/>
    </row>
    <row r="107" spans="1:34" ht="29">
      <c r="A107" s="29"/>
      <c r="B107" s="51"/>
      <c r="C107" s="50"/>
      <c r="D107" s="464"/>
      <c r="E107" s="467"/>
      <c r="F107" s="105" t="s">
        <v>887</v>
      </c>
      <c r="G107" s="106" t="s">
        <v>1371</v>
      </c>
      <c r="H107" s="107" t="s">
        <v>297</v>
      </c>
      <c r="I107" s="107" t="s">
        <v>320</v>
      </c>
      <c r="J107" s="111"/>
      <c r="K107" s="112" t="s">
        <v>861</v>
      </c>
      <c r="L107" s="108" t="str">
        <f t="shared" si="1"/>
        <v>Regular les activitats científiques en base al model de Pla de protecció</v>
      </c>
      <c r="M107" s="109"/>
      <c r="N107" s="108"/>
      <c r="O107" s="108"/>
      <c r="P107" s="110"/>
      <c r="Q107" s="169" t="s">
        <v>1372</v>
      </c>
      <c r="R107" s="169"/>
      <c r="S107" s="169"/>
      <c r="T107" s="169"/>
      <c r="U107" s="113"/>
      <c r="V107" s="113"/>
      <c r="W107" s="113"/>
      <c r="X107" s="113"/>
      <c r="Y107" s="113"/>
      <c r="Z107" s="113"/>
      <c r="AA107" s="113"/>
      <c r="AB107" s="113"/>
      <c r="AC107" s="113"/>
      <c r="AD107" s="113"/>
      <c r="AE107" s="113"/>
      <c r="AF107" s="113"/>
      <c r="AG107" s="113"/>
      <c r="AH107" s="113"/>
    </row>
    <row r="108" spans="1:34" ht="29">
      <c r="A108" s="29"/>
      <c r="B108" s="34"/>
      <c r="C108" s="32"/>
      <c r="D108" s="464"/>
      <c r="E108" s="467"/>
      <c r="F108" s="105" t="s">
        <v>890</v>
      </c>
      <c r="G108" s="106" t="s">
        <v>1373</v>
      </c>
      <c r="H108" s="107" t="s">
        <v>347</v>
      </c>
      <c r="I108" s="107" t="s">
        <v>320</v>
      </c>
      <c r="J108" s="111"/>
      <c r="K108" s="112" t="s">
        <v>861</v>
      </c>
      <c r="L108" s="108" t="str">
        <f t="shared" si="1"/>
        <v>Regular les zones de bany</v>
      </c>
      <c r="M108" s="109"/>
      <c r="N108" s="108"/>
      <c r="O108" s="108"/>
      <c r="P108" s="110"/>
      <c r="Q108" s="169" t="s">
        <v>893</v>
      </c>
      <c r="R108" s="169"/>
      <c r="S108" s="169"/>
      <c r="T108" s="169"/>
      <c r="U108" s="113"/>
      <c r="V108" s="113"/>
      <c r="W108" s="113"/>
      <c r="X108" s="113"/>
      <c r="Y108" s="113"/>
      <c r="Z108" s="113"/>
      <c r="AA108" s="113"/>
      <c r="AB108" s="113"/>
      <c r="AC108" s="113"/>
      <c r="AD108" s="113"/>
      <c r="AE108" s="113"/>
      <c r="AF108" s="113"/>
      <c r="AG108" s="113"/>
      <c r="AH108" s="113"/>
    </row>
    <row r="109" spans="1:34" ht="29">
      <c r="A109" s="29"/>
      <c r="B109" s="34"/>
      <c r="C109" s="32"/>
      <c r="D109" s="464"/>
      <c r="E109" s="467"/>
      <c r="F109" s="105" t="s">
        <v>896</v>
      </c>
      <c r="G109" s="106" t="s">
        <v>1374</v>
      </c>
      <c r="H109" s="107" t="s">
        <v>347</v>
      </c>
      <c r="I109" s="107" t="s">
        <v>320</v>
      </c>
      <c r="J109" s="111"/>
      <c r="K109" s="112" t="s">
        <v>861</v>
      </c>
      <c r="L109" s="108" t="str">
        <f t="shared" si="1"/>
        <v>Regular l'enlairament i aterratge sense motor</v>
      </c>
      <c r="M109" s="109"/>
      <c r="N109" s="108"/>
      <c r="O109" s="108"/>
      <c r="P109" s="110"/>
      <c r="Q109" s="169" t="s">
        <v>898</v>
      </c>
      <c r="R109" s="169"/>
      <c r="S109" s="169"/>
      <c r="T109" s="169"/>
      <c r="U109" s="113"/>
      <c r="V109" s="113"/>
      <c r="W109" s="113"/>
      <c r="X109" s="113"/>
      <c r="Y109" s="113"/>
      <c r="Z109" s="113"/>
      <c r="AA109" s="113"/>
      <c r="AB109" s="113"/>
      <c r="AC109" s="113"/>
      <c r="AD109" s="113"/>
      <c r="AE109" s="113"/>
      <c r="AF109" s="113"/>
      <c r="AG109" s="113"/>
      <c r="AH109" s="113"/>
    </row>
    <row r="110" spans="1:34" ht="29">
      <c r="A110" s="29"/>
      <c r="B110" s="34"/>
      <c r="C110" s="32"/>
      <c r="D110" s="464"/>
      <c r="E110" s="467"/>
      <c r="F110" s="105" t="s">
        <v>899</v>
      </c>
      <c r="G110" s="106" t="s">
        <v>1375</v>
      </c>
      <c r="H110" s="107" t="s">
        <v>347</v>
      </c>
      <c r="I110" s="107" t="s">
        <v>320</v>
      </c>
      <c r="J110" s="111"/>
      <c r="K110" s="112" t="s">
        <v>861</v>
      </c>
      <c r="L110" s="108" t="str">
        <f t="shared" si="1"/>
        <v>Regular el submarinisme i l'snorkel</v>
      </c>
      <c r="M110" s="109"/>
      <c r="N110" s="108"/>
      <c r="O110" s="108"/>
      <c r="P110" s="110"/>
      <c r="Q110" s="169" t="s">
        <v>902</v>
      </c>
      <c r="R110" s="169"/>
      <c r="S110" s="169"/>
      <c r="T110" s="169"/>
      <c r="U110" s="113"/>
      <c r="V110" s="113"/>
      <c r="W110" s="113"/>
      <c r="X110" s="113"/>
      <c r="Y110" s="113"/>
      <c r="Z110" s="113"/>
      <c r="AA110" s="113"/>
      <c r="AB110" s="113"/>
      <c r="AC110" s="113"/>
      <c r="AD110" s="113"/>
      <c r="AE110" s="113"/>
      <c r="AF110" s="113"/>
      <c r="AG110" s="113"/>
      <c r="AH110" s="113"/>
    </row>
    <row r="111" spans="1:34" ht="29">
      <c r="A111" s="29"/>
      <c r="B111" s="34"/>
      <c r="C111" s="32"/>
      <c r="D111" s="464"/>
      <c r="E111" s="467"/>
      <c r="F111" s="105" t="s">
        <v>903</v>
      </c>
      <c r="G111" s="106" t="s">
        <v>1376</v>
      </c>
      <c r="H111" s="107" t="s">
        <v>347</v>
      </c>
      <c r="I111" s="107" t="s">
        <v>320</v>
      </c>
      <c r="J111" s="111"/>
      <c r="K111" s="112" t="s">
        <v>861</v>
      </c>
      <c r="L111" s="108" t="str">
        <f t="shared" si="1"/>
        <v>Regular les activitats aquàtiques i nàutiques i zones de fondeig</v>
      </c>
      <c r="M111" s="109"/>
      <c r="N111" s="108"/>
      <c r="O111" s="108"/>
      <c r="P111" s="110"/>
      <c r="Q111" s="169" t="s">
        <v>905</v>
      </c>
      <c r="R111" s="169"/>
      <c r="S111" s="169"/>
      <c r="T111" s="169"/>
      <c r="U111" s="113"/>
      <c r="V111" s="113"/>
      <c r="W111" s="113"/>
      <c r="X111" s="113"/>
      <c r="Y111" s="113"/>
      <c r="Z111" s="113"/>
      <c r="AA111" s="113"/>
      <c r="AB111" s="113"/>
      <c r="AC111" s="113"/>
      <c r="AD111" s="113"/>
      <c r="AE111" s="113"/>
      <c r="AF111" s="113"/>
      <c r="AG111" s="113"/>
      <c r="AH111" s="113"/>
    </row>
    <row r="112" spans="1:34" ht="29">
      <c r="A112" s="29"/>
      <c r="B112" s="34"/>
      <c r="C112" s="32"/>
      <c r="D112" s="464"/>
      <c r="E112" s="467"/>
      <c r="F112" s="105" t="s">
        <v>906</v>
      </c>
      <c r="G112" s="106" t="s">
        <v>1377</v>
      </c>
      <c r="H112" s="107" t="s">
        <v>297</v>
      </c>
      <c r="I112" s="107" t="s">
        <v>320</v>
      </c>
      <c r="J112" s="111"/>
      <c r="K112" s="112" t="s">
        <v>861</v>
      </c>
      <c r="L112" s="108" t="str">
        <f t="shared" si="1"/>
        <v>Regular la presència d'animals de companyia</v>
      </c>
      <c r="M112" s="109"/>
      <c r="N112" s="108"/>
      <c r="O112" s="108"/>
      <c r="P112" s="110"/>
      <c r="Q112" s="169" t="s">
        <v>908</v>
      </c>
      <c r="R112" s="169"/>
      <c r="S112" s="169"/>
      <c r="T112" s="169"/>
      <c r="U112" s="113"/>
      <c r="V112" s="113"/>
      <c r="W112" s="113"/>
      <c r="X112" s="113"/>
      <c r="Y112" s="113"/>
      <c r="Z112" s="113"/>
      <c r="AA112" s="113"/>
      <c r="AB112" s="113"/>
      <c r="AC112" s="113"/>
      <c r="AD112" s="113"/>
      <c r="AE112" s="113"/>
      <c r="AF112" s="113"/>
      <c r="AG112" s="113"/>
      <c r="AH112" s="113"/>
    </row>
    <row r="113" spans="1:34" ht="29">
      <c r="A113" s="29"/>
      <c r="B113" s="34"/>
      <c r="C113" s="32"/>
      <c r="D113" s="465"/>
      <c r="E113" s="468"/>
      <c r="F113" s="105" t="s">
        <v>910</v>
      </c>
      <c r="G113" s="106" t="s">
        <v>1378</v>
      </c>
      <c r="H113" s="107" t="s">
        <v>297</v>
      </c>
      <c r="I113" s="107" t="s">
        <v>320</v>
      </c>
      <c r="J113" s="111"/>
      <c r="K113" s="112" t="s">
        <v>861</v>
      </c>
      <c r="L113" s="108" t="str">
        <f t="shared" si="1"/>
        <v>Regular lels activitats d'educació ambiental i el lleure educatiu</v>
      </c>
      <c r="M113" s="109"/>
      <c r="N113" s="108"/>
      <c r="O113" s="108"/>
      <c r="P113" s="110"/>
      <c r="Q113" s="169" t="s">
        <v>912</v>
      </c>
      <c r="R113" s="169"/>
      <c r="S113" s="169"/>
      <c r="T113" s="169"/>
      <c r="U113" s="113"/>
      <c r="V113" s="113"/>
      <c r="W113" s="113"/>
      <c r="X113" s="113"/>
      <c r="Y113" s="113"/>
      <c r="Z113" s="113"/>
      <c r="AA113" s="113"/>
      <c r="AB113" s="113"/>
      <c r="AC113" s="113"/>
      <c r="AD113" s="113"/>
      <c r="AE113" s="113"/>
      <c r="AF113" s="113"/>
      <c r="AG113" s="113"/>
      <c r="AH113" s="113"/>
    </row>
    <row r="114" spans="1:34" ht="43.5">
      <c r="A114" s="29"/>
      <c r="B114" s="34"/>
      <c r="C114" s="32"/>
      <c r="D114" s="463" t="s">
        <v>913</v>
      </c>
      <c r="E114" s="479" t="s">
        <v>914</v>
      </c>
      <c r="F114" s="107" t="s">
        <v>915</v>
      </c>
      <c r="G114" s="106" t="s">
        <v>916</v>
      </c>
      <c r="H114" s="107" t="s">
        <v>297</v>
      </c>
      <c r="I114" s="107" t="s">
        <v>320</v>
      </c>
      <c r="J114" s="111"/>
      <c r="K114" s="106" t="s">
        <v>919</v>
      </c>
      <c r="L114" s="108" t="str">
        <f t="shared" si="1"/>
        <v xml:space="preserve">Identificar i classificar la xarxa viària bàsica, secundària, senders i itineraris senyalitzats d'acord amb els ajuntaments </v>
      </c>
      <c r="M114" s="109"/>
      <c r="N114" s="76"/>
      <c r="O114" s="76"/>
      <c r="P114" s="110"/>
      <c r="Q114" s="166" t="s">
        <v>918</v>
      </c>
      <c r="R114" s="166"/>
      <c r="S114" s="166"/>
      <c r="T114" s="166"/>
      <c r="U114" s="113"/>
      <c r="V114" s="113"/>
      <c r="W114" s="113"/>
      <c r="X114" s="113"/>
      <c r="Y114" s="113"/>
      <c r="Z114" s="113"/>
      <c r="AA114" s="113"/>
      <c r="AB114" s="113"/>
      <c r="AC114" s="113"/>
      <c r="AD114" s="113"/>
      <c r="AE114" s="113"/>
      <c r="AF114" s="113"/>
      <c r="AG114" s="113"/>
      <c r="AH114" s="113"/>
    </row>
    <row r="115" spans="1:34" ht="43.5">
      <c r="A115" s="29"/>
      <c r="B115" s="34"/>
      <c r="C115" s="32"/>
      <c r="D115" s="465"/>
      <c r="E115" s="480"/>
      <c r="F115" s="107" t="s">
        <v>920</v>
      </c>
      <c r="G115" s="106" t="s">
        <v>921</v>
      </c>
      <c r="H115" s="107" t="s">
        <v>297</v>
      </c>
      <c r="I115" s="107" t="s">
        <v>320</v>
      </c>
      <c r="J115" s="111"/>
      <c r="K115" s="106" t="s">
        <v>923</v>
      </c>
      <c r="L115" s="108" t="str">
        <f t="shared" si="1"/>
        <v>Treballar conjuntament amb els principals canals d’informació de rutes  per prioritzar itineraris oficials dins l’ENP</v>
      </c>
      <c r="M115" s="109"/>
      <c r="N115" s="76"/>
      <c r="O115" s="76"/>
      <c r="P115" s="110"/>
      <c r="Q115" s="166" t="s">
        <v>922</v>
      </c>
      <c r="R115" s="166"/>
      <c r="S115" s="166"/>
      <c r="T115" s="166"/>
      <c r="U115" s="113"/>
      <c r="V115" s="113"/>
      <c r="W115" s="113"/>
      <c r="X115" s="113"/>
      <c r="Y115" s="113"/>
      <c r="Z115" s="113"/>
      <c r="AA115" s="113"/>
      <c r="AB115" s="113"/>
      <c r="AC115" s="113"/>
      <c r="AD115" s="113"/>
      <c r="AE115" s="113"/>
      <c r="AF115" s="113"/>
      <c r="AG115" s="113"/>
      <c r="AH115" s="113"/>
    </row>
    <row r="116" spans="1:34" ht="29">
      <c r="A116" s="29"/>
      <c r="B116" s="34"/>
      <c r="C116" s="32"/>
      <c r="D116" s="463" t="s">
        <v>926</v>
      </c>
      <c r="E116" s="466" t="s">
        <v>927</v>
      </c>
      <c r="F116" s="105" t="s">
        <v>928</v>
      </c>
      <c r="G116" s="106" t="s">
        <v>1379</v>
      </c>
      <c r="H116" s="107" t="s">
        <v>297</v>
      </c>
      <c r="I116" s="107" t="s">
        <v>320</v>
      </c>
      <c r="J116" s="111"/>
      <c r="K116" s="112" t="s">
        <v>861</v>
      </c>
      <c r="L116" s="108" t="str">
        <f t="shared" si="1"/>
        <v>Regular l'accés i la circulació</v>
      </c>
      <c r="M116" s="109"/>
      <c r="N116" s="108"/>
      <c r="O116" s="108"/>
      <c r="P116" s="110"/>
      <c r="Q116" s="169" t="s">
        <v>931</v>
      </c>
      <c r="R116" s="169"/>
      <c r="S116" s="169"/>
      <c r="T116" s="169"/>
      <c r="U116" s="113"/>
      <c r="V116" s="113"/>
      <c r="W116" s="113"/>
      <c r="X116" s="113"/>
      <c r="Y116" s="113"/>
      <c r="Z116" s="113"/>
      <c r="AA116" s="113"/>
      <c r="AB116" s="113"/>
      <c r="AC116" s="113"/>
      <c r="AD116" s="113"/>
      <c r="AE116" s="113"/>
      <c r="AF116" s="113"/>
      <c r="AG116" s="113"/>
      <c r="AH116" s="113"/>
    </row>
    <row r="117" spans="1:34" ht="29">
      <c r="A117" s="29"/>
      <c r="B117" s="34"/>
      <c r="C117" s="32"/>
      <c r="D117" s="464"/>
      <c r="E117" s="467"/>
      <c r="F117" s="105" t="s">
        <v>932</v>
      </c>
      <c r="G117" s="106" t="s">
        <v>1380</v>
      </c>
      <c r="H117" s="107" t="s">
        <v>297</v>
      </c>
      <c r="I117" s="107" t="s">
        <v>320</v>
      </c>
      <c r="J117" s="111"/>
      <c r="K117" s="112" t="s">
        <v>861</v>
      </c>
      <c r="L117" s="108" t="str">
        <f t="shared" si="1"/>
        <v>Regular la xarxa viària principal, secundària i restringida</v>
      </c>
      <c r="M117" s="109"/>
      <c r="N117" s="108"/>
      <c r="O117" s="108"/>
      <c r="P117" s="110"/>
      <c r="Q117" s="169" t="s">
        <v>934</v>
      </c>
      <c r="R117" s="169"/>
      <c r="S117" s="169"/>
      <c r="T117" s="169"/>
      <c r="U117" s="113"/>
      <c r="V117" s="113"/>
      <c r="W117" s="113"/>
      <c r="X117" s="113"/>
      <c r="Y117" s="113"/>
      <c r="Z117" s="113"/>
      <c r="AA117" s="113"/>
      <c r="AB117" s="113"/>
      <c r="AC117" s="113"/>
      <c r="AD117" s="113"/>
      <c r="AE117" s="113"/>
      <c r="AF117" s="113"/>
      <c r="AG117" s="113"/>
      <c r="AH117" s="113"/>
    </row>
    <row r="118" spans="1:34" ht="29">
      <c r="A118" s="29"/>
      <c r="B118" s="34"/>
      <c r="C118" s="32"/>
      <c r="D118" s="464"/>
      <c r="E118" s="467"/>
      <c r="F118" s="105" t="s">
        <v>935</v>
      </c>
      <c r="G118" s="106" t="s">
        <v>1381</v>
      </c>
      <c r="H118" s="107" t="s">
        <v>347</v>
      </c>
      <c r="I118" s="107" t="s">
        <v>320</v>
      </c>
      <c r="J118" s="111"/>
      <c r="K118" s="112" t="s">
        <v>861</v>
      </c>
      <c r="L118" s="108" t="str">
        <f t="shared" si="1"/>
        <v>Regular l'ús de drons, l'enlairament i l'aterratge</v>
      </c>
      <c r="M118" s="109"/>
      <c r="N118" s="108"/>
      <c r="O118" s="108"/>
      <c r="P118" s="110"/>
      <c r="Q118" s="169" t="s">
        <v>937</v>
      </c>
      <c r="R118" s="169"/>
      <c r="S118" s="169"/>
      <c r="T118" s="169"/>
      <c r="U118" s="113"/>
      <c r="V118" s="113"/>
      <c r="W118" s="113"/>
      <c r="X118" s="113"/>
      <c r="Y118" s="113"/>
      <c r="Z118" s="113"/>
      <c r="AA118" s="113"/>
      <c r="AB118" s="113"/>
      <c r="AC118" s="113"/>
      <c r="AD118" s="113"/>
      <c r="AE118" s="113"/>
      <c r="AF118" s="113"/>
      <c r="AG118" s="113"/>
      <c r="AH118" s="113"/>
    </row>
    <row r="119" spans="1:34" ht="43.5">
      <c r="A119" s="29"/>
      <c r="B119" s="34"/>
      <c r="C119" s="32"/>
      <c r="D119" s="464"/>
      <c r="E119" s="467"/>
      <c r="F119" s="105" t="s">
        <v>938</v>
      </c>
      <c r="G119" s="106" t="s">
        <v>939</v>
      </c>
      <c r="H119" s="107" t="s">
        <v>297</v>
      </c>
      <c r="I119" s="107" t="s">
        <v>320</v>
      </c>
      <c r="J119" s="111"/>
      <c r="K119" s="112" t="s">
        <v>861</v>
      </c>
      <c r="L119" s="108" t="str">
        <f t="shared" si="1"/>
        <v>Aplicar limitacions temporals d'accés o circulació</v>
      </c>
      <c r="M119" s="109"/>
      <c r="N119" s="108"/>
      <c r="O119" s="108"/>
      <c r="P119" s="110"/>
      <c r="Q119" s="169" t="s">
        <v>940</v>
      </c>
      <c r="R119" s="169"/>
      <c r="S119" s="169"/>
      <c r="T119" s="169"/>
      <c r="U119" s="113"/>
      <c r="V119" s="113"/>
      <c r="W119" s="113"/>
      <c r="X119" s="113"/>
      <c r="Y119" s="113"/>
      <c r="Z119" s="113"/>
      <c r="AA119" s="113"/>
      <c r="AB119" s="113"/>
      <c r="AC119" s="113"/>
      <c r="AD119" s="113"/>
      <c r="AE119" s="113"/>
      <c r="AF119" s="113"/>
      <c r="AG119" s="113"/>
      <c r="AH119" s="113"/>
    </row>
    <row r="120" spans="1:34" ht="29">
      <c r="A120" s="29"/>
      <c r="B120" s="34"/>
      <c r="C120" s="32"/>
      <c r="D120" s="465"/>
      <c r="E120" s="468"/>
      <c r="F120" s="105" t="s">
        <v>941</v>
      </c>
      <c r="G120" s="106" t="s">
        <v>1382</v>
      </c>
      <c r="H120" s="107" t="s">
        <v>297</v>
      </c>
      <c r="I120" s="107" t="s">
        <v>320</v>
      </c>
      <c r="J120" s="111"/>
      <c r="K120" s="112" t="s">
        <v>861</v>
      </c>
      <c r="L120" s="108" t="str">
        <f t="shared" si="1"/>
        <v>Regular l'aparcament de vehícles</v>
      </c>
      <c r="M120" s="109"/>
      <c r="N120" s="108"/>
      <c r="O120" s="108"/>
      <c r="P120" s="110"/>
      <c r="Q120" s="169" t="s">
        <v>943</v>
      </c>
      <c r="R120" s="169"/>
      <c r="S120" s="169"/>
      <c r="T120" s="169"/>
      <c r="U120" s="113"/>
      <c r="V120" s="113"/>
      <c r="W120" s="113"/>
      <c r="X120" s="113"/>
      <c r="Y120" s="113"/>
      <c r="Z120" s="113"/>
      <c r="AA120" s="113"/>
      <c r="AB120" s="113"/>
      <c r="AC120" s="113"/>
      <c r="AD120" s="113"/>
      <c r="AE120" s="113"/>
      <c r="AF120" s="113"/>
      <c r="AG120" s="113"/>
      <c r="AH120" s="113"/>
    </row>
    <row r="121" spans="1:34" ht="29">
      <c r="A121" s="29"/>
      <c r="B121" s="34"/>
      <c r="C121" s="32"/>
      <c r="D121" s="463" t="s">
        <v>944</v>
      </c>
      <c r="E121" s="466" t="s">
        <v>945</v>
      </c>
      <c r="F121" s="105" t="s">
        <v>946</v>
      </c>
      <c r="G121" s="106" t="s">
        <v>947</v>
      </c>
      <c r="H121" s="107" t="s">
        <v>297</v>
      </c>
      <c r="I121" s="107" t="s">
        <v>320</v>
      </c>
      <c r="J121" s="111"/>
      <c r="K121" s="112"/>
      <c r="L121" s="108" t="str">
        <f t="shared" si="1"/>
        <v>Implementar l'ordenació de l'ús públic en col·laboració amb els agents del territori</v>
      </c>
      <c r="M121" s="109"/>
      <c r="N121" s="76"/>
      <c r="O121" s="76"/>
      <c r="P121" s="110"/>
      <c r="Q121" s="166" t="s">
        <v>948</v>
      </c>
      <c r="R121" s="166"/>
      <c r="S121" s="166"/>
      <c r="T121" s="166"/>
      <c r="U121" s="113"/>
      <c r="V121" s="113"/>
      <c r="W121" s="113"/>
      <c r="X121" s="113"/>
      <c r="Y121" s="113"/>
      <c r="Z121" s="113"/>
      <c r="AA121" s="113"/>
      <c r="AB121" s="113"/>
      <c r="AC121" s="113"/>
      <c r="AD121" s="113"/>
      <c r="AE121" s="113"/>
      <c r="AF121" s="113"/>
      <c r="AG121" s="113"/>
      <c r="AH121" s="113"/>
    </row>
    <row r="122" spans="1:34" ht="29">
      <c r="A122" s="29"/>
      <c r="B122" s="34"/>
      <c r="C122" s="32"/>
      <c r="D122" s="465"/>
      <c r="E122" s="468"/>
      <c r="F122" s="105" t="s">
        <v>950</v>
      </c>
      <c r="G122" s="106" t="s">
        <v>951</v>
      </c>
      <c r="H122" s="107" t="s">
        <v>297</v>
      </c>
      <c r="I122" s="107" t="s">
        <v>320</v>
      </c>
      <c r="J122" s="111"/>
      <c r="K122" s="112"/>
      <c r="L122" s="108" t="str">
        <f t="shared" si="1"/>
        <v>Promoció i acompanyament en l'ordenació de l'ús públic de l'ENP des de l'àmbit municipal</v>
      </c>
      <c r="M122" s="109"/>
      <c r="N122" s="121"/>
      <c r="O122" s="121"/>
      <c r="P122" s="110"/>
      <c r="Q122" s="166" t="s">
        <v>952</v>
      </c>
      <c r="R122" s="166"/>
      <c r="S122" s="166"/>
      <c r="T122" s="166"/>
      <c r="U122" s="113"/>
      <c r="V122" s="113"/>
      <c r="W122" s="113"/>
      <c r="X122" s="113"/>
      <c r="Y122" s="113"/>
      <c r="Z122" s="113"/>
      <c r="AA122" s="113"/>
      <c r="AB122" s="113"/>
      <c r="AC122" s="113"/>
      <c r="AD122" s="113"/>
      <c r="AE122" s="113"/>
      <c r="AF122" s="113"/>
      <c r="AG122" s="113"/>
      <c r="AH122" s="113"/>
    </row>
    <row r="123" spans="1:34" ht="14.5">
      <c r="A123" s="29"/>
      <c r="B123" s="34"/>
      <c r="C123" s="32"/>
      <c r="D123" s="463" t="s">
        <v>954</v>
      </c>
      <c r="E123" s="466" t="s">
        <v>955</v>
      </c>
      <c r="F123" s="105" t="s">
        <v>956</v>
      </c>
      <c r="G123" s="106" t="s">
        <v>957</v>
      </c>
      <c r="H123" s="107" t="s">
        <v>297</v>
      </c>
      <c r="I123" s="107" t="s">
        <v>320</v>
      </c>
      <c r="J123" s="111"/>
      <c r="K123" s="112"/>
      <c r="L123" s="108" t="str">
        <f t="shared" si="1"/>
        <v>Realitzar l'inventari de senyalètica de l'ENP</v>
      </c>
      <c r="M123" s="109"/>
      <c r="N123" s="114"/>
      <c r="O123" s="114"/>
      <c r="P123" s="110"/>
      <c r="Q123" s="166"/>
      <c r="R123" s="166"/>
      <c r="S123" s="166"/>
      <c r="T123" s="166"/>
      <c r="U123" s="113"/>
      <c r="V123" s="113"/>
      <c r="W123" s="113"/>
      <c r="X123" s="113"/>
      <c r="Y123" s="113"/>
      <c r="Z123" s="113"/>
      <c r="AA123" s="113"/>
      <c r="AB123" s="113"/>
      <c r="AC123" s="113"/>
      <c r="AD123" s="113"/>
      <c r="AE123" s="113"/>
      <c r="AF123" s="113"/>
      <c r="AG123" s="113"/>
      <c r="AH123" s="113"/>
    </row>
    <row r="124" spans="1:34" ht="43.5">
      <c r="A124" s="29"/>
      <c r="B124" s="34"/>
      <c r="C124" s="32"/>
      <c r="D124" s="465"/>
      <c r="E124" s="468"/>
      <c r="F124" s="105" t="s">
        <v>959</v>
      </c>
      <c r="G124" s="106" t="s">
        <v>960</v>
      </c>
      <c r="H124" s="107" t="s">
        <v>297</v>
      </c>
      <c r="I124" s="107" t="s">
        <v>320</v>
      </c>
      <c r="J124" s="116" t="s">
        <v>341</v>
      </c>
      <c r="K124" s="106" t="s">
        <v>962</v>
      </c>
      <c r="L124" s="108" t="str">
        <f t="shared" si="1"/>
        <v xml:space="preserve">Implantar el programa de senyalització i manteniment </v>
      </c>
      <c r="M124" s="109"/>
      <c r="N124" s="76"/>
      <c r="O124" s="76"/>
      <c r="P124" s="110"/>
      <c r="Q124" s="166" t="s">
        <v>961</v>
      </c>
      <c r="R124" s="166"/>
      <c r="S124" s="166"/>
      <c r="T124" s="166"/>
      <c r="U124" s="113"/>
      <c r="V124" s="113"/>
      <c r="W124" s="113"/>
      <c r="X124" s="113"/>
      <c r="Y124" s="113"/>
      <c r="Z124" s="113"/>
      <c r="AA124" s="113"/>
      <c r="AB124" s="113"/>
      <c r="AC124" s="113"/>
      <c r="AD124" s="113"/>
      <c r="AE124" s="113"/>
      <c r="AF124" s="113"/>
      <c r="AG124" s="113"/>
      <c r="AH124" s="113"/>
    </row>
    <row r="125" spans="1:34" ht="43.5">
      <c r="A125" s="29"/>
      <c r="B125" s="34"/>
      <c r="C125" s="32"/>
      <c r="D125" s="463" t="s">
        <v>964</v>
      </c>
      <c r="E125" s="466" t="s">
        <v>965</v>
      </c>
      <c r="F125" s="105" t="s">
        <v>966</v>
      </c>
      <c r="G125" s="106" t="s">
        <v>967</v>
      </c>
      <c r="H125" s="107" t="s">
        <v>297</v>
      </c>
      <c r="I125" s="107" t="s">
        <v>424</v>
      </c>
      <c r="J125" s="111"/>
      <c r="K125" s="112"/>
      <c r="L125" s="108" t="str">
        <f t="shared" si="1"/>
        <v xml:space="preserve">Potenciar la visita a espais alternatius dins de l'àmbit d'influència de l'espai natural per reduir la pressió en zones sensibles </v>
      </c>
      <c r="M125" s="109"/>
      <c r="N125" s="76"/>
      <c r="O125" s="76"/>
      <c r="P125" s="110"/>
      <c r="Q125" s="166"/>
      <c r="R125" s="166"/>
      <c r="S125" s="166"/>
      <c r="T125" s="166"/>
      <c r="U125" s="113"/>
      <c r="V125" s="113"/>
      <c r="W125" s="113"/>
      <c r="X125" s="113"/>
      <c r="Y125" s="113"/>
      <c r="Z125" s="113"/>
      <c r="AA125" s="113"/>
      <c r="AB125" s="113"/>
      <c r="AC125" s="113"/>
      <c r="AD125" s="113"/>
      <c r="AE125" s="113"/>
      <c r="AF125" s="113"/>
      <c r="AG125" s="113"/>
      <c r="AH125" s="113"/>
    </row>
    <row r="126" spans="1:34" ht="29">
      <c r="A126" s="29"/>
      <c r="B126" s="34"/>
      <c r="C126" s="32"/>
      <c r="D126" s="465"/>
      <c r="E126" s="468"/>
      <c r="F126" s="105" t="s">
        <v>968</v>
      </c>
      <c r="G126" s="118" t="s">
        <v>969</v>
      </c>
      <c r="H126" s="107" t="s">
        <v>297</v>
      </c>
      <c r="I126" s="107" t="s">
        <v>424</v>
      </c>
      <c r="J126" s="111"/>
      <c r="K126" s="112"/>
      <c r="L126" s="108" t="str">
        <f t="shared" si="1"/>
        <v xml:space="preserve">Implementar les mesures extraordinàries de regulació de l'ús públic </v>
      </c>
      <c r="M126" s="109"/>
      <c r="N126" s="76"/>
      <c r="O126" s="76"/>
      <c r="P126" s="110"/>
      <c r="Q126" s="166" t="s">
        <v>971</v>
      </c>
      <c r="R126" s="166"/>
      <c r="S126" s="166"/>
      <c r="T126" s="166"/>
      <c r="U126" s="113"/>
      <c r="V126" s="113"/>
      <c r="W126" s="113"/>
      <c r="X126" s="113"/>
      <c r="Y126" s="113"/>
      <c r="Z126" s="113"/>
      <c r="AA126" s="113"/>
      <c r="AB126" s="113"/>
      <c r="AC126" s="113"/>
      <c r="AD126" s="113"/>
      <c r="AE126" s="113"/>
      <c r="AF126" s="113"/>
      <c r="AG126" s="113"/>
      <c r="AH126" s="113"/>
    </row>
    <row r="127" spans="1:34" ht="29">
      <c r="A127" s="29"/>
      <c r="B127" s="34"/>
      <c r="C127" s="32"/>
      <c r="D127" s="463" t="s">
        <v>972</v>
      </c>
      <c r="E127" s="466" t="s">
        <v>973</v>
      </c>
      <c r="F127" s="105" t="s">
        <v>974</v>
      </c>
      <c r="G127" s="106" t="s">
        <v>975</v>
      </c>
      <c r="H127" s="107" t="s">
        <v>297</v>
      </c>
      <c r="I127" s="107" t="s">
        <v>320</v>
      </c>
      <c r="J127" s="111"/>
      <c r="K127" s="112"/>
      <c r="L127" s="108" t="str">
        <f t="shared" si="1"/>
        <v>Adequar els principals accessos, aparcaments i centres d'interès amb un ús elevat</v>
      </c>
      <c r="M127" s="109"/>
      <c r="N127" s="76"/>
      <c r="O127" s="76"/>
      <c r="P127" s="110"/>
      <c r="Q127" s="166" t="s">
        <v>976</v>
      </c>
      <c r="R127" s="166"/>
      <c r="S127" s="166"/>
      <c r="T127" s="166"/>
      <c r="U127" s="113"/>
      <c r="V127" s="113"/>
      <c r="W127" s="113"/>
      <c r="X127" s="113"/>
      <c r="Y127" s="113"/>
      <c r="Z127" s="113"/>
      <c r="AA127" s="113"/>
      <c r="AB127" s="113"/>
      <c r="AC127" s="113"/>
      <c r="AD127" s="113"/>
      <c r="AE127" s="113"/>
      <c r="AF127" s="113"/>
      <c r="AG127" s="113"/>
      <c r="AH127" s="113"/>
    </row>
    <row r="128" spans="1:34" ht="101.5">
      <c r="A128" s="29"/>
      <c r="B128" s="34"/>
      <c r="C128" s="32"/>
      <c r="D128" s="464"/>
      <c r="E128" s="467"/>
      <c r="F128" s="105" t="s">
        <v>978</v>
      </c>
      <c r="G128" s="118" t="s">
        <v>1383</v>
      </c>
      <c r="H128" s="107" t="s">
        <v>297</v>
      </c>
      <c r="I128" s="107" t="s">
        <v>320</v>
      </c>
      <c r="J128" s="111"/>
      <c r="K128" s="112"/>
      <c r="L128" s="108" t="str">
        <f t="shared" si="1"/>
        <v>Disposar dels equipaments i infraestructures necessàries i accessibles per acollir, informar, facilitar la visita i garantir la seguretat dels visitants i la protecció de l'entorn</v>
      </c>
      <c r="M128" s="109"/>
      <c r="N128" s="76"/>
      <c r="O128" s="76"/>
      <c r="P128" s="110"/>
      <c r="Q128" s="166" t="s">
        <v>980</v>
      </c>
      <c r="R128" s="166"/>
      <c r="S128" s="166"/>
      <c r="T128" s="166"/>
      <c r="U128" s="113"/>
      <c r="V128" s="113"/>
      <c r="W128" s="113"/>
      <c r="X128" s="113"/>
      <c r="Y128" s="113"/>
      <c r="Z128" s="113"/>
      <c r="AA128" s="113"/>
      <c r="AB128" s="113"/>
      <c r="AC128" s="113"/>
      <c r="AD128" s="113"/>
      <c r="AE128" s="113"/>
      <c r="AF128" s="113"/>
      <c r="AG128" s="113"/>
      <c r="AH128" s="113"/>
    </row>
    <row r="129" spans="1:34" ht="29">
      <c r="A129" s="29"/>
      <c r="B129" s="34"/>
      <c r="C129" s="32"/>
      <c r="D129" s="464"/>
      <c r="E129" s="467"/>
      <c r="F129" s="105" t="s">
        <v>981</v>
      </c>
      <c r="G129" s="118" t="s">
        <v>982</v>
      </c>
      <c r="H129" s="107" t="s">
        <v>297</v>
      </c>
      <c r="I129" s="107" t="s">
        <v>320</v>
      </c>
      <c r="J129" s="111"/>
      <c r="K129" s="106" t="s">
        <v>983</v>
      </c>
      <c r="L129" s="108" t="str">
        <f t="shared" si="1"/>
        <v>Desenvolupar el Pla d'acollida als visitants en base al model de la DG</v>
      </c>
      <c r="M129" s="109"/>
      <c r="N129" s="122"/>
      <c r="O129" s="122"/>
      <c r="P129" s="110"/>
      <c r="Q129" s="166"/>
      <c r="R129" s="166"/>
      <c r="S129" s="166"/>
      <c r="T129" s="166"/>
      <c r="U129" s="113"/>
      <c r="V129" s="113"/>
      <c r="W129" s="113"/>
      <c r="X129" s="113"/>
      <c r="Y129" s="113"/>
      <c r="Z129" s="113"/>
      <c r="AA129" s="113"/>
      <c r="AB129" s="113"/>
      <c r="AC129" s="113"/>
      <c r="AD129" s="113"/>
      <c r="AE129" s="113"/>
      <c r="AF129" s="113"/>
      <c r="AG129" s="113"/>
      <c r="AH129" s="113"/>
    </row>
    <row r="130" spans="1:34" ht="43.5">
      <c r="A130" s="29"/>
      <c r="B130" s="34"/>
      <c r="C130" s="32"/>
      <c r="D130" s="465"/>
      <c r="E130" s="468"/>
      <c r="F130" s="105" t="s">
        <v>984</v>
      </c>
      <c r="G130" s="118" t="s">
        <v>985</v>
      </c>
      <c r="H130" s="107" t="s">
        <v>297</v>
      </c>
      <c r="I130" s="107" t="s">
        <v>320</v>
      </c>
      <c r="J130" s="111" t="s">
        <v>46</v>
      </c>
      <c r="K130" s="106" t="s">
        <v>987</v>
      </c>
      <c r="L130" s="108" t="str">
        <f t="shared" si="1"/>
        <v>Adaptar els missatges a donar des d'oficines d’informació, pròpies i alienes, d'acord amb el model de la DG</v>
      </c>
      <c r="M130" s="109"/>
      <c r="N130" s="76"/>
      <c r="O130" s="76"/>
      <c r="P130" s="110"/>
      <c r="Q130" s="166" t="s">
        <v>986</v>
      </c>
      <c r="R130" s="166"/>
      <c r="S130" s="166"/>
      <c r="T130" s="166"/>
      <c r="U130" s="113"/>
      <c r="V130" s="113"/>
      <c r="W130" s="113"/>
      <c r="X130" s="113"/>
      <c r="Y130" s="113"/>
      <c r="Z130" s="113"/>
      <c r="AA130" s="113"/>
      <c r="AB130" s="113"/>
      <c r="AC130" s="113"/>
      <c r="AD130" s="113"/>
      <c r="AE130" s="113"/>
      <c r="AF130" s="113"/>
      <c r="AG130" s="113"/>
      <c r="AH130" s="113"/>
    </row>
    <row r="131" spans="1:34" ht="58">
      <c r="A131" s="29"/>
      <c r="B131" s="34"/>
      <c r="C131" s="32"/>
      <c r="D131" s="463" t="s">
        <v>988</v>
      </c>
      <c r="E131" s="466" t="s">
        <v>989</v>
      </c>
      <c r="F131" s="105" t="s">
        <v>990</v>
      </c>
      <c r="G131" s="106" t="s">
        <v>991</v>
      </c>
      <c r="H131" s="107" t="s">
        <v>297</v>
      </c>
      <c r="I131" s="107" t="s">
        <v>424</v>
      </c>
      <c r="J131" s="111"/>
      <c r="K131" s="112"/>
      <c r="L131" s="108" t="str">
        <f t="shared" si="1"/>
        <v>Elaborar i executar el Pla de vigilància de l’espai d'acord amb els cossos d’inspecció i seguretat</v>
      </c>
      <c r="M131" s="109"/>
      <c r="N131" s="76"/>
      <c r="O131" s="76"/>
      <c r="P131" s="110"/>
      <c r="Q131" s="166" t="s">
        <v>992</v>
      </c>
      <c r="R131" s="166"/>
      <c r="S131" s="166"/>
      <c r="T131" s="166"/>
      <c r="U131" s="113"/>
      <c r="V131" s="113"/>
      <c r="W131" s="113"/>
      <c r="X131" s="113"/>
      <c r="Y131" s="113"/>
      <c r="Z131" s="113"/>
      <c r="AA131" s="113"/>
      <c r="AB131" s="113"/>
      <c r="AC131" s="113"/>
      <c r="AD131" s="113"/>
      <c r="AE131" s="113"/>
      <c r="AF131" s="113"/>
      <c r="AG131" s="113"/>
      <c r="AH131" s="113"/>
    </row>
    <row r="132" spans="1:34" ht="29">
      <c r="A132" s="29"/>
      <c r="B132" s="34"/>
      <c r="C132" s="32"/>
      <c r="D132" s="464"/>
      <c r="E132" s="467"/>
      <c r="F132" s="105" t="s">
        <v>993</v>
      </c>
      <c r="G132" s="106" t="s">
        <v>994</v>
      </c>
      <c r="H132" s="107" t="s">
        <v>297</v>
      </c>
      <c r="I132" s="107" t="s">
        <v>320</v>
      </c>
      <c r="J132" s="111"/>
      <c r="K132" s="112"/>
      <c r="L132" s="108" t="str">
        <f t="shared" si="1"/>
        <v>Millorar la coordinació amb els cossos de seguretat per efectuar accions de control i vigilància</v>
      </c>
      <c r="M132" s="109"/>
      <c r="N132" s="76"/>
      <c r="O132" s="76"/>
      <c r="P132" s="110"/>
      <c r="Q132" s="166"/>
      <c r="R132" s="166"/>
      <c r="S132" s="166"/>
      <c r="T132" s="166"/>
      <c r="U132" s="113"/>
      <c r="V132" s="113"/>
      <c r="W132" s="113"/>
      <c r="X132" s="113"/>
      <c r="Y132" s="113"/>
      <c r="Z132" s="113"/>
      <c r="AA132" s="113"/>
      <c r="AB132" s="113"/>
      <c r="AC132" s="113"/>
      <c r="AD132" s="113"/>
      <c r="AE132" s="113"/>
      <c r="AF132" s="113"/>
      <c r="AG132" s="113"/>
      <c r="AH132" s="113"/>
    </row>
    <row r="133" spans="1:34" ht="29">
      <c r="A133" s="29"/>
      <c r="B133" s="34"/>
      <c r="C133" s="32"/>
      <c r="D133" s="464"/>
      <c r="E133" s="467"/>
      <c r="F133" s="105" t="s">
        <v>996</v>
      </c>
      <c r="G133" s="106" t="s">
        <v>997</v>
      </c>
      <c r="H133" s="107" t="s">
        <v>297</v>
      </c>
      <c r="I133" s="107" t="s">
        <v>320</v>
      </c>
      <c r="J133" s="111"/>
      <c r="K133" s="112"/>
      <c r="L133" s="108" t="str">
        <f t="shared" si="1"/>
        <v>Vetllar pel compliment d'informes i la vigilància tècnica de l'espai</v>
      </c>
      <c r="M133" s="109"/>
      <c r="N133" s="76"/>
      <c r="O133" s="76"/>
      <c r="P133" s="110"/>
      <c r="Q133" s="166"/>
      <c r="R133" s="166"/>
      <c r="S133" s="166"/>
      <c r="T133" s="166"/>
      <c r="U133" s="113"/>
      <c r="V133" s="113"/>
      <c r="W133" s="113"/>
      <c r="X133" s="113"/>
      <c r="Y133" s="113"/>
      <c r="Z133" s="113"/>
      <c r="AA133" s="113"/>
      <c r="AB133" s="113"/>
      <c r="AC133" s="113"/>
      <c r="AD133" s="113"/>
      <c r="AE133" s="113"/>
      <c r="AF133" s="113"/>
      <c r="AG133" s="113"/>
      <c r="AH133" s="113"/>
    </row>
    <row r="134" spans="1:34" ht="43.5">
      <c r="A134" s="29"/>
      <c r="B134" s="64">
        <v>12</v>
      </c>
      <c r="C134" s="65" t="s">
        <v>1001</v>
      </c>
      <c r="D134" s="463" t="s">
        <v>1002</v>
      </c>
      <c r="E134" s="466" t="s">
        <v>1003</v>
      </c>
      <c r="F134" s="105" t="s">
        <v>1004</v>
      </c>
      <c r="G134" s="106" t="s">
        <v>1005</v>
      </c>
      <c r="H134" s="107" t="s">
        <v>297</v>
      </c>
      <c r="I134" s="107" t="s">
        <v>320</v>
      </c>
      <c r="J134" s="111"/>
      <c r="K134" s="112"/>
      <c r="L134" s="108" t="str">
        <f t="shared" si="1"/>
        <v>Ordenar el pla d’emergències</v>
      </c>
      <c r="M134" s="109"/>
      <c r="N134" s="76"/>
      <c r="O134" s="76"/>
      <c r="P134" s="110"/>
      <c r="Q134" s="166" t="s">
        <v>1007</v>
      </c>
      <c r="R134" s="166"/>
      <c r="S134" s="166"/>
      <c r="T134" s="166"/>
      <c r="U134" s="113"/>
      <c r="V134" s="113"/>
      <c r="W134" s="113"/>
      <c r="X134" s="113"/>
      <c r="Y134" s="113"/>
      <c r="Z134" s="113"/>
      <c r="AA134" s="113"/>
      <c r="AB134" s="113"/>
      <c r="AC134" s="113"/>
      <c r="AD134" s="113"/>
      <c r="AE134" s="113"/>
      <c r="AF134" s="113"/>
      <c r="AG134" s="113"/>
      <c r="AH134" s="113"/>
    </row>
    <row r="135" spans="1:34" ht="58">
      <c r="A135" s="29"/>
      <c r="B135" s="66"/>
      <c r="C135" s="67"/>
      <c r="D135" s="465"/>
      <c r="E135" s="468"/>
      <c r="F135" s="105" t="s">
        <v>1008</v>
      </c>
      <c r="G135" s="106" t="s">
        <v>1009</v>
      </c>
      <c r="H135" s="107" t="s">
        <v>297</v>
      </c>
      <c r="I135" s="107" t="s">
        <v>320</v>
      </c>
      <c r="J135" s="111"/>
      <c r="K135" s="112"/>
      <c r="L135" s="108" t="str">
        <f t="shared" ref="L135:L186" si="2">G135</f>
        <v>Contribuir a la protecció dels assentaments humans respecte dels riscos naturals</v>
      </c>
      <c r="M135" s="109"/>
      <c r="N135" s="76"/>
      <c r="O135" s="76"/>
      <c r="P135" s="110"/>
      <c r="Q135" s="166" t="s">
        <v>1010</v>
      </c>
      <c r="R135" s="166"/>
      <c r="S135" s="166"/>
      <c r="T135" s="166"/>
      <c r="U135" s="113"/>
      <c r="V135" s="113"/>
      <c r="W135" s="113"/>
      <c r="X135" s="113"/>
      <c r="Y135" s="113"/>
      <c r="Z135" s="113"/>
      <c r="AA135" s="113"/>
      <c r="AB135" s="113"/>
      <c r="AC135" s="113"/>
      <c r="AD135" s="113"/>
      <c r="AE135" s="113"/>
      <c r="AF135" s="113"/>
      <c r="AG135" s="113"/>
      <c r="AH135" s="113"/>
    </row>
    <row r="136" spans="1:34" ht="87">
      <c r="A136" s="30" t="s">
        <v>1012</v>
      </c>
      <c r="B136" s="471">
        <v>13</v>
      </c>
      <c r="C136" s="473" t="s">
        <v>1013</v>
      </c>
      <c r="D136" s="453" t="s">
        <v>1014</v>
      </c>
      <c r="E136" s="462" t="s">
        <v>1015</v>
      </c>
      <c r="F136" s="123" t="s">
        <v>1016</v>
      </c>
      <c r="G136" s="106" t="s">
        <v>1017</v>
      </c>
      <c r="H136" s="107" t="s">
        <v>297</v>
      </c>
      <c r="I136" s="107" t="s">
        <v>320</v>
      </c>
      <c r="J136" s="123" t="s">
        <v>1019</v>
      </c>
      <c r="K136" s="112"/>
      <c r="L136" s="108" t="str">
        <f t="shared" si="2"/>
        <v>Definir el model de Xarxa d'Escoles de l'Espai Natural (XEEN) a l'ENP amb els agents educatius del territori</v>
      </c>
      <c r="M136" s="109"/>
      <c r="N136" s="76"/>
      <c r="O136" s="76"/>
      <c r="P136" s="110"/>
      <c r="Q136" s="166" t="s">
        <v>1018</v>
      </c>
      <c r="R136" s="166"/>
      <c r="S136" s="166"/>
      <c r="T136" s="166"/>
      <c r="U136" s="113"/>
      <c r="V136" s="113"/>
      <c r="W136" s="113"/>
      <c r="X136" s="113"/>
      <c r="Y136" s="113"/>
      <c r="Z136" s="113"/>
      <c r="AA136" s="113"/>
      <c r="AB136" s="113"/>
      <c r="AC136" s="113"/>
      <c r="AD136" s="113"/>
      <c r="AE136" s="113"/>
      <c r="AF136" s="113"/>
      <c r="AG136" s="113"/>
      <c r="AH136" s="113"/>
    </row>
    <row r="137" spans="1:34" ht="130.5">
      <c r="A137" s="30"/>
      <c r="B137" s="471"/>
      <c r="C137" s="473"/>
      <c r="D137" s="453"/>
      <c r="E137" s="462"/>
      <c r="F137" s="123" t="s">
        <v>1022</v>
      </c>
      <c r="G137" s="118" t="s">
        <v>1023</v>
      </c>
      <c r="H137" s="107" t="s">
        <v>297</v>
      </c>
      <c r="I137" s="107" t="s">
        <v>320</v>
      </c>
      <c r="J137" s="123" t="s">
        <v>1019</v>
      </c>
      <c r="K137" s="106" t="s">
        <v>1025</v>
      </c>
      <c r="L137" s="108" t="str">
        <f t="shared" si="2"/>
        <v>Desplegar el model de Xarxa d'Escoles de l'Espai Natural (XEEN) a l'ENP d'acord amb el model general</v>
      </c>
      <c r="M137" s="109"/>
      <c r="N137" s="124"/>
      <c r="O137" s="124"/>
      <c r="P137" s="110"/>
      <c r="Q137" s="170" t="s">
        <v>1024</v>
      </c>
      <c r="R137" s="170"/>
      <c r="S137" s="170"/>
      <c r="T137" s="170"/>
      <c r="U137" s="113"/>
      <c r="V137" s="113"/>
      <c r="W137" s="113"/>
      <c r="X137" s="113"/>
      <c r="Y137" s="113"/>
      <c r="Z137" s="113"/>
      <c r="AA137" s="113"/>
      <c r="AB137" s="113"/>
      <c r="AC137" s="113"/>
      <c r="AD137" s="113"/>
      <c r="AE137" s="113"/>
      <c r="AF137" s="113"/>
      <c r="AG137" s="113"/>
      <c r="AH137" s="113"/>
    </row>
    <row r="138" spans="1:34" ht="43.5">
      <c r="A138" s="30"/>
      <c r="B138" s="471"/>
      <c r="C138" s="473"/>
      <c r="D138" s="454"/>
      <c r="E138" s="441"/>
      <c r="F138" s="123" t="s">
        <v>1030</v>
      </c>
      <c r="G138" s="106" t="s">
        <v>1031</v>
      </c>
      <c r="H138" s="107" t="s">
        <v>297</v>
      </c>
      <c r="I138" s="107" t="s">
        <v>320</v>
      </c>
      <c r="J138" s="123" t="s">
        <v>1019</v>
      </c>
      <c r="K138" s="106"/>
      <c r="L138" s="108" t="str">
        <f t="shared" si="2"/>
        <v xml:space="preserve">Formar i capacitar al professorat de la XEEN </v>
      </c>
      <c r="M138" s="109"/>
      <c r="N138" s="124"/>
      <c r="O138" s="124"/>
      <c r="P138" s="110"/>
      <c r="Q138" s="170" t="s">
        <v>1032</v>
      </c>
      <c r="R138" s="170"/>
      <c r="S138" s="170"/>
      <c r="T138" s="170"/>
      <c r="U138" s="113"/>
      <c r="V138" s="113"/>
      <c r="W138" s="113"/>
      <c r="X138" s="113"/>
      <c r="Y138" s="113"/>
      <c r="Z138" s="113"/>
      <c r="AA138" s="113"/>
      <c r="AB138" s="113"/>
      <c r="AC138" s="113"/>
      <c r="AD138" s="113"/>
      <c r="AE138" s="113"/>
      <c r="AF138" s="113"/>
      <c r="AG138" s="113"/>
      <c r="AH138" s="113"/>
    </row>
    <row r="139" spans="1:34" ht="43.5">
      <c r="A139" s="30"/>
      <c r="B139" s="471"/>
      <c r="C139" s="473"/>
      <c r="D139" s="452" t="s">
        <v>1034</v>
      </c>
      <c r="E139" s="440" t="s">
        <v>1035</v>
      </c>
      <c r="F139" s="105" t="s">
        <v>1036</v>
      </c>
      <c r="G139" s="106" t="s">
        <v>1037</v>
      </c>
      <c r="H139" s="107" t="s">
        <v>297</v>
      </c>
      <c r="I139" s="107" t="s">
        <v>320</v>
      </c>
      <c r="J139" s="123" t="s">
        <v>1019</v>
      </c>
      <c r="K139" s="106" t="s">
        <v>1039</v>
      </c>
      <c r="L139" s="108" t="str">
        <f t="shared" si="2"/>
        <v>Adaptar i millorar l'oferta pedagògica de l'ENP generant situacions d'aprenentatge i treballs per projecte</v>
      </c>
      <c r="M139" s="109"/>
      <c r="N139" s="76"/>
      <c r="O139" s="76"/>
      <c r="P139" s="110"/>
      <c r="Q139" s="166" t="s">
        <v>1038</v>
      </c>
      <c r="R139" s="166"/>
      <c r="S139" s="166"/>
      <c r="T139" s="166"/>
      <c r="U139" s="113"/>
      <c r="V139" s="113"/>
      <c r="W139" s="113"/>
      <c r="X139" s="113"/>
      <c r="Y139" s="113"/>
      <c r="Z139" s="113"/>
      <c r="AA139" s="113"/>
      <c r="AB139" s="113"/>
      <c r="AC139" s="113"/>
      <c r="AD139" s="113"/>
      <c r="AE139" s="113"/>
      <c r="AF139" s="113"/>
      <c r="AG139" s="113"/>
      <c r="AH139" s="113"/>
    </row>
    <row r="140" spans="1:34" ht="58">
      <c r="A140" s="30"/>
      <c r="B140" s="471"/>
      <c r="C140" s="473"/>
      <c r="D140" s="453"/>
      <c r="E140" s="462"/>
      <c r="F140" s="105" t="s">
        <v>1043</v>
      </c>
      <c r="G140" s="106" t="s">
        <v>1044</v>
      </c>
      <c r="H140" s="107" t="s">
        <v>297</v>
      </c>
      <c r="I140" s="107" t="s">
        <v>424</v>
      </c>
      <c r="J140" s="123" t="s">
        <v>1019</v>
      </c>
      <c r="K140" s="112"/>
      <c r="L140" s="108" t="str">
        <f t="shared" si="2"/>
        <v>Dissenyar projectes d'ApS ambiental i Ciència ciutadana i projectes compartits amb entitats del territori que s'incloguin dins de l'oferta pedagògica.</v>
      </c>
      <c r="M140" s="109"/>
      <c r="N140" s="76"/>
      <c r="O140" s="76"/>
      <c r="P140" s="110"/>
      <c r="Q140" s="166" t="s">
        <v>1045</v>
      </c>
      <c r="R140" s="166"/>
      <c r="S140" s="166"/>
      <c r="T140" s="166"/>
      <c r="U140" s="113"/>
      <c r="V140" s="113"/>
      <c r="W140" s="113"/>
      <c r="X140" s="113"/>
      <c r="Y140" s="113"/>
      <c r="Z140" s="113"/>
      <c r="AA140" s="113"/>
      <c r="AB140" s="113"/>
      <c r="AC140" s="113"/>
      <c r="AD140" s="113"/>
      <c r="AE140" s="113"/>
      <c r="AF140" s="113"/>
      <c r="AG140" s="113"/>
      <c r="AH140" s="113"/>
    </row>
    <row r="141" spans="1:34" ht="43.5">
      <c r="A141" s="30"/>
      <c r="B141" s="471"/>
      <c r="C141" s="473"/>
      <c r="D141" s="453"/>
      <c r="E141" s="462"/>
      <c r="F141" s="105" t="s">
        <v>1050</v>
      </c>
      <c r="G141" s="106" t="s">
        <v>1051</v>
      </c>
      <c r="H141" s="107" t="s">
        <v>297</v>
      </c>
      <c r="I141" s="107" t="s">
        <v>424</v>
      </c>
      <c r="J141" s="123" t="s">
        <v>1019</v>
      </c>
      <c r="K141" s="112"/>
      <c r="L141" s="108" t="str">
        <f t="shared" si="2"/>
        <v>Elaborar recursos educatius sobre l’espai (que tinguin en compte les problemàtiques singulars del seu espai) i posar-los a disposició dels centres educatius</v>
      </c>
      <c r="M141" s="109"/>
      <c r="N141" s="76"/>
      <c r="O141" s="76"/>
      <c r="P141" s="110"/>
      <c r="Q141" s="166"/>
      <c r="R141" s="166"/>
      <c r="S141" s="166"/>
      <c r="T141" s="166"/>
      <c r="U141" s="113"/>
      <c r="V141" s="113"/>
      <c r="W141" s="113"/>
      <c r="X141" s="113"/>
      <c r="Y141" s="113"/>
      <c r="Z141" s="113"/>
      <c r="AA141" s="113"/>
      <c r="AB141" s="113"/>
      <c r="AC141" s="113"/>
      <c r="AD141" s="113"/>
      <c r="AE141" s="113"/>
      <c r="AF141" s="113"/>
      <c r="AG141" s="113"/>
      <c r="AH141" s="113"/>
    </row>
    <row r="142" spans="1:34" ht="58">
      <c r="A142" s="30"/>
      <c r="B142" s="471"/>
      <c r="C142" s="473"/>
      <c r="D142" s="454"/>
      <c r="E142" s="441"/>
      <c r="F142" s="105" t="s">
        <v>1052</v>
      </c>
      <c r="G142" s="106" t="s">
        <v>1053</v>
      </c>
      <c r="H142" s="107" t="s">
        <v>297</v>
      </c>
      <c r="I142" s="107" t="s">
        <v>424</v>
      </c>
      <c r="J142" s="123" t="s">
        <v>1019</v>
      </c>
      <c r="K142" s="112"/>
      <c r="L142" s="108" t="str">
        <f t="shared" si="2"/>
        <v>Oferir projectes de recerca vinculats a l'espai natural per a l'alumnat universitari i de la XEEN</v>
      </c>
      <c r="M142" s="109"/>
      <c r="N142" s="76"/>
      <c r="O142" s="76"/>
      <c r="P142" s="110"/>
      <c r="Q142" s="166" t="s">
        <v>1054</v>
      </c>
      <c r="R142" s="166"/>
      <c r="S142" s="166"/>
      <c r="T142" s="166"/>
      <c r="U142" s="113"/>
      <c r="V142" s="113"/>
      <c r="W142" s="113"/>
      <c r="X142" s="113"/>
      <c r="Y142" s="113"/>
      <c r="Z142" s="113"/>
      <c r="AA142" s="113"/>
      <c r="AB142" s="113"/>
      <c r="AC142" s="113"/>
      <c r="AD142" s="113"/>
      <c r="AE142" s="113"/>
      <c r="AF142" s="113"/>
      <c r="AG142" s="113"/>
      <c r="AH142" s="113"/>
    </row>
    <row r="143" spans="1:34" ht="43.5">
      <c r="A143" s="30"/>
      <c r="B143" s="471"/>
      <c r="C143" s="473"/>
      <c r="D143" s="452" t="s">
        <v>1064</v>
      </c>
      <c r="E143" s="440" t="s">
        <v>1065</v>
      </c>
      <c r="F143" s="105" t="s">
        <v>1066</v>
      </c>
      <c r="G143" s="106" t="s">
        <v>1067</v>
      </c>
      <c r="H143" s="107" t="s">
        <v>297</v>
      </c>
      <c r="I143" s="107" t="s">
        <v>320</v>
      </c>
      <c r="J143" s="123" t="s">
        <v>1019</v>
      </c>
      <c r="K143" s="112"/>
      <c r="L143" s="108" t="str">
        <f t="shared" si="2"/>
        <v>Establir un model de coordinació territorial amb agents clau de l'educació ambiental</v>
      </c>
      <c r="M143" s="109"/>
      <c r="N143" s="76"/>
      <c r="O143" s="76"/>
      <c r="P143" s="110"/>
      <c r="Q143" s="166" t="s">
        <v>1070</v>
      </c>
      <c r="R143" s="166"/>
      <c r="S143" s="166"/>
      <c r="T143" s="166"/>
      <c r="U143" s="113"/>
      <c r="V143" s="113"/>
      <c r="W143" s="113"/>
      <c r="X143" s="113"/>
      <c r="Y143" s="113"/>
      <c r="Z143" s="113"/>
      <c r="AA143" s="113"/>
      <c r="AB143" s="113"/>
      <c r="AC143" s="113"/>
      <c r="AD143" s="113"/>
      <c r="AE143" s="113"/>
      <c r="AF143" s="113"/>
      <c r="AG143" s="113"/>
      <c r="AH143" s="113"/>
    </row>
    <row r="144" spans="1:34" ht="29">
      <c r="A144" s="30"/>
      <c r="B144" s="471"/>
      <c r="C144" s="473"/>
      <c r="D144" s="453"/>
      <c r="E144" s="462"/>
      <c r="F144" s="105" t="s">
        <v>1075</v>
      </c>
      <c r="G144" s="106" t="s">
        <v>1076</v>
      </c>
      <c r="H144" s="107" t="s">
        <v>297</v>
      </c>
      <c r="I144" s="107" t="s">
        <v>320</v>
      </c>
      <c r="J144" s="123" t="s">
        <v>1019</v>
      </c>
      <c r="K144" s="112"/>
      <c r="L144" s="108" t="str">
        <f t="shared" si="2"/>
        <v>Cercar i establir col·laboracions i projectes conjunts amb agents clau del territori</v>
      </c>
      <c r="M144" s="109"/>
      <c r="N144" s="76"/>
      <c r="O144" s="76"/>
      <c r="P144" s="110"/>
      <c r="Q144" s="166"/>
      <c r="R144" s="166"/>
      <c r="S144" s="166"/>
      <c r="T144" s="166"/>
      <c r="U144" s="113"/>
      <c r="V144" s="113"/>
      <c r="W144" s="113"/>
      <c r="X144" s="113"/>
      <c r="Y144" s="113"/>
      <c r="Z144" s="113"/>
      <c r="AA144" s="113"/>
      <c r="AB144" s="113"/>
      <c r="AC144" s="113"/>
      <c r="AD144" s="113"/>
      <c r="AE144" s="113"/>
      <c r="AF144" s="113"/>
      <c r="AG144" s="113"/>
      <c r="AH144" s="113"/>
    </row>
    <row r="145" spans="1:34" ht="72.5">
      <c r="A145" s="30"/>
      <c r="B145" s="471"/>
      <c r="C145" s="473"/>
      <c r="D145" s="454"/>
      <c r="E145" s="441"/>
      <c r="F145" s="105" t="s">
        <v>1077</v>
      </c>
      <c r="G145" s="106" t="s">
        <v>1078</v>
      </c>
      <c r="H145" s="107" t="s">
        <v>297</v>
      </c>
      <c r="I145" s="107" t="s">
        <v>320</v>
      </c>
      <c r="J145" s="123" t="s">
        <v>1019</v>
      </c>
      <c r="K145" s="106" t="s">
        <v>1080</v>
      </c>
      <c r="L145" s="108" t="str">
        <f t="shared" si="2"/>
        <v>Elaborar formacions dirigides als informadors, educadors i altres prescriptors del territori</v>
      </c>
      <c r="M145" s="109"/>
      <c r="N145" s="76"/>
      <c r="O145" s="76"/>
      <c r="P145" s="110"/>
      <c r="Q145" s="166" t="s">
        <v>1079</v>
      </c>
      <c r="R145" s="166"/>
      <c r="S145" s="166"/>
      <c r="T145" s="166"/>
      <c r="U145" s="113"/>
      <c r="V145" s="113"/>
      <c r="W145" s="113"/>
      <c r="X145" s="113"/>
      <c r="Y145" s="113"/>
      <c r="Z145" s="113"/>
      <c r="AA145" s="113"/>
      <c r="AB145" s="113"/>
      <c r="AC145" s="113"/>
      <c r="AD145" s="113"/>
      <c r="AE145" s="113"/>
      <c r="AF145" s="113"/>
      <c r="AG145" s="113"/>
      <c r="AH145" s="113"/>
    </row>
    <row r="146" spans="1:34" ht="87">
      <c r="A146" s="30"/>
      <c r="B146" s="471"/>
      <c r="C146" s="473"/>
      <c r="D146" s="452" t="s">
        <v>1082</v>
      </c>
      <c r="E146" s="475" t="s">
        <v>1083</v>
      </c>
      <c r="F146" s="105" t="s">
        <v>1084</v>
      </c>
      <c r="G146" s="106" t="s">
        <v>1085</v>
      </c>
      <c r="H146" s="107" t="s">
        <v>297</v>
      </c>
      <c r="I146" s="107" t="s">
        <v>320</v>
      </c>
      <c r="J146" s="123" t="s">
        <v>1019</v>
      </c>
      <c r="K146" s="106" t="s">
        <v>1088</v>
      </c>
      <c r="L146" s="108" t="str">
        <f t="shared" si="2"/>
        <v>Desplegar en el territori les campanyes de sensibilització i bones pràctiques que s'impulsin des de la DG</v>
      </c>
      <c r="M146" s="109"/>
      <c r="N146" s="76"/>
      <c r="O146" s="76"/>
      <c r="P146" s="110"/>
      <c r="Q146" s="166" t="s">
        <v>1087</v>
      </c>
      <c r="R146" s="166"/>
      <c r="S146" s="166"/>
      <c r="T146" s="166"/>
      <c r="U146" s="113"/>
      <c r="V146" s="113"/>
      <c r="W146" s="113"/>
      <c r="X146" s="113"/>
      <c r="Y146" s="113"/>
      <c r="Z146" s="113"/>
      <c r="AA146" s="113"/>
      <c r="AB146" s="113"/>
      <c r="AC146" s="113"/>
      <c r="AD146" s="113"/>
      <c r="AE146" s="113"/>
      <c r="AF146" s="113"/>
      <c r="AG146" s="113"/>
      <c r="AH146" s="113"/>
    </row>
    <row r="147" spans="1:34" ht="43.5">
      <c r="A147" s="30"/>
      <c r="B147" s="471"/>
      <c r="C147" s="473"/>
      <c r="D147" s="453"/>
      <c r="E147" s="462"/>
      <c r="F147" s="105" t="s">
        <v>1093</v>
      </c>
      <c r="G147" s="106" t="s">
        <v>1094</v>
      </c>
      <c r="H147" s="107" t="s">
        <v>297</v>
      </c>
      <c r="I147" s="107" t="s">
        <v>424</v>
      </c>
      <c r="J147" s="123" t="s">
        <v>1019</v>
      </c>
      <c r="K147" s="125"/>
      <c r="L147" s="108" t="str">
        <f t="shared" si="2"/>
        <v xml:space="preserve">Adaptar el programa de divulgació i sensibilització de l'ENP perquè incorpori una oferta d’activitats adequada per a famílies </v>
      </c>
      <c r="M147" s="109"/>
      <c r="N147" s="76"/>
      <c r="O147" s="76"/>
      <c r="P147" s="110"/>
      <c r="Q147" s="166" t="s">
        <v>1097</v>
      </c>
      <c r="R147" s="166"/>
      <c r="S147" s="166"/>
      <c r="T147" s="166"/>
      <c r="U147" s="113"/>
      <c r="V147" s="113"/>
      <c r="W147" s="113"/>
      <c r="X147" s="113"/>
      <c r="Y147" s="113"/>
      <c r="Z147" s="113"/>
      <c r="AA147" s="113"/>
      <c r="AB147" s="113"/>
      <c r="AC147" s="113"/>
      <c r="AD147" s="113"/>
      <c r="AE147" s="113"/>
      <c r="AF147" s="113"/>
      <c r="AG147" s="113"/>
      <c r="AH147" s="113"/>
    </row>
    <row r="148" spans="1:34" ht="72.5">
      <c r="A148" s="30"/>
      <c r="B148" s="471"/>
      <c r="C148" s="473"/>
      <c r="D148" s="453"/>
      <c r="E148" s="462"/>
      <c r="F148" s="105" t="s">
        <v>1102</v>
      </c>
      <c r="G148" s="118" t="s">
        <v>1103</v>
      </c>
      <c r="H148" s="107" t="s">
        <v>297</v>
      </c>
      <c r="I148" s="107" t="s">
        <v>424</v>
      </c>
      <c r="J148" s="123" t="s">
        <v>1019</v>
      </c>
      <c r="K148" s="125"/>
      <c r="L148" s="108" t="str">
        <f t="shared" si="2"/>
        <v xml:space="preserve">Adaptar el programa de divulgació i sensibilització de l'ENP perquè incorpori una oferta d’activitats adequada per a altres perfils </v>
      </c>
      <c r="M148" s="109"/>
      <c r="N148" s="76"/>
      <c r="O148" s="76"/>
      <c r="P148" s="110"/>
      <c r="Q148" s="166" t="s">
        <v>1104</v>
      </c>
      <c r="R148" s="166"/>
      <c r="S148" s="166"/>
      <c r="T148" s="166"/>
      <c r="U148" s="113"/>
      <c r="V148" s="113"/>
      <c r="W148" s="113"/>
      <c r="X148" s="113"/>
      <c r="Y148" s="113"/>
      <c r="Z148" s="113"/>
      <c r="AA148" s="113"/>
      <c r="AB148" s="113"/>
      <c r="AC148" s="113"/>
      <c r="AD148" s="113"/>
      <c r="AE148" s="113"/>
      <c r="AF148" s="113"/>
      <c r="AG148" s="113"/>
      <c r="AH148" s="113"/>
    </row>
    <row r="149" spans="1:34" ht="72.5">
      <c r="A149" s="30"/>
      <c r="B149" s="471"/>
      <c r="C149" s="473"/>
      <c r="D149" s="454"/>
      <c r="E149" s="441"/>
      <c r="F149" s="105" t="s">
        <v>1106</v>
      </c>
      <c r="G149" s="106" t="s">
        <v>1107</v>
      </c>
      <c r="H149" s="107" t="s">
        <v>297</v>
      </c>
      <c r="I149" s="107" t="s">
        <v>424</v>
      </c>
      <c r="J149" s="123" t="s">
        <v>1019</v>
      </c>
      <c r="K149" s="125"/>
      <c r="L149" s="108" t="str">
        <f t="shared" si="2"/>
        <v xml:space="preserve">Adaptar el programa de divulgació i sensibilització de l'ENP perquè incorpori una oferta d’activitats dirigida al lleure educatiu </v>
      </c>
      <c r="M149" s="109"/>
      <c r="N149" s="76"/>
      <c r="O149" s="76"/>
      <c r="P149" s="110"/>
      <c r="Q149" s="166" t="s">
        <v>1108</v>
      </c>
      <c r="R149" s="166"/>
      <c r="S149" s="166"/>
      <c r="T149" s="166"/>
      <c r="U149" s="113"/>
      <c r="V149" s="113"/>
      <c r="W149" s="113"/>
      <c r="X149" s="113"/>
      <c r="Y149" s="113"/>
      <c r="Z149" s="113"/>
      <c r="AA149" s="113"/>
      <c r="AB149" s="113"/>
      <c r="AC149" s="113"/>
      <c r="AD149" s="113"/>
      <c r="AE149" s="113"/>
      <c r="AF149" s="113"/>
      <c r="AG149" s="113"/>
      <c r="AH149" s="113"/>
    </row>
    <row r="150" spans="1:34" ht="29">
      <c r="A150" s="30"/>
      <c r="B150" s="471"/>
      <c r="C150" s="473"/>
      <c r="D150" s="452" t="s">
        <v>1112</v>
      </c>
      <c r="E150" s="440" t="s">
        <v>1113</v>
      </c>
      <c r="F150" s="105" t="s">
        <v>1114</v>
      </c>
      <c r="G150" s="118" t="s">
        <v>1115</v>
      </c>
      <c r="H150" s="107" t="s">
        <v>297</v>
      </c>
      <c r="I150" s="107" t="s">
        <v>320</v>
      </c>
      <c r="J150" s="123" t="s">
        <v>1019</v>
      </c>
      <c r="K150" s="112"/>
      <c r="L150" s="108" t="str">
        <f t="shared" si="2"/>
        <v>Identificar col·lectius estratègics implicats en la gestió i l'ús del territori</v>
      </c>
      <c r="M150" s="109"/>
      <c r="N150" s="126"/>
      <c r="O150" s="126"/>
      <c r="P150" s="110"/>
      <c r="Q150" s="171"/>
      <c r="R150" s="171"/>
      <c r="S150" s="171"/>
      <c r="T150" s="171"/>
      <c r="U150" s="113"/>
      <c r="V150" s="113"/>
      <c r="W150" s="113"/>
      <c r="X150" s="113"/>
      <c r="Y150" s="113"/>
      <c r="Z150" s="113"/>
      <c r="AA150" s="113"/>
      <c r="AB150" s="113"/>
      <c r="AC150" s="113"/>
      <c r="AD150" s="113"/>
      <c r="AE150" s="113"/>
      <c r="AF150" s="113"/>
      <c r="AG150" s="113"/>
      <c r="AH150" s="113"/>
    </row>
    <row r="151" spans="1:34" ht="72.5">
      <c r="A151" s="30"/>
      <c r="B151" s="471"/>
      <c r="C151" s="473"/>
      <c r="D151" s="453"/>
      <c r="E151" s="462"/>
      <c r="F151" s="105" t="s">
        <v>1120</v>
      </c>
      <c r="G151" s="106" t="s">
        <v>1121</v>
      </c>
      <c r="H151" s="107" t="s">
        <v>297</v>
      </c>
      <c r="I151" s="107" t="s">
        <v>424</v>
      </c>
      <c r="J151" s="123" t="s">
        <v>1019</v>
      </c>
      <c r="K151" s="125"/>
      <c r="L151" s="108" t="str">
        <f t="shared" si="2"/>
        <v>Executar els projectes de sensibilització i formació dirigits al sector turístic, esportiu i de lleure</v>
      </c>
      <c r="M151" s="109"/>
      <c r="N151" s="76"/>
      <c r="O151" s="76"/>
      <c r="P151" s="110"/>
      <c r="Q151" s="166" t="s">
        <v>1123</v>
      </c>
      <c r="R151" s="166"/>
      <c r="S151" s="166"/>
      <c r="T151" s="166"/>
      <c r="U151" s="113"/>
      <c r="V151" s="113"/>
      <c r="W151" s="113"/>
      <c r="X151" s="113"/>
      <c r="Y151" s="113"/>
      <c r="Z151" s="113"/>
      <c r="AA151" s="113"/>
      <c r="AB151" s="113"/>
      <c r="AC151" s="113"/>
      <c r="AD151" s="113"/>
      <c r="AE151" s="113"/>
      <c r="AF151" s="113"/>
      <c r="AG151" s="113"/>
      <c r="AH151" s="113"/>
    </row>
    <row r="152" spans="1:34" ht="58">
      <c r="A152" s="30"/>
      <c r="B152" s="471"/>
      <c r="C152" s="473"/>
      <c r="D152" s="453"/>
      <c r="E152" s="462"/>
      <c r="F152" s="105" t="s">
        <v>1124</v>
      </c>
      <c r="G152" s="106" t="s">
        <v>1125</v>
      </c>
      <c r="H152" s="107" t="s">
        <v>297</v>
      </c>
      <c r="I152" s="107" t="s">
        <v>424</v>
      </c>
      <c r="J152" s="123" t="s">
        <v>1019</v>
      </c>
      <c r="K152" s="125"/>
      <c r="L152" s="108" t="str">
        <f t="shared" si="2"/>
        <v xml:space="preserve">Executar els projectes de sensibilització i formació dirigits als agents de lleure educatiu </v>
      </c>
      <c r="M152" s="109"/>
      <c r="N152" s="76"/>
      <c r="O152" s="76"/>
      <c r="P152" s="110"/>
      <c r="Q152" s="166" t="s">
        <v>1126</v>
      </c>
      <c r="R152" s="166"/>
      <c r="S152" s="166"/>
      <c r="T152" s="166"/>
      <c r="U152" s="113"/>
      <c r="V152" s="113"/>
      <c r="W152" s="113"/>
      <c r="X152" s="113"/>
      <c r="Y152" s="113"/>
      <c r="Z152" s="113"/>
      <c r="AA152" s="113"/>
      <c r="AB152" s="113"/>
      <c r="AC152" s="113"/>
      <c r="AD152" s="113"/>
      <c r="AE152" s="113"/>
      <c r="AF152" s="113"/>
      <c r="AG152" s="113"/>
      <c r="AH152" s="113"/>
    </row>
    <row r="153" spans="1:34" ht="29">
      <c r="A153" s="30"/>
      <c r="B153" s="471"/>
      <c r="C153" s="473"/>
      <c r="D153" s="453"/>
      <c r="E153" s="462"/>
      <c r="F153" s="105" t="s">
        <v>1131</v>
      </c>
      <c r="G153" s="106" t="s">
        <v>1132</v>
      </c>
      <c r="H153" s="107" t="s">
        <v>297</v>
      </c>
      <c r="I153" s="107" t="s">
        <v>424</v>
      </c>
      <c r="J153" s="123" t="s">
        <v>1019</v>
      </c>
      <c r="K153" s="125"/>
      <c r="L153" s="108" t="str">
        <f t="shared" si="2"/>
        <v xml:space="preserve">Executar els projectes de sensibilització i formació dirigits als agents del sector primari </v>
      </c>
      <c r="M153" s="109"/>
      <c r="N153" s="114"/>
      <c r="O153" s="114"/>
      <c r="P153" s="110"/>
      <c r="Q153" s="166"/>
      <c r="R153" s="166"/>
      <c r="S153" s="166"/>
      <c r="T153" s="166"/>
      <c r="U153" s="113"/>
      <c r="V153" s="113"/>
      <c r="W153" s="113"/>
      <c r="X153" s="113"/>
      <c r="Y153" s="113"/>
      <c r="Z153" s="113"/>
      <c r="AA153" s="113"/>
      <c r="AB153" s="113"/>
      <c r="AC153" s="113"/>
      <c r="AD153" s="113"/>
      <c r="AE153" s="113"/>
      <c r="AF153" s="113"/>
      <c r="AG153" s="113"/>
      <c r="AH153" s="113"/>
    </row>
    <row r="154" spans="1:34" ht="58">
      <c r="A154" s="30"/>
      <c r="B154" s="471"/>
      <c r="C154" s="473"/>
      <c r="D154" s="454"/>
      <c r="E154" s="441"/>
      <c r="F154" s="105" t="s">
        <v>1137</v>
      </c>
      <c r="G154" s="118" t="s">
        <v>1138</v>
      </c>
      <c r="H154" s="107" t="s">
        <v>297</v>
      </c>
      <c r="I154" s="107" t="s">
        <v>320</v>
      </c>
      <c r="J154" s="123" t="s">
        <v>1019</v>
      </c>
      <c r="K154" s="112"/>
      <c r="L154" s="108" t="str">
        <f t="shared" si="2"/>
        <v>Elaborar i renovar periòdicament un programa d’educació ambiental adreçat a la població local que contribueixi a fomentar el sentiment de pertinença i la implicació en la conservació de l'ENP.</v>
      </c>
      <c r="M154" s="109"/>
      <c r="N154" s="76"/>
      <c r="O154" s="76"/>
      <c r="P154" s="110"/>
      <c r="Q154" s="166" t="s">
        <v>1139</v>
      </c>
      <c r="R154" s="166"/>
      <c r="S154" s="166"/>
      <c r="T154" s="166"/>
      <c r="U154" s="113"/>
      <c r="V154" s="113"/>
      <c r="W154" s="113"/>
      <c r="X154" s="113"/>
      <c r="Y154" s="113"/>
      <c r="Z154" s="113"/>
      <c r="AA154" s="113"/>
      <c r="AB154" s="113"/>
      <c r="AC154" s="113"/>
      <c r="AD154" s="113"/>
      <c r="AE154" s="113"/>
      <c r="AF154" s="113"/>
      <c r="AG154" s="113"/>
      <c r="AH154" s="113"/>
    </row>
    <row r="155" spans="1:34" ht="43.5">
      <c r="A155" s="30"/>
      <c r="B155" s="471"/>
      <c r="C155" s="473"/>
      <c r="D155" s="452" t="s">
        <v>1143</v>
      </c>
      <c r="E155" s="461" t="s">
        <v>1144</v>
      </c>
      <c r="F155" s="105" t="s">
        <v>1145</v>
      </c>
      <c r="G155" s="106" t="s">
        <v>1146</v>
      </c>
      <c r="H155" s="107" t="s">
        <v>297</v>
      </c>
      <c r="I155" s="107" t="s">
        <v>320</v>
      </c>
      <c r="J155" s="123" t="s">
        <v>1019</v>
      </c>
      <c r="K155" s="112"/>
      <c r="L155" s="108" t="str">
        <f t="shared" si="2"/>
        <v>Identificar els programes, projectes i accions en marxa o previstos a l’ENP que poden rebre el suport del voluntariat</v>
      </c>
      <c r="M155" s="109"/>
      <c r="N155" s="76"/>
      <c r="O155" s="76"/>
      <c r="P155" s="110"/>
      <c r="Q155" s="166"/>
      <c r="R155" s="166"/>
      <c r="S155" s="166"/>
      <c r="T155" s="166"/>
      <c r="U155" s="113"/>
      <c r="V155" s="113"/>
      <c r="W155" s="113"/>
      <c r="X155" s="113"/>
      <c r="Y155" s="113"/>
      <c r="Z155" s="113"/>
      <c r="AA155" s="113"/>
      <c r="AB155" s="113"/>
      <c r="AC155" s="113"/>
      <c r="AD155" s="113"/>
      <c r="AE155" s="113"/>
      <c r="AF155" s="113"/>
      <c r="AG155" s="113"/>
      <c r="AH155" s="113"/>
    </row>
    <row r="156" spans="1:34" ht="188.5">
      <c r="A156" s="30"/>
      <c r="B156" s="471"/>
      <c r="C156" s="473"/>
      <c r="D156" s="454"/>
      <c r="E156" s="441"/>
      <c r="F156" s="105" t="s">
        <v>1149</v>
      </c>
      <c r="G156" s="106" t="s">
        <v>1150</v>
      </c>
      <c r="H156" s="107" t="s">
        <v>297</v>
      </c>
      <c r="I156" s="107" t="s">
        <v>320</v>
      </c>
      <c r="J156" s="116" t="s">
        <v>1152</v>
      </c>
      <c r="K156" s="112" t="s">
        <v>1153</v>
      </c>
      <c r="L156" s="108" t="str">
        <f t="shared" si="2"/>
        <v>Establir un model de coordinació territorial amb agents clau del voluntariat ambiental</v>
      </c>
      <c r="M156" s="109"/>
      <c r="N156" s="76"/>
      <c r="O156" s="76"/>
      <c r="P156" s="110"/>
      <c r="Q156" s="166" t="s">
        <v>1151</v>
      </c>
      <c r="R156" s="166"/>
      <c r="S156" s="166"/>
      <c r="T156" s="166"/>
      <c r="U156" s="113"/>
      <c r="V156" s="113"/>
      <c r="W156" s="113"/>
      <c r="X156" s="113"/>
      <c r="Y156" s="113"/>
      <c r="Z156" s="113"/>
      <c r="AA156" s="113"/>
      <c r="AB156" s="113"/>
      <c r="AC156" s="113"/>
      <c r="AD156" s="113"/>
      <c r="AE156" s="113"/>
      <c r="AF156" s="113"/>
      <c r="AG156" s="113"/>
      <c r="AH156" s="113"/>
    </row>
    <row r="157" spans="1:34" ht="29">
      <c r="A157" s="30"/>
      <c r="B157" s="471"/>
      <c r="C157" s="473"/>
      <c r="D157" s="458" t="s">
        <v>1162</v>
      </c>
      <c r="E157" s="461" t="s">
        <v>1163</v>
      </c>
      <c r="F157" s="127" t="s">
        <v>1164</v>
      </c>
      <c r="G157" s="106" t="s">
        <v>1165</v>
      </c>
      <c r="H157" s="107" t="s">
        <v>297</v>
      </c>
      <c r="I157" s="107" t="s">
        <v>320</v>
      </c>
      <c r="J157" s="123" t="s">
        <v>1019</v>
      </c>
      <c r="K157" s="125"/>
      <c r="L157" s="108" t="str">
        <f t="shared" si="2"/>
        <v>Dissenyar i adaptar activitats inclusives per a persones amb necessitats específiques</v>
      </c>
      <c r="M157" s="109"/>
      <c r="N157" s="76"/>
      <c r="O157" s="76"/>
      <c r="P157" s="110"/>
      <c r="Q157" s="166"/>
      <c r="R157" s="166"/>
      <c r="S157" s="166"/>
      <c r="T157" s="166"/>
      <c r="U157" s="113"/>
      <c r="V157" s="113"/>
      <c r="W157" s="113"/>
      <c r="X157" s="113"/>
      <c r="Y157" s="113"/>
      <c r="Z157" s="113"/>
      <c r="AA157" s="113"/>
      <c r="AB157" s="113"/>
      <c r="AC157" s="113"/>
      <c r="AD157" s="113"/>
      <c r="AE157" s="113"/>
      <c r="AF157" s="113"/>
      <c r="AG157" s="113"/>
      <c r="AH157" s="113"/>
    </row>
    <row r="158" spans="1:34" ht="43.5">
      <c r="A158" s="30"/>
      <c r="B158" s="471"/>
      <c r="C158" s="473"/>
      <c r="D158" s="459"/>
      <c r="E158" s="462"/>
      <c r="F158" s="127" t="s">
        <v>1170</v>
      </c>
      <c r="G158" s="106" t="s">
        <v>1171</v>
      </c>
      <c r="H158" s="107" t="s">
        <v>297</v>
      </c>
      <c r="I158" s="107" t="s">
        <v>424</v>
      </c>
      <c r="J158" s="123" t="s">
        <v>1019</v>
      </c>
      <c r="K158" s="112"/>
      <c r="L158" s="108" t="str">
        <f t="shared" si="2"/>
        <v>Formar el personal de l'ENP (informadors i personal que treballa de cara al públic) en accessibilitat, diversitat funcional i diversitat de gènere</v>
      </c>
      <c r="M158" s="109"/>
      <c r="N158" s="76"/>
      <c r="O158" s="76"/>
      <c r="P158" s="110"/>
      <c r="Q158" s="166"/>
      <c r="R158" s="166"/>
      <c r="S158" s="166"/>
      <c r="T158" s="166"/>
      <c r="U158" s="113"/>
      <c r="V158" s="113"/>
      <c r="W158" s="113"/>
      <c r="X158" s="113"/>
      <c r="Y158" s="113"/>
      <c r="Z158" s="113"/>
      <c r="AA158" s="113"/>
      <c r="AB158" s="113"/>
      <c r="AC158" s="113"/>
      <c r="AD158" s="113"/>
      <c r="AE158" s="113"/>
      <c r="AF158" s="113"/>
      <c r="AG158" s="113"/>
      <c r="AH158" s="113"/>
    </row>
    <row r="159" spans="1:34" ht="29">
      <c r="A159" s="30"/>
      <c r="B159" s="471"/>
      <c r="C159" s="473"/>
      <c r="D159" s="460"/>
      <c r="E159" s="441"/>
      <c r="F159" s="127" t="s">
        <v>1176</v>
      </c>
      <c r="G159" s="106" t="s">
        <v>1177</v>
      </c>
      <c r="H159" s="107" t="s">
        <v>297</v>
      </c>
      <c r="I159" s="107" t="s">
        <v>320</v>
      </c>
      <c r="J159" s="123" t="s">
        <v>1019</v>
      </c>
      <c r="K159" s="112"/>
      <c r="L159" s="108" t="str">
        <f t="shared" si="2"/>
        <v>Incorporar la perspectiva de gènere als continguts i activitats de l'ENP</v>
      </c>
      <c r="M159" s="109"/>
      <c r="N159" s="76"/>
      <c r="O159" s="76"/>
      <c r="P159" s="110"/>
      <c r="Q159" s="166"/>
      <c r="R159" s="166"/>
      <c r="S159" s="166"/>
      <c r="T159" s="166"/>
      <c r="U159" s="113"/>
      <c r="V159" s="113"/>
      <c r="W159" s="113"/>
      <c r="X159" s="113"/>
      <c r="Y159" s="113"/>
      <c r="Z159" s="113"/>
      <c r="AA159" s="113"/>
      <c r="AB159" s="113"/>
      <c r="AC159" s="113"/>
      <c r="AD159" s="113"/>
      <c r="AE159" s="113"/>
      <c r="AF159" s="113"/>
      <c r="AG159" s="113"/>
      <c r="AH159" s="113"/>
    </row>
    <row r="160" spans="1:34" ht="43.5">
      <c r="A160" s="30"/>
      <c r="B160" s="471"/>
      <c r="C160" s="473"/>
      <c r="D160" s="458" t="s">
        <v>1179</v>
      </c>
      <c r="E160" s="476" t="s">
        <v>1180</v>
      </c>
      <c r="F160" s="127" t="s">
        <v>1181</v>
      </c>
      <c r="G160" s="106" t="s">
        <v>1182</v>
      </c>
      <c r="H160" s="107" t="s">
        <v>297</v>
      </c>
      <c r="I160" s="107" t="s">
        <v>424</v>
      </c>
      <c r="J160" s="123" t="s">
        <v>1019</v>
      </c>
      <c r="K160" s="112"/>
      <c r="L160" s="108" t="str">
        <f t="shared" si="2"/>
        <v>Dissenyar, implementar i fomentar itineraris saludables dins dels itineraris oficials dels ENP i en la zona d'influència</v>
      </c>
      <c r="M160" s="109"/>
      <c r="N160" s="76"/>
      <c r="O160" s="76"/>
      <c r="P160" s="110"/>
      <c r="Q160" s="166" t="s">
        <v>1184</v>
      </c>
      <c r="R160" s="166"/>
      <c r="S160" s="166"/>
      <c r="T160" s="166"/>
      <c r="U160" s="113"/>
      <c r="V160" s="113"/>
      <c r="W160" s="113"/>
      <c r="X160" s="113"/>
      <c r="Y160" s="113"/>
      <c r="Z160" s="113"/>
      <c r="AA160" s="113"/>
      <c r="AB160" s="113"/>
      <c r="AC160" s="113"/>
      <c r="AD160" s="113"/>
      <c r="AE160" s="113"/>
      <c r="AF160" s="113"/>
      <c r="AG160" s="113"/>
      <c r="AH160" s="113"/>
    </row>
    <row r="161" spans="1:34" ht="116">
      <c r="A161" s="30"/>
      <c r="B161" s="471"/>
      <c r="C161" s="473"/>
      <c r="D161" s="459"/>
      <c r="E161" s="462"/>
      <c r="F161" s="127" t="s">
        <v>1188</v>
      </c>
      <c r="G161" s="118" t="s">
        <v>1189</v>
      </c>
      <c r="H161" s="107" t="s">
        <v>297</v>
      </c>
      <c r="I161" s="107" t="s">
        <v>424</v>
      </c>
      <c r="J161" s="123" t="s">
        <v>1019</v>
      </c>
      <c r="K161" s="112"/>
      <c r="L161" s="108" t="str">
        <f t="shared" si="2"/>
        <v>Identificar els agents clau i els àmbits de col·laboració per implementar el binomi salut i natura</v>
      </c>
      <c r="M161" s="109"/>
      <c r="N161" s="124"/>
      <c r="O161" s="124"/>
      <c r="P161" s="110"/>
      <c r="Q161" s="170" t="s">
        <v>1190</v>
      </c>
      <c r="R161" s="170"/>
      <c r="S161" s="170"/>
      <c r="T161" s="170"/>
      <c r="U161" s="113"/>
      <c r="V161" s="113"/>
      <c r="W161" s="113"/>
      <c r="X161" s="113"/>
      <c r="Y161" s="113"/>
      <c r="Z161" s="113"/>
      <c r="AA161" s="113"/>
      <c r="AB161" s="113"/>
      <c r="AC161" s="113"/>
      <c r="AD161" s="113"/>
      <c r="AE161" s="113"/>
      <c r="AF161" s="113"/>
      <c r="AG161" s="113"/>
      <c r="AH161" s="113"/>
    </row>
    <row r="162" spans="1:34" ht="130.5">
      <c r="A162" s="30"/>
      <c r="B162" s="471"/>
      <c r="C162" s="473"/>
      <c r="D162" s="459"/>
      <c r="E162" s="462"/>
      <c r="F162" s="127" t="s">
        <v>1191</v>
      </c>
      <c r="G162" s="106" t="s">
        <v>1192</v>
      </c>
      <c r="H162" s="107" t="s">
        <v>297</v>
      </c>
      <c r="I162" s="107" t="s">
        <v>424</v>
      </c>
      <c r="J162" s="123" t="s">
        <v>1019</v>
      </c>
      <c r="K162" s="112"/>
      <c r="L162" s="108" t="str">
        <f t="shared" si="2"/>
        <v xml:space="preserve">Incloure el concepte de salut i natura en els missatges educatius i comunicatius de l'ENP </v>
      </c>
      <c r="M162" s="109"/>
      <c r="N162" s="76"/>
      <c r="O162" s="76"/>
      <c r="P162" s="110"/>
      <c r="Q162" s="166" t="s">
        <v>1193</v>
      </c>
      <c r="R162" s="166"/>
      <c r="S162" s="166"/>
      <c r="T162" s="166"/>
      <c r="U162" s="113"/>
      <c r="V162" s="113"/>
      <c r="W162" s="113"/>
      <c r="X162" s="113"/>
      <c r="Y162" s="113"/>
      <c r="Z162" s="113"/>
      <c r="AA162" s="113"/>
      <c r="AB162" s="113"/>
      <c r="AC162" s="113"/>
      <c r="AD162" s="113"/>
      <c r="AE162" s="113"/>
      <c r="AF162" s="113"/>
      <c r="AG162" s="113"/>
      <c r="AH162" s="113"/>
    </row>
    <row r="163" spans="1:34" ht="30.75" customHeight="1">
      <c r="A163" s="30"/>
      <c r="B163" s="472"/>
      <c r="C163" s="474"/>
      <c r="D163" s="460"/>
      <c r="E163" s="441"/>
      <c r="F163" s="127" t="s">
        <v>1197</v>
      </c>
      <c r="G163" s="118" t="s">
        <v>1384</v>
      </c>
      <c r="H163" s="107" t="s">
        <v>297</v>
      </c>
      <c r="I163" s="107" t="s">
        <v>424</v>
      </c>
      <c r="J163" s="123" t="s">
        <v>1019</v>
      </c>
      <c r="K163" s="112"/>
      <c r="L163" s="108" t="str">
        <f t="shared" si="2"/>
        <v>Participar a les Taules territorials de Salut i Natura</v>
      </c>
      <c r="M163" s="109"/>
      <c r="N163" s="76"/>
      <c r="O163" s="76"/>
      <c r="P163" s="110"/>
      <c r="Q163" s="166"/>
      <c r="R163" s="166"/>
      <c r="S163" s="166"/>
      <c r="T163" s="166"/>
      <c r="U163" s="113"/>
      <c r="V163" s="113"/>
      <c r="W163" s="113"/>
      <c r="X163" s="113"/>
      <c r="Y163" s="113"/>
      <c r="Z163" s="113"/>
      <c r="AA163" s="113"/>
      <c r="AB163" s="113"/>
      <c r="AC163" s="113"/>
      <c r="AD163" s="113"/>
      <c r="AE163" s="113"/>
      <c r="AF163" s="113"/>
      <c r="AG163" s="113"/>
      <c r="AH163" s="113"/>
    </row>
    <row r="164" spans="1:34" ht="217.5">
      <c r="A164" s="31"/>
      <c r="B164" s="437">
        <v>14</v>
      </c>
      <c r="C164" s="438" t="s">
        <v>1202</v>
      </c>
      <c r="D164" s="439" t="s">
        <v>1203</v>
      </c>
      <c r="E164" s="440" t="s">
        <v>1204</v>
      </c>
      <c r="F164" s="105" t="s">
        <v>1205</v>
      </c>
      <c r="G164" s="106" t="s">
        <v>1206</v>
      </c>
      <c r="H164" s="107" t="s">
        <v>297</v>
      </c>
      <c r="I164" s="107" t="s">
        <v>320</v>
      </c>
      <c r="J164" s="111" t="s">
        <v>1210</v>
      </c>
      <c r="K164" s="112" t="s">
        <v>1211</v>
      </c>
      <c r="L164" s="108" t="str">
        <f t="shared" si="2"/>
        <v>Informar periòdicament sobre les tasques, projectes i actuacions que duu a terme l'ENP a la població</v>
      </c>
      <c r="M164" s="109"/>
      <c r="N164" s="119"/>
      <c r="O164" s="119"/>
      <c r="P164" s="110"/>
      <c r="Q164" s="167" t="s">
        <v>1209</v>
      </c>
      <c r="R164" s="167"/>
      <c r="S164" s="167"/>
      <c r="T164" s="167"/>
      <c r="U164" s="113"/>
      <c r="V164" s="113"/>
      <c r="W164" s="113"/>
      <c r="X164" s="113"/>
      <c r="Y164" s="113"/>
      <c r="Z164" s="113"/>
      <c r="AA164" s="113"/>
      <c r="AB164" s="113"/>
      <c r="AC164" s="113"/>
      <c r="AD164" s="113"/>
      <c r="AE164" s="113"/>
      <c r="AF164" s="113"/>
      <c r="AG164" s="113"/>
      <c r="AH164" s="113"/>
    </row>
    <row r="165" spans="1:34" ht="43.5">
      <c r="A165" s="31"/>
      <c r="B165" s="437"/>
      <c r="C165" s="438"/>
      <c r="D165" s="439"/>
      <c r="E165" s="441"/>
      <c r="F165" s="105" t="s">
        <v>1215</v>
      </c>
      <c r="G165" s="106" t="s">
        <v>1216</v>
      </c>
      <c r="H165" s="107" t="s">
        <v>297</v>
      </c>
      <c r="I165" s="107" t="s">
        <v>320</v>
      </c>
      <c r="J165" s="111"/>
      <c r="K165" s="112"/>
      <c r="L165" s="108" t="str">
        <f t="shared" si="2"/>
        <v>Garantir l'accessibilitat i gestió del coneixement disponible sobre l'ENP</v>
      </c>
      <c r="M165" s="109"/>
      <c r="N165" s="119"/>
      <c r="O165" s="119"/>
      <c r="P165" s="110"/>
      <c r="Q165" s="167" t="s">
        <v>1217</v>
      </c>
      <c r="R165" s="167"/>
      <c r="S165" s="167"/>
      <c r="T165" s="167"/>
      <c r="U165" s="113"/>
      <c r="V165" s="113"/>
      <c r="W165" s="113"/>
      <c r="X165" s="113"/>
      <c r="Y165" s="113"/>
      <c r="Z165" s="113"/>
      <c r="AA165" s="113"/>
      <c r="AB165" s="113"/>
      <c r="AC165" s="113"/>
      <c r="AD165" s="113"/>
      <c r="AE165" s="113"/>
      <c r="AF165" s="113"/>
      <c r="AG165" s="113"/>
      <c r="AH165" s="113"/>
    </row>
    <row r="166" spans="1:34" ht="116">
      <c r="A166" s="31"/>
      <c r="B166" s="437"/>
      <c r="C166" s="438"/>
      <c r="D166" s="16" t="s">
        <v>1221</v>
      </c>
      <c r="E166" s="92" t="s">
        <v>1222</v>
      </c>
      <c r="F166" s="105" t="s">
        <v>1223</v>
      </c>
      <c r="G166" s="106" t="s">
        <v>1224</v>
      </c>
      <c r="H166" s="107" t="s">
        <v>297</v>
      </c>
      <c r="I166" s="107" t="s">
        <v>320</v>
      </c>
      <c r="J166" s="111"/>
      <c r="K166" s="112" t="s">
        <v>1226</v>
      </c>
      <c r="L166" s="108" t="str">
        <f t="shared" si="2"/>
        <v>Sensibilitzar als diferents agents sobre els valors de l'ENP</v>
      </c>
      <c r="M166" s="109"/>
      <c r="N166" s="119"/>
      <c r="O166" s="119"/>
      <c r="P166" s="110"/>
      <c r="Q166" s="167" t="s">
        <v>1225</v>
      </c>
      <c r="R166" s="167"/>
      <c r="S166" s="167"/>
      <c r="T166" s="167"/>
      <c r="U166" s="113"/>
      <c r="V166" s="113"/>
      <c r="W166" s="113"/>
      <c r="X166" s="113"/>
      <c r="Y166" s="113"/>
      <c r="Z166" s="113"/>
      <c r="AA166" s="113"/>
      <c r="AB166" s="113"/>
      <c r="AC166" s="113"/>
      <c r="AD166" s="113"/>
      <c r="AE166" s="113"/>
      <c r="AF166" s="113"/>
      <c r="AG166" s="113"/>
      <c r="AH166" s="113"/>
    </row>
    <row r="167" spans="1:34" ht="203">
      <c r="A167" s="31"/>
      <c r="B167" s="437"/>
      <c r="C167" s="438"/>
      <c r="D167" s="439" t="s">
        <v>1230</v>
      </c>
      <c r="E167" s="442" t="s">
        <v>1231</v>
      </c>
      <c r="F167" s="105" t="s">
        <v>1232</v>
      </c>
      <c r="G167" s="106" t="s">
        <v>1233</v>
      </c>
      <c r="H167" s="107" t="s">
        <v>297</v>
      </c>
      <c r="I167" s="107" t="s">
        <v>320</v>
      </c>
      <c r="J167" s="111" t="s">
        <v>1210</v>
      </c>
      <c r="K167" s="112"/>
      <c r="L167" s="108" t="str">
        <f t="shared" si="2"/>
        <v>Optimitzar els canals de comunicació</v>
      </c>
      <c r="M167" s="109"/>
      <c r="N167" s="119"/>
      <c r="O167" s="119"/>
      <c r="P167" s="110"/>
      <c r="Q167" s="167" t="s">
        <v>1234</v>
      </c>
      <c r="R167" s="167"/>
      <c r="S167" s="167"/>
      <c r="T167" s="167"/>
      <c r="U167" s="113"/>
      <c r="V167" s="113"/>
      <c r="W167" s="113"/>
      <c r="X167" s="113"/>
      <c r="Y167" s="113"/>
      <c r="Z167" s="113"/>
      <c r="AA167" s="113"/>
      <c r="AB167" s="113"/>
      <c r="AC167" s="113"/>
      <c r="AD167" s="113"/>
      <c r="AE167" s="113"/>
      <c r="AF167" s="113"/>
      <c r="AG167" s="113"/>
      <c r="AH167" s="113"/>
    </row>
    <row r="168" spans="1:34" ht="159.5">
      <c r="A168" s="31"/>
      <c r="B168" s="437"/>
      <c r="C168" s="438"/>
      <c r="D168" s="439"/>
      <c r="E168" s="442"/>
      <c r="F168" s="105" t="s">
        <v>1235</v>
      </c>
      <c r="G168" s="106" t="s">
        <v>1236</v>
      </c>
      <c r="H168" s="107" t="s">
        <v>297</v>
      </c>
      <c r="I168" s="107" t="s">
        <v>320</v>
      </c>
      <c r="J168" s="111" t="s">
        <v>1210</v>
      </c>
      <c r="K168" s="112"/>
      <c r="L168" s="108" t="str">
        <f t="shared" si="2"/>
        <v>Garantir l'harmonització de la comunicació com a Parc, Xarxa i Generalitat.</v>
      </c>
      <c r="M168" s="109"/>
      <c r="N168" s="119"/>
      <c r="O168" s="119"/>
      <c r="P168" s="110"/>
      <c r="Q168" s="167" t="s">
        <v>1237</v>
      </c>
      <c r="R168" s="167"/>
      <c r="S168" s="167"/>
      <c r="T168" s="167"/>
      <c r="U168" s="113"/>
      <c r="V168" s="113"/>
      <c r="W168" s="113"/>
      <c r="X168" s="113"/>
      <c r="Y168" s="113"/>
      <c r="Z168" s="113"/>
      <c r="AA168" s="113"/>
      <c r="AB168" s="113"/>
      <c r="AC168" s="113"/>
      <c r="AD168" s="113"/>
      <c r="AE168" s="113"/>
      <c r="AF168" s="113"/>
      <c r="AG168" s="113"/>
      <c r="AH168" s="113"/>
    </row>
    <row r="169" spans="1:34" ht="43.5">
      <c r="A169" s="24" t="s">
        <v>1240</v>
      </c>
      <c r="B169" s="443">
        <v>15</v>
      </c>
      <c r="C169" s="445" t="s">
        <v>1241</v>
      </c>
      <c r="D169" s="433" t="s">
        <v>1242</v>
      </c>
      <c r="E169" s="434" t="s">
        <v>1243</v>
      </c>
      <c r="F169" s="105" t="s">
        <v>1244</v>
      </c>
      <c r="G169" s="106" t="s">
        <v>1245</v>
      </c>
      <c r="H169" s="107" t="s">
        <v>297</v>
      </c>
      <c r="I169" s="107" t="s">
        <v>424</v>
      </c>
      <c r="J169" s="111"/>
      <c r="K169" s="115"/>
      <c r="L169" s="108" t="str">
        <f t="shared" si="2"/>
        <v>Crear una taula de treball amb els agents prioritaris per a la gestió de l'ENP i els grups de treball temàtics necessaris</v>
      </c>
      <c r="M169" s="109"/>
      <c r="N169" s="119"/>
      <c r="O169" s="119"/>
      <c r="P169" s="110"/>
      <c r="Q169" s="167"/>
      <c r="R169" s="167"/>
      <c r="S169" s="167"/>
      <c r="T169" s="167"/>
      <c r="U169" s="113"/>
      <c r="V169" s="113"/>
      <c r="W169" s="113"/>
      <c r="X169" s="113"/>
      <c r="Y169" s="113"/>
      <c r="Z169" s="113"/>
      <c r="AA169" s="113"/>
      <c r="AB169" s="113"/>
      <c r="AC169" s="113"/>
      <c r="AD169" s="113"/>
      <c r="AE169" s="113"/>
      <c r="AF169" s="113"/>
      <c r="AG169" s="113"/>
      <c r="AH169" s="113"/>
    </row>
    <row r="170" spans="1:34" ht="14.5">
      <c r="A170" s="24"/>
      <c r="B170" s="444"/>
      <c r="C170" s="446"/>
      <c r="D170" s="430"/>
      <c r="E170" s="432"/>
      <c r="F170" s="105" t="s">
        <v>1249</v>
      </c>
      <c r="G170" s="106" t="s">
        <v>1250</v>
      </c>
      <c r="H170" s="107" t="s">
        <v>297</v>
      </c>
      <c r="I170" s="107" t="s">
        <v>424</v>
      </c>
      <c r="J170" s="111"/>
      <c r="K170" s="115"/>
      <c r="L170" s="108" t="str">
        <f t="shared" si="2"/>
        <v>Disposar d'assessorament científic en l'ENP</v>
      </c>
      <c r="M170" s="109"/>
      <c r="N170" s="119"/>
      <c r="O170" s="119"/>
      <c r="P170" s="110"/>
      <c r="Q170" s="167"/>
      <c r="R170" s="167"/>
      <c r="S170" s="167"/>
      <c r="T170" s="167"/>
      <c r="U170" s="113"/>
      <c r="V170" s="113"/>
      <c r="W170" s="113"/>
      <c r="X170" s="113"/>
      <c r="Y170" s="113"/>
      <c r="Z170" s="113"/>
      <c r="AA170" s="113"/>
      <c r="AB170" s="113"/>
      <c r="AC170" s="113"/>
      <c r="AD170" s="113"/>
      <c r="AE170" s="113"/>
      <c r="AF170" s="113"/>
      <c r="AG170" s="113"/>
      <c r="AH170" s="113"/>
    </row>
    <row r="171" spans="1:34" ht="43.5">
      <c r="A171" s="24"/>
      <c r="B171" s="444"/>
      <c r="C171" s="446"/>
      <c r="D171" s="430"/>
      <c r="E171" s="432"/>
      <c r="F171" s="105" t="s">
        <v>1253</v>
      </c>
      <c r="G171" s="106" t="s">
        <v>1254</v>
      </c>
      <c r="H171" s="107" t="s">
        <v>297</v>
      </c>
      <c r="I171" s="107" t="s">
        <v>424</v>
      </c>
      <c r="J171" s="111"/>
      <c r="K171" s="115"/>
      <c r="L171" s="108" t="str">
        <f t="shared" si="2"/>
        <v>Incloure entitats i organismes científics i culturals de referència en els mecanismes de presa de decisions de l'ENP</v>
      </c>
      <c r="M171" s="109"/>
      <c r="N171" s="119"/>
      <c r="O171" s="119"/>
      <c r="P171" s="110"/>
      <c r="Q171" s="167" t="s">
        <v>1255</v>
      </c>
      <c r="R171" s="167"/>
      <c r="S171" s="167"/>
      <c r="T171" s="167"/>
      <c r="U171" s="113"/>
      <c r="V171" s="113"/>
      <c r="W171" s="113"/>
      <c r="X171" s="113"/>
      <c r="Y171" s="113"/>
      <c r="Z171" s="113"/>
      <c r="AA171" s="113"/>
      <c r="AB171" s="113"/>
      <c r="AC171" s="113"/>
      <c r="AD171" s="113"/>
      <c r="AE171" s="113"/>
      <c r="AF171" s="113"/>
      <c r="AG171" s="113"/>
      <c r="AH171" s="113"/>
    </row>
    <row r="172" spans="1:34" ht="43.5">
      <c r="A172" s="24"/>
      <c r="B172" s="444"/>
      <c r="C172" s="446"/>
      <c r="D172" s="447"/>
      <c r="E172" s="448"/>
      <c r="F172" s="105" t="s">
        <v>1259</v>
      </c>
      <c r="G172" s="106" t="s">
        <v>1260</v>
      </c>
      <c r="H172" s="107" t="s">
        <v>297</v>
      </c>
      <c r="I172" s="107" t="s">
        <v>320</v>
      </c>
      <c r="J172" s="111"/>
      <c r="K172" s="106" t="s">
        <v>1262</v>
      </c>
      <c r="L172" s="108" t="str">
        <f t="shared" si="2"/>
        <v>Adaptar i desplegar el model de governança dels espais naturals protegits</v>
      </c>
      <c r="M172" s="109"/>
      <c r="N172" s="119"/>
      <c r="O172" s="119"/>
      <c r="P172" s="110"/>
      <c r="Q172" s="167" t="s">
        <v>1261</v>
      </c>
      <c r="R172" s="167"/>
      <c r="S172" s="167"/>
      <c r="T172" s="167"/>
      <c r="U172" s="113"/>
      <c r="V172" s="113"/>
      <c r="W172" s="113"/>
      <c r="X172" s="113"/>
      <c r="Y172" s="113"/>
      <c r="Z172" s="113"/>
      <c r="AA172" s="113"/>
      <c r="AB172" s="113"/>
      <c r="AC172" s="113"/>
      <c r="AD172" s="113"/>
      <c r="AE172" s="113"/>
      <c r="AF172" s="113"/>
      <c r="AG172" s="113"/>
      <c r="AH172" s="113"/>
    </row>
    <row r="173" spans="1:34" ht="116">
      <c r="A173" s="24"/>
      <c r="B173" s="73">
        <v>16</v>
      </c>
      <c r="C173" s="70" t="s">
        <v>1263</v>
      </c>
      <c r="D173" s="22" t="s">
        <v>1264</v>
      </c>
      <c r="E173" s="93" t="s">
        <v>1265</v>
      </c>
      <c r="F173" s="105" t="s">
        <v>1266</v>
      </c>
      <c r="G173" s="106" t="s">
        <v>1385</v>
      </c>
      <c r="H173" s="107" t="s">
        <v>297</v>
      </c>
      <c r="I173" s="107" t="s">
        <v>320</v>
      </c>
      <c r="J173" s="111"/>
      <c r="K173" s="115" t="s">
        <v>1271</v>
      </c>
      <c r="L173" s="108" t="str">
        <f t="shared" si="2"/>
        <v>Millorar el sistema de control de l'execució del pressupost, d'acord amb les indicacions de Serveis Centrals</v>
      </c>
      <c r="M173" s="109"/>
      <c r="N173" s="119"/>
      <c r="O173" s="119"/>
      <c r="P173" s="110"/>
      <c r="Q173" s="167" t="s">
        <v>1270</v>
      </c>
      <c r="R173" s="167"/>
      <c r="S173" s="167"/>
      <c r="T173" s="167"/>
      <c r="U173" s="113"/>
      <c r="V173" s="113"/>
      <c r="W173" s="113"/>
      <c r="X173" s="113"/>
      <c r="Y173" s="113"/>
      <c r="Z173" s="113"/>
      <c r="AA173" s="113"/>
      <c r="AB173" s="113"/>
      <c r="AC173" s="113"/>
      <c r="AD173" s="113"/>
      <c r="AE173" s="113"/>
      <c r="AF173" s="113"/>
      <c r="AG173" s="113"/>
      <c r="AH173" s="113"/>
    </row>
    <row r="174" spans="1:34" ht="116">
      <c r="A174" s="72"/>
      <c r="B174" s="74"/>
      <c r="C174" s="71"/>
      <c r="D174" s="429" t="s">
        <v>1275</v>
      </c>
      <c r="E174" s="431" t="s">
        <v>1276</v>
      </c>
      <c r="F174" s="105" t="s">
        <v>1277</v>
      </c>
      <c r="G174" s="106" t="s">
        <v>1386</v>
      </c>
      <c r="H174" s="107" t="s">
        <v>297</v>
      </c>
      <c r="I174" s="107" t="s">
        <v>320</v>
      </c>
      <c r="J174" s="111"/>
      <c r="K174" s="112" t="s">
        <v>1280</v>
      </c>
      <c r="L174" s="108" t="str">
        <f t="shared" si="2"/>
        <v>Planificar i detectar les necessitats de contractació del l'ENP per a l'optimització dels contractes a nivell de Xarxa</v>
      </c>
      <c r="M174" s="109"/>
      <c r="N174" s="119"/>
      <c r="O174" s="119"/>
      <c r="P174" s="110"/>
      <c r="Q174" s="167" t="s">
        <v>1279</v>
      </c>
      <c r="R174" s="167"/>
      <c r="S174" s="167"/>
      <c r="T174" s="167"/>
      <c r="U174" s="113"/>
      <c r="V174" s="113"/>
      <c r="W174" s="113"/>
      <c r="X174" s="113"/>
      <c r="Y174" s="113"/>
      <c r="Z174" s="113"/>
      <c r="AA174" s="113"/>
      <c r="AB174" s="113"/>
      <c r="AC174" s="113"/>
      <c r="AD174" s="113"/>
      <c r="AE174" s="113"/>
      <c r="AF174" s="113"/>
      <c r="AG174" s="113"/>
      <c r="AH174" s="113"/>
    </row>
    <row r="175" spans="1:34" ht="87">
      <c r="A175" s="72"/>
      <c r="B175" s="74"/>
      <c r="C175" s="71"/>
      <c r="D175" s="430"/>
      <c r="E175" s="432"/>
      <c r="F175" s="105" t="s">
        <v>1284</v>
      </c>
      <c r="G175" s="128" t="s">
        <v>1387</v>
      </c>
      <c r="H175" s="107" t="s">
        <v>297</v>
      </c>
      <c r="I175" s="107" t="s">
        <v>320</v>
      </c>
      <c r="J175" s="111"/>
      <c r="K175" s="112"/>
      <c r="L175" s="108" t="str">
        <f t="shared" si="2"/>
        <v>Planificar i detectar les tasques de convocatòries d'ajuts de l'ENP</v>
      </c>
      <c r="M175" s="109"/>
      <c r="N175" s="108"/>
      <c r="O175" s="108"/>
      <c r="P175" s="110"/>
      <c r="Q175" s="169" t="s">
        <v>1286</v>
      </c>
      <c r="R175" s="169"/>
      <c r="S175" s="169"/>
      <c r="T175" s="169"/>
      <c r="U175" s="113"/>
      <c r="V175" s="113"/>
      <c r="W175" s="113"/>
      <c r="X175" s="113"/>
      <c r="Y175" s="113"/>
      <c r="Z175" s="113"/>
      <c r="AA175" s="113"/>
      <c r="AB175" s="113"/>
      <c r="AC175" s="113"/>
      <c r="AD175" s="113"/>
      <c r="AE175" s="113"/>
      <c r="AF175" s="113"/>
      <c r="AG175" s="113"/>
      <c r="AH175" s="113"/>
    </row>
    <row r="176" spans="1:34" ht="87">
      <c r="A176" s="72"/>
      <c r="B176" s="74"/>
      <c r="C176" s="71"/>
      <c r="D176" s="430"/>
      <c r="E176" s="432"/>
      <c r="F176" s="105" t="s">
        <v>1291</v>
      </c>
      <c r="G176" s="128" t="s">
        <v>1292</v>
      </c>
      <c r="H176" s="107" t="s">
        <v>297</v>
      </c>
      <c r="I176" s="107" t="s">
        <v>320</v>
      </c>
      <c r="J176" s="111"/>
      <c r="K176" s="115" t="s">
        <v>1294</v>
      </c>
      <c r="L176" s="108" t="str">
        <f t="shared" si="2"/>
        <v>Establir i renovar en temps i forma convenis de col·laboració, convenis marc, acords, protocols i altres instruments de col·laboració.</v>
      </c>
      <c r="M176" s="109"/>
      <c r="N176" s="108"/>
      <c r="O176" s="108"/>
      <c r="P176" s="110"/>
      <c r="Q176" s="169" t="s">
        <v>1293</v>
      </c>
      <c r="R176" s="169"/>
      <c r="S176" s="169"/>
      <c r="T176" s="169"/>
      <c r="U176" s="113"/>
      <c r="V176" s="113"/>
      <c r="W176" s="113"/>
      <c r="X176" s="113"/>
      <c r="Y176" s="113"/>
      <c r="Z176" s="113"/>
      <c r="AA176" s="113"/>
      <c r="AB176" s="113"/>
      <c r="AC176" s="113"/>
      <c r="AD176" s="113"/>
      <c r="AE176" s="113"/>
      <c r="AF176" s="113"/>
      <c r="AG176" s="113"/>
      <c r="AH176" s="113"/>
    </row>
    <row r="177" spans="1:34" ht="116">
      <c r="A177" s="72"/>
      <c r="B177" s="74"/>
      <c r="C177" s="71"/>
      <c r="D177" s="68" t="s">
        <v>1296</v>
      </c>
      <c r="E177" s="94" t="s">
        <v>1297</v>
      </c>
      <c r="F177" s="105" t="s">
        <v>1298</v>
      </c>
      <c r="G177" s="128" t="s">
        <v>1299</v>
      </c>
      <c r="H177" s="107" t="s">
        <v>297</v>
      </c>
      <c r="I177" s="107" t="s">
        <v>320</v>
      </c>
      <c r="J177" s="111"/>
      <c r="K177" s="112"/>
      <c r="L177" s="108" t="str">
        <f t="shared" si="2"/>
        <v>Optimitzar l'elaboració d'informes</v>
      </c>
      <c r="M177" s="109"/>
      <c r="N177" s="108"/>
      <c r="O177" s="108"/>
      <c r="P177" s="110"/>
      <c r="Q177" s="169" t="s">
        <v>1301</v>
      </c>
      <c r="R177" s="169"/>
      <c r="S177" s="169"/>
      <c r="T177" s="169"/>
      <c r="U177" s="113"/>
      <c r="V177" s="113"/>
      <c r="W177" s="113"/>
      <c r="X177" s="113"/>
      <c r="Y177" s="113"/>
      <c r="Z177" s="113"/>
      <c r="AA177" s="113"/>
      <c r="AB177" s="113"/>
      <c r="AC177" s="113"/>
      <c r="AD177" s="113"/>
      <c r="AE177" s="113"/>
      <c r="AF177" s="113"/>
      <c r="AG177" s="113"/>
      <c r="AH177" s="113"/>
    </row>
    <row r="178" spans="1:34" ht="43.5">
      <c r="A178" s="72"/>
      <c r="B178" s="74"/>
      <c r="C178" s="71"/>
      <c r="D178" s="69"/>
      <c r="E178" s="95"/>
      <c r="F178" s="105" t="s">
        <v>1302</v>
      </c>
      <c r="G178" s="106" t="s">
        <v>1303</v>
      </c>
      <c r="H178" s="107" t="s">
        <v>297</v>
      </c>
      <c r="I178" s="107" t="s">
        <v>320</v>
      </c>
      <c r="J178" s="111"/>
      <c r="K178" s="115" t="s">
        <v>1305</v>
      </c>
      <c r="L178" s="108" t="str">
        <f t="shared" si="2"/>
        <v>Adequar i actualitzar els procediments i tramitacions realitzats des de l'ENP als nous processos i eines conjuntes proposades des de Serveis Centrals</v>
      </c>
      <c r="M178" s="109"/>
      <c r="N178" s="119"/>
      <c r="O178" s="119"/>
      <c r="P178" s="110"/>
      <c r="Q178" s="167" t="s">
        <v>1304</v>
      </c>
      <c r="R178" s="167"/>
      <c r="S178" s="167"/>
      <c r="T178" s="167"/>
      <c r="U178" s="113"/>
      <c r="V178" s="113"/>
      <c r="W178" s="113"/>
      <c r="X178" s="113"/>
      <c r="Y178" s="113"/>
      <c r="Z178" s="113"/>
      <c r="AA178" s="113"/>
      <c r="AB178" s="113"/>
      <c r="AC178" s="113"/>
      <c r="AD178" s="113"/>
      <c r="AE178" s="113"/>
      <c r="AF178" s="113"/>
      <c r="AG178" s="113"/>
      <c r="AH178" s="113"/>
    </row>
    <row r="179" spans="1:34" ht="145">
      <c r="A179" s="72"/>
      <c r="B179" s="74"/>
      <c r="C179" s="71"/>
      <c r="D179" s="69"/>
      <c r="E179" s="95"/>
      <c r="F179" s="105" t="s">
        <v>1306</v>
      </c>
      <c r="G179" s="128" t="s">
        <v>1307</v>
      </c>
      <c r="H179" s="107" t="s">
        <v>297</v>
      </c>
      <c r="I179" s="107" t="s">
        <v>320</v>
      </c>
      <c r="J179" s="111"/>
      <c r="K179" s="112"/>
      <c r="L179" s="108" t="str">
        <f t="shared" si="2"/>
        <v>Augmentar el coneixement de l'equip de treball en matèria de procediment administratiu</v>
      </c>
      <c r="M179" s="109"/>
      <c r="N179" s="119"/>
      <c r="O179" s="119"/>
      <c r="P179" s="110"/>
      <c r="Q179" s="167" t="s">
        <v>1308</v>
      </c>
      <c r="R179" s="167"/>
      <c r="S179" s="167"/>
      <c r="T179" s="167"/>
      <c r="U179" s="113"/>
      <c r="V179" s="113"/>
      <c r="W179" s="113"/>
      <c r="X179" s="113"/>
      <c r="Y179" s="113"/>
      <c r="Z179" s="113"/>
      <c r="AA179" s="113"/>
      <c r="AB179" s="113"/>
      <c r="AC179" s="113"/>
      <c r="AD179" s="113"/>
      <c r="AE179" s="113"/>
      <c r="AF179" s="113"/>
      <c r="AG179" s="113"/>
      <c r="AH179" s="113"/>
    </row>
    <row r="180" spans="1:34" ht="29">
      <c r="A180" s="72"/>
      <c r="B180" s="74"/>
      <c r="C180" s="71"/>
      <c r="D180" s="69"/>
      <c r="E180" s="95"/>
      <c r="F180" s="105" t="s">
        <v>1311</v>
      </c>
      <c r="G180" s="106" t="s">
        <v>1312</v>
      </c>
      <c r="H180" s="107" t="s">
        <v>347</v>
      </c>
      <c r="I180" s="107" t="s">
        <v>320</v>
      </c>
      <c r="J180" s="111"/>
      <c r="K180" s="112"/>
      <c r="L180" s="108" t="str">
        <f t="shared" si="2"/>
        <v>Garantir la transparència administrativa</v>
      </c>
      <c r="M180" s="109"/>
      <c r="N180" s="119"/>
      <c r="O180" s="119"/>
      <c r="P180" s="110"/>
      <c r="Q180" s="167" t="s">
        <v>1313</v>
      </c>
      <c r="R180" s="167"/>
      <c r="S180" s="167"/>
      <c r="T180" s="167"/>
      <c r="U180" s="113"/>
      <c r="V180" s="113"/>
      <c r="W180" s="113"/>
      <c r="X180" s="113"/>
      <c r="Y180" s="113"/>
      <c r="Z180" s="113"/>
      <c r="AA180" s="113"/>
      <c r="AB180" s="113"/>
      <c r="AC180" s="113"/>
      <c r="AD180" s="113"/>
      <c r="AE180" s="113"/>
      <c r="AF180" s="113"/>
      <c r="AG180" s="113"/>
      <c r="AH180" s="113"/>
    </row>
    <row r="181" spans="1:34" ht="43.5">
      <c r="A181" s="72"/>
      <c r="B181" s="74"/>
      <c r="C181" s="71"/>
      <c r="D181" s="42"/>
      <c r="E181" s="96"/>
      <c r="F181" s="105" t="s">
        <v>1316</v>
      </c>
      <c r="G181" s="106" t="s">
        <v>1388</v>
      </c>
      <c r="H181" s="107" t="s">
        <v>297</v>
      </c>
      <c r="I181" s="107" t="s">
        <v>424</v>
      </c>
      <c r="J181" s="111"/>
      <c r="K181" s="106"/>
      <c r="L181" s="108" t="str">
        <f t="shared" si="2"/>
        <v>Millorar i mantenir el material i infraestructures de gestió</v>
      </c>
      <c r="M181" s="109"/>
      <c r="N181" s="119"/>
      <c r="O181" s="119"/>
      <c r="P181" s="110"/>
      <c r="Q181" s="167" t="s">
        <v>1318</v>
      </c>
      <c r="R181" s="167"/>
      <c r="S181" s="167"/>
      <c r="T181" s="167"/>
      <c r="U181" s="113"/>
      <c r="V181" s="113"/>
      <c r="W181" s="113"/>
      <c r="X181" s="113"/>
      <c r="Y181" s="113"/>
      <c r="Z181" s="113"/>
      <c r="AA181" s="113"/>
      <c r="AB181" s="113"/>
      <c r="AC181" s="113"/>
      <c r="AD181" s="113"/>
      <c r="AE181" s="113"/>
      <c r="AF181" s="113"/>
      <c r="AG181" s="113"/>
      <c r="AH181" s="113"/>
    </row>
    <row r="182" spans="1:34" s="1" customFormat="1" ht="87">
      <c r="A182" s="72"/>
      <c r="B182" s="74"/>
      <c r="C182" s="71"/>
      <c r="D182" s="433" t="s">
        <v>1319</v>
      </c>
      <c r="E182" s="434" t="s">
        <v>1320</v>
      </c>
      <c r="F182" s="105" t="s">
        <v>1321</v>
      </c>
      <c r="G182" s="106" t="s">
        <v>1322</v>
      </c>
      <c r="H182" s="107" t="s">
        <v>297</v>
      </c>
      <c r="I182" s="107" t="s">
        <v>320</v>
      </c>
      <c r="J182" s="111"/>
      <c r="K182" s="115" t="s">
        <v>1324</v>
      </c>
      <c r="L182" s="108" t="str">
        <f t="shared" si="2"/>
        <v>Revisar l’estat dels béns patrimonials i la situació administrativa-legal dels equipaments del parc</v>
      </c>
      <c r="M182" s="109"/>
      <c r="N182" s="119"/>
      <c r="O182" s="119"/>
      <c r="P182" s="110"/>
      <c r="Q182" s="167" t="s">
        <v>1323</v>
      </c>
      <c r="R182" s="167"/>
      <c r="S182" s="167"/>
      <c r="T182" s="167"/>
      <c r="U182" s="129"/>
      <c r="V182" s="129"/>
      <c r="W182" s="129"/>
      <c r="X182" s="129"/>
      <c r="Y182" s="129"/>
      <c r="Z182" s="129"/>
      <c r="AA182" s="129"/>
      <c r="AB182" s="129"/>
      <c r="AC182" s="129"/>
      <c r="AD182" s="129"/>
      <c r="AE182" s="129"/>
      <c r="AF182" s="129"/>
      <c r="AG182" s="129"/>
      <c r="AH182" s="129"/>
    </row>
    <row r="183" spans="1:34" ht="87">
      <c r="A183" s="72"/>
      <c r="B183" s="74"/>
      <c r="C183" s="71"/>
      <c r="D183" s="430"/>
      <c r="E183" s="432"/>
      <c r="F183" s="105" t="s">
        <v>1327</v>
      </c>
      <c r="G183" s="106" t="s">
        <v>1328</v>
      </c>
      <c r="H183" s="107" t="s">
        <v>297</v>
      </c>
      <c r="I183" s="107" t="s">
        <v>320</v>
      </c>
      <c r="J183" s="111"/>
      <c r="K183" s="115" t="s">
        <v>1330</v>
      </c>
      <c r="L183" s="108" t="str">
        <f t="shared" si="2"/>
        <v>Tenir cobertes les pèrdues o danys materials del patrimoni de la Direcció General que hi ha a l'àmbit territorial del Parc, com a conseqüència de la materialització de qualsevol dels riscs emparats en el plec de prescripcions tècniques de la pòlissa.</v>
      </c>
      <c r="M183" s="109"/>
      <c r="N183" s="119"/>
      <c r="O183" s="119"/>
      <c r="P183" s="110"/>
      <c r="Q183" s="167" t="s">
        <v>1329</v>
      </c>
      <c r="R183" s="167"/>
      <c r="S183" s="167"/>
      <c r="T183" s="167"/>
      <c r="U183" s="113"/>
      <c r="V183" s="113"/>
      <c r="W183" s="113"/>
      <c r="X183" s="113"/>
      <c r="Y183" s="113"/>
      <c r="Z183" s="113"/>
      <c r="AA183" s="113"/>
      <c r="AB183" s="113"/>
      <c r="AC183" s="113"/>
      <c r="AD183" s="113"/>
      <c r="AE183" s="113"/>
      <c r="AF183" s="113"/>
      <c r="AG183" s="113"/>
      <c r="AH183" s="113"/>
    </row>
    <row r="184" spans="1:34" ht="72.5">
      <c r="A184" s="72"/>
      <c r="B184" s="74"/>
      <c r="C184" s="71"/>
      <c r="D184" s="23" t="s">
        <v>1331</v>
      </c>
      <c r="E184" s="97" t="s">
        <v>1332</v>
      </c>
      <c r="F184" s="105" t="s">
        <v>1333</v>
      </c>
      <c r="G184" s="106" t="s">
        <v>1389</v>
      </c>
      <c r="H184" s="107" t="s">
        <v>297</v>
      </c>
      <c r="I184" s="107" t="s">
        <v>320</v>
      </c>
      <c r="J184" s="111"/>
      <c r="K184" s="112" t="s">
        <v>1336</v>
      </c>
      <c r="L184" s="108" t="str">
        <f t="shared" si="2"/>
        <v>Millorar l'accessibilitat i la gestió documental del centre o punt de documentació de l'ENP</v>
      </c>
      <c r="M184" s="109"/>
      <c r="N184" s="76"/>
      <c r="O184" s="76"/>
      <c r="P184" s="110"/>
      <c r="Q184" s="166" t="s">
        <v>1335</v>
      </c>
      <c r="R184" s="166"/>
      <c r="S184" s="166"/>
      <c r="T184" s="166"/>
      <c r="U184" s="113"/>
      <c r="V184" s="113"/>
      <c r="W184" s="113"/>
      <c r="X184" s="113"/>
      <c r="Y184" s="113"/>
      <c r="Z184" s="113"/>
      <c r="AA184" s="113"/>
      <c r="AB184" s="113"/>
      <c r="AC184" s="113"/>
      <c r="AD184" s="113"/>
      <c r="AE184" s="113"/>
      <c r="AF184" s="113"/>
      <c r="AG184" s="113"/>
      <c r="AH184" s="113"/>
    </row>
    <row r="185" spans="1:34" ht="14.5">
      <c r="A185" s="72"/>
      <c r="B185" s="74"/>
      <c r="C185" s="71"/>
      <c r="D185" s="429" t="s">
        <v>1337</v>
      </c>
      <c r="E185" s="431" t="s">
        <v>1338</v>
      </c>
      <c r="F185" s="105" t="s">
        <v>1339</v>
      </c>
      <c r="G185" s="106" t="s">
        <v>1340</v>
      </c>
      <c r="H185" s="107" t="s">
        <v>347</v>
      </c>
      <c r="I185" s="107" t="s">
        <v>320</v>
      </c>
      <c r="J185" s="111"/>
      <c r="K185" s="112"/>
      <c r="L185" s="108" t="str">
        <f t="shared" si="2"/>
        <v>Gestió de la brigada de manteniment</v>
      </c>
      <c r="M185" s="109"/>
      <c r="N185" s="76"/>
      <c r="O185" s="76"/>
      <c r="P185" s="110"/>
      <c r="Q185" s="166"/>
      <c r="R185" s="166"/>
      <c r="S185" s="166"/>
      <c r="T185" s="166"/>
      <c r="U185" s="113"/>
      <c r="V185" s="113"/>
      <c r="W185" s="113"/>
      <c r="X185" s="113"/>
      <c r="Y185" s="113"/>
      <c r="Z185" s="113"/>
      <c r="AA185" s="113"/>
      <c r="AB185" s="113"/>
      <c r="AC185" s="113"/>
      <c r="AD185" s="113"/>
      <c r="AE185" s="113"/>
      <c r="AF185" s="113"/>
      <c r="AG185" s="113"/>
      <c r="AH185" s="113"/>
    </row>
    <row r="186" spans="1:34" ht="14.5">
      <c r="A186" s="72"/>
      <c r="B186" s="74"/>
      <c r="C186" s="71"/>
      <c r="D186" s="548"/>
      <c r="E186" s="549"/>
      <c r="F186" s="105" t="s">
        <v>1342</v>
      </c>
      <c r="G186" s="106" t="s">
        <v>1390</v>
      </c>
      <c r="H186" s="107" t="s">
        <v>347</v>
      </c>
      <c r="I186" s="107" t="s">
        <v>320</v>
      </c>
      <c r="J186" s="111"/>
      <c r="K186" s="112"/>
      <c r="L186" s="108" t="str">
        <f t="shared" si="2"/>
        <v>Gestió de personal</v>
      </c>
      <c r="M186" s="109"/>
      <c r="N186" s="76"/>
      <c r="O186" s="76"/>
      <c r="P186" s="110"/>
      <c r="Q186" s="166"/>
      <c r="R186" s="166"/>
      <c r="S186" s="166"/>
      <c r="T186" s="166"/>
      <c r="U186" s="113"/>
      <c r="V186" s="113"/>
      <c r="W186" s="113"/>
      <c r="X186" s="113"/>
      <c r="Y186" s="113"/>
      <c r="Z186" s="113"/>
      <c r="AA186" s="113"/>
      <c r="AB186" s="113"/>
      <c r="AC186" s="113"/>
      <c r="AD186" s="113"/>
      <c r="AE186" s="113"/>
      <c r="AF186" s="113"/>
      <c r="AG186" s="113"/>
      <c r="AH186" s="113"/>
    </row>
    <row r="187" spans="1:34" ht="14.5">
      <c r="F187" s="7"/>
    </row>
  </sheetData>
  <autoFilter ref="A4:T186"/>
  <dataConsolidate link="1"/>
  <mergeCells count="116">
    <mergeCell ref="D182:D183"/>
    <mergeCell ref="E182:E183"/>
    <mergeCell ref="E116:E120"/>
    <mergeCell ref="D116:D120"/>
    <mergeCell ref="E114:E115"/>
    <mergeCell ref="D114:D115"/>
    <mergeCell ref="D41:D44"/>
    <mergeCell ref="D45:D48"/>
    <mergeCell ref="D49:D51"/>
    <mergeCell ref="E121:E122"/>
    <mergeCell ref="D121:D122"/>
    <mergeCell ref="D123:D124"/>
    <mergeCell ref="D125:D126"/>
    <mergeCell ref="D127:D130"/>
    <mergeCell ref="D131:D133"/>
    <mergeCell ref="E131:E133"/>
    <mergeCell ref="E127:E130"/>
    <mergeCell ref="E125:E126"/>
    <mergeCell ref="E123:E124"/>
    <mergeCell ref="E102:E113"/>
    <mergeCell ref="D102:D113"/>
    <mergeCell ref="E139:E142"/>
    <mergeCell ref="D143:D145"/>
    <mergeCell ref="E143:E145"/>
    <mergeCell ref="B52:B57"/>
    <mergeCell ref="C52:C57"/>
    <mergeCell ref="D56:D57"/>
    <mergeCell ref="E56:E57"/>
    <mergeCell ref="E97:E98"/>
    <mergeCell ref="D97:D98"/>
    <mergeCell ref="D174:D176"/>
    <mergeCell ref="E174:E176"/>
    <mergeCell ref="B169:B172"/>
    <mergeCell ref="B164:B168"/>
    <mergeCell ref="B136:B163"/>
    <mergeCell ref="D167:D168"/>
    <mergeCell ref="D164:D165"/>
    <mergeCell ref="D169:D172"/>
    <mergeCell ref="C169:C172"/>
    <mergeCell ref="E53:E55"/>
    <mergeCell ref="C102:C104"/>
    <mergeCell ref="E169:E172"/>
    <mergeCell ref="D146:D149"/>
    <mergeCell ref="D150:D154"/>
    <mergeCell ref="E150:E154"/>
    <mergeCell ref="E155:E156"/>
    <mergeCell ref="D155:D156"/>
    <mergeCell ref="C164:C168"/>
    <mergeCell ref="C28:C37"/>
    <mergeCell ref="E49:E51"/>
    <mergeCell ref="E45:E48"/>
    <mergeCell ref="E28:E30"/>
    <mergeCell ref="D28:D30"/>
    <mergeCell ref="C84:C96"/>
    <mergeCell ref="D53:D55"/>
    <mergeCell ref="D58:D59"/>
    <mergeCell ref="E58:E59"/>
    <mergeCell ref="E146:E149"/>
    <mergeCell ref="E167:E168"/>
    <mergeCell ref="E164:E165"/>
    <mergeCell ref="E7:E10"/>
    <mergeCell ref="D7:D10"/>
    <mergeCell ref="D157:D159"/>
    <mergeCell ref="E157:E159"/>
    <mergeCell ref="E160:E163"/>
    <mergeCell ref="D160:D163"/>
    <mergeCell ref="D36:D37"/>
    <mergeCell ref="D99:D100"/>
    <mergeCell ref="E99:E100"/>
    <mergeCell ref="E67:E70"/>
    <mergeCell ref="E71:E76"/>
    <mergeCell ref="E77:E82"/>
    <mergeCell ref="E60:E66"/>
    <mergeCell ref="D134:D135"/>
    <mergeCell ref="E134:E135"/>
    <mergeCell ref="D38:D40"/>
    <mergeCell ref="E38:E40"/>
    <mergeCell ref="D139:D142"/>
    <mergeCell ref="E136:E138"/>
    <mergeCell ref="D136:D138"/>
    <mergeCell ref="A87:A96"/>
    <mergeCell ref="E84:E86"/>
    <mergeCell ref="D60:D66"/>
    <mergeCell ref="D67:D70"/>
    <mergeCell ref="D71:D76"/>
    <mergeCell ref="D77:D82"/>
    <mergeCell ref="B84:B96"/>
    <mergeCell ref="D84:D86"/>
    <mergeCell ref="E88:E93"/>
    <mergeCell ref="D88:D93"/>
    <mergeCell ref="D94:D96"/>
    <mergeCell ref="E94:E96"/>
    <mergeCell ref="X3:AB3"/>
    <mergeCell ref="AC3:AE3"/>
    <mergeCell ref="AF3:AH3"/>
    <mergeCell ref="V3:W3"/>
    <mergeCell ref="D185:D186"/>
    <mergeCell ref="E185:E186"/>
    <mergeCell ref="B28:B37"/>
    <mergeCell ref="B21:B27"/>
    <mergeCell ref="D5:D6"/>
    <mergeCell ref="D11:D16"/>
    <mergeCell ref="D18:D20"/>
    <mergeCell ref="D25:D27"/>
    <mergeCell ref="E5:E6"/>
    <mergeCell ref="E11:E16"/>
    <mergeCell ref="E18:E20"/>
    <mergeCell ref="C21:C27"/>
    <mergeCell ref="E25:E27"/>
    <mergeCell ref="D32:D35"/>
    <mergeCell ref="E32:E35"/>
    <mergeCell ref="E36:E37"/>
    <mergeCell ref="E41:E44"/>
    <mergeCell ref="E21:E24"/>
    <mergeCell ref="D21:D24"/>
    <mergeCell ref="C136:C163"/>
  </mergeCells>
  <phoneticPr fontId="3" type="noConversion"/>
  <conditionalFormatting sqref="H156:I156 M156">
    <cfRule type="duplicateValues" dxfId="0" priority="1"/>
  </conditionalFormatting>
  <dataValidations count="1">
    <dataValidation type="list" allowBlank="1" showInputMessage="1" showErrorMessage="1" sqref="N5:N186">
      <formula1>"Sí, No, Impuls"</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Full1!$A$2:$A$3</xm:f>
          </x14:formula1>
          <xm:sqref>H5:H186</xm:sqref>
        </x14:dataValidation>
        <x14:dataValidation type="list" allowBlank="1" showInputMessage="1" showErrorMessage="1">
          <x14:formula1>
            <xm:f>Full1!$B$2:$B$3</xm:f>
          </x14:formula1>
          <xm:sqref>I5:K186</xm:sqref>
        </x14:dataValidation>
        <x14:dataValidation type="list" allowBlank="1" showInputMessage="1" showErrorMessage="1">
          <x14:formula1>
            <xm:f>Full1!$C$2:$C$6</xm:f>
          </x14:formula1>
          <xm:sqref>P5:P186</xm:sqref>
        </x14:dataValidation>
        <x14:dataValidation type="list" allowBlank="1" showInputMessage="1" showErrorMessage="1">
          <x14:formula1>
            <xm:f>Full1!$E$2:$E$3</xm:f>
          </x14:formula1>
          <xm:sqref>O5:O186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842"/>
  <sheetViews>
    <sheetView topLeftCell="A28" zoomScale="90" zoomScaleNormal="90" workbookViewId="0">
      <selection activeCell="D9" sqref="D9"/>
    </sheetView>
  </sheetViews>
  <sheetFormatPr defaultColWidth="12.54296875" defaultRowHeight="15.75" customHeight="1"/>
  <cols>
    <col min="1" max="1" width="11.54296875" style="145" customWidth="1"/>
    <col min="2" max="2" width="24.81640625" style="145" customWidth="1"/>
    <col min="3" max="3" width="9.81640625" style="145" customWidth="1"/>
    <col min="4" max="4" width="33.453125" style="145" customWidth="1"/>
    <col min="5" max="5" width="75.54296875" style="145" customWidth="1"/>
    <col min="6" max="16384" width="12.54296875" style="145"/>
  </cols>
  <sheetData>
    <row r="1" spans="1:25" ht="22">
      <c r="A1" s="141" t="s">
        <v>1391</v>
      </c>
      <c r="B1" s="142"/>
      <c r="C1" s="143"/>
      <c r="D1" s="144"/>
      <c r="E1" s="143"/>
      <c r="F1" s="143"/>
      <c r="G1" s="143"/>
      <c r="H1" s="143"/>
      <c r="I1" s="143"/>
      <c r="J1" s="143"/>
      <c r="K1" s="143"/>
      <c r="L1" s="143"/>
      <c r="M1" s="143"/>
      <c r="N1" s="143"/>
      <c r="O1" s="143"/>
      <c r="P1" s="143"/>
      <c r="Q1" s="143"/>
      <c r="R1" s="143"/>
      <c r="S1" s="143"/>
      <c r="T1" s="143"/>
      <c r="U1" s="143"/>
      <c r="V1" s="143"/>
      <c r="W1" s="143"/>
      <c r="X1" s="143"/>
      <c r="Y1" s="143"/>
    </row>
    <row r="2" spans="1:25" ht="13">
      <c r="A2" s="143" t="s">
        <v>1392</v>
      </c>
      <c r="B2" s="142"/>
      <c r="C2" s="143"/>
      <c r="D2" s="144"/>
      <c r="E2" s="143"/>
      <c r="F2" s="143"/>
      <c r="G2" s="143"/>
      <c r="H2" s="143"/>
      <c r="I2" s="143"/>
      <c r="J2" s="143"/>
      <c r="K2" s="143"/>
      <c r="L2" s="143"/>
      <c r="M2" s="143"/>
      <c r="N2" s="143"/>
      <c r="O2" s="143"/>
      <c r="P2" s="143"/>
      <c r="Q2" s="143"/>
      <c r="R2" s="143"/>
      <c r="S2" s="143"/>
      <c r="T2" s="143"/>
      <c r="U2" s="143"/>
      <c r="V2" s="143"/>
      <c r="W2" s="143"/>
      <c r="X2" s="143"/>
      <c r="Y2" s="143"/>
    </row>
    <row r="3" spans="1:25" ht="13">
      <c r="A3" s="146" t="s">
        <v>1393</v>
      </c>
      <c r="B3" s="142"/>
      <c r="C3" s="143"/>
      <c r="D3" s="144"/>
      <c r="E3" s="143"/>
      <c r="F3" s="143"/>
      <c r="G3" s="143"/>
      <c r="H3" s="143"/>
      <c r="I3" s="143"/>
      <c r="J3" s="143"/>
      <c r="K3" s="143"/>
      <c r="L3" s="143"/>
      <c r="M3" s="143"/>
      <c r="N3" s="143"/>
      <c r="O3" s="143"/>
      <c r="P3" s="143"/>
      <c r="Q3" s="143"/>
      <c r="R3" s="143"/>
      <c r="S3" s="143"/>
      <c r="T3" s="143"/>
      <c r="U3" s="143"/>
      <c r="V3" s="143"/>
      <c r="W3" s="143"/>
      <c r="X3" s="143"/>
      <c r="Y3" s="143"/>
    </row>
    <row r="4" spans="1:25" ht="13">
      <c r="A4" s="142" t="s">
        <v>1394</v>
      </c>
      <c r="B4" s="142"/>
      <c r="C4" s="143"/>
      <c r="D4" s="144"/>
      <c r="E4" s="143"/>
      <c r="F4" s="143"/>
      <c r="G4" s="143"/>
      <c r="H4" s="143"/>
      <c r="I4" s="143"/>
      <c r="J4" s="143"/>
      <c r="K4" s="143"/>
      <c r="L4" s="143"/>
      <c r="M4" s="143"/>
      <c r="N4" s="143"/>
      <c r="O4" s="143"/>
      <c r="P4" s="143"/>
      <c r="Q4" s="143"/>
      <c r="R4" s="143"/>
      <c r="S4" s="143"/>
      <c r="T4" s="143"/>
      <c r="U4" s="143"/>
      <c r="V4" s="143"/>
      <c r="W4" s="143"/>
      <c r="X4" s="143"/>
      <c r="Y4" s="143"/>
    </row>
    <row r="5" spans="1:25" ht="17.25" customHeight="1">
      <c r="A5" s="147" t="s">
        <v>1395</v>
      </c>
      <c r="B5" s="142"/>
      <c r="C5" s="143"/>
      <c r="D5" s="144"/>
      <c r="E5" s="143"/>
      <c r="F5" s="143"/>
      <c r="G5" s="143"/>
      <c r="H5" s="143"/>
      <c r="I5" s="143"/>
      <c r="J5" s="143"/>
      <c r="K5" s="143"/>
      <c r="L5" s="143"/>
      <c r="M5" s="143"/>
      <c r="N5" s="143"/>
      <c r="O5" s="143"/>
      <c r="P5" s="143"/>
      <c r="Q5" s="143"/>
      <c r="R5" s="143"/>
      <c r="S5" s="143"/>
      <c r="T5" s="143"/>
      <c r="U5" s="143"/>
      <c r="V5" s="143"/>
      <c r="W5" s="143"/>
      <c r="X5" s="143"/>
      <c r="Y5" s="143"/>
    </row>
    <row r="6" spans="1:25" ht="13">
      <c r="A6" s="143"/>
      <c r="B6" s="142"/>
      <c r="C6" s="143"/>
      <c r="D6" s="144"/>
      <c r="E6" s="143"/>
      <c r="F6" s="143"/>
      <c r="G6" s="143"/>
      <c r="H6" s="143"/>
      <c r="I6" s="143"/>
      <c r="J6" s="143"/>
      <c r="K6" s="143"/>
      <c r="L6" s="143"/>
      <c r="M6" s="143"/>
      <c r="N6" s="143"/>
      <c r="O6" s="143"/>
      <c r="P6" s="143"/>
      <c r="Q6" s="143"/>
      <c r="R6" s="143"/>
      <c r="S6" s="143"/>
      <c r="T6" s="143"/>
      <c r="U6" s="143"/>
      <c r="V6" s="143"/>
      <c r="W6" s="143"/>
      <c r="X6" s="143"/>
      <c r="Y6" s="143"/>
    </row>
    <row r="7" spans="1:25" ht="13">
      <c r="A7" s="143"/>
      <c r="B7" s="142"/>
      <c r="C7" s="143"/>
      <c r="D7" s="144"/>
      <c r="E7" s="143"/>
      <c r="F7" s="143"/>
      <c r="G7" s="143"/>
      <c r="H7" s="143"/>
      <c r="I7" s="143"/>
      <c r="J7" s="143"/>
      <c r="K7" s="143"/>
      <c r="L7" s="143"/>
      <c r="M7" s="143"/>
      <c r="N7" s="143"/>
      <c r="O7" s="143"/>
      <c r="P7" s="143"/>
      <c r="Q7" s="143"/>
      <c r="R7" s="143"/>
      <c r="S7" s="143"/>
      <c r="T7" s="143"/>
      <c r="U7" s="143"/>
      <c r="V7" s="143"/>
      <c r="W7" s="143"/>
      <c r="X7" s="143"/>
      <c r="Y7" s="143"/>
    </row>
    <row r="8" spans="1:25" ht="29">
      <c r="A8" s="148" t="s">
        <v>1396</v>
      </c>
      <c r="B8" s="149" t="s">
        <v>1397</v>
      </c>
      <c r="C8" s="148" t="s">
        <v>1396</v>
      </c>
      <c r="D8" s="150" t="s">
        <v>1398</v>
      </c>
      <c r="E8" s="150" t="s">
        <v>1399</v>
      </c>
      <c r="F8" s="143"/>
      <c r="G8" s="143"/>
      <c r="H8" s="143"/>
      <c r="I8" s="143"/>
      <c r="J8" s="143"/>
      <c r="K8" s="143"/>
      <c r="L8" s="143"/>
      <c r="M8" s="143"/>
      <c r="N8" s="143"/>
      <c r="O8" s="143"/>
      <c r="P8" s="143"/>
      <c r="Q8" s="143"/>
      <c r="R8" s="143"/>
      <c r="S8" s="143"/>
      <c r="T8" s="143"/>
      <c r="U8" s="143"/>
      <c r="V8" s="143"/>
      <c r="W8" s="143"/>
      <c r="X8" s="143"/>
      <c r="Y8" s="143"/>
    </row>
    <row r="9" spans="1:25" ht="65">
      <c r="A9" s="550">
        <v>1</v>
      </c>
      <c r="B9" s="552" t="s">
        <v>1400</v>
      </c>
      <c r="C9" s="151">
        <v>1.1000000000000001</v>
      </c>
      <c r="D9" s="152" t="s">
        <v>183</v>
      </c>
      <c r="E9" s="152" t="s">
        <v>1401</v>
      </c>
      <c r="F9" s="143"/>
      <c r="G9" s="143"/>
      <c r="H9" s="143"/>
      <c r="I9" s="143"/>
      <c r="J9" s="143"/>
      <c r="K9" s="143"/>
      <c r="L9" s="143"/>
      <c r="M9" s="143"/>
      <c r="N9" s="143"/>
      <c r="O9" s="143"/>
      <c r="P9" s="143"/>
      <c r="Q9" s="143"/>
      <c r="R9" s="143"/>
      <c r="S9" s="143"/>
      <c r="T9" s="143"/>
      <c r="U9" s="143"/>
      <c r="V9" s="143"/>
      <c r="W9" s="143"/>
      <c r="X9" s="143"/>
      <c r="Y9" s="143"/>
    </row>
    <row r="10" spans="1:25" ht="13">
      <c r="A10" s="551"/>
      <c r="B10" s="551"/>
      <c r="C10" s="151">
        <v>1.2</v>
      </c>
      <c r="D10" s="152" t="s">
        <v>1402</v>
      </c>
      <c r="E10" s="153"/>
      <c r="F10" s="143"/>
      <c r="G10" s="143"/>
      <c r="H10" s="143"/>
      <c r="I10" s="143"/>
      <c r="J10" s="143"/>
      <c r="K10" s="143"/>
      <c r="L10" s="143"/>
      <c r="M10" s="143"/>
      <c r="N10" s="143"/>
      <c r="O10" s="143"/>
      <c r="P10" s="143"/>
      <c r="Q10" s="143"/>
      <c r="R10" s="143"/>
      <c r="S10" s="143"/>
      <c r="T10" s="143"/>
      <c r="U10" s="143"/>
      <c r="V10" s="143"/>
      <c r="W10" s="143"/>
      <c r="X10" s="143"/>
      <c r="Y10" s="143"/>
    </row>
    <row r="11" spans="1:25" ht="13">
      <c r="A11" s="551"/>
      <c r="B11" s="551"/>
      <c r="C11" s="151">
        <v>1.3</v>
      </c>
      <c r="D11" s="152" t="s">
        <v>152</v>
      </c>
      <c r="E11" s="152" t="s">
        <v>1403</v>
      </c>
      <c r="F11" s="143"/>
      <c r="G11" s="143"/>
      <c r="H11" s="143"/>
      <c r="I11" s="143"/>
      <c r="J11" s="143"/>
      <c r="K11" s="143"/>
      <c r="L11" s="143"/>
      <c r="M11" s="143"/>
      <c r="N11" s="143"/>
      <c r="O11" s="143"/>
      <c r="P11" s="143"/>
      <c r="Q11" s="143"/>
      <c r="R11" s="143"/>
      <c r="S11" s="143"/>
      <c r="T11" s="143"/>
      <c r="U11" s="143"/>
      <c r="V11" s="143"/>
      <c r="W11" s="143"/>
      <c r="X11" s="143"/>
      <c r="Y11" s="143"/>
    </row>
    <row r="12" spans="1:25" ht="39">
      <c r="A12" s="550">
        <v>2</v>
      </c>
      <c r="B12" s="552" t="s">
        <v>1404</v>
      </c>
      <c r="C12" s="151">
        <v>2.1</v>
      </c>
      <c r="D12" s="152" t="s">
        <v>65</v>
      </c>
      <c r="E12" s="152" t="s">
        <v>1405</v>
      </c>
      <c r="F12" s="143"/>
      <c r="G12" s="143"/>
      <c r="H12" s="143"/>
      <c r="I12" s="143"/>
      <c r="J12" s="143"/>
      <c r="K12" s="143"/>
      <c r="L12" s="143"/>
      <c r="M12" s="143"/>
      <c r="N12" s="143"/>
      <c r="O12" s="143"/>
      <c r="P12" s="143"/>
      <c r="Q12" s="143"/>
      <c r="R12" s="143"/>
      <c r="S12" s="143"/>
      <c r="T12" s="143"/>
      <c r="U12" s="143"/>
      <c r="V12" s="143"/>
      <c r="W12" s="143"/>
      <c r="X12" s="143"/>
      <c r="Y12" s="143"/>
    </row>
    <row r="13" spans="1:25" ht="13">
      <c r="A13" s="551"/>
      <c r="B13" s="551"/>
      <c r="C13" s="151">
        <v>2.2000000000000002</v>
      </c>
      <c r="D13" s="152" t="s">
        <v>1406</v>
      </c>
      <c r="E13" s="153"/>
      <c r="F13" s="143"/>
      <c r="G13" s="143"/>
      <c r="H13" s="143"/>
      <c r="I13" s="143"/>
      <c r="J13" s="143"/>
      <c r="K13" s="143"/>
      <c r="L13" s="143"/>
      <c r="M13" s="143"/>
      <c r="N13" s="143"/>
      <c r="O13" s="143"/>
      <c r="P13" s="143"/>
      <c r="Q13" s="143"/>
      <c r="R13" s="143"/>
      <c r="S13" s="143"/>
      <c r="T13" s="143"/>
      <c r="U13" s="143"/>
      <c r="V13" s="143"/>
      <c r="W13" s="143"/>
      <c r="X13" s="143"/>
      <c r="Y13" s="143"/>
    </row>
    <row r="14" spans="1:25" ht="13">
      <c r="A14" s="551"/>
      <c r="B14" s="551"/>
      <c r="C14" s="151">
        <v>2.2999999999999998</v>
      </c>
      <c r="D14" s="152" t="s">
        <v>71</v>
      </c>
      <c r="E14" s="152" t="s">
        <v>1407</v>
      </c>
      <c r="F14" s="143"/>
      <c r="G14" s="143"/>
      <c r="H14" s="143"/>
      <c r="I14" s="143"/>
      <c r="J14" s="143"/>
      <c r="K14" s="143"/>
      <c r="L14" s="143"/>
      <c r="M14" s="143"/>
      <c r="N14" s="143"/>
      <c r="O14" s="143"/>
      <c r="P14" s="143"/>
      <c r="Q14" s="143"/>
      <c r="R14" s="143"/>
      <c r="S14" s="143"/>
      <c r="T14" s="143"/>
      <c r="U14" s="143"/>
      <c r="V14" s="143"/>
      <c r="W14" s="143"/>
      <c r="X14" s="143"/>
      <c r="Y14" s="143"/>
    </row>
    <row r="15" spans="1:25" ht="13">
      <c r="A15" s="551"/>
      <c r="B15" s="551"/>
      <c r="C15" s="151">
        <v>2.4</v>
      </c>
      <c r="D15" s="152" t="s">
        <v>1408</v>
      </c>
      <c r="E15" s="152" t="s">
        <v>1409</v>
      </c>
      <c r="F15" s="143"/>
      <c r="G15" s="143"/>
      <c r="H15" s="143"/>
      <c r="I15" s="143"/>
      <c r="J15" s="143"/>
      <c r="K15" s="143"/>
      <c r="L15" s="143"/>
      <c r="M15" s="143"/>
      <c r="N15" s="143"/>
      <c r="O15" s="143"/>
      <c r="P15" s="143"/>
      <c r="Q15" s="143"/>
      <c r="R15" s="143"/>
      <c r="S15" s="143"/>
      <c r="T15" s="143"/>
      <c r="U15" s="143"/>
      <c r="V15" s="143"/>
      <c r="W15" s="143"/>
      <c r="X15" s="143"/>
      <c r="Y15" s="143"/>
    </row>
    <row r="16" spans="1:25" ht="39">
      <c r="A16" s="550">
        <v>3</v>
      </c>
      <c r="B16" s="552" t="s">
        <v>1410</v>
      </c>
      <c r="C16" s="151">
        <v>3.1</v>
      </c>
      <c r="D16" s="152" t="s">
        <v>1411</v>
      </c>
      <c r="E16" s="152" t="s">
        <v>1412</v>
      </c>
      <c r="F16" s="143"/>
      <c r="G16" s="143"/>
      <c r="H16" s="143"/>
      <c r="I16" s="143"/>
      <c r="J16" s="143"/>
      <c r="K16" s="143"/>
      <c r="L16" s="143"/>
      <c r="M16" s="143"/>
      <c r="N16" s="143"/>
      <c r="O16" s="143"/>
      <c r="P16" s="143"/>
      <c r="Q16" s="143"/>
      <c r="R16" s="143"/>
      <c r="S16" s="143"/>
      <c r="T16" s="143"/>
      <c r="U16" s="143"/>
      <c r="V16" s="143"/>
      <c r="W16" s="143"/>
      <c r="X16" s="143"/>
      <c r="Y16" s="143"/>
    </row>
    <row r="17" spans="1:25" ht="39">
      <c r="A17" s="551"/>
      <c r="B17" s="551"/>
      <c r="C17" s="151">
        <v>3.2</v>
      </c>
      <c r="D17" s="152" t="s">
        <v>1413</v>
      </c>
      <c r="E17" s="152" t="s">
        <v>1414</v>
      </c>
      <c r="F17" s="143"/>
      <c r="G17" s="143"/>
      <c r="H17" s="143"/>
      <c r="I17" s="143"/>
      <c r="J17" s="143"/>
      <c r="K17" s="143"/>
      <c r="L17" s="143"/>
      <c r="M17" s="143"/>
      <c r="N17" s="143"/>
      <c r="O17" s="143"/>
      <c r="P17" s="143"/>
      <c r="Q17" s="143"/>
      <c r="R17" s="143"/>
      <c r="S17" s="143"/>
      <c r="T17" s="143"/>
      <c r="U17" s="143"/>
      <c r="V17" s="143"/>
      <c r="W17" s="143"/>
      <c r="X17" s="143"/>
      <c r="Y17" s="143"/>
    </row>
    <row r="18" spans="1:25" ht="13">
      <c r="A18" s="550">
        <v>4</v>
      </c>
      <c r="B18" s="552" t="s">
        <v>1415</v>
      </c>
      <c r="C18" s="151">
        <v>4.0999999999999996</v>
      </c>
      <c r="D18" s="152" t="s">
        <v>1416</v>
      </c>
      <c r="E18" s="152" t="s">
        <v>1417</v>
      </c>
      <c r="F18" s="143"/>
      <c r="G18" s="143"/>
      <c r="H18" s="143"/>
      <c r="I18" s="143"/>
      <c r="J18" s="143"/>
      <c r="K18" s="143"/>
      <c r="L18" s="143"/>
      <c r="M18" s="143"/>
      <c r="N18" s="143"/>
      <c r="O18" s="143"/>
      <c r="P18" s="143"/>
      <c r="Q18" s="143"/>
      <c r="R18" s="143"/>
      <c r="S18" s="143"/>
      <c r="T18" s="143"/>
      <c r="U18" s="143"/>
      <c r="V18" s="143"/>
      <c r="W18" s="143"/>
      <c r="X18" s="143"/>
      <c r="Y18" s="143"/>
    </row>
    <row r="19" spans="1:25" ht="26">
      <c r="A19" s="551"/>
      <c r="B19" s="551"/>
      <c r="C19" s="151">
        <v>4.2</v>
      </c>
      <c r="D19" s="152" t="s">
        <v>1418</v>
      </c>
      <c r="E19" s="152" t="s">
        <v>1419</v>
      </c>
      <c r="F19" s="143"/>
      <c r="G19" s="143"/>
      <c r="H19" s="143"/>
      <c r="I19" s="143"/>
      <c r="J19" s="143"/>
      <c r="K19" s="143"/>
      <c r="L19" s="143"/>
      <c r="M19" s="143"/>
      <c r="N19" s="143"/>
      <c r="O19" s="143"/>
      <c r="P19" s="143"/>
      <c r="Q19" s="143"/>
      <c r="R19" s="143"/>
      <c r="S19" s="143"/>
      <c r="T19" s="143"/>
      <c r="U19" s="143"/>
      <c r="V19" s="143"/>
      <c r="W19" s="143"/>
      <c r="X19" s="143"/>
      <c r="Y19" s="143"/>
    </row>
    <row r="20" spans="1:25" ht="26">
      <c r="A20" s="551"/>
      <c r="B20" s="551"/>
      <c r="C20" s="151">
        <v>4.3</v>
      </c>
      <c r="D20" s="152" t="s">
        <v>1420</v>
      </c>
      <c r="E20" s="152" t="s">
        <v>1421</v>
      </c>
      <c r="F20" s="143"/>
      <c r="G20" s="143"/>
      <c r="H20" s="143"/>
      <c r="I20" s="143"/>
      <c r="J20" s="143"/>
      <c r="K20" s="143"/>
      <c r="L20" s="143"/>
      <c r="M20" s="143"/>
      <c r="N20" s="143"/>
      <c r="O20" s="143"/>
      <c r="P20" s="143"/>
      <c r="Q20" s="143"/>
      <c r="R20" s="143"/>
      <c r="S20" s="143"/>
      <c r="T20" s="143"/>
      <c r="U20" s="143"/>
      <c r="V20" s="143"/>
      <c r="W20" s="143"/>
      <c r="X20" s="143"/>
      <c r="Y20" s="143"/>
    </row>
    <row r="21" spans="1:25" ht="13">
      <c r="A21" s="551"/>
      <c r="B21" s="551"/>
      <c r="C21" s="151">
        <v>4.4000000000000004</v>
      </c>
      <c r="D21" s="152" t="s">
        <v>1422</v>
      </c>
      <c r="E21" s="152" t="s">
        <v>1423</v>
      </c>
      <c r="F21" s="143"/>
      <c r="G21" s="143"/>
      <c r="H21" s="143"/>
      <c r="I21" s="143"/>
      <c r="J21" s="143"/>
      <c r="K21" s="143"/>
      <c r="L21" s="143"/>
      <c r="M21" s="143"/>
      <c r="N21" s="143"/>
      <c r="O21" s="143"/>
      <c r="P21" s="143"/>
      <c r="Q21" s="143"/>
      <c r="R21" s="143"/>
      <c r="S21" s="143"/>
      <c r="T21" s="143"/>
      <c r="U21" s="143"/>
      <c r="V21" s="143"/>
      <c r="W21" s="143"/>
      <c r="X21" s="143"/>
      <c r="Y21" s="143"/>
    </row>
    <row r="22" spans="1:25" ht="26">
      <c r="A22" s="550">
        <v>5</v>
      </c>
      <c r="B22" s="552" t="s">
        <v>1424</v>
      </c>
      <c r="C22" s="151">
        <v>5.0999999999999996</v>
      </c>
      <c r="D22" s="152" t="s">
        <v>141</v>
      </c>
      <c r="E22" s="152" t="s">
        <v>1425</v>
      </c>
      <c r="F22" s="143"/>
      <c r="G22" s="143"/>
      <c r="H22" s="143"/>
      <c r="I22" s="143"/>
      <c r="J22" s="143"/>
      <c r="K22" s="143"/>
      <c r="L22" s="143"/>
      <c r="M22" s="143"/>
      <c r="N22" s="143"/>
      <c r="O22" s="143"/>
      <c r="P22" s="143"/>
      <c r="Q22" s="143"/>
      <c r="R22" s="143"/>
      <c r="S22" s="143"/>
      <c r="T22" s="143"/>
      <c r="U22" s="143"/>
      <c r="V22" s="143"/>
      <c r="W22" s="143"/>
      <c r="X22" s="143"/>
      <c r="Y22" s="143"/>
    </row>
    <row r="23" spans="1:25" ht="13">
      <c r="A23" s="551"/>
      <c r="B23" s="551"/>
      <c r="C23" s="154">
        <v>5.2</v>
      </c>
      <c r="D23" s="152" t="s">
        <v>160</v>
      </c>
      <c r="E23" s="152" t="s">
        <v>1426</v>
      </c>
      <c r="F23" s="143"/>
      <c r="G23" s="143"/>
      <c r="H23" s="143"/>
      <c r="I23" s="143"/>
      <c r="J23" s="143"/>
      <c r="K23" s="143"/>
      <c r="L23" s="143"/>
      <c r="M23" s="143"/>
      <c r="N23" s="143"/>
      <c r="O23" s="143"/>
      <c r="P23" s="143"/>
      <c r="Q23" s="143"/>
      <c r="R23" s="143"/>
      <c r="S23" s="143"/>
      <c r="T23" s="143"/>
      <c r="U23" s="143"/>
      <c r="V23" s="143"/>
      <c r="W23" s="143"/>
      <c r="X23" s="143"/>
      <c r="Y23" s="143"/>
    </row>
    <row r="24" spans="1:25" ht="13">
      <c r="A24" s="551"/>
      <c r="B24" s="551"/>
      <c r="C24" s="151">
        <v>5.3</v>
      </c>
      <c r="D24" s="152" t="s">
        <v>86</v>
      </c>
      <c r="E24" s="152" t="s">
        <v>1427</v>
      </c>
      <c r="F24" s="143"/>
      <c r="G24" s="143"/>
      <c r="H24" s="143"/>
      <c r="I24" s="143"/>
      <c r="J24" s="143"/>
      <c r="K24" s="143"/>
      <c r="L24" s="143"/>
      <c r="M24" s="143"/>
      <c r="N24" s="143"/>
      <c r="O24" s="143"/>
      <c r="P24" s="143"/>
      <c r="Q24" s="143"/>
      <c r="R24" s="143"/>
      <c r="S24" s="143"/>
      <c r="T24" s="143"/>
      <c r="U24" s="143"/>
      <c r="V24" s="143"/>
      <c r="W24" s="143"/>
      <c r="X24" s="143"/>
      <c r="Y24" s="143"/>
    </row>
    <row r="25" spans="1:25" ht="26">
      <c r="A25" s="551"/>
      <c r="B25" s="551"/>
      <c r="C25" s="151">
        <v>5.4</v>
      </c>
      <c r="D25" s="152" t="s">
        <v>1428</v>
      </c>
      <c r="E25" s="152" t="s">
        <v>1429</v>
      </c>
      <c r="F25" s="143"/>
      <c r="G25" s="143"/>
      <c r="H25" s="143"/>
      <c r="I25" s="143"/>
      <c r="J25" s="143"/>
      <c r="K25" s="143"/>
      <c r="L25" s="143"/>
      <c r="M25" s="143"/>
      <c r="N25" s="143"/>
      <c r="O25" s="143"/>
      <c r="P25" s="143"/>
      <c r="Q25" s="143"/>
      <c r="R25" s="143"/>
      <c r="S25" s="143"/>
      <c r="T25" s="143"/>
      <c r="U25" s="143"/>
      <c r="V25" s="143"/>
      <c r="W25" s="143"/>
      <c r="X25" s="143"/>
      <c r="Y25" s="143"/>
    </row>
    <row r="26" spans="1:25" ht="51.65" customHeight="1">
      <c r="A26" s="550">
        <v>6</v>
      </c>
      <c r="B26" s="552" t="s">
        <v>1430</v>
      </c>
      <c r="C26" s="151">
        <v>6.1</v>
      </c>
      <c r="D26" s="152" t="s">
        <v>170</v>
      </c>
      <c r="E26" s="152" t="s">
        <v>1431</v>
      </c>
      <c r="F26" s="143"/>
      <c r="G26" s="143"/>
      <c r="H26" s="143"/>
      <c r="I26" s="143"/>
      <c r="J26" s="143"/>
      <c r="K26" s="143"/>
      <c r="L26" s="143"/>
      <c r="M26" s="143"/>
      <c r="N26" s="143"/>
      <c r="O26" s="143"/>
      <c r="P26" s="143"/>
      <c r="Q26" s="143"/>
      <c r="R26" s="143"/>
      <c r="S26" s="143"/>
      <c r="T26" s="143"/>
      <c r="U26" s="143"/>
      <c r="V26" s="143"/>
      <c r="W26" s="143"/>
      <c r="X26" s="143"/>
      <c r="Y26" s="143"/>
    </row>
    <row r="27" spans="1:25" ht="13">
      <c r="A27" s="551"/>
      <c r="B27" s="551"/>
      <c r="C27" s="151">
        <v>6.2</v>
      </c>
      <c r="D27" s="152" t="s">
        <v>1432</v>
      </c>
      <c r="E27" s="152" t="s">
        <v>1433</v>
      </c>
      <c r="F27" s="143"/>
      <c r="G27" s="143"/>
      <c r="H27" s="143"/>
      <c r="I27" s="143"/>
      <c r="J27" s="143"/>
      <c r="K27" s="143"/>
      <c r="L27" s="143"/>
      <c r="M27" s="143"/>
      <c r="N27" s="143"/>
      <c r="O27" s="143"/>
      <c r="P27" s="143"/>
      <c r="Q27" s="143"/>
      <c r="R27" s="143"/>
      <c r="S27" s="143"/>
      <c r="T27" s="143"/>
      <c r="U27" s="143"/>
      <c r="V27" s="143"/>
      <c r="W27" s="143"/>
      <c r="X27" s="143"/>
      <c r="Y27" s="143"/>
    </row>
    <row r="28" spans="1:25" ht="26">
      <c r="A28" s="551"/>
      <c r="B28" s="551"/>
      <c r="C28" s="151">
        <v>6.3</v>
      </c>
      <c r="D28" s="152" t="s">
        <v>1434</v>
      </c>
      <c r="E28" s="152" t="s">
        <v>1435</v>
      </c>
      <c r="F28" s="143"/>
      <c r="G28" s="143"/>
      <c r="H28" s="143"/>
      <c r="I28" s="143"/>
      <c r="J28" s="143"/>
      <c r="K28" s="143"/>
      <c r="L28" s="143"/>
      <c r="M28" s="143"/>
      <c r="N28" s="143"/>
      <c r="O28" s="143"/>
      <c r="P28" s="143"/>
      <c r="Q28" s="143"/>
      <c r="R28" s="143"/>
      <c r="S28" s="143"/>
      <c r="T28" s="143"/>
      <c r="U28" s="143"/>
      <c r="V28" s="143"/>
      <c r="W28" s="143"/>
      <c r="X28" s="143"/>
      <c r="Y28" s="143"/>
    </row>
    <row r="29" spans="1:25" ht="26">
      <c r="A29" s="551"/>
      <c r="B29" s="551"/>
      <c r="C29" s="151">
        <v>6.4</v>
      </c>
      <c r="D29" s="152" t="s">
        <v>1436</v>
      </c>
      <c r="E29" s="152" t="s">
        <v>1437</v>
      </c>
      <c r="F29" s="143"/>
      <c r="G29" s="143"/>
      <c r="H29" s="143"/>
      <c r="I29" s="143"/>
      <c r="J29" s="143"/>
      <c r="K29" s="143"/>
      <c r="L29" s="143"/>
      <c r="M29" s="143"/>
      <c r="N29" s="143"/>
      <c r="O29" s="143"/>
      <c r="P29" s="143"/>
      <c r="Q29" s="143"/>
      <c r="R29" s="143"/>
      <c r="S29" s="143"/>
      <c r="T29" s="143"/>
      <c r="U29" s="143"/>
      <c r="V29" s="143"/>
      <c r="W29" s="143"/>
      <c r="X29" s="143"/>
      <c r="Y29" s="143"/>
    </row>
    <row r="30" spans="1:25" ht="13">
      <c r="A30" s="550">
        <v>7</v>
      </c>
      <c r="B30" s="552" t="s">
        <v>1438</v>
      </c>
      <c r="C30" s="151">
        <v>7.1</v>
      </c>
      <c r="D30" s="152" t="s">
        <v>1439</v>
      </c>
      <c r="E30" s="152" t="s">
        <v>1440</v>
      </c>
      <c r="F30" s="143"/>
      <c r="G30" s="143"/>
      <c r="H30" s="143"/>
      <c r="I30" s="143"/>
      <c r="J30" s="143"/>
      <c r="K30" s="143"/>
      <c r="L30" s="143"/>
      <c r="M30" s="143"/>
      <c r="N30" s="143"/>
      <c r="O30" s="143"/>
      <c r="P30" s="143"/>
      <c r="Q30" s="143"/>
      <c r="R30" s="143"/>
      <c r="S30" s="143"/>
      <c r="T30" s="143"/>
      <c r="U30" s="143"/>
      <c r="V30" s="143"/>
      <c r="W30" s="143"/>
      <c r="X30" s="143"/>
      <c r="Y30" s="143"/>
    </row>
    <row r="31" spans="1:25" ht="52">
      <c r="A31" s="551"/>
      <c r="B31" s="551"/>
      <c r="C31" s="151">
        <v>7.2</v>
      </c>
      <c r="D31" s="152" t="s">
        <v>59</v>
      </c>
      <c r="E31" s="152" t="s">
        <v>1441</v>
      </c>
      <c r="F31" s="143"/>
      <c r="G31" s="143"/>
      <c r="H31" s="143"/>
      <c r="I31" s="143"/>
      <c r="J31" s="143"/>
      <c r="K31" s="143"/>
      <c r="L31" s="143"/>
      <c r="M31" s="143"/>
      <c r="N31" s="143"/>
      <c r="O31" s="143"/>
      <c r="P31" s="143"/>
      <c r="Q31" s="143"/>
      <c r="R31" s="143"/>
      <c r="S31" s="143"/>
      <c r="T31" s="143"/>
      <c r="U31" s="143"/>
      <c r="V31" s="143"/>
      <c r="W31" s="143"/>
      <c r="X31" s="143"/>
      <c r="Y31" s="143"/>
    </row>
    <row r="32" spans="1:25" ht="26">
      <c r="A32" s="551"/>
      <c r="B32" s="551"/>
      <c r="C32" s="151">
        <v>7.3</v>
      </c>
      <c r="D32" s="152" t="s">
        <v>1442</v>
      </c>
      <c r="E32" s="155" t="s">
        <v>1443</v>
      </c>
      <c r="F32" s="143"/>
      <c r="G32" s="143"/>
      <c r="H32" s="143"/>
      <c r="I32" s="143"/>
      <c r="J32" s="143"/>
      <c r="K32" s="143"/>
      <c r="L32" s="143"/>
      <c r="M32" s="143"/>
      <c r="N32" s="143"/>
      <c r="O32" s="143"/>
      <c r="P32" s="143"/>
      <c r="Q32" s="143"/>
      <c r="R32" s="143"/>
      <c r="S32" s="143"/>
      <c r="T32" s="143"/>
      <c r="U32" s="143"/>
      <c r="V32" s="143"/>
      <c r="W32" s="143"/>
      <c r="X32" s="143"/>
      <c r="Y32" s="143"/>
    </row>
    <row r="33" spans="1:25" ht="26">
      <c r="A33" s="551"/>
      <c r="B33" s="551"/>
      <c r="C33" s="151">
        <v>7.4</v>
      </c>
      <c r="D33" s="152" t="s">
        <v>1444</v>
      </c>
      <c r="E33" s="152" t="s">
        <v>1445</v>
      </c>
      <c r="F33" s="143"/>
      <c r="G33" s="143"/>
      <c r="H33" s="143"/>
      <c r="I33" s="143"/>
      <c r="J33" s="143"/>
      <c r="K33" s="143"/>
      <c r="L33" s="143"/>
      <c r="M33" s="143"/>
      <c r="N33" s="143"/>
      <c r="O33" s="143"/>
      <c r="P33" s="143"/>
      <c r="Q33" s="143"/>
      <c r="R33" s="143"/>
      <c r="S33" s="143"/>
      <c r="T33" s="143"/>
      <c r="U33" s="143"/>
      <c r="V33" s="143"/>
      <c r="W33" s="143"/>
      <c r="X33" s="143"/>
      <c r="Y33" s="143"/>
    </row>
    <row r="34" spans="1:25" ht="39">
      <c r="A34" s="551"/>
      <c r="B34" s="551"/>
      <c r="C34" s="151">
        <v>7.5</v>
      </c>
      <c r="D34" s="152" t="s">
        <v>151</v>
      </c>
      <c r="E34" s="152" t="s">
        <v>1446</v>
      </c>
      <c r="F34" s="143"/>
      <c r="G34" s="143"/>
      <c r="H34" s="143"/>
      <c r="I34" s="143"/>
      <c r="J34" s="143"/>
      <c r="K34" s="143"/>
      <c r="L34" s="143"/>
      <c r="M34" s="143"/>
      <c r="N34" s="143"/>
      <c r="O34" s="143"/>
      <c r="P34" s="143"/>
      <c r="Q34" s="143"/>
      <c r="R34" s="143"/>
      <c r="S34" s="143"/>
      <c r="T34" s="143"/>
      <c r="U34" s="143"/>
      <c r="V34" s="143"/>
      <c r="W34" s="143"/>
      <c r="X34" s="143"/>
      <c r="Y34" s="143"/>
    </row>
    <row r="35" spans="1:25" ht="26">
      <c r="A35" s="551"/>
      <c r="B35" s="551"/>
      <c r="C35" s="151">
        <v>7.6</v>
      </c>
      <c r="D35" s="152" t="s">
        <v>60</v>
      </c>
      <c r="E35" s="152" t="s">
        <v>1447</v>
      </c>
      <c r="F35" s="143"/>
      <c r="G35" s="143"/>
      <c r="H35" s="143"/>
      <c r="I35" s="143"/>
      <c r="J35" s="143"/>
      <c r="K35" s="143"/>
      <c r="L35" s="143"/>
      <c r="M35" s="143"/>
      <c r="N35" s="143"/>
      <c r="O35" s="143"/>
      <c r="P35" s="143"/>
      <c r="Q35" s="143"/>
      <c r="R35" s="143"/>
      <c r="S35" s="143"/>
      <c r="T35" s="143"/>
      <c r="U35" s="143"/>
      <c r="V35" s="143"/>
      <c r="W35" s="143"/>
      <c r="X35" s="143"/>
      <c r="Y35" s="143"/>
    </row>
    <row r="36" spans="1:25" ht="26">
      <c r="A36" s="550">
        <v>8</v>
      </c>
      <c r="B36" s="552" t="s">
        <v>1448</v>
      </c>
      <c r="C36" s="151">
        <v>8.1</v>
      </c>
      <c r="D36" s="152" t="s">
        <v>73</v>
      </c>
      <c r="E36" s="152" t="s">
        <v>1449</v>
      </c>
      <c r="F36" s="143"/>
      <c r="G36" s="143"/>
      <c r="H36" s="143"/>
      <c r="I36" s="143"/>
      <c r="J36" s="143"/>
      <c r="K36" s="143"/>
      <c r="L36" s="143"/>
      <c r="M36" s="143"/>
      <c r="N36" s="143"/>
      <c r="O36" s="143"/>
      <c r="P36" s="143"/>
      <c r="Q36" s="143"/>
      <c r="R36" s="143"/>
      <c r="S36" s="143"/>
      <c r="T36" s="143"/>
      <c r="U36" s="143"/>
      <c r="V36" s="143"/>
      <c r="W36" s="143"/>
      <c r="X36" s="143"/>
      <c r="Y36" s="143"/>
    </row>
    <row r="37" spans="1:25" ht="39">
      <c r="A37" s="551"/>
      <c r="B37" s="551"/>
      <c r="C37" s="151">
        <v>8.1999999999999993</v>
      </c>
      <c r="D37" s="152" t="s">
        <v>72</v>
      </c>
      <c r="E37" s="152" t="s">
        <v>1450</v>
      </c>
      <c r="F37" s="143"/>
      <c r="G37" s="143"/>
      <c r="H37" s="143"/>
      <c r="I37" s="143"/>
      <c r="J37" s="143"/>
      <c r="K37" s="143"/>
      <c r="L37" s="143"/>
      <c r="M37" s="143"/>
      <c r="N37" s="143"/>
      <c r="O37" s="143"/>
      <c r="P37" s="143"/>
      <c r="Q37" s="143"/>
      <c r="R37" s="143"/>
      <c r="S37" s="143"/>
      <c r="T37" s="143"/>
      <c r="U37" s="143"/>
      <c r="V37" s="143"/>
      <c r="W37" s="143"/>
      <c r="X37" s="143"/>
      <c r="Y37" s="143"/>
    </row>
    <row r="38" spans="1:25" ht="39">
      <c r="A38" s="551"/>
      <c r="B38" s="551"/>
      <c r="C38" s="151">
        <v>8.3000000000000007</v>
      </c>
      <c r="D38" s="152" t="s">
        <v>148</v>
      </c>
      <c r="E38" s="152" t="s">
        <v>1451</v>
      </c>
      <c r="F38" s="143"/>
      <c r="G38" s="143"/>
      <c r="H38" s="143"/>
      <c r="I38" s="143"/>
      <c r="J38" s="143"/>
      <c r="K38" s="143"/>
      <c r="L38" s="143"/>
      <c r="M38" s="143"/>
      <c r="N38" s="143"/>
      <c r="O38" s="143"/>
      <c r="P38" s="143"/>
      <c r="Q38" s="143"/>
      <c r="R38" s="143"/>
      <c r="S38" s="143"/>
      <c r="T38" s="143"/>
      <c r="U38" s="143"/>
      <c r="V38" s="143"/>
      <c r="W38" s="143"/>
      <c r="X38" s="143"/>
      <c r="Y38" s="143"/>
    </row>
    <row r="39" spans="1:25" ht="13">
      <c r="A39" s="551"/>
      <c r="B39" s="551"/>
      <c r="C39" s="151">
        <v>8.4</v>
      </c>
      <c r="D39" s="152" t="s">
        <v>116</v>
      </c>
      <c r="E39" s="152" t="s">
        <v>1452</v>
      </c>
      <c r="F39" s="143"/>
      <c r="G39" s="143"/>
      <c r="H39" s="143"/>
      <c r="I39" s="143"/>
      <c r="J39" s="143"/>
      <c r="K39" s="143"/>
      <c r="L39" s="143"/>
      <c r="M39" s="143"/>
      <c r="N39" s="143"/>
      <c r="O39" s="143"/>
      <c r="P39" s="143"/>
      <c r="Q39" s="143"/>
      <c r="R39" s="143"/>
      <c r="S39" s="143"/>
      <c r="T39" s="143"/>
      <c r="U39" s="143"/>
      <c r="V39" s="143"/>
      <c r="W39" s="143"/>
      <c r="X39" s="143"/>
      <c r="Y39" s="143"/>
    </row>
    <row r="40" spans="1:25" ht="39">
      <c r="A40" s="550">
        <v>9</v>
      </c>
      <c r="B40" s="552" t="s">
        <v>1453</v>
      </c>
      <c r="C40" s="151">
        <v>9.1</v>
      </c>
      <c r="D40" s="152" t="s">
        <v>66</v>
      </c>
      <c r="E40" s="152" t="s">
        <v>1454</v>
      </c>
      <c r="F40" s="143"/>
      <c r="G40" s="143"/>
      <c r="H40" s="143"/>
      <c r="I40" s="143"/>
      <c r="J40" s="143"/>
      <c r="K40" s="143"/>
      <c r="L40" s="143"/>
      <c r="M40" s="143"/>
      <c r="N40" s="143"/>
      <c r="O40" s="143"/>
      <c r="P40" s="143"/>
      <c r="Q40" s="143"/>
      <c r="R40" s="143"/>
      <c r="S40" s="143"/>
      <c r="T40" s="143"/>
      <c r="U40" s="143"/>
      <c r="V40" s="143"/>
      <c r="W40" s="143"/>
      <c r="X40" s="143"/>
      <c r="Y40" s="143"/>
    </row>
    <row r="41" spans="1:25" ht="39">
      <c r="A41" s="551"/>
      <c r="B41" s="551"/>
      <c r="C41" s="151">
        <v>9.1999999999999993</v>
      </c>
      <c r="D41" s="152" t="s">
        <v>1455</v>
      </c>
      <c r="E41" s="152" t="s">
        <v>1456</v>
      </c>
      <c r="F41" s="143"/>
      <c r="G41" s="143"/>
      <c r="H41" s="143"/>
      <c r="I41" s="143"/>
      <c r="J41" s="143"/>
      <c r="K41" s="143"/>
      <c r="L41" s="143"/>
      <c r="M41" s="143"/>
      <c r="N41" s="143"/>
      <c r="O41" s="143"/>
      <c r="P41" s="143"/>
      <c r="Q41" s="143"/>
      <c r="R41" s="143"/>
      <c r="S41" s="143"/>
      <c r="T41" s="143"/>
      <c r="U41" s="143"/>
      <c r="V41" s="143"/>
      <c r="W41" s="143"/>
      <c r="X41" s="143"/>
      <c r="Y41" s="143"/>
    </row>
    <row r="42" spans="1:25" ht="13">
      <c r="A42" s="551"/>
      <c r="B42" s="551"/>
      <c r="C42" s="151">
        <v>9.3000000000000007</v>
      </c>
      <c r="D42" s="152" t="s">
        <v>1457</v>
      </c>
      <c r="E42" s="152" t="s">
        <v>1458</v>
      </c>
      <c r="F42" s="143"/>
      <c r="G42" s="143"/>
      <c r="H42" s="143"/>
      <c r="I42" s="143"/>
      <c r="J42" s="143"/>
      <c r="K42" s="143"/>
      <c r="L42" s="143"/>
      <c r="M42" s="143"/>
      <c r="N42" s="143"/>
      <c r="O42" s="143"/>
      <c r="P42" s="143"/>
      <c r="Q42" s="143"/>
      <c r="R42" s="143"/>
      <c r="S42" s="143"/>
      <c r="T42" s="143"/>
      <c r="U42" s="143"/>
      <c r="V42" s="143"/>
      <c r="W42" s="143"/>
      <c r="X42" s="143"/>
      <c r="Y42" s="143"/>
    </row>
    <row r="43" spans="1:25" ht="65">
      <c r="A43" s="551"/>
      <c r="B43" s="551"/>
      <c r="C43" s="151">
        <v>9.4</v>
      </c>
      <c r="D43" s="152" t="s">
        <v>1459</v>
      </c>
      <c r="E43" s="152" t="s">
        <v>1460</v>
      </c>
      <c r="F43" s="143"/>
      <c r="G43" s="143"/>
      <c r="H43" s="143"/>
      <c r="I43" s="143"/>
      <c r="J43" s="143"/>
      <c r="K43" s="143"/>
      <c r="L43" s="143"/>
      <c r="M43" s="143"/>
      <c r="N43" s="143"/>
      <c r="O43" s="143"/>
      <c r="P43" s="143"/>
      <c r="Q43" s="143"/>
      <c r="R43" s="143"/>
      <c r="S43" s="143"/>
      <c r="T43" s="143"/>
      <c r="U43" s="143"/>
      <c r="V43" s="143"/>
      <c r="W43" s="143"/>
      <c r="X43" s="143"/>
      <c r="Y43" s="143"/>
    </row>
    <row r="44" spans="1:25" ht="13">
      <c r="A44" s="550">
        <v>10</v>
      </c>
      <c r="B44" s="552" t="s">
        <v>1461</v>
      </c>
      <c r="C44" s="151">
        <v>10.1</v>
      </c>
      <c r="D44" s="152" t="s">
        <v>1462</v>
      </c>
      <c r="E44" s="152" t="s">
        <v>1463</v>
      </c>
      <c r="F44" s="143"/>
      <c r="G44" s="143"/>
      <c r="H44" s="143"/>
      <c r="I44" s="143"/>
      <c r="J44" s="143"/>
      <c r="K44" s="143"/>
      <c r="L44" s="143"/>
      <c r="M44" s="143"/>
      <c r="N44" s="143"/>
      <c r="O44" s="143"/>
      <c r="P44" s="143"/>
      <c r="Q44" s="143"/>
      <c r="R44" s="143"/>
      <c r="S44" s="143"/>
      <c r="T44" s="143"/>
      <c r="U44" s="143"/>
      <c r="V44" s="143"/>
      <c r="W44" s="143"/>
      <c r="X44" s="143"/>
      <c r="Y44" s="143"/>
    </row>
    <row r="45" spans="1:25" ht="13">
      <c r="A45" s="551"/>
      <c r="B45" s="551"/>
      <c r="C45" s="151">
        <v>10.199999999999999</v>
      </c>
      <c r="D45" s="152" t="s">
        <v>1464</v>
      </c>
      <c r="E45" s="152" t="s">
        <v>1465</v>
      </c>
      <c r="F45" s="143"/>
      <c r="G45" s="143"/>
      <c r="H45" s="143"/>
      <c r="I45" s="143"/>
      <c r="J45" s="143"/>
      <c r="K45" s="143"/>
      <c r="L45" s="143"/>
      <c r="M45" s="143"/>
      <c r="N45" s="143"/>
      <c r="O45" s="143"/>
      <c r="P45" s="143"/>
      <c r="Q45" s="143"/>
      <c r="R45" s="143"/>
      <c r="S45" s="143"/>
      <c r="T45" s="143"/>
      <c r="U45" s="143"/>
      <c r="V45" s="143"/>
      <c r="W45" s="143"/>
      <c r="X45" s="143"/>
      <c r="Y45" s="143"/>
    </row>
    <row r="46" spans="1:25" ht="39">
      <c r="A46" s="550">
        <v>11</v>
      </c>
      <c r="B46" s="552" t="s">
        <v>1466</v>
      </c>
      <c r="C46" s="151">
        <v>11.1</v>
      </c>
      <c r="D46" s="152" t="s">
        <v>1467</v>
      </c>
      <c r="E46" s="152" t="s">
        <v>1468</v>
      </c>
      <c r="F46" s="143"/>
      <c r="G46" s="143"/>
      <c r="H46" s="143"/>
      <c r="I46" s="143"/>
      <c r="J46" s="143"/>
      <c r="K46" s="143"/>
      <c r="L46" s="143"/>
      <c r="M46" s="143"/>
      <c r="N46" s="143"/>
      <c r="O46" s="143"/>
      <c r="P46" s="143"/>
      <c r="Q46" s="143"/>
      <c r="R46" s="143"/>
      <c r="S46" s="143"/>
      <c r="T46" s="143"/>
      <c r="U46" s="143"/>
      <c r="V46" s="143"/>
      <c r="W46" s="143"/>
      <c r="X46" s="143"/>
      <c r="Y46" s="143"/>
    </row>
    <row r="47" spans="1:25" ht="26">
      <c r="A47" s="551"/>
      <c r="B47" s="551"/>
      <c r="C47" s="151">
        <v>11.2</v>
      </c>
      <c r="D47" s="152" t="s">
        <v>62</v>
      </c>
      <c r="E47" s="152" t="s">
        <v>1469</v>
      </c>
      <c r="F47" s="143"/>
      <c r="G47" s="143"/>
      <c r="H47" s="143"/>
      <c r="I47" s="143"/>
      <c r="J47" s="143"/>
      <c r="K47" s="143"/>
      <c r="L47" s="143"/>
      <c r="M47" s="143"/>
      <c r="N47" s="143"/>
      <c r="O47" s="143"/>
      <c r="P47" s="143"/>
      <c r="Q47" s="143"/>
      <c r="R47" s="143"/>
      <c r="S47" s="143"/>
      <c r="T47" s="143"/>
      <c r="U47" s="143"/>
      <c r="V47" s="143"/>
      <c r="W47" s="143"/>
      <c r="X47" s="143"/>
      <c r="Y47" s="143"/>
    </row>
    <row r="48" spans="1:25" ht="39">
      <c r="A48" s="551"/>
      <c r="B48" s="551"/>
      <c r="C48" s="151">
        <v>11.3</v>
      </c>
      <c r="D48" s="152" t="s">
        <v>61</v>
      </c>
      <c r="E48" s="152" t="s">
        <v>1470</v>
      </c>
      <c r="F48" s="143"/>
      <c r="G48" s="143"/>
      <c r="H48" s="143"/>
      <c r="I48" s="143"/>
      <c r="J48" s="143"/>
      <c r="K48" s="143"/>
      <c r="L48" s="143"/>
      <c r="M48" s="143"/>
      <c r="N48" s="143"/>
      <c r="O48" s="143"/>
      <c r="P48" s="143"/>
      <c r="Q48" s="143"/>
      <c r="R48" s="143"/>
      <c r="S48" s="143"/>
      <c r="T48" s="143"/>
      <c r="U48" s="143"/>
      <c r="V48" s="143"/>
      <c r="W48" s="143"/>
      <c r="X48" s="143"/>
      <c r="Y48" s="143"/>
    </row>
    <row r="49" spans="1:25" ht="13">
      <c r="A49" s="551"/>
      <c r="B49" s="551"/>
      <c r="C49" s="151">
        <v>11.4</v>
      </c>
      <c r="D49" s="152" t="s">
        <v>1471</v>
      </c>
      <c r="E49" s="153"/>
      <c r="F49" s="143"/>
      <c r="G49" s="143"/>
      <c r="H49" s="143"/>
      <c r="I49" s="143"/>
      <c r="J49" s="143"/>
      <c r="K49" s="143"/>
      <c r="L49" s="143"/>
      <c r="M49" s="143"/>
      <c r="N49" s="143"/>
      <c r="O49" s="143"/>
      <c r="P49" s="143"/>
      <c r="Q49" s="143"/>
      <c r="R49" s="143"/>
      <c r="S49" s="143"/>
      <c r="T49" s="143"/>
      <c r="U49" s="143"/>
      <c r="V49" s="143"/>
      <c r="W49" s="143"/>
      <c r="X49" s="143"/>
      <c r="Y49" s="143"/>
    </row>
    <row r="50" spans="1:25" ht="13">
      <c r="A50" s="156"/>
      <c r="B50" s="157"/>
      <c r="C50" s="158"/>
      <c r="D50" s="144"/>
      <c r="E50" s="143"/>
      <c r="F50" s="143"/>
      <c r="G50" s="143"/>
      <c r="H50" s="143"/>
      <c r="I50" s="143"/>
      <c r="J50" s="143"/>
      <c r="K50" s="143"/>
      <c r="L50" s="143"/>
      <c r="M50" s="143"/>
      <c r="N50" s="143"/>
      <c r="O50" s="143"/>
      <c r="P50" s="143"/>
      <c r="Q50" s="143"/>
      <c r="R50" s="143"/>
      <c r="S50" s="143"/>
      <c r="T50" s="143"/>
      <c r="U50" s="143"/>
      <c r="V50" s="143"/>
      <c r="W50" s="143"/>
      <c r="X50" s="143"/>
      <c r="Y50" s="143"/>
    </row>
    <row r="51" spans="1:25" ht="13">
      <c r="A51" s="156"/>
      <c r="B51" s="157"/>
      <c r="C51" s="158"/>
      <c r="D51" s="144"/>
      <c r="E51" s="143"/>
      <c r="F51" s="143"/>
      <c r="G51" s="143"/>
      <c r="H51" s="143"/>
      <c r="I51" s="143"/>
      <c r="J51" s="143"/>
      <c r="K51" s="143"/>
      <c r="L51" s="143"/>
      <c r="M51" s="143"/>
      <c r="N51" s="143"/>
      <c r="O51" s="143"/>
      <c r="P51" s="143"/>
      <c r="Q51" s="143"/>
      <c r="R51" s="143"/>
      <c r="S51" s="143"/>
      <c r="T51" s="143"/>
      <c r="U51" s="143"/>
      <c r="V51" s="143"/>
      <c r="W51" s="143"/>
      <c r="X51" s="143"/>
      <c r="Y51" s="143"/>
    </row>
    <row r="52" spans="1:25" ht="13">
      <c r="A52" s="156"/>
      <c r="B52" s="157"/>
      <c r="C52" s="158"/>
      <c r="D52" s="144"/>
      <c r="E52" s="143"/>
      <c r="F52" s="143"/>
      <c r="G52" s="143"/>
      <c r="H52" s="143"/>
      <c r="I52" s="143"/>
      <c r="J52" s="143"/>
      <c r="K52" s="143"/>
      <c r="L52" s="143"/>
      <c r="M52" s="143"/>
      <c r="N52" s="143"/>
      <c r="O52" s="143"/>
      <c r="P52" s="143"/>
      <c r="Q52" s="143"/>
      <c r="R52" s="143"/>
      <c r="S52" s="143"/>
      <c r="T52" s="143"/>
      <c r="U52" s="143"/>
      <c r="V52" s="143"/>
      <c r="W52" s="143"/>
      <c r="X52" s="143"/>
      <c r="Y52" s="143"/>
    </row>
    <row r="53" spans="1:25" ht="13">
      <c r="A53" s="142"/>
      <c r="B53" s="157"/>
      <c r="C53" s="158"/>
      <c r="D53" s="144"/>
      <c r="E53" s="143"/>
      <c r="F53" s="143"/>
      <c r="G53" s="143"/>
      <c r="H53" s="143"/>
      <c r="I53" s="143"/>
      <c r="J53" s="143"/>
      <c r="K53" s="143"/>
      <c r="L53" s="143"/>
      <c r="M53" s="143"/>
      <c r="N53" s="143"/>
      <c r="O53" s="143"/>
      <c r="P53" s="143"/>
      <c r="Q53" s="143"/>
      <c r="R53" s="143"/>
      <c r="S53" s="143"/>
      <c r="T53" s="143"/>
      <c r="U53" s="143"/>
      <c r="V53" s="143"/>
      <c r="W53" s="143"/>
      <c r="X53" s="143"/>
      <c r="Y53" s="143"/>
    </row>
    <row r="54" spans="1:25" ht="13">
      <c r="A54" s="156"/>
      <c r="B54" s="157"/>
      <c r="C54" s="158"/>
      <c r="D54" s="144"/>
      <c r="E54" s="143"/>
      <c r="F54" s="143"/>
      <c r="G54" s="143"/>
      <c r="H54" s="143"/>
      <c r="I54" s="143"/>
      <c r="J54" s="143"/>
      <c r="K54" s="143"/>
      <c r="L54" s="143"/>
      <c r="M54" s="143"/>
      <c r="N54" s="143"/>
      <c r="O54" s="143"/>
      <c r="P54" s="143"/>
      <c r="Q54" s="143"/>
      <c r="R54" s="143"/>
      <c r="S54" s="143"/>
      <c r="T54" s="143"/>
      <c r="U54" s="143"/>
      <c r="V54" s="143"/>
      <c r="W54" s="143"/>
      <c r="X54" s="143"/>
      <c r="Y54" s="143"/>
    </row>
    <row r="55" spans="1:25" ht="13">
      <c r="A55" s="156"/>
      <c r="B55" s="157"/>
      <c r="C55" s="158"/>
      <c r="D55" s="144"/>
      <c r="E55" s="143"/>
      <c r="F55" s="143"/>
      <c r="G55" s="143"/>
      <c r="H55" s="143"/>
      <c r="I55" s="143"/>
      <c r="J55" s="143"/>
      <c r="K55" s="143"/>
      <c r="L55" s="143"/>
      <c r="M55" s="143"/>
      <c r="N55" s="143"/>
      <c r="O55" s="143"/>
      <c r="P55" s="143"/>
      <c r="Q55" s="143"/>
      <c r="R55" s="143"/>
      <c r="S55" s="143"/>
      <c r="T55" s="143"/>
      <c r="U55" s="143"/>
      <c r="V55" s="143"/>
      <c r="W55" s="143"/>
      <c r="X55" s="143"/>
      <c r="Y55" s="143"/>
    </row>
    <row r="56" spans="1:25" ht="13">
      <c r="A56" s="156"/>
      <c r="B56" s="157"/>
      <c r="C56" s="158"/>
      <c r="D56" s="144"/>
      <c r="E56" s="143"/>
      <c r="F56" s="143"/>
      <c r="G56" s="143"/>
      <c r="H56" s="143"/>
      <c r="I56" s="143"/>
      <c r="J56" s="143"/>
      <c r="K56" s="143"/>
      <c r="L56" s="143"/>
      <c r="M56" s="143"/>
      <c r="N56" s="143"/>
      <c r="O56" s="143"/>
      <c r="P56" s="143"/>
      <c r="Q56" s="143"/>
      <c r="R56" s="143"/>
      <c r="S56" s="143"/>
      <c r="T56" s="143"/>
      <c r="U56" s="143"/>
      <c r="V56" s="143"/>
      <c r="W56" s="143"/>
      <c r="X56" s="143"/>
      <c r="Y56" s="143"/>
    </row>
    <row r="57" spans="1:25" ht="13">
      <c r="A57" s="156"/>
      <c r="B57" s="157"/>
      <c r="C57" s="158"/>
      <c r="D57" s="144"/>
      <c r="E57" s="143"/>
      <c r="F57" s="143"/>
      <c r="G57" s="143"/>
      <c r="H57" s="143"/>
      <c r="I57" s="143"/>
      <c r="J57" s="143"/>
      <c r="K57" s="143"/>
      <c r="L57" s="143"/>
      <c r="M57" s="143"/>
      <c r="N57" s="143"/>
      <c r="O57" s="143"/>
      <c r="P57" s="143"/>
      <c r="Q57" s="143"/>
      <c r="R57" s="143"/>
      <c r="S57" s="143"/>
      <c r="T57" s="143"/>
      <c r="U57" s="143"/>
      <c r="V57" s="143"/>
      <c r="W57" s="143"/>
      <c r="X57" s="143"/>
      <c r="Y57" s="143"/>
    </row>
    <row r="58" spans="1:25" ht="13">
      <c r="A58" s="156"/>
      <c r="B58" s="144"/>
      <c r="C58" s="158"/>
      <c r="D58" s="157"/>
      <c r="E58" s="143"/>
      <c r="F58" s="143"/>
      <c r="G58" s="143"/>
      <c r="H58" s="143"/>
      <c r="I58" s="143"/>
      <c r="J58" s="143"/>
      <c r="K58" s="143"/>
      <c r="L58" s="143"/>
      <c r="M58" s="143"/>
      <c r="N58" s="143"/>
      <c r="O58" s="143"/>
      <c r="P58" s="143"/>
      <c r="Q58" s="143"/>
      <c r="R58" s="143"/>
      <c r="S58" s="143"/>
      <c r="T58" s="143"/>
      <c r="U58" s="143"/>
      <c r="V58" s="143"/>
      <c r="W58" s="143"/>
      <c r="X58" s="143"/>
      <c r="Y58" s="143"/>
    </row>
    <row r="59" spans="1:25" ht="13">
      <c r="A59" s="156"/>
      <c r="B59" s="157"/>
      <c r="C59" s="158"/>
      <c r="D59" s="144"/>
      <c r="E59" s="143"/>
      <c r="F59" s="143"/>
      <c r="G59" s="143"/>
      <c r="H59" s="143"/>
      <c r="I59" s="143"/>
      <c r="J59" s="143"/>
      <c r="K59" s="143"/>
      <c r="L59" s="143"/>
      <c r="M59" s="143"/>
      <c r="N59" s="143"/>
      <c r="O59" s="143"/>
      <c r="P59" s="143"/>
      <c r="Q59" s="143"/>
      <c r="R59" s="143"/>
      <c r="S59" s="143"/>
      <c r="T59" s="143"/>
      <c r="U59" s="143"/>
      <c r="V59" s="143"/>
      <c r="W59" s="143"/>
      <c r="X59" s="143"/>
      <c r="Y59" s="143"/>
    </row>
    <row r="60" spans="1:25" ht="13">
      <c r="A60" s="156"/>
      <c r="B60" s="157"/>
      <c r="C60" s="158"/>
      <c r="D60" s="144"/>
      <c r="E60" s="143"/>
      <c r="F60" s="143"/>
      <c r="G60" s="143"/>
      <c r="H60" s="143"/>
      <c r="I60" s="143"/>
      <c r="J60" s="143"/>
      <c r="K60" s="143"/>
      <c r="L60" s="143"/>
      <c r="M60" s="143"/>
      <c r="N60" s="143"/>
      <c r="O60" s="143"/>
      <c r="P60" s="143"/>
      <c r="Q60" s="143"/>
      <c r="R60" s="143"/>
      <c r="S60" s="143"/>
      <c r="T60" s="143"/>
      <c r="U60" s="143"/>
      <c r="V60" s="143"/>
      <c r="W60" s="143"/>
      <c r="X60" s="143"/>
      <c r="Y60" s="143"/>
    </row>
    <row r="61" spans="1:25" ht="13">
      <c r="A61" s="156"/>
      <c r="B61" s="157"/>
      <c r="C61" s="158"/>
      <c r="D61" s="144"/>
      <c r="E61" s="143"/>
      <c r="F61" s="143"/>
      <c r="G61" s="143"/>
      <c r="H61" s="143"/>
      <c r="I61" s="143"/>
      <c r="J61" s="143"/>
      <c r="K61" s="143"/>
      <c r="L61" s="143"/>
      <c r="M61" s="143"/>
      <c r="N61" s="143"/>
      <c r="O61" s="143"/>
      <c r="P61" s="143"/>
      <c r="Q61" s="143"/>
      <c r="R61" s="143"/>
      <c r="S61" s="143"/>
      <c r="T61" s="143"/>
      <c r="U61" s="143"/>
      <c r="V61" s="143"/>
      <c r="W61" s="143"/>
      <c r="X61" s="143"/>
      <c r="Y61" s="143"/>
    </row>
    <row r="62" spans="1:25" ht="13">
      <c r="A62" s="156"/>
      <c r="B62" s="157"/>
      <c r="C62" s="158"/>
      <c r="D62" s="144"/>
      <c r="E62" s="143"/>
      <c r="F62" s="143"/>
      <c r="G62" s="143"/>
      <c r="H62" s="143"/>
      <c r="I62" s="143"/>
      <c r="J62" s="143"/>
      <c r="K62" s="143"/>
      <c r="L62" s="143"/>
      <c r="M62" s="143"/>
      <c r="N62" s="143"/>
      <c r="O62" s="143"/>
      <c r="P62" s="143"/>
      <c r="Q62" s="143"/>
      <c r="R62" s="143"/>
      <c r="S62" s="143"/>
      <c r="T62" s="143"/>
      <c r="U62" s="143"/>
      <c r="V62" s="143"/>
      <c r="W62" s="143"/>
      <c r="X62" s="143"/>
      <c r="Y62" s="143"/>
    </row>
    <row r="63" spans="1:25" ht="13">
      <c r="A63" s="156"/>
      <c r="B63" s="157"/>
      <c r="C63" s="158"/>
      <c r="D63" s="144"/>
      <c r="E63" s="143"/>
      <c r="F63" s="143"/>
      <c r="G63" s="143"/>
      <c r="H63" s="143"/>
      <c r="I63" s="143"/>
      <c r="J63" s="143"/>
      <c r="K63" s="143"/>
      <c r="L63" s="143"/>
      <c r="M63" s="143"/>
      <c r="N63" s="143"/>
      <c r="O63" s="143"/>
      <c r="P63" s="143"/>
      <c r="Q63" s="143"/>
      <c r="R63" s="143"/>
      <c r="S63" s="143"/>
      <c r="T63" s="143"/>
      <c r="U63" s="143"/>
      <c r="V63" s="143"/>
      <c r="W63" s="143"/>
      <c r="X63" s="143"/>
      <c r="Y63" s="143"/>
    </row>
    <row r="64" spans="1:25" ht="13">
      <c r="A64" s="156"/>
      <c r="B64" s="157"/>
      <c r="C64" s="158"/>
      <c r="D64" s="144"/>
      <c r="E64" s="143"/>
      <c r="F64" s="143"/>
      <c r="G64" s="143"/>
      <c r="H64" s="143"/>
      <c r="I64" s="143"/>
      <c r="J64" s="143"/>
      <c r="K64" s="143"/>
      <c r="L64" s="143"/>
      <c r="M64" s="143"/>
      <c r="N64" s="143"/>
      <c r="O64" s="143"/>
      <c r="P64" s="143"/>
      <c r="Q64" s="143"/>
      <c r="R64" s="143"/>
      <c r="S64" s="143"/>
      <c r="T64" s="143"/>
      <c r="U64" s="143"/>
      <c r="V64" s="143"/>
      <c r="W64" s="143"/>
      <c r="X64" s="143"/>
      <c r="Y64" s="143"/>
    </row>
    <row r="65" spans="1:25" ht="13">
      <c r="A65" s="156"/>
      <c r="B65" s="157"/>
      <c r="C65" s="158"/>
      <c r="D65" s="144"/>
      <c r="E65" s="143"/>
      <c r="F65" s="143"/>
      <c r="G65" s="143"/>
      <c r="H65" s="143"/>
      <c r="I65" s="143"/>
      <c r="J65" s="143"/>
      <c r="K65" s="143"/>
      <c r="L65" s="143"/>
      <c r="M65" s="143"/>
      <c r="N65" s="143"/>
      <c r="O65" s="143"/>
      <c r="P65" s="143"/>
      <c r="Q65" s="143"/>
      <c r="R65" s="143"/>
      <c r="S65" s="143"/>
      <c r="T65" s="143"/>
      <c r="U65" s="143"/>
      <c r="V65" s="143"/>
      <c r="W65" s="143"/>
      <c r="X65" s="143"/>
      <c r="Y65" s="143"/>
    </row>
    <row r="66" spans="1:25" ht="13">
      <c r="A66" s="156"/>
      <c r="B66" s="157"/>
      <c r="C66" s="158"/>
      <c r="D66" s="144"/>
      <c r="E66" s="143"/>
      <c r="F66" s="143"/>
      <c r="G66" s="143"/>
      <c r="H66" s="143"/>
      <c r="I66" s="143"/>
      <c r="J66" s="143"/>
      <c r="K66" s="143"/>
      <c r="L66" s="143"/>
      <c r="M66" s="143"/>
      <c r="N66" s="143"/>
      <c r="O66" s="143"/>
      <c r="P66" s="143"/>
      <c r="Q66" s="143"/>
      <c r="R66" s="143"/>
      <c r="S66" s="143"/>
      <c r="T66" s="143"/>
      <c r="U66" s="143"/>
      <c r="V66" s="143"/>
      <c r="W66" s="143"/>
      <c r="X66" s="143"/>
      <c r="Y66" s="143"/>
    </row>
    <row r="67" spans="1:25" ht="13">
      <c r="A67" s="156"/>
      <c r="B67" s="157"/>
      <c r="C67" s="158"/>
      <c r="D67" s="144"/>
      <c r="E67" s="143"/>
      <c r="F67" s="143"/>
      <c r="G67" s="143"/>
      <c r="H67" s="143"/>
      <c r="I67" s="143"/>
      <c r="J67" s="143"/>
      <c r="K67" s="143"/>
      <c r="L67" s="143"/>
      <c r="M67" s="143"/>
      <c r="N67" s="143"/>
      <c r="O67" s="143"/>
      <c r="P67" s="143"/>
      <c r="Q67" s="143"/>
      <c r="R67" s="143"/>
      <c r="S67" s="143"/>
      <c r="T67" s="143"/>
      <c r="U67" s="143"/>
      <c r="V67" s="143"/>
      <c r="W67" s="143"/>
      <c r="X67" s="143"/>
      <c r="Y67" s="143"/>
    </row>
    <row r="68" spans="1:25" ht="13">
      <c r="A68" s="156"/>
      <c r="B68" s="157"/>
      <c r="C68" s="158"/>
      <c r="D68" s="144"/>
      <c r="E68" s="143"/>
      <c r="F68" s="143"/>
      <c r="G68" s="143"/>
      <c r="H68" s="143"/>
      <c r="I68" s="143"/>
      <c r="J68" s="143"/>
      <c r="K68" s="143"/>
      <c r="L68" s="143"/>
      <c r="M68" s="143"/>
      <c r="N68" s="143"/>
      <c r="O68" s="143"/>
      <c r="P68" s="143"/>
      <c r="Q68" s="143"/>
      <c r="R68" s="143"/>
      <c r="S68" s="143"/>
      <c r="T68" s="143"/>
      <c r="U68" s="143"/>
      <c r="V68" s="143"/>
      <c r="W68" s="143"/>
      <c r="X68" s="143"/>
      <c r="Y68" s="143"/>
    </row>
    <row r="69" spans="1:25" ht="13">
      <c r="A69" s="156"/>
      <c r="B69" s="157"/>
      <c r="C69" s="158"/>
      <c r="D69" s="144"/>
      <c r="E69" s="143"/>
      <c r="F69" s="143"/>
      <c r="G69" s="143"/>
      <c r="H69" s="143"/>
      <c r="I69" s="143"/>
      <c r="J69" s="143"/>
      <c r="K69" s="143"/>
      <c r="L69" s="143"/>
      <c r="M69" s="143"/>
      <c r="N69" s="143"/>
      <c r="O69" s="143"/>
      <c r="P69" s="143"/>
      <c r="Q69" s="143"/>
      <c r="R69" s="143"/>
      <c r="S69" s="143"/>
      <c r="T69" s="143"/>
      <c r="U69" s="143"/>
      <c r="V69" s="143"/>
      <c r="W69" s="143"/>
      <c r="X69" s="143"/>
      <c r="Y69" s="143"/>
    </row>
    <row r="70" spans="1:25" ht="13">
      <c r="A70" s="156"/>
      <c r="B70" s="157"/>
      <c r="C70" s="158"/>
      <c r="D70" s="144"/>
      <c r="E70" s="143"/>
      <c r="F70" s="143"/>
      <c r="G70" s="143"/>
      <c r="H70" s="143"/>
      <c r="I70" s="143"/>
      <c r="J70" s="143"/>
      <c r="K70" s="143"/>
      <c r="L70" s="143"/>
      <c r="M70" s="143"/>
      <c r="N70" s="143"/>
      <c r="O70" s="143"/>
      <c r="P70" s="143"/>
      <c r="Q70" s="143"/>
      <c r="R70" s="143"/>
      <c r="S70" s="143"/>
      <c r="T70" s="143"/>
      <c r="U70" s="143"/>
      <c r="V70" s="143"/>
      <c r="W70" s="143"/>
      <c r="X70" s="143"/>
      <c r="Y70" s="143"/>
    </row>
    <row r="71" spans="1:25" ht="13">
      <c r="A71" s="156"/>
      <c r="B71" s="157"/>
      <c r="C71" s="158"/>
      <c r="D71" s="144"/>
      <c r="E71" s="143"/>
      <c r="F71" s="143"/>
      <c r="G71" s="143"/>
      <c r="H71" s="143"/>
      <c r="I71" s="143"/>
      <c r="J71" s="143"/>
      <c r="K71" s="143"/>
      <c r="L71" s="143"/>
      <c r="M71" s="143"/>
      <c r="N71" s="143"/>
      <c r="O71" s="143"/>
      <c r="P71" s="143"/>
      <c r="Q71" s="143"/>
      <c r="R71" s="143"/>
      <c r="S71" s="143"/>
      <c r="T71" s="143"/>
      <c r="U71" s="143"/>
      <c r="V71" s="143"/>
      <c r="W71" s="143"/>
      <c r="X71" s="143"/>
      <c r="Y71" s="143"/>
    </row>
    <row r="72" spans="1:25" ht="13">
      <c r="A72" s="156"/>
      <c r="B72" s="157"/>
      <c r="C72" s="158"/>
      <c r="D72" s="144"/>
      <c r="E72" s="143"/>
      <c r="F72" s="143"/>
      <c r="G72" s="143"/>
      <c r="H72" s="143"/>
      <c r="I72" s="143"/>
      <c r="J72" s="143"/>
      <c r="K72" s="143"/>
      <c r="L72" s="143"/>
      <c r="M72" s="143"/>
      <c r="N72" s="143"/>
      <c r="O72" s="143"/>
      <c r="P72" s="143"/>
      <c r="Q72" s="143"/>
      <c r="R72" s="143"/>
      <c r="S72" s="143"/>
      <c r="T72" s="143"/>
      <c r="U72" s="143"/>
      <c r="V72" s="143"/>
      <c r="W72" s="143"/>
      <c r="X72" s="143"/>
      <c r="Y72" s="143"/>
    </row>
    <row r="73" spans="1:25" ht="13">
      <c r="A73" s="156"/>
      <c r="B73" s="157"/>
      <c r="C73" s="158"/>
      <c r="D73" s="144"/>
      <c r="E73" s="143"/>
      <c r="F73" s="143"/>
      <c r="G73" s="143"/>
      <c r="H73" s="143"/>
      <c r="I73" s="143"/>
      <c r="J73" s="143"/>
      <c r="K73" s="143"/>
      <c r="L73" s="143"/>
      <c r="M73" s="143"/>
      <c r="N73" s="143"/>
      <c r="O73" s="143"/>
      <c r="P73" s="143"/>
      <c r="Q73" s="143"/>
      <c r="R73" s="143"/>
      <c r="S73" s="143"/>
      <c r="T73" s="143"/>
      <c r="U73" s="143"/>
      <c r="V73" s="143"/>
      <c r="W73" s="143"/>
      <c r="X73" s="143"/>
      <c r="Y73" s="143"/>
    </row>
    <row r="74" spans="1:25" ht="13">
      <c r="A74" s="156"/>
      <c r="B74" s="157"/>
      <c r="C74" s="159"/>
      <c r="D74" s="144"/>
      <c r="E74" s="143"/>
      <c r="F74" s="143"/>
      <c r="G74" s="143"/>
      <c r="H74" s="143"/>
      <c r="I74" s="143"/>
      <c r="J74" s="143"/>
      <c r="K74" s="143"/>
      <c r="L74" s="143"/>
      <c r="M74" s="143"/>
      <c r="N74" s="143"/>
      <c r="O74" s="143"/>
      <c r="P74" s="143"/>
      <c r="Q74" s="143"/>
      <c r="R74" s="143"/>
      <c r="S74" s="143"/>
      <c r="T74" s="143"/>
      <c r="U74" s="143"/>
      <c r="V74" s="143"/>
      <c r="W74" s="143"/>
      <c r="X74" s="143"/>
      <c r="Y74" s="143"/>
    </row>
    <row r="75" spans="1:25" ht="13">
      <c r="A75" s="156"/>
      <c r="B75" s="157"/>
      <c r="C75" s="158"/>
      <c r="D75" s="144"/>
      <c r="E75" s="143"/>
      <c r="F75" s="143"/>
      <c r="G75" s="143"/>
      <c r="H75" s="143"/>
      <c r="I75" s="143"/>
      <c r="J75" s="143"/>
      <c r="K75" s="143"/>
      <c r="L75" s="143"/>
      <c r="M75" s="143"/>
      <c r="N75" s="143"/>
      <c r="O75" s="143"/>
      <c r="P75" s="143"/>
      <c r="Q75" s="143"/>
      <c r="R75" s="143"/>
      <c r="S75" s="143"/>
      <c r="T75" s="143"/>
      <c r="U75" s="143"/>
      <c r="V75" s="143"/>
      <c r="W75" s="143"/>
      <c r="X75" s="143"/>
      <c r="Y75" s="143"/>
    </row>
    <row r="76" spans="1:25" ht="13">
      <c r="A76" s="156"/>
      <c r="B76" s="157"/>
      <c r="C76" s="158"/>
      <c r="D76" s="144"/>
      <c r="E76" s="143"/>
      <c r="F76" s="143"/>
      <c r="G76" s="143"/>
      <c r="H76" s="143"/>
      <c r="I76" s="143"/>
      <c r="J76" s="143"/>
      <c r="K76" s="143"/>
      <c r="L76" s="143"/>
      <c r="M76" s="143"/>
      <c r="N76" s="143"/>
      <c r="O76" s="143"/>
      <c r="P76" s="143"/>
      <c r="Q76" s="143"/>
      <c r="R76" s="143"/>
      <c r="S76" s="143"/>
      <c r="T76" s="143"/>
      <c r="U76" s="143"/>
      <c r="V76" s="143"/>
      <c r="W76" s="143"/>
      <c r="X76" s="143"/>
      <c r="Y76" s="143"/>
    </row>
    <row r="77" spans="1:25" ht="13">
      <c r="A77" s="156"/>
      <c r="B77" s="157"/>
      <c r="C77" s="158"/>
      <c r="D77" s="144"/>
      <c r="E77" s="143"/>
      <c r="F77" s="143"/>
      <c r="G77" s="143"/>
      <c r="H77" s="143"/>
      <c r="I77" s="143"/>
      <c r="J77" s="143"/>
      <c r="K77" s="143"/>
      <c r="L77" s="143"/>
      <c r="M77" s="143"/>
      <c r="N77" s="143"/>
      <c r="O77" s="143"/>
      <c r="P77" s="143"/>
      <c r="Q77" s="143"/>
      <c r="R77" s="143"/>
      <c r="S77" s="143"/>
      <c r="T77" s="143"/>
      <c r="U77" s="143"/>
      <c r="V77" s="143"/>
      <c r="W77" s="143"/>
      <c r="X77" s="143"/>
      <c r="Y77" s="143"/>
    </row>
    <row r="78" spans="1:25" ht="13">
      <c r="A78" s="156"/>
      <c r="B78" s="157"/>
      <c r="C78" s="158"/>
      <c r="D78" s="144"/>
      <c r="E78" s="143"/>
      <c r="F78" s="143"/>
      <c r="G78" s="143"/>
      <c r="H78" s="143"/>
      <c r="I78" s="143"/>
      <c r="J78" s="143"/>
      <c r="K78" s="143"/>
      <c r="L78" s="143"/>
      <c r="M78" s="143"/>
      <c r="N78" s="143"/>
      <c r="O78" s="143"/>
      <c r="P78" s="143"/>
      <c r="Q78" s="143"/>
      <c r="R78" s="143"/>
      <c r="S78" s="143"/>
      <c r="T78" s="143"/>
      <c r="U78" s="143"/>
      <c r="V78" s="143"/>
      <c r="W78" s="143"/>
      <c r="X78" s="143"/>
      <c r="Y78" s="143"/>
    </row>
    <row r="79" spans="1:25" ht="13">
      <c r="A79" s="156"/>
      <c r="B79" s="157"/>
      <c r="C79" s="158"/>
      <c r="D79" s="144"/>
      <c r="E79" s="143"/>
      <c r="F79" s="143"/>
      <c r="G79" s="143"/>
      <c r="H79" s="143"/>
      <c r="I79" s="143"/>
      <c r="J79" s="143"/>
      <c r="K79" s="143"/>
      <c r="L79" s="143"/>
      <c r="M79" s="143"/>
      <c r="N79" s="143"/>
      <c r="O79" s="143"/>
      <c r="P79" s="143"/>
      <c r="Q79" s="143"/>
      <c r="R79" s="143"/>
      <c r="S79" s="143"/>
      <c r="T79" s="143"/>
      <c r="U79" s="143"/>
      <c r="V79" s="143"/>
      <c r="W79" s="143"/>
      <c r="X79" s="143"/>
      <c r="Y79" s="143"/>
    </row>
    <row r="80" spans="1:25" ht="13">
      <c r="A80" s="156"/>
      <c r="B80" s="157"/>
      <c r="C80" s="158"/>
      <c r="D80" s="144"/>
      <c r="E80" s="143"/>
      <c r="F80" s="143"/>
      <c r="G80" s="143"/>
      <c r="H80" s="143"/>
      <c r="I80" s="143"/>
      <c r="J80" s="143"/>
      <c r="K80" s="143"/>
      <c r="L80" s="143"/>
      <c r="M80" s="143"/>
      <c r="N80" s="143"/>
      <c r="O80" s="143"/>
      <c r="P80" s="143"/>
      <c r="Q80" s="143"/>
      <c r="R80" s="143"/>
      <c r="S80" s="143"/>
      <c r="T80" s="143"/>
      <c r="U80" s="143"/>
      <c r="V80" s="143"/>
      <c r="W80" s="143"/>
      <c r="X80" s="143"/>
      <c r="Y80" s="143"/>
    </row>
    <row r="81" spans="1:25" ht="13">
      <c r="A81" s="156"/>
      <c r="B81" s="157"/>
      <c r="C81" s="158"/>
      <c r="D81" s="144"/>
      <c r="E81" s="143"/>
      <c r="F81" s="143"/>
      <c r="G81" s="143"/>
      <c r="H81" s="143"/>
      <c r="I81" s="143"/>
      <c r="J81" s="143"/>
      <c r="K81" s="143"/>
      <c r="L81" s="143"/>
      <c r="M81" s="143"/>
      <c r="N81" s="143"/>
      <c r="O81" s="143"/>
      <c r="P81" s="143"/>
      <c r="Q81" s="143"/>
      <c r="R81" s="143"/>
      <c r="S81" s="143"/>
      <c r="T81" s="143"/>
      <c r="U81" s="143"/>
      <c r="V81" s="143"/>
      <c r="W81" s="143"/>
      <c r="X81" s="143"/>
      <c r="Y81" s="143"/>
    </row>
    <row r="82" spans="1:25" ht="13">
      <c r="A82" s="156"/>
      <c r="B82" s="157"/>
      <c r="C82" s="158"/>
      <c r="D82" s="144"/>
      <c r="E82" s="143"/>
      <c r="F82" s="143"/>
      <c r="G82" s="143"/>
      <c r="H82" s="143"/>
      <c r="I82" s="143"/>
      <c r="J82" s="143"/>
      <c r="K82" s="143"/>
      <c r="L82" s="143"/>
      <c r="M82" s="143"/>
      <c r="N82" s="143"/>
      <c r="O82" s="143"/>
      <c r="P82" s="143"/>
      <c r="Q82" s="143"/>
      <c r="R82" s="143"/>
      <c r="S82" s="143"/>
      <c r="T82" s="143"/>
      <c r="U82" s="143"/>
      <c r="V82" s="143"/>
      <c r="W82" s="143"/>
      <c r="X82" s="143"/>
      <c r="Y82" s="143"/>
    </row>
    <row r="83" spans="1:25" ht="13">
      <c r="A83" s="156"/>
      <c r="B83" s="157"/>
      <c r="C83" s="158"/>
      <c r="D83" s="144"/>
      <c r="E83" s="143"/>
      <c r="F83" s="143"/>
      <c r="G83" s="143"/>
      <c r="H83" s="143"/>
      <c r="I83" s="143"/>
      <c r="J83" s="143"/>
      <c r="K83" s="143"/>
      <c r="L83" s="143"/>
      <c r="M83" s="143"/>
      <c r="N83" s="143"/>
      <c r="O83" s="143"/>
      <c r="P83" s="143"/>
      <c r="Q83" s="143"/>
      <c r="R83" s="143"/>
      <c r="S83" s="143"/>
      <c r="T83" s="143"/>
      <c r="U83" s="143"/>
      <c r="V83" s="143"/>
      <c r="W83" s="143"/>
      <c r="X83" s="143"/>
      <c r="Y83" s="143"/>
    </row>
    <row r="84" spans="1:25" ht="13">
      <c r="A84" s="156"/>
      <c r="B84" s="157"/>
      <c r="C84" s="158"/>
      <c r="D84" s="144"/>
      <c r="E84" s="143"/>
      <c r="F84" s="143"/>
      <c r="G84" s="143"/>
      <c r="H84" s="143"/>
      <c r="I84" s="143"/>
      <c r="J84" s="143"/>
      <c r="K84" s="143"/>
      <c r="L84" s="143"/>
      <c r="M84" s="143"/>
      <c r="N84" s="143"/>
      <c r="O84" s="143"/>
      <c r="P84" s="143"/>
      <c r="Q84" s="143"/>
      <c r="R84" s="143"/>
      <c r="S84" s="143"/>
      <c r="T84" s="143"/>
      <c r="U84" s="143"/>
      <c r="V84" s="143"/>
      <c r="W84" s="143"/>
      <c r="X84" s="143"/>
      <c r="Y84" s="143"/>
    </row>
    <row r="85" spans="1:25" ht="13">
      <c r="A85" s="156"/>
      <c r="B85" s="157"/>
      <c r="C85" s="158"/>
      <c r="D85" s="157"/>
      <c r="E85" s="143"/>
      <c r="F85" s="143"/>
      <c r="G85" s="143"/>
      <c r="H85" s="143"/>
      <c r="I85" s="143"/>
      <c r="J85" s="143"/>
      <c r="K85" s="143"/>
      <c r="L85" s="143"/>
      <c r="M85" s="143"/>
      <c r="N85" s="143"/>
      <c r="O85" s="143"/>
      <c r="P85" s="143"/>
      <c r="Q85" s="143"/>
      <c r="R85" s="143"/>
      <c r="S85" s="143"/>
      <c r="T85" s="143"/>
      <c r="U85" s="143"/>
      <c r="V85" s="143"/>
      <c r="W85" s="143"/>
      <c r="X85" s="143"/>
      <c r="Y85" s="143"/>
    </row>
    <row r="86" spans="1:25" ht="13">
      <c r="A86" s="156"/>
      <c r="B86" s="157"/>
      <c r="C86" s="158"/>
      <c r="D86" s="144"/>
      <c r="E86" s="143"/>
      <c r="F86" s="143"/>
      <c r="G86" s="143"/>
      <c r="H86" s="143"/>
      <c r="I86" s="143"/>
      <c r="J86" s="143"/>
      <c r="K86" s="143"/>
      <c r="L86" s="143"/>
      <c r="M86" s="143"/>
      <c r="N86" s="143"/>
      <c r="O86" s="143"/>
      <c r="P86" s="143"/>
      <c r="Q86" s="143"/>
      <c r="R86" s="143"/>
      <c r="S86" s="143"/>
      <c r="T86" s="143"/>
      <c r="U86" s="143"/>
      <c r="V86" s="143"/>
      <c r="W86" s="143"/>
      <c r="X86" s="143"/>
      <c r="Y86" s="143"/>
    </row>
    <row r="87" spans="1:25" ht="13">
      <c r="A87" s="156"/>
      <c r="B87" s="157"/>
      <c r="C87" s="158"/>
      <c r="D87" s="144"/>
      <c r="E87" s="143"/>
      <c r="F87" s="143"/>
      <c r="G87" s="143"/>
      <c r="H87" s="143"/>
      <c r="I87" s="143"/>
      <c r="J87" s="143"/>
      <c r="K87" s="143"/>
      <c r="L87" s="143"/>
      <c r="M87" s="143"/>
      <c r="N87" s="143"/>
      <c r="O87" s="143"/>
      <c r="P87" s="143"/>
      <c r="Q87" s="143"/>
      <c r="R87" s="143"/>
      <c r="S87" s="143"/>
      <c r="T87" s="143"/>
      <c r="U87" s="143"/>
      <c r="V87" s="143"/>
      <c r="W87" s="143"/>
      <c r="X87" s="143"/>
      <c r="Y87" s="143"/>
    </row>
    <row r="88" spans="1:25" ht="13">
      <c r="A88" s="156"/>
      <c r="B88" s="157"/>
      <c r="C88" s="158"/>
      <c r="D88" s="144"/>
      <c r="E88" s="143"/>
      <c r="F88" s="143"/>
      <c r="G88" s="143"/>
      <c r="H88" s="143"/>
      <c r="I88" s="143"/>
      <c r="J88" s="143"/>
      <c r="K88" s="143"/>
      <c r="L88" s="143"/>
      <c r="M88" s="143"/>
      <c r="N88" s="143"/>
      <c r="O88" s="143"/>
      <c r="P88" s="143"/>
      <c r="Q88" s="143"/>
      <c r="R88" s="143"/>
      <c r="S88" s="143"/>
      <c r="T88" s="143"/>
      <c r="U88" s="143"/>
      <c r="V88" s="143"/>
      <c r="W88" s="143"/>
      <c r="X88" s="143"/>
      <c r="Y88" s="143"/>
    </row>
    <row r="89" spans="1:25" ht="13">
      <c r="A89" s="156"/>
      <c r="B89" s="157"/>
      <c r="C89" s="158"/>
      <c r="D89" s="144"/>
      <c r="E89" s="143"/>
      <c r="F89" s="143"/>
      <c r="G89" s="143"/>
      <c r="H89" s="143"/>
      <c r="I89" s="143"/>
      <c r="J89" s="143"/>
      <c r="K89" s="143"/>
      <c r="L89" s="143"/>
      <c r="M89" s="143"/>
      <c r="N89" s="143"/>
      <c r="O89" s="143"/>
      <c r="P89" s="143"/>
      <c r="Q89" s="143"/>
      <c r="R89" s="143"/>
      <c r="S89" s="143"/>
      <c r="T89" s="143"/>
      <c r="U89" s="143"/>
      <c r="V89" s="143"/>
      <c r="W89" s="143"/>
      <c r="X89" s="143"/>
      <c r="Y89" s="143"/>
    </row>
    <row r="90" spans="1:25" ht="13">
      <c r="A90" s="156"/>
      <c r="B90" s="157"/>
      <c r="C90" s="158"/>
      <c r="D90" s="144"/>
      <c r="E90" s="143"/>
      <c r="F90" s="143"/>
      <c r="G90" s="143"/>
      <c r="H90" s="143"/>
      <c r="I90" s="143"/>
      <c r="J90" s="143"/>
      <c r="K90" s="143"/>
      <c r="L90" s="143"/>
      <c r="M90" s="143"/>
      <c r="N90" s="143"/>
      <c r="O90" s="143"/>
      <c r="P90" s="143"/>
      <c r="Q90" s="143"/>
      <c r="R90" s="143"/>
      <c r="S90" s="143"/>
      <c r="T90" s="143"/>
      <c r="U90" s="143"/>
      <c r="V90" s="143"/>
      <c r="W90" s="143"/>
      <c r="X90" s="143"/>
      <c r="Y90" s="143"/>
    </row>
    <row r="91" spans="1:25" ht="13">
      <c r="A91" s="156"/>
      <c r="B91" s="157"/>
      <c r="C91" s="158"/>
      <c r="D91" s="144"/>
      <c r="E91" s="143"/>
      <c r="F91" s="143"/>
      <c r="G91" s="143"/>
      <c r="H91" s="143"/>
      <c r="I91" s="143"/>
      <c r="J91" s="143"/>
      <c r="K91" s="143"/>
      <c r="L91" s="143"/>
      <c r="M91" s="143"/>
      <c r="N91" s="143"/>
      <c r="O91" s="143"/>
      <c r="P91" s="143"/>
      <c r="Q91" s="143"/>
      <c r="R91" s="143"/>
      <c r="S91" s="143"/>
      <c r="T91" s="143"/>
      <c r="U91" s="143"/>
      <c r="V91" s="143"/>
      <c r="W91" s="143"/>
      <c r="X91" s="143"/>
      <c r="Y91" s="143"/>
    </row>
    <row r="92" spans="1:25" ht="13">
      <c r="A92" s="156"/>
      <c r="B92" s="157"/>
      <c r="C92" s="158"/>
      <c r="D92" s="144"/>
      <c r="E92" s="143"/>
      <c r="F92" s="143"/>
      <c r="G92" s="143"/>
      <c r="H92" s="143"/>
      <c r="I92" s="143"/>
      <c r="J92" s="143"/>
      <c r="K92" s="143"/>
      <c r="L92" s="143"/>
      <c r="M92" s="143"/>
      <c r="N92" s="143"/>
      <c r="O92" s="143"/>
      <c r="P92" s="143"/>
      <c r="Q92" s="143"/>
      <c r="R92" s="143"/>
      <c r="S92" s="143"/>
      <c r="T92" s="143"/>
      <c r="U92" s="143"/>
      <c r="V92" s="143"/>
      <c r="W92" s="143"/>
      <c r="X92" s="143"/>
      <c r="Y92" s="143"/>
    </row>
    <row r="93" spans="1:25" ht="13">
      <c r="A93" s="156"/>
      <c r="B93" s="157"/>
      <c r="C93" s="158"/>
      <c r="D93" s="144"/>
      <c r="E93" s="143"/>
      <c r="F93" s="143"/>
      <c r="G93" s="143"/>
      <c r="H93" s="143"/>
      <c r="I93" s="143"/>
      <c r="J93" s="143"/>
      <c r="K93" s="143"/>
      <c r="L93" s="143"/>
      <c r="M93" s="143"/>
      <c r="N93" s="143"/>
      <c r="O93" s="143"/>
      <c r="P93" s="143"/>
      <c r="Q93" s="143"/>
      <c r="R93" s="143"/>
      <c r="S93" s="143"/>
      <c r="T93" s="143"/>
      <c r="U93" s="143"/>
      <c r="V93" s="143"/>
      <c r="W93" s="143"/>
      <c r="X93" s="143"/>
      <c r="Y93" s="143"/>
    </row>
    <row r="94" spans="1:25" ht="13">
      <c r="A94" s="156"/>
      <c r="B94" s="157"/>
      <c r="C94" s="158"/>
      <c r="D94" s="144"/>
      <c r="E94" s="143"/>
      <c r="F94" s="143"/>
      <c r="G94" s="143"/>
      <c r="H94" s="143"/>
      <c r="I94" s="143"/>
      <c r="J94" s="143"/>
      <c r="K94" s="143"/>
      <c r="L94" s="143"/>
      <c r="M94" s="143"/>
      <c r="N94" s="143"/>
      <c r="O94" s="143"/>
      <c r="P94" s="143"/>
      <c r="Q94" s="143"/>
      <c r="R94" s="143"/>
      <c r="S94" s="143"/>
      <c r="T94" s="143"/>
      <c r="U94" s="143"/>
      <c r="V94" s="143"/>
      <c r="W94" s="143"/>
      <c r="X94" s="143"/>
      <c r="Y94" s="143"/>
    </row>
    <row r="95" spans="1:25" ht="13">
      <c r="A95" s="156"/>
      <c r="B95" s="157"/>
      <c r="C95" s="158"/>
      <c r="D95" s="144"/>
      <c r="E95" s="143"/>
      <c r="F95" s="143"/>
      <c r="G95" s="143"/>
      <c r="H95" s="143"/>
      <c r="I95" s="143"/>
      <c r="J95" s="143"/>
      <c r="K95" s="143"/>
      <c r="L95" s="143"/>
      <c r="M95" s="143"/>
      <c r="N95" s="143"/>
      <c r="O95" s="143"/>
      <c r="P95" s="143"/>
      <c r="Q95" s="143"/>
      <c r="R95" s="143"/>
      <c r="S95" s="143"/>
      <c r="T95" s="143"/>
      <c r="U95" s="143"/>
      <c r="V95" s="143"/>
      <c r="W95" s="143"/>
      <c r="X95" s="143"/>
      <c r="Y95" s="143"/>
    </row>
    <row r="96" spans="1:25" ht="13">
      <c r="A96" s="156"/>
      <c r="B96" s="157"/>
      <c r="C96" s="158"/>
      <c r="D96" s="144"/>
      <c r="E96" s="143"/>
      <c r="F96" s="143"/>
      <c r="G96" s="143"/>
      <c r="H96" s="143"/>
      <c r="I96" s="143"/>
      <c r="J96" s="143"/>
      <c r="K96" s="143"/>
      <c r="L96" s="143"/>
      <c r="M96" s="143"/>
      <c r="N96" s="143"/>
      <c r="O96" s="143"/>
      <c r="P96" s="143"/>
      <c r="Q96" s="143"/>
      <c r="R96" s="143"/>
      <c r="S96" s="143"/>
      <c r="T96" s="143"/>
      <c r="U96" s="143"/>
      <c r="V96" s="143"/>
      <c r="W96" s="143"/>
      <c r="X96" s="143"/>
      <c r="Y96" s="143"/>
    </row>
    <row r="97" spans="1:25" ht="13">
      <c r="A97" s="156"/>
      <c r="B97" s="157"/>
      <c r="C97" s="158"/>
      <c r="D97" s="144"/>
      <c r="E97" s="143"/>
      <c r="F97" s="143"/>
      <c r="G97" s="143"/>
      <c r="H97" s="143"/>
      <c r="I97" s="143"/>
      <c r="J97" s="143"/>
      <c r="K97" s="143"/>
      <c r="L97" s="143"/>
      <c r="M97" s="143"/>
      <c r="N97" s="143"/>
      <c r="O97" s="143"/>
      <c r="P97" s="143"/>
      <c r="Q97" s="143"/>
      <c r="R97" s="143"/>
      <c r="S97" s="143"/>
      <c r="T97" s="143"/>
      <c r="U97" s="143"/>
      <c r="V97" s="143"/>
      <c r="W97" s="143"/>
      <c r="X97" s="143"/>
      <c r="Y97" s="143"/>
    </row>
    <row r="98" spans="1:25" ht="13">
      <c r="A98" s="156"/>
      <c r="B98" s="157"/>
      <c r="C98" s="158"/>
      <c r="D98" s="144"/>
      <c r="E98" s="143"/>
      <c r="F98" s="143"/>
      <c r="G98" s="143"/>
      <c r="H98" s="143"/>
      <c r="I98" s="143"/>
      <c r="J98" s="143"/>
      <c r="K98" s="143"/>
      <c r="L98" s="143"/>
      <c r="M98" s="143"/>
      <c r="N98" s="143"/>
      <c r="O98" s="143"/>
      <c r="P98" s="143"/>
      <c r="Q98" s="143"/>
      <c r="R98" s="143"/>
      <c r="S98" s="143"/>
      <c r="T98" s="143"/>
      <c r="U98" s="143"/>
      <c r="V98" s="143"/>
      <c r="W98" s="143"/>
      <c r="X98" s="143"/>
      <c r="Y98" s="143"/>
    </row>
    <row r="99" spans="1:25" ht="13">
      <c r="A99" s="156"/>
      <c r="B99" s="157"/>
      <c r="C99" s="158"/>
      <c r="D99" s="144"/>
      <c r="E99" s="143"/>
      <c r="F99" s="143"/>
      <c r="G99" s="143"/>
      <c r="H99" s="143"/>
      <c r="I99" s="143"/>
      <c r="J99" s="143"/>
      <c r="K99" s="143"/>
      <c r="L99" s="143"/>
      <c r="M99" s="143"/>
      <c r="N99" s="143"/>
      <c r="O99" s="143"/>
      <c r="P99" s="143"/>
      <c r="Q99" s="143"/>
      <c r="R99" s="143"/>
      <c r="S99" s="143"/>
      <c r="T99" s="143"/>
      <c r="U99" s="143"/>
      <c r="V99" s="143"/>
      <c r="W99" s="143"/>
      <c r="X99" s="143"/>
      <c r="Y99" s="143"/>
    </row>
    <row r="100" spans="1:25" ht="13">
      <c r="A100" s="156"/>
      <c r="B100" s="157"/>
      <c r="C100" s="158"/>
      <c r="D100" s="144"/>
      <c r="E100" s="143"/>
      <c r="F100" s="143"/>
      <c r="G100" s="143"/>
      <c r="H100" s="143"/>
      <c r="I100" s="143"/>
      <c r="J100" s="143"/>
      <c r="K100" s="143"/>
      <c r="L100" s="143"/>
      <c r="M100" s="143"/>
      <c r="N100" s="143"/>
      <c r="O100" s="143"/>
      <c r="P100" s="143"/>
      <c r="Q100" s="143"/>
      <c r="R100" s="143"/>
      <c r="S100" s="143"/>
      <c r="T100" s="143"/>
      <c r="U100" s="143"/>
      <c r="V100" s="143"/>
      <c r="W100" s="143"/>
      <c r="X100" s="143"/>
      <c r="Y100" s="143"/>
    </row>
    <row r="101" spans="1:25" ht="13">
      <c r="A101" s="156"/>
      <c r="B101" s="157"/>
      <c r="C101" s="158"/>
      <c r="D101" s="144"/>
      <c r="E101" s="143"/>
      <c r="F101" s="143"/>
      <c r="G101" s="143"/>
      <c r="H101" s="143"/>
      <c r="I101" s="143"/>
      <c r="J101" s="143"/>
      <c r="K101" s="143"/>
      <c r="L101" s="143"/>
      <c r="M101" s="143"/>
      <c r="N101" s="143"/>
      <c r="O101" s="143"/>
      <c r="P101" s="143"/>
      <c r="Q101" s="143"/>
      <c r="R101" s="143"/>
      <c r="S101" s="143"/>
      <c r="T101" s="143"/>
      <c r="U101" s="143"/>
      <c r="V101" s="143"/>
      <c r="W101" s="143"/>
      <c r="X101" s="143"/>
      <c r="Y101" s="143"/>
    </row>
    <row r="102" spans="1:25" ht="13">
      <c r="A102" s="156"/>
      <c r="B102" s="157"/>
      <c r="C102" s="158"/>
      <c r="D102" s="144"/>
      <c r="E102" s="143"/>
      <c r="F102" s="143"/>
      <c r="G102" s="143"/>
      <c r="H102" s="143"/>
      <c r="I102" s="143"/>
      <c r="J102" s="143"/>
      <c r="K102" s="143"/>
      <c r="L102" s="143"/>
      <c r="M102" s="143"/>
      <c r="N102" s="143"/>
      <c r="O102" s="143"/>
      <c r="P102" s="143"/>
      <c r="Q102" s="143"/>
      <c r="R102" s="143"/>
      <c r="S102" s="143"/>
      <c r="T102" s="143"/>
      <c r="U102" s="143"/>
      <c r="V102" s="143"/>
      <c r="W102" s="143"/>
      <c r="X102" s="143"/>
      <c r="Y102" s="143"/>
    </row>
    <row r="103" spans="1:25" ht="13">
      <c r="A103" s="156"/>
      <c r="B103" s="157"/>
      <c r="C103" s="158"/>
      <c r="D103" s="144"/>
      <c r="E103" s="143"/>
      <c r="F103" s="143"/>
      <c r="G103" s="143"/>
      <c r="H103" s="143"/>
      <c r="I103" s="143"/>
      <c r="J103" s="143"/>
      <c r="K103" s="143"/>
      <c r="L103" s="143"/>
      <c r="M103" s="143"/>
      <c r="N103" s="143"/>
      <c r="O103" s="143"/>
      <c r="P103" s="143"/>
      <c r="Q103" s="143"/>
      <c r="R103" s="143"/>
      <c r="S103" s="143"/>
      <c r="T103" s="143"/>
      <c r="U103" s="143"/>
      <c r="V103" s="143"/>
      <c r="W103" s="143"/>
      <c r="X103" s="143"/>
      <c r="Y103" s="143"/>
    </row>
    <row r="104" spans="1:25" ht="13">
      <c r="A104" s="156"/>
      <c r="B104" s="157"/>
      <c r="C104" s="158"/>
      <c r="D104" s="144"/>
      <c r="E104" s="143"/>
      <c r="F104" s="143"/>
      <c r="G104" s="143"/>
      <c r="H104" s="143"/>
      <c r="I104" s="143"/>
      <c r="J104" s="143"/>
      <c r="K104" s="143"/>
      <c r="L104" s="143"/>
      <c r="M104" s="143"/>
      <c r="N104" s="143"/>
      <c r="O104" s="143"/>
      <c r="P104" s="143"/>
      <c r="Q104" s="143"/>
      <c r="R104" s="143"/>
      <c r="S104" s="143"/>
      <c r="T104" s="143"/>
      <c r="U104" s="143"/>
      <c r="V104" s="143"/>
      <c r="W104" s="143"/>
      <c r="X104" s="143"/>
      <c r="Y104" s="143"/>
    </row>
    <row r="105" spans="1:25" ht="13">
      <c r="A105" s="156"/>
      <c r="B105" s="157"/>
      <c r="C105" s="158"/>
      <c r="D105" s="144"/>
      <c r="E105" s="143"/>
      <c r="F105" s="143"/>
      <c r="G105" s="143"/>
      <c r="H105" s="143"/>
      <c r="I105" s="143"/>
      <c r="J105" s="143"/>
      <c r="K105" s="143"/>
      <c r="L105" s="143"/>
      <c r="M105" s="143"/>
      <c r="N105" s="143"/>
      <c r="O105" s="143"/>
      <c r="P105" s="143"/>
      <c r="Q105" s="143"/>
      <c r="R105" s="143"/>
      <c r="S105" s="143"/>
      <c r="T105" s="143"/>
      <c r="U105" s="143"/>
      <c r="V105" s="143"/>
      <c r="W105" s="143"/>
      <c r="X105" s="143"/>
      <c r="Y105" s="143"/>
    </row>
    <row r="106" spans="1:25" ht="13">
      <c r="A106" s="156"/>
      <c r="B106" s="157"/>
      <c r="C106" s="158"/>
      <c r="D106" s="144"/>
      <c r="E106" s="143"/>
      <c r="F106" s="143"/>
      <c r="G106" s="143"/>
      <c r="H106" s="143"/>
      <c r="I106" s="143"/>
      <c r="J106" s="143"/>
      <c r="K106" s="143"/>
      <c r="L106" s="143"/>
      <c r="M106" s="143"/>
      <c r="N106" s="143"/>
      <c r="O106" s="143"/>
      <c r="P106" s="143"/>
      <c r="Q106" s="143"/>
      <c r="R106" s="143"/>
      <c r="S106" s="143"/>
      <c r="T106" s="143"/>
      <c r="U106" s="143"/>
      <c r="V106" s="143"/>
      <c r="W106" s="143"/>
      <c r="X106" s="143"/>
      <c r="Y106" s="143"/>
    </row>
    <row r="107" spans="1:25" ht="13">
      <c r="A107" s="156"/>
      <c r="B107" s="157"/>
      <c r="C107" s="158"/>
      <c r="D107" s="144"/>
      <c r="E107" s="143"/>
      <c r="F107" s="143"/>
      <c r="G107" s="143"/>
      <c r="H107" s="143"/>
      <c r="I107" s="143"/>
      <c r="J107" s="143"/>
      <c r="K107" s="143"/>
      <c r="L107" s="143"/>
      <c r="M107" s="143"/>
      <c r="N107" s="143"/>
      <c r="O107" s="143"/>
      <c r="P107" s="143"/>
      <c r="Q107" s="143"/>
      <c r="R107" s="143"/>
      <c r="S107" s="143"/>
      <c r="T107" s="143"/>
      <c r="U107" s="143"/>
      <c r="V107" s="143"/>
      <c r="W107" s="143"/>
      <c r="X107" s="143"/>
      <c r="Y107" s="143"/>
    </row>
    <row r="108" spans="1:25" ht="13">
      <c r="A108" s="156"/>
      <c r="B108" s="157"/>
      <c r="C108" s="158"/>
      <c r="D108" s="144"/>
      <c r="E108" s="143"/>
      <c r="F108" s="143"/>
      <c r="G108" s="143"/>
      <c r="H108" s="143"/>
      <c r="I108" s="143"/>
      <c r="J108" s="143"/>
      <c r="K108" s="143"/>
      <c r="L108" s="143"/>
      <c r="M108" s="143"/>
      <c r="N108" s="143"/>
      <c r="O108" s="143"/>
      <c r="P108" s="143"/>
      <c r="Q108" s="143"/>
      <c r="R108" s="143"/>
      <c r="S108" s="143"/>
      <c r="T108" s="143"/>
      <c r="U108" s="143"/>
      <c r="V108" s="143"/>
      <c r="W108" s="143"/>
      <c r="X108" s="143"/>
      <c r="Y108" s="143"/>
    </row>
    <row r="109" spans="1:25" ht="13">
      <c r="A109" s="156"/>
      <c r="B109" s="157"/>
      <c r="C109" s="158"/>
      <c r="D109" s="144"/>
      <c r="E109" s="143"/>
      <c r="F109" s="143"/>
      <c r="G109" s="143"/>
      <c r="H109" s="143"/>
      <c r="I109" s="143"/>
      <c r="J109" s="143"/>
      <c r="K109" s="143"/>
      <c r="L109" s="143"/>
      <c r="M109" s="143"/>
      <c r="N109" s="143"/>
      <c r="O109" s="143"/>
      <c r="P109" s="143"/>
      <c r="Q109" s="143"/>
      <c r="R109" s="143"/>
      <c r="S109" s="143"/>
      <c r="T109" s="143"/>
      <c r="U109" s="143"/>
      <c r="V109" s="143"/>
      <c r="W109" s="143"/>
      <c r="X109" s="143"/>
      <c r="Y109" s="143"/>
    </row>
    <row r="110" spans="1:25" ht="13">
      <c r="A110" s="156"/>
      <c r="B110" s="157"/>
      <c r="C110" s="158"/>
      <c r="D110" s="144"/>
      <c r="E110" s="143"/>
      <c r="F110" s="143"/>
      <c r="G110" s="143"/>
      <c r="H110" s="143"/>
      <c r="I110" s="143"/>
      <c r="J110" s="143"/>
      <c r="K110" s="143"/>
      <c r="L110" s="143"/>
      <c r="M110" s="143"/>
      <c r="N110" s="143"/>
      <c r="O110" s="143"/>
      <c r="P110" s="143"/>
      <c r="Q110" s="143"/>
      <c r="R110" s="143"/>
      <c r="S110" s="143"/>
      <c r="T110" s="143"/>
      <c r="U110" s="143"/>
      <c r="V110" s="143"/>
      <c r="W110" s="143"/>
      <c r="X110" s="143"/>
      <c r="Y110" s="143"/>
    </row>
    <row r="111" spans="1:25" ht="13">
      <c r="A111" s="156"/>
      <c r="B111" s="157"/>
      <c r="C111" s="158"/>
      <c r="D111" s="144"/>
      <c r="E111" s="143"/>
      <c r="F111" s="143"/>
      <c r="G111" s="143"/>
      <c r="H111" s="143"/>
      <c r="I111" s="143"/>
      <c r="J111" s="143"/>
      <c r="K111" s="143"/>
      <c r="L111" s="143"/>
      <c r="M111" s="143"/>
      <c r="N111" s="143"/>
      <c r="O111" s="143"/>
      <c r="P111" s="143"/>
      <c r="Q111" s="143"/>
      <c r="R111" s="143"/>
      <c r="S111" s="143"/>
      <c r="T111" s="143"/>
      <c r="U111" s="143"/>
      <c r="V111" s="143"/>
      <c r="W111" s="143"/>
      <c r="X111" s="143"/>
      <c r="Y111" s="143"/>
    </row>
    <row r="112" spans="1:25" ht="13">
      <c r="A112" s="156"/>
      <c r="B112" s="157"/>
      <c r="C112" s="158"/>
      <c r="D112" s="144"/>
      <c r="E112" s="143"/>
      <c r="F112" s="143"/>
      <c r="G112" s="143"/>
      <c r="H112" s="143"/>
      <c r="I112" s="143"/>
      <c r="J112" s="143"/>
      <c r="K112" s="143"/>
      <c r="L112" s="143"/>
      <c r="M112" s="143"/>
      <c r="N112" s="143"/>
      <c r="O112" s="143"/>
      <c r="P112" s="143"/>
      <c r="Q112" s="143"/>
      <c r="R112" s="143"/>
      <c r="S112" s="143"/>
      <c r="T112" s="143"/>
      <c r="U112" s="143"/>
      <c r="V112" s="143"/>
      <c r="W112" s="143"/>
      <c r="X112" s="143"/>
      <c r="Y112" s="143"/>
    </row>
    <row r="113" spans="1:25" ht="13">
      <c r="A113" s="156"/>
      <c r="B113" s="157"/>
      <c r="C113" s="158"/>
      <c r="D113" s="144"/>
      <c r="E113" s="143"/>
      <c r="F113" s="143"/>
      <c r="G113" s="143"/>
      <c r="H113" s="143"/>
      <c r="I113" s="143"/>
      <c r="J113" s="143"/>
      <c r="K113" s="143"/>
      <c r="L113" s="143"/>
      <c r="M113" s="143"/>
      <c r="N113" s="143"/>
      <c r="O113" s="143"/>
      <c r="P113" s="143"/>
      <c r="Q113" s="143"/>
      <c r="R113" s="143"/>
      <c r="S113" s="143"/>
      <c r="T113" s="143"/>
      <c r="U113" s="143"/>
      <c r="V113" s="143"/>
      <c r="W113" s="143"/>
      <c r="X113" s="143"/>
      <c r="Y113" s="143"/>
    </row>
    <row r="114" spans="1:25" ht="13">
      <c r="A114" s="156"/>
      <c r="B114" s="157"/>
      <c r="C114" s="158"/>
      <c r="D114" s="144"/>
      <c r="E114" s="143"/>
      <c r="F114" s="143"/>
      <c r="G114" s="143"/>
      <c r="H114" s="143"/>
      <c r="I114" s="143"/>
      <c r="J114" s="143"/>
      <c r="K114" s="143"/>
      <c r="L114" s="143"/>
      <c r="M114" s="143"/>
      <c r="N114" s="143"/>
      <c r="O114" s="143"/>
      <c r="P114" s="143"/>
      <c r="Q114" s="143"/>
      <c r="R114" s="143"/>
      <c r="S114" s="143"/>
      <c r="T114" s="143"/>
      <c r="U114" s="143"/>
      <c r="V114" s="143"/>
      <c r="W114" s="143"/>
      <c r="X114" s="143"/>
      <c r="Y114" s="143"/>
    </row>
    <row r="115" spans="1:25" ht="13">
      <c r="A115" s="156"/>
      <c r="B115" s="157"/>
      <c r="C115" s="158"/>
      <c r="D115" s="144"/>
      <c r="E115" s="143"/>
      <c r="F115" s="143"/>
      <c r="G115" s="143"/>
      <c r="H115" s="143"/>
      <c r="I115" s="143"/>
      <c r="J115" s="143"/>
      <c r="K115" s="143"/>
      <c r="L115" s="143"/>
      <c r="M115" s="143"/>
      <c r="N115" s="143"/>
      <c r="O115" s="143"/>
      <c r="P115" s="143"/>
      <c r="Q115" s="143"/>
      <c r="R115" s="143"/>
      <c r="S115" s="143"/>
      <c r="T115" s="143"/>
      <c r="U115" s="143"/>
      <c r="V115" s="143"/>
      <c r="W115" s="143"/>
      <c r="X115" s="143"/>
      <c r="Y115" s="143"/>
    </row>
    <row r="116" spans="1:25" ht="13">
      <c r="A116" s="156"/>
      <c r="B116" s="157"/>
      <c r="C116" s="158"/>
      <c r="D116" s="144"/>
      <c r="E116" s="143"/>
      <c r="F116" s="143"/>
      <c r="G116" s="143"/>
      <c r="H116" s="143"/>
      <c r="I116" s="143"/>
      <c r="J116" s="143"/>
      <c r="K116" s="143"/>
      <c r="L116" s="143"/>
      <c r="M116" s="143"/>
      <c r="N116" s="143"/>
      <c r="O116" s="143"/>
      <c r="P116" s="143"/>
      <c r="Q116" s="143"/>
      <c r="R116" s="143"/>
      <c r="S116" s="143"/>
      <c r="T116" s="143"/>
      <c r="U116" s="143"/>
      <c r="V116" s="143"/>
      <c r="W116" s="143"/>
      <c r="X116" s="143"/>
      <c r="Y116" s="143"/>
    </row>
    <row r="117" spans="1:25" ht="13">
      <c r="A117" s="156"/>
      <c r="B117" s="157"/>
      <c r="C117" s="158"/>
      <c r="D117" s="144"/>
      <c r="E117" s="143"/>
      <c r="F117" s="143"/>
      <c r="G117" s="143"/>
      <c r="H117" s="143"/>
      <c r="I117" s="143"/>
      <c r="J117" s="143"/>
      <c r="K117" s="143"/>
      <c r="L117" s="143"/>
      <c r="M117" s="143"/>
      <c r="N117" s="143"/>
      <c r="O117" s="143"/>
      <c r="P117" s="143"/>
      <c r="Q117" s="143"/>
      <c r="R117" s="143"/>
      <c r="S117" s="143"/>
      <c r="T117" s="143"/>
      <c r="U117" s="143"/>
      <c r="V117" s="143"/>
      <c r="W117" s="143"/>
      <c r="X117" s="143"/>
      <c r="Y117" s="143"/>
    </row>
    <row r="118" spans="1:25" ht="13">
      <c r="A118" s="156"/>
      <c r="B118" s="157"/>
      <c r="C118" s="158"/>
      <c r="D118" s="144"/>
      <c r="E118" s="143"/>
      <c r="F118" s="143"/>
      <c r="G118" s="143"/>
      <c r="H118" s="143"/>
      <c r="I118" s="143"/>
      <c r="J118" s="143"/>
      <c r="K118" s="143"/>
      <c r="L118" s="143"/>
      <c r="M118" s="143"/>
      <c r="N118" s="143"/>
      <c r="O118" s="143"/>
      <c r="P118" s="143"/>
      <c r="Q118" s="143"/>
      <c r="R118" s="143"/>
      <c r="S118" s="143"/>
      <c r="T118" s="143"/>
      <c r="U118" s="143"/>
      <c r="V118" s="143"/>
      <c r="W118" s="143"/>
      <c r="X118" s="143"/>
      <c r="Y118" s="143"/>
    </row>
    <row r="119" spans="1:25" ht="13">
      <c r="A119" s="156"/>
      <c r="B119" s="157"/>
      <c r="C119" s="158"/>
      <c r="D119" s="144"/>
      <c r="E119" s="143"/>
      <c r="F119" s="143"/>
      <c r="G119" s="143"/>
      <c r="H119" s="143"/>
      <c r="I119" s="143"/>
      <c r="J119" s="143"/>
      <c r="K119" s="143"/>
      <c r="L119" s="143"/>
      <c r="M119" s="143"/>
      <c r="N119" s="143"/>
      <c r="O119" s="143"/>
      <c r="P119" s="143"/>
      <c r="Q119" s="143"/>
      <c r="R119" s="143"/>
      <c r="S119" s="143"/>
      <c r="T119" s="143"/>
      <c r="U119" s="143"/>
      <c r="V119" s="143"/>
      <c r="W119" s="143"/>
      <c r="X119" s="143"/>
      <c r="Y119" s="143"/>
    </row>
    <row r="120" spans="1:25" ht="13">
      <c r="A120" s="156"/>
      <c r="B120" s="157"/>
      <c r="C120" s="158"/>
      <c r="D120" s="144"/>
      <c r="E120" s="143"/>
      <c r="F120" s="143"/>
      <c r="G120" s="143"/>
      <c r="H120" s="143"/>
      <c r="I120" s="143"/>
      <c r="J120" s="143"/>
      <c r="K120" s="143"/>
      <c r="L120" s="143"/>
      <c r="M120" s="143"/>
      <c r="N120" s="143"/>
      <c r="O120" s="143"/>
      <c r="P120" s="143"/>
      <c r="Q120" s="143"/>
      <c r="R120" s="143"/>
      <c r="S120" s="143"/>
      <c r="T120" s="143"/>
      <c r="U120" s="143"/>
      <c r="V120" s="143"/>
      <c r="W120" s="143"/>
      <c r="X120" s="143"/>
      <c r="Y120" s="143"/>
    </row>
    <row r="121" spans="1:25" ht="13">
      <c r="A121" s="156"/>
      <c r="B121" s="157"/>
      <c r="C121" s="158"/>
      <c r="D121" s="144"/>
      <c r="E121" s="143"/>
      <c r="F121" s="143"/>
      <c r="G121" s="143"/>
      <c r="H121" s="143"/>
      <c r="I121" s="143"/>
      <c r="J121" s="143"/>
      <c r="K121" s="143"/>
      <c r="L121" s="143"/>
      <c r="M121" s="143"/>
      <c r="N121" s="143"/>
      <c r="O121" s="143"/>
      <c r="P121" s="143"/>
      <c r="Q121" s="143"/>
      <c r="R121" s="143"/>
      <c r="S121" s="143"/>
      <c r="T121" s="143"/>
      <c r="U121" s="143"/>
      <c r="V121" s="143"/>
      <c r="W121" s="143"/>
      <c r="X121" s="143"/>
      <c r="Y121" s="143"/>
    </row>
    <row r="122" spans="1:25" ht="13">
      <c r="A122" s="156"/>
      <c r="B122" s="157"/>
      <c r="C122" s="158"/>
      <c r="D122" s="144"/>
      <c r="E122" s="143"/>
      <c r="F122" s="143"/>
      <c r="G122" s="143"/>
      <c r="H122" s="143"/>
      <c r="I122" s="143"/>
      <c r="J122" s="143"/>
      <c r="K122" s="143"/>
      <c r="L122" s="143"/>
      <c r="M122" s="143"/>
      <c r="N122" s="143"/>
      <c r="O122" s="143"/>
      <c r="P122" s="143"/>
      <c r="Q122" s="143"/>
      <c r="R122" s="143"/>
      <c r="S122" s="143"/>
      <c r="T122" s="143"/>
      <c r="U122" s="143"/>
      <c r="V122" s="143"/>
      <c r="W122" s="143"/>
      <c r="X122" s="143"/>
      <c r="Y122" s="143"/>
    </row>
    <row r="123" spans="1:25" ht="13">
      <c r="A123" s="156"/>
      <c r="B123" s="157"/>
      <c r="C123" s="158"/>
      <c r="D123" s="144"/>
      <c r="E123" s="143"/>
      <c r="F123" s="143"/>
      <c r="G123" s="143"/>
      <c r="H123" s="143"/>
      <c r="I123" s="143"/>
      <c r="J123" s="143"/>
      <c r="K123" s="143"/>
      <c r="L123" s="143"/>
      <c r="M123" s="143"/>
      <c r="N123" s="143"/>
      <c r="O123" s="143"/>
      <c r="P123" s="143"/>
      <c r="Q123" s="143"/>
      <c r="R123" s="143"/>
      <c r="S123" s="143"/>
      <c r="T123" s="143"/>
      <c r="U123" s="143"/>
      <c r="V123" s="143"/>
      <c r="W123" s="143"/>
      <c r="X123" s="143"/>
      <c r="Y123" s="143"/>
    </row>
    <row r="124" spans="1:25" ht="13">
      <c r="A124" s="156"/>
      <c r="B124" s="157"/>
      <c r="C124" s="158"/>
      <c r="D124" s="144"/>
      <c r="E124" s="143"/>
      <c r="F124" s="143"/>
      <c r="G124" s="143"/>
      <c r="H124" s="143"/>
      <c r="I124" s="143"/>
      <c r="J124" s="143"/>
      <c r="K124" s="143"/>
      <c r="L124" s="143"/>
      <c r="M124" s="143"/>
      <c r="N124" s="143"/>
      <c r="O124" s="143"/>
      <c r="P124" s="143"/>
      <c r="Q124" s="143"/>
      <c r="R124" s="143"/>
      <c r="S124" s="143"/>
      <c r="T124" s="143"/>
      <c r="U124" s="143"/>
      <c r="V124" s="143"/>
      <c r="W124" s="143"/>
      <c r="X124" s="143"/>
      <c r="Y124" s="143"/>
    </row>
    <row r="125" spans="1:25" ht="13">
      <c r="A125" s="156"/>
      <c r="B125" s="157"/>
      <c r="C125" s="158"/>
      <c r="D125" s="144"/>
      <c r="E125" s="143"/>
      <c r="F125" s="143"/>
      <c r="G125" s="143"/>
      <c r="H125" s="143"/>
      <c r="I125" s="143"/>
      <c r="J125" s="143"/>
      <c r="K125" s="143"/>
      <c r="L125" s="143"/>
      <c r="M125" s="143"/>
      <c r="N125" s="143"/>
      <c r="O125" s="143"/>
      <c r="P125" s="143"/>
      <c r="Q125" s="143"/>
      <c r="R125" s="143"/>
      <c r="S125" s="143"/>
      <c r="T125" s="143"/>
      <c r="U125" s="143"/>
      <c r="V125" s="143"/>
      <c r="W125" s="143"/>
      <c r="X125" s="143"/>
      <c r="Y125" s="143"/>
    </row>
    <row r="126" spans="1:25" ht="13">
      <c r="A126" s="156"/>
      <c r="B126" s="157"/>
      <c r="C126" s="158"/>
      <c r="D126" s="144"/>
      <c r="E126" s="143"/>
      <c r="F126" s="143"/>
      <c r="G126" s="143"/>
      <c r="H126" s="143"/>
      <c r="I126" s="143"/>
      <c r="J126" s="143"/>
      <c r="K126" s="143"/>
      <c r="L126" s="143"/>
      <c r="M126" s="143"/>
      <c r="N126" s="143"/>
      <c r="O126" s="143"/>
      <c r="P126" s="143"/>
      <c r="Q126" s="143"/>
      <c r="R126" s="143"/>
      <c r="S126" s="143"/>
      <c r="T126" s="143"/>
      <c r="U126" s="143"/>
      <c r="V126" s="143"/>
      <c r="W126" s="143"/>
      <c r="X126" s="143"/>
      <c r="Y126" s="143"/>
    </row>
    <row r="127" spans="1:25" ht="13">
      <c r="A127" s="156"/>
      <c r="B127" s="157"/>
      <c r="C127" s="158"/>
      <c r="D127" s="144"/>
      <c r="E127" s="143"/>
      <c r="F127" s="143"/>
      <c r="G127" s="143"/>
      <c r="H127" s="143"/>
      <c r="I127" s="143"/>
      <c r="J127" s="143"/>
      <c r="K127" s="143"/>
      <c r="L127" s="143"/>
      <c r="M127" s="143"/>
      <c r="N127" s="143"/>
      <c r="O127" s="143"/>
      <c r="P127" s="143"/>
      <c r="Q127" s="143"/>
      <c r="R127" s="143"/>
      <c r="S127" s="143"/>
      <c r="T127" s="143"/>
      <c r="U127" s="143"/>
      <c r="V127" s="143"/>
      <c r="W127" s="143"/>
      <c r="X127" s="143"/>
      <c r="Y127" s="143"/>
    </row>
    <row r="128" spans="1:25" ht="13">
      <c r="A128" s="156"/>
      <c r="B128" s="157"/>
      <c r="C128" s="158"/>
      <c r="D128" s="144"/>
      <c r="E128" s="143"/>
      <c r="F128" s="143"/>
      <c r="G128" s="143"/>
      <c r="H128" s="143"/>
      <c r="I128" s="143"/>
      <c r="J128" s="143"/>
      <c r="K128" s="143"/>
      <c r="L128" s="143"/>
      <c r="M128" s="143"/>
      <c r="N128" s="143"/>
      <c r="O128" s="143"/>
      <c r="P128" s="143"/>
      <c r="Q128" s="143"/>
      <c r="R128" s="143"/>
      <c r="S128" s="143"/>
      <c r="T128" s="143"/>
      <c r="U128" s="143"/>
      <c r="V128" s="143"/>
      <c r="W128" s="143"/>
      <c r="X128" s="143"/>
      <c r="Y128" s="143"/>
    </row>
    <row r="129" spans="1:25" ht="13">
      <c r="A129" s="156"/>
      <c r="B129" s="142"/>
      <c r="C129" s="143"/>
      <c r="D129" s="144"/>
      <c r="E129" s="143"/>
      <c r="F129" s="143"/>
      <c r="G129" s="143"/>
      <c r="H129" s="143"/>
      <c r="I129" s="143"/>
      <c r="J129" s="143"/>
      <c r="K129" s="143"/>
      <c r="L129" s="143"/>
      <c r="M129" s="143"/>
      <c r="N129" s="143"/>
      <c r="O129" s="143"/>
      <c r="P129" s="143"/>
      <c r="Q129" s="143"/>
      <c r="R129" s="143"/>
      <c r="S129" s="143"/>
      <c r="T129" s="143"/>
      <c r="U129" s="143"/>
      <c r="V129" s="143"/>
      <c r="W129" s="143"/>
      <c r="X129" s="143"/>
      <c r="Y129" s="143"/>
    </row>
    <row r="130" spans="1:25" ht="13">
      <c r="A130" s="156"/>
      <c r="B130" s="142"/>
      <c r="C130" s="143"/>
      <c r="D130" s="144"/>
      <c r="E130" s="143"/>
      <c r="F130" s="143"/>
      <c r="G130" s="143"/>
      <c r="H130" s="143"/>
      <c r="I130" s="143"/>
      <c r="J130" s="143"/>
      <c r="K130" s="143"/>
      <c r="L130" s="143"/>
      <c r="M130" s="143"/>
      <c r="N130" s="143"/>
      <c r="O130" s="143"/>
      <c r="P130" s="143"/>
      <c r="Q130" s="143"/>
      <c r="R130" s="143"/>
      <c r="S130" s="143"/>
      <c r="T130" s="143"/>
      <c r="U130" s="143"/>
      <c r="V130" s="143"/>
      <c r="W130" s="143"/>
      <c r="X130" s="143"/>
      <c r="Y130" s="143"/>
    </row>
    <row r="131" spans="1:25" ht="13">
      <c r="A131" s="156"/>
      <c r="B131" s="142"/>
      <c r="C131" s="143"/>
      <c r="D131" s="144"/>
      <c r="E131" s="143"/>
      <c r="F131" s="143"/>
      <c r="G131" s="143"/>
      <c r="H131" s="143"/>
      <c r="I131" s="143"/>
      <c r="J131" s="143"/>
      <c r="K131" s="143"/>
      <c r="L131" s="143"/>
      <c r="M131" s="143"/>
      <c r="N131" s="143"/>
      <c r="O131" s="143"/>
      <c r="P131" s="143"/>
      <c r="Q131" s="143"/>
      <c r="R131" s="143"/>
      <c r="S131" s="143"/>
      <c r="T131" s="143"/>
      <c r="U131" s="143"/>
      <c r="V131" s="143"/>
      <c r="W131" s="143"/>
      <c r="X131" s="143"/>
      <c r="Y131" s="143"/>
    </row>
    <row r="132" spans="1:25" ht="13">
      <c r="A132" s="156"/>
      <c r="B132" s="142"/>
      <c r="C132" s="143"/>
      <c r="D132" s="144"/>
      <c r="E132" s="143"/>
      <c r="F132" s="143"/>
      <c r="G132" s="143"/>
      <c r="H132" s="143"/>
      <c r="I132" s="143"/>
      <c r="J132" s="143"/>
      <c r="K132" s="143"/>
      <c r="L132" s="143"/>
      <c r="M132" s="143"/>
      <c r="N132" s="143"/>
      <c r="O132" s="143"/>
      <c r="P132" s="143"/>
      <c r="Q132" s="143"/>
      <c r="R132" s="143"/>
      <c r="S132" s="143"/>
      <c r="T132" s="143"/>
      <c r="U132" s="143"/>
      <c r="V132" s="143"/>
      <c r="W132" s="143"/>
      <c r="X132" s="143"/>
      <c r="Y132" s="143"/>
    </row>
    <row r="133" spans="1:25" ht="13">
      <c r="A133" s="156"/>
      <c r="B133" s="142"/>
      <c r="C133" s="143"/>
      <c r="D133" s="144"/>
      <c r="E133" s="143"/>
      <c r="F133" s="143"/>
      <c r="G133" s="143"/>
      <c r="H133" s="143"/>
      <c r="I133" s="143"/>
      <c r="J133" s="143"/>
      <c r="K133" s="143"/>
      <c r="L133" s="143"/>
      <c r="M133" s="143"/>
      <c r="N133" s="143"/>
      <c r="O133" s="143"/>
      <c r="P133" s="143"/>
      <c r="Q133" s="143"/>
      <c r="R133" s="143"/>
      <c r="S133" s="143"/>
      <c r="T133" s="143"/>
      <c r="U133" s="143"/>
      <c r="V133" s="143"/>
      <c r="W133" s="143"/>
      <c r="X133" s="143"/>
      <c r="Y133" s="143"/>
    </row>
    <row r="134" spans="1:25" ht="13">
      <c r="A134" s="156"/>
      <c r="B134" s="142"/>
      <c r="C134" s="143"/>
      <c r="D134" s="144"/>
      <c r="E134" s="143"/>
      <c r="F134" s="143"/>
      <c r="G134" s="143"/>
      <c r="H134" s="143"/>
      <c r="I134" s="143"/>
      <c r="J134" s="143"/>
      <c r="K134" s="143"/>
      <c r="L134" s="143"/>
      <c r="M134" s="143"/>
      <c r="N134" s="143"/>
      <c r="O134" s="143"/>
      <c r="P134" s="143"/>
      <c r="Q134" s="143"/>
      <c r="R134" s="143"/>
      <c r="S134" s="143"/>
      <c r="T134" s="143"/>
      <c r="U134" s="143"/>
      <c r="V134" s="143"/>
      <c r="W134" s="143"/>
      <c r="X134" s="143"/>
      <c r="Y134" s="143"/>
    </row>
    <row r="135" spans="1:25" ht="13">
      <c r="A135" s="156"/>
      <c r="B135" s="142"/>
      <c r="C135" s="143"/>
      <c r="D135" s="144"/>
      <c r="E135" s="143"/>
      <c r="F135" s="143"/>
      <c r="G135" s="143"/>
      <c r="H135" s="143"/>
      <c r="I135" s="143"/>
      <c r="J135" s="143"/>
      <c r="K135" s="143"/>
      <c r="L135" s="143"/>
      <c r="M135" s="143"/>
      <c r="N135" s="143"/>
      <c r="O135" s="143"/>
      <c r="P135" s="143"/>
      <c r="Q135" s="143"/>
      <c r="R135" s="143"/>
      <c r="S135" s="143"/>
      <c r="T135" s="143"/>
      <c r="U135" s="143"/>
      <c r="V135" s="143"/>
      <c r="W135" s="143"/>
      <c r="X135" s="143"/>
      <c r="Y135" s="143"/>
    </row>
    <row r="136" spans="1:25" ht="13">
      <c r="A136" s="156"/>
      <c r="B136" s="142"/>
      <c r="C136" s="143"/>
      <c r="D136" s="144"/>
      <c r="E136" s="143"/>
      <c r="F136" s="143"/>
      <c r="G136" s="143"/>
      <c r="H136" s="143"/>
      <c r="I136" s="143"/>
      <c r="J136" s="143"/>
      <c r="K136" s="143"/>
      <c r="L136" s="143"/>
      <c r="M136" s="143"/>
      <c r="N136" s="143"/>
      <c r="O136" s="143"/>
      <c r="P136" s="143"/>
      <c r="Q136" s="143"/>
      <c r="R136" s="143"/>
      <c r="S136" s="143"/>
      <c r="T136" s="143"/>
      <c r="U136" s="143"/>
      <c r="V136" s="143"/>
      <c r="W136" s="143"/>
      <c r="X136" s="143"/>
      <c r="Y136" s="143"/>
    </row>
    <row r="137" spans="1:25" ht="13">
      <c r="A137" s="156"/>
      <c r="B137" s="142"/>
      <c r="C137" s="143"/>
      <c r="D137" s="144"/>
      <c r="E137" s="143"/>
      <c r="F137" s="143"/>
      <c r="G137" s="143"/>
      <c r="H137" s="143"/>
      <c r="I137" s="143"/>
      <c r="J137" s="143"/>
      <c r="K137" s="143"/>
      <c r="L137" s="143"/>
      <c r="M137" s="143"/>
      <c r="N137" s="143"/>
      <c r="O137" s="143"/>
      <c r="P137" s="143"/>
      <c r="Q137" s="143"/>
      <c r="R137" s="143"/>
      <c r="S137" s="143"/>
      <c r="T137" s="143"/>
      <c r="U137" s="143"/>
      <c r="V137" s="143"/>
      <c r="W137" s="143"/>
      <c r="X137" s="143"/>
      <c r="Y137" s="143"/>
    </row>
    <row r="138" spans="1:25" ht="13">
      <c r="A138" s="156"/>
      <c r="B138" s="142"/>
      <c r="C138" s="143"/>
      <c r="D138" s="144"/>
      <c r="E138" s="143"/>
      <c r="F138" s="143"/>
      <c r="G138" s="143"/>
      <c r="H138" s="143"/>
      <c r="I138" s="143"/>
      <c r="J138" s="143"/>
      <c r="K138" s="143"/>
      <c r="L138" s="143"/>
      <c r="M138" s="143"/>
      <c r="N138" s="143"/>
      <c r="O138" s="143"/>
      <c r="P138" s="143"/>
      <c r="Q138" s="143"/>
      <c r="R138" s="143"/>
      <c r="S138" s="143"/>
      <c r="T138" s="143"/>
      <c r="U138" s="143"/>
      <c r="V138" s="143"/>
      <c r="W138" s="143"/>
      <c r="X138" s="143"/>
      <c r="Y138" s="143"/>
    </row>
    <row r="139" spans="1:25" ht="13">
      <c r="A139" s="156"/>
      <c r="B139" s="142"/>
      <c r="C139" s="143"/>
      <c r="D139" s="144"/>
      <c r="E139" s="143"/>
      <c r="F139" s="143"/>
      <c r="G139" s="143"/>
      <c r="H139" s="143"/>
      <c r="I139" s="143"/>
      <c r="J139" s="143"/>
      <c r="K139" s="143"/>
      <c r="L139" s="143"/>
      <c r="M139" s="143"/>
      <c r="N139" s="143"/>
      <c r="O139" s="143"/>
      <c r="P139" s="143"/>
      <c r="Q139" s="143"/>
      <c r="R139" s="143"/>
      <c r="S139" s="143"/>
      <c r="T139" s="143"/>
      <c r="U139" s="143"/>
      <c r="V139" s="143"/>
      <c r="W139" s="143"/>
      <c r="X139" s="143"/>
      <c r="Y139" s="143"/>
    </row>
    <row r="140" spans="1:25" ht="13">
      <c r="A140" s="156"/>
      <c r="B140" s="142"/>
      <c r="C140" s="143"/>
      <c r="D140" s="144"/>
      <c r="E140" s="143"/>
      <c r="F140" s="143"/>
      <c r="G140" s="143"/>
      <c r="H140" s="143"/>
      <c r="I140" s="143"/>
      <c r="J140" s="143"/>
      <c r="K140" s="143"/>
      <c r="L140" s="143"/>
      <c r="M140" s="143"/>
      <c r="N140" s="143"/>
      <c r="O140" s="143"/>
      <c r="P140" s="143"/>
      <c r="Q140" s="143"/>
      <c r="R140" s="143"/>
      <c r="S140" s="143"/>
      <c r="T140" s="143"/>
      <c r="U140" s="143"/>
      <c r="V140" s="143"/>
      <c r="W140" s="143"/>
      <c r="X140" s="143"/>
      <c r="Y140" s="143"/>
    </row>
    <row r="141" spans="1:25" ht="13">
      <c r="A141" s="156"/>
      <c r="B141" s="142"/>
      <c r="C141" s="143"/>
      <c r="D141" s="144"/>
      <c r="E141" s="143"/>
      <c r="F141" s="143"/>
      <c r="G141" s="143"/>
      <c r="H141" s="143"/>
      <c r="I141" s="143"/>
      <c r="J141" s="143"/>
      <c r="K141" s="143"/>
      <c r="L141" s="143"/>
      <c r="M141" s="143"/>
      <c r="N141" s="143"/>
      <c r="O141" s="143"/>
      <c r="P141" s="143"/>
      <c r="Q141" s="143"/>
      <c r="R141" s="143"/>
      <c r="S141" s="143"/>
      <c r="T141" s="143"/>
      <c r="U141" s="143"/>
      <c r="V141" s="143"/>
      <c r="W141" s="143"/>
      <c r="X141" s="143"/>
      <c r="Y141" s="143"/>
    </row>
    <row r="142" spans="1:25" ht="13">
      <c r="A142" s="156"/>
      <c r="B142" s="142"/>
      <c r="C142" s="143"/>
      <c r="D142" s="144"/>
      <c r="E142" s="143"/>
      <c r="F142" s="143"/>
      <c r="G142" s="143"/>
      <c r="H142" s="143"/>
      <c r="I142" s="143"/>
      <c r="J142" s="143"/>
      <c r="K142" s="143"/>
      <c r="L142" s="143"/>
      <c r="M142" s="143"/>
      <c r="N142" s="143"/>
      <c r="O142" s="143"/>
      <c r="P142" s="143"/>
      <c r="Q142" s="143"/>
      <c r="R142" s="143"/>
      <c r="S142" s="143"/>
      <c r="T142" s="143"/>
      <c r="U142" s="143"/>
      <c r="V142" s="143"/>
      <c r="W142" s="143"/>
      <c r="X142" s="143"/>
      <c r="Y142" s="143"/>
    </row>
    <row r="143" spans="1:25" ht="13">
      <c r="A143" s="156"/>
      <c r="B143" s="142"/>
      <c r="C143" s="143"/>
      <c r="D143" s="144"/>
      <c r="E143" s="143"/>
      <c r="F143" s="143"/>
      <c r="G143" s="143"/>
      <c r="H143" s="143"/>
      <c r="I143" s="143"/>
      <c r="J143" s="143"/>
      <c r="K143" s="143"/>
      <c r="L143" s="143"/>
      <c r="M143" s="143"/>
      <c r="N143" s="143"/>
      <c r="O143" s="143"/>
      <c r="P143" s="143"/>
      <c r="Q143" s="143"/>
      <c r="R143" s="143"/>
      <c r="S143" s="143"/>
      <c r="T143" s="143"/>
      <c r="U143" s="143"/>
      <c r="V143" s="143"/>
      <c r="W143" s="143"/>
      <c r="X143" s="143"/>
      <c r="Y143" s="143"/>
    </row>
    <row r="144" spans="1:25" ht="13">
      <c r="A144" s="156"/>
      <c r="B144" s="142"/>
      <c r="C144" s="143"/>
      <c r="D144" s="144"/>
      <c r="E144" s="143"/>
      <c r="F144" s="143"/>
      <c r="G144" s="143"/>
      <c r="H144" s="143"/>
      <c r="I144" s="143"/>
      <c r="J144" s="143"/>
      <c r="K144" s="143"/>
      <c r="L144" s="143"/>
      <c r="M144" s="143"/>
      <c r="N144" s="143"/>
      <c r="O144" s="143"/>
      <c r="P144" s="143"/>
      <c r="Q144" s="143"/>
      <c r="R144" s="143"/>
      <c r="S144" s="143"/>
      <c r="T144" s="143"/>
      <c r="U144" s="143"/>
      <c r="V144" s="143"/>
      <c r="W144" s="143"/>
      <c r="X144" s="143"/>
      <c r="Y144" s="143"/>
    </row>
    <row r="145" spans="1:25" ht="13">
      <c r="A145" s="156"/>
      <c r="B145" s="142"/>
      <c r="C145" s="143"/>
      <c r="D145" s="144"/>
      <c r="E145" s="143"/>
      <c r="F145" s="143"/>
      <c r="G145" s="143"/>
      <c r="H145" s="143"/>
      <c r="I145" s="143"/>
      <c r="J145" s="143"/>
      <c r="K145" s="143"/>
      <c r="L145" s="143"/>
      <c r="M145" s="143"/>
      <c r="N145" s="143"/>
      <c r="O145" s="143"/>
      <c r="P145" s="143"/>
      <c r="Q145" s="143"/>
      <c r="R145" s="143"/>
      <c r="S145" s="143"/>
      <c r="T145" s="143"/>
      <c r="U145" s="143"/>
      <c r="V145" s="143"/>
      <c r="W145" s="143"/>
      <c r="X145" s="143"/>
      <c r="Y145" s="143"/>
    </row>
    <row r="146" spans="1:25" ht="13">
      <c r="A146" s="156"/>
      <c r="B146" s="142"/>
      <c r="C146" s="143"/>
      <c r="D146" s="144"/>
      <c r="E146" s="143"/>
      <c r="F146" s="143"/>
      <c r="G146" s="143"/>
      <c r="H146" s="143"/>
      <c r="I146" s="143"/>
      <c r="J146" s="143"/>
      <c r="K146" s="143"/>
      <c r="L146" s="143"/>
      <c r="M146" s="143"/>
      <c r="N146" s="143"/>
      <c r="O146" s="143"/>
      <c r="P146" s="143"/>
      <c r="Q146" s="143"/>
      <c r="R146" s="143"/>
      <c r="S146" s="143"/>
      <c r="T146" s="143"/>
      <c r="U146" s="143"/>
      <c r="V146" s="143"/>
      <c r="W146" s="143"/>
      <c r="X146" s="143"/>
      <c r="Y146" s="143"/>
    </row>
    <row r="147" spans="1:25" ht="13">
      <c r="A147" s="156"/>
      <c r="B147" s="142"/>
      <c r="C147" s="143"/>
      <c r="D147" s="144"/>
      <c r="E147" s="143"/>
      <c r="F147" s="143"/>
      <c r="G147" s="143"/>
      <c r="H147" s="143"/>
      <c r="I147" s="143"/>
      <c r="J147" s="143"/>
      <c r="K147" s="143"/>
      <c r="L147" s="143"/>
      <c r="M147" s="143"/>
      <c r="N147" s="143"/>
      <c r="O147" s="143"/>
      <c r="P147" s="143"/>
      <c r="Q147" s="143"/>
      <c r="R147" s="143"/>
      <c r="S147" s="143"/>
      <c r="T147" s="143"/>
      <c r="U147" s="143"/>
      <c r="V147" s="143"/>
      <c r="W147" s="143"/>
      <c r="X147" s="143"/>
      <c r="Y147" s="143"/>
    </row>
    <row r="148" spans="1:25" ht="13">
      <c r="A148" s="156"/>
      <c r="B148" s="142"/>
      <c r="C148" s="143"/>
      <c r="D148" s="144"/>
      <c r="E148" s="143"/>
      <c r="F148" s="143"/>
      <c r="G148" s="143"/>
      <c r="H148" s="143"/>
      <c r="I148" s="143"/>
      <c r="J148" s="143"/>
      <c r="K148" s="143"/>
      <c r="L148" s="143"/>
      <c r="M148" s="143"/>
      <c r="N148" s="143"/>
      <c r="O148" s="143"/>
      <c r="P148" s="143"/>
      <c r="Q148" s="143"/>
      <c r="R148" s="143"/>
      <c r="S148" s="143"/>
      <c r="T148" s="143"/>
      <c r="U148" s="143"/>
      <c r="V148" s="143"/>
      <c r="W148" s="143"/>
      <c r="X148" s="143"/>
      <c r="Y148" s="143"/>
    </row>
    <row r="149" spans="1:25" ht="13">
      <c r="A149" s="156"/>
      <c r="B149" s="142"/>
      <c r="C149" s="143"/>
      <c r="D149" s="144"/>
      <c r="E149" s="143"/>
      <c r="F149" s="143"/>
      <c r="G149" s="143"/>
      <c r="H149" s="143"/>
      <c r="I149" s="143"/>
      <c r="J149" s="143"/>
      <c r="K149" s="143"/>
      <c r="L149" s="143"/>
      <c r="M149" s="143"/>
      <c r="N149" s="143"/>
      <c r="O149" s="143"/>
      <c r="P149" s="143"/>
      <c r="Q149" s="143"/>
      <c r="R149" s="143"/>
      <c r="S149" s="143"/>
      <c r="T149" s="143"/>
      <c r="U149" s="143"/>
      <c r="V149" s="143"/>
      <c r="W149" s="143"/>
      <c r="X149" s="143"/>
      <c r="Y149" s="143"/>
    </row>
    <row r="150" spans="1:25" ht="13">
      <c r="A150" s="156"/>
      <c r="B150" s="142"/>
      <c r="C150" s="143"/>
      <c r="D150" s="144"/>
      <c r="E150" s="143"/>
      <c r="F150" s="143"/>
      <c r="G150" s="143"/>
      <c r="H150" s="143"/>
      <c r="I150" s="143"/>
      <c r="J150" s="143"/>
      <c r="K150" s="143"/>
      <c r="L150" s="143"/>
      <c r="M150" s="143"/>
      <c r="N150" s="143"/>
      <c r="O150" s="143"/>
      <c r="P150" s="143"/>
      <c r="Q150" s="143"/>
      <c r="R150" s="143"/>
      <c r="S150" s="143"/>
      <c r="T150" s="143"/>
      <c r="U150" s="143"/>
      <c r="V150" s="143"/>
      <c r="W150" s="143"/>
      <c r="X150" s="143"/>
      <c r="Y150" s="143"/>
    </row>
    <row r="151" spans="1:25" ht="13">
      <c r="A151" s="156"/>
      <c r="B151" s="142"/>
      <c r="C151" s="143"/>
      <c r="D151" s="144"/>
      <c r="E151" s="143"/>
      <c r="F151" s="143"/>
      <c r="G151" s="143"/>
      <c r="H151" s="143"/>
      <c r="I151" s="143"/>
      <c r="J151" s="143"/>
      <c r="K151" s="143"/>
      <c r="L151" s="143"/>
      <c r="M151" s="143"/>
      <c r="N151" s="143"/>
      <c r="O151" s="143"/>
      <c r="P151" s="143"/>
      <c r="Q151" s="143"/>
      <c r="R151" s="143"/>
      <c r="S151" s="143"/>
      <c r="T151" s="143"/>
      <c r="U151" s="143"/>
      <c r="V151" s="143"/>
      <c r="W151" s="143"/>
      <c r="X151" s="143"/>
      <c r="Y151" s="143"/>
    </row>
    <row r="152" spans="1:25" ht="13">
      <c r="A152" s="156"/>
      <c r="B152" s="142"/>
      <c r="C152" s="143"/>
      <c r="D152" s="144"/>
      <c r="E152" s="143"/>
      <c r="F152" s="143"/>
      <c r="G152" s="143"/>
      <c r="H152" s="143"/>
      <c r="I152" s="143"/>
      <c r="J152" s="143"/>
      <c r="K152" s="143"/>
      <c r="L152" s="143"/>
      <c r="M152" s="143"/>
      <c r="N152" s="143"/>
      <c r="O152" s="143"/>
      <c r="P152" s="143"/>
      <c r="Q152" s="143"/>
      <c r="R152" s="143"/>
      <c r="S152" s="143"/>
      <c r="T152" s="143"/>
      <c r="U152" s="143"/>
      <c r="V152" s="143"/>
      <c r="W152" s="143"/>
      <c r="X152" s="143"/>
      <c r="Y152" s="143"/>
    </row>
    <row r="153" spans="1:25" ht="13">
      <c r="A153" s="156"/>
      <c r="B153" s="142"/>
      <c r="C153" s="143"/>
      <c r="D153" s="144"/>
      <c r="E153" s="143"/>
      <c r="F153" s="143"/>
      <c r="G153" s="143"/>
      <c r="H153" s="143"/>
      <c r="I153" s="143"/>
      <c r="J153" s="143"/>
      <c r="K153" s="143"/>
      <c r="L153" s="143"/>
      <c r="M153" s="143"/>
      <c r="N153" s="143"/>
      <c r="O153" s="143"/>
      <c r="P153" s="143"/>
      <c r="Q153" s="143"/>
      <c r="R153" s="143"/>
      <c r="S153" s="143"/>
      <c r="T153" s="143"/>
      <c r="U153" s="143"/>
      <c r="V153" s="143"/>
      <c r="W153" s="143"/>
      <c r="X153" s="143"/>
      <c r="Y153" s="143"/>
    </row>
    <row r="154" spans="1:25" ht="13">
      <c r="A154" s="156"/>
      <c r="B154" s="142"/>
      <c r="C154" s="143"/>
      <c r="D154" s="144"/>
      <c r="E154" s="143"/>
      <c r="F154" s="143"/>
      <c r="G154" s="143"/>
      <c r="H154" s="143"/>
      <c r="I154" s="143"/>
      <c r="J154" s="143"/>
      <c r="K154" s="143"/>
      <c r="L154" s="143"/>
      <c r="M154" s="143"/>
      <c r="N154" s="143"/>
      <c r="O154" s="143"/>
      <c r="P154" s="143"/>
      <c r="Q154" s="143"/>
      <c r="R154" s="143"/>
      <c r="S154" s="143"/>
      <c r="T154" s="143"/>
      <c r="U154" s="143"/>
      <c r="V154" s="143"/>
      <c r="W154" s="143"/>
      <c r="X154" s="143"/>
      <c r="Y154" s="143"/>
    </row>
    <row r="155" spans="1:25" ht="13">
      <c r="A155" s="156"/>
      <c r="B155" s="142"/>
      <c r="C155" s="143"/>
      <c r="D155" s="144"/>
      <c r="E155" s="143"/>
      <c r="F155" s="143"/>
      <c r="G155" s="143"/>
      <c r="H155" s="143"/>
      <c r="I155" s="143"/>
      <c r="J155" s="143"/>
      <c r="K155" s="143"/>
      <c r="L155" s="143"/>
      <c r="M155" s="143"/>
      <c r="N155" s="143"/>
      <c r="O155" s="143"/>
      <c r="P155" s="143"/>
      <c r="Q155" s="143"/>
      <c r="R155" s="143"/>
      <c r="S155" s="143"/>
      <c r="T155" s="143"/>
      <c r="U155" s="143"/>
      <c r="V155" s="143"/>
      <c r="W155" s="143"/>
      <c r="X155" s="143"/>
      <c r="Y155" s="143"/>
    </row>
    <row r="156" spans="1:25" ht="13">
      <c r="A156" s="156"/>
      <c r="B156" s="142"/>
      <c r="C156" s="143"/>
      <c r="D156" s="144"/>
      <c r="E156" s="143"/>
      <c r="F156" s="143"/>
      <c r="G156" s="143"/>
      <c r="H156" s="143"/>
      <c r="I156" s="143"/>
      <c r="J156" s="143"/>
      <c r="K156" s="143"/>
      <c r="L156" s="143"/>
      <c r="M156" s="143"/>
      <c r="N156" s="143"/>
      <c r="O156" s="143"/>
      <c r="P156" s="143"/>
      <c r="Q156" s="143"/>
      <c r="R156" s="143"/>
      <c r="S156" s="143"/>
      <c r="T156" s="143"/>
      <c r="U156" s="143"/>
      <c r="V156" s="143"/>
      <c r="W156" s="143"/>
      <c r="X156" s="143"/>
      <c r="Y156" s="143"/>
    </row>
    <row r="157" spans="1:25" ht="13">
      <c r="A157" s="156"/>
      <c r="B157" s="142"/>
      <c r="C157" s="143"/>
      <c r="D157" s="144"/>
      <c r="E157" s="143"/>
      <c r="F157" s="143"/>
      <c r="G157" s="143"/>
      <c r="H157" s="143"/>
      <c r="I157" s="143"/>
      <c r="J157" s="143"/>
      <c r="K157" s="143"/>
      <c r="L157" s="143"/>
      <c r="M157" s="143"/>
      <c r="N157" s="143"/>
      <c r="O157" s="143"/>
      <c r="P157" s="143"/>
      <c r="Q157" s="143"/>
      <c r="R157" s="143"/>
      <c r="S157" s="143"/>
      <c r="T157" s="143"/>
      <c r="U157" s="143"/>
      <c r="V157" s="143"/>
      <c r="W157" s="143"/>
      <c r="X157" s="143"/>
      <c r="Y157" s="143"/>
    </row>
    <row r="158" spans="1:25" ht="13">
      <c r="A158" s="156"/>
      <c r="B158" s="142"/>
      <c r="C158" s="143"/>
      <c r="D158" s="144"/>
      <c r="E158" s="143"/>
      <c r="F158" s="143"/>
      <c r="G158" s="143"/>
      <c r="H158" s="143"/>
      <c r="I158" s="143"/>
      <c r="J158" s="143"/>
      <c r="K158" s="143"/>
      <c r="L158" s="143"/>
      <c r="M158" s="143"/>
      <c r="N158" s="143"/>
      <c r="O158" s="143"/>
      <c r="P158" s="143"/>
      <c r="Q158" s="143"/>
      <c r="R158" s="143"/>
      <c r="S158" s="143"/>
      <c r="T158" s="143"/>
      <c r="U158" s="143"/>
      <c r="V158" s="143"/>
      <c r="W158" s="143"/>
      <c r="X158" s="143"/>
      <c r="Y158" s="143"/>
    </row>
    <row r="159" spans="1:25" ht="13">
      <c r="A159" s="156"/>
      <c r="B159" s="142"/>
      <c r="C159" s="143"/>
      <c r="D159" s="144"/>
      <c r="E159" s="143"/>
      <c r="F159" s="143"/>
      <c r="G159" s="143"/>
      <c r="H159" s="143"/>
      <c r="I159" s="143"/>
      <c r="J159" s="143"/>
      <c r="K159" s="143"/>
      <c r="L159" s="143"/>
      <c r="M159" s="143"/>
      <c r="N159" s="143"/>
      <c r="O159" s="143"/>
      <c r="P159" s="143"/>
      <c r="Q159" s="143"/>
      <c r="R159" s="143"/>
      <c r="S159" s="143"/>
      <c r="T159" s="143"/>
      <c r="U159" s="143"/>
      <c r="V159" s="143"/>
      <c r="W159" s="143"/>
      <c r="X159" s="143"/>
      <c r="Y159" s="143"/>
    </row>
    <row r="160" spans="1:25" ht="13">
      <c r="A160" s="156"/>
      <c r="B160" s="142"/>
      <c r="C160" s="143"/>
      <c r="D160" s="144"/>
      <c r="E160" s="143"/>
      <c r="F160" s="143"/>
      <c r="G160" s="143"/>
      <c r="H160" s="143"/>
      <c r="I160" s="143"/>
      <c r="J160" s="143"/>
      <c r="K160" s="143"/>
      <c r="L160" s="143"/>
      <c r="M160" s="143"/>
      <c r="N160" s="143"/>
      <c r="O160" s="143"/>
      <c r="P160" s="143"/>
      <c r="Q160" s="143"/>
      <c r="R160" s="143"/>
      <c r="S160" s="143"/>
      <c r="T160" s="143"/>
      <c r="U160" s="143"/>
      <c r="V160" s="143"/>
      <c r="W160" s="143"/>
      <c r="X160" s="143"/>
      <c r="Y160" s="143"/>
    </row>
    <row r="161" spans="1:25" ht="13">
      <c r="A161" s="156"/>
      <c r="B161" s="142"/>
      <c r="C161" s="143"/>
      <c r="D161" s="144"/>
      <c r="E161" s="143"/>
      <c r="F161" s="143"/>
      <c r="G161" s="143"/>
      <c r="H161" s="143"/>
      <c r="I161" s="143"/>
      <c r="J161" s="143"/>
      <c r="K161" s="143"/>
      <c r="L161" s="143"/>
      <c r="M161" s="143"/>
      <c r="N161" s="143"/>
      <c r="O161" s="143"/>
      <c r="P161" s="143"/>
      <c r="Q161" s="143"/>
      <c r="R161" s="143"/>
      <c r="S161" s="143"/>
      <c r="T161" s="143"/>
      <c r="U161" s="143"/>
      <c r="V161" s="143"/>
      <c r="W161" s="143"/>
      <c r="X161" s="143"/>
      <c r="Y161" s="143"/>
    </row>
    <row r="162" spans="1:25" ht="13">
      <c r="A162" s="156"/>
      <c r="B162" s="142"/>
      <c r="C162" s="143"/>
      <c r="D162" s="144"/>
      <c r="E162" s="143"/>
      <c r="F162" s="143"/>
      <c r="G162" s="143"/>
      <c r="H162" s="143"/>
      <c r="I162" s="143"/>
      <c r="J162" s="143"/>
      <c r="K162" s="143"/>
      <c r="L162" s="143"/>
      <c r="M162" s="143"/>
      <c r="N162" s="143"/>
      <c r="O162" s="143"/>
      <c r="P162" s="143"/>
      <c r="Q162" s="143"/>
      <c r="R162" s="143"/>
      <c r="S162" s="143"/>
      <c r="T162" s="143"/>
      <c r="U162" s="143"/>
      <c r="V162" s="143"/>
      <c r="W162" s="143"/>
      <c r="X162" s="143"/>
      <c r="Y162" s="143"/>
    </row>
    <row r="163" spans="1:25" ht="13">
      <c r="A163" s="156"/>
      <c r="B163" s="142"/>
      <c r="C163" s="143"/>
      <c r="D163" s="144"/>
      <c r="E163" s="143"/>
      <c r="F163" s="143"/>
      <c r="G163" s="143"/>
      <c r="H163" s="143"/>
      <c r="I163" s="143"/>
      <c r="J163" s="143"/>
      <c r="K163" s="143"/>
      <c r="L163" s="143"/>
      <c r="M163" s="143"/>
      <c r="N163" s="143"/>
      <c r="O163" s="143"/>
      <c r="P163" s="143"/>
      <c r="Q163" s="143"/>
      <c r="R163" s="143"/>
      <c r="S163" s="143"/>
      <c r="T163" s="143"/>
      <c r="U163" s="143"/>
      <c r="V163" s="143"/>
      <c r="W163" s="143"/>
      <c r="X163" s="143"/>
      <c r="Y163" s="143"/>
    </row>
    <row r="164" spans="1:25" ht="13">
      <c r="A164" s="156"/>
      <c r="B164" s="142"/>
      <c r="C164" s="143"/>
      <c r="D164" s="144"/>
      <c r="E164" s="143"/>
      <c r="F164" s="143"/>
      <c r="G164" s="143"/>
      <c r="H164" s="143"/>
      <c r="I164" s="143"/>
      <c r="J164" s="143"/>
      <c r="K164" s="143"/>
      <c r="L164" s="143"/>
      <c r="M164" s="143"/>
      <c r="N164" s="143"/>
      <c r="O164" s="143"/>
      <c r="P164" s="143"/>
      <c r="Q164" s="143"/>
      <c r="R164" s="143"/>
      <c r="S164" s="143"/>
      <c r="T164" s="143"/>
      <c r="U164" s="143"/>
      <c r="V164" s="143"/>
      <c r="W164" s="143"/>
      <c r="X164" s="143"/>
      <c r="Y164" s="143"/>
    </row>
    <row r="165" spans="1:25" ht="13">
      <c r="A165" s="156"/>
      <c r="B165" s="142"/>
      <c r="C165" s="143"/>
      <c r="D165" s="144"/>
      <c r="E165" s="143"/>
      <c r="F165" s="143"/>
      <c r="G165" s="143"/>
      <c r="H165" s="143"/>
      <c r="I165" s="143"/>
      <c r="J165" s="143"/>
      <c r="K165" s="143"/>
      <c r="L165" s="143"/>
      <c r="M165" s="143"/>
      <c r="N165" s="143"/>
      <c r="O165" s="143"/>
      <c r="P165" s="143"/>
      <c r="Q165" s="143"/>
      <c r="R165" s="143"/>
      <c r="S165" s="143"/>
      <c r="T165" s="143"/>
      <c r="U165" s="143"/>
      <c r="V165" s="143"/>
      <c r="W165" s="143"/>
      <c r="X165" s="143"/>
      <c r="Y165" s="143"/>
    </row>
    <row r="166" spans="1:25" ht="13">
      <c r="A166" s="156"/>
      <c r="B166" s="142"/>
      <c r="C166" s="143"/>
      <c r="D166" s="144"/>
      <c r="E166" s="143"/>
      <c r="F166" s="143"/>
      <c r="G166" s="143"/>
      <c r="H166" s="143"/>
      <c r="I166" s="143"/>
      <c r="J166" s="143"/>
      <c r="K166" s="143"/>
      <c r="L166" s="143"/>
      <c r="M166" s="143"/>
      <c r="N166" s="143"/>
      <c r="O166" s="143"/>
      <c r="P166" s="143"/>
      <c r="Q166" s="143"/>
      <c r="R166" s="143"/>
      <c r="S166" s="143"/>
      <c r="T166" s="143"/>
      <c r="U166" s="143"/>
      <c r="V166" s="143"/>
      <c r="W166" s="143"/>
      <c r="X166" s="143"/>
      <c r="Y166" s="143"/>
    </row>
    <row r="167" spans="1:25" ht="13">
      <c r="A167" s="156"/>
      <c r="B167" s="142"/>
      <c r="C167" s="143"/>
      <c r="D167" s="144"/>
      <c r="E167" s="143"/>
      <c r="F167" s="143"/>
      <c r="G167" s="143"/>
      <c r="H167" s="143"/>
      <c r="I167" s="143"/>
      <c r="J167" s="143"/>
      <c r="K167" s="143"/>
      <c r="L167" s="143"/>
      <c r="M167" s="143"/>
      <c r="N167" s="143"/>
      <c r="O167" s="143"/>
      <c r="P167" s="143"/>
      <c r="Q167" s="143"/>
      <c r="R167" s="143"/>
      <c r="S167" s="143"/>
      <c r="T167" s="143"/>
      <c r="U167" s="143"/>
      <c r="V167" s="143"/>
      <c r="W167" s="143"/>
      <c r="X167" s="143"/>
      <c r="Y167" s="143"/>
    </row>
    <row r="168" spans="1:25" ht="13">
      <c r="A168" s="156"/>
      <c r="B168" s="142"/>
      <c r="C168" s="143"/>
      <c r="D168" s="144"/>
      <c r="E168" s="143"/>
      <c r="F168" s="143"/>
      <c r="G168" s="143"/>
      <c r="H168" s="143"/>
      <c r="I168" s="143"/>
      <c r="J168" s="143"/>
      <c r="K168" s="143"/>
      <c r="L168" s="143"/>
      <c r="M168" s="143"/>
      <c r="N168" s="143"/>
      <c r="O168" s="143"/>
      <c r="P168" s="143"/>
      <c r="Q168" s="143"/>
      <c r="R168" s="143"/>
      <c r="S168" s="143"/>
      <c r="T168" s="143"/>
      <c r="U168" s="143"/>
      <c r="V168" s="143"/>
      <c r="W168" s="143"/>
      <c r="X168" s="143"/>
      <c r="Y168" s="143"/>
    </row>
    <row r="169" spans="1:25" ht="13">
      <c r="A169" s="156"/>
      <c r="B169" s="142"/>
      <c r="C169" s="143"/>
      <c r="D169" s="144"/>
      <c r="E169" s="143"/>
      <c r="F169" s="143"/>
      <c r="G169" s="143"/>
      <c r="H169" s="143"/>
      <c r="I169" s="143"/>
      <c r="J169" s="143"/>
      <c r="K169" s="143"/>
      <c r="L169" s="143"/>
      <c r="M169" s="143"/>
      <c r="N169" s="143"/>
      <c r="O169" s="143"/>
      <c r="P169" s="143"/>
      <c r="Q169" s="143"/>
      <c r="R169" s="143"/>
      <c r="S169" s="143"/>
      <c r="T169" s="143"/>
      <c r="U169" s="143"/>
      <c r="V169" s="143"/>
      <c r="W169" s="143"/>
      <c r="X169" s="143"/>
      <c r="Y169" s="143"/>
    </row>
    <row r="170" spans="1:25" ht="13">
      <c r="A170" s="156"/>
      <c r="B170" s="142"/>
      <c r="C170" s="143"/>
      <c r="D170" s="144"/>
      <c r="E170" s="143"/>
      <c r="F170" s="143"/>
      <c r="G170" s="143"/>
      <c r="H170" s="143"/>
      <c r="I170" s="143"/>
      <c r="J170" s="143"/>
      <c r="K170" s="143"/>
      <c r="L170" s="143"/>
      <c r="M170" s="143"/>
      <c r="N170" s="143"/>
      <c r="O170" s="143"/>
      <c r="P170" s="143"/>
      <c r="Q170" s="143"/>
      <c r="R170" s="143"/>
      <c r="S170" s="143"/>
      <c r="T170" s="143"/>
      <c r="U170" s="143"/>
      <c r="V170" s="143"/>
      <c r="W170" s="143"/>
      <c r="X170" s="143"/>
      <c r="Y170" s="143"/>
    </row>
    <row r="171" spans="1:25" ht="13">
      <c r="A171" s="156"/>
      <c r="B171" s="142"/>
      <c r="C171" s="143"/>
      <c r="D171" s="144"/>
      <c r="E171" s="143"/>
      <c r="F171" s="143"/>
      <c r="G171" s="143"/>
      <c r="H171" s="143"/>
      <c r="I171" s="143"/>
      <c r="J171" s="143"/>
      <c r="K171" s="143"/>
      <c r="L171" s="143"/>
      <c r="M171" s="143"/>
      <c r="N171" s="143"/>
      <c r="O171" s="143"/>
      <c r="P171" s="143"/>
      <c r="Q171" s="143"/>
      <c r="R171" s="143"/>
      <c r="S171" s="143"/>
      <c r="T171" s="143"/>
      <c r="U171" s="143"/>
      <c r="V171" s="143"/>
      <c r="W171" s="143"/>
      <c r="X171" s="143"/>
      <c r="Y171" s="143"/>
    </row>
    <row r="172" spans="1:25" ht="13">
      <c r="A172" s="156"/>
      <c r="B172" s="142"/>
      <c r="C172" s="143"/>
      <c r="D172" s="144"/>
      <c r="E172" s="143"/>
      <c r="F172" s="143"/>
      <c r="G172" s="143"/>
      <c r="H172" s="143"/>
      <c r="I172" s="143"/>
      <c r="J172" s="143"/>
      <c r="K172" s="143"/>
      <c r="L172" s="143"/>
      <c r="M172" s="143"/>
      <c r="N172" s="143"/>
      <c r="O172" s="143"/>
      <c r="P172" s="143"/>
      <c r="Q172" s="143"/>
      <c r="R172" s="143"/>
      <c r="S172" s="143"/>
      <c r="T172" s="143"/>
      <c r="U172" s="143"/>
      <c r="V172" s="143"/>
      <c r="W172" s="143"/>
      <c r="X172" s="143"/>
      <c r="Y172" s="143"/>
    </row>
    <row r="173" spans="1:25" ht="13">
      <c r="A173" s="156"/>
      <c r="B173" s="142"/>
      <c r="C173" s="143"/>
      <c r="D173" s="144"/>
      <c r="E173" s="143"/>
      <c r="F173" s="143"/>
      <c r="G173" s="143"/>
      <c r="H173" s="143"/>
      <c r="I173" s="143"/>
      <c r="J173" s="143"/>
      <c r="K173" s="143"/>
      <c r="L173" s="143"/>
      <c r="M173" s="143"/>
      <c r="N173" s="143"/>
      <c r="O173" s="143"/>
      <c r="P173" s="143"/>
      <c r="Q173" s="143"/>
      <c r="R173" s="143"/>
      <c r="S173" s="143"/>
      <c r="T173" s="143"/>
      <c r="U173" s="143"/>
      <c r="V173" s="143"/>
      <c r="W173" s="143"/>
      <c r="X173" s="143"/>
      <c r="Y173" s="143"/>
    </row>
    <row r="174" spans="1:25" ht="13">
      <c r="A174" s="156"/>
      <c r="B174" s="142"/>
      <c r="C174" s="143"/>
      <c r="D174" s="144"/>
      <c r="E174" s="143"/>
      <c r="F174" s="143"/>
      <c r="G174" s="143"/>
      <c r="H174" s="143"/>
      <c r="I174" s="143"/>
      <c r="J174" s="143"/>
      <c r="K174" s="143"/>
      <c r="L174" s="143"/>
      <c r="M174" s="143"/>
      <c r="N174" s="143"/>
      <c r="O174" s="143"/>
      <c r="P174" s="143"/>
      <c r="Q174" s="143"/>
      <c r="R174" s="143"/>
      <c r="S174" s="143"/>
      <c r="T174" s="143"/>
      <c r="U174" s="143"/>
      <c r="V174" s="143"/>
      <c r="W174" s="143"/>
      <c r="X174" s="143"/>
      <c r="Y174" s="143"/>
    </row>
    <row r="175" spans="1:25" ht="13">
      <c r="A175" s="156"/>
      <c r="B175" s="142"/>
      <c r="C175" s="143"/>
      <c r="D175" s="144"/>
      <c r="E175" s="143"/>
      <c r="F175" s="143"/>
      <c r="G175" s="143"/>
      <c r="H175" s="143"/>
      <c r="I175" s="143"/>
      <c r="J175" s="143"/>
      <c r="K175" s="143"/>
      <c r="L175" s="143"/>
      <c r="M175" s="143"/>
      <c r="N175" s="143"/>
      <c r="O175" s="143"/>
      <c r="P175" s="143"/>
      <c r="Q175" s="143"/>
      <c r="R175" s="143"/>
      <c r="S175" s="143"/>
      <c r="T175" s="143"/>
      <c r="U175" s="143"/>
      <c r="V175" s="143"/>
      <c r="W175" s="143"/>
      <c r="X175" s="143"/>
      <c r="Y175" s="143"/>
    </row>
    <row r="176" spans="1:25" ht="13">
      <c r="A176" s="156"/>
      <c r="B176" s="142"/>
      <c r="C176" s="143"/>
      <c r="D176" s="144"/>
      <c r="E176" s="143"/>
      <c r="F176" s="143"/>
      <c r="G176" s="143"/>
      <c r="H176" s="143"/>
      <c r="I176" s="143"/>
      <c r="J176" s="143"/>
      <c r="K176" s="143"/>
      <c r="L176" s="143"/>
      <c r="M176" s="143"/>
      <c r="N176" s="143"/>
      <c r="O176" s="143"/>
      <c r="P176" s="143"/>
      <c r="Q176" s="143"/>
      <c r="R176" s="143"/>
      <c r="S176" s="143"/>
      <c r="T176" s="143"/>
      <c r="U176" s="143"/>
      <c r="V176" s="143"/>
      <c r="W176" s="143"/>
      <c r="X176" s="143"/>
      <c r="Y176" s="143"/>
    </row>
    <row r="177" spans="1:25" ht="13">
      <c r="A177" s="156"/>
      <c r="B177" s="142"/>
      <c r="C177" s="143"/>
      <c r="D177" s="144"/>
      <c r="E177" s="143"/>
      <c r="F177" s="143"/>
      <c r="G177" s="143"/>
      <c r="H177" s="143"/>
      <c r="I177" s="143"/>
      <c r="J177" s="143"/>
      <c r="K177" s="143"/>
      <c r="L177" s="143"/>
      <c r="M177" s="143"/>
      <c r="N177" s="143"/>
      <c r="O177" s="143"/>
      <c r="P177" s="143"/>
      <c r="Q177" s="143"/>
      <c r="R177" s="143"/>
      <c r="S177" s="143"/>
      <c r="T177" s="143"/>
      <c r="U177" s="143"/>
      <c r="V177" s="143"/>
      <c r="W177" s="143"/>
      <c r="X177" s="143"/>
      <c r="Y177" s="143"/>
    </row>
    <row r="178" spans="1:25" ht="13">
      <c r="A178" s="156"/>
      <c r="B178" s="142"/>
      <c r="C178" s="143"/>
      <c r="D178" s="144"/>
      <c r="E178" s="143"/>
      <c r="F178" s="143"/>
      <c r="G178" s="143"/>
      <c r="H178" s="143"/>
      <c r="I178" s="143"/>
      <c r="J178" s="143"/>
      <c r="K178" s="143"/>
      <c r="L178" s="143"/>
      <c r="M178" s="143"/>
      <c r="N178" s="143"/>
      <c r="O178" s="143"/>
      <c r="P178" s="143"/>
      <c r="Q178" s="143"/>
      <c r="R178" s="143"/>
      <c r="S178" s="143"/>
      <c r="T178" s="143"/>
      <c r="U178" s="143"/>
      <c r="V178" s="143"/>
      <c r="W178" s="143"/>
      <c r="X178" s="143"/>
      <c r="Y178" s="143"/>
    </row>
    <row r="179" spans="1:25" ht="13">
      <c r="A179" s="156"/>
      <c r="B179" s="142"/>
      <c r="C179" s="143"/>
      <c r="D179" s="144"/>
      <c r="E179" s="143"/>
      <c r="F179" s="143"/>
      <c r="G179" s="143"/>
      <c r="H179" s="143"/>
      <c r="I179" s="143"/>
      <c r="J179" s="143"/>
      <c r="K179" s="143"/>
      <c r="L179" s="143"/>
      <c r="M179" s="143"/>
      <c r="N179" s="143"/>
      <c r="O179" s="143"/>
      <c r="P179" s="143"/>
      <c r="Q179" s="143"/>
      <c r="R179" s="143"/>
      <c r="S179" s="143"/>
      <c r="T179" s="143"/>
      <c r="U179" s="143"/>
      <c r="V179" s="143"/>
      <c r="W179" s="143"/>
      <c r="X179" s="143"/>
      <c r="Y179" s="143"/>
    </row>
    <row r="180" spans="1:25" ht="13">
      <c r="A180" s="156"/>
      <c r="B180" s="142"/>
      <c r="C180" s="143"/>
      <c r="D180" s="144"/>
      <c r="E180" s="143"/>
      <c r="F180" s="143"/>
      <c r="G180" s="143"/>
      <c r="H180" s="143"/>
      <c r="I180" s="143"/>
      <c r="J180" s="143"/>
      <c r="K180" s="143"/>
      <c r="L180" s="143"/>
      <c r="M180" s="143"/>
      <c r="N180" s="143"/>
      <c r="O180" s="143"/>
      <c r="P180" s="143"/>
      <c r="Q180" s="143"/>
      <c r="R180" s="143"/>
      <c r="S180" s="143"/>
      <c r="T180" s="143"/>
      <c r="U180" s="143"/>
      <c r="V180" s="143"/>
      <c r="W180" s="143"/>
      <c r="X180" s="143"/>
      <c r="Y180" s="143"/>
    </row>
    <row r="181" spans="1:25" ht="13">
      <c r="A181" s="156"/>
      <c r="B181" s="142"/>
      <c r="C181" s="143"/>
      <c r="D181" s="144"/>
      <c r="E181" s="143"/>
      <c r="F181" s="143"/>
      <c r="G181" s="143"/>
      <c r="H181" s="143"/>
      <c r="I181" s="143"/>
      <c r="J181" s="143"/>
      <c r="K181" s="143"/>
      <c r="L181" s="143"/>
      <c r="M181" s="143"/>
      <c r="N181" s="143"/>
      <c r="O181" s="143"/>
      <c r="P181" s="143"/>
      <c r="Q181" s="143"/>
      <c r="R181" s="143"/>
      <c r="S181" s="143"/>
      <c r="T181" s="143"/>
      <c r="U181" s="143"/>
      <c r="V181" s="143"/>
      <c r="W181" s="143"/>
      <c r="X181" s="143"/>
      <c r="Y181" s="143"/>
    </row>
    <row r="182" spans="1:25" ht="13">
      <c r="A182" s="156"/>
      <c r="B182" s="142"/>
      <c r="C182" s="143"/>
      <c r="D182" s="144"/>
      <c r="E182" s="143"/>
      <c r="F182" s="143"/>
      <c r="G182" s="143"/>
      <c r="H182" s="143"/>
      <c r="I182" s="143"/>
      <c r="J182" s="143"/>
      <c r="K182" s="143"/>
      <c r="L182" s="143"/>
      <c r="M182" s="143"/>
      <c r="N182" s="143"/>
      <c r="O182" s="143"/>
      <c r="P182" s="143"/>
      <c r="Q182" s="143"/>
      <c r="R182" s="143"/>
      <c r="S182" s="143"/>
      <c r="T182" s="143"/>
      <c r="U182" s="143"/>
      <c r="V182" s="143"/>
      <c r="W182" s="143"/>
      <c r="X182" s="143"/>
      <c r="Y182" s="143"/>
    </row>
    <row r="183" spans="1:25" ht="13">
      <c r="A183" s="156"/>
      <c r="B183" s="142"/>
      <c r="C183" s="143"/>
      <c r="D183" s="144"/>
      <c r="E183" s="143"/>
      <c r="F183" s="143"/>
      <c r="G183" s="143"/>
      <c r="H183" s="143"/>
      <c r="I183" s="143"/>
      <c r="J183" s="143"/>
      <c r="K183" s="143"/>
      <c r="L183" s="143"/>
      <c r="M183" s="143"/>
      <c r="N183" s="143"/>
      <c r="O183" s="143"/>
      <c r="P183" s="143"/>
      <c r="Q183" s="143"/>
      <c r="R183" s="143"/>
      <c r="S183" s="143"/>
      <c r="T183" s="143"/>
      <c r="U183" s="143"/>
      <c r="V183" s="143"/>
      <c r="W183" s="143"/>
      <c r="X183" s="143"/>
      <c r="Y183" s="143"/>
    </row>
    <row r="184" spans="1:25" ht="13">
      <c r="A184" s="156"/>
      <c r="B184" s="142"/>
      <c r="C184" s="143"/>
      <c r="D184" s="144"/>
      <c r="E184" s="143"/>
      <c r="F184" s="143"/>
      <c r="G184" s="143"/>
      <c r="H184" s="143"/>
      <c r="I184" s="143"/>
      <c r="J184" s="143"/>
      <c r="K184" s="143"/>
      <c r="L184" s="143"/>
      <c r="M184" s="143"/>
      <c r="N184" s="143"/>
      <c r="O184" s="143"/>
      <c r="P184" s="143"/>
      <c r="Q184" s="143"/>
      <c r="R184" s="143"/>
      <c r="S184" s="143"/>
      <c r="T184" s="143"/>
      <c r="U184" s="143"/>
      <c r="V184" s="143"/>
      <c r="W184" s="143"/>
      <c r="X184" s="143"/>
      <c r="Y184" s="143"/>
    </row>
    <row r="185" spans="1:25" ht="13">
      <c r="A185" s="156"/>
      <c r="B185" s="142"/>
      <c r="C185" s="143"/>
      <c r="D185" s="144"/>
      <c r="E185" s="143"/>
      <c r="F185" s="143"/>
      <c r="G185" s="143"/>
      <c r="H185" s="143"/>
      <c r="I185" s="143"/>
      <c r="J185" s="143"/>
      <c r="K185" s="143"/>
      <c r="L185" s="143"/>
      <c r="M185" s="143"/>
      <c r="N185" s="143"/>
      <c r="O185" s="143"/>
      <c r="P185" s="143"/>
      <c r="Q185" s="143"/>
      <c r="R185" s="143"/>
      <c r="S185" s="143"/>
      <c r="T185" s="143"/>
      <c r="U185" s="143"/>
      <c r="V185" s="143"/>
      <c r="W185" s="143"/>
      <c r="X185" s="143"/>
      <c r="Y185" s="143"/>
    </row>
    <row r="186" spans="1:25" ht="13">
      <c r="A186" s="156"/>
      <c r="B186" s="142"/>
      <c r="C186" s="143"/>
      <c r="D186" s="144"/>
      <c r="E186" s="143"/>
      <c r="F186" s="143"/>
      <c r="G186" s="143"/>
      <c r="H186" s="143"/>
      <c r="I186" s="143"/>
      <c r="J186" s="143"/>
      <c r="K186" s="143"/>
      <c r="L186" s="143"/>
      <c r="M186" s="143"/>
      <c r="N186" s="143"/>
      <c r="O186" s="143"/>
      <c r="P186" s="143"/>
      <c r="Q186" s="143"/>
      <c r="R186" s="143"/>
      <c r="S186" s="143"/>
      <c r="T186" s="143"/>
      <c r="U186" s="143"/>
      <c r="V186" s="143"/>
      <c r="W186" s="143"/>
      <c r="X186" s="143"/>
      <c r="Y186" s="143"/>
    </row>
    <row r="187" spans="1:25" ht="13">
      <c r="A187" s="156"/>
      <c r="B187" s="142"/>
      <c r="C187" s="143"/>
      <c r="D187" s="144"/>
      <c r="E187" s="143"/>
      <c r="F187" s="143"/>
      <c r="G187" s="143"/>
      <c r="H187" s="143"/>
      <c r="I187" s="143"/>
      <c r="J187" s="143"/>
      <c r="K187" s="143"/>
      <c r="L187" s="143"/>
      <c r="M187" s="143"/>
      <c r="N187" s="143"/>
      <c r="O187" s="143"/>
      <c r="P187" s="143"/>
      <c r="Q187" s="143"/>
      <c r="R187" s="143"/>
      <c r="S187" s="143"/>
      <c r="T187" s="143"/>
      <c r="U187" s="143"/>
      <c r="V187" s="143"/>
      <c r="W187" s="143"/>
      <c r="X187" s="143"/>
      <c r="Y187" s="143"/>
    </row>
    <row r="188" spans="1:25" ht="13">
      <c r="A188" s="156"/>
      <c r="B188" s="142"/>
      <c r="C188" s="143"/>
      <c r="D188" s="144"/>
      <c r="E188" s="143"/>
      <c r="F188" s="143"/>
      <c r="G188" s="143"/>
      <c r="H188" s="143"/>
      <c r="I188" s="143"/>
      <c r="J188" s="143"/>
      <c r="K188" s="143"/>
      <c r="L188" s="143"/>
      <c r="M188" s="143"/>
      <c r="N188" s="143"/>
      <c r="O188" s="143"/>
      <c r="P188" s="143"/>
      <c r="Q188" s="143"/>
      <c r="R188" s="143"/>
      <c r="S188" s="143"/>
      <c r="T188" s="143"/>
      <c r="U188" s="143"/>
      <c r="V188" s="143"/>
      <c r="W188" s="143"/>
      <c r="X188" s="143"/>
      <c r="Y188" s="143"/>
    </row>
    <row r="189" spans="1:25" ht="13">
      <c r="A189" s="156"/>
      <c r="B189" s="142"/>
      <c r="C189" s="143"/>
      <c r="D189" s="144"/>
      <c r="E189" s="143"/>
      <c r="F189" s="143"/>
      <c r="G189" s="143"/>
      <c r="H189" s="143"/>
      <c r="I189" s="143"/>
      <c r="J189" s="143"/>
      <c r="K189" s="143"/>
      <c r="L189" s="143"/>
      <c r="M189" s="143"/>
      <c r="N189" s="143"/>
      <c r="O189" s="143"/>
      <c r="P189" s="143"/>
      <c r="Q189" s="143"/>
      <c r="R189" s="143"/>
      <c r="S189" s="143"/>
      <c r="T189" s="143"/>
      <c r="U189" s="143"/>
      <c r="V189" s="143"/>
      <c r="W189" s="143"/>
      <c r="X189" s="143"/>
      <c r="Y189" s="143"/>
    </row>
    <row r="190" spans="1:25" ht="13">
      <c r="A190" s="156"/>
      <c r="B190" s="142"/>
      <c r="C190" s="143"/>
      <c r="D190" s="144"/>
      <c r="E190" s="143"/>
      <c r="F190" s="143"/>
      <c r="G190" s="143"/>
      <c r="H190" s="143"/>
      <c r="I190" s="143"/>
      <c r="J190" s="143"/>
      <c r="K190" s="143"/>
      <c r="L190" s="143"/>
      <c r="M190" s="143"/>
      <c r="N190" s="143"/>
      <c r="O190" s="143"/>
      <c r="P190" s="143"/>
      <c r="Q190" s="143"/>
      <c r="R190" s="143"/>
      <c r="S190" s="143"/>
      <c r="T190" s="143"/>
      <c r="U190" s="143"/>
      <c r="V190" s="143"/>
      <c r="W190" s="143"/>
      <c r="X190" s="143"/>
      <c r="Y190" s="143"/>
    </row>
    <row r="191" spans="1:25" ht="13">
      <c r="A191" s="156"/>
      <c r="B191" s="142"/>
      <c r="C191" s="143"/>
      <c r="D191" s="144"/>
      <c r="E191" s="143"/>
      <c r="F191" s="143"/>
      <c r="G191" s="143"/>
      <c r="H191" s="143"/>
      <c r="I191" s="143"/>
      <c r="J191" s="143"/>
      <c r="K191" s="143"/>
      <c r="L191" s="143"/>
      <c r="M191" s="143"/>
      <c r="N191" s="143"/>
      <c r="O191" s="143"/>
      <c r="P191" s="143"/>
      <c r="Q191" s="143"/>
      <c r="R191" s="143"/>
      <c r="S191" s="143"/>
      <c r="T191" s="143"/>
      <c r="U191" s="143"/>
      <c r="V191" s="143"/>
      <c r="W191" s="143"/>
      <c r="X191" s="143"/>
      <c r="Y191" s="143"/>
    </row>
    <row r="192" spans="1:25" ht="13">
      <c r="A192" s="156"/>
      <c r="B192" s="142"/>
      <c r="C192" s="143"/>
      <c r="D192" s="144"/>
      <c r="E192" s="143"/>
      <c r="F192" s="143"/>
      <c r="G192" s="143"/>
      <c r="H192" s="143"/>
      <c r="I192" s="143"/>
      <c r="J192" s="143"/>
      <c r="K192" s="143"/>
      <c r="L192" s="143"/>
      <c r="M192" s="143"/>
      <c r="N192" s="143"/>
      <c r="O192" s="143"/>
      <c r="P192" s="143"/>
      <c r="Q192" s="143"/>
      <c r="R192" s="143"/>
      <c r="S192" s="143"/>
      <c r="T192" s="143"/>
      <c r="U192" s="143"/>
      <c r="V192" s="143"/>
      <c r="W192" s="143"/>
      <c r="X192" s="143"/>
      <c r="Y192" s="143"/>
    </row>
    <row r="193" spans="1:25" ht="13">
      <c r="A193" s="156"/>
      <c r="B193" s="142"/>
      <c r="C193" s="143"/>
      <c r="D193" s="144"/>
      <c r="E193" s="143"/>
      <c r="F193" s="143"/>
      <c r="G193" s="143"/>
      <c r="H193" s="143"/>
      <c r="I193" s="143"/>
      <c r="J193" s="143"/>
      <c r="K193" s="143"/>
      <c r="L193" s="143"/>
      <c r="M193" s="143"/>
      <c r="N193" s="143"/>
      <c r="O193" s="143"/>
      <c r="P193" s="143"/>
      <c r="Q193" s="143"/>
      <c r="R193" s="143"/>
      <c r="S193" s="143"/>
      <c r="T193" s="143"/>
      <c r="U193" s="143"/>
      <c r="V193" s="143"/>
      <c r="W193" s="143"/>
      <c r="X193" s="143"/>
      <c r="Y193" s="143"/>
    </row>
    <row r="194" spans="1:25" ht="13">
      <c r="A194" s="156"/>
      <c r="B194" s="142"/>
      <c r="C194" s="143"/>
      <c r="D194" s="144"/>
      <c r="E194" s="143"/>
      <c r="F194" s="143"/>
      <c r="G194" s="143"/>
      <c r="H194" s="143"/>
      <c r="I194" s="143"/>
      <c r="J194" s="143"/>
      <c r="K194" s="143"/>
      <c r="L194" s="143"/>
      <c r="M194" s="143"/>
      <c r="N194" s="143"/>
      <c r="O194" s="143"/>
      <c r="P194" s="143"/>
      <c r="Q194" s="143"/>
      <c r="R194" s="143"/>
      <c r="S194" s="143"/>
      <c r="T194" s="143"/>
      <c r="U194" s="143"/>
      <c r="V194" s="143"/>
      <c r="W194" s="143"/>
      <c r="X194" s="143"/>
      <c r="Y194" s="143"/>
    </row>
    <row r="195" spans="1:25" ht="13">
      <c r="A195" s="156"/>
      <c r="B195" s="142"/>
      <c r="C195" s="143"/>
      <c r="D195" s="144"/>
      <c r="E195" s="143"/>
      <c r="F195" s="143"/>
      <c r="G195" s="143"/>
      <c r="H195" s="143"/>
      <c r="I195" s="143"/>
      <c r="J195" s="143"/>
      <c r="K195" s="143"/>
      <c r="L195" s="143"/>
      <c r="M195" s="143"/>
      <c r="N195" s="143"/>
      <c r="O195" s="143"/>
      <c r="P195" s="143"/>
      <c r="Q195" s="143"/>
      <c r="R195" s="143"/>
      <c r="S195" s="143"/>
      <c r="T195" s="143"/>
      <c r="U195" s="143"/>
      <c r="V195" s="143"/>
      <c r="W195" s="143"/>
      <c r="X195" s="143"/>
      <c r="Y195" s="143"/>
    </row>
    <row r="196" spans="1:25" ht="13">
      <c r="A196" s="156"/>
      <c r="B196" s="142"/>
      <c r="C196" s="143"/>
      <c r="D196" s="144"/>
      <c r="E196" s="143"/>
      <c r="F196" s="143"/>
      <c r="G196" s="143"/>
      <c r="H196" s="143"/>
      <c r="I196" s="143"/>
      <c r="J196" s="143"/>
      <c r="K196" s="143"/>
      <c r="L196" s="143"/>
      <c r="M196" s="143"/>
      <c r="N196" s="143"/>
      <c r="O196" s="143"/>
      <c r="P196" s="143"/>
      <c r="Q196" s="143"/>
      <c r="R196" s="143"/>
      <c r="S196" s="143"/>
      <c r="T196" s="143"/>
      <c r="U196" s="143"/>
      <c r="V196" s="143"/>
      <c r="W196" s="143"/>
      <c r="X196" s="143"/>
      <c r="Y196" s="143"/>
    </row>
    <row r="197" spans="1:25" ht="13">
      <c r="A197" s="156"/>
      <c r="B197" s="142"/>
      <c r="C197" s="143"/>
      <c r="D197" s="144"/>
      <c r="E197" s="143"/>
      <c r="F197" s="143"/>
      <c r="G197" s="143"/>
      <c r="H197" s="143"/>
      <c r="I197" s="143"/>
      <c r="J197" s="143"/>
      <c r="K197" s="143"/>
      <c r="L197" s="143"/>
      <c r="M197" s="143"/>
      <c r="N197" s="143"/>
      <c r="O197" s="143"/>
      <c r="P197" s="143"/>
      <c r="Q197" s="143"/>
      <c r="R197" s="143"/>
      <c r="S197" s="143"/>
      <c r="T197" s="143"/>
      <c r="U197" s="143"/>
      <c r="V197" s="143"/>
      <c r="W197" s="143"/>
      <c r="X197" s="143"/>
      <c r="Y197" s="143"/>
    </row>
    <row r="198" spans="1:25" ht="13">
      <c r="A198" s="156"/>
      <c r="B198" s="142"/>
      <c r="C198" s="143"/>
      <c r="D198" s="144"/>
      <c r="E198" s="143"/>
      <c r="F198" s="143"/>
      <c r="G198" s="143"/>
      <c r="H198" s="143"/>
      <c r="I198" s="143"/>
      <c r="J198" s="143"/>
      <c r="K198" s="143"/>
      <c r="L198" s="143"/>
      <c r="M198" s="143"/>
      <c r="N198" s="143"/>
      <c r="O198" s="143"/>
      <c r="P198" s="143"/>
      <c r="Q198" s="143"/>
      <c r="R198" s="143"/>
      <c r="S198" s="143"/>
      <c r="T198" s="143"/>
      <c r="U198" s="143"/>
      <c r="V198" s="143"/>
      <c r="W198" s="143"/>
      <c r="X198" s="143"/>
      <c r="Y198" s="143"/>
    </row>
    <row r="199" spans="1:25" ht="13">
      <c r="A199" s="156"/>
      <c r="B199" s="142"/>
      <c r="C199" s="143"/>
      <c r="D199" s="144"/>
      <c r="E199" s="143"/>
      <c r="F199" s="143"/>
      <c r="G199" s="143"/>
      <c r="H199" s="143"/>
      <c r="I199" s="143"/>
      <c r="J199" s="143"/>
      <c r="K199" s="143"/>
      <c r="L199" s="143"/>
      <c r="M199" s="143"/>
      <c r="N199" s="143"/>
      <c r="O199" s="143"/>
      <c r="P199" s="143"/>
      <c r="Q199" s="143"/>
      <c r="R199" s="143"/>
      <c r="S199" s="143"/>
      <c r="T199" s="143"/>
      <c r="U199" s="143"/>
      <c r="V199" s="143"/>
      <c r="W199" s="143"/>
      <c r="X199" s="143"/>
      <c r="Y199" s="143"/>
    </row>
    <row r="200" spans="1:25" ht="13">
      <c r="A200" s="156"/>
      <c r="B200" s="142"/>
      <c r="C200" s="143"/>
      <c r="D200" s="144"/>
      <c r="E200" s="143"/>
      <c r="F200" s="143"/>
      <c r="G200" s="143"/>
      <c r="H200" s="143"/>
      <c r="I200" s="143"/>
      <c r="J200" s="143"/>
      <c r="K200" s="143"/>
      <c r="L200" s="143"/>
      <c r="M200" s="143"/>
      <c r="N200" s="143"/>
      <c r="O200" s="143"/>
      <c r="P200" s="143"/>
      <c r="Q200" s="143"/>
      <c r="R200" s="143"/>
      <c r="S200" s="143"/>
      <c r="T200" s="143"/>
      <c r="U200" s="143"/>
      <c r="V200" s="143"/>
      <c r="W200" s="143"/>
      <c r="X200" s="143"/>
      <c r="Y200" s="143"/>
    </row>
    <row r="201" spans="1:25" ht="13">
      <c r="A201" s="156"/>
      <c r="B201" s="142"/>
      <c r="C201" s="143"/>
      <c r="D201" s="144"/>
      <c r="E201" s="143"/>
      <c r="F201" s="143"/>
      <c r="G201" s="143"/>
      <c r="H201" s="143"/>
      <c r="I201" s="143"/>
      <c r="J201" s="143"/>
      <c r="K201" s="143"/>
      <c r="L201" s="143"/>
      <c r="M201" s="143"/>
      <c r="N201" s="143"/>
      <c r="O201" s="143"/>
      <c r="P201" s="143"/>
      <c r="Q201" s="143"/>
      <c r="R201" s="143"/>
      <c r="S201" s="143"/>
      <c r="T201" s="143"/>
      <c r="U201" s="143"/>
      <c r="V201" s="143"/>
      <c r="W201" s="143"/>
      <c r="X201" s="143"/>
      <c r="Y201" s="143"/>
    </row>
    <row r="202" spans="1:25" ht="13">
      <c r="A202" s="156"/>
      <c r="B202" s="142"/>
      <c r="C202" s="143"/>
      <c r="D202" s="144"/>
      <c r="E202" s="143"/>
      <c r="F202" s="143"/>
      <c r="G202" s="143"/>
      <c r="H202" s="143"/>
      <c r="I202" s="143"/>
      <c r="J202" s="143"/>
      <c r="K202" s="143"/>
      <c r="L202" s="143"/>
      <c r="M202" s="143"/>
      <c r="N202" s="143"/>
      <c r="O202" s="143"/>
      <c r="P202" s="143"/>
      <c r="Q202" s="143"/>
      <c r="R202" s="143"/>
      <c r="S202" s="143"/>
      <c r="T202" s="143"/>
      <c r="U202" s="143"/>
      <c r="V202" s="143"/>
      <c r="W202" s="143"/>
      <c r="X202" s="143"/>
      <c r="Y202" s="143"/>
    </row>
    <row r="203" spans="1:25" ht="13">
      <c r="A203" s="156"/>
      <c r="B203" s="142"/>
      <c r="C203" s="143"/>
      <c r="D203" s="144"/>
      <c r="E203" s="143"/>
      <c r="F203" s="143"/>
      <c r="G203" s="143"/>
      <c r="H203" s="143"/>
      <c r="I203" s="143"/>
      <c r="J203" s="143"/>
      <c r="K203" s="143"/>
      <c r="L203" s="143"/>
      <c r="M203" s="143"/>
      <c r="N203" s="143"/>
      <c r="O203" s="143"/>
      <c r="P203" s="143"/>
      <c r="Q203" s="143"/>
      <c r="R203" s="143"/>
      <c r="S203" s="143"/>
      <c r="T203" s="143"/>
      <c r="U203" s="143"/>
      <c r="V203" s="143"/>
      <c r="W203" s="143"/>
      <c r="X203" s="143"/>
      <c r="Y203" s="143"/>
    </row>
    <row r="204" spans="1:25" ht="13">
      <c r="A204" s="156"/>
      <c r="B204" s="142"/>
      <c r="C204" s="143"/>
      <c r="D204" s="144"/>
      <c r="E204" s="143"/>
      <c r="F204" s="143"/>
      <c r="G204" s="143"/>
      <c r="H204" s="143"/>
      <c r="I204" s="143"/>
      <c r="J204" s="143"/>
      <c r="K204" s="143"/>
      <c r="L204" s="143"/>
      <c r="M204" s="143"/>
      <c r="N204" s="143"/>
      <c r="O204" s="143"/>
      <c r="P204" s="143"/>
      <c r="Q204" s="143"/>
      <c r="R204" s="143"/>
      <c r="S204" s="143"/>
      <c r="T204" s="143"/>
      <c r="U204" s="143"/>
      <c r="V204" s="143"/>
      <c r="W204" s="143"/>
      <c r="X204" s="143"/>
      <c r="Y204" s="143"/>
    </row>
    <row r="205" spans="1:25" ht="13">
      <c r="A205" s="156"/>
      <c r="B205" s="142"/>
      <c r="C205" s="143"/>
      <c r="D205" s="144"/>
      <c r="E205" s="143"/>
      <c r="F205" s="143"/>
      <c r="G205" s="143"/>
      <c r="H205" s="143"/>
      <c r="I205" s="143"/>
      <c r="J205" s="143"/>
      <c r="K205" s="143"/>
      <c r="L205" s="143"/>
      <c r="M205" s="143"/>
      <c r="N205" s="143"/>
      <c r="O205" s="143"/>
      <c r="P205" s="143"/>
      <c r="Q205" s="143"/>
      <c r="R205" s="143"/>
      <c r="S205" s="143"/>
      <c r="T205" s="143"/>
      <c r="U205" s="143"/>
      <c r="V205" s="143"/>
      <c r="W205" s="143"/>
      <c r="X205" s="143"/>
      <c r="Y205" s="143"/>
    </row>
    <row r="206" spans="1:25" ht="13">
      <c r="A206" s="156"/>
      <c r="B206" s="142"/>
      <c r="C206" s="143"/>
      <c r="D206" s="144"/>
      <c r="E206" s="143"/>
      <c r="F206" s="143"/>
      <c r="G206" s="143"/>
      <c r="H206" s="143"/>
      <c r="I206" s="143"/>
      <c r="J206" s="143"/>
      <c r="K206" s="143"/>
      <c r="L206" s="143"/>
      <c r="M206" s="143"/>
      <c r="N206" s="143"/>
      <c r="O206" s="143"/>
      <c r="P206" s="143"/>
      <c r="Q206" s="143"/>
      <c r="R206" s="143"/>
      <c r="S206" s="143"/>
      <c r="T206" s="143"/>
      <c r="U206" s="143"/>
      <c r="V206" s="143"/>
      <c r="W206" s="143"/>
      <c r="X206" s="143"/>
      <c r="Y206" s="143"/>
    </row>
    <row r="207" spans="1:25" ht="13">
      <c r="A207" s="156"/>
      <c r="B207" s="142"/>
      <c r="C207" s="143"/>
      <c r="D207" s="144"/>
      <c r="E207" s="143"/>
      <c r="F207" s="143"/>
      <c r="G207" s="143"/>
      <c r="H207" s="143"/>
      <c r="I207" s="143"/>
      <c r="J207" s="143"/>
      <c r="K207" s="143"/>
      <c r="L207" s="143"/>
      <c r="M207" s="143"/>
      <c r="N207" s="143"/>
      <c r="O207" s="143"/>
      <c r="P207" s="143"/>
      <c r="Q207" s="143"/>
      <c r="R207" s="143"/>
      <c r="S207" s="143"/>
      <c r="T207" s="143"/>
      <c r="U207" s="143"/>
      <c r="V207" s="143"/>
      <c r="W207" s="143"/>
      <c r="X207" s="143"/>
      <c r="Y207" s="143"/>
    </row>
    <row r="208" spans="1:25" ht="13">
      <c r="A208" s="156"/>
      <c r="B208" s="142"/>
      <c r="C208" s="143"/>
      <c r="D208" s="144"/>
      <c r="E208" s="143"/>
      <c r="F208" s="143"/>
      <c r="G208" s="143"/>
      <c r="H208" s="143"/>
      <c r="I208" s="143"/>
      <c r="J208" s="143"/>
      <c r="K208" s="143"/>
      <c r="L208" s="143"/>
      <c r="M208" s="143"/>
      <c r="N208" s="143"/>
      <c r="O208" s="143"/>
      <c r="P208" s="143"/>
      <c r="Q208" s="143"/>
      <c r="R208" s="143"/>
      <c r="S208" s="143"/>
      <c r="T208" s="143"/>
      <c r="U208" s="143"/>
      <c r="V208" s="143"/>
      <c r="W208" s="143"/>
      <c r="X208" s="143"/>
      <c r="Y208" s="143"/>
    </row>
    <row r="209" spans="1:25" ht="13">
      <c r="A209" s="156"/>
      <c r="B209" s="142"/>
      <c r="C209" s="143"/>
      <c r="D209" s="144"/>
      <c r="E209" s="143"/>
      <c r="F209" s="143"/>
      <c r="G209" s="143"/>
      <c r="H209" s="143"/>
      <c r="I209" s="143"/>
      <c r="J209" s="143"/>
      <c r="K209" s="143"/>
      <c r="L209" s="143"/>
      <c r="M209" s="143"/>
      <c r="N209" s="143"/>
      <c r="O209" s="143"/>
      <c r="P209" s="143"/>
      <c r="Q209" s="143"/>
      <c r="R209" s="143"/>
      <c r="S209" s="143"/>
      <c r="T209" s="143"/>
      <c r="U209" s="143"/>
      <c r="V209" s="143"/>
      <c r="W209" s="143"/>
      <c r="X209" s="143"/>
      <c r="Y209" s="143"/>
    </row>
    <row r="210" spans="1:25" ht="13">
      <c r="A210" s="156"/>
      <c r="B210" s="142"/>
      <c r="C210" s="143"/>
      <c r="D210" s="144"/>
      <c r="E210" s="143"/>
      <c r="F210" s="143"/>
      <c r="G210" s="143"/>
      <c r="H210" s="143"/>
      <c r="I210" s="143"/>
      <c r="J210" s="143"/>
      <c r="K210" s="143"/>
      <c r="L210" s="143"/>
      <c r="M210" s="143"/>
      <c r="N210" s="143"/>
      <c r="O210" s="143"/>
      <c r="P210" s="143"/>
      <c r="Q210" s="143"/>
      <c r="R210" s="143"/>
      <c r="S210" s="143"/>
      <c r="T210" s="143"/>
      <c r="U210" s="143"/>
      <c r="V210" s="143"/>
      <c r="W210" s="143"/>
      <c r="X210" s="143"/>
      <c r="Y210" s="143"/>
    </row>
    <row r="211" spans="1:25" ht="13">
      <c r="A211" s="156"/>
      <c r="B211" s="142"/>
      <c r="C211" s="143"/>
      <c r="D211" s="144"/>
      <c r="E211" s="143"/>
      <c r="F211" s="143"/>
      <c r="G211" s="143"/>
      <c r="H211" s="143"/>
      <c r="I211" s="143"/>
      <c r="J211" s="143"/>
      <c r="K211" s="143"/>
      <c r="L211" s="143"/>
      <c r="M211" s="143"/>
      <c r="N211" s="143"/>
      <c r="O211" s="143"/>
      <c r="P211" s="143"/>
      <c r="Q211" s="143"/>
      <c r="R211" s="143"/>
      <c r="S211" s="143"/>
      <c r="T211" s="143"/>
      <c r="U211" s="143"/>
      <c r="V211" s="143"/>
      <c r="W211" s="143"/>
      <c r="X211" s="143"/>
      <c r="Y211" s="143"/>
    </row>
    <row r="212" spans="1:25" ht="13">
      <c r="A212" s="156"/>
      <c r="B212" s="142"/>
      <c r="C212" s="143"/>
      <c r="D212" s="144"/>
      <c r="E212" s="143"/>
      <c r="F212" s="143"/>
      <c r="G212" s="143"/>
      <c r="H212" s="143"/>
      <c r="I212" s="143"/>
      <c r="J212" s="143"/>
      <c r="K212" s="143"/>
      <c r="L212" s="143"/>
      <c r="M212" s="143"/>
      <c r="N212" s="143"/>
      <c r="O212" s="143"/>
      <c r="P212" s="143"/>
      <c r="Q212" s="143"/>
      <c r="R212" s="143"/>
      <c r="S212" s="143"/>
      <c r="T212" s="143"/>
      <c r="U212" s="143"/>
      <c r="V212" s="143"/>
      <c r="W212" s="143"/>
      <c r="X212" s="143"/>
      <c r="Y212" s="143"/>
    </row>
    <row r="213" spans="1:25" ht="13">
      <c r="A213" s="156"/>
      <c r="B213" s="142"/>
      <c r="C213" s="143"/>
      <c r="D213" s="144"/>
      <c r="E213" s="143"/>
      <c r="F213" s="143"/>
      <c r="G213" s="143"/>
      <c r="H213" s="143"/>
      <c r="I213" s="143"/>
      <c r="J213" s="143"/>
      <c r="K213" s="143"/>
      <c r="L213" s="143"/>
      <c r="M213" s="143"/>
      <c r="N213" s="143"/>
      <c r="O213" s="143"/>
      <c r="P213" s="143"/>
      <c r="Q213" s="143"/>
      <c r="R213" s="143"/>
      <c r="S213" s="143"/>
      <c r="T213" s="143"/>
      <c r="U213" s="143"/>
      <c r="V213" s="143"/>
      <c r="W213" s="143"/>
      <c r="X213" s="143"/>
      <c r="Y213" s="143"/>
    </row>
    <row r="214" spans="1:25" ht="13">
      <c r="A214" s="156"/>
      <c r="B214" s="142"/>
      <c r="C214" s="143"/>
      <c r="D214" s="144"/>
      <c r="E214" s="143"/>
      <c r="F214" s="143"/>
      <c r="G214" s="143"/>
      <c r="H214" s="143"/>
      <c r="I214" s="143"/>
      <c r="J214" s="143"/>
      <c r="K214" s="143"/>
      <c r="L214" s="143"/>
      <c r="M214" s="143"/>
      <c r="N214" s="143"/>
      <c r="O214" s="143"/>
      <c r="P214" s="143"/>
      <c r="Q214" s="143"/>
      <c r="R214" s="143"/>
      <c r="S214" s="143"/>
      <c r="T214" s="143"/>
      <c r="U214" s="143"/>
      <c r="V214" s="143"/>
      <c r="W214" s="143"/>
      <c r="X214" s="143"/>
      <c r="Y214" s="143"/>
    </row>
    <row r="215" spans="1:25" ht="13">
      <c r="A215" s="156"/>
      <c r="B215" s="142"/>
      <c r="C215" s="143"/>
      <c r="D215" s="144"/>
      <c r="E215" s="143"/>
      <c r="F215" s="143"/>
      <c r="G215" s="143"/>
      <c r="H215" s="143"/>
      <c r="I215" s="143"/>
      <c r="J215" s="143"/>
      <c r="K215" s="143"/>
      <c r="L215" s="143"/>
      <c r="M215" s="143"/>
      <c r="N215" s="143"/>
      <c r="O215" s="143"/>
      <c r="P215" s="143"/>
      <c r="Q215" s="143"/>
      <c r="R215" s="143"/>
      <c r="S215" s="143"/>
      <c r="T215" s="143"/>
      <c r="U215" s="143"/>
      <c r="V215" s="143"/>
      <c r="W215" s="143"/>
      <c r="X215" s="143"/>
      <c r="Y215" s="143"/>
    </row>
    <row r="216" spans="1:25" ht="13">
      <c r="A216" s="156"/>
      <c r="B216" s="142"/>
      <c r="C216" s="143"/>
      <c r="D216" s="144"/>
      <c r="E216" s="143"/>
      <c r="F216" s="143"/>
      <c r="G216" s="143"/>
      <c r="H216" s="143"/>
      <c r="I216" s="143"/>
      <c r="J216" s="143"/>
      <c r="K216" s="143"/>
      <c r="L216" s="143"/>
      <c r="M216" s="143"/>
      <c r="N216" s="143"/>
      <c r="O216" s="143"/>
      <c r="P216" s="143"/>
      <c r="Q216" s="143"/>
      <c r="R216" s="143"/>
      <c r="S216" s="143"/>
      <c r="T216" s="143"/>
      <c r="U216" s="143"/>
      <c r="V216" s="143"/>
      <c r="W216" s="143"/>
      <c r="X216" s="143"/>
      <c r="Y216" s="143"/>
    </row>
    <row r="217" spans="1:25" ht="13">
      <c r="A217" s="156"/>
      <c r="B217" s="142"/>
      <c r="C217" s="143"/>
      <c r="D217" s="144"/>
      <c r="E217" s="143"/>
      <c r="F217" s="143"/>
      <c r="G217" s="143"/>
      <c r="H217" s="143"/>
      <c r="I217" s="143"/>
      <c r="J217" s="143"/>
      <c r="K217" s="143"/>
      <c r="L217" s="143"/>
      <c r="M217" s="143"/>
      <c r="N217" s="143"/>
      <c r="O217" s="143"/>
      <c r="P217" s="143"/>
      <c r="Q217" s="143"/>
      <c r="R217" s="143"/>
      <c r="S217" s="143"/>
      <c r="T217" s="143"/>
      <c r="U217" s="143"/>
      <c r="V217" s="143"/>
      <c r="W217" s="143"/>
      <c r="X217" s="143"/>
      <c r="Y217" s="143"/>
    </row>
    <row r="218" spans="1:25" ht="13">
      <c r="A218" s="156"/>
      <c r="B218" s="142"/>
      <c r="C218" s="143"/>
      <c r="D218" s="144"/>
      <c r="E218" s="143"/>
      <c r="F218" s="143"/>
      <c r="G218" s="143"/>
      <c r="H218" s="143"/>
      <c r="I218" s="143"/>
      <c r="J218" s="143"/>
      <c r="K218" s="143"/>
      <c r="L218" s="143"/>
      <c r="M218" s="143"/>
      <c r="N218" s="143"/>
      <c r="O218" s="143"/>
      <c r="P218" s="143"/>
      <c r="Q218" s="143"/>
      <c r="R218" s="143"/>
      <c r="S218" s="143"/>
      <c r="T218" s="143"/>
      <c r="U218" s="143"/>
      <c r="V218" s="143"/>
      <c r="W218" s="143"/>
      <c r="X218" s="143"/>
      <c r="Y218" s="143"/>
    </row>
    <row r="219" spans="1:25" ht="13">
      <c r="A219" s="156"/>
      <c r="B219" s="142"/>
      <c r="C219" s="143"/>
      <c r="D219" s="144"/>
      <c r="E219" s="143"/>
      <c r="F219" s="143"/>
      <c r="G219" s="143"/>
      <c r="H219" s="143"/>
      <c r="I219" s="143"/>
      <c r="J219" s="143"/>
      <c r="K219" s="143"/>
      <c r="L219" s="143"/>
      <c r="M219" s="143"/>
      <c r="N219" s="143"/>
      <c r="O219" s="143"/>
      <c r="P219" s="143"/>
      <c r="Q219" s="143"/>
      <c r="R219" s="143"/>
      <c r="S219" s="143"/>
      <c r="T219" s="143"/>
      <c r="U219" s="143"/>
      <c r="V219" s="143"/>
      <c r="W219" s="143"/>
      <c r="X219" s="143"/>
      <c r="Y219" s="143"/>
    </row>
    <row r="220" spans="1:25" ht="13">
      <c r="A220" s="156"/>
      <c r="B220" s="142"/>
      <c r="C220" s="143"/>
      <c r="D220" s="144"/>
      <c r="E220" s="143"/>
      <c r="F220" s="143"/>
      <c r="G220" s="143"/>
      <c r="H220" s="143"/>
      <c r="I220" s="143"/>
      <c r="J220" s="143"/>
      <c r="K220" s="143"/>
      <c r="L220" s="143"/>
      <c r="M220" s="143"/>
      <c r="N220" s="143"/>
      <c r="O220" s="143"/>
      <c r="P220" s="143"/>
      <c r="Q220" s="143"/>
      <c r="R220" s="143"/>
      <c r="S220" s="143"/>
      <c r="T220" s="143"/>
      <c r="U220" s="143"/>
      <c r="V220" s="143"/>
      <c r="W220" s="143"/>
      <c r="X220" s="143"/>
      <c r="Y220" s="143"/>
    </row>
    <row r="221" spans="1:25" ht="13">
      <c r="A221" s="156"/>
      <c r="B221" s="142"/>
      <c r="C221" s="143"/>
      <c r="D221" s="144"/>
      <c r="E221" s="143"/>
      <c r="F221" s="143"/>
      <c r="G221" s="143"/>
      <c r="H221" s="143"/>
      <c r="I221" s="143"/>
      <c r="J221" s="143"/>
      <c r="K221" s="143"/>
      <c r="L221" s="143"/>
      <c r="M221" s="143"/>
      <c r="N221" s="143"/>
      <c r="O221" s="143"/>
      <c r="P221" s="143"/>
      <c r="Q221" s="143"/>
      <c r="R221" s="143"/>
      <c r="S221" s="143"/>
      <c r="T221" s="143"/>
      <c r="U221" s="143"/>
      <c r="V221" s="143"/>
      <c r="W221" s="143"/>
      <c r="X221" s="143"/>
      <c r="Y221" s="143"/>
    </row>
    <row r="222" spans="1:25" ht="13">
      <c r="A222" s="156"/>
      <c r="B222" s="142"/>
      <c r="C222" s="143"/>
      <c r="D222" s="144"/>
      <c r="E222" s="143"/>
      <c r="F222" s="143"/>
      <c r="G222" s="143"/>
      <c r="H222" s="143"/>
      <c r="I222" s="143"/>
      <c r="J222" s="143"/>
      <c r="K222" s="143"/>
      <c r="L222" s="143"/>
      <c r="M222" s="143"/>
      <c r="N222" s="143"/>
      <c r="O222" s="143"/>
      <c r="P222" s="143"/>
      <c r="Q222" s="143"/>
      <c r="R222" s="143"/>
      <c r="S222" s="143"/>
      <c r="T222" s="143"/>
      <c r="U222" s="143"/>
      <c r="V222" s="143"/>
      <c r="W222" s="143"/>
      <c r="X222" s="143"/>
      <c r="Y222" s="143"/>
    </row>
    <row r="223" spans="1:25" ht="13">
      <c r="A223" s="156"/>
      <c r="B223" s="142"/>
      <c r="C223" s="143"/>
      <c r="D223" s="144"/>
      <c r="E223" s="143"/>
      <c r="F223" s="143"/>
      <c r="G223" s="143"/>
      <c r="H223" s="143"/>
      <c r="I223" s="143"/>
      <c r="J223" s="143"/>
      <c r="K223" s="143"/>
      <c r="L223" s="143"/>
      <c r="M223" s="143"/>
      <c r="N223" s="143"/>
      <c r="O223" s="143"/>
      <c r="P223" s="143"/>
      <c r="Q223" s="143"/>
      <c r="R223" s="143"/>
      <c r="S223" s="143"/>
      <c r="T223" s="143"/>
      <c r="U223" s="143"/>
      <c r="V223" s="143"/>
      <c r="W223" s="143"/>
      <c r="X223" s="143"/>
      <c r="Y223" s="143"/>
    </row>
    <row r="224" spans="1:25" ht="13">
      <c r="A224" s="156"/>
      <c r="B224" s="142"/>
      <c r="C224" s="143"/>
      <c r="D224" s="144"/>
      <c r="E224" s="143"/>
      <c r="F224" s="143"/>
      <c r="G224" s="143"/>
      <c r="H224" s="143"/>
      <c r="I224" s="143"/>
      <c r="J224" s="143"/>
      <c r="K224" s="143"/>
      <c r="L224" s="143"/>
      <c r="M224" s="143"/>
      <c r="N224" s="143"/>
      <c r="O224" s="143"/>
      <c r="P224" s="143"/>
      <c r="Q224" s="143"/>
      <c r="R224" s="143"/>
      <c r="S224" s="143"/>
      <c r="T224" s="143"/>
      <c r="U224" s="143"/>
      <c r="V224" s="143"/>
      <c r="W224" s="143"/>
      <c r="X224" s="143"/>
      <c r="Y224" s="143"/>
    </row>
    <row r="225" spans="1:25" ht="13">
      <c r="A225" s="156"/>
      <c r="B225" s="142"/>
      <c r="C225" s="143"/>
      <c r="D225" s="144"/>
      <c r="E225" s="143"/>
      <c r="F225" s="143"/>
      <c r="G225" s="143"/>
      <c r="H225" s="143"/>
      <c r="I225" s="143"/>
      <c r="J225" s="143"/>
      <c r="K225" s="143"/>
      <c r="L225" s="143"/>
      <c r="M225" s="143"/>
      <c r="N225" s="143"/>
      <c r="O225" s="143"/>
      <c r="P225" s="143"/>
      <c r="Q225" s="143"/>
      <c r="R225" s="143"/>
      <c r="S225" s="143"/>
      <c r="T225" s="143"/>
      <c r="U225" s="143"/>
      <c r="V225" s="143"/>
      <c r="W225" s="143"/>
      <c r="X225" s="143"/>
      <c r="Y225" s="143"/>
    </row>
    <row r="226" spans="1:25" ht="13">
      <c r="A226" s="156"/>
      <c r="B226" s="142"/>
      <c r="C226" s="143"/>
      <c r="D226" s="144"/>
      <c r="E226" s="143"/>
      <c r="F226" s="143"/>
      <c r="G226" s="143"/>
      <c r="H226" s="143"/>
      <c r="I226" s="143"/>
      <c r="J226" s="143"/>
      <c r="K226" s="143"/>
      <c r="L226" s="143"/>
      <c r="M226" s="143"/>
      <c r="N226" s="143"/>
      <c r="O226" s="143"/>
      <c r="P226" s="143"/>
      <c r="Q226" s="143"/>
      <c r="R226" s="143"/>
      <c r="S226" s="143"/>
      <c r="T226" s="143"/>
      <c r="U226" s="143"/>
      <c r="V226" s="143"/>
      <c r="W226" s="143"/>
      <c r="X226" s="143"/>
      <c r="Y226" s="143"/>
    </row>
    <row r="227" spans="1:25" ht="13">
      <c r="A227" s="156"/>
      <c r="B227" s="142"/>
      <c r="C227" s="143"/>
      <c r="D227" s="144"/>
      <c r="E227" s="143"/>
      <c r="F227" s="143"/>
      <c r="G227" s="143"/>
      <c r="H227" s="143"/>
      <c r="I227" s="143"/>
      <c r="J227" s="143"/>
      <c r="K227" s="143"/>
      <c r="L227" s="143"/>
      <c r="M227" s="143"/>
      <c r="N227" s="143"/>
      <c r="O227" s="143"/>
      <c r="P227" s="143"/>
      <c r="Q227" s="143"/>
      <c r="R227" s="143"/>
      <c r="S227" s="143"/>
      <c r="T227" s="143"/>
      <c r="U227" s="143"/>
      <c r="V227" s="143"/>
      <c r="W227" s="143"/>
      <c r="X227" s="143"/>
      <c r="Y227" s="143"/>
    </row>
    <row r="228" spans="1:25" ht="13">
      <c r="A228" s="156"/>
      <c r="B228" s="142"/>
      <c r="C228" s="143"/>
      <c r="D228" s="144"/>
      <c r="E228" s="143"/>
      <c r="F228" s="143"/>
      <c r="G228" s="143"/>
      <c r="H228" s="143"/>
      <c r="I228" s="143"/>
      <c r="J228" s="143"/>
      <c r="K228" s="143"/>
      <c r="L228" s="143"/>
      <c r="M228" s="143"/>
      <c r="N228" s="143"/>
      <c r="O228" s="143"/>
      <c r="P228" s="143"/>
      <c r="Q228" s="143"/>
      <c r="R228" s="143"/>
      <c r="S228" s="143"/>
      <c r="T228" s="143"/>
      <c r="U228" s="143"/>
      <c r="V228" s="143"/>
      <c r="W228" s="143"/>
      <c r="X228" s="143"/>
      <c r="Y228" s="143"/>
    </row>
    <row r="229" spans="1:25" ht="13">
      <c r="A229" s="156"/>
      <c r="B229" s="142"/>
      <c r="C229" s="143"/>
      <c r="D229" s="144"/>
      <c r="E229" s="143"/>
      <c r="F229" s="143"/>
      <c r="G229" s="143"/>
      <c r="H229" s="143"/>
      <c r="I229" s="143"/>
      <c r="J229" s="143"/>
      <c r="K229" s="143"/>
      <c r="L229" s="143"/>
      <c r="M229" s="143"/>
      <c r="N229" s="143"/>
      <c r="O229" s="143"/>
      <c r="P229" s="143"/>
      <c r="Q229" s="143"/>
      <c r="R229" s="143"/>
      <c r="S229" s="143"/>
      <c r="T229" s="143"/>
      <c r="U229" s="143"/>
      <c r="V229" s="143"/>
      <c r="W229" s="143"/>
      <c r="X229" s="143"/>
      <c r="Y229" s="143"/>
    </row>
    <row r="230" spans="1:25" ht="13">
      <c r="A230" s="156"/>
      <c r="B230" s="142"/>
      <c r="C230" s="143"/>
      <c r="D230" s="144"/>
      <c r="E230" s="143"/>
      <c r="F230" s="143"/>
      <c r="G230" s="143"/>
      <c r="H230" s="143"/>
      <c r="I230" s="143"/>
      <c r="J230" s="143"/>
      <c r="K230" s="143"/>
      <c r="L230" s="143"/>
      <c r="M230" s="143"/>
      <c r="N230" s="143"/>
      <c r="O230" s="143"/>
      <c r="P230" s="143"/>
      <c r="Q230" s="143"/>
      <c r="R230" s="143"/>
      <c r="S230" s="143"/>
      <c r="T230" s="143"/>
      <c r="U230" s="143"/>
      <c r="V230" s="143"/>
      <c r="W230" s="143"/>
      <c r="X230" s="143"/>
      <c r="Y230" s="143"/>
    </row>
    <row r="231" spans="1:25" ht="13">
      <c r="A231" s="156"/>
      <c r="B231" s="142"/>
      <c r="C231" s="143"/>
      <c r="D231" s="144"/>
      <c r="E231" s="143"/>
      <c r="F231" s="143"/>
      <c r="G231" s="143"/>
      <c r="H231" s="143"/>
      <c r="I231" s="143"/>
      <c r="J231" s="143"/>
      <c r="K231" s="143"/>
      <c r="L231" s="143"/>
      <c r="M231" s="143"/>
      <c r="N231" s="143"/>
      <c r="O231" s="143"/>
      <c r="P231" s="143"/>
      <c r="Q231" s="143"/>
      <c r="R231" s="143"/>
      <c r="S231" s="143"/>
      <c r="T231" s="143"/>
      <c r="U231" s="143"/>
      <c r="V231" s="143"/>
      <c r="W231" s="143"/>
      <c r="X231" s="143"/>
      <c r="Y231" s="143"/>
    </row>
    <row r="232" spans="1:25" ht="13">
      <c r="A232" s="156"/>
      <c r="B232" s="142"/>
      <c r="C232" s="143"/>
      <c r="D232" s="144"/>
      <c r="E232" s="143"/>
      <c r="F232" s="143"/>
      <c r="G232" s="143"/>
      <c r="H232" s="143"/>
      <c r="I232" s="143"/>
      <c r="J232" s="143"/>
      <c r="K232" s="143"/>
      <c r="L232" s="143"/>
      <c r="M232" s="143"/>
      <c r="N232" s="143"/>
      <c r="O232" s="143"/>
      <c r="P232" s="143"/>
      <c r="Q232" s="143"/>
      <c r="R232" s="143"/>
      <c r="S232" s="143"/>
      <c r="T232" s="143"/>
      <c r="U232" s="143"/>
      <c r="V232" s="143"/>
      <c r="W232" s="143"/>
      <c r="X232" s="143"/>
      <c r="Y232" s="143"/>
    </row>
    <row r="233" spans="1:25" ht="13">
      <c r="A233" s="156"/>
      <c r="B233" s="142"/>
      <c r="C233" s="143"/>
      <c r="D233" s="144"/>
      <c r="E233" s="143"/>
      <c r="F233" s="143"/>
      <c r="G233" s="143"/>
      <c r="H233" s="143"/>
      <c r="I233" s="143"/>
      <c r="J233" s="143"/>
      <c r="K233" s="143"/>
      <c r="L233" s="143"/>
      <c r="M233" s="143"/>
      <c r="N233" s="143"/>
      <c r="O233" s="143"/>
      <c r="P233" s="143"/>
      <c r="Q233" s="143"/>
      <c r="R233" s="143"/>
      <c r="S233" s="143"/>
      <c r="T233" s="143"/>
      <c r="U233" s="143"/>
      <c r="V233" s="143"/>
      <c r="W233" s="143"/>
      <c r="X233" s="143"/>
      <c r="Y233" s="143"/>
    </row>
    <row r="234" spans="1:25" ht="13">
      <c r="A234" s="156"/>
      <c r="B234" s="142"/>
      <c r="C234" s="143"/>
      <c r="D234" s="144"/>
      <c r="E234" s="143"/>
      <c r="F234" s="143"/>
      <c r="G234" s="143"/>
      <c r="H234" s="143"/>
      <c r="I234" s="143"/>
      <c r="J234" s="143"/>
      <c r="K234" s="143"/>
      <c r="L234" s="143"/>
      <c r="M234" s="143"/>
      <c r="N234" s="143"/>
      <c r="O234" s="143"/>
      <c r="P234" s="143"/>
      <c r="Q234" s="143"/>
      <c r="R234" s="143"/>
      <c r="S234" s="143"/>
      <c r="T234" s="143"/>
      <c r="U234" s="143"/>
      <c r="V234" s="143"/>
      <c r="W234" s="143"/>
      <c r="X234" s="143"/>
      <c r="Y234" s="143"/>
    </row>
    <row r="235" spans="1:25" ht="13">
      <c r="A235" s="156"/>
      <c r="B235" s="142"/>
      <c r="C235" s="143"/>
      <c r="D235" s="144"/>
      <c r="E235" s="143"/>
      <c r="F235" s="143"/>
      <c r="G235" s="143"/>
      <c r="H235" s="143"/>
      <c r="I235" s="143"/>
      <c r="J235" s="143"/>
      <c r="K235" s="143"/>
      <c r="L235" s="143"/>
      <c r="M235" s="143"/>
      <c r="N235" s="143"/>
      <c r="O235" s="143"/>
      <c r="P235" s="143"/>
      <c r="Q235" s="143"/>
      <c r="R235" s="143"/>
      <c r="S235" s="143"/>
      <c r="T235" s="143"/>
      <c r="U235" s="143"/>
      <c r="V235" s="143"/>
      <c r="W235" s="143"/>
      <c r="X235" s="143"/>
      <c r="Y235" s="143"/>
    </row>
    <row r="236" spans="1:25" ht="13">
      <c r="A236" s="156"/>
      <c r="B236" s="142"/>
      <c r="C236" s="143"/>
      <c r="D236" s="144"/>
      <c r="E236" s="143"/>
      <c r="F236" s="143"/>
      <c r="G236" s="143"/>
      <c r="H236" s="143"/>
      <c r="I236" s="143"/>
      <c r="J236" s="143"/>
      <c r="K236" s="143"/>
      <c r="L236" s="143"/>
      <c r="M236" s="143"/>
      <c r="N236" s="143"/>
      <c r="O236" s="143"/>
      <c r="P236" s="143"/>
      <c r="Q236" s="143"/>
      <c r="R236" s="143"/>
      <c r="S236" s="143"/>
      <c r="T236" s="143"/>
      <c r="U236" s="143"/>
      <c r="V236" s="143"/>
      <c r="W236" s="143"/>
      <c r="X236" s="143"/>
      <c r="Y236" s="143"/>
    </row>
    <row r="237" spans="1:25" ht="13">
      <c r="A237" s="156"/>
      <c r="B237" s="142"/>
      <c r="C237" s="143"/>
      <c r="D237" s="144"/>
      <c r="E237" s="143"/>
      <c r="F237" s="143"/>
      <c r="G237" s="143"/>
      <c r="H237" s="143"/>
      <c r="I237" s="143"/>
      <c r="J237" s="143"/>
      <c r="K237" s="143"/>
      <c r="L237" s="143"/>
      <c r="M237" s="143"/>
      <c r="N237" s="143"/>
      <c r="O237" s="143"/>
      <c r="P237" s="143"/>
      <c r="Q237" s="143"/>
      <c r="R237" s="143"/>
      <c r="S237" s="143"/>
      <c r="T237" s="143"/>
      <c r="U237" s="143"/>
      <c r="V237" s="143"/>
      <c r="W237" s="143"/>
      <c r="X237" s="143"/>
      <c r="Y237" s="143"/>
    </row>
    <row r="238" spans="1:25" ht="13">
      <c r="A238" s="156"/>
      <c r="B238" s="142"/>
      <c r="C238" s="143"/>
      <c r="D238" s="144"/>
      <c r="E238" s="143"/>
      <c r="F238" s="143"/>
      <c r="G238" s="143"/>
      <c r="H238" s="143"/>
      <c r="I238" s="143"/>
      <c r="J238" s="143"/>
      <c r="K238" s="143"/>
      <c r="L238" s="143"/>
      <c r="M238" s="143"/>
      <c r="N238" s="143"/>
      <c r="O238" s="143"/>
      <c r="P238" s="143"/>
      <c r="Q238" s="143"/>
      <c r="R238" s="143"/>
      <c r="S238" s="143"/>
      <c r="T238" s="143"/>
      <c r="U238" s="143"/>
      <c r="V238" s="143"/>
      <c r="W238" s="143"/>
      <c r="X238" s="143"/>
      <c r="Y238" s="143"/>
    </row>
    <row r="239" spans="1:25" ht="13">
      <c r="A239" s="156"/>
      <c r="B239" s="142"/>
      <c r="C239" s="143"/>
      <c r="D239" s="144"/>
      <c r="E239" s="143"/>
      <c r="F239" s="143"/>
      <c r="G239" s="143"/>
      <c r="H239" s="143"/>
      <c r="I239" s="143"/>
      <c r="J239" s="143"/>
      <c r="K239" s="143"/>
      <c r="L239" s="143"/>
      <c r="M239" s="143"/>
      <c r="N239" s="143"/>
      <c r="O239" s="143"/>
      <c r="P239" s="143"/>
      <c r="Q239" s="143"/>
      <c r="R239" s="143"/>
      <c r="S239" s="143"/>
      <c r="T239" s="143"/>
      <c r="U239" s="143"/>
      <c r="V239" s="143"/>
      <c r="W239" s="143"/>
      <c r="X239" s="143"/>
      <c r="Y239" s="143"/>
    </row>
    <row r="240" spans="1:25" ht="13">
      <c r="A240" s="156"/>
      <c r="B240" s="142"/>
      <c r="C240" s="143"/>
      <c r="D240" s="144"/>
      <c r="E240" s="143"/>
      <c r="F240" s="143"/>
      <c r="G240" s="143"/>
      <c r="H240" s="143"/>
      <c r="I240" s="143"/>
      <c r="J240" s="143"/>
      <c r="K240" s="143"/>
      <c r="L240" s="143"/>
      <c r="M240" s="143"/>
      <c r="N240" s="143"/>
      <c r="O240" s="143"/>
      <c r="P240" s="143"/>
      <c r="Q240" s="143"/>
      <c r="R240" s="143"/>
      <c r="S240" s="143"/>
      <c r="T240" s="143"/>
      <c r="U240" s="143"/>
      <c r="V240" s="143"/>
      <c r="W240" s="143"/>
      <c r="X240" s="143"/>
      <c r="Y240" s="143"/>
    </row>
    <row r="241" spans="1:25" ht="13">
      <c r="A241" s="156"/>
      <c r="B241" s="142"/>
      <c r="C241" s="143"/>
      <c r="D241" s="144"/>
      <c r="E241" s="143"/>
      <c r="F241" s="143"/>
      <c r="G241" s="143"/>
      <c r="H241" s="143"/>
      <c r="I241" s="143"/>
      <c r="J241" s="143"/>
      <c r="K241" s="143"/>
      <c r="L241" s="143"/>
      <c r="M241" s="143"/>
      <c r="N241" s="143"/>
      <c r="O241" s="143"/>
      <c r="P241" s="143"/>
      <c r="Q241" s="143"/>
      <c r="R241" s="143"/>
      <c r="S241" s="143"/>
      <c r="T241" s="143"/>
      <c r="U241" s="143"/>
      <c r="V241" s="143"/>
      <c r="W241" s="143"/>
      <c r="X241" s="143"/>
      <c r="Y241" s="143"/>
    </row>
    <row r="242" spans="1:25" ht="13">
      <c r="A242" s="156"/>
      <c r="B242" s="142"/>
      <c r="C242" s="143"/>
      <c r="D242" s="144"/>
      <c r="E242" s="143"/>
      <c r="F242" s="143"/>
      <c r="G242" s="143"/>
      <c r="H242" s="143"/>
      <c r="I242" s="143"/>
      <c r="J242" s="143"/>
      <c r="K242" s="143"/>
      <c r="L242" s="143"/>
      <c r="M242" s="143"/>
      <c r="N242" s="143"/>
      <c r="O242" s="143"/>
      <c r="P242" s="143"/>
      <c r="Q242" s="143"/>
      <c r="R242" s="143"/>
      <c r="S242" s="143"/>
      <c r="T242" s="143"/>
      <c r="U242" s="143"/>
      <c r="V242" s="143"/>
      <c r="W242" s="143"/>
      <c r="X242" s="143"/>
      <c r="Y242" s="143"/>
    </row>
    <row r="243" spans="1:25" ht="13">
      <c r="A243" s="156"/>
      <c r="B243" s="142"/>
      <c r="C243" s="143"/>
      <c r="D243" s="144"/>
      <c r="E243" s="143"/>
      <c r="F243" s="143"/>
      <c r="G243" s="143"/>
      <c r="H243" s="143"/>
      <c r="I243" s="143"/>
      <c r="J243" s="143"/>
      <c r="K243" s="143"/>
      <c r="L243" s="143"/>
      <c r="M243" s="143"/>
      <c r="N243" s="143"/>
      <c r="O243" s="143"/>
      <c r="P243" s="143"/>
      <c r="Q243" s="143"/>
      <c r="R243" s="143"/>
      <c r="S243" s="143"/>
      <c r="T243" s="143"/>
      <c r="U243" s="143"/>
      <c r="V243" s="143"/>
      <c r="W243" s="143"/>
      <c r="X243" s="143"/>
      <c r="Y243" s="143"/>
    </row>
    <row r="244" spans="1:25" ht="13">
      <c r="A244" s="156"/>
      <c r="B244" s="142"/>
      <c r="C244" s="143"/>
      <c r="D244" s="144"/>
      <c r="E244" s="143"/>
      <c r="F244" s="143"/>
      <c r="G244" s="143"/>
      <c r="H244" s="143"/>
      <c r="I244" s="143"/>
      <c r="J244" s="143"/>
      <c r="K244" s="143"/>
      <c r="L244" s="143"/>
      <c r="M244" s="143"/>
      <c r="N244" s="143"/>
      <c r="O244" s="143"/>
      <c r="P244" s="143"/>
      <c r="Q244" s="143"/>
      <c r="R244" s="143"/>
      <c r="S244" s="143"/>
      <c r="T244" s="143"/>
      <c r="U244" s="143"/>
      <c r="V244" s="143"/>
      <c r="W244" s="143"/>
      <c r="X244" s="143"/>
      <c r="Y244" s="143"/>
    </row>
    <row r="245" spans="1:25" ht="13">
      <c r="A245" s="156"/>
      <c r="B245" s="142"/>
      <c r="C245" s="143"/>
      <c r="D245" s="144"/>
      <c r="E245" s="143"/>
      <c r="F245" s="143"/>
      <c r="G245" s="143"/>
      <c r="H245" s="143"/>
      <c r="I245" s="143"/>
      <c r="J245" s="143"/>
      <c r="K245" s="143"/>
      <c r="L245" s="143"/>
      <c r="M245" s="143"/>
      <c r="N245" s="143"/>
      <c r="O245" s="143"/>
      <c r="P245" s="143"/>
      <c r="Q245" s="143"/>
      <c r="R245" s="143"/>
      <c r="S245" s="143"/>
      <c r="T245" s="143"/>
      <c r="U245" s="143"/>
      <c r="V245" s="143"/>
      <c r="W245" s="143"/>
      <c r="X245" s="143"/>
      <c r="Y245" s="143"/>
    </row>
    <row r="246" spans="1:25" ht="13">
      <c r="A246" s="156"/>
      <c r="B246" s="142"/>
      <c r="C246" s="143"/>
      <c r="D246" s="144"/>
      <c r="E246" s="143"/>
      <c r="F246" s="143"/>
      <c r="G246" s="143"/>
      <c r="H246" s="143"/>
      <c r="I246" s="143"/>
      <c r="J246" s="143"/>
      <c r="K246" s="143"/>
      <c r="L246" s="143"/>
      <c r="M246" s="143"/>
      <c r="N246" s="143"/>
      <c r="O246" s="143"/>
      <c r="P246" s="143"/>
      <c r="Q246" s="143"/>
      <c r="R246" s="143"/>
      <c r="S246" s="143"/>
      <c r="T246" s="143"/>
      <c r="U246" s="143"/>
      <c r="V246" s="143"/>
      <c r="W246" s="143"/>
      <c r="X246" s="143"/>
      <c r="Y246" s="143"/>
    </row>
    <row r="247" spans="1:25" ht="13">
      <c r="A247" s="156"/>
      <c r="B247" s="142"/>
      <c r="C247" s="143"/>
      <c r="D247" s="144"/>
      <c r="E247" s="143"/>
      <c r="F247" s="143"/>
      <c r="G247" s="143"/>
      <c r="H247" s="143"/>
      <c r="I247" s="143"/>
      <c r="J247" s="143"/>
      <c r="K247" s="143"/>
      <c r="L247" s="143"/>
      <c r="M247" s="143"/>
      <c r="N247" s="143"/>
      <c r="O247" s="143"/>
      <c r="P247" s="143"/>
      <c r="Q247" s="143"/>
      <c r="R247" s="143"/>
      <c r="S247" s="143"/>
      <c r="T247" s="143"/>
      <c r="U247" s="143"/>
      <c r="V247" s="143"/>
      <c r="W247" s="143"/>
      <c r="X247" s="143"/>
      <c r="Y247" s="143"/>
    </row>
    <row r="248" spans="1:25" ht="13">
      <c r="A248" s="156"/>
      <c r="B248" s="142"/>
      <c r="C248" s="143"/>
      <c r="D248" s="144"/>
      <c r="E248" s="143"/>
      <c r="F248" s="143"/>
      <c r="G248" s="143"/>
      <c r="H248" s="143"/>
      <c r="I248" s="143"/>
      <c r="J248" s="143"/>
      <c r="K248" s="143"/>
      <c r="L248" s="143"/>
      <c r="M248" s="143"/>
      <c r="N248" s="143"/>
      <c r="O248" s="143"/>
      <c r="P248" s="143"/>
      <c r="Q248" s="143"/>
      <c r="R248" s="143"/>
      <c r="S248" s="143"/>
      <c r="T248" s="143"/>
      <c r="U248" s="143"/>
      <c r="V248" s="143"/>
      <c r="W248" s="143"/>
      <c r="X248" s="143"/>
      <c r="Y248" s="143"/>
    </row>
    <row r="249" spans="1:25" ht="13">
      <c r="A249" s="156"/>
      <c r="B249" s="142"/>
      <c r="C249" s="143"/>
      <c r="D249" s="144"/>
      <c r="E249" s="143"/>
      <c r="F249" s="143"/>
      <c r="G249" s="143"/>
      <c r="H249" s="143"/>
      <c r="I249" s="143"/>
      <c r="J249" s="143"/>
      <c r="K249" s="143"/>
      <c r="L249" s="143"/>
      <c r="M249" s="143"/>
      <c r="N249" s="143"/>
      <c r="O249" s="143"/>
      <c r="P249" s="143"/>
      <c r="Q249" s="143"/>
      <c r="R249" s="143"/>
      <c r="S249" s="143"/>
      <c r="T249" s="143"/>
      <c r="U249" s="143"/>
      <c r="V249" s="143"/>
      <c r="W249" s="143"/>
      <c r="X249" s="143"/>
      <c r="Y249" s="143"/>
    </row>
    <row r="250" spans="1:25" ht="13">
      <c r="A250" s="156"/>
      <c r="B250" s="142"/>
      <c r="C250" s="143"/>
      <c r="D250" s="144"/>
      <c r="E250" s="143"/>
      <c r="F250" s="143"/>
      <c r="G250" s="143"/>
      <c r="H250" s="143"/>
      <c r="I250" s="143"/>
      <c r="J250" s="143"/>
      <c r="K250" s="143"/>
      <c r="L250" s="143"/>
      <c r="M250" s="143"/>
      <c r="N250" s="143"/>
      <c r="O250" s="143"/>
      <c r="P250" s="143"/>
      <c r="Q250" s="143"/>
      <c r="R250" s="143"/>
      <c r="S250" s="143"/>
      <c r="T250" s="143"/>
      <c r="U250" s="143"/>
      <c r="V250" s="143"/>
      <c r="W250" s="143"/>
      <c r="X250" s="143"/>
      <c r="Y250" s="143"/>
    </row>
    <row r="251" spans="1:25" ht="13">
      <c r="A251" s="156"/>
      <c r="B251" s="142"/>
      <c r="C251" s="143"/>
      <c r="D251" s="144"/>
      <c r="E251" s="143"/>
      <c r="F251" s="143"/>
      <c r="G251" s="143"/>
      <c r="H251" s="143"/>
      <c r="I251" s="143"/>
      <c r="J251" s="143"/>
      <c r="K251" s="143"/>
      <c r="L251" s="143"/>
      <c r="M251" s="143"/>
      <c r="N251" s="143"/>
      <c r="O251" s="143"/>
      <c r="P251" s="143"/>
      <c r="Q251" s="143"/>
      <c r="R251" s="143"/>
      <c r="S251" s="143"/>
      <c r="T251" s="143"/>
      <c r="U251" s="143"/>
      <c r="V251" s="143"/>
      <c r="W251" s="143"/>
      <c r="X251" s="143"/>
      <c r="Y251" s="143"/>
    </row>
    <row r="252" spans="1:25" ht="13">
      <c r="A252" s="156"/>
      <c r="B252" s="142"/>
      <c r="C252" s="143"/>
      <c r="D252" s="144"/>
      <c r="E252" s="143"/>
      <c r="F252" s="143"/>
      <c r="G252" s="143"/>
      <c r="H252" s="143"/>
      <c r="I252" s="143"/>
      <c r="J252" s="143"/>
      <c r="K252" s="143"/>
      <c r="L252" s="143"/>
      <c r="M252" s="143"/>
      <c r="N252" s="143"/>
      <c r="O252" s="143"/>
      <c r="P252" s="143"/>
      <c r="Q252" s="143"/>
      <c r="R252" s="143"/>
      <c r="S252" s="143"/>
      <c r="T252" s="143"/>
      <c r="U252" s="143"/>
      <c r="V252" s="143"/>
      <c r="W252" s="143"/>
      <c r="X252" s="143"/>
      <c r="Y252" s="143"/>
    </row>
    <row r="253" spans="1:25" ht="13">
      <c r="A253" s="156"/>
      <c r="B253" s="142"/>
      <c r="C253" s="143"/>
      <c r="D253" s="144"/>
      <c r="E253" s="143"/>
      <c r="F253" s="143"/>
      <c r="G253" s="143"/>
      <c r="H253" s="143"/>
      <c r="I253" s="143"/>
      <c r="J253" s="143"/>
      <c r="K253" s="143"/>
      <c r="L253" s="143"/>
      <c r="M253" s="143"/>
      <c r="N253" s="143"/>
      <c r="O253" s="143"/>
      <c r="P253" s="143"/>
      <c r="Q253" s="143"/>
      <c r="R253" s="143"/>
      <c r="S253" s="143"/>
      <c r="T253" s="143"/>
      <c r="U253" s="143"/>
      <c r="V253" s="143"/>
      <c r="W253" s="143"/>
      <c r="X253" s="143"/>
      <c r="Y253" s="143"/>
    </row>
    <row r="254" spans="1:25" ht="13">
      <c r="A254" s="156"/>
      <c r="B254" s="142"/>
      <c r="C254" s="143"/>
      <c r="D254" s="144"/>
      <c r="E254" s="143"/>
      <c r="F254" s="143"/>
      <c r="G254" s="143"/>
      <c r="H254" s="143"/>
      <c r="I254" s="143"/>
      <c r="J254" s="143"/>
      <c r="K254" s="143"/>
      <c r="L254" s="143"/>
      <c r="M254" s="143"/>
      <c r="N254" s="143"/>
      <c r="O254" s="143"/>
      <c r="P254" s="143"/>
      <c r="Q254" s="143"/>
      <c r="R254" s="143"/>
      <c r="S254" s="143"/>
      <c r="T254" s="143"/>
      <c r="U254" s="143"/>
      <c r="V254" s="143"/>
      <c r="W254" s="143"/>
      <c r="X254" s="143"/>
      <c r="Y254" s="143"/>
    </row>
    <row r="255" spans="1:25" ht="13">
      <c r="A255" s="156"/>
      <c r="B255" s="142"/>
      <c r="C255" s="143"/>
      <c r="D255" s="144"/>
      <c r="E255" s="143"/>
      <c r="F255" s="143"/>
      <c r="G255" s="143"/>
      <c r="H255" s="143"/>
      <c r="I255" s="143"/>
      <c r="J255" s="143"/>
      <c r="K255" s="143"/>
      <c r="L255" s="143"/>
      <c r="M255" s="143"/>
      <c r="N255" s="143"/>
      <c r="O255" s="143"/>
      <c r="P255" s="143"/>
      <c r="Q255" s="143"/>
      <c r="R255" s="143"/>
      <c r="S255" s="143"/>
      <c r="T255" s="143"/>
      <c r="U255" s="143"/>
      <c r="V255" s="143"/>
      <c r="W255" s="143"/>
      <c r="X255" s="143"/>
      <c r="Y255" s="143"/>
    </row>
    <row r="256" spans="1:25" ht="13">
      <c r="A256" s="156"/>
      <c r="B256" s="142"/>
      <c r="C256" s="143"/>
      <c r="D256" s="144"/>
      <c r="E256" s="143"/>
      <c r="F256" s="143"/>
      <c r="G256" s="143"/>
      <c r="H256" s="143"/>
      <c r="I256" s="143"/>
      <c r="J256" s="143"/>
      <c r="K256" s="143"/>
      <c r="L256" s="143"/>
      <c r="M256" s="143"/>
      <c r="N256" s="143"/>
      <c r="O256" s="143"/>
      <c r="P256" s="143"/>
      <c r="Q256" s="143"/>
      <c r="R256" s="143"/>
      <c r="S256" s="143"/>
      <c r="T256" s="143"/>
      <c r="U256" s="143"/>
      <c r="V256" s="143"/>
      <c r="W256" s="143"/>
      <c r="X256" s="143"/>
      <c r="Y256" s="143"/>
    </row>
    <row r="257" spans="1:25" ht="13">
      <c r="A257" s="156"/>
      <c r="B257" s="142"/>
      <c r="C257" s="143"/>
      <c r="D257" s="144"/>
      <c r="E257" s="143"/>
      <c r="F257" s="143"/>
      <c r="G257" s="143"/>
      <c r="H257" s="143"/>
      <c r="I257" s="143"/>
      <c r="J257" s="143"/>
      <c r="K257" s="143"/>
      <c r="L257" s="143"/>
      <c r="M257" s="143"/>
      <c r="N257" s="143"/>
      <c r="O257" s="143"/>
      <c r="P257" s="143"/>
      <c r="Q257" s="143"/>
      <c r="R257" s="143"/>
      <c r="S257" s="143"/>
      <c r="T257" s="143"/>
      <c r="U257" s="143"/>
      <c r="V257" s="143"/>
      <c r="W257" s="143"/>
      <c r="X257" s="143"/>
      <c r="Y257" s="143"/>
    </row>
    <row r="258" spans="1:25" ht="13">
      <c r="A258" s="156"/>
      <c r="B258" s="142"/>
      <c r="C258" s="143"/>
      <c r="D258" s="144"/>
      <c r="E258" s="143"/>
      <c r="F258" s="143"/>
      <c r="G258" s="143"/>
      <c r="H258" s="143"/>
      <c r="I258" s="143"/>
      <c r="J258" s="143"/>
      <c r="K258" s="143"/>
      <c r="L258" s="143"/>
      <c r="M258" s="143"/>
      <c r="N258" s="143"/>
      <c r="O258" s="143"/>
      <c r="P258" s="143"/>
      <c r="Q258" s="143"/>
      <c r="R258" s="143"/>
      <c r="S258" s="143"/>
      <c r="T258" s="143"/>
      <c r="U258" s="143"/>
      <c r="V258" s="143"/>
      <c r="W258" s="143"/>
      <c r="X258" s="143"/>
      <c r="Y258" s="143"/>
    </row>
    <row r="259" spans="1:25" ht="13">
      <c r="A259" s="156"/>
      <c r="B259" s="142"/>
      <c r="C259" s="143"/>
      <c r="D259" s="144"/>
      <c r="E259" s="143"/>
      <c r="F259" s="143"/>
      <c r="G259" s="143"/>
      <c r="H259" s="143"/>
      <c r="I259" s="143"/>
      <c r="J259" s="143"/>
      <c r="K259" s="143"/>
      <c r="L259" s="143"/>
      <c r="M259" s="143"/>
      <c r="N259" s="143"/>
      <c r="O259" s="143"/>
      <c r="P259" s="143"/>
      <c r="Q259" s="143"/>
      <c r="R259" s="143"/>
      <c r="S259" s="143"/>
      <c r="T259" s="143"/>
      <c r="U259" s="143"/>
      <c r="V259" s="143"/>
      <c r="W259" s="143"/>
      <c r="X259" s="143"/>
      <c r="Y259" s="143"/>
    </row>
    <row r="260" spans="1:25" ht="13">
      <c r="A260" s="156"/>
      <c r="B260" s="142"/>
      <c r="C260" s="143"/>
      <c r="D260" s="144"/>
      <c r="E260" s="143"/>
      <c r="F260" s="143"/>
      <c r="G260" s="143"/>
      <c r="H260" s="143"/>
      <c r="I260" s="143"/>
      <c r="J260" s="143"/>
      <c r="K260" s="143"/>
      <c r="L260" s="143"/>
      <c r="M260" s="143"/>
      <c r="N260" s="143"/>
      <c r="O260" s="143"/>
      <c r="P260" s="143"/>
      <c r="Q260" s="143"/>
      <c r="R260" s="143"/>
      <c r="S260" s="143"/>
      <c r="T260" s="143"/>
      <c r="U260" s="143"/>
      <c r="V260" s="143"/>
      <c r="W260" s="143"/>
      <c r="X260" s="143"/>
      <c r="Y260" s="143"/>
    </row>
    <row r="261" spans="1:25" ht="13">
      <c r="A261" s="156"/>
      <c r="B261" s="142"/>
      <c r="C261" s="143"/>
      <c r="D261" s="144"/>
      <c r="E261" s="143"/>
      <c r="F261" s="143"/>
      <c r="G261" s="143"/>
      <c r="H261" s="143"/>
      <c r="I261" s="143"/>
      <c r="J261" s="143"/>
      <c r="K261" s="143"/>
      <c r="L261" s="143"/>
      <c r="M261" s="143"/>
      <c r="N261" s="143"/>
      <c r="O261" s="143"/>
      <c r="P261" s="143"/>
      <c r="Q261" s="143"/>
      <c r="R261" s="143"/>
      <c r="S261" s="143"/>
      <c r="T261" s="143"/>
      <c r="U261" s="143"/>
      <c r="V261" s="143"/>
      <c r="W261" s="143"/>
      <c r="X261" s="143"/>
      <c r="Y261" s="143"/>
    </row>
    <row r="262" spans="1:25" ht="13">
      <c r="A262" s="156"/>
      <c r="B262" s="142"/>
      <c r="C262" s="143"/>
      <c r="D262" s="144"/>
      <c r="E262" s="143"/>
      <c r="F262" s="143"/>
      <c r="G262" s="143"/>
      <c r="H262" s="143"/>
      <c r="I262" s="143"/>
      <c r="J262" s="143"/>
      <c r="K262" s="143"/>
      <c r="L262" s="143"/>
      <c r="M262" s="143"/>
      <c r="N262" s="143"/>
      <c r="O262" s="143"/>
      <c r="P262" s="143"/>
      <c r="Q262" s="143"/>
      <c r="R262" s="143"/>
      <c r="S262" s="143"/>
      <c r="T262" s="143"/>
      <c r="U262" s="143"/>
      <c r="V262" s="143"/>
      <c r="W262" s="143"/>
      <c r="X262" s="143"/>
      <c r="Y262" s="143"/>
    </row>
    <row r="263" spans="1:25" ht="13">
      <c r="A263" s="156"/>
      <c r="B263" s="142"/>
      <c r="C263" s="143"/>
      <c r="D263" s="144"/>
      <c r="E263" s="143"/>
      <c r="F263" s="143"/>
      <c r="G263" s="143"/>
      <c r="H263" s="143"/>
      <c r="I263" s="143"/>
      <c r="J263" s="143"/>
      <c r="K263" s="143"/>
      <c r="L263" s="143"/>
      <c r="M263" s="143"/>
      <c r="N263" s="143"/>
      <c r="O263" s="143"/>
      <c r="P263" s="143"/>
      <c r="Q263" s="143"/>
      <c r="R263" s="143"/>
      <c r="S263" s="143"/>
      <c r="T263" s="143"/>
      <c r="U263" s="143"/>
      <c r="V263" s="143"/>
      <c r="W263" s="143"/>
      <c r="X263" s="143"/>
      <c r="Y263" s="143"/>
    </row>
    <row r="264" spans="1:25" ht="13">
      <c r="A264" s="156"/>
      <c r="B264" s="142"/>
      <c r="C264" s="143"/>
      <c r="D264" s="144"/>
      <c r="E264" s="143"/>
      <c r="F264" s="143"/>
      <c r="G264" s="143"/>
      <c r="H264" s="143"/>
      <c r="I264" s="143"/>
      <c r="J264" s="143"/>
      <c r="K264" s="143"/>
      <c r="L264" s="143"/>
      <c r="M264" s="143"/>
      <c r="N264" s="143"/>
      <c r="O264" s="143"/>
      <c r="P264" s="143"/>
      <c r="Q264" s="143"/>
      <c r="R264" s="143"/>
      <c r="S264" s="143"/>
      <c r="T264" s="143"/>
      <c r="U264" s="143"/>
      <c r="V264" s="143"/>
      <c r="W264" s="143"/>
      <c r="X264" s="143"/>
      <c r="Y264" s="143"/>
    </row>
    <row r="265" spans="1:25" ht="13">
      <c r="A265" s="156"/>
      <c r="B265" s="142"/>
      <c r="C265" s="143"/>
      <c r="D265" s="144"/>
      <c r="E265" s="143"/>
      <c r="F265" s="143"/>
      <c r="G265" s="143"/>
      <c r="H265" s="143"/>
      <c r="I265" s="143"/>
      <c r="J265" s="143"/>
      <c r="K265" s="143"/>
      <c r="L265" s="143"/>
      <c r="M265" s="143"/>
      <c r="N265" s="143"/>
      <c r="O265" s="143"/>
      <c r="P265" s="143"/>
      <c r="Q265" s="143"/>
      <c r="R265" s="143"/>
      <c r="S265" s="143"/>
      <c r="T265" s="143"/>
      <c r="U265" s="143"/>
      <c r="V265" s="143"/>
      <c r="W265" s="143"/>
      <c r="X265" s="143"/>
      <c r="Y265" s="143"/>
    </row>
    <row r="266" spans="1:25" ht="13">
      <c r="A266" s="156"/>
      <c r="B266" s="142"/>
      <c r="C266" s="143"/>
      <c r="D266" s="144"/>
      <c r="E266" s="143"/>
      <c r="F266" s="143"/>
      <c r="G266" s="143"/>
      <c r="H266" s="143"/>
      <c r="I266" s="143"/>
      <c r="J266" s="143"/>
      <c r="K266" s="143"/>
      <c r="L266" s="143"/>
      <c r="M266" s="143"/>
      <c r="N266" s="143"/>
      <c r="O266" s="143"/>
      <c r="P266" s="143"/>
      <c r="Q266" s="143"/>
      <c r="R266" s="143"/>
      <c r="S266" s="143"/>
      <c r="T266" s="143"/>
      <c r="U266" s="143"/>
      <c r="V266" s="143"/>
      <c r="W266" s="143"/>
      <c r="X266" s="143"/>
      <c r="Y266" s="143"/>
    </row>
    <row r="267" spans="1:25" ht="13">
      <c r="A267" s="156"/>
      <c r="B267" s="142"/>
      <c r="C267" s="143"/>
      <c r="D267" s="144"/>
      <c r="E267" s="143"/>
      <c r="F267" s="143"/>
      <c r="G267" s="143"/>
      <c r="H267" s="143"/>
      <c r="I267" s="143"/>
      <c r="J267" s="143"/>
      <c r="K267" s="143"/>
      <c r="L267" s="143"/>
      <c r="M267" s="143"/>
      <c r="N267" s="143"/>
      <c r="O267" s="143"/>
      <c r="P267" s="143"/>
      <c r="Q267" s="143"/>
      <c r="R267" s="143"/>
      <c r="S267" s="143"/>
      <c r="T267" s="143"/>
      <c r="U267" s="143"/>
      <c r="V267" s="143"/>
      <c r="W267" s="143"/>
      <c r="X267" s="143"/>
      <c r="Y267" s="143"/>
    </row>
    <row r="268" spans="1:25" ht="13">
      <c r="A268" s="156"/>
      <c r="B268" s="142"/>
      <c r="C268" s="143"/>
      <c r="D268" s="144"/>
      <c r="E268" s="143"/>
      <c r="F268" s="143"/>
      <c r="G268" s="143"/>
      <c r="H268" s="143"/>
      <c r="I268" s="143"/>
      <c r="J268" s="143"/>
      <c r="K268" s="143"/>
      <c r="L268" s="143"/>
      <c r="M268" s="143"/>
      <c r="N268" s="143"/>
      <c r="O268" s="143"/>
      <c r="P268" s="143"/>
      <c r="Q268" s="143"/>
      <c r="R268" s="143"/>
      <c r="S268" s="143"/>
      <c r="T268" s="143"/>
      <c r="U268" s="143"/>
      <c r="V268" s="143"/>
      <c r="W268" s="143"/>
      <c r="X268" s="143"/>
      <c r="Y268" s="143"/>
    </row>
    <row r="269" spans="1:25" ht="13">
      <c r="A269" s="156"/>
      <c r="B269" s="142"/>
      <c r="C269" s="143"/>
      <c r="D269" s="144"/>
      <c r="E269" s="143"/>
      <c r="F269" s="143"/>
      <c r="G269" s="143"/>
      <c r="H269" s="143"/>
      <c r="I269" s="143"/>
      <c r="J269" s="143"/>
      <c r="K269" s="143"/>
      <c r="L269" s="143"/>
      <c r="M269" s="143"/>
      <c r="N269" s="143"/>
      <c r="O269" s="143"/>
      <c r="P269" s="143"/>
      <c r="Q269" s="143"/>
      <c r="R269" s="143"/>
      <c r="S269" s="143"/>
      <c r="T269" s="143"/>
      <c r="U269" s="143"/>
      <c r="V269" s="143"/>
      <c r="W269" s="143"/>
      <c r="X269" s="143"/>
      <c r="Y269" s="143"/>
    </row>
    <row r="270" spans="1:25" ht="13">
      <c r="A270" s="156"/>
      <c r="B270" s="142"/>
      <c r="C270" s="143"/>
      <c r="D270" s="144"/>
      <c r="E270" s="143"/>
      <c r="F270" s="143"/>
      <c r="G270" s="143"/>
      <c r="H270" s="143"/>
      <c r="I270" s="143"/>
      <c r="J270" s="143"/>
      <c r="K270" s="143"/>
      <c r="L270" s="143"/>
      <c r="M270" s="143"/>
      <c r="N270" s="143"/>
      <c r="O270" s="143"/>
      <c r="P270" s="143"/>
      <c r="Q270" s="143"/>
      <c r="R270" s="143"/>
      <c r="S270" s="143"/>
      <c r="T270" s="143"/>
      <c r="U270" s="143"/>
      <c r="V270" s="143"/>
      <c r="W270" s="143"/>
      <c r="X270" s="143"/>
      <c r="Y270" s="143"/>
    </row>
    <row r="271" spans="1:25" ht="13">
      <c r="A271" s="156"/>
      <c r="B271" s="142"/>
      <c r="C271" s="143"/>
      <c r="D271" s="144"/>
      <c r="E271" s="143"/>
      <c r="F271" s="143"/>
      <c r="G271" s="143"/>
      <c r="H271" s="143"/>
      <c r="I271" s="143"/>
      <c r="J271" s="143"/>
      <c r="K271" s="143"/>
      <c r="L271" s="143"/>
      <c r="M271" s="143"/>
      <c r="N271" s="143"/>
      <c r="O271" s="143"/>
      <c r="P271" s="143"/>
      <c r="Q271" s="143"/>
      <c r="R271" s="143"/>
      <c r="S271" s="143"/>
      <c r="T271" s="143"/>
      <c r="U271" s="143"/>
      <c r="V271" s="143"/>
      <c r="W271" s="143"/>
      <c r="X271" s="143"/>
      <c r="Y271" s="143"/>
    </row>
    <row r="272" spans="1:25" ht="13">
      <c r="A272" s="156"/>
      <c r="B272" s="142"/>
      <c r="C272" s="143"/>
      <c r="D272" s="144"/>
      <c r="E272" s="143"/>
      <c r="F272" s="143"/>
      <c r="G272" s="143"/>
      <c r="H272" s="143"/>
      <c r="I272" s="143"/>
      <c r="J272" s="143"/>
      <c r="K272" s="143"/>
      <c r="L272" s="143"/>
      <c r="M272" s="143"/>
      <c r="N272" s="143"/>
      <c r="O272" s="143"/>
      <c r="P272" s="143"/>
      <c r="Q272" s="143"/>
      <c r="R272" s="143"/>
      <c r="S272" s="143"/>
      <c r="T272" s="143"/>
      <c r="U272" s="143"/>
      <c r="V272" s="143"/>
      <c r="W272" s="143"/>
      <c r="X272" s="143"/>
      <c r="Y272" s="143"/>
    </row>
    <row r="273" spans="1:25" ht="13">
      <c r="A273" s="156"/>
      <c r="B273" s="142"/>
      <c r="C273" s="143"/>
      <c r="D273" s="144"/>
      <c r="E273" s="143"/>
      <c r="F273" s="143"/>
      <c r="G273" s="143"/>
      <c r="H273" s="143"/>
      <c r="I273" s="143"/>
      <c r="J273" s="143"/>
      <c r="K273" s="143"/>
      <c r="L273" s="143"/>
      <c r="M273" s="143"/>
      <c r="N273" s="143"/>
      <c r="O273" s="143"/>
      <c r="P273" s="143"/>
      <c r="Q273" s="143"/>
      <c r="R273" s="143"/>
      <c r="S273" s="143"/>
      <c r="T273" s="143"/>
      <c r="U273" s="143"/>
      <c r="V273" s="143"/>
      <c r="W273" s="143"/>
      <c r="X273" s="143"/>
      <c r="Y273" s="143"/>
    </row>
    <row r="274" spans="1:25" ht="13">
      <c r="A274" s="156"/>
      <c r="B274" s="142"/>
      <c r="C274" s="143"/>
      <c r="D274" s="144"/>
      <c r="E274" s="143"/>
      <c r="F274" s="143"/>
      <c r="G274" s="143"/>
      <c r="H274" s="143"/>
      <c r="I274" s="143"/>
      <c r="J274" s="143"/>
      <c r="K274" s="143"/>
      <c r="L274" s="143"/>
      <c r="M274" s="143"/>
      <c r="N274" s="143"/>
      <c r="O274" s="143"/>
      <c r="P274" s="143"/>
      <c r="Q274" s="143"/>
      <c r="R274" s="143"/>
      <c r="S274" s="143"/>
      <c r="T274" s="143"/>
      <c r="U274" s="143"/>
      <c r="V274" s="143"/>
      <c r="W274" s="143"/>
      <c r="X274" s="143"/>
      <c r="Y274" s="143"/>
    </row>
    <row r="275" spans="1:25" ht="13">
      <c r="A275" s="156"/>
      <c r="B275" s="142"/>
      <c r="C275" s="143"/>
      <c r="D275" s="144"/>
      <c r="E275" s="143"/>
      <c r="F275" s="143"/>
      <c r="G275" s="143"/>
      <c r="H275" s="143"/>
      <c r="I275" s="143"/>
      <c r="J275" s="143"/>
      <c r="K275" s="143"/>
      <c r="L275" s="143"/>
      <c r="M275" s="143"/>
      <c r="N275" s="143"/>
      <c r="O275" s="143"/>
      <c r="P275" s="143"/>
      <c r="Q275" s="143"/>
      <c r="R275" s="143"/>
      <c r="S275" s="143"/>
      <c r="T275" s="143"/>
      <c r="U275" s="143"/>
      <c r="V275" s="143"/>
      <c r="W275" s="143"/>
      <c r="X275" s="143"/>
      <c r="Y275" s="143"/>
    </row>
    <row r="276" spans="1:25" ht="13">
      <c r="A276" s="156"/>
      <c r="B276" s="142"/>
      <c r="C276" s="143"/>
      <c r="D276" s="144"/>
      <c r="E276" s="143"/>
      <c r="F276" s="143"/>
      <c r="G276" s="143"/>
      <c r="H276" s="143"/>
      <c r="I276" s="143"/>
      <c r="J276" s="143"/>
      <c r="K276" s="143"/>
      <c r="L276" s="143"/>
      <c r="M276" s="143"/>
      <c r="N276" s="143"/>
      <c r="O276" s="143"/>
      <c r="P276" s="143"/>
      <c r="Q276" s="143"/>
      <c r="R276" s="143"/>
      <c r="S276" s="143"/>
      <c r="T276" s="143"/>
      <c r="U276" s="143"/>
      <c r="V276" s="143"/>
      <c r="W276" s="143"/>
      <c r="X276" s="143"/>
      <c r="Y276" s="143"/>
    </row>
    <row r="277" spans="1:25" ht="13">
      <c r="A277" s="156"/>
      <c r="B277" s="142"/>
      <c r="C277" s="143"/>
      <c r="D277" s="144"/>
      <c r="E277" s="143"/>
      <c r="F277" s="143"/>
      <c r="G277" s="143"/>
      <c r="H277" s="143"/>
      <c r="I277" s="143"/>
      <c r="J277" s="143"/>
      <c r="K277" s="143"/>
      <c r="L277" s="143"/>
      <c r="M277" s="143"/>
      <c r="N277" s="143"/>
      <c r="O277" s="143"/>
      <c r="P277" s="143"/>
      <c r="Q277" s="143"/>
      <c r="R277" s="143"/>
      <c r="S277" s="143"/>
      <c r="T277" s="143"/>
      <c r="U277" s="143"/>
      <c r="V277" s="143"/>
      <c r="W277" s="143"/>
      <c r="X277" s="143"/>
      <c r="Y277" s="143"/>
    </row>
    <row r="278" spans="1:25" ht="13">
      <c r="A278" s="156"/>
      <c r="B278" s="142"/>
      <c r="C278" s="143"/>
      <c r="D278" s="144"/>
      <c r="E278" s="143"/>
      <c r="F278" s="143"/>
      <c r="G278" s="143"/>
      <c r="H278" s="143"/>
      <c r="I278" s="143"/>
      <c r="J278" s="143"/>
      <c r="K278" s="143"/>
      <c r="L278" s="143"/>
      <c r="M278" s="143"/>
      <c r="N278" s="143"/>
      <c r="O278" s="143"/>
      <c r="P278" s="143"/>
      <c r="Q278" s="143"/>
      <c r="R278" s="143"/>
      <c r="S278" s="143"/>
      <c r="T278" s="143"/>
      <c r="U278" s="143"/>
      <c r="V278" s="143"/>
      <c r="W278" s="143"/>
      <c r="X278" s="143"/>
      <c r="Y278" s="143"/>
    </row>
    <row r="279" spans="1:25" ht="13">
      <c r="A279" s="156"/>
      <c r="B279" s="142"/>
      <c r="C279" s="143"/>
      <c r="D279" s="144"/>
      <c r="E279" s="143"/>
      <c r="F279" s="143"/>
      <c r="G279" s="143"/>
      <c r="H279" s="143"/>
      <c r="I279" s="143"/>
      <c r="J279" s="143"/>
      <c r="K279" s="143"/>
      <c r="L279" s="143"/>
      <c r="M279" s="143"/>
      <c r="N279" s="143"/>
      <c r="O279" s="143"/>
      <c r="P279" s="143"/>
      <c r="Q279" s="143"/>
      <c r="R279" s="143"/>
      <c r="S279" s="143"/>
      <c r="T279" s="143"/>
      <c r="U279" s="143"/>
      <c r="V279" s="143"/>
      <c r="W279" s="143"/>
      <c r="X279" s="143"/>
      <c r="Y279" s="143"/>
    </row>
    <row r="280" spans="1:25" ht="13">
      <c r="A280" s="156"/>
      <c r="B280" s="142"/>
      <c r="C280" s="143"/>
      <c r="D280" s="144"/>
      <c r="E280" s="143"/>
      <c r="F280" s="143"/>
      <c r="G280" s="143"/>
      <c r="H280" s="143"/>
      <c r="I280" s="143"/>
      <c r="J280" s="143"/>
      <c r="K280" s="143"/>
      <c r="L280" s="143"/>
      <c r="M280" s="143"/>
      <c r="N280" s="143"/>
      <c r="O280" s="143"/>
      <c r="P280" s="143"/>
      <c r="Q280" s="143"/>
      <c r="R280" s="143"/>
      <c r="S280" s="143"/>
      <c r="T280" s="143"/>
      <c r="U280" s="143"/>
      <c r="V280" s="143"/>
      <c r="W280" s="143"/>
      <c r="X280" s="143"/>
      <c r="Y280" s="143"/>
    </row>
    <row r="281" spans="1:25" ht="13">
      <c r="A281" s="156"/>
      <c r="B281" s="142"/>
      <c r="C281" s="143"/>
      <c r="D281" s="144"/>
      <c r="E281" s="143"/>
      <c r="F281" s="143"/>
      <c r="G281" s="143"/>
      <c r="H281" s="143"/>
      <c r="I281" s="143"/>
      <c r="J281" s="143"/>
      <c r="K281" s="143"/>
      <c r="L281" s="143"/>
      <c r="M281" s="143"/>
      <c r="N281" s="143"/>
      <c r="O281" s="143"/>
      <c r="P281" s="143"/>
      <c r="Q281" s="143"/>
      <c r="R281" s="143"/>
      <c r="S281" s="143"/>
      <c r="T281" s="143"/>
      <c r="U281" s="143"/>
      <c r="V281" s="143"/>
      <c r="W281" s="143"/>
      <c r="X281" s="143"/>
      <c r="Y281" s="143"/>
    </row>
    <row r="282" spans="1:25" ht="13">
      <c r="A282" s="156"/>
      <c r="B282" s="142"/>
      <c r="C282" s="143"/>
      <c r="D282" s="144"/>
      <c r="E282" s="143"/>
      <c r="F282" s="143"/>
      <c r="G282" s="143"/>
      <c r="H282" s="143"/>
      <c r="I282" s="143"/>
      <c r="J282" s="143"/>
      <c r="K282" s="143"/>
      <c r="L282" s="143"/>
      <c r="M282" s="143"/>
      <c r="N282" s="143"/>
      <c r="O282" s="143"/>
      <c r="P282" s="143"/>
      <c r="Q282" s="143"/>
      <c r="R282" s="143"/>
      <c r="S282" s="143"/>
      <c r="T282" s="143"/>
      <c r="U282" s="143"/>
      <c r="V282" s="143"/>
      <c r="W282" s="143"/>
      <c r="X282" s="143"/>
      <c r="Y282" s="143"/>
    </row>
    <row r="283" spans="1:25" ht="13">
      <c r="A283" s="156"/>
      <c r="B283" s="142"/>
      <c r="C283" s="143"/>
      <c r="D283" s="144"/>
      <c r="E283" s="143"/>
      <c r="F283" s="143"/>
      <c r="G283" s="143"/>
      <c r="H283" s="143"/>
      <c r="I283" s="143"/>
      <c r="J283" s="143"/>
      <c r="K283" s="143"/>
      <c r="L283" s="143"/>
      <c r="M283" s="143"/>
      <c r="N283" s="143"/>
      <c r="O283" s="143"/>
      <c r="P283" s="143"/>
      <c r="Q283" s="143"/>
      <c r="R283" s="143"/>
      <c r="S283" s="143"/>
      <c r="T283" s="143"/>
      <c r="U283" s="143"/>
      <c r="V283" s="143"/>
      <c r="W283" s="143"/>
      <c r="X283" s="143"/>
      <c r="Y283" s="143"/>
    </row>
    <row r="284" spans="1:25" ht="13">
      <c r="A284" s="156"/>
      <c r="B284" s="142"/>
      <c r="C284" s="143"/>
      <c r="D284" s="144"/>
      <c r="E284" s="143"/>
      <c r="F284" s="143"/>
      <c r="G284" s="143"/>
      <c r="H284" s="143"/>
      <c r="I284" s="143"/>
      <c r="J284" s="143"/>
      <c r="K284" s="143"/>
      <c r="L284" s="143"/>
      <c r="M284" s="143"/>
      <c r="N284" s="143"/>
      <c r="O284" s="143"/>
      <c r="P284" s="143"/>
      <c r="Q284" s="143"/>
      <c r="R284" s="143"/>
      <c r="S284" s="143"/>
      <c r="T284" s="143"/>
      <c r="U284" s="143"/>
      <c r="V284" s="143"/>
      <c r="W284" s="143"/>
      <c r="X284" s="143"/>
      <c r="Y284" s="143"/>
    </row>
    <row r="285" spans="1:25" ht="13">
      <c r="A285" s="156"/>
      <c r="B285" s="142"/>
      <c r="C285" s="143"/>
      <c r="D285" s="144"/>
      <c r="E285" s="143"/>
      <c r="F285" s="143"/>
      <c r="G285" s="143"/>
      <c r="H285" s="143"/>
      <c r="I285" s="143"/>
      <c r="J285" s="143"/>
      <c r="K285" s="143"/>
      <c r="L285" s="143"/>
      <c r="M285" s="143"/>
      <c r="N285" s="143"/>
      <c r="O285" s="143"/>
      <c r="P285" s="143"/>
      <c r="Q285" s="143"/>
      <c r="R285" s="143"/>
      <c r="S285" s="143"/>
      <c r="T285" s="143"/>
      <c r="U285" s="143"/>
      <c r="V285" s="143"/>
      <c r="W285" s="143"/>
      <c r="X285" s="143"/>
      <c r="Y285" s="143"/>
    </row>
    <row r="286" spans="1:25" ht="13">
      <c r="A286" s="156"/>
      <c r="B286" s="142"/>
      <c r="C286" s="143"/>
      <c r="D286" s="144"/>
      <c r="E286" s="143"/>
      <c r="F286" s="143"/>
      <c r="G286" s="143"/>
      <c r="H286" s="143"/>
      <c r="I286" s="143"/>
      <c r="J286" s="143"/>
      <c r="K286" s="143"/>
      <c r="L286" s="143"/>
      <c r="M286" s="143"/>
      <c r="N286" s="143"/>
      <c r="O286" s="143"/>
      <c r="P286" s="143"/>
      <c r="Q286" s="143"/>
      <c r="R286" s="143"/>
      <c r="S286" s="143"/>
      <c r="T286" s="143"/>
      <c r="U286" s="143"/>
      <c r="V286" s="143"/>
      <c r="W286" s="143"/>
      <c r="X286" s="143"/>
      <c r="Y286" s="143"/>
    </row>
    <row r="287" spans="1:25" ht="13">
      <c r="A287" s="156"/>
      <c r="B287" s="142"/>
      <c r="C287" s="143"/>
      <c r="D287" s="144"/>
      <c r="E287" s="143"/>
      <c r="F287" s="143"/>
      <c r="G287" s="143"/>
      <c r="H287" s="143"/>
      <c r="I287" s="143"/>
      <c r="J287" s="143"/>
      <c r="K287" s="143"/>
      <c r="L287" s="143"/>
      <c r="M287" s="143"/>
      <c r="N287" s="143"/>
      <c r="O287" s="143"/>
      <c r="P287" s="143"/>
      <c r="Q287" s="143"/>
      <c r="R287" s="143"/>
      <c r="S287" s="143"/>
      <c r="T287" s="143"/>
      <c r="U287" s="143"/>
      <c r="V287" s="143"/>
      <c r="W287" s="143"/>
      <c r="X287" s="143"/>
      <c r="Y287" s="143"/>
    </row>
    <row r="288" spans="1:25" ht="13">
      <c r="A288" s="156"/>
      <c r="B288" s="142"/>
      <c r="C288" s="143"/>
      <c r="D288" s="144"/>
      <c r="E288" s="143"/>
      <c r="F288" s="143"/>
      <c r="G288" s="143"/>
      <c r="H288" s="143"/>
      <c r="I288" s="143"/>
      <c r="J288" s="143"/>
      <c r="K288" s="143"/>
      <c r="L288" s="143"/>
      <c r="M288" s="143"/>
      <c r="N288" s="143"/>
      <c r="O288" s="143"/>
      <c r="P288" s="143"/>
      <c r="Q288" s="143"/>
      <c r="R288" s="143"/>
      <c r="S288" s="143"/>
      <c r="T288" s="143"/>
      <c r="U288" s="143"/>
      <c r="V288" s="143"/>
      <c r="W288" s="143"/>
      <c r="X288" s="143"/>
      <c r="Y288" s="143"/>
    </row>
    <row r="289" spans="1:25" ht="13">
      <c r="A289" s="156"/>
      <c r="B289" s="142"/>
      <c r="C289" s="143"/>
      <c r="D289" s="144"/>
      <c r="E289" s="143"/>
      <c r="F289" s="143"/>
      <c r="G289" s="143"/>
      <c r="H289" s="143"/>
      <c r="I289" s="143"/>
      <c r="J289" s="143"/>
      <c r="K289" s="143"/>
      <c r="L289" s="143"/>
      <c r="M289" s="143"/>
      <c r="N289" s="143"/>
      <c r="O289" s="143"/>
      <c r="P289" s="143"/>
      <c r="Q289" s="143"/>
      <c r="R289" s="143"/>
      <c r="S289" s="143"/>
      <c r="T289" s="143"/>
      <c r="U289" s="143"/>
      <c r="V289" s="143"/>
      <c r="W289" s="143"/>
      <c r="X289" s="143"/>
      <c r="Y289" s="143"/>
    </row>
    <row r="290" spans="1:25" ht="13">
      <c r="A290" s="156"/>
      <c r="B290" s="142"/>
      <c r="C290" s="143"/>
      <c r="D290" s="144"/>
      <c r="E290" s="143"/>
      <c r="F290" s="143"/>
      <c r="G290" s="143"/>
      <c r="H290" s="143"/>
      <c r="I290" s="143"/>
      <c r="J290" s="143"/>
      <c r="K290" s="143"/>
      <c r="L290" s="143"/>
      <c r="M290" s="143"/>
      <c r="N290" s="143"/>
      <c r="O290" s="143"/>
      <c r="P290" s="143"/>
      <c r="Q290" s="143"/>
      <c r="R290" s="143"/>
      <c r="S290" s="143"/>
      <c r="T290" s="143"/>
      <c r="U290" s="143"/>
      <c r="V290" s="143"/>
      <c r="W290" s="143"/>
      <c r="X290" s="143"/>
      <c r="Y290" s="143"/>
    </row>
    <row r="291" spans="1:25" ht="13">
      <c r="A291" s="156"/>
      <c r="B291" s="142"/>
      <c r="C291" s="143"/>
      <c r="D291" s="144"/>
      <c r="E291" s="143"/>
      <c r="F291" s="143"/>
      <c r="G291" s="143"/>
      <c r="H291" s="143"/>
      <c r="I291" s="143"/>
      <c r="J291" s="143"/>
      <c r="K291" s="143"/>
      <c r="L291" s="143"/>
      <c r="M291" s="143"/>
      <c r="N291" s="143"/>
      <c r="O291" s="143"/>
      <c r="P291" s="143"/>
      <c r="Q291" s="143"/>
      <c r="R291" s="143"/>
      <c r="S291" s="143"/>
      <c r="T291" s="143"/>
      <c r="U291" s="143"/>
      <c r="V291" s="143"/>
      <c r="W291" s="143"/>
      <c r="X291" s="143"/>
      <c r="Y291" s="143"/>
    </row>
    <row r="292" spans="1:25" ht="13">
      <c r="A292" s="156"/>
      <c r="B292" s="142"/>
      <c r="C292" s="143"/>
      <c r="D292" s="144"/>
      <c r="E292" s="143"/>
      <c r="F292" s="143"/>
      <c r="G292" s="143"/>
      <c r="H292" s="143"/>
      <c r="I292" s="143"/>
      <c r="J292" s="143"/>
      <c r="K292" s="143"/>
      <c r="L292" s="143"/>
      <c r="M292" s="143"/>
      <c r="N292" s="143"/>
      <c r="O292" s="143"/>
      <c r="P292" s="143"/>
      <c r="Q292" s="143"/>
      <c r="R292" s="143"/>
      <c r="S292" s="143"/>
      <c r="T292" s="143"/>
      <c r="U292" s="143"/>
      <c r="V292" s="143"/>
      <c r="W292" s="143"/>
      <c r="X292" s="143"/>
      <c r="Y292" s="143"/>
    </row>
    <row r="293" spans="1:25" ht="13">
      <c r="A293" s="156"/>
      <c r="B293" s="142"/>
      <c r="C293" s="143"/>
      <c r="D293" s="144"/>
      <c r="E293" s="143"/>
      <c r="F293" s="143"/>
      <c r="G293" s="143"/>
      <c r="H293" s="143"/>
      <c r="I293" s="143"/>
      <c r="J293" s="143"/>
      <c r="K293" s="143"/>
      <c r="L293" s="143"/>
      <c r="M293" s="143"/>
      <c r="N293" s="143"/>
      <c r="O293" s="143"/>
      <c r="P293" s="143"/>
      <c r="Q293" s="143"/>
      <c r="R293" s="143"/>
      <c r="S293" s="143"/>
      <c r="T293" s="143"/>
      <c r="U293" s="143"/>
      <c r="V293" s="143"/>
      <c r="W293" s="143"/>
      <c r="X293" s="143"/>
      <c r="Y293" s="143"/>
    </row>
    <row r="294" spans="1:25" ht="13">
      <c r="A294" s="156"/>
      <c r="B294" s="142"/>
      <c r="C294" s="143"/>
      <c r="D294" s="144"/>
      <c r="E294" s="143"/>
      <c r="F294" s="143"/>
      <c r="G294" s="143"/>
      <c r="H294" s="143"/>
      <c r="I294" s="143"/>
      <c r="J294" s="143"/>
      <c r="K294" s="143"/>
      <c r="L294" s="143"/>
      <c r="M294" s="143"/>
      <c r="N294" s="143"/>
      <c r="O294" s="143"/>
      <c r="P294" s="143"/>
      <c r="Q294" s="143"/>
      <c r="R294" s="143"/>
      <c r="S294" s="143"/>
      <c r="T294" s="143"/>
      <c r="U294" s="143"/>
      <c r="V294" s="143"/>
      <c r="W294" s="143"/>
      <c r="X294" s="143"/>
      <c r="Y294" s="143"/>
    </row>
    <row r="295" spans="1:25" ht="13">
      <c r="A295" s="156"/>
      <c r="B295" s="142"/>
      <c r="C295" s="143"/>
      <c r="D295" s="144"/>
      <c r="E295" s="143"/>
      <c r="F295" s="143"/>
      <c r="G295" s="143"/>
      <c r="H295" s="143"/>
      <c r="I295" s="143"/>
      <c r="J295" s="143"/>
      <c r="K295" s="143"/>
      <c r="L295" s="143"/>
      <c r="M295" s="143"/>
      <c r="N295" s="143"/>
      <c r="O295" s="143"/>
      <c r="P295" s="143"/>
      <c r="Q295" s="143"/>
      <c r="R295" s="143"/>
      <c r="S295" s="143"/>
      <c r="T295" s="143"/>
      <c r="U295" s="143"/>
      <c r="V295" s="143"/>
      <c r="W295" s="143"/>
      <c r="X295" s="143"/>
      <c r="Y295" s="143"/>
    </row>
    <row r="296" spans="1:25" ht="13">
      <c r="A296" s="156"/>
      <c r="B296" s="142"/>
      <c r="C296" s="143"/>
      <c r="D296" s="144"/>
      <c r="E296" s="143"/>
      <c r="F296" s="143"/>
      <c r="G296" s="143"/>
      <c r="H296" s="143"/>
      <c r="I296" s="143"/>
      <c r="J296" s="143"/>
      <c r="K296" s="143"/>
      <c r="L296" s="143"/>
      <c r="M296" s="143"/>
      <c r="N296" s="143"/>
      <c r="O296" s="143"/>
      <c r="P296" s="143"/>
      <c r="Q296" s="143"/>
      <c r="R296" s="143"/>
      <c r="S296" s="143"/>
      <c r="T296" s="143"/>
      <c r="U296" s="143"/>
      <c r="V296" s="143"/>
      <c r="W296" s="143"/>
      <c r="X296" s="143"/>
      <c r="Y296" s="143"/>
    </row>
    <row r="297" spans="1:25" ht="13">
      <c r="A297" s="156"/>
      <c r="B297" s="142"/>
      <c r="C297" s="143"/>
      <c r="D297" s="144"/>
      <c r="E297" s="143"/>
      <c r="F297" s="143"/>
      <c r="G297" s="143"/>
      <c r="H297" s="143"/>
      <c r="I297" s="143"/>
      <c r="J297" s="143"/>
      <c r="K297" s="143"/>
      <c r="L297" s="143"/>
      <c r="M297" s="143"/>
      <c r="N297" s="143"/>
      <c r="O297" s="143"/>
      <c r="P297" s="143"/>
      <c r="Q297" s="143"/>
      <c r="R297" s="143"/>
      <c r="S297" s="143"/>
      <c r="T297" s="143"/>
      <c r="U297" s="143"/>
      <c r="V297" s="143"/>
      <c r="W297" s="143"/>
      <c r="X297" s="143"/>
      <c r="Y297" s="143"/>
    </row>
    <row r="298" spans="1:25" ht="13">
      <c r="A298" s="156"/>
      <c r="B298" s="142"/>
      <c r="C298" s="143"/>
      <c r="D298" s="144"/>
      <c r="E298" s="143"/>
      <c r="F298" s="143"/>
      <c r="G298" s="143"/>
      <c r="H298" s="143"/>
      <c r="I298" s="143"/>
      <c r="J298" s="143"/>
      <c r="K298" s="143"/>
      <c r="L298" s="143"/>
      <c r="M298" s="143"/>
      <c r="N298" s="143"/>
      <c r="O298" s="143"/>
      <c r="P298" s="143"/>
      <c r="Q298" s="143"/>
      <c r="R298" s="143"/>
      <c r="S298" s="143"/>
      <c r="T298" s="143"/>
      <c r="U298" s="143"/>
      <c r="V298" s="143"/>
      <c r="W298" s="143"/>
      <c r="X298" s="143"/>
      <c r="Y298" s="143"/>
    </row>
    <row r="299" spans="1:25" ht="13">
      <c r="A299" s="156"/>
      <c r="B299" s="142"/>
      <c r="C299" s="143"/>
      <c r="D299" s="144"/>
      <c r="E299" s="143"/>
      <c r="F299" s="143"/>
      <c r="G299" s="143"/>
      <c r="H299" s="143"/>
      <c r="I299" s="143"/>
      <c r="J299" s="143"/>
      <c r="K299" s="143"/>
      <c r="L299" s="143"/>
      <c r="M299" s="143"/>
      <c r="N299" s="143"/>
      <c r="O299" s="143"/>
      <c r="P299" s="143"/>
      <c r="Q299" s="143"/>
      <c r="R299" s="143"/>
      <c r="S299" s="143"/>
      <c r="T299" s="143"/>
      <c r="U299" s="143"/>
      <c r="V299" s="143"/>
      <c r="W299" s="143"/>
      <c r="X299" s="143"/>
      <c r="Y299" s="143"/>
    </row>
    <row r="300" spans="1:25" ht="13">
      <c r="A300" s="156"/>
      <c r="B300" s="142"/>
      <c r="C300" s="143"/>
      <c r="D300" s="144"/>
      <c r="E300" s="143"/>
      <c r="F300" s="143"/>
      <c r="G300" s="143"/>
      <c r="H300" s="143"/>
      <c r="I300" s="143"/>
      <c r="J300" s="143"/>
      <c r="K300" s="143"/>
      <c r="L300" s="143"/>
      <c r="M300" s="143"/>
      <c r="N300" s="143"/>
      <c r="O300" s="143"/>
      <c r="P300" s="143"/>
      <c r="Q300" s="143"/>
      <c r="R300" s="143"/>
      <c r="S300" s="143"/>
      <c r="T300" s="143"/>
      <c r="U300" s="143"/>
      <c r="V300" s="143"/>
      <c r="W300" s="143"/>
      <c r="X300" s="143"/>
      <c r="Y300" s="143"/>
    </row>
    <row r="301" spans="1:25" ht="13">
      <c r="A301" s="156"/>
      <c r="B301" s="142"/>
      <c r="C301" s="143"/>
      <c r="D301" s="144"/>
      <c r="E301" s="143"/>
      <c r="F301" s="143"/>
      <c r="G301" s="143"/>
      <c r="H301" s="143"/>
      <c r="I301" s="143"/>
      <c r="J301" s="143"/>
      <c r="K301" s="143"/>
      <c r="L301" s="143"/>
      <c r="M301" s="143"/>
      <c r="N301" s="143"/>
      <c r="O301" s="143"/>
      <c r="P301" s="143"/>
      <c r="Q301" s="143"/>
      <c r="R301" s="143"/>
      <c r="S301" s="143"/>
      <c r="T301" s="143"/>
      <c r="U301" s="143"/>
      <c r="V301" s="143"/>
      <c r="W301" s="143"/>
      <c r="X301" s="143"/>
      <c r="Y301" s="143"/>
    </row>
    <row r="302" spans="1:25" ht="13">
      <c r="A302" s="156"/>
      <c r="B302" s="142"/>
      <c r="C302" s="143"/>
      <c r="D302" s="144"/>
      <c r="E302" s="143"/>
      <c r="F302" s="143"/>
      <c r="G302" s="143"/>
      <c r="H302" s="143"/>
      <c r="I302" s="143"/>
      <c r="J302" s="143"/>
      <c r="K302" s="143"/>
      <c r="L302" s="143"/>
      <c r="M302" s="143"/>
      <c r="N302" s="143"/>
      <c r="O302" s="143"/>
      <c r="P302" s="143"/>
      <c r="Q302" s="143"/>
      <c r="R302" s="143"/>
      <c r="S302" s="143"/>
      <c r="T302" s="143"/>
      <c r="U302" s="143"/>
      <c r="V302" s="143"/>
      <c r="W302" s="143"/>
      <c r="X302" s="143"/>
      <c r="Y302" s="143"/>
    </row>
    <row r="303" spans="1:25" ht="13">
      <c r="A303" s="156"/>
      <c r="B303" s="142"/>
      <c r="C303" s="143"/>
      <c r="D303" s="144"/>
      <c r="E303" s="143"/>
      <c r="F303" s="143"/>
      <c r="G303" s="143"/>
      <c r="H303" s="143"/>
      <c r="I303" s="143"/>
      <c r="J303" s="143"/>
      <c r="K303" s="143"/>
      <c r="L303" s="143"/>
      <c r="M303" s="143"/>
      <c r="N303" s="143"/>
      <c r="O303" s="143"/>
      <c r="P303" s="143"/>
      <c r="Q303" s="143"/>
      <c r="R303" s="143"/>
      <c r="S303" s="143"/>
      <c r="T303" s="143"/>
      <c r="U303" s="143"/>
      <c r="V303" s="143"/>
      <c r="W303" s="143"/>
      <c r="X303" s="143"/>
      <c r="Y303" s="143"/>
    </row>
    <row r="304" spans="1:25" ht="13">
      <c r="A304" s="156"/>
      <c r="B304" s="142"/>
      <c r="C304" s="143"/>
      <c r="D304" s="144"/>
      <c r="E304" s="143"/>
      <c r="F304" s="143"/>
      <c r="G304" s="143"/>
      <c r="H304" s="143"/>
      <c r="I304" s="143"/>
      <c r="J304" s="143"/>
      <c r="K304" s="143"/>
      <c r="L304" s="143"/>
      <c r="M304" s="143"/>
      <c r="N304" s="143"/>
      <c r="O304" s="143"/>
      <c r="P304" s="143"/>
      <c r="Q304" s="143"/>
      <c r="R304" s="143"/>
      <c r="S304" s="143"/>
      <c r="T304" s="143"/>
      <c r="U304" s="143"/>
      <c r="V304" s="143"/>
      <c r="W304" s="143"/>
      <c r="X304" s="143"/>
      <c r="Y304" s="143"/>
    </row>
    <row r="305" spans="1:25" ht="13">
      <c r="A305" s="156"/>
      <c r="B305" s="142"/>
      <c r="C305" s="143"/>
      <c r="D305" s="144"/>
      <c r="E305" s="143"/>
      <c r="F305" s="143"/>
      <c r="G305" s="143"/>
      <c r="H305" s="143"/>
      <c r="I305" s="143"/>
      <c r="J305" s="143"/>
      <c r="K305" s="143"/>
      <c r="L305" s="143"/>
      <c r="M305" s="143"/>
      <c r="N305" s="143"/>
      <c r="O305" s="143"/>
      <c r="P305" s="143"/>
      <c r="Q305" s="143"/>
      <c r="R305" s="143"/>
      <c r="S305" s="143"/>
      <c r="T305" s="143"/>
      <c r="U305" s="143"/>
      <c r="V305" s="143"/>
      <c r="W305" s="143"/>
      <c r="X305" s="143"/>
      <c r="Y305" s="143"/>
    </row>
    <row r="306" spans="1:25" ht="13">
      <c r="A306" s="156"/>
      <c r="B306" s="142"/>
      <c r="C306" s="143"/>
      <c r="D306" s="144"/>
      <c r="E306" s="143"/>
      <c r="F306" s="143"/>
      <c r="G306" s="143"/>
      <c r="H306" s="143"/>
      <c r="I306" s="143"/>
      <c r="J306" s="143"/>
      <c r="K306" s="143"/>
      <c r="L306" s="143"/>
      <c r="M306" s="143"/>
      <c r="N306" s="143"/>
      <c r="O306" s="143"/>
      <c r="P306" s="143"/>
      <c r="Q306" s="143"/>
      <c r="R306" s="143"/>
      <c r="S306" s="143"/>
      <c r="T306" s="143"/>
      <c r="U306" s="143"/>
      <c r="V306" s="143"/>
      <c r="W306" s="143"/>
      <c r="X306" s="143"/>
      <c r="Y306" s="143"/>
    </row>
    <row r="307" spans="1:25" ht="13">
      <c r="A307" s="156"/>
      <c r="B307" s="142"/>
      <c r="C307" s="143"/>
      <c r="D307" s="144"/>
      <c r="E307" s="143"/>
      <c r="F307" s="143"/>
      <c r="G307" s="143"/>
      <c r="H307" s="143"/>
      <c r="I307" s="143"/>
      <c r="J307" s="143"/>
      <c r="K307" s="143"/>
      <c r="L307" s="143"/>
      <c r="M307" s="143"/>
      <c r="N307" s="143"/>
      <c r="O307" s="143"/>
      <c r="P307" s="143"/>
      <c r="Q307" s="143"/>
      <c r="R307" s="143"/>
      <c r="S307" s="143"/>
      <c r="T307" s="143"/>
      <c r="U307" s="143"/>
      <c r="V307" s="143"/>
      <c r="W307" s="143"/>
      <c r="X307" s="143"/>
      <c r="Y307" s="143"/>
    </row>
    <row r="308" spans="1:25" ht="13">
      <c r="A308" s="156"/>
      <c r="B308" s="142"/>
      <c r="C308" s="143"/>
      <c r="D308" s="144"/>
      <c r="E308" s="143"/>
      <c r="F308" s="143"/>
      <c r="G308" s="143"/>
      <c r="H308" s="143"/>
      <c r="I308" s="143"/>
      <c r="J308" s="143"/>
      <c r="K308" s="143"/>
      <c r="L308" s="143"/>
      <c r="M308" s="143"/>
      <c r="N308" s="143"/>
      <c r="O308" s="143"/>
      <c r="P308" s="143"/>
      <c r="Q308" s="143"/>
      <c r="R308" s="143"/>
      <c r="S308" s="143"/>
      <c r="T308" s="143"/>
      <c r="U308" s="143"/>
      <c r="V308" s="143"/>
      <c r="W308" s="143"/>
      <c r="X308" s="143"/>
      <c r="Y308" s="143"/>
    </row>
    <row r="309" spans="1:25" ht="13">
      <c r="A309" s="156"/>
      <c r="B309" s="142"/>
      <c r="C309" s="143"/>
      <c r="D309" s="144"/>
      <c r="E309" s="143"/>
      <c r="F309" s="143"/>
      <c r="G309" s="143"/>
      <c r="H309" s="143"/>
      <c r="I309" s="143"/>
      <c r="J309" s="143"/>
      <c r="K309" s="143"/>
      <c r="L309" s="143"/>
      <c r="M309" s="143"/>
      <c r="N309" s="143"/>
      <c r="O309" s="143"/>
      <c r="P309" s="143"/>
      <c r="Q309" s="143"/>
      <c r="R309" s="143"/>
      <c r="S309" s="143"/>
      <c r="T309" s="143"/>
      <c r="U309" s="143"/>
      <c r="V309" s="143"/>
      <c r="W309" s="143"/>
      <c r="X309" s="143"/>
      <c r="Y309" s="143"/>
    </row>
    <row r="310" spans="1:25" ht="13">
      <c r="A310" s="156"/>
      <c r="B310" s="142"/>
      <c r="C310" s="143"/>
      <c r="D310" s="144"/>
      <c r="E310" s="143"/>
      <c r="F310" s="143"/>
      <c r="G310" s="143"/>
      <c r="H310" s="143"/>
      <c r="I310" s="143"/>
      <c r="J310" s="143"/>
      <c r="K310" s="143"/>
      <c r="L310" s="143"/>
      <c r="M310" s="143"/>
      <c r="N310" s="143"/>
      <c r="O310" s="143"/>
      <c r="P310" s="143"/>
      <c r="Q310" s="143"/>
      <c r="R310" s="143"/>
      <c r="S310" s="143"/>
      <c r="T310" s="143"/>
      <c r="U310" s="143"/>
      <c r="V310" s="143"/>
      <c r="W310" s="143"/>
      <c r="X310" s="143"/>
      <c r="Y310" s="143"/>
    </row>
    <row r="311" spans="1:25" ht="13">
      <c r="A311" s="156"/>
      <c r="B311" s="142"/>
      <c r="C311" s="143"/>
      <c r="D311" s="144"/>
      <c r="E311" s="143"/>
      <c r="F311" s="143"/>
      <c r="G311" s="143"/>
      <c r="H311" s="143"/>
      <c r="I311" s="143"/>
      <c r="J311" s="143"/>
      <c r="K311" s="143"/>
      <c r="L311" s="143"/>
      <c r="M311" s="143"/>
      <c r="N311" s="143"/>
      <c r="O311" s="143"/>
      <c r="P311" s="143"/>
      <c r="Q311" s="143"/>
      <c r="R311" s="143"/>
      <c r="S311" s="143"/>
      <c r="T311" s="143"/>
      <c r="U311" s="143"/>
      <c r="V311" s="143"/>
      <c r="W311" s="143"/>
      <c r="X311" s="143"/>
      <c r="Y311" s="143"/>
    </row>
    <row r="312" spans="1:25" ht="13">
      <c r="A312" s="156"/>
      <c r="B312" s="142"/>
      <c r="C312" s="143"/>
      <c r="D312" s="144"/>
      <c r="E312" s="143"/>
      <c r="F312" s="143"/>
      <c r="G312" s="143"/>
      <c r="H312" s="143"/>
      <c r="I312" s="143"/>
      <c r="J312" s="143"/>
      <c r="K312" s="143"/>
      <c r="L312" s="143"/>
      <c r="M312" s="143"/>
      <c r="N312" s="143"/>
      <c r="O312" s="143"/>
      <c r="P312" s="143"/>
      <c r="Q312" s="143"/>
      <c r="R312" s="143"/>
      <c r="S312" s="143"/>
      <c r="T312" s="143"/>
      <c r="U312" s="143"/>
      <c r="V312" s="143"/>
      <c r="W312" s="143"/>
      <c r="X312" s="143"/>
      <c r="Y312" s="143"/>
    </row>
    <row r="313" spans="1:25" ht="13">
      <c r="A313" s="156"/>
      <c r="B313" s="142"/>
      <c r="C313" s="143"/>
      <c r="D313" s="144"/>
      <c r="E313" s="143"/>
      <c r="F313" s="143"/>
      <c r="G313" s="143"/>
      <c r="H313" s="143"/>
      <c r="I313" s="143"/>
      <c r="J313" s="143"/>
      <c r="K313" s="143"/>
      <c r="L313" s="143"/>
      <c r="M313" s="143"/>
      <c r="N313" s="143"/>
      <c r="O313" s="143"/>
      <c r="P313" s="143"/>
      <c r="Q313" s="143"/>
      <c r="R313" s="143"/>
      <c r="S313" s="143"/>
      <c r="T313" s="143"/>
      <c r="U313" s="143"/>
      <c r="V313" s="143"/>
      <c r="W313" s="143"/>
      <c r="X313" s="143"/>
      <c r="Y313" s="143"/>
    </row>
    <row r="314" spans="1:25" ht="13">
      <c r="A314" s="156"/>
      <c r="B314" s="142"/>
      <c r="C314" s="143"/>
      <c r="D314" s="144"/>
      <c r="E314" s="143"/>
      <c r="F314" s="143"/>
      <c r="G314" s="143"/>
      <c r="H314" s="143"/>
      <c r="I314" s="143"/>
      <c r="J314" s="143"/>
      <c r="K314" s="143"/>
      <c r="L314" s="143"/>
      <c r="M314" s="143"/>
      <c r="N314" s="143"/>
      <c r="O314" s="143"/>
      <c r="P314" s="143"/>
      <c r="Q314" s="143"/>
      <c r="R314" s="143"/>
      <c r="S314" s="143"/>
      <c r="T314" s="143"/>
      <c r="U314" s="143"/>
      <c r="V314" s="143"/>
      <c r="W314" s="143"/>
      <c r="X314" s="143"/>
      <c r="Y314" s="143"/>
    </row>
    <row r="315" spans="1:25" ht="13">
      <c r="A315" s="156"/>
      <c r="B315" s="142"/>
      <c r="C315" s="143"/>
      <c r="D315" s="144"/>
      <c r="E315" s="143"/>
      <c r="F315" s="143"/>
      <c r="G315" s="143"/>
      <c r="H315" s="143"/>
      <c r="I315" s="143"/>
      <c r="J315" s="143"/>
      <c r="K315" s="143"/>
      <c r="L315" s="143"/>
      <c r="M315" s="143"/>
      <c r="N315" s="143"/>
      <c r="O315" s="143"/>
      <c r="P315" s="143"/>
      <c r="Q315" s="143"/>
      <c r="R315" s="143"/>
      <c r="S315" s="143"/>
      <c r="T315" s="143"/>
      <c r="U315" s="143"/>
      <c r="V315" s="143"/>
      <c r="W315" s="143"/>
      <c r="X315" s="143"/>
      <c r="Y315" s="143"/>
    </row>
    <row r="316" spans="1:25" ht="13">
      <c r="A316" s="156"/>
      <c r="B316" s="142"/>
      <c r="C316" s="143"/>
      <c r="D316" s="144"/>
      <c r="E316" s="143"/>
      <c r="F316" s="143"/>
      <c r="G316" s="143"/>
      <c r="H316" s="143"/>
      <c r="I316" s="143"/>
      <c r="J316" s="143"/>
      <c r="K316" s="143"/>
      <c r="L316" s="143"/>
      <c r="M316" s="143"/>
      <c r="N316" s="143"/>
      <c r="O316" s="143"/>
      <c r="P316" s="143"/>
      <c r="Q316" s="143"/>
      <c r="R316" s="143"/>
      <c r="S316" s="143"/>
      <c r="T316" s="143"/>
      <c r="U316" s="143"/>
      <c r="V316" s="143"/>
      <c r="W316" s="143"/>
      <c r="X316" s="143"/>
      <c r="Y316" s="143"/>
    </row>
    <row r="317" spans="1:25" ht="13">
      <c r="A317" s="156"/>
      <c r="B317" s="142"/>
      <c r="C317" s="143"/>
      <c r="D317" s="144"/>
      <c r="E317" s="143"/>
      <c r="F317" s="143"/>
      <c r="G317" s="143"/>
      <c r="H317" s="143"/>
      <c r="I317" s="143"/>
      <c r="J317" s="143"/>
      <c r="K317" s="143"/>
      <c r="L317" s="143"/>
      <c r="M317" s="143"/>
      <c r="N317" s="143"/>
      <c r="O317" s="143"/>
      <c r="P317" s="143"/>
      <c r="Q317" s="143"/>
      <c r="R317" s="143"/>
      <c r="S317" s="143"/>
      <c r="T317" s="143"/>
      <c r="U317" s="143"/>
      <c r="V317" s="143"/>
      <c r="W317" s="143"/>
      <c r="X317" s="143"/>
      <c r="Y317" s="143"/>
    </row>
    <row r="318" spans="1:25" ht="13">
      <c r="A318" s="156"/>
      <c r="B318" s="142"/>
      <c r="C318" s="143"/>
      <c r="D318" s="144"/>
      <c r="E318" s="143"/>
      <c r="F318" s="143"/>
      <c r="G318" s="143"/>
      <c r="H318" s="143"/>
      <c r="I318" s="143"/>
      <c r="J318" s="143"/>
      <c r="K318" s="143"/>
      <c r="L318" s="143"/>
      <c r="M318" s="143"/>
      <c r="N318" s="143"/>
      <c r="O318" s="143"/>
      <c r="P318" s="143"/>
      <c r="Q318" s="143"/>
      <c r="R318" s="143"/>
      <c r="S318" s="143"/>
      <c r="T318" s="143"/>
      <c r="U318" s="143"/>
      <c r="V318" s="143"/>
      <c r="W318" s="143"/>
      <c r="X318" s="143"/>
      <c r="Y318" s="143"/>
    </row>
    <row r="319" spans="1:25" ht="13">
      <c r="A319" s="156"/>
      <c r="B319" s="142"/>
      <c r="C319" s="143"/>
      <c r="D319" s="144"/>
      <c r="E319" s="143"/>
      <c r="F319" s="143"/>
      <c r="G319" s="143"/>
      <c r="H319" s="143"/>
      <c r="I319" s="143"/>
      <c r="J319" s="143"/>
      <c r="K319" s="143"/>
      <c r="L319" s="143"/>
      <c r="M319" s="143"/>
      <c r="N319" s="143"/>
      <c r="O319" s="143"/>
      <c r="P319" s="143"/>
      <c r="Q319" s="143"/>
      <c r="R319" s="143"/>
      <c r="S319" s="143"/>
      <c r="T319" s="143"/>
      <c r="U319" s="143"/>
      <c r="V319" s="143"/>
      <c r="W319" s="143"/>
      <c r="X319" s="143"/>
      <c r="Y319" s="143"/>
    </row>
    <row r="320" spans="1:25" ht="13">
      <c r="A320" s="156"/>
      <c r="B320" s="142"/>
      <c r="C320" s="143"/>
      <c r="D320" s="144"/>
      <c r="E320" s="143"/>
      <c r="F320" s="143"/>
      <c r="G320" s="143"/>
      <c r="H320" s="143"/>
      <c r="I320" s="143"/>
      <c r="J320" s="143"/>
      <c r="K320" s="143"/>
      <c r="L320" s="143"/>
      <c r="M320" s="143"/>
      <c r="N320" s="143"/>
      <c r="O320" s="143"/>
      <c r="P320" s="143"/>
      <c r="Q320" s="143"/>
      <c r="R320" s="143"/>
      <c r="S320" s="143"/>
      <c r="T320" s="143"/>
      <c r="U320" s="143"/>
      <c r="V320" s="143"/>
      <c r="W320" s="143"/>
      <c r="X320" s="143"/>
      <c r="Y320" s="143"/>
    </row>
    <row r="321" spans="1:25" ht="13">
      <c r="A321" s="156"/>
      <c r="B321" s="142"/>
      <c r="C321" s="143"/>
      <c r="D321" s="144"/>
      <c r="E321" s="143"/>
      <c r="F321" s="143"/>
      <c r="G321" s="143"/>
      <c r="H321" s="143"/>
      <c r="I321" s="143"/>
      <c r="J321" s="143"/>
      <c r="K321" s="143"/>
      <c r="L321" s="143"/>
      <c r="M321" s="143"/>
      <c r="N321" s="143"/>
      <c r="O321" s="143"/>
      <c r="P321" s="143"/>
      <c r="Q321" s="143"/>
      <c r="R321" s="143"/>
      <c r="S321" s="143"/>
      <c r="T321" s="143"/>
      <c r="U321" s="143"/>
      <c r="V321" s="143"/>
      <c r="W321" s="143"/>
      <c r="X321" s="143"/>
      <c r="Y321" s="143"/>
    </row>
    <row r="322" spans="1:25" ht="13">
      <c r="A322" s="156"/>
      <c r="B322" s="142"/>
      <c r="C322" s="143"/>
      <c r="D322" s="144"/>
      <c r="E322" s="143"/>
      <c r="F322" s="143"/>
      <c r="G322" s="143"/>
      <c r="H322" s="143"/>
      <c r="I322" s="143"/>
      <c r="J322" s="143"/>
      <c r="K322" s="143"/>
      <c r="L322" s="143"/>
      <c r="M322" s="143"/>
      <c r="N322" s="143"/>
      <c r="O322" s="143"/>
      <c r="P322" s="143"/>
      <c r="Q322" s="143"/>
      <c r="R322" s="143"/>
      <c r="S322" s="143"/>
      <c r="T322" s="143"/>
      <c r="U322" s="143"/>
      <c r="V322" s="143"/>
      <c r="W322" s="143"/>
      <c r="X322" s="143"/>
      <c r="Y322" s="143"/>
    </row>
    <row r="323" spans="1:25" ht="13">
      <c r="A323" s="156"/>
      <c r="B323" s="142"/>
      <c r="C323" s="143"/>
      <c r="D323" s="144"/>
      <c r="E323" s="143"/>
      <c r="F323" s="143"/>
      <c r="G323" s="143"/>
      <c r="H323" s="143"/>
      <c r="I323" s="143"/>
      <c r="J323" s="143"/>
      <c r="K323" s="143"/>
      <c r="L323" s="143"/>
      <c r="M323" s="143"/>
      <c r="N323" s="143"/>
      <c r="O323" s="143"/>
      <c r="P323" s="143"/>
      <c r="Q323" s="143"/>
      <c r="R323" s="143"/>
      <c r="S323" s="143"/>
      <c r="T323" s="143"/>
      <c r="U323" s="143"/>
      <c r="V323" s="143"/>
      <c r="W323" s="143"/>
      <c r="X323" s="143"/>
      <c r="Y323" s="143"/>
    </row>
    <row r="324" spans="1:25" ht="13">
      <c r="A324" s="156"/>
      <c r="B324" s="142"/>
      <c r="C324" s="143"/>
      <c r="D324" s="144"/>
      <c r="E324" s="143"/>
      <c r="F324" s="143"/>
      <c r="G324" s="143"/>
      <c r="H324" s="143"/>
      <c r="I324" s="143"/>
      <c r="J324" s="143"/>
      <c r="K324" s="143"/>
      <c r="L324" s="143"/>
      <c r="M324" s="143"/>
      <c r="N324" s="143"/>
      <c r="O324" s="143"/>
      <c r="P324" s="143"/>
      <c r="Q324" s="143"/>
      <c r="R324" s="143"/>
      <c r="S324" s="143"/>
      <c r="T324" s="143"/>
      <c r="U324" s="143"/>
      <c r="V324" s="143"/>
      <c r="W324" s="143"/>
      <c r="X324" s="143"/>
      <c r="Y324" s="143"/>
    </row>
    <row r="325" spans="1:25" ht="13">
      <c r="A325" s="156"/>
      <c r="B325" s="142"/>
      <c r="C325" s="143"/>
      <c r="D325" s="144"/>
      <c r="E325" s="143"/>
      <c r="F325" s="143"/>
      <c r="G325" s="143"/>
      <c r="H325" s="143"/>
      <c r="I325" s="143"/>
      <c r="J325" s="143"/>
      <c r="K325" s="143"/>
      <c r="L325" s="143"/>
      <c r="M325" s="143"/>
      <c r="N325" s="143"/>
      <c r="O325" s="143"/>
      <c r="P325" s="143"/>
      <c r="Q325" s="143"/>
      <c r="R325" s="143"/>
      <c r="S325" s="143"/>
      <c r="T325" s="143"/>
      <c r="U325" s="143"/>
      <c r="V325" s="143"/>
      <c r="W325" s="143"/>
      <c r="X325" s="143"/>
      <c r="Y325" s="143"/>
    </row>
    <row r="326" spans="1:25" ht="13">
      <c r="A326" s="156"/>
      <c r="B326" s="142"/>
      <c r="C326" s="143"/>
      <c r="D326" s="144"/>
      <c r="E326" s="143"/>
      <c r="F326" s="143"/>
      <c r="G326" s="143"/>
      <c r="H326" s="143"/>
      <c r="I326" s="143"/>
      <c r="J326" s="143"/>
      <c r="K326" s="143"/>
      <c r="L326" s="143"/>
      <c r="M326" s="143"/>
      <c r="N326" s="143"/>
      <c r="O326" s="143"/>
      <c r="P326" s="143"/>
      <c r="Q326" s="143"/>
      <c r="R326" s="143"/>
      <c r="S326" s="143"/>
      <c r="T326" s="143"/>
      <c r="U326" s="143"/>
      <c r="V326" s="143"/>
      <c r="W326" s="143"/>
      <c r="X326" s="143"/>
      <c r="Y326" s="143"/>
    </row>
    <row r="327" spans="1:25" ht="13">
      <c r="A327" s="156"/>
      <c r="B327" s="142"/>
      <c r="C327" s="143"/>
      <c r="D327" s="144"/>
      <c r="E327" s="143"/>
      <c r="F327" s="143"/>
      <c r="G327" s="143"/>
      <c r="H327" s="143"/>
      <c r="I327" s="143"/>
      <c r="J327" s="143"/>
      <c r="K327" s="143"/>
      <c r="L327" s="143"/>
      <c r="M327" s="143"/>
      <c r="N327" s="143"/>
      <c r="O327" s="143"/>
      <c r="P327" s="143"/>
      <c r="Q327" s="143"/>
      <c r="R327" s="143"/>
      <c r="S327" s="143"/>
      <c r="T327" s="143"/>
      <c r="U327" s="143"/>
      <c r="V327" s="143"/>
      <c r="W327" s="143"/>
      <c r="X327" s="143"/>
      <c r="Y327" s="143"/>
    </row>
    <row r="328" spans="1:25" ht="13">
      <c r="A328" s="156"/>
      <c r="B328" s="142"/>
      <c r="C328" s="143"/>
      <c r="D328" s="144"/>
      <c r="E328" s="143"/>
      <c r="F328" s="143"/>
      <c r="G328" s="143"/>
      <c r="H328" s="143"/>
      <c r="I328" s="143"/>
      <c r="J328" s="143"/>
      <c r="K328" s="143"/>
      <c r="L328" s="143"/>
      <c r="M328" s="143"/>
      <c r="N328" s="143"/>
      <c r="O328" s="143"/>
      <c r="P328" s="143"/>
      <c r="Q328" s="143"/>
      <c r="R328" s="143"/>
      <c r="S328" s="143"/>
      <c r="T328" s="143"/>
      <c r="U328" s="143"/>
      <c r="V328" s="143"/>
      <c r="W328" s="143"/>
      <c r="X328" s="143"/>
      <c r="Y328" s="143"/>
    </row>
    <row r="329" spans="1:25" ht="13">
      <c r="A329" s="156"/>
      <c r="B329" s="142"/>
      <c r="C329" s="143"/>
      <c r="D329" s="144"/>
      <c r="E329" s="143"/>
      <c r="F329" s="143"/>
      <c r="G329" s="143"/>
      <c r="H329" s="143"/>
      <c r="I329" s="143"/>
      <c r="J329" s="143"/>
      <c r="K329" s="143"/>
      <c r="L329" s="143"/>
      <c r="M329" s="143"/>
      <c r="N329" s="143"/>
      <c r="O329" s="143"/>
      <c r="P329" s="143"/>
      <c r="Q329" s="143"/>
      <c r="R329" s="143"/>
      <c r="S329" s="143"/>
      <c r="T329" s="143"/>
      <c r="U329" s="143"/>
      <c r="V329" s="143"/>
      <c r="W329" s="143"/>
      <c r="X329" s="143"/>
      <c r="Y329" s="143"/>
    </row>
    <row r="330" spans="1:25" ht="13">
      <c r="A330" s="156"/>
      <c r="B330" s="142"/>
      <c r="C330" s="143"/>
      <c r="D330" s="144"/>
      <c r="E330" s="143"/>
      <c r="F330" s="143"/>
      <c r="G330" s="143"/>
      <c r="H330" s="143"/>
      <c r="I330" s="143"/>
      <c r="J330" s="143"/>
      <c r="K330" s="143"/>
      <c r="L330" s="143"/>
      <c r="M330" s="143"/>
      <c r="N330" s="143"/>
      <c r="O330" s="143"/>
      <c r="P330" s="143"/>
      <c r="Q330" s="143"/>
      <c r="R330" s="143"/>
      <c r="S330" s="143"/>
      <c r="T330" s="143"/>
      <c r="U330" s="143"/>
      <c r="V330" s="143"/>
      <c r="W330" s="143"/>
      <c r="X330" s="143"/>
      <c r="Y330" s="143"/>
    </row>
    <row r="331" spans="1:25" ht="13">
      <c r="A331" s="156"/>
      <c r="B331" s="142"/>
      <c r="C331" s="143"/>
      <c r="D331" s="144"/>
      <c r="E331" s="143"/>
      <c r="F331" s="143"/>
      <c r="G331" s="143"/>
      <c r="H331" s="143"/>
      <c r="I331" s="143"/>
      <c r="J331" s="143"/>
      <c r="K331" s="143"/>
      <c r="L331" s="143"/>
      <c r="M331" s="143"/>
      <c r="N331" s="143"/>
      <c r="O331" s="143"/>
      <c r="P331" s="143"/>
      <c r="Q331" s="143"/>
      <c r="R331" s="143"/>
      <c r="S331" s="143"/>
      <c r="T331" s="143"/>
      <c r="U331" s="143"/>
      <c r="V331" s="143"/>
      <c r="W331" s="143"/>
      <c r="X331" s="143"/>
      <c r="Y331" s="143"/>
    </row>
    <row r="332" spans="1:25" ht="13">
      <c r="A332" s="156"/>
      <c r="B332" s="142"/>
      <c r="C332" s="143"/>
      <c r="D332" s="144"/>
      <c r="E332" s="143"/>
      <c r="F332" s="143"/>
      <c r="G332" s="143"/>
      <c r="H332" s="143"/>
      <c r="I332" s="143"/>
      <c r="J332" s="143"/>
      <c r="K332" s="143"/>
      <c r="L332" s="143"/>
      <c r="M332" s="143"/>
      <c r="N332" s="143"/>
      <c r="O332" s="143"/>
      <c r="P332" s="143"/>
      <c r="Q332" s="143"/>
      <c r="R332" s="143"/>
      <c r="S332" s="143"/>
      <c r="T332" s="143"/>
      <c r="U332" s="143"/>
      <c r="V332" s="143"/>
      <c r="W332" s="143"/>
      <c r="X332" s="143"/>
      <c r="Y332" s="143"/>
    </row>
    <row r="333" spans="1:25" ht="13">
      <c r="A333" s="156"/>
      <c r="B333" s="142"/>
      <c r="C333" s="143"/>
      <c r="D333" s="144"/>
      <c r="E333" s="143"/>
      <c r="F333" s="143"/>
      <c r="G333" s="143"/>
      <c r="H333" s="143"/>
      <c r="I333" s="143"/>
      <c r="J333" s="143"/>
      <c r="K333" s="143"/>
      <c r="L333" s="143"/>
      <c r="M333" s="143"/>
      <c r="N333" s="143"/>
      <c r="O333" s="143"/>
      <c r="P333" s="143"/>
      <c r="Q333" s="143"/>
      <c r="R333" s="143"/>
      <c r="S333" s="143"/>
      <c r="T333" s="143"/>
      <c r="U333" s="143"/>
      <c r="V333" s="143"/>
      <c r="W333" s="143"/>
      <c r="X333" s="143"/>
      <c r="Y333" s="143"/>
    </row>
    <row r="334" spans="1:25" ht="13">
      <c r="A334" s="156"/>
      <c r="B334" s="142"/>
      <c r="C334" s="143"/>
      <c r="D334" s="144"/>
      <c r="E334" s="143"/>
      <c r="F334" s="143"/>
      <c r="G334" s="143"/>
      <c r="H334" s="143"/>
      <c r="I334" s="143"/>
      <c r="J334" s="143"/>
      <c r="K334" s="143"/>
      <c r="L334" s="143"/>
      <c r="M334" s="143"/>
      <c r="N334" s="143"/>
      <c r="O334" s="143"/>
      <c r="P334" s="143"/>
      <c r="Q334" s="143"/>
      <c r="R334" s="143"/>
      <c r="S334" s="143"/>
      <c r="T334" s="143"/>
      <c r="U334" s="143"/>
      <c r="V334" s="143"/>
      <c r="W334" s="143"/>
      <c r="X334" s="143"/>
      <c r="Y334" s="143"/>
    </row>
    <row r="335" spans="1:25" ht="13">
      <c r="A335" s="156"/>
      <c r="B335" s="142"/>
      <c r="C335" s="143"/>
      <c r="D335" s="144"/>
      <c r="E335" s="143"/>
      <c r="F335" s="143"/>
      <c r="G335" s="143"/>
      <c r="H335" s="143"/>
      <c r="I335" s="143"/>
      <c r="J335" s="143"/>
      <c r="K335" s="143"/>
      <c r="L335" s="143"/>
      <c r="M335" s="143"/>
      <c r="N335" s="143"/>
      <c r="O335" s="143"/>
      <c r="P335" s="143"/>
      <c r="Q335" s="143"/>
      <c r="R335" s="143"/>
      <c r="S335" s="143"/>
      <c r="T335" s="143"/>
      <c r="U335" s="143"/>
      <c r="V335" s="143"/>
      <c r="W335" s="143"/>
      <c r="X335" s="143"/>
      <c r="Y335" s="143"/>
    </row>
    <row r="336" spans="1:25" ht="13">
      <c r="A336" s="156"/>
      <c r="B336" s="142"/>
      <c r="C336" s="143"/>
      <c r="D336" s="144"/>
      <c r="E336" s="143"/>
      <c r="F336" s="143"/>
      <c r="G336" s="143"/>
      <c r="H336" s="143"/>
      <c r="I336" s="143"/>
      <c r="J336" s="143"/>
      <c r="K336" s="143"/>
      <c r="L336" s="143"/>
      <c r="M336" s="143"/>
      <c r="N336" s="143"/>
      <c r="O336" s="143"/>
      <c r="P336" s="143"/>
      <c r="Q336" s="143"/>
      <c r="R336" s="143"/>
      <c r="S336" s="143"/>
      <c r="T336" s="143"/>
      <c r="U336" s="143"/>
      <c r="V336" s="143"/>
      <c r="W336" s="143"/>
      <c r="X336" s="143"/>
      <c r="Y336" s="143"/>
    </row>
    <row r="337" spans="1:25" ht="13">
      <c r="A337" s="156"/>
      <c r="B337" s="142"/>
      <c r="C337" s="143"/>
      <c r="D337" s="144"/>
      <c r="E337" s="143"/>
      <c r="F337" s="143"/>
      <c r="G337" s="143"/>
      <c r="H337" s="143"/>
      <c r="I337" s="143"/>
      <c r="J337" s="143"/>
      <c r="K337" s="143"/>
      <c r="L337" s="143"/>
      <c r="M337" s="143"/>
      <c r="N337" s="143"/>
      <c r="O337" s="143"/>
      <c r="P337" s="143"/>
      <c r="Q337" s="143"/>
      <c r="R337" s="143"/>
      <c r="S337" s="143"/>
      <c r="T337" s="143"/>
      <c r="U337" s="143"/>
      <c r="V337" s="143"/>
      <c r="W337" s="143"/>
      <c r="X337" s="143"/>
      <c r="Y337" s="143"/>
    </row>
    <row r="338" spans="1:25" ht="13">
      <c r="A338" s="156"/>
      <c r="B338" s="142"/>
      <c r="C338" s="143"/>
      <c r="D338" s="144"/>
      <c r="E338" s="143"/>
      <c r="F338" s="143"/>
      <c r="G338" s="143"/>
      <c r="H338" s="143"/>
      <c r="I338" s="143"/>
      <c r="J338" s="143"/>
      <c r="K338" s="143"/>
      <c r="L338" s="143"/>
      <c r="M338" s="143"/>
      <c r="N338" s="143"/>
      <c r="O338" s="143"/>
      <c r="P338" s="143"/>
      <c r="Q338" s="143"/>
      <c r="R338" s="143"/>
      <c r="S338" s="143"/>
      <c r="T338" s="143"/>
      <c r="U338" s="143"/>
      <c r="V338" s="143"/>
      <c r="W338" s="143"/>
      <c r="X338" s="143"/>
      <c r="Y338" s="143"/>
    </row>
    <row r="339" spans="1:25" ht="13">
      <c r="A339" s="156"/>
      <c r="B339" s="142"/>
      <c r="C339" s="143"/>
      <c r="D339" s="144"/>
      <c r="E339" s="143"/>
      <c r="F339" s="143"/>
      <c r="G339" s="143"/>
      <c r="H339" s="143"/>
      <c r="I339" s="143"/>
      <c r="J339" s="143"/>
      <c r="K339" s="143"/>
      <c r="L339" s="143"/>
      <c r="M339" s="143"/>
      <c r="N339" s="143"/>
      <c r="O339" s="143"/>
      <c r="P339" s="143"/>
      <c r="Q339" s="143"/>
      <c r="R339" s="143"/>
      <c r="S339" s="143"/>
      <c r="T339" s="143"/>
      <c r="U339" s="143"/>
      <c r="V339" s="143"/>
      <c r="W339" s="143"/>
      <c r="X339" s="143"/>
      <c r="Y339" s="143"/>
    </row>
    <row r="340" spans="1:25" ht="13">
      <c r="A340" s="156"/>
      <c r="B340" s="142"/>
      <c r="C340" s="143"/>
      <c r="D340" s="144"/>
      <c r="E340" s="143"/>
      <c r="F340" s="143"/>
      <c r="G340" s="143"/>
      <c r="H340" s="143"/>
      <c r="I340" s="143"/>
      <c r="J340" s="143"/>
      <c r="K340" s="143"/>
      <c r="L340" s="143"/>
      <c r="M340" s="143"/>
      <c r="N340" s="143"/>
      <c r="O340" s="143"/>
      <c r="P340" s="143"/>
      <c r="Q340" s="143"/>
      <c r="R340" s="143"/>
      <c r="S340" s="143"/>
      <c r="T340" s="143"/>
      <c r="U340" s="143"/>
      <c r="V340" s="143"/>
      <c r="W340" s="143"/>
      <c r="X340" s="143"/>
      <c r="Y340" s="143"/>
    </row>
    <row r="341" spans="1:25" ht="13">
      <c r="A341" s="156"/>
      <c r="B341" s="142"/>
      <c r="C341" s="143"/>
      <c r="D341" s="144"/>
      <c r="E341" s="143"/>
      <c r="F341" s="143"/>
      <c r="G341" s="143"/>
      <c r="H341" s="143"/>
      <c r="I341" s="143"/>
      <c r="J341" s="143"/>
      <c r="K341" s="143"/>
      <c r="L341" s="143"/>
      <c r="M341" s="143"/>
      <c r="N341" s="143"/>
      <c r="O341" s="143"/>
      <c r="P341" s="143"/>
      <c r="Q341" s="143"/>
      <c r="R341" s="143"/>
      <c r="S341" s="143"/>
      <c r="T341" s="143"/>
      <c r="U341" s="143"/>
      <c r="V341" s="143"/>
      <c r="W341" s="143"/>
      <c r="X341" s="143"/>
      <c r="Y341" s="143"/>
    </row>
    <row r="342" spans="1:25" ht="13">
      <c r="A342" s="156"/>
      <c r="B342" s="142"/>
      <c r="C342" s="143"/>
      <c r="D342" s="144"/>
      <c r="E342" s="143"/>
      <c r="F342" s="143"/>
      <c r="G342" s="143"/>
      <c r="H342" s="143"/>
      <c r="I342" s="143"/>
      <c r="J342" s="143"/>
      <c r="K342" s="143"/>
      <c r="L342" s="143"/>
      <c r="M342" s="143"/>
      <c r="N342" s="143"/>
      <c r="O342" s="143"/>
      <c r="P342" s="143"/>
      <c r="Q342" s="143"/>
      <c r="R342" s="143"/>
      <c r="S342" s="143"/>
      <c r="T342" s="143"/>
      <c r="U342" s="143"/>
      <c r="V342" s="143"/>
      <c r="W342" s="143"/>
      <c r="X342" s="143"/>
      <c r="Y342" s="143"/>
    </row>
    <row r="343" spans="1:25" ht="13">
      <c r="A343" s="156"/>
      <c r="B343" s="142"/>
      <c r="C343" s="143"/>
      <c r="D343" s="144"/>
      <c r="E343" s="143"/>
      <c r="F343" s="143"/>
      <c r="G343" s="143"/>
      <c r="H343" s="143"/>
      <c r="I343" s="143"/>
      <c r="J343" s="143"/>
      <c r="K343" s="143"/>
      <c r="L343" s="143"/>
      <c r="M343" s="143"/>
      <c r="N343" s="143"/>
      <c r="O343" s="143"/>
      <c r="P343" s="143"/>
      <c r="Q343" s="143"/>
      <c r="R343" s="143"/>
      <c r="S343" s="143"/>
      <c r="T343" s="143"/>
      <c r="U343" s="143"/>
      <c r="V343" s="143"/>
      <c r="W343" s="143"/>
      <c r="X343" s="143"/>
      <c r="Y343" s="143"/>
    </row>
    <row r="344" spans="1:25" ht="13">
      <c r="A344" s="156"/>
      <c r="B344" s="142"/>
      <c r="C344" s="143"/>
      <c r="D344" s="144"/>
      <c r="E344" s="143"/>
      <c r="F344" s="143"/>
      <c r="G344" s="143"/>
      <c r="H344" s="143"/>
      <c r="I344" s="143"/>
      <c r="J344" s="143"/>
      <c r="K344" s="143"/>
      <c r="L344" s="143"/>
      <c r="M344" s="143"/>
      <c r="N344" s="143"/>
      <c r="O344" s="143"/>
      <c r="P344" s="143"/>
      <c r="Q344" s="143"/>
      <c r="R344" s="143"/>
      <c r="S344" s="143"/>
      <c r="T344" s="143"/>
      <c r="U344" s="143"/>
      <c r="V344" s="143"/>
      <c r="W344" s="143"/>
      <c r="X344" s="143"/>
      <c r="Y344" s="143"/>
    </row>
    <row r="345" spans="1:25" ht="13">
      <c r="A345" s="156"/>
      <c r="B345" s="142"/>
      <c r="C345" s="143"/>
      <c r="D345" s="144"/>
      <c r="E345" s="143"/>
      <c r="F345" s="143"/>
      <c r="G345" s="143"/>
      <c r="H345" s="143"/>
      <c r="I345" s="143"/>
      <c r="J345" s="143"/>
      <c r="K345" s="143"/>
      <c r="L345" s="143"/>
      <c r="M345" s="143"/>
      <c r="N345" s="143"/>
      <c r="O345" s="143"/>
      <c r="P345" s="143"/>
      <c r="Q345" s="143"/>
      <c r="R345" s="143"/>
      <c r="S345" s="143"/>
      <c r="T345" s="143"/>
      <c r="U345" s="143"/>
      <c r="V345" s="143"/>
      <c r="W345" s="143"/>
      <c r="X345" s="143"/>
      <c r="Y345" s="143"/>
    </row>
    <row r="346" spans="1:25" ht="13">
      <c r="A346" s="156"/>
      <c r="B346" s="142"/>
      <c r="C346" s="143"/>
      <c r="D346" s="144"/>
      <c r="E346" s="143"/>
      <c r="F346" s="143"/>
      <c r="G346" s="143"/>
      <c r="H346" s="143"/>
      <c r="I346" s="143"/>
      <c r="J346" s="143"/>
      <c r="K346" s="143"/>
      <c r="L346" s="143"/>
      <c r="M346" s="143"/>
      <c r="N346" s="143"/>
      <c r="O346" s="143"/>
      <c r="P346" s="143"/>
      <c r="Q346" s="143"/>
      <c r="R346" s="143"/>
      <c r="S346" s="143"/>
      <c r="T346" s="143"/>
      <c r="U346" s="143"/>
      <c r="V346" s="143"/>
      <c r="W346" s="143"/>
      <c r="X346" s="143"/>
      <c r="Y346" s="143"/>
    </row>
    <row r="347" spans="1:25" ht="13">
      <c r="A347" s="156"/>
      <c r="B347" s="142"/>
      <c r="C347" s="143"/>
      <c r="D347" s="144"/>
      <c r="E347" s="143"/>
      <c r="F347" s="143"/>
      <c r="G347" s="143"/>
      <c r="H347" s="143"/>
      <c r="I347" s="143"/>
      <c r="J347" s="143"/>
      <c r="K347" s="143"/>
      <c r="L347" s="143"/>
      <c r="M347" s="143"/>
      <c r="N347" s="143"/>
      <c r="O347" s="143"/>
      <c r="P347" s="143"/>
      <c r="Q347" s="143"/>
      <c r="R347" s="143"/>
      <c r="S347" s="143"/>
      <c r="T347" s="143"/>
      <c r="U347" s="143"/>
      <c r="V347" s="143"/>
      <c r="W347" s="143"/>
      <c r="X347" s="143"/>
      <c r="Y347" s="143"/>
    </row>
    <row r="348" spans="1:25" ht="13">
      <c r="A348" s="156"/>
      <c r="B348" s="142"/>
      <c r="C348" s="143"/>
      <c r="D348" s="144"/>
      <c r="E348" s="143"/>
      <c r="F348" s="143"/>
      <c r="G348" s="143"/>
      <c r="H348" s="143"/>
      <c r="I348" s="143"/>
      <c r="J348" s="143"/>
      <c r="K348" s="143"/>
      <c r="L348" s="143"/>
      <c r="M348" s="143"/>
      <c r="N348" s="143"/>
      <c r="O348" s="143"/>
      <c r="P348" s="143"/>
      <c r="Q348" s="143"/>
      <c r="R348" s="143"/>
      <c r="S348" s="143"/>
      <c r="T348" s="143"/>
      <c r="U348" s="143"/>
      <c r="V348" s="143"/>
      <c r="W348" s="143"/>
      <c r="X348" s="143"/>
      <c r="Y348" s="143"/>
    </row>
    <row r="349" spans="1:25" ht="13">
      <c r="A349" s="156"/>
      <c r="B349" s="142"/>
      <c r="C349" s="143"/>
      <c r="D349" s="144"/>
      <c r="E349" s="143"/>
      <c r="F349" s="143"/>
      <c r="G349" s="143"/>
      <c r="H349" s="143"/>
      <c r="I349" s="143"/>
      <c r="J349" s="143"/>
      <c r="K349" s="143"/>
      <c r="L349" s="143"/>
      <c r="M349" s="143"/>
      <c r="N349" s="143"/>
      <c r="O349" s="143"/>
      <c r="P349" s="143"/>
      <c r="Q349" s="143"/>
      <c r="R349" s="143"/>
      <c r="S349" s="143"/>
      <c r="T349" s="143"/>
      <c r="U349" s="143"/>
      <c r="V349" s="143"/>
      <c r="W349" s="143"/>
      <c r="X349" s="143"/>
      <c r="Y349" s="143"/>
    </row>
    <row r="350" spans="1:25" ht="13">
      <c r="A350" s="156"/>
      <c r="B350" s="142"/>
      <c r="C350" s="143"/>
      <c r="D350" s="144"/>
      <c r="E350" s="143"/>
      <c r="F350" s="143"/>
      <c r="G350" s="143"/>
      <c r="H350" s="143"/>
      <c r="I350" s="143"/>
      <c r="J350" s="143"/>
      <c r="K350" s="143"/>
      <c r="L350" s="143"/>
      <c r="M350" s="143"/>
      <c r="N350" s="143"/>
      <c r="O350" s="143"/>
      <c r="P350" s="143"/>
      <c r="Q350" s="143"/>
      <c r="R350" s="143"/>
      <c r="S350" s="143"/>
      <c r="T350" s="143"/>
      <c r="U350" s="143"/>
      <c r="V350" s="143"/>
      <c r="W350" s="143"/>
      <c r="X350" s="143"/>
      <c r="Y350" s="143"/>
    </row>
    <row r="351" spans="1:25" ht="13">
      <c r="A351" s="156"/>
      <c r="B351" s="142"/>
      <c r="C351" s="143"/>
      <c r="D351" s="144"/>
      <c r="E351" s="143"/>
      <c r="F351" s="143"/>
      <c r="G351" s="143"/>
      <c r="H351" s="143"/>
      <c r="I351" s="143"/>
      <c r="J351" s="143"/>
      <c r="K351" s="143"/>
      <c r="L351" s="143"/>
      <c r="M351" s="143"/>
      <c r="N351" s="143"/>
      <c r="O351" s="143"/>
      <c r="P351" s="143"/>
      <c r="Q351" s="143"/>
      <c r="R351" s="143"/>
      <c r="S351" s="143"/>
      <c r="T351" s="143"/>
      <c r="U351" s="143"/>
      <c r="V351" s="143"/>
      <c r="W351" s="143"/>
      <c r="X351" s="143"/>
      <c r="Y351" s="143"/>
    </row>
    <row r="352" spans="1:25" ht="13">
      <c r="A352" s="156"/>
      <c r="B352" s="142"/>
      <c r="C352" s="143"/>
      <c r="D352" s="144"/>
      <c r="E352" s="143"/>
      <c r="F352" s="143"/>
      <c r="G352" s="143"/>
      <c r="H352" s="143"/>
      <c r="I352" s="143"/>
      <c r="J352" s="143"/>
      <c r="K352" s="143"/>
      <c r="L352" s="143"/>
      <c r="M352" s="143"/>
      <c r="N352" s="143"/>
      <c r="O352" s="143"/>
      <c r="P352" s="143"/>
      <c r="Q352" s="143"/>
      <c r="R352" s="143"/>
      <c r="S352" s="143"/>
      <c r="T352" s="143"/>
      <c r="U352" s="143"/>
      <c r="V352" s="143"/>
      <c r="W352" s="143"/>
      <c r="X352" s="143"/>
      <c r="Y352" s="143"/>
    </row>
    <row r="353" spans="1:25" ht="13">
      <c r="A353" s="156"/>
      <c r="B353" s="142"/>
      <c r="C353" s="143"/>
      <c r="D353" s="144"/>
      <c r="E353" s="143"/>
      <c r="F353" s="143"/>
      <c r="G353" s="143"/>
      <c r="H353" s="143"/>
      <c r="I353" s="143"/>
      <c r="J353" s="143"/>
      <c r="K353" s="143"/>
      <c r="L353" s="143"/>
      <c r="M353" s="143"/>
      <c r="N353" s="143"/>
      <c r="O353" s="143"/>
      <c r="P353" s="143"/>
      <c r="Q353" s="143"/>
      <c r="R353" s="143"/>
      <c r="S353" s="143"/>
      <c r="T353" s="143"/>
      <c r="U353" s="143"/>
      <c r="V353" s="143"/>
      <c r="W353" s="143"/>
      <c r="X353" s="143"/>
      <c r="Y353" s="143"/>
    </row>
    <row r="354" spans="1:25" ht="13">
      <c r="A354" s="156"/>
      <c r="B354" s="142"/>
      <c r="C354" s="143"/>
      <c r="D354" s="144"/>
      <c r="E354" s="143"/>
      <c r="F354" s="143"/>
      <c r="G354" s="143"/>
      <c r="H354" s="143"/>
      <c r="I354" s="143"/>
      <c r="J354" s="143"/>
      <c r="K354" s="143"/>
      <c r="L354" s="143"/>
      <c r="M354" s="143"/>
      <c r="N354" s="143"/>
      <c r="O354" s="143"/>
      <c r="P354" s="143"/>
      <c r="Q354" s="143"/>
      <c r="R354" s="143"/>
      <c r="S354" s="143"/>
      <c r="T354" s="143"/>
      <c r="U354" s="143"/>
      <c r="V354" s="143"/>
      <c r="W354" s="143"/>
      <c r="X354" s="143"/>
      <c r="Y354" s="143"/>
    </row>
    <row r="355" spans="1:25" ht="13">
      <c r="A355" s="156"/>
      <c r="B355" s="142"/>
      <c r="C355" s="143"/>
      <c r="D355" s="144"/>
      <c r="E355" s="143"/>
      <c r="F355" s="143"/>
      <c r="G355" s="143"/>
      <c r="H355" s="143"/>
      <c r="I355" s="143"/>
      <c r="J355" s="143"/>
      <c r="K355" s="143"/>
      <c r="L355" s="143"/>
      <c r="M355" s="143"/>
      <c r="N355" s="143"/>
      <c r="O355" s="143"/>
      <c r="P355" s="143"/>
      <c r="Q355" s="143"/>
      <c r="R355" s="143"/>
      <c r="S355" s="143"/>
      <c r="T355" s="143"/>
      <c r="U355" s="143"/>
      <c r="V355" s="143"/>
      <c r="W355" s="143"/>
      <c r="X355" s="143"/>
      <c r="Y355" s="143"/>
    </row>
    <row r="356" spans="1:25" ht="13">
      <c r="A356" s="156"/>
      <c r="B356" s="142"/>
      <c r="C356" s="143"/>
      <c r="D356" s="144"/>
      <c r="E356" s="143"/>
      <c r="F356" s="143"/>
      <c r="G356" s="143"/>
      <c r="H356" s="143"/>
      <c r="I356" s="143"/>
      <c r="J356" s="143"/>
      <c r="K356" s="143"/>
      <c r="L356" s="143"/>
      <c r="M356" s="143"/>
      <c r="N356" s="143"/>
      <c r="O356" s="143"/>
      <c r="P356" s="143"/>
      <c r="Q356" s="143"/>
      <c r="R356" s="143"/>
      <c r="S356" s="143"/>
      <c r="T356" s="143"/>
      <c r="U356" s="143"/>
      <c r="V356" s="143"/>
      <c r="W356" s="143"/>
      <c r="X356" s="143"/>
      <c r="Y356" s="143"/>
    </row>
    <row r="357" spans="1:25" ht="13">
      <c r="A357" s="156"/>
      <c r="B357" s="142"/>
      <c r="C357" s="143"/>
      <c r="D357" s="144"/>
      <c r="E357" s="143"/>
      <c r="F357" s="143"/>
      <c r="G357" s="143"/>
      <c r="H357" s="143"/>
      <c r="I357" s="143"/>
      <c r="J357" s="143"/>
      <c r="K357" s="143"/>
      <c r="L357" s="143"/>
      <c r="M357" s="143"/>
      <c r="N357" s="143"/>
      <c r="O357" s="143"/>
      <c r="P357" s="143"/>
      <c r="Q357" s="143"/>
      <c r="R357" s="143"/>
      <c r="S357" s="143"/>
      <c r="T357" s="143"/>
      <c r="U357" s="143"/>
      <c r="V357" s="143"/>
      <c r="W357" s="143"/>
      <c r="X357" s="143"/>
      <c r="Y357" s="143"/>
    </row>
    <row r="358" spans="1:25" ht="13">
      <c r="A358" s="156"/>
      <c r="B358" s="142"/>
      <c r="C358" s="143"/>
      <c r="D358" s="144"/>
      <c r="E358" s="143"/>
      <c r="F358" s="143"/>
      <c r="G358" s="143"/>
      <c r="H358" s="143"/>
      <c r="I358" s="143"/>
      <c r="J358" s="143"/>
      <c r="K358" s="143"/>
      <c r="L358" s="143"/>
      <c r="M358" s="143"/>
      <c r="N358" s="143"/>
      <c r="O358" s="143"/>
      <c r="P358" s="143"/>
      <c r="Q358" s="143"/>
      <c r="R358" s="143"/>
      <c r="S358" s="143"/>
      <c r="T358" s="143"/>
      <c r="U358" s="143"/>
      <c r="V358" s="143"/>
      <c r="W358" s="143"/>
      <c r="X358" s="143"/>
      <c r="Y358" s="143"/>
    </row>
    <row r="359" spans="1:25" ht="13">
      <c r="A359" s="156"/>
      <c r="B359" s="142"/>
      <c r="C359" s="143"/>
      <c r="D359" s="144"/>
      <c r="E359" s="143"/>
      <c r="F359" s="143"/>
      <c r="G359" s="143"/>
      <c r="H359" s="143"/>
      <c r="I359" s="143"/>
      <c r="J359" s="143"/>
      <c r="K359" s="143"/>
      <c r="L359" s="143"/>
      <c r="M359" s="143"/>
      <c r="N359" s="143"/>
      <c r="O359" s="143"/>
      <c r="P359" s="143"/>
      <c r="Q359" s="143"/>
      <c r="R359" s="143"/>
      <c r="S359" s="143"/>
      <c r="T359" s="143"/>
      <c r="U359" s="143"/>
      <c r="V359" s="143"/>
      <c r="W359" s="143"/>
      <c r="X359" s="143"/>
      <c r="Y359" s="143"/>
    </row>
    <row r="360" spans="1:25" ht="13">
      <c r="A360" s="156"/>
      <c r="B360" s="142"/>
      <c r="C360" s="143"/>
      <c r="D360" s="144"/>
      <c r="E360" s="143"/>
      <c r="F360" s="143"/>
      <c r="G360" s="143"/>
      <c r="H360" s="143"/>
      <c r="I360" s="143"/>
      <c r="J360" s="143"/>
      <c r="K360" s="143"/>
      <c r="L360" s="143"/>
      <c r="M360" s="143"/>
      <c r="N360" s="143"/>
      <c r="O360" s="143"/>
      <c r="P360" s="143"/>
      <c r="Q360" s="143"/>
      <c r="R360" s="143"/>
      <c r="S360" s="143"/>
      <c r="T360" s="143"/>
      <c r="U360" s="143"/>
      <c r="V360" s="143"/>
      <c r="W360" s="143"/>
      <c r="X360" s="143"/>
      <c r="Y360" s="143"/>
    </row>
    <row r="361" spans="1:25" ht="13">
      <c r="A361" s="156"/>
      <c r="B361" s="142"/>
      <c r="C361" s="143"/>
      <c r="D361" s="144"/>
      <c r="E361" s="143"/>
      <c r="F361" s="143"/>
      <c r="G361" s="143"/>
      <c r="H361" s="143"/>
      <c r="I361" s="143"/>
      <c r="J361" s="143"/>
      <c r="K361" s="143"/>
      <c r="L361" s="143"/>
      <c r="M361" s="143"/>
      <c r="N361" s="143"/>
      <c r="O361" s="143"/>
      <c r="P361" s="143"/>
      <c r="Q361" s="143"/>
      <c r="R361" s="143"/>
      <c r="S361" s="143"/>
      <c r="T361" s="143"/>
      <c r="U361" s="143"/>
      <c r="V361" s="143"/>
      <c r="W361" s="143"/>
      <c r="X361" s="143"/>
      <c r="Y361" s="143"/>
    </row>
    <row r="362" spans="1:25" ht="13">
      <c r="A362" s="156"/>
      <c r="B362" s="142"/>
      <c r="C362" s="143"/>
      <c r="D362" s="144"/>
      <c r="E362" s="143"/>
      <c r="F362" s="143"/>
      <c r="G362" s="143"/>
      <c r="H362" s="143"/>
      <c r="I362" s="143"/>
      <c r="J362" s="143"/>
      <c r="K362" s="143"/>
      <c r="L362" s="143"/>
      <c r="M362" s="143"/>
      <c r="N362" s="143"/>
      <c r="O362" s="143"/>
      <c r="P362" s="143"/>
      <c r="Q362" s="143"/>
      <c r="R362" s="143"/>
      <c r="S362" s="143"/>
      <c r="T362" s="143"/>
      <c r="U362" s="143"/>
      <c r="V362" s="143"/>
      <c r="W362" s="143"/>
      <c r="X362" s="143"/>
      <c r="Y362" s="143"/>
    </row>
    <row r="363" spans="1:25" ht="13">
      <c r="A363" s="156"/>
      <c r="B363" s="142"/>
      <c r="C363" s="143"/>
      <c r="D363" s="144"/>
      <c r="E363" s="143"/>
      <c r="F363" s="143"/>
      <c r="G363" s="143"/>
      <c r="H363" s="143"/>
      <c r="I363" s="143"/>
      <c r="J363" s="143"/>
      <c r="K363" s="143"/>
      <c r="L363" s="143"/>
      <c r="M363" s="143"/>
      <c r="N363" s="143"/>
      <c r="O363" s="143"/>
      <c r="P363" s="143"/>
      <c r="Q363" s="143"/>
      <c r="R363" s="143"/>
      <c r="S363" s="143"/>
      <c r="T363" s="143"/>
      <c r="U363" s="143"/>
      <c r="V363" s="143"/>
      <c r="W363" s="143"/>
      <c r="X363" s="143"/>
      <c r="Y363" s="143"/>
    </row>
    <row r="364" spans="1:25" ht="13">
      <c r="A364" s="156"/>
      <c r="B364" s="142"/>
      <c r="C364" s="143"/>
      <c r="D364" s="144"/>
      <c r="E364" s="143"/>
      <c r="F364" s="143"/>
      <c r="G364" s="143"/>
      <c r="H364" s="143"/>
      <c r="I364" s="143"/>
      <c r="J364" s="143"/>
      <c r="K364" s="143"/>
      <c r="L364" s="143"/>
      <c r="M364" s="143"/>
      <c r="N364" s="143"/>
      <c r="O364" s="143"/>
      <c r="P364" s="143"/>
      <c r="Q364" s="143"/>
      <c r="R364" s="143"/>
      <c r="S364" s="143"/>
      <c r="T364" s="143"/>
      <c r="U364" s="143"/>
      <c r="V364" s="143"/>
      <c r="W364" s="143"/>
      <c r="X364" s="143"/>
      <c r="Y364" s="143"/>
    </row>
    <row r="365" spans="1:25" ht="13">
      <c r="A365" s="156"/>
      <c r="B365" s="142"/>
      <c r="C365" s="143"/>
      <c r="D365" s="144"/>
      <c r="E365" s="143"/>
      <c r="F365" s="143"/>
      <c r="G365" s="143"/>
      <c r="H365" s="143"/>
      <c r="I365" s="143"/>
      <c r="J365" s="143"/>
      <c r="K365" s="143"/>
      <c r="L365" s="143"/>
      <c r="M365" s="143"/>
      <c r="N365" s="143"/>
      <c r="O365" s="143"/>
      <c r="P365" s="143"/>
      <c r="Q365" s="143"/>
      <c r="R365" s="143"/>
      <c r="S365" s="143"/>
      <c r="T365" s="143"/>
      <c r="U365" s="143"/>
      <c r="V365" s="143"/>
      <c r="W365" s="143"/>
      <c r="X365" s="143"/>
      <c r="Y365" s="143"/>
    </row>
    <row r="366" spans="1:25" ht="13">
      <c r="A366" s="156"/>
      <c r="B366" s="142"/>
      <c r="C366" s="143"/>
      <c r="D366" s="144"/>
      <c r="E366" s="143"/>
      <c r="F366" s="143"/>
      <c r="G366" s="143"/>
      <c r="H366" s="143"/>
      <c r="I366" s="143"/>
      <c r="J366" s="143"/>
      <c r="K366" s="143"/>
      <c r="L366" s="143"/>
      <c r="M366" s="143"/>
      <c r="N366" s="143"/>
      <c r="O366" s="143"/>
      <c r="P366" s="143"/>
      <c r="Q366" s="143"/>
      <c r="R366" s="143"/>
      <c r="S366" s="143"/>
      <c r="T366" s="143"/>
      <c r="U366" s="143"/>
      <c r="V366" s="143"/>
      <c r="W366" s="143"/>
      <c r="X366" s="143"/>
      <c r="Y366" s="143"/>
    </row>
    <row r="367" spans="1:25" ht="13">
      <c r="A367" s="156"/>
      <c r="B367" s="142"/>
      <c r="C367" s="143"/>
      <c r="D367" s="144"/>
      <c r="E367" s="143"/>
      <c r="F367" s="143"/>
      <c r="G367" s="143"/>
      <c r="H367" s="143"/>
      <c r="I367" s="143"/>
      <c r="J367" s="143"/>
      <c r="K367" s="143"/>
      <c r="L367" s="143"/>
      <c r="M367" s="143"/>
      <c r="N367" s="143"/>
      <c r="O367" s="143"/>
      <c r="P367" s="143"/>
      <c r="Q367" s="143"/>
      <c r="R367" s="143"/>
      <c r="S367" s="143"/>
      <c r="T367" s="143"/>
      <c r="U367" s="143"/>
      <c r="V367" s="143"/>
      <c r="W367" s="143"/>
      <c r="X367" s="143"/>
      <c r="Y367" s="143"/>
    </row>
    <row r="368" spans="1:25" ht="13">
      <c r="A368" s="156"/>
      <c r="B368" s="142"/>
      <c r="C368" s="143"/>
      <c r="D368" s="144"/>
      <c r="E368" s="143"/>
      <c r="F368" s="143"/>
      <c r="G368" s="143"/>
      <c r="H368" s="143"/>
      <c r="I368" s="143"/>
      <c r="J368" s="143"/>
      <c r="K368" s="143"/>
      <c r="L368" s="143"/>
      <c r="M368" s="143"/>
      <c r="N368" s="143"/>
      <c r="O368" s="143"/>
      <c r="P368" s="143"/>
      <c r="Q368" s="143"/>
      <c r="R368" s="143"/>
      <c r="S368" s="143"/>
      <c r="T368" s="143"/>
      <c r="U368" s="143"/>
      <c r="V368" s="143"/>
      <c r="W368" s="143"/>
      <c r="X368" s="143"/>
      <c r="Y368" s="143"/>
    </row>
    <row r="369" spans="1:25" ht="13">
      <c r="A369" s="156"/>
      <c r="B369" s="142"/>
      <c r="C369" s="143"/>
      <c r="D369" s="144"/>
      <c r="E369" s="143"/>
      <c r="F369" s="143"/>
      <c r="G369" s="143"/>
      <c r="H369" s="143"/>
      <c r="I369" s="143"/>
      <c r="J369" s="143"/>
      <c r="K369" s="143"/>
      <c r="L369" s="143"/>
      <c r="M369" s="143"/>
      <c r="N369" s="143"/>
      <c r="O369" s="143"/>
      <c r="P369" s="143"/>
      <c r="Q369" s="143"/>
      <c r="R369" s="143"/>
      <c r="S369" s="143"/>
      <c r="T369" s="143"/>
      <c r="U369" s="143"/>
      <c r="V369" s="143"/>
      <c r="W369" s="143"/>
      <c r="X369" s="143"/>
      <c r="Y369" s="143"/>
    </row>
    <row r="370" spans="1:25" ht="13">
      <c r="A370" s="156"/>
      <c r="B370" s="142"/>
      <c r="C370" s="143"/>
      <c r="D370" s="144"/>
      <c r="E370" s="143"/>
      <c r="F370" s="143"/>
      <c r="G370" s="143"/>
      <c r="H370" s="143"/>
      <c r="I370" s="143"/>
      <c r="J370" s="143"/>
      <c r="K370" s="143"/>
      <c r="L370" s="143"/>
      <c r="M370" s="143"/>
      <c r="N370" s="143"/>
      <c r="O370" s="143"/>
      <c r="P370" s="143"/>
      <c r="Q370" s="143"/>
      <c r="R370" s="143"/>
      <c r="S370" s="143"/>
      <c r="T370" s="143"/>
      <c r="U370" s="143"/>
      <c r="V370" s="143"/>
      <c r="W370" s="143"/>
      <c r="X370" s="143"/>
      <c r="Y370" s="143"/>
    </row>
    <row r="371" spans="1:25" ht="13">
      <c r="A371" s="156"/>
      <c r="B371" s="142"/>
      <c r="C371" s="143"/>
      <c r="D371" s="144"/>
      <c r="E371" s="143"/>
      <c r="F371" s="143"/>
      <c r="G371" s="143"/>
      <c r="H371" s="143"/>
      <c r="I371" s="143"/>
      <c r="J371" s="143"/>
      <c r="K371" s="143"/>
      <c r="L371" s="143"/>
      <c r="M371" s="143"/>
      <c r="N371" s="143"/>
      <c r="O371" s="143"/>
      <c r="P371" s="143"/>
      <c r="Q371" s="143"/>
      <c r="R371" s="143"/>
      <c r="S371" s="143"/>
      <c r="T371" s="143"/>
      <c r="U371" s="143"/>
      <c r="V371" s="143"/>
      <c r="W371" s="143"/>
      <c r="X371" s="143"/>
      <c r="Y371" s="143"/>
    </row>
    <row r="372" spans="1:25" ht="13">
      <c r="A372" s="156"/>
      <c r="B372" s="142"/>
      <c r="C372" s="143"/>
      <c r="D372" s="144"/>
      <c r="E372" s="143"/>
      <c r="F372" s="143"/>
      <c r="G372" s="143"/>
      <c r="H372" s="143"/>
      <c r="I372" s="143"/>
      <c r="J372" s="143"/>
      <c r="K372" s="143"/>
      <c r="L372" s="143"/>
      <c r="M372" s="143"/>
      <c r="N372" s="143"/>
      <c r="O372" s="143"/>
      <c r="P372" s="143"/>
      <c r="Q372" s="143"/>
      <c r="R372" s="143"/>
      <c r="S372" s="143"/>
      <c r="T372" s="143"/>
      <c r="U372" s="143"/>
      <c r="V372" s="143"/>
      <c r="W372" s="143"/>
      <c r="X372" s="143"/>
      <c r="Y372" s="143"/>
    </row>
    <row r="373" spans="1:25" ht="13">
      <c r="A373" s="156"/>
      <c r="B373" s="142"/>
      <c r="C373" s="143"/>
      <c r="D373" s="144"/>
      <c r="E373" s="143"/>
      <c r="F373" s="143"/>
      <c r="G373" s="143"/>
      <c r="H373" s="143"/>
      <c r="I373" s="143"/>
      <c r="J373" s="143"/>
      <c r="K373" s="143"/>
      <c r="L373" s="143"/>
      <c r="M373" s="143"/>
      <c r="N373" s="143"/>
      <c r="O373" s="143"/>
      <c r="P373" s="143"/>
      <c r="Q373" s="143"/>
      <c r="R373" s="143"/>
      <c r="S373" s="143"/>
      <c r="T373" s="143"/>
      <c r="U373" s="143"/>
      <c r="V373" s="143"/>
      <c r="W373" s="143"/>
      <c r="X373" s="143"/>
      <c r="Y373" s="143"/>
    </row>
    <row r="374" spans="1:25" ht="13">
      <c r="A374" s="156"/>
      <c r="B374" s="142"/>
      <c r="C374" s="143"/>
      <c r="D374" s="144"/>
      <c r="E374" s="143"/>
      <c r="F374" s="143"/>
      <c r="G374" s="143"/>
      <c r="H374" s="143"/>
      <c r="I374" s="143"/>
      <c r="J374" s="143"/>
      <c r="K374" s="143"/>
      <c r="L374" s="143"/>
      <c r="M374" s="143"/>
      <c r="N374" s="143"/>
      <c r="O374" s="143"/>
      <c r="P374" s="143"/>
      <c r="Q374" s="143"/>
      <c r="R374" s="143"/>
      <c r="S374" s="143"/>
      <c r="T374" s="143"/>
      <c r="U374" s="143"/>
      <c r="V374" s="143"/>
      <c r="W374" s="143"/>
      <c r="X374" s="143"/>
      <c r="Y374" s="143"/>
    </row>
    <row r="375" spans="1:25" ht="13">
      <c r="A375" s="156"/>
      <c r="B375" s="142"/>
      <c r="C375" s="143"/>
      <c r="D375" s="144"/>
      <c r="E375" s="143"/>
      <c r="F375" s="143"/>
      <c r="G375" s="143"/>
      <c r="H375" s="143"/>
      <c r="I375" s="143"/>
      <c r="J375" s="143"/>
      <c r="K375" s="143"/>
      <c r="L375" s="143"/>
      <c r="M375" s="143"/>
      <c r="N375" s="143"/>
      <c r="O375" s="143"/>
      <c r="P375" s="143"/>
      <c r="Q375" s="143"/>
      <c r="R375" s="143"/>
      <c r="S375" s="143"/>
      <c r="T375" s="143"/>
      <c r="U375" s="143"/>
      <c r="V375" s="143"/>
      <c r="W375" s="143"/>
      <c r="X375" s="143"/>
      <c r="Y375" s="143"/>
    </row>
    <row r="376" spans="1:25" ht="13">
      <c r="A376" s="156"/>
      <c r="B376" s="142"/>
      <c r="C376" s="143"/>
      <c r="D376" s="144"/>
      <c r="E376" s="143"/>
      <c r="F376" s="143"/>
      <c r="G376" s="143"/>
      <c r="H376" s="143"/>
      <c r="I376" s="143"/>
      <c r="J376" s="143"/>
      <c r="K376" s="143"/>
      <c r="L376" s="143"/>
      <c r="M376" s="143"/>
      <c r="N376" s="143"/>
      <c r="O376" s="143"/>
      <c r="P376" s="143"/>
      <c r="Q376" s="143"/>
      <c r="R376" s="143"/>
      <c r="S376" s="143"/>
      <c r="T376" s="143"/>
      <c r="U376" s="143"/>
      <c r="V376" s="143"/>
      <c r="W376" s="143"/>
      <c r="X376" s="143"/>
      <c r="Y376" s="143"/>
    </row>
    <row r="377" spans="1:25" ht="13">
      <c r="A377" s="156"/>
      <c r="B377" s="142"/>
      <c r="C377" s="143"/>
      <c r="D377" s="144"/>
      <c r="E377" s="143"/>
      <c r="F377" s="143"/>
      <c r="G377" s="143"/>
      <c r="H377" s="143"/>
      <c r="I377" s="143"/>
      <c r="J377" s="143"/>
      <c r="K377" s="143"/>
      <c r="L377" s="143"/>
      <c r="M377" s="143"/>
      <c r="N377" s="143"/>
      <c r="O377" s="143"/>
      <c r="P377" s="143"/>
      <c r="Q377" s="143"/>
      <c r="R377" s="143"/>
      <c r="S377" s="143"/>
      <c r="T377" s="143"/>
      <c r="U377" s="143"/>
      <c r="V377" s="143"/>
      <c r="W377" s="143"/>
      <c r="X377" s="143"/>
      <c r="Y377" s="143"/>
    </row>
    <row r="378" spans="1:25" ht="13">
      <c r="A378" s="156"/>
      <c r="B378" s="142"/>
      <c r="C378" s="143"/>
      <c r="D378" s="144"/>
      <c r="E378" s="143"/>
      <c r="F378" s="143"/>
      <c r="G378" s="143"/>
      <c r="H378" s="143"/>
      <c r="I378" s="143"/>
      <c r="J378" s="143"/>
      <c r="K378" s="143"/>
      <c r="L378" s="143"/>
      <c r="M378" s="143"/>
      <c r="N378" s="143"/>
      <c r="O378" s="143"/>
      <c r="P378" s="143"/>
      <c r="Q378" s="143"/>
      <c r="R378" s="143"/>
      <c r="S378" s="143"/>
      <c r="T378" s="143"/>
      <c r="U378" s="143"/>
      <c r="V378" s="143"/>
      <c r="W378" s="143"/>
      <c r="X378" s="143"/>
      <c r="Y378" s="143"/>
    </row>
    <row r="379" spans="1:25" ht="13">
      <c r="A379" s="156"/>
      <c r="B379" s="142"/>
      <c r="C379" s="143"/>
      <c r="D379" s="144"/>
      <c r="E379" s="143"/>
      <c r="F379" s="143"/>
      <c r="G379" s="143"/>
      <c r="H379" s="143"/>
      <c r="I379" s="143"/>
      <c r="J379" s="143"/>
      <c r="K379" s="143"/>
      <c r="L379" s="143"/>
      <c r="M379" s="143"/>
      <c r="N379" s="143"/>
      <c r="O379" s="143"/>
      <c r="P379" s="143"/>
      <c r="Q379" s="143"/>
      <c r="R379" s="143"/>
      <c r="S379" s="143"/>
      <c r="T379" s="143"/>
      <c r="U379" s="143"/>
      <c r="V379" s="143"/>
      <c r="W379" s="143"/>
      <c r="X379" s="143"/>
      <c r="Y379" s="143"/>
    </row>
    <row r="380" spans="1:25" ht="13">
      <c r="A380" s="156"/>
      <c r="B380" s="142"/>
      <c r="C380" s="143"/>
      <c r="D380" s="144"/>
      <c r="E380" s="143"/>
      <c r="F380" s="143"/>
      <c r="G380" s="143"/>
      <c r="H380" s="143"/>
      <c r="I380" s="143"/>
      <c r="J380" s="143"/>
      <c r="K380" s="143"/>
      <c r="L380" s="143"/>
      <c r="M380" s="143"/>
      <c r="N380" s="143"/>
      <c r="O380" s="143"/>
      <c r="P380" s="143"/>
      <c r="Q380" s="143"/>
      <c r="R380" s="143"/>
      <c r="S380" s="143"/>
      <c r="T380" s="143"/>
      <c r="U380" s="143"/>
      <c r="V380" s="143"/>
      <c r="W380" s="143"/>
      <c r="X380" s="143"/>
      <c r="Y380" s="143"/>
    </row>
    <row r="381" spans="1:25" ht="13">
      <c r="A381" s="156"/>
      <c r="B381" s="142"/>
      <c r="C381" s="143"/>
      <c r="D381" s="144"/>
      <c r="E381" s="143"/>
      <c r="F381" s="143"/>
      <c r="G381" s="143"/>
      <c r="H381" s="143"/>
      <c r="I381" s="143"/>
      <c r="J381" s="143"/>
      <c r="K381" s="143"/>
      <c r="L381" s="143"/>
      <c r="M381" s="143"/>
      <c r="N381" s="143"/>
      <c r="O381" s="143"/>
      <c r="P381" s="143"/>
      <c r="Q381" s="143"/>
      <c r="R381" s="143"/>
      <c r="S381" s="143"/>
      <c r="T381" s="143"/>
      <c r="U381" s="143"/>
      <c r="V381" s="143"/>
      <c r="W381" s="143"/>
      <c r="X381" s="143"/>
      <c r="Y381" s="143"/>
    </row>
    <row r="382" spans="1:25" ht="13">
      <c r="A382" s="156"/>
      <c r="B382" s="142"/>
      <c r="C382" s="143"/>
      <c r="D382" s="144"/>
      <c r="E382" s="143"/>
      <c r="F382" s="143"/>
      <c r="G382" s="143"/>
      <c r="H382" s="143"/>
      <c r="I382" s="143"/>
      <c r="J382" s="143"/>
      <c r="K382" s="143"/>
      <c r="L382" s="143"/>
      <c r="M382" s="143"/>
      <c r="N382" s="143"/>
      <c r="O382" s="143"/>
      <c r="P382" s="143"/>
      <c r="Q382" s="143"/>
      <c r="R382" s="143"/>
      <c r="S382" s="143"/>
      <c r="T382" s="143"/>
      <c r="U382" s="143"/>
      <c r="V382" s="143"/>
      <c r="W382" s="143"/>
      <c r="X382" s="143"/>
      <c r="Y382" s="143"/>
    </row>
    <row r="383" spans="1:25" ht="13">
      <c r="A383" s="156"/>
      <c r="B383" s="142"/>
      <c r="C383" s="143"/>
      <c r="D383" s="144"/>
      <c r="E383" s="143"/>
      <c r="F383" s="143"/>
      <c r="G383" s="143"/>
      <c r="H383" s="143"/>
      <c r="I383" s="143"/>
      <c r="J383" s="143"/>
      <c r="K383" s="143"/>
      <c r="L383" s="143"/>
      <c r="M383" s="143"/>
      <c r="N383" s="143"/>
      <c r="O383" s="143"/>
      <c r="P383" s="143"/>
      <c r="Q383" s="143"/>
      <c r="R383" s="143"/>
      <c r="S383" s="143"/>
      <c r="T383" s="143"/>
      <c r="U383" s="143"/>
      <c r="V383" s="143"/>
      <c r="W383" s="143"/>
      <c r="X383" s="143"/>
      <c r="Y383" s="143"/>
    </row>
    <row r="384" spans="1:25" ht="13">
      <c r="A384" s="156"/>
      <c r="B384" s="142"/>
      <c r="C384" s="143"/>
      <c r="D384" s="144"/>
      <c r="E384" s="143"/>
      <c r="F384" s="143"/>
      <c r="G384" s="143"/>
      <c r="H384" s="143"/>
      <c r="I384" s="143"/>
      <c r="J384" s="143"/>
      <c r="K384" s="143"/>
      <c r="L384" s="143"/>
      <c r="M384" s="143"/>
      <c r="N384" s="143"/>
      <c r="O384" s="143"/>
      <c r="P384" s="143"/>
      <c r="Q384" s="143"/>
      <c r="R384" s="143"/>
      <c r="S384" s="143"/>
      <c r="T384" s="143"/>
      <c r="U384" s="143"/>
      <c r="V384" s="143"/>
      <c r="W384" s="143"/>
      <c r="X384" s="143"/>
      <c r="Y384" s="143"/>
    </row>
    <row r="385" spans="1:25" ht="13">
      <c r="A385" s="156"/>
      <c r="B385" s="142"/>
      <c r="C385" s="143"/>
      <c r="D385" s="144"/>
      <c r="E385" s="143"/>
      <c r="F385" s="143"/>
      <c r="G385" s="143"/>
      <c r="H385" s="143"/>
      <c r="I385" s="143"/>
      <c r="J385" s="143"/>
      <c r="K385" s="143"/>
      <c r="L385" s="143"/>
      <c r="M385" s="143"/>
      <c r="N385" s="143"/>
      <c r="O385" s="143"/>
      <c r="P385" s="143"/>
      <c r="Q385" s="143"/>
      <c r="R385" s="143"/>
      <c r="S385" s="143"/>
      <c r="T385" s="143"/>
      <c r="U385" s="143"/>
      <c r="V385" s="143"/>
      <c r="W385" s="143"/>
      <c r="X385" s="143"/>
      <c r="Y385" s="143"/>
    </row>
    <row r="386" spans="1:25" ht="13">
      <c r="A386" s="156"/>
      <c r="B386" s="142"/>
      <c r="C386" s="143"/>
      <c r="D386" s="144"/>
      <c r="E386" s="143"/>
      <c r="F386" s="143"/>
      <c r="G386" s="143"/>
      <c r="H386" s="143"/>
      <c r="I386" s="143"/>
      <c r="J386" s="143"/>
      <c r="K386" s="143"/>
      <c r="L386" s="143"/>
      <c r="M386" s="143"/>
      <c r="N386" s="143"/>
      <c r="O386" s="143"/>
      <c r="P386" s="143"/>
      <c r="Q386" s="143"/>
      <c r="R386" s="143"/>
      <c r="S386" s="143"/>
      <c r="T386" s="143"/>
      <c r="U386" s="143"/>
      <c r="V386" s="143"/>
      <c r="W386" s="143"/>
      <c r="X386" s="143"/>
      <c r="Y386" s="143"/>
    </row>
    <row r="387" spans="1:25" ht="13">
      <c r="A387" s="156"/>
      <c r="B387" s="142"/>
      <c r="C387" s="143"/>
      <c r="D387" s="144"/>
      <c r="E387" s="143"/>
      <c r="F387" s="143"/>
      <c r="G387" s="143"/>
      <c r="H387" s="143"/>
      <c r="I387" s="143"/>
      <c r="J387" s="143"/>
      <c r="K387" s="143"/>
      <c r="L387" s="143"/>
      <c r="M387" s="143"/>
      <c r="N387" s="143"/>
      <c r="O387" s="143"/>
      <c r="P387" s="143"/>
      <c r="Q387" s="143"/>
      <c r="R387" s="143"/>
      <c r="S387" s="143"/>
      <c r="T387" s="143"/>
      <c r="U387" s="143"/>
      <c r="V387" s="143"/>
      <c r="W387" s="143"/>
      <c r="X387" s="143"/>
      <c r="Y387" s="143"/>
    </row>
    <row r="388" spans="1:25" ht="13">
      <c r="A388" s="156"/>
      <c r="B388" s="142"/>
      <c r="C388" s="143"/>
      <c r="D388" s="144"/>
      <c r="E388" s="143"/>
      <c r="F388" s="143"/>
      <c r="G388" s="143"/>
      <c r="H388" s="143"/>
      <c r="I388" s="143"/>
      <c r="J388" s="143"/>
      <c r="K388" s="143"/>
      <c r="L388" s="143"/>
      <c r="M388" s="143"/>
      <c r="N388" s="143"/>
      <c r="O388" s="143"/>
      <c r="P388" s="143"/>
      <c r="Q388" s="143"/>
      <c r="R388" s="143"/>
      <c r="S388" s="143"/>
      <c r="T388" s="143"/>
      <c r="U388" s="143"/>
      <c r="V388" s="143"/>
      <c r="W388" s="143"/>
      <c r="X388" s="143"/>
      <c r="Y388" s="143"/>
    </row>
    <row r="389" spans="1:25" ht="13">
      <c r="A389" s="156"/>
      <c r="B389" s="142"/>
      <c r="C389" s="143"/>
      <c r="D389" s="144"/>
      <c r="E389" s="143"/>
      <c r="F389" s="143"/>
      <c r="G389" s="143"/>
      <c r="H389" s="143"/>
      <c r="I389" s="143"/>
      <c r="J389" s="143"/>
      <c r="K389" s="143"/>
      <c r="L389" s="143"/>
      <c r="M389" s="143"/>
      <c r="N389" s="143"/>
      <c r="O389" s="143"/>
      <c r="P389" s="143"/>
      <c r="Q389" s="143"/>
      <c r="R389" s="143"/>
      <c r="S389" s="143"/>
      <c r="T389" s="143"/>
      <c r="U389" s="143"/>
      <c r="V389" s="143"/>
      <c r="W389" s="143"/>
      <c r="X389" s="143"/>
      <c r="Y389" s="143"/>
    </row>
    <row r="390" spans="1:25" ht="13">
      <c r="A390" s="156"/>
      <c r="B390" s="142"/>
      <c r="C390" s="143"/>
      <c r="D390" s="144"/>
      <c r="E390" s="143"/>
      <c r="F390" s="143"/>
      <c r="G390" s="143"/>
      <c r="H390" s="143"/>
      <c r="I390" s="143"/>
      <c r="J390" s="143"/>
      <c r="K390" s="143"/>
      <c r="L390" s="143"/>
      <c r="M390" s="143"/>
      <c r="N390" s="143"/>
      <c r="O390" s="143"/>
      <c r="P390" s="143"/>
      <c r="Q390" s="143"/>
      <c r="R390" s="143"/>
      <c r="S390" s="143"/>
      <c r="T390" s="143"/>
      <c r="U390" s="143"/>
      <c r="V390" s="143"/>
      <c r="W390" s="143"/>
      <c r="X390" s="143"/>
      <c r="Y390" s="143"/>
    </row>
    <row r="391" spans="1:25" ht="13">
      <c r="A391" s="156"/>
      <c r="B391" s="142"/>
      <c r="C391" s="143"/>
      <c r="D391" s="144"/>
      <c r="E391" s="143"/>
      <c r="F391" s="143"/>
      <c r="G391" s="143"/>
      <c r="H391" s="143"/>
      <c r="I391" s="143"/>
      <c r="J391" s="143"/>
      <c r="K391" s="143"/>
      <c r="L391" s="143"/>
      <c r="M391" s="143"/>
      <c r="N391" s="143"/>
      <c r="O391" s="143"/>
      <c r="P391" s="143"/>
      <c r="Q391" s="143"/>
      <c r="R391" s="143"/>
      <c r="S391" s="143"/>
      <c r="T391" s="143"/>
      <c r="U391" s="143"/>
      <c r="V391" s="143"/>
      <c r="W391" s="143"/>
      <c r="X391" s="143"/>
      <c r="Y391" s="143"/>
    </row>
    <row r="392" spans="1:25" ht="13">
      <c r="A392" s="156"/>
      <c r="B392" s="142"/>
      <c r="C392" s="143"/>
      <c r="D392" s="144"/>
      <c r="E392" s="143"/>
      <c r="F392" s="143"/>
      <c r="G392" s="143"/>
      <c r="H392" s="143"/>
      <c r="I392" s="143"/>
      <c r="J392" s="143"/>
      <c r="K392" s="143"/>
      <c r="L392" s="143"/>
      <c r="M392" s="143"/>
      <c r="N392" s="143"/>
      <c r="O392" s="143"/>
      <c r="P392" s="143"/>
      <c r="Q392" s="143"/>
      <c r="R392" s="143"/>
      <c r="S392" s="143"/>
      <c r="T392" s="143"/>
      <c r="U392" s="143"/>
      <c r="V392" s="143"/>
      <c r="W392" s="143"/>
      <c r="X392" s="143"/>
      <c r="Y392" s="143"/>
    </row>
    <row r="393" spans="1:25" ht="13">
      <c r="A393" s="156"/>
      <c r="B393" s="142"/>
      <c r="C393" s="143"/>
      <c r="D393" s="144"/>
      <c r="E393" s="143"/>
      <c r="F393" s="143"/>
      <c r="G393" s="143"/>
      <c r="H393" s="143"/>
      <c r="I393" s="143"/>
      <c r="J393" s="143"/>
      <c r="K393" s="143"/>
      <c r="L393" s="143"/>
      <c r="M393" s="143"/>
      <c r="N393" s="143"/>
      <c r="O393" s="143"/>
      <c r="P393" s="143"/>
      <c r="Q393" s="143"/>
      <c r="R393" s="143"/>
      <c r="S393" s="143"/>
      <c r="T393" s="143"/>
      <c r="U393" s="143"/>
      <c r="V393" s="143"/>
      <c r="W393" s="143"/>
      <c r="X393" s="143"/>
      <c r="Y393" s="143"/>
    </row>
    <row r="394" spans="1:25" ht="13">
      <c r="A394" s="156"/>
      <c r="B394" s="142"/>
      <c r="C394" s="143"/>
      <c r="D394" s="144"/>
      <c r="E394" s="143"/>
      <c r="F394" s="143"/>
      <c r="G394" s="143"/>
      <c r="H394" s="143"/>
      <c r="I394" s="143"/>
      <c r="J394" s="143"/>
      <c r="K394" s="143"/>
      <c r="L394" s="143"/>
      <c r="M394" s="143"/>
      <c r="N394" s="143"/>
      <c r="O394" s="143"/>
      <c r="P394" s="143"/>
      <c r="Q394" s="143"/>
      <c r="R394" s="143"/>
      <c r="S394" s="143"/>
      <c r="T394" s="143"/>
      <c r="U394" s="143"/>
      <c r="V394" s="143"/>
      <c r="W394" s="143"/>
      <c r="X394" s="143"/>
      <c r="Y394" s="143"/>
    </row>
    <row r="395" spans="1:25" ht="13">
      <c r="A395" s="156"/>
      <c r="B395" s="142"/>
      <c r="C395" s="143"/>
      <c r="D395" s="144"/>
      <c r="E395" s="143"/>
      <c r="F395" s="143"/>
      <c r="G395" s="143"/>
      <c r="H395" s="143"/>
      <c r="I395" s="143"/>
      <c r="J395" s="143"/>
      <c r="K395" s="143"/>
      <c r="L395" s="143"/>
      <c r="M395" s="143"/>
      <c r="N395" s="143"/>
      <c r="O395" s="143"/>
      <c r="P395" s="143"/>
      <c r="Q395" s="143"/>
      <c r="R395" s="143"/>
      <c r="S395" s="143"/>
      <c r="T395" s="143"/>
      <c r="U395" s="143"/>
      <c r="V395" s="143"/>
      <c r="W395" s="143"/>
      <c r="X395" s="143"/>
      <c r="Y395" s="143"/>
    </row>
    <row r="396" spans="1:25" ht="13">
      <c r="A396" s="156"/>
      <c r="B396" s="142"/>
      <c r="C396" s="143"/>
      <c r="D396" s="144"/>
      <c r="E396" s="143"/>
      <c r="F396" s="143"/>
      <c r="G396" s="143"/>
      <c r="H396" s="143"/>
      <c r="I396" s="143"/>
      <c r="J396" s="143"/>
      <c r="K396" s="143"/>
      <c r="L396" s="143"/>
      <c r="M396" s="143"/>
      <c r="N396" s="143"/>
      <c r="O396" s="143"/>
      <c r="P396" s="143"/>
      <c r="Q396" s="143"/>
      <c r="R396" s="143"/>
      <c r="S396" s="143"/>
      <c r="T396" s="143"/>
      <c r="U396" s="143"/>
      <c r="V396" s="143"/>
      <c r="W396" s="143"/>
      <c r="X396" s="143"/>
      <c r="Y396" s="143"/>
    </row>
    <row r="397" spans="1:25" ht="13">
      <c r="A397" s="156"/>
      <c r="B397" s="142"/>
      <c r="C397" s="143"/>
      <c r="D397" s="144"/>
      <c r="E397" s="143"/>
      <c r="F397" s="143"/>
      <c r="G397" s="143"/>
      <c r="H397" s="143"/>
      <c r="I397" s="143"/>
      <c r="J397" s="143"/>
      <c r="K397" s="143"/>
      <c r="L397" s="143"/>
      <c r="M397" s="143"/>
      <c r="N397" s="143"/>
      <c r="O397" s="143"/>
      <c r="P397" s="143"/>
      <c r="Q397" s="143"/>
      <c r="R397" s="143"/>
      <c r="S397" s="143"/>
      <c r="T397" s="143"/>
      <c r="U397" s="143"/>
      <c r="V397" s="143"/>
      <c r="W397" s="143"/>
      <c r="X397" s="143"/>
      <c r="Y397" s="143"/>
    </row>
    <row r="398" spans="1:25" ht="13">
      <c r="A398" s="156"/>
      <c r="B398" s="142"/>
      <c r="C398" s="143"/>
      <c r="D398" s="144"/>
      <c r="E398" s="143"/>
      <c r="F398" s="143"/>
      <c r="G398" s="143"/>
      <c r="H398" s="143"/>
      <c r="I398" s="143"/>
      <c r="J398" s="143"/>
      <c r="K398" s="143"/>
      <c r="L398" s="143"/>
      <c r="M398" s="143"/>
      <c r="N398" s="143"/>
      <c r="O398" s="143"/>
      <c r="P398" s="143"/>
      <c r="Q398" s="143"/>
      <c r="R398" s="143"/>
      <c r="S398" s="143"/>
      <c r="T398" s="143"/>
      <c r="U398" s="143"/>
      <c r="V398" s="143"/>
      <c r="W398" s="143"/>
      <c r="X398" s="143"/>
      <c r="Y398" s="143"/>
    </row>
    <row r="399" spans="1:25" ht="13">
      <c r="A399" s="156"/>
      <c r="B399" s="142"/>
      <c r="C399" s="143"/>
      <c r="D399" s="144"/>
      <c r="E399" s="143"/>
      <c r="F399" s="143"/>
      <c r="G399" s="143"/>
      <c r="H399" s="143"/>
      <c r="I399" s="143"/>
      <c r="J399" s="143"/>
      <c r="K399" s="143"/>
      <c r="L399" s="143"/>
      <c r="M399" s="143"/>
      <c r="N399" s="143"/>
      <c r="O399" s="143"/>
      <c r="P399" s="143"/>
      <c r="Q399" s="143"/>
      <c r="R399" s="143"/>
      <c r="S399" s="143"/>
      <c r="T399" s="143"/>
      <c r="U399" s="143"/>
      <c r="V399" s="143"/>
      <c r="W399" s="143"/>
      <c r="X399" s="143"/>
      <c r="Y399" s="143"/>
    </row>
    <row r="400" spans="1:25" ht="13">
      <c r="A400" s="156"/>
      <c r="B400" s="142"/>
      <c r="C400" s="143"/>
      <c r="D400" s="144"/>
      <c r="E400" s="143"/>
      <c r="F400" s="143"/>
      <c r="G400" s="143"/>
      <c r="H400" s="143"/>
      <c r="I400" s="143"/>
      <c r="J400" s="143"/>
      <c r="K400" s="143"/>
      <c r="L400" s="143"/>
      <c r="M400" s="143"/>
      <c r="N400" s="143"/>
      <c r="O400" s="143"/>
      <c r="P400" s="143"/>
      <c r="Q400" s="143"/>
      <c r="R400" s="143"/>
      <c r="S400" s="143"/>
      <c r="T400" s="143"/>
      <c r="U400" s="143"/>
      <c r="V400" s="143"/>
      <c r="W400" s="143"/>
      <c r="X400" s="143"/>
      <c r="Y400" s="143"/>
    </row>
    <row r="401" spans="1:25" ht="13">
      <c r="A401" s="156"/>
      <c r="B401" s="142"/>
      <c r="C401" s="143"/>
      <c r="D401" s="144"/>
      <c r="E401" s="143"/>
      <c r="F401" s="143"/>
      <c r="G401" s="143"/>
      <c r="H401" s="143"/>
      <c r="I401" s="143"/>
      <c r="J401" s="143"/>
      <c r="K401" s="143"/>
      <c r="L401" s="143"/>
      <c r="M401" s="143"/>
      <c r="N401" s="143"/>
      <c r="O401" s="143"/>
      <c r="P401" s="143"/>
      <c r="Q401" s="143"/>
      <c r="R401" s="143"/>
      <c r="S401" s="143"/>
      <c r="T401" s="143"/>
      <c r="U401" s="143"/>
      <c r="V401" s="143"/>
      <c r="W401" s="143"/>
      <c r="X401" s="143"/>
      <c r="Y401" s="143"/>
    </row>
    <row r="402" spans="1:25" ht="13">
      <c r="A402" s="156"/>
      <c r="B402" s="142"/>
      <c r="C402" s="143"/>
      <c r="D402" s="144"/>
      <c r="E402" s="143"/>
      <c r="F402" s="143"/>
      <c r="G402" s="143"/>
      <c r="H402" s="143"/>
      <c r="I402" s="143"/>
      <c r="J402" s="143"/>
      <c r="K402" s="143"/>
      <c r="L402" s="143"/>
      <c r="M402" s="143"/>
      <c r="N402" s="143"/>
      <c r="O402" s="143"/>
      <c r="P402" s="143"/>
      <c r="Q402" s="143"/>
      <c r="R402" s="143"/>
      <c r="S402" s="143"/>
      <c r="T402" s="143"/>
      <c r="U402" s="143"/>
      <c r="V402" s="143"/>
      <c r="W402" s="143"/>
      <c r="X402" s="143"/>
      <c r="Y402" s="143"/>
    </row>
    <row r="403" spans="1:25" ht="13">
      <c r="A403" s="156"/>
      <c r="B403" s="142"/>
      <c r="C403" s="143"/>
      <c r="D403" s="144"/>
      <c r="E403" s="143"/>
      <c r="F403" s="143"/>
      <c r="G403" s="143"/>
      <c r="H403" s="143"/>
      <c r="I403" s="143"/>
      <c r="J403" s="143"/>
      <c r="K403" s="143"/>
      <c r="L403" s="143"/>
      <c r="M403" s="143"/>
      <c r="N403" s="143"/>
      <c r="O403" s="143"/>
      <c r="P403" s="143"/>
      <c r="Q403" s="143"/>
      <c r="R403" s="143"/>
      <c r="S403" s="143"/>
      <c r="T403" s="143"/>
      <c r="U403" s="143"/>
      <c r="V403" s="143"/>
      <c r="W403" s="143"/>
      <c r="X403" s="143"/>
      <c r="Y403" s="143"/>
    </row>
    <row r="404" spans="1:25" ht="13">
      <c r="A404" s="156"/>
      <c r="B404" s="142"/>
      <c r="C404" s="143"/>
      <c r="D404" s="144"/>
      <c r="E404" s="143"/>
      <c r="F404" s="143"/>
      <c r="G404" s="143"/>
      <c r="H404" s="143"/>
      <c r="I404" s="143"/>
      <c r="J404" s="143"/>
      <c r="K404" s="143"/>
      <c r="L404" s="143"/>
      <c r="M404" s="143"/>
      <c r="N404" s="143"/>
      <c r="O404" s="143"/>
      <c r="P404" s="143"/>
      <c r="Q404" s="143"/>
      <c r="R404" s="143"/>
      <c r="S404" s="143"/>
      <c r="T404" s="143"/>
      <c r="U404" s="143"/>
      <c r="V404" s="143"/>
      <c r="W404" s="143"/>
      <c r="X404" s="143"/>
      <c r="Y404" s="143"/>
    </row>
    <row r="405" spans="1:25" ht="13">
      <c r="A405" s="156"/>
      <c r="B405" s="142"/>
      <c r="C405" s="143"/>
      <c r="D405" s="144"/>
      <c r="E405" s="143"/>
      <c r="F405" s="143"/>
      <c r="G405" s="143"/>
      <c r="H405" s="143"/>
      <c r="I405" s="143"/>
      <c r="J405" s="143"/>
      <c r="K405" s="143"/>
      <c r="L405" s="143"/>
      <c r="M405" s="143"/>
      <c r="N405" s="143"/>
      <c r="O405" s="143"/>
      <c r="P405" s="143"/>
      <c r="Q405" s="143"/>
      <c r="R405" s="143"/>
      <c r="S405" s="143"/>
      <c r="T405" s="143"/>
      <c r="U405" s="143"/>
      <c r="V405" s="143"/>
      <c r="W405" s="143"/>
      <c r="X405" s="143"/>
      <c r="Y405" s="143"/>
    </row>
    <row r="406" spans="1:25" ht="13">
      <c r="A406" s="156"/>
      <c r="B406" s="142"/>
      <c r="C406" s="143"/>
      <c r="D406" s="144"/>
      <c r="E406" s="143"/>
      <c r="F406" s="143"/>
      <c r="G406" s="143"/>
      <c r="H406" s="143"/>
      <c r="I406" s="143"/>
      <c r="J406" s="143"/>
      <c r="K406" s="143"/>
      <c r="L406" s="143"/>
      <c r="M406" s="143"/>
      <c r="N406" s="143"/>
      <c r="O406" s="143"/>
      <c r="P406" s="143"/>
      <c r="Q406" s="143"/>
      <c r="R406" s="143"/>
      <c r="S406" s="143"/>
      <c r="T406" s="143"/>
      <c r="U406" s="143"/>
      <c r="V406" s="143"/>
      <c r="W406" s="143"/>
      <c r="X406" s="143"/>
      <c r="Y406" s="143"/>
    </row>
    <row r="407" spans="1:25" ht="13">
      <c r="A407" s="156"/>
      <c r="B407" s="142"/>
      <c r="C407" s="143"/>
      <c r="D407" s="144"/>
      <c r="E407" s="143"/>
      <c r="F407" s="143"/>
      <c r="G407" s="143"/>
      <c r="H407" s="143"/>
      <c r="I407" s="143"/>
      <c r="J407" s="143"/>
      <c r="K407" s="143"/>
      <c r="L407" s="143"/>
      <c r="M407" s="143"/>
      <c r="N407" s="143"/>
      <c r="O407" s="143"/>
      <c r="P407" s="143"/>
      <c r="Q407" s="143"/>
      <c r="R407" s="143"/>
      <c r="S407" s="143"/>
      <c r="T407" s="143"/>
      <c r="U407" s="143"/>
      <c r="V407" s="143"/>
      <c r="W407" s="143"/>
      <c r="X407" s="143"/>
      <c r="Y407" s="143"/>
    </row>
    <row r="408" spans="1:25" ht="13">
      <c r="A408" s="156"/>
      <c r="B408" s="142"/>
      <c r="C408" s="143"/>
      <c r="D408" s="144"/>
      <c r="E408" s="143"/>
      <c r="F408" s="143"/>
      <c r="G408" s="143"/>
      <c r="H408" s="143"/>
      <c r="I408" s="143"/>
      <c r="J408" s="143"/>
      <c r="K408" s="143"/>
      <c r="L408" s="143"/>
      <c r="M408" s="143"/>
      <c r="N408" s="143"/>
      <c r="O408" s="143"/>
      <c r="P408" s="143"/>
      <c r="Q408" s="143"/>
      <c r="R408" s="143"/>
      <c r="S408" s="143"/>
      <c r="T408" s="143"/>
      <c r="U408" s="143"/>
      <c r="V408" s="143"/>
      <c r="W408" s="143"/>
      <c r="X408" s="143"/>
      <c r="Y408" s="143"/>
    </row>
    <row r="409" spans="1:25" ht="13">
      <c r="A409" s="156"/>
      <c r="B409" s="142"/>
      <c r="C409" s="143"/>
      <c r="D409" s="144"/>
      <c r="E409" s="143"/>
      <c r="F409" s="143"/>
      <c r="G409" s="143"/>
      <c r="H409" s="143"/>
      <c r="I409" s="143"/>
      <c r="J409" s="143"/>
      <c r="K409" s="143"/>
      <c r="L409" s="143"/>
      <c r="M409" s="143"/>
      <c r="N409" s="143"/>
      <c r="O409" s="143"/>
      <c r="P409" s="143"/>
      <c r="Q409" s="143"/>
      <c r="R409" s="143"/>
      <c r="S409" s="143"/>
      <c r="T409" s="143"/>
      <c r="U409" s="143"/>
      <c r="V409" s="143"/>
      <c r="W409" s="143"/>
      <c r="X409" s="143"/>
      <c r="Y409" s="143"/>
    </row>
    <row r="410" spans="1:25" ht="13">
      <c r="A410" s="156"/>
      <c r="B410" s="142"/>
      <c r="C410" s="143"/>
      <c r="D410" s="144"/>
      <c r="E410" s="143"/>
      <c r="F410" s="143"/>
      <c r="G410" s="143"/>
      <c r="H410" s="143"/>
      <c r="I410" s="143"/>
      <c r="J410" s="143"/>
      <c r="K410" s="143"/>
      <c r="L410" s="143"/>
      <c r="M410" s="143"/>
      <c r="N410" s="143"/>
      <c r="O410" s="143"/>
      <c r="P410" s="143"/>
      <c r="Q410" s="143"/>
      <c r="R410" s="143"/>
      <c r="S410" s="143"/>
      <c r="T410" s="143"/>
      <c r="U410" s="143"/>
      <c r="V410" s="143"/>
      <c r="W410" s="143"/>
      <c r="X410" s="143"/>
      <c r="Y410" s="143"/>
    </row>
    <row r="411" spans="1:25" ht="13">
      <c r="A411" s="156"/>
      <c r="B411" s="142"/>
      <c r="C411" s="143"/>
      <c r="D411" s="144"/>
      <c r="E411" s="143"/>
      <c r="F411" s="143"/>
      <c r="G411" s="143"/>
      <c r="H411" s="143"/>
      <c r="I411" s="143"/>
      <c r="J411" s="143"/>
      <c r="K411" s="143"/>
      <c r="L411" s="143"/>
      <c r="M411" s="143"/>
      <c r="N411" s="143"/>
      <c r="O411" s="143"/>
      <c r="P411" s="143"/>
      <c r="Q411" s="143"/>
      <c r="R411" s="143"/>
      <c r="S411" s="143"/>
      <c r="T411" s="143"/>
      <c r="U411" s="143"/>
      <c r="V411" s="143"/>
      <c r="W411" s="143"/>
      <c r="X411" s="143"/>
      <c r="Y411" s="143"/>
    </row>
    <row r="412" spans="1:25" ht="13">
      <c r="A412" s="156"/>
      <c r="B412" s="142"/>
      <c r="C412" s="143"/>
      <c r="D412" s="144"/>
      <c r="E412" s="143"/>
      <c r="F412" s="143"/>
      <c r="G412" s="143"/>
      <c r="H412" s="143"/>
      <c r="I412" s="143"/>
      <c r="J412" s="143"/>
      <c r="K412" s="143"/>
      <c r="L412" s="143"/>
      <c r="M412" s="143"/>
      <c r="N412" s="143"/>
      <c r="O412" s="143"/>
      <c r="P412" s="143"/>
      <c r="Q412" s="143"/>
      <c r="R412" s="143"/>
      <c r="S412" s="143"/>
      <c r="T412" s="143"/>
      <c r="U412" s="143"/>
      <c r="V412" s="143"/>
      <c r="W412" s="143"/>
      <c r="X412" s="143"/>
      <c r="Y412" s="143"/>
    </row>
    <row r="413" spans="1:25" ht="13">
      <c r="A413" s="156"/>
      <c r="B413" s="142"/>
      <c r="C413" s="143"/>
      <c r="D413" s="144"/>
      <c r="E413" s="143"/>
      <c r="F413" s="143"/>
      <c r="G413" s="143"/>
      <c r="H413" s="143"/>
      <c r="I413" s="143"/>
      <c r="J413" s="143"/>
      <c r="K413" s="143"/>
      <c r="L413" s="143"/>
      <c r="M413" s="143"/>
      <c r="N413" s="143"/>
      <c r="O413" s="143"/>
      <c r="P413" s="143"/>
      <c r="Q413" s="143"/>
      <c r="R413" s="143"/>
      <c r="S413" s="143"/>
      <c r="T413" s="143"/>
      <c r="U413" s="143"/>
      <c r="V413" s="143"/>
      <c r="W413" s="143"/>
      <c r="X413" s="143"/>
      <c r="Y413" s="143"/>
    </row>
    <row r="414" spans="1:25" ht="13">
      <c r="A414" s="156"/>
      <c r="B414" s="142"/>
      <c r="C414" s="143"/>
      <c r="D414" s="144"/>
      <c r="E414" s="143"/>
      <c r="F414" s="143"/>
      <c r="G414" s="143"/>
      <c r="H414" s="143"/>
      <c r="I414" s="143"/>
      <c r="J414" s="143"/>
      <c r="K414" s="143"/>
      <c r="L414" s="143"/>
      <c r="M414" s="143"/>
      <c r="N414" s="143"/>
      <c r="O414" s="143"/>
      <c r="P414" s="143"/>
      <c r="Q414" s="143"/>
      <c r="R414" s="143"/>
      <c r="S414" s="143"/>
      <c r="T414" s="143"/>
      <c r="U414" s="143"/>
      <c r="V414" s="143"/>
      <c r="W414" s="143"/>
      <c r="X414" s="143"/>
      <c r="Y414" s="143"/>
    </row>
    <row r="415" spans="1:25" ht="13">
      <c r="A415" s="156"/>
      <c r="B415" s="142"/>
      <c r="C415" s="143"/>
      <c r="D415" s="144"/>
      <c r="E415" s="143"/>
      <c r="F415" s="143"/>
      <c r="G415" s="143"/>
      <c r="H415" s="143"/>
      <c r="I415" s="143"/>
      <c r="J415" s="143"/>
      <c r="K415" s="143"/>
      <c r="L415" s="143"/>
      <c r="M415" s="143"/>
      <c r="N415" s="143"/>
      <c r="O415" s="143"/>
      <c r="P415" s="143"/>
      <c r="Q415" s="143"/>
      <c r="R415" s="143"/>
      <c r="S415" s="143"/>
      <c r="T415" s="143"/>
      <c r="U415" s="143"/>
      <c r="V415" s="143"/>
      <c r="W415" s="143"/>
      <c r="X415" s="143"/>
      <c r="Y415" s="143"/>
    </row>
    <row r="416" spans="1:25" ht="13">
      <c r="A416" s="156"/>
      <c r="B416" s="142"/>
      <c r="C416" s="143"/>
      <c r="D416" s="144"/>
      <c r="E416" s="143"/>
      <c r="F416" s="143"/>
      <c r="G416" s="143"/>
      <c r="H416" s="143"/>
      <c r="I416" s="143"/>
      <c r="J416" s="143"/>
      <c r="K416" s="143"/>
      <c r="L416" s="143"/>
      <c r="M416" s="143"/>
      <c r="N416" s="143"/>
      <c r="O416" s="143"/>
      <c r="P416" s="143"/>
      <c r="Q416" s="143"/>
      <c r="R416" s="143"/>
      <c r="S416" s="143"/>
      <c r="T416" s="143"/>
      <c r="U416" s="143"/>
      <c r="V416" s="143"/>
      <c r="W416" s="143"/>
      <c r="X416" s="143"/>
      <c r="Y416" s="143"/>
    </row>
    <row r="417" spans="1:25" ht="13">
      <c r="A417" s="156"/>
      <c r="B417" s="142"/>
      <c r="C417" s="143"/>
      <c r="D417" s="144"/>
      <c r="E417" s="143"/>
      <c r="F417" s="143"/>
      <c r="G417" s="143"/>
      <c r="H417" s="143"/>
      <c r="I417" s="143"/>
      <c r="J417" s="143"/>
      <c r="K417" s="143"/>
      <c r="L417" s="143"/>
      <c r="M417" s="143"/>
      <c r="N417" s="143"/>
      <c r="O417" s="143"/>
      <c r="P417" s="143"/>
      <c r="Q417" s="143"/>
      <c r="R417" s="143"/>
      <c r="S417" s="143"/>
      <c r="T417" s="143"/>
      <c r="U417" s="143"/>
      <c r="V417" s="143"/>
      <c r="W417" s="143"/>
      <c r="X417" s="143"/>
      <c r="Y417" s="143"/>
    </row>
    <row r="418" spans="1:25" ht="13">
      <c r="A418" s="156"/>
      <c r="B418" s="142"/>
      <c r="C418" s="143"/>
      <c r="D418" s="144"/>
      <c r="E418" s="143"/>
      <c r="F418" s="143"/>
      <c r="G418" s="143"/>
      <c r="H418" s="143"/>
      <c r="I418" s="143"/>
      <c r="J418" s="143"/>
      <c r="K418" s="143"/>
      <c r="L418" s="143"/>
      <c r="M418" s="143"/>
      <c r="N418" s="143"/>
      <c r="O418" s="143"/>
      <c r="P418" s="143"/>
      <c r="Q418" s="143"/>
      <c r="R418" s="143"/>
      <c r="S418" s="143"/>
      <c r="T418" s="143"/>
      <c r="U418" s="143"/>
      <c r="V418" s="143"/>
      <c r="W418" s="143"/>
      <c r="X418" s="143"/>
      <c r="Y418" s="143"/>
    </row>
    <row r="419" spans="1:25" ht="13">
      <c r="A419" s="156"/>
      <c r="B419" s="142"/>
      <c r="C419" s="143"/>
      <c r="D419" s="144"/>
      <c r="E419" s="143"/>
      <c r="F419" s="143"/>
      <c r="G419" s="143"/>
      <c r="H419" s="143"/>
      <c r="I419" s="143"/>
      <c r="J419" s="143"/>
      <c r="K419" s="143"/>
      <c r="L419" s="143"/>
      <c r="M419" s="143"/>
      <c r="N419" s="143"/>
      <c r="O419" s="143"/>
      <c r="P419" s="143"/>
      <c r="Q419" s="143"/>
      <c r="R419" s="143"/>
      <c r="S419" s="143"/>
      <c r="T419" s="143"/>
      <c r="U419" s="143"/>
      <c r="V419" s="143"/>
      <c r="W419" s="143"/>
      <c r="X419" s="143"/>
      <c r="Y419" s="143"/>
    </row>
    <row r="420" spans="1:25" ht="13">
      <c r="A420" s="156"/>
      <c r="B420" s="142"/>
      <c r="C420" s="143"/>
      <c r="D420" s="144"/>
      <c r="E420" s="143"/>
      <c r="F420" s="143"/>
      <c r="G420" s="143"/>
      <c r="H420" s="143"/>
      <c r="I420" s="143"/>
      <c r="J420" s="143"/>
      <c r="K420" s="143"/>
      <c r="L420" s="143"/>
      <c r="M420" s="143"/>
      <c r="N420" s="143"/>
      <c r="O420" s="143"/>
      <c r="P420" s="143"/>
      <c r="Q420" s="143"/>
      <c r="R420" s="143"/>
      <c r="S420" s="143"/>
      <c r="T420" s="143"/>
      <c r="U420" s="143"/>
      <c r="V420" s="143"/>
      <c r="W420" s="143"/>
      <c r="X420" s="143"/>
      <c r="Y420" s="143"/>
    </row>
    <row r="421" spans="1:25" ht="13">
      <c r="A421" s="156"/>
      <c r="B421" s="142"/>
      <c r="C421" s="143"/>
      <c r="D421" s="144"/>
      <c r="E421" s="143"/>
      <c r="F421" s="143"/>
      <c r="G421" s="143"/>
      <c r="H421" s="143"/>
      <c r="I421" s="143"/>
      <c r="J421" s="143"/>
      <c r="K421" s="143"/>
      <c r="L421" s="143"/>
      <c r="M421" s="143"/>
      <c r="N421" s="143"/>
      <c r="O421" s="143"/>
      <c r="P421" s="143"/>
      <c r="Q421" s="143"/>
      <c r="R421" s="143"/>
      <c r="S421" s="143"/>
      <c r="T421" s="143"/>
      <c r="U421" s="143"/>
      <c r="V421" s="143"/>
      <c r="W421" s="143"/>
      <c r="X421" s="143"/>
      <c r="Y421" s="143"/>
    </row>
    <row r="422" spans="1:25" ht="13">
      <c r="A422" s="156"/>
      <c r="B422" s="142"/>
      <c r="C422" s="143"/>
      <c r="D422" s="144"/>
      <c r="E422" s="143"/>
      <c r="F422" s="143"/>
      <c r="G422" s="143"/>
      <c r="H422" s="143"/>
      <c r="I422" s="143"/>
      <c r="J422" s="143"/>
      <c r="K422" s="143"/>
      <c r="L422" s="143"/>
      <c r="M422" s="143"/>
      <c r="N422" s="143"/>
      <c r="O422" s="143"/>
      <c r="P422" s="143"/>
      <c r="Q422" s="143"/>
      <c r="R422" s="143"/>
      <c r="S422" s="143"/>
      <c r="T422" s="143"/>
      <c r="U422" s="143"/>
      <c r="V422" s="143"/>
      <c r="W422" s="143"/>
      <c r="X422" s="143"/>
      <c r="Y422" s="143"/>
    </row>
    <row r="423" spans="1:25" ht="13">
      <c r="A423" s="156"/>
      <c r="B423" s="142"/>
      <c r="C423" s="143"/>
      <c r="D423" s="144"/>
      <c r="E423" s="143"/>
      <c r="F423" s="143"/>
      <c r="G423" s="143"/>
      <c r="H423" s="143"/>
      <c r="I423" s="143"/>
      <c r="J423" s="143"/>
      <c r="K423" s="143"/>
      <c r="L423" s="143"/>
      <c r="M423" s="143"/>
      <c r="N423" s="143"/>
      <c r="O423" s="143"/>
      <c r="P423" s="143"/>
      <c r="Q423" s="143"/>
      <c r="R423" s="143"/>
      <c r="S423" s="143"/>
      <c r="T423" s="143"/>
      <c r="U423" s="143"/>
      <c r="V423" s="143"/>
      <c r="W423" s="143"/>
      <c r="X423" s="143"/>
      <c r="Y423" s="143"/>
    </row>
    <row r="424" spans="1:25" ht="13">
      <c r="A424" s="156"/>
      <c r="B424" s="142"/>
      <c r="C424" s="143"/>
      <c r="D424" s="144"/>
      <c r="E424" s="143"/>
      <c r="F424" s="143"/>
      <c r="G424" s="143"/>
      <c r="H424" s="143"/>
      <c r="I424" s="143"/>
      <c r="J424" s="143"/>
      <c r="K424" s="143"/>
      <c r="L424" s="143"/>
      <c r="M424" s="143"/>
      <c r="N424" s="143"/>
      <c r="O424" s="143"/>
      <c r="P424" s="143"/>
      <c r="Q424" s="143"/>
      <c r="R424" s="143"/>
      <c r="S424" s="143"/>
      <c r="T424" s="143"/>
      <c r="U424" s="143"/>
      <c r="V424" s="143"/>
      <c r="W424" s="143"/>
      <c r="X424" s="143"/>
      <c r="Y424" s="143"/>
    </row>
    <row r="425" spans="1:25" ht="13">
      <c r="A425" s="156"/>
      <c r="B425" s="142"/>
      <c r="C425" s="143"/>
      <c r="D425" s="144"/>
      <c r="E425" s="143"/>
      <c r="F425" s="143"/>
      <c r="G425" s="143"/>
      <c r="H425" s="143"/>
      <c r="I425" s="143"/>
      <c r="J425" s="143"/>
      <c r="K425" s="143"/>
      <c r="L425" s="143"/>
      <c r="M425" s="143"/>
      <c r="N425" s="143"/>
      <c r="O425" s="143"/>
      <c r="P425" s="143"/>
      <c r="Q425" s="143"/>
      <c r="R425" s="143"/>
      <c r="S425" s="143"/>
      <c r="T425" s="143"/>
      <c r="U425" s="143"/>
      <c r="V425" s="143"/>
      <c r="W425" s="143"/>
      <c r="X425" s="143"/>
      <c r="Y425" s="143"/>
    </row>
    <row r="426" spans="1:25" ht="13">
      <c r="A426" s="156"/>
      <c r="B426" s="142"/>
      <c r="C426" s="143"/>
      <c r="D426" s="144"/>
      <c r="E426" s="143"/>
      <c r="F426" s="143"/>
      <c r="G426" s="143"/>
      <c r="H426" s="143"/>
      <c r="I426" s="143"/>
      <c r="J426" s="143"/>
      <c r="K426" s="143"/>
      <c r="L426" s="143"/>
      <c r="M426" s="143"/>
      <c r="N426" s="143"/>
      <c r="O426" s="143"/>
      <c r="P426" s="143"/>
      <c r="Q426" s="143"/>
      <c r="R426" s="143"/>
      <c r="S426" s="143"/>
      <c r="T426" s="143"/>
      <c r="U426" s="143"/>
      <c r="V426" s="143"/>
      <c r="W426" s="143"/>
      <c r="X426" s="143"/>
      <c r="Y426" s="143"/>
    </row>
    <row r="427" spans="1:25" ht="13">
      <c r="A427" s="156"/>
      <c r="B427" s="142"/>
      <c r="C427" s="143"/>
      <c r="D427" s="144"/>
      <c r="E427" s="143"/>
      <c r="F427" s="143"/>
      <c r="G427" s="143"/>
      <c r="H427" s="143"/>
      <c r="I427" s="143"/>
      <c r="J427" s="143"/>
      <c r="K427" s="143"/>
      <c r="L427" s="143"/>
      <c r="M427" s="143"/>
      <c r="N427" s="143"/>
      <c r="O427" s="143"/>
      <c r="P427" s="143"/>
      <c r="Q427" s="143"/>
      <c r="R427" s="143"/>
      <c r="S427" s="143"/>
      <c r="T427" s="143"/>
      <c r="U427" s="143"/>
      <c r="V427" s="143"/>
      <c r="W427" s="143"/>
      <c r="X427" s="143"/>
      <c r="Y427" s="143"/>
    </row>
    <row r="428" spans="1:25" ht="13">
      <c r="A428" s="156"/>
      <c r="B428" s="142"/>
      <c r="C428" s="143"/>
      <c r="D428" s="144"/>
      <c r="E428" s="143"/>
      <c r="F428" s="143"/>
      <c r="G428" s="143"/>
      <c r="H428" s="143"/>
      <c r="I428" s="143"/>
      <c r="J428" s="143"/>
      <c r="K428" s="143"/>
      <c r="L428" s="143"/>
      <c r="M428" s="143"/>
      <c r="N428" s="143"/>
      <c r="O428" s="143"/>
      <c r="P428" s="143"/>
      <c r="Q428" s="143"/>
      <c r="R428" s="143"/>
      <c r="S428" s="143"/>
      <c r="T428" s="143"/>
      <c r="U428" s="143"/>
      <c r="V428" s="143"/>
      <c r="W428" s="143"/>
      <c r="X428" s="143"/>
      <c r="Y428" s="143"/>
    </row>
    <row r="429" spans="1:25" ht="13">
      <c r="A429" s="156"/>
      <c r="B429" s="142"/>
      <c r="C429" s="143"/>
      <c r="D429" s="144"/>
      <c r="E429" s="143"/>
      <c r="F429" s="143"/>
      <c r="G429" s="143"/>
      <c r="H429" s="143"/>
      <c r="I429" s="143"/>
      <c r="J429" s="143"/>
      <c r="K429" s="143"/>
      <c r="L429" s="143"/>
      <c r="M429" s="143"/>
      <c r="N429" s="143"/>
      <c r="O429" s="143"/>
      <c r="P429" s="143"/>
      <c r="Q429" s="143"/>
      <c r="R429" s="143"/>
      <c r="S429" s="143"/>
      <c r="T429" s="143"/>
      <c r="U429" s="143"/>
      <c r="V429" s="143"/>
      <c r="W429" s="143"/>
      <c r="X429" s="143"/>
      <c r="Y429" s="143"/>
    </row>
    <row r="430" spans="1:25" ht="13">
      <c r="A430" s="156"/>
      <c r="B430" s="142"/>
      <c r="C430" s="143"/>
      <c r="D430" s="144"/>
      <c r="E430" s="143"/>
      <c r="F430" s="143"/>
      <c r="G430" s="143"/>
      <c r="H430" s="143"/>
      <c r="I430" s="143"/>
      <c r="J430" s="143"/>
      <c r="K430" s="143"/>
      <c r="L430" s="143"/>
      <c r="M430" s="143"/>
      <c r="N430" s="143"/>
      <c r="O430" s="143"/>
      <c r="P430" s="143"/>
      <c r="Q430" s="143"/>
      <c r="R430" s="143"/>
      <c r="S430" s="143"/>
      <c r="T430" s="143"/>
      <c r="U430" s="143"/>
      <c r="V430" s="143"/>
      <c r="W430" s="143"/>
      <c r="X430" s="143"/>
      <c r="Y430" s="143"/>
    </row>
    <row r="431" spans="1:25" ht="13">
      <c r="A431" s="156"/>
      <c r="B431" s="142"/>
      <c r="C431" s="143"/>
      <c r="D431" s="144"/>
      <c r="E431" s="143"/>
      <c r="F431" s="143"/>
      <c r="G431" s="143"/>
      <c r="H431" s="143"/>
      <c r="I431" s="143"/>
      <c r="J431" s="143"/>
      <c r="K431" s="143"/>
      <c r="L431" s="143"/>
      <c r="M431" s="143"/>
      <c r="N431" s="143"/>
      <c r="O431" s="143"/>
      <c r="P431" s="143"/>
      <c r="Q431" s="143"/>
      <c r="R431" s="143"/>
      <c r="S431" s="143"/>
      <c r="T431" s="143"/>
      <c r="U431" s="143"/>
      <c r="V431" s="143"/>
      <c r="W431" s="143"/>
      <c r="X431" s="143"/>
      <c r="Y431" s="143"/>
    </row>
    <row r="432" spans="1:25" ht="13">
      <c r="A432" s="156"/>
      <c r="B432" s="142"/>
      <c r="C432" s="143"/>
      <c r="D432" s="144"/>
      <c r="E432" s="143"/>
      <c r="F432" s="143"/>
      <c r="G432" s="143"/>
      <c r="H432" s="143"/>
      <c r="I432" s="143"/>
      <c r="J432" s="143"/>
      <c r="K432" s="143"/>
      <c r="L432" s="143"/>
      <c r="M432" s="143"/>
      <c r="N432" s="143"/>
      <c r="O432" s="143"/>
      <c r="P432" s="143"/>
      <c r="Q432" s="143"/>
      <c r="R432" s="143"/>
      <c r="S432" s="143"/>
      <c r="T432" s="143"/>
      <c r="U432" s="143"/>
      <c r="V432" s="143"/>
      <c r="W432" s="143"/>
      <c r="X432" s="143"/>
      <c r="Y432" s="143"/>
    </row>
    <row r="433" spans="1:25" ht="13">
      <c r="A433" s="156"/>
      <c r="B433" s="142"/>
      <c r="C433" s="143"/>
      <c r="D433" s="144"/>
      <c r="E433" s="143"/>
      <c r="F433" s="143"/>
      <c r="G433" s="143"/>
      <c r="H433" s="143"/>
      <c r="I433" s="143"/>
      <c r="J433" s="143"/>
      <c r="K433" s="143"/>
      <c r="L433" s="143"/>
      <c r="M433" s="143"/>
      <c r="N433" s="143"/>
      <c r="O433" s="143"/>
      <c r="P433" s="143"/>
      <c r="Q433" s="143"/>
      <c r="R433" s="143"/>
      <c r="S433" s="143"/>
      <c r="T433" s="143"/>
      <c r="U433" s="143"/>
      <c r="V433" s="143"/>
      <c r="W433" s="143"/>
      <c r="X433" s="143"/>
      <c r="Y433" s="143"/>
    </row>
    <row r="434" spans="1:25" ht="13">
      <c r="A434" s="156"/>
      <c r="B434" s="142"/>
      <c r="C434" s="143"/>
      <c r="D434" s="144"/>
      <c r="E434" s="143"/>
      <c r="F434" s="143"/>
      <c r="G434" s="143"/>
      <c r="H434" s="143"/>
      <c r="I434" s="143"/>
      <c r="J434" s="143"/>
      <c r="K434" s="143"/>
      <c r="L434" s="143"/>
      <c r="M434" s="143"/>
      <c r="N434" s="143"/>
      <c r="O434" s="143"/>
      <c r="P434" s="143"/>
      <c r="Q434" s="143"/>
      <c r="R434" s="143"/>
      <c r="S434" s="143"/>
      <c r="T434" s="143"/>
      <c r="U434" s="143"/>
      <c r="V434" s="143"/>
      <c r="W434" s="143"/>
      <c r="X434" s="143"/>
      <c r="Y434" s="143"/>
    </row>
    <row r="435" spans="1:25" ht="13">
      <c r="A435" s="156"/>
      <c r="B435" s="142"/>
      <c r="C435" s="143"/>
      <c r="D435" s="144"/>
      <c r="E435" s="143"/>
      <c r="F435" s="143"/>
      <c r="G435" s="143"/>
      <c r="H435" s="143"/>
      <c r="I435" s="143"/>
      <c r="J435" s="143"/>
      <c r="K435" s="143"/>
      <c r="L435" s="143"/>
      <c r="M435" s="143"/>
      <c r="N435" s="143"/>
      <c r="O435" s="143"/>
      <c r="P435" s="143"/>
      <c r="Q435" s="143"/>
      <c r="R435" s="143"/>
      <c r="S435" s="143"/>
      <c r="T435" s="143"/>
      <c r="U435" s="143"/>
      <c r="V435" s="143"/>
      <c r="W435" s="143"/>
      <c r="X435" s="143"/>
      <c r="Y435" s="143"/>
    </row>
    <row r="436" spans="1:25" ht="13">
      <c r="A436" s="156"/>
      <c r="B436" s="142"/>
      <c r="C436" s="143"/>
      <c r="D436" s="144"/>
      <c r="E436" s="143"/>
      <c r="F436" s="143"/>
      <c r="G436" s="143"/>
      <c r="H436" s="143"/>
      <c r="I436" s="143"/>
      <c r="J436" s="143"/>
      <c r="K436" s="143"/>
      <c r="L436" s="143"/>
      <c r="M436" s="143"/>
      <c r="N436" s="143"/>
      <c r="O436" s="143"/>
      <c r="P436" s="143"/>
      <c r="Q436" s="143"/>
      <c r="R436" s="143"/>
      <c r="S436" s="143"/>
      <c r="T436" s="143"/>
      <c r="U436" s="143"/>
      <c r="V436" s="143"/>
      <c r="W436" s="143"/>
      <c r="X436" s="143"/>
      <c r="Y436" s="143"/>
    </row>
    <row r="437" spans="1:25" ht="13">
      <c r="A437" s="156"/>
      <c r="B437" s="142"/>
      <c r="C437" s="143"/>
      <c r="D437" s="144"/>
      <c r="E437" s="143"/>
      <c r="F437" s="143"/>
      <c r="G437" s="143"/>
      <c r="H437" s="143"/>
      <c r="I437" s="143"/>
      <c r="J437" s="143"/>
      <c r="K437" s="143"/>
      <c r="L437" s="143"/>
      <c r="M437" s="143"/>
      <c r="N437" s="143"/>
      <c r="O437" s="143"/>
      <c r="P437" s="143"/>
      <c r="Q437" s="143"/>
      <c r="R437" s="143"/>
      <c r="S437" s="143"/>
      <c r="T437" s="143"/>
      <c r="U437" s="143"/>
      <c r="V437" s="143"/>
      <c r="W437" s="143"/>
      <c r="X437" s="143"/>
      <c r="Y437" s="143"/>
    </row>
    <row r="438" spans="1:25" ht="13">
      <c r="A438" s="156"/>
      <c r="B438" s="142"/>
      <c r="C438" s="143"/>
      <c r="D438" s="144"/>
      <c r="E438" s="143"/>
      <c r="F438" s="143"/>
      <c r="G438" s="143"/>
      <c r="H438" s="143"/>
      <c r="I438" s="143"/>
      <c r="J438" s="143"/>
      <c r="K438" s="143"/>
      <c r="L438" s="143"/>
      <c r="M438" s="143"/>
      <c r="N438" s="143"/>
      <c r="O438" s="143"/>
      <c r="P438" s="143"/>
      <c r="Q438" s="143"/>
      <c r="R438" s="143"/>
      <c r="S438" s="143"/>
      <c r="T438" s="143"/>
      <c r="U438" s="143"/>
      <c r="V438" s="143"/>
      <c r="W438" s="143"/>
      <c r="X438" s="143"/>
      <c r="Y438" s="143"/>
    </row>
    <row r="439" spans="1:25" ht="13">
      <c r="A439" s="156"/>
      <c r="B439" s="142"/>
      <c r="C439" s="143"/>
      <c r="D439" s="144"/>
      <c r="E439" s="143"/>
      <c r="F439" s="143"/>
      <c r="G439" s="143"/>
      <c r="H439" s="143"/>
      <c r="I439" s="143"/>
      <c r="J439" s="143"/>
      <c r="K439" s="143"/>
      <c r="L439" s="143"/>
      <c r="M439" s="143"/>
      <c r="N439" s="143"/>
      <c r="O439" s="143"/>
      <c r="P439" s="143"/>
      <c r="Q439" s="143"/>
      <c r="R439" s="143"/>
      <c r="S439" s="143"/>
      <c r="T439" s="143"/>
      <c r="U439" s="143"/>
      <c r="V439" s="143"/>
      <c r="W439" s="143"/>
      <c r="X439" s="143"/>
      <c r="Y439" s="143"/>
    </row>
    <row r="440" spans="1:25" ht="13">
      <c r="A440" s="156"/>
      <c r="B440" s="142"/>
      <c r="C440" s="143"/>
      <c r="D440" s="144"/>
      <c r="E440" s="143"/>
      <c r="F440" s="143"/>
      <c r="G440" s="143"/>
      <c r="H440" s="143"/>
      <c r="I440" s="143"/>
      <c r="J440" s="143"/>
      <c r="K440" s="143"/>
      <c r="L440" s="143"/>
      <c r="M440" s="143"/>
      <c r="N440" s="143"/>
      <c r="O440" s="143"/>
      <c r="P440" s="143"/>
      <c r="Q440" s="143"/>
      <c r="R440" s="143"/>
      <c r="S440" s="143"/>
      <c r="T440" s="143"/>
      <c r="U440" s="143"/>
      <c r="V440" s="143"/>
      <c r="W440" s="143"/>
      <c r="X440" s="143"/>
      <c r="Y440" s="143"/>
    </row>
    <row r="441" spans="1:25" ht="13">
      <c r="A441" s="156"/>
      <c r="B441" s="142"/>
      <c r="C441" s="143"/>
      <c r="D441" s="144"/>
      <c r="E441" s="143"/>
      <c r="F441" s="143"/>
      <c r="G441" s="143"/>
      <c r="H441" s="143"/>
      <c r="I441" s="143"/>
      <c r="J441" s="143"/>
      <c r="K441" s="143"/>
      <c r="L441" s="143"/>
      <c r="M441" s="143"/>
      <c r="N441" s="143"/>
      <c r="O441" s="143"/>
      <c r="P441" s="143"/>
      <c r="Q441" s="143"/>
      <c r="R441" s="143"/>
      <c r="S441" s="143"/>
      <c r="T441" s="143"/>
      <c r="U441" s="143"/>
      <c r="V441" s="143"/>
      <c r="W441" s="143"/>
      <c r="X441" s="143"/>
      <c r="Y441" s="143"/>
    </row>
    <row r="442" spans="1:25" ht="13">
      <c r="A442" s="156"/>
      <c r="B442" s="142"/>
      <c r="C442" s="143"/>
      <c r="D442" s="144"/>
      <c r="E442" s="143"/>
      <c r="F442" s="143"/>
      <c r="G442" s="143"/>
      <c r="H442" s="143"/>
      <c r="I442" s="143"/>
      <c r="J442" s="143"/>
      <c r="K442" s="143"/>
      <c r="L442" s="143"/>
      <c r="M442" s="143"/>
      <c r="N442" s="143"/>
      <c r="O442" s="143"/>
      <c r="P442" s="143"/>
      <c r="Q442" s="143"/>
      <c r="R442" s="143"/>
      <c r="S442" s="143"/>
      <c r="T442" s="143"/>
      <c r="U442" s="143"/>
      <c r="V442" s="143"/>
      <c r="W442" s="143"/>
      <c r="X442" s="143"/>
      <c r="Y442" s="143"/>
    </row>
    <row r="443" spans="1:25" ht="13">
      <c r="A443" s="156"/>
      <c r="B443" s="142"/>
      <c r="C443" s="143"/>
      <c r="D443" s="144"/>
      <c r="E443" s="143"/>
      <c r="F443" s="143"/>
      <c r="G443" s="143"/>
      <c r="H443" s="143"/>
      <c r="I443" s="143"/>
      <c r="J443" s="143"/>
      <c r="K443" s="143"/>
      <c r="L443" s="143"/>
      <c r="M443" s="143"/>
      <c r="N443" s="143"/>
      <c r="O443" s="143"/>
      <c r="P443" s="143"/>
      <c r="Q443" s="143"/>
      <c r="R443" s="143"/>
      <c r="S443" s="143"/>
      <c r="T443" s="143"/>
      <c r="U443" s="143"/>
      <c r="V443" s="143"/>
      <c r="W443" s="143"/>
      <c r="X443" s="143"/>
      <c r="Y443" s="143"/>
    </row>
    <row r="444" spans="1:25" ht="13">
      <c r="A444" s="156"/>
      <c r="B444" s="142"/>
      <c r="C444" s="143"/>
      <c r="D444" s="144"/>
      <c r="E444" s="143"/>
      <c r="F444" s="143"/>
      <c r="G444" s="143"/>
      <c r="H444" s="143"/>
      <c r="I444" s="143"/>
      <c r="J444" s="143"/>
      <c r="K444" s="143"/>
      <c r="L444" s="143"/>
      <c r="M444" s="143"/>
      <c r="N444" s="143"/>
      <c r="O444" s="143"/>
      <c r="P444" s="143"/>
      <c r="Q444" s="143"/>
      <c r="R444" s="143"/>
      <c r="S444" s="143"/>
      <c r="T444" s="143"/>
      <c r="U444" s="143"/>
      <c r="V444" s="143"/>
      <c r="W444" s="143"/>
      <c r="X444" s="143"/>
      <c r="Y444" s="143"/>
    </row>
    <row r="445" spans="1:25" ht="13">
      <c r="A445" s="156"/>
      <c r="B445" s="142"/>
      <c r="C445" s="143"/>
      <c r="D445" s="144"/>
      <c r="E445" s="143"/>
      <c r="F445" s="143"/>
      <c r="G445" s="143"/>
      <c r="H445" s="143"/>
      <c r="I445" s="143"/>
      <c r="J445" s="143"/>
      <c r="K445" s="143"/>
      <c r="L445" s="143"/>
      <c r="M445" s="143"/>
      <c r="N445" s="143"/>
      <c r="O445" s="143"/>
      <c r="P445" s="143"/>
      <c r="Q445" s="143"/>
      <c r="R445" s="143"/>
      <c r="S445" s="143"/>
      <c r="T445" s="143"/>
      <c r="U445" s="143"/>
      <c r="V445" s="143"/>
      <c r="W445" s="143"/>
      <c r="X445" s="143"/>
      <c r="Y445" s="143"/>
    </row>
    <row r="446" spans="1:25" ht="13">
      <c r="A446" s="156"/>
      <c r="B446" s="142"/>
      <c r="C446" s="143"/>
      <c r="D446" s="144"/>
      <c r="E446" s="143"/>
      <c r="F446" s="143"/>
      <c r="G446" s="143"/>
      <c r="H446" s="143"/>
      <c r="I446" s="143"/>
      <c r="J446" s="143"/>
      <c r="K446" s="143"/>
      <c r="L446" s="143"/>
      <c r="M446" s="143"/>
      <c r="N446" s="143"/>
      <c r="O446" s="143"/>
      <c r="P446" s="143"/>
      <c r="Q446" s="143"/>
      <c r="R446" s="143"/>
      <c r="S446" s="143"/>
      <c r="T446" s="143"/>
      <c r="U446" s="143"/>
      <c r="V446" s="143"/>
      <c r="W446" s="143"/>
      <c r="X446" s="143"/>
      <c r="Y446" s="143"/>
    </row>
    <row r="447" spans="1:25" ht="13">
      <c r="A447" s="156"/>
      <c r="B447" s="142"/>
      <c r="C447" s="143"/>
      <c r="D447" s="144"/>
      <c r="E447" s="143"/>
      <c r="F447" s="143"/>
      <c r="G447" s="143"/>
      <c r="H447" s="143"/>
      <c r="I447" s="143"/>
      <c r="J447" s="143"/>
      <c r="K447" s="143"/>
      <c r="L447" s="143"/>
      <c r="M447" s="143"/>
      <c r="N447" s="143"/>
      <c r="O447" s="143"/>
      <c r="P447" s="143"/>
      <c r="Q447" s="143"/>
      <c r="R447" s="143"/>
      <c r="S447" s="143"/>
      <c r="T447" s="143"/>
      <c r="U447" s="143"/>
      <c r="V447" s="143"/>
      <c r="W447" s="143"/>
      <c r="X447" s="143"/>
      <c r="Y447" s="143"/>
    </row>
    <row r="448" spans="1:25" ht="13">
      <c r="A448" s="156"/>
      <c r="B448" s="142"/>
      <c r="C448" s="143"/>
      <c r="D448" s="144"/>
      <c r="E448" s="143"/>
      <c r="F448" s="143"/>
      <c r="G448" s="143"/>
      <c r="H448" s="143"/>
      <c r="I448" s="143"/>
      <c r="J448" s="143"/>
      <c r="K448" s="143"/>
      <c r="L448" s="143"/>
      <c r="M448" s="143"/>
      <c r="N448" s="143"/>
      <c r="O448" s="143"/>
      <c r="P448" s="143"/>
      <c r="Q448" s="143"/>
      <c r="R448" s="143"/>
      <c r="S448" s="143"/>
      <c r="T448" s="143"/>
      <c r="U448" s="143"/>
      <c r="V448" s="143"/>
      <c r="W448" s="143"/>
      <c r="X448" s="143"/>
      <c r="Y448" s="143"/>
    </row>
    <row r="449" spans="1:25" ht="13">
      <c r="A449" s="156"/>
      <c r="B449" s="142"/>
      <c r="C449" s="143"/>
      <c r="D449" s="144"/>
      <c r="E449" s="143"/>
      <c r="F449" s="143"/>
      <c r="G449" s="143"/>
      <c r="H449" s="143"/>
      <c r="I449" s="143"/>
      <c r="J449" s="143"/>
      <c r="K449" s="143"/>
      <c r="L449" s="143"/>
      <c r="M449" s="143"/>
      <c r="N449" s="143"/>
      <c r="O449" s="143"/>
      <c r="P449" s="143"/>
      <c r="Q449" s="143"/>
      <c r="R449" s="143"/>
      <c r="S449" s="143"/>
      <c r="T449" s="143"/>
      <c r="U449" s="143"/>
      <c r="V449" s="143"/>
      <c r="W449" s="143"/>
      <c r="X449" s="143"/>
      <c r="Y449" s="143"/>
    </row>
    <row r="450" spans="1:25" ht="13">
      <c r="A450" s="156"/>
      <c r="B450" s="142"/>
      <c r="C450" s="143"/>
      <c r="D450" s="144"/>
      <c r="E450" s="143"/>
      <c r="F450" s="143"/>
      <c r="G450" s="143"/>
      <c r="H450" s="143"/>
      <c r="I450" s="143"/>
      <c r="J450" s="143"/>
      <c r="K450" s="143"/>
      <c r="L450" s="143"/>
      <c r="M450" s="143"/>
      <c r="N450" s="143"/>
      <c r="O450" s="143"/>
      <c r="P450" s="143"/>
      <c r="Q450" s="143"/>
      <c r="R450" s="143"/>
      <c r="S450" s="143"/>
      <c r="T450" s="143"/>
      <c r="U450" s="143"/>
      <c r="V450" s="143"/>
      <c r="W450" s="143"/>
      <c r="X450" s="143"/>
      <c r="Y450" s="143"/>
    </row>
    <row r="451" spans="1:25" ht="13">
      <c r="A451" s="156"/>
      <c r="B451" s="142"/>
      <c r="C451" s="143"/>
      <c r="D451" s="144"/>
      <c r="E451" s="143"/>
      <c r="F451" s="143"/>
      <c r="G451" s="143"/>
      <c r="H451" s="143"/>
      <c r="I451" s="143"/>
      <c r="J451" s="143"/>
      <c r="K451" s="143"/>
      <c r="L451" s="143"/>
      <c r="M451" s="143"/>
      <c r="N451" s="143"/>
      <c r="O451" s="143"/>
      <c r="P451" s="143"/>
      <c r="Q451" s="143"/>
      <c r="R451" s="143"/>
      <c r="S451" s="143"/>
      <c r="T451" s="143"/>
      <c r="U451" s="143"/>
      <c r="V451" s="143"/>
      <c r="W451" s="143"/>
      <c r="X451" s="143"/>
      <c r="Y451" s="143"/>
    </row>
    <row r="452" spans="1:25" ht="13">
      <c r="A452" s="156"/>
      <c r="B452" s="142"/>
      <c r="C452" s="143"/>
      <c r="D452" s="144"/>
      <c r="E452" s="143"/>
      <c r="F452" s="143"/>
      <c r="G452" s="143"/>
      <c r="H452" s="143"/>
      <c r="I452" s="143"/>
      <c r="J452" s="143"/>
      <c r="K452" s="143"/>
      <c r="L452" s="143"/>
      <c r="M452" s="143"/>
      <c r="N452" s="143"/>
      <c r="O452" s="143"/>
      <c r="P452" s="143"/>
      <c r="Q452" s="143"/>
      <c r="R452" s="143"/>
      <c r="S452" s="143"/>
      <c r="T452" s="143"/>
      <c r="U452" s="143"/>
      <c r="V452" s="143"/>
      <c r="W452" s="143"/>
      <c r="X452" s="143"/>
      <c r="Y452" s="143"/>
    </row>
    <row r="453" spans="1:25" ht="13">
      <c r="A453" s="156"/>
      <c r="B453" s="142"/>
      <c r="C453" s="143"/>
      <c r="D453" s="144"/>
      <c r="E453" s="143"/>
      <c r="F453" s="143"/>
      <c r="G453" s="143"/>
      <c r="H453" s="143"/>
      <c r="I453" s="143"/>
      <c r="J453" s="143"/>
      <c r="K453" s="143"/>
      <c r="L453" s="143"/>
      <c r="M453" s="143"/>
      <c r="N453" s="143"/>
      <c r="O453" s="143"/>
      <c r="P453" s="143"/>
      <c r="Q453" s="143"/>
      <c r="R453" s="143"/>
      <c r="S453" s="143"/>
      <c r="T453" s="143"/>
      <c r="U453" s="143"/>
      <c r="V453" s="143"/>
      <c r="W453" s="143"/>
      <c r="X453" s="143"/>
      <c r="Y453" s="143"/>
    </row>
    <row r="454" spans="1:25" ht="13">
      <c r="A454" s="156"/>
      <c r="B454" s="142"/>
      <c r="C454" s="143"/>
      <c r="D454" s="144"/>
      <c r="E454" s="143"/>
      <c r="F454" s="143"/>
      <c r="G454" s="143"/>
      <c r="H454" s="143"/>
      <c r="I454" s="143"/>
      <c r="J454" s="143"/>
      <c r="K454" s="143"/>
      <c r="L454" s="143"/>
      <c r="M454" s="143"/>
      <c r="N454" s="143"/>
      <c r="O454" s="143"/>
      <c r="P454" s="143"/>
      <c r="Q454" s="143"/>
      <c r="R454" s="143"/>
      <c r="S454" s="143"/>
      <c r="T454" s="143"/>
      <c r="U454" s="143"/>
      <c r="V454" s="143"/>
      <c r="W454" s="143"/>
      <c r="X454" s="143"/>
      <c r="Y454" s="143"/>
    </row>
    <row r="455" spans="1:25" ht="13">
      <c r="A455" s="156"/>
      <c r="B455" s="142"/>
      <c r="C455" s="143"/>
      <c r="D455" s="144"/>
      <c r="E455" s="143"/>
      <c r="F455" s="143"/>
      <c r="G455" s="143"/>
      <c r="H455" s="143"/>
      <c r="I455" s="143"/>
      <c r="J455" s="143"/>
      <c r="K455" s="143"/>
      <c r="L455" s="143"/>
      <c r="M455" s="143"/>
      <c r="N455" s="143"/>
      <c r="O455" s="143"/>
      <c r="P455" s="143"/>
      <c r="Q455" s="143"/>
      <c r="R455" s="143"/>
      <c r="S455" s="143"/>
      <c r="T455" s="143"/>
      <c r="U455" s="143"/>
      <c r="V455" s="143"/>
      <c r="W455" s="143"/>
      <c r="X455" s="143"/>
      <c r="Y455" s="143"/>
    </row>
    <row r="456" spans="1:25" ht="13">
      <c r="A456" s="156"/>
      <c r="B456" s="142"/>
      <c r="C456" s="143"/>
      <c r="D456" s="144"/>
      <c r="E456" s="143"/>
      <c r="F456" s="143"/>
      <c r="G456" s="143"/>
      <c r="H456" s="143"/>
      <c r="I456" s="143"/>
      <c r="J456" s="143"/>
      <c r="K456" s="143"/>
      <c r="L456" s="143"/>
      <c r="M456" s="143"/>
      <c r="N456" s="143"/>
      <c r="O456" s="143"/>
      <c r="P456" s="143"/>
      <c r="Q456" s="143"/>
      <c r="R456" s="143"/>
      <c r="S456" s="143"/>
      <c r="T456" s="143"/>
      <c r="U456" s="143"/>
      <c r="V456" s="143"/>
      <c r="W456" s="143"/>
      <c r="X456" s="143"/>
      <c r="Y456" s="143"/>
    </row>
    <row r="457" spans="1:25" ht="13">
      <c r="A457" s="156"/>
      <c r="B457" s="142"/>
      <c r="C457" s="143"/>
      <c r="D457" s="144"/>
      <c r="E457" s="143"/>
      <c r="F457" s="143"/>
      <c r="G457" s="143"/>
      <c r="H457" s="143"/>
      <c r="I457" s="143"/>
      <c r="J457" s="143"/>
      <c r="K457" s="143"/>
      <c r="L457" s="143"/>
      <c r="M457" s="143"/>
      <c r="N457" s="143"/>
      <c r="O457" s="143"/>
      <c r="P457" s="143"/>
      <c r="Q457" s="143"/>
      <c r="R457" s="143"/>
      <c r="S457" s="143"/>
      <c r="T457" s="143"/>
      <c r="U457" s="143"/>
      <c r="V457" s="143"/>
      <c r="W457" s="143"/>
      <c r="X457" s="143"/>
      <c r="Y457" s="143"/>
    </row>
    <row r="458" spans="1:25" ht="13">
      <c r="A458" s="156"/>
      <c r="B458" s="142"/>
      <c r="C458" s="143"/>
      <c r="D458" s="144"/>
      <c r="E458" s="143"/>
      <c r="F458" s="143"/>
      <c r="G458" s="143"/>
      <c r="H458" s="143"/>
      <c r="I458" s="143"/>
      <c r="J458" s="143"/>
      <c r="K458" s="143"/>
      <c r="L458" s="143"/>
      <c r="M458" s="143"/>
      <c r="N458" s="143"/>
      <c r="O458" s="143"/>
      <c r="P458" s="143"/>
      <c r="Q458" s="143"/>
      <c r="R458" s="143"/>
      <c r="S458" s="143"/>
      <c r="T458" s="143"/>
      <c r="U458" s="143"/>
      <c r="V458" s="143"/>
      <c r="W458" s="143"/>
      <c r="X458" s="143"/>
      <c r="Y458" s="143"/>
    </row>
    <row r="459" spans="1:25" ht="13">
      <c r="A459" s="156"/>
      <c r="B459" s="142"/>
      <c r="C459" s="143"/>
      <c r="D459" s="144"/>
      <c r="E459" s="143"/>
      <c r="F459" s="143"/>
      <c r="G459" s="143"/>
      <c r="H459" s="143"/>
      <c r="I459" s="143"/>
      <c r="J459" s="143"/>
      <c r="K459" s="143"/>
      <c r="L459" s="143"/>
      <c r="M459" s="143"/>
      <c r="N459" s="143"/>
      <c r="O459" s="143"/>
      <c r="P459" s="143"/>
      <c r="Q459" s="143"/>
      <c r="R459" s="143"/>
      <c r="S459" s="143"/>
      <c r="T459" s="143"/>
      <c r="U459" s="143"/>
      <c r="V459" s="143"/>
      <c r="W459" s="143"/>
      <c r="X459" s="143"/>
      <c r="Y459" s="143"/>
    </row>
    <row r="460" spans="1:25" ht="13">
      <c r="A460" s="156"/>
      <c r="B460" s="142"/>
      <c r="C460" s="143"/>
      <c r="D460" s="144"/>
      <c r="E460" s="143"/>
      <c r="F460" s="143"/>
      <c r="G460" s="143"/>
      <c r="H460" s="143"/>
      <c r="I460" s="143"/>
      <c r="J460" s="143"/>
      <c r="K460" s="143"/>
      <c r="L460" s="143"/>
      <c r="M460" s="143"/>
      <c r="N460" s="143"/>
      <c r="O460" s="143"/>
      <c r="P460" s="143"/>
      <c r="Q460" s="143"/>
      <c r="R460" s="143"/>
      <c r="S460" s="143"/>
      <c r="T460" s="143"/>
      <c r="U460" s="143"/>
      <c r="V460" s="143"/>
      <c r="W460" s="143"/>
      <c r="X460" s="143"/>
      <c r="Y460" s="143"/>
    </row>
    <row r="461" spans="1:25" ht="13">
      <c r="A461" s="156"/>
      <c r="B461" s="142"/>
      <c r="C461" s="143"/>
      <c r="D461" s="144"/>
      <c r="E461" s="143"/>
      <c r="F461" s="143"/>
      <c r="G461" s="143"/>
      <c r="H461" s="143"/>
      <c r="I461" s="143"/>
      <c r="J461" s="143"/>
      <c r="K461" s="143"/>
      <c r="L461" s="143"/>
      <c r="M461" s="143"/>
      <c r="N461" s="143"/>
      <c r="O461" s="143"/>
      <c r="P461" s="143"/>
      <c r="Q461" s="143"/>
      <c r="R461" s="143"/>
      <c r="S461" s="143"/>
      <c r="T461" s="143"/>
      <c r="U461" s="143"/>
      <c r="V461" s="143"/>
      <c r="W461" s="143"/>
      <c r="X461" s="143"/>
      <c r="Y461" s="143"/>
    </row>
    <row r="462" spans="1:25" ht="13">
      <c r="A462" s="156"/>
      <c r="B462" s="142"/>
      <c r="C462" s="143"/>
      <c r="D462" s="144"/>
      <c r="E462" s="143"/>
      <c r="F462" s="143"/>
      <c r="G462" s="143"/>
      <c r="H462" s="143"/>
      <c r="I462" s="143"/>
      <c r="J462" s="143"/>
      <c r="K462" s="143"/>
      <c r="L462" s="143"/>
      <c r="M462" s="143"/>
      <c r="N462" s="143"/>
      <c r="O462" s="143"/>
      <c r="P462" s="143"/>
      <c r="Q462" s="143"/>
      <c r="R462" s="143"/>
      <c r="S462" s="143"/>
      <c r="T462" s="143"/>
      <c r="U462" s="143"/>
      <c r="V462" s="143"/>
      <c r="W462" s="143"/>
      <c r="X462" s="143"/>
      <c r="Y462" s="143"/>
    </row>
    <row r="463" spans="1:25" ht="13">
      <c r="A463" s="156"/>
      <c r="B463" s="142"/>
      <c r="C463" s="143"/>
      <c r="D463" s="144"/>
      <c r="E463" s="143"/>
      <c r="F463" s="143"/>
      <c r="G463" s="143"/>
      <c r="H463" s="143"/>
      <c r="I463" s="143"/>
      <c r="J463" s="143"/>
      <c r="K463" s="143"/>
      <c r="L463" s="143"/>
      <c r="M463" s="143"/>
      <c r="N463" s="143"/>
      <c r="O463" s="143"/>
      <c r="P463" s="143"/>
      <c r="Q463" s="143"/>
      <c r="R463" s="143"/>
      <c r="S463" s="143"/>
      <c r="T463" s="143"/>
      <c r="U463" s="143"/>
      <c r="V463" s="143"/>
      <c r="W463" s="143"/>
      <c r="X463" s="143"/>
      <c r="Y463" s="143"/>
    </row>
    <row r="464" spans="1:25" ht="13">
      <c r="A464" s="156"/>
      <c r="B464" s="142"/>
      <c r="C464" s="143"/>
      <c r="D464" s="144"/>
      <c r="E464" s="143"/>
      <c r="F464" s="143"/>
      <c r="G464" s="143"/>
      <c r="H464" s="143"/>
      <c r="I464" s="143"/>
      <c r="J464" s="143"/>
      <c r="K464" s="143"/>
      <c r="L464" s="143"/>
      <c r="M464" s="143"/>
      <c r="N464" s="143"/>
      <c r="O464" s="143"/>
      <c r="P464" s="143"/>
      <c r="Q464" s="143"/>
      <c r="R464" s="143"/>
      <c r="S464" s="143"/>
      <c r="T464" s="143"/>
      <c r="U464" s="143"/>
      <c r="V464" s="143"/>
      <c r="W464" s="143"/>
      <c r="X464" s="143"/>
      <c r="Y464" s="143"/>
    </row>
    <row r="465" spans="1:25" ht="13">
      <c r="A465" s="156"/>
      <c r="B465" s="142"/>
      <c r="C465" s="143"/>
      <c r="D465" s="144"/>
      <c r="E465" s="143"/>
      <c r="F465" s="143"/>
      <c r="G465" s="143"/>
      <c r="H465" s="143"/>
      <c r="I465" s="143"/>
      <c r="J465" s="143"/>
      <c r="K465" s="143"/>
      <c r="L465" s="143"/>
      <c r="M465" s="143"/>
      <c r="N465" s="143"/>
      <c r="O465" s="143"/>
      <c r="P465" s="143"/>
      <c r="Q465" s="143"/>
      <c r="R465" s="143"/>
      <c r="S465" s="143"/>
      <c r="T465" s="143"/>
      <c r="U465" s="143"/>
      <c r="V465" s="143"/>
      <c r="W465" s="143"/>
      <c r="X465" s="143"/>
      <c r="Y465" s="143"/>
    </row>
    <row r="466" spans="1:25" ht="13">
      <c r="A466" s="156"/>
      <c r="B466" s="142"/>
      <c r="C466" s="143"/>
      <c r="D466" s="144"/>
      <c r="E466" s="143"/>
      <c r="F466" s="143"/>
      <c r="G466" s="143"/>
      <c r="H466" s="143"/>
      <c r="I466" s="143"/>
      <c r="J466" s="143"/>
      <c r="K466" s="143"/>
      <c r="L466" s="143"/>
      <c r="M466" s="143"/>
      <c r="N466" s="143"/>
      <c r="O466" s="143"/>
      <c r="P466" s="143"/>
      <c r="Q466" s="143"/>
      <c r="R466" s="143"/>
      <c r="S466" s="143"/>
      <c r="T466" s="143"/>
      <c r="U466" s="143"/>
      <c r="V466" s="143"/>
      <c r="W466" s="143"/>
      <c r="X466" s="143"/>
      <c r="Y466" s="143"/>
    </row>
    <row r="467" spans="1:25" ht="13">
      <c r="A467" s="156"/>
      <c r="B467" s="142"/>
      <c r="C467" s="143"/>
      <c r="D467" s="144"/>
      <c r="E467" s="143"/>
      <c r="F467" s="143"/>
      <c r="G467" s="143"/>
      <c r="H467" s="143"/>
      <c r="I467" s="143"/>
      <c r="J467" s="143"/>
      <c r="K467" s="143"/>
      <c r="L467" s="143"/>
      <c r="M467" s="143"/>
      <c r="N467" s="143"/>
      <c r="O467" s="143"/>
      <c r="P467" s="143"/>
      <c r="Q467" s="143"/>
      <c r="R467" s="143"/>
      <c r="S467" s="143"/>
      <c r="T467" s="143"/>
      <c r="U467" s="143"/>
      <c r="V467" s="143"/>
      <c r="W467" s="143"/>
      <c r="X467" s="143"/>
      <c r="Y467" s="143"/>
    </row>
    <row r="468" spans="1:25" ht="13">
      <c r="A468" s="156"/>
      <c r="B468" s="142"/>
      <c r="C468" s="143"/>
      <c r="D468" s="144"/>
      <c r="E468" s="143"/>
      <c r="F468" s="143"/>
      <c r="G468" s="143"/>
      <c r="H468" s="143"/>
      <c r="I468" s="143"/>
      <c r="J468" s="143"/>
      <c r="K468" s="143"/>
      <c r="L468" s="143"/>
      <c r="M468" s="143"/>
      <c r="N468" s="143"/>
      <c r="O468" s="143"/>
      <c r="P468" s="143"/>
      <c r="Q468" s="143"/>
      <c r="R468" s="143"/>
      <c r="S468" s="143"/>
      <c r="T468" s="143"/>
      <c r="U468" s="143"/>
      <c r="V468" s="143"/>
      <c r="W468" s="143"/>
      <c r="X468" s="143"/>
      <c r="Y468" s="143"/>
    </row>
    <row r="469" spans="1:25" ht="13">
      <c r="A469" s="156"/>
      <c r="B469" s="142"/>
      <c r="C469" s="143"/>
      <c r="D469" s="144"/>
      <c r="E469" s="143"/>
      <c r="F469" s="143"/>
      <c r="G469" s="143"/>
      <c r="H469" s="143"/>
      <c r="I469" s="143"/>
      <c r="J469" s="143"/>
      <c r="K469" s="143"/>
      <c r="L469" s="143"/>
      <c r="M469" s="143"/>
      <c r="N469" s="143"/>
      <c r="O469" s="143"/>
      <c r="P469" s="143"/>
      <c r="Q469" s="143"/>
      <c r="R469" s="143"/>
      <c r="S469" s="143"/>
      <c r="T469" s="143"/>
      <c r="U469" s="143"/>
      <c r="V469" s="143"/>
      <c r="W469" s="143"/>
      <c r="X469" s="143"/>
      <c r="Y469" s="143"/>
    </row>
    <row r="470" spans="1:25" ht="13">
      <c r="A470" s="156"/>
      <c r="B470" s="142"/>
      <c r="C470" s="143"/>
      <c r="D470" s="144"/>
      <c r="E470" s="143"/>
      <c r="F470" s="143"/>
      <c r="G470" s="143"/>
      <c r="H470" s="143"/>
      <c r="I470" s="143"/>
      <c r="J470" s="143"/>
      <c r="K470" s="143"/>
      <c r="L470" s="143"/>
      <c r="M470" s="143"/>
      <c r="N470" s="143"/>
      <c r="O470" s="143"/>
      <c r="P470" s="143"/>
      <c r="Q470" s="143"/>
      <c r="R470" s="143"/>
      <c r="S470" s="143"/>
      <c r="T470" s="143"/>
      <c r="U470" s="143"/>
      <c r="V470" s="143"/>
      <c r="W470" s="143"/>
      <c r="X470" s="143"/>
      <c r="Y470" s="143"/>
    </row>
    <row r="471" spans="1:25" ht="13">
      <c r="A471" s="156"/>
      <c r="B471" s="142"/>
      <c r="C471" s="143"/>
      <c r="D471" s="144"/>
      <c r="E471" s="143"/>
      <c r="F471" s="143"/>
      <c r="G471" s="143"/>
      <c r="H471" s="143"/>
      <c r="I471" s="143"/>
      <c r="J471" s="143"/>
      <c r="K471" s="143"/>
      <c r="L471" s="143"/>
      <c r="M471" s="143"/>
      <c r="N471" s="143"/>
      <c r="O471" s="143"/>
      <c r="P471" s="143"/>
      <c r="Q471" s="143"/>
      <c r="R471" s="143"/>
      <c r="S471" s="143"/>
      <c r="T471" s="143"/>
      <c r="U471" s="143"/>
      <c r="V471" s="143"/>
      <c r="W471" s="143"/>
      <c r="X471" s="143"/>
      <c r="Y471" s="143"/>
    </row>
    <row r="472" spans="1:25" ht="13">
      <c r="A472" s="156"/>
      <c r="B472" s="142"/>
      <c r="C472" s="143"/>
      <c r="D472" s="144"/>
      <c r="E472" s="143"/>
      <c r="F472" s="143"/>
      <c r="G472" s="143"/>
      <c r="H472" s="143"/>
      <c r="I472" s="143"/>
      <c r="J472" s="143"/>
      <c r="K472" s="143"/>
      <c r="L472" s="143"/>
      <c r="M472" s="143"/>
      <c r="N472" s="143"/>
      <c r="O472" s="143"/>
      <c r="P472" s="143"/>
      <c r="Q472" s="143"/>
      <c r="R472" s="143"/>
      <c r="S472" s="143"/>
      <c r="T472" s="143"/>
      <c r="U472" s="143"/>
      <c r="V472" s="143"/>
      <c r="W472" s="143"/>
      <c r="X472" s="143"/>
      <c r="Y472" s="143"/>
    </row>
    <row r="473" spans="1:25" ht="13">
      <c r="A473" s="156"/>
      <c r="B473" s="142"/>
      <c r="C473" s="143"/>
      <c r="D473" s="144"/>
      <c r="E473" s="143"/>
      <c r="F473" s="143"/>
      <c r="G473" s="143"/>
      <c r="H473" s="143"/>
      <c r="I473" s="143"/>
      <c r="J473" s="143"/>
      <c r="K473" s="143"/>
      <c r="L473" s="143"/>
      <c r="M473" s="143"/>
      <c r="N473" s="143"/>
      <c r="O473" s="143"/>
      <c r="P473" s="143"/>
      <c r="Q473" s="143"/>
      <c r="R473" s="143"/>
      <c r="S473" s="143"/>
      <c r="T473" s="143"/>
      <c r="U473" s="143"/>
      <c r="V473" s="143"/>
      <c r="W473" s="143"/>
      <c r="X473" s="143"/>
      <c r="Y473" s="143"/>
    </row>
    <row r="474" spans="1:25" ht="13">
      <c r="A474" s="156"/>
      <c r="B474" s="142"/>
      <c r="C474" s="143"/>
      <c r="D474" s="144"/>
      <c r="E474" s="143"/>
      <c r="F474" s="143"/>
      <c r="G474" s="143"/>
      <c r="H474" s="143"/>
      <c r="I474" s="143"/>
      <c r="J474" s="143"/>
      <c r="K474" s="143"/>
      <c r="L474" s="143"/>
      <c r="M474" s="143"/>
      <c r="N474" s="143"/>
      <c r="O474" s="143"/>
      <c r="P474" s="143"/>
      <c r="Q474" s="143"/>
      <c r="R474" s="143"/>
      <c r="S474" s="143"/>
      <c r="T474" s="143"/>
      <c r="U474" s="143"/>
      <c r="V474" s="143"/>
      <c r="W474" s="143"/>
      <c r="X474" s="143"/>
      <c r="Y474" s="143"/>
    </row>
    <row r="475" spans="1:25" ht="13">
      <c r="A475" s="156"/>
      <c r="B475" s="142"/>
      <c r="C475" s="143"/>
      <c r="D475" s="144"/>
      <c r="E475" s="143"/>
      <c r="F475" s="143"/>
      <c r="G475" s="143"/>
      <c r="H475" s="143"/>
      <c r="I475" s="143"/>
      <c r="J475" s="143"/>
      <c r="K475" s="143"/>
      <c r="L475" s="143"/>
      <c r="M475" s="143"/>
      <c r="N475" s="143"/>
      <c r="O475" s="143"/>
      <c r="P475" s="143"/>
      <c r="Q475" s="143"/>
      <c r="R475" s="143"/>
      <c r="S475" s="143"/>
      <c r="T475" s="143"/>
      <c r="U475" s="143"/>
      <c r="V475" s="143"/>
      <c r="W475" s="143"/>
      <c r="X475" s="143"/>
      <c r="Y475" s="143"/>
    </row>
    <row r="476" spans="1:25" ht="13">
      <c r="A476" s="156"/>
      <c r="B476" s="142"/>
      <c r="C476" s="143"/>
      <c r="D476" s="144"/>
      <c r="E476" s="143"/>
      <c r="F476" s="143"/>
      <c r="G476" s="143"/>
      <c r="H476" s="143"/>
      <c r="I476" s="143"/>
      <c r="J476" s="143"/>
      <c r="K476" s="143"/>
      <c r="L476" s="143"/>
      <c r="M476" s="143"/>
      <c r="N476" s="143"/>
      <c r="O476" s="143"/>
      <c r="P476" s="143"/>
      <c r="Q476" s="143"/>
      <c r="R476" s="143"/>
      <c r="S476" s="143"/>
      <c r="T476" s="143"/>
      <c r="U476" s="143"/>
      <c r="V476" s="143"/>
      <c r="W476" s="143"/>
      <c r="X476" s="143"/>
      <c r="Y476" s="143"/>
    </row>
    <row r="477" spans="1:25" ht="13">
      <c r="A477" s="156"/>
      <c r="B477" s="142"/>
      <c r="C477" s="143"/>
      <c r="D477" s="144"/>
      <c r="E477" s="143"/>
      <c r="F477" s="143"/>
      <c r="G477" s="143"/>
      <c r="H477" s="143"/>
      <c r="I477" s="143"/>
      <c r="J477" s="143"/>
      <c r="K477" s="143"/>
      <c r="L477" s="143"/>
      <c r="M477" s="143"/>
      <c r="N477" s="143"/>
      <c r="O477" s="143"/>
      <c r="P477" s="143"/>
      <c r="Q477" s="143"/>
      <c r="R477" s="143"/>
      <c r="S477" s="143"/>
      <c r="T477" s="143"/>
      <c r="U477" s="143"/>
      <c r="V477" s="143"/>
      <c r="W477" s="143"/>
      <c r="X477" s="143"/>
      <c r="Y477" s="143"/>
    </row>
    <row r="478" spans="1:25" ht="13">
      <c r="A478" s="156"/>
      <c r="B478" s="142"/>
      <c r="C478" s="143"/>
      <c r="D478" s="144"/>
      <c r="E478" s="143"/>
      <c r="F478" s="143"/>
      <c r="G478" s="143"/>
      <c r="H478" s="143"/>
      <c r="I478" s="143"/>
      <c r="J478" s="143"/>
      <c r="K478" s="143"/>
      <c r="L478" s="143"/>
      <c r="M478" s="143"/>
      <c r="N478" s="143"/>
      <c r="O478" s="143"/>
      <c r="P478" s="143"/>
      <c r="Q478" s="143"/>
      <c r="R478" s="143"/>
      <c r="S478" s="143"/>
      <c r="T478" s="143"/>
      <c r="U478" s="143"/>
      <c r="V478" s="143"/>
      <c r="W478" s="143"/>
      <c r="X478" s="143"/>
      <c r="Y478" s="143"/>
    </row>
    <row r="479" spans="1:25" ht="13">
      <c r="A479" s="156"/>
      <c r="B479" s="142"/>
      <c r="C479" s="143"/>
      <c r="D479" s="144"/>
      <c r="E479" s="143"/>
      <c r="F479" s="143"/>
      <c r="G479" s="143"/>
      <c r="H479" s="143"/>
      <c r="I479" s="143"/>
      <c r="J479" s="143"/>
      <c r="K479" s="143"/>
      <c r="L479" s="143"/>
      <c r="M479" s="143"/>
      <c r="N479" s="143"/>
      <c r="O479" s="143"/>
      <c r="P479" s="143"/>
      <c r="Q479" s="143"/>
      <c r="R479" s="143"/>
      <c r="S479" s="143"/>
      <c r="T479" s="143"/>
      <c r="U479" s="143"/>
      <c r="V479" s="143"/>
      <c r="W479" s="143"/>
      <c r="X479" s="143"/>
      <c r="Y479" s="143"/>
    </row>
    <row r="480" spans="1:25" ht="13">
      <c r="A480" s="156"/>
      <c r="B480" s="142"/>
      <c r="C480" s="143"/>
      <c r="D480" s="144"/>
      <c r="E480" s="143"/>
      <c r="F480" s="143"/>
      <c r="G480" s="143"/>
      <c r="H480" s="143"/>
      <c r="I480" s="143"/>
      <c r="J480" s="143"/>
      <c r="K480" s="143"/>
      <c r="L480" s="143"/>
      <c r="M480" s="143"/>
      <c r="N480" s="143"/>
      <c r="O480" s="143"/>
      <c r="P480" s="143"/>
      <c r="Q480" s="143"/>
      <c r="R480" s="143"/>
      <c r="S480" s="143"/>
      <c r="T480" s="143"/>
      <c r="U480" s="143"/>
      <c r="V480" s="143"/>
      <c r="W480" s="143"/>
      <c r="X480" s="143"/>
      <c r="Y480" s="143"/>
    </row>
    <row r="481" spans="1:25" ht="13">
      <c r="A481" s="156"/>
      <c r="B481" s="142"/>
      <c r="C481" s="143"/>
      <c r="D481" s="144"/>
      <c r="E481" s="143"/>
      <c r="F481" s="143"/>
      <c r="G481" s="143"/>
      <c r="H481" s="143"/>
      <c r="I481" s="143"/>
      <c r="J481" s="143"/>
      <c r="K481" s="143"/>
      <c r="L481" s="143"/>
      <c r="M481" s="143"/>
      <c r="N481" s="143"/>
      <c r="O481" s="143"/>
      <c r="P481" s="143"/>
      <c r="Q481" s="143"/>
      <c r="R481" s="143"/>
      <c r="S481" s="143"/>
      <c r="T481" s="143"/>
      <c r="U481" s="143"/>
      <c r="V481" s="143"/>
      <c r="W481" s="143"/>
      <c r="X481" s="143"/>
      <c r="Y481" s="143"/>
    </row>
    <row r="482" spans="1:25" ht="13">
      <c r="A482" s="156"/>
      <c r="B482" s="142"/>
      <c r="C482" s="143"/>
      <c r="D482" s="144"/>
      <c r="E482" s="143"/>
      <c r="F482" s="143"/>
      <c r="G482" s="143"/>
      <c r="H482" s="143"/>
      <c r="I482" s="143"/>
      <c r="J482" s="143"/>
      <c r="K482" s="143"/>
      <c r="L482" s="143"/>
      <c r="M482" s="143"/>
      <c r="N482" s="143"/>
      <c r="O482" s="143"/>
      <c r="P482" s="143"/>
      <c r="Q482" s="143"/>
      <c r="R482" s="143"/>
      <c r="S482" s="143"/>
      <c r="T482" s="143"/>
      <c r="U482" s="143"/>
      <c r="V482" s="143"/>
      <c r="W482" s="143"/>
      <c r="X482" s="143"/>
      <c r="Y482" s="143"/>
    </row>
    <row r="483" spans="1:25" ht="13">
      <c r="A483" s="156"/>
      <c r="B483" s="142"/>
      <c r="C483" s="143"/>
      <c r="D483" s="144"/>
      <c r="E483" s="143"/>
      <c r="F483" s="143"/>
      <c r="G483" s="143"/>
      <c r="H483" s="143"/>
      <c r="I483" s="143"/>
      <c r="J483" s="143"/>
      <c r="K483" s="143"/>
      <c r="L483" s="143"/>
      <c r="M483" s="143"/>
      <c r="N483" s="143"/>
      <c r="O483" s="143"/>
      <c r="P483" s="143"/>
      <c r="Q483" s="143"/>
      <c r="R483" s="143"/>
      <c r="S483" s="143"/>
      <c r="T483" s="143"/>
      <c r="U483" s="143"/>
      <c r="V483" s="143"/>
      <c r="W483" s="143"/>
      <c r="X483" s="143"/>
      <c r="Y483" s="143"/>
    </row>
    <row r="484" spans="1:25" ht="13">
      <c r="A484" s="156"/>
      <c r="B484" s="142"/>
      <c r="C484" s="143"/>
      <c r="D484" s="144"/>
      <c r="E484" s="143"/>
      <c r="F484" s="143"/>
      <c r="G484" s="143"/>
      <c r="H484" s="143"/>
      <c r="I484" s="143"/>
      <c r="J484" s="143"/>
      <c r="K484" s="143"/>
      <c r="L484" s="143"/>
      <c r="M484" s="143"/>
      <c r="N484" s="143"/>
      <c r="O484" s="143"/>
      <c r="P484" s="143"/>
      <c r="Q484" s="143"/>
      <c r="R484" s="143"/>
      <c r="S484" s="143"/>
      <c r="T484" s="143"/>
      <c r="U484" s="143"/>
      <c r="V484" s="143"/>
      <c r="W484" s="143"/>
      <c r="X484" s="143"/>
      <c r="Y484" s="143"/>
    </row>
    <row r="485" spans="1:25" ht="13">
      <c r="A485" s="156"/>
      <c r="B485" s="142"/>
      <c r="C485" s="143"/>
      <c r="D485" s="144"/>
      <c r="E485" s="143"/>
      <c r="F485" s="143"/>
      <c r="G485" s="143"/>
      <c r="H485" s="143"/>
      <c r="I485" s="143"/>
      <c r="J485" s="143"/>
      <c r="K485" s="143"/>
      <c r="L485" s="143"/>
      <c r="M485" s="143"/>
      <c r="N485" s="143"/>
      <c r="O485" s="143"/>
      <c r="P485" s="143"/>
      <c r="Q485" s="143"/>
      <c r="R485" s="143"/>
      <c r="S485" s="143"/>
      <c r="T485" s="143"/>
      <c r="U485" s="143"/>
      <c r="V485" s="143"/>
      <c r="W485" s="143"/>
      <c r="X485" s="143"/>
      <c r="Y485" s="143"/>
    </row>
    <row r="486" spans="1:25" ht="13">
      <c r="A486" s="156"/>
      <c r="B486" s="142"/>
      <c r="C486" s="143"/>
      <c r="D486" s="144"/>
      <c r="E486" s="143"/>
      <c r="F486" s="143"/>
      <c r="G486" s="143"/>
      <c r="H486" s="143"/>
      <c r="I486" s="143"/>
      <c r="J486" s="143"/>
      <c r="K486" s="143"/>
      <c r="L486" s="143"/>
      <c r="M486" s="143"/>
      <c r="N486" s="143"/>
      <c r="O486" s="143"/>
      <c r="P486" s="143"/>
      <c r="Q486" s="143"/>
      <c r="R486" s="143"/>
      <c r="S486" s="143"/>
      <c r="T486" s="143"/>
      <c r="U486" s="143"/>
      <c r="V486" s="143"/>
      <c r="W486" s="143"/>
      <c r="X486" s="143"/>
      <c r="Y486" s="143"/>
    </row>
    <row r="487" spans="1:25" ht="13">
      <c r="A487" s="156"/>
      <c r="B487" s="142"/>
      <c r="C487" s="143"/>
      <c r="D487" s="144"/>
      <c r="E487" s="143"/>
      <c r="F487" s="143"/>
      <c r="G487" s="143"/>
      <c r="H487" s="143"/>
      <c r="I487" s="143"/>
      <c r="J487" s="143"/>
      <c r="K487" s="143"/>
      <c r="L487" s="143"/>
      <c r="M487" s="143"/>
      <c r="N487" s="143"/>
      <c r="O487" s="143"/>
      <c r="P487" s="143"/>
      <c r="Q487" s="143"/>
      <c r="R487" s="143"/>
      <c r="S487" s="143"/>
      <c r="T487" s="143"/>
      <c r="U487" s="143"/>
      <c r="V487" s="143"/>
      <c r="W487" s="143"/>
      <c r="X487" s="143"/>
      <c r="Y487" s="143"/>
    </row>
    <row r="488" spans="1:25" ht="13">
      <c r="A488" s="156"/>
      <c r="B488" s="142"/>
      <c r="C488" s="143"/>
      <c r="D488" s="144"/>
      <c r="E488" s="143"/>
      <c r="F488" s="143"/>
      <c r="G488" s="143"/>
      <c r="H488" s="143"/>
      <c r="I488" s="143"/>
      <c r="J488" s="143"/>
      <c r="K488" s="143"/>
      <c r="L488" s="143"/>
      <c r="M488" s="143"/>
      <c r="N488" s="143"/>
      <c r="O488" s="143"/>
      <c r="P488" s="143"/>
      <c r="Q488" s="143"/>
      <c r="R488" s="143"/>
      <c r="S488" s="143"/>
      <c r="T488" s="143"/>
      <c r="U488" s="143"/>
      <c r="V488" s="143"/>
      <c r="W488" s="143"/>
      <c r="X488" s="143"/>
      <c r="Y488" s="143"/>
    </row>
    <row r="489" spans="1:25" ht="13">
      <c r="A489" s="156"/>
      <c r="B489" s="142"/>
      <c r="C489" s="143"/>
      <c r="D489" s="144"/>
      <c r="E489" s="143"/>
      <c r="F489" s="143"/>
      <c r="G489" s="143"/>
      <c r="H489" s="143"/>
      <c r="I489" s="143"/>
      <c r="J489" s="143"/>
      <c r="K489" s="143"/>
      <c r="L489" s="143"/>
      <c r="M489" s="143"/>
      <c r="N489" s="143"/>
      <c r="O489" s="143"/>
      <c r="P489" s="143"/>
      <c r="Q489" s="143"/>
      <c r="R489" s="143"/>
      <c r="S489" s="143"/>
      <c r="T489" s="143"/>
      <c r="U489" s="143"/>
      <c r="V489" s="143"/>
      <c r="W489" s="143"/>
      <c r="X489" s="143"/>
      <c r="Y489" s="143"/>
    </row>
    <row r="490" spans="1:25" ht="13">
      <c r="A490" s="156"/>
      <c r="B490" s="142"/>
      <c r="C490" s="143"/>
      <c r="D490" s="144"/>
      <c r="E490" s="143"/>
      <c r="F490" s="143"/>
      <c r="G490" s="143"/>
      <c r="H490" s="143"/>
      <c r="I490" s="143"/>
      <c r="J490" s="143"/>
      <c r="K490" s="143"/>
      <c r="L490" s="143"/>
      <c r="M490" s="143"/>
      <c r="N490" s="143"/>
      <c r="O490" s="143"/>
      <c r="P490" s="143"/>
      <c r="Q490" s="143"/>
      <c r="R490" s="143"/>
      <c r="S490" s="143"/>
      <c r="T490" s="143"/>
      <c r="U490" s="143"/>
      <c r="V490" s="143"/>
      <c r="W490" s="143"/>
      <c r="X490" s="143"/>
      <c r="Y490" s="143"/>
    </row>
    <row r="491" spans="1:25" ht="13">
      <c r="A491" s="156"/>
      <c r="B491" s="142"/>
      <c r="C491" s="143"/>
      <c r="D491" s="144"/>
      <c r="E491" s="143"/>
      <c r="F491" s="143"/>
      <c r="G491" s="143"/>
      <c r="H491" s="143"/>
      <c r="I491" s="143"/>
      <c r="J491" s="143"/>
      <c r="K491" s="143"/>
      <c r="L491" s="143"/>
      <c r="M491" s="143"/>
      <c r="N491" s="143"/>
      <c r="O491" s="143"/>
      <c r="P491" s="143"/>
      <c r="Q491" s="143"/>
      <c r="R491" s="143"/>
      <c r="S491" s="143"/>
      <c r="T491" s="143"/>
      <c r="U491" s="143"/>
      <c r="V491" s="143"/>
      <c r="W491" s="143"/>
      <c r="X491" s="143"/>
      <c r="Y491" s="143"/>
    </row>
    <row r="492" spans="1:25" ht="13">
      <c r="A492" s="156"/>
      <c r="B492" s="142"/>
      <c r="C492" s="143"/>
      <c r="D492" s="144"/>
      <c r="E492" s="143"/>
      <c r="F492" s="143"/>
      <c r="G492" s="143"/>
      <c r="H492" s="143"/>
      <c r="I492" s="143"/>
      <c r="J492" s="143"/>
      <c r="K492" s="143"/>
      <c r="L492" s="143"/>
      <c r="M492" s="143"/>
      <c r="N492" s="143"/>
      <c r="O492" s="143"/>
      <c r="P492" s="143"/>
      <c r="Q492" s="143"/>
      <c r="R492" s="143"/>
      <c r="S492" s="143"/>
      <c r="T492" s="143"/>
      <c r="U492" s="143"/>
      <c r="V492" s="143"/>
      <c r="W492" s="143"/>
      <c r="X492" s="143"/>
      <c r="Y492" s="143"/>
    </row>
    <row r="493" spans="1:25" ht="13">
      <c r="A493" s="156"/>
      <c r="B493" s="142"/>
      <c r="C493" s="143"/>
      <c r="D493" s="144"/>
      <c r="E493" s="143"/>
      <c r="F493" s="143"/>
      <c r="G493" s="143"/>
      <c r="H493" s="143"/>
      <c r="I493" s="143"/>
      <c r="J493" s="143"/>
      <c r="K493" s="143"/>
      <c r="L493" s="143"/>
      <c r="M493" s="143"/>
      <c r="N493" s="143"/>
      <c r="O493" s="143"/>
      <c r="P493" s="143"/>
      <c r="Q493" s="143"/>
      <c r="R493" s="143"/>
      <c r="S493" s="143"/>
      <c r="T493" s="143"/>
      <c r="U493" s="143"/>
      <c r="V493" s="143"/>
      <c r="W493" s="143"/>
      <c r="X493" s="143"/>
      <c r="Y493" s="143"/>
    </row>
    <row r="494" spans="1:25" ht="13">
      <c r="A494" s="156"/>
      <c r="B494" s="142"/>
      <c r="C494" s="143"/>
      <c r="D494" s="144"/>
      <c r="E494" s="143"/>
      <c r="F494" s="143"/>
      <c r="G494" s="143"/>
      <c r="H494" s="143"/>
      <c r="I494" s="143"/>
      <c r="J494" s="143"/>
      <c r="K494" s="143"/>
      <c r="L494" s="143"/>
      <c r="M494" s="143"/>
      <c r="N494" s="143"/>
      <c r="O494" s="143"/>
      <c r="P494" s="143"/>
      <c r="Q494" s="143"/>
      <c r="R494" s="143"/>
      <c r="S494" s="143"/>
      <c r="T494" s="143"/>
      <c r="U494" s="143"/>
      <c r="V494" s="143"/>
      <c r="W494" s="143"/>
      <c r="X494" s="143"/>
      <c r="Y494" s="143"/>
    </row>
    <row r="495" spans="1:25" ht="13">
      <c r="A495" s="156"/>
      <c r="B495" s="142"/>
      <c r="C495" s="143"/>
      <c r="D495" s="144"/>
      <c r="E495" s="143"/>
      <c r="F495" s="143"/>
      <c r="G495" s="143"/>
      <c r="H495" s="143"/>
      <c r="I495" s="143"/>
      <c r="J495" s="143"/>
      <c r="K495" s="143"/>
      <c r="L495" s="143"/>
      <c r="M495" s="143"/>
      <c r="N495" s="143"/>
      <c r="O495" s="143"/>
      <c r="P495" s="143"/>
      <c r="Q495" s="143"/>
      <c r="R495" s="143"/>
      <c r="S495" s="143"/>
      <c r="T495" s="143"/>
      <c r="U495" s="143"/>
      <c r="V495" s="143"/>
      <c r="W495" s="143"/>
      <c r="X495" s="143"/>
      <c r="Y495" s="143"/>
    </row>
    <row r="496" spans="1:25" ht="13">
      <c r="A496" s="156"/>
      <c r="B496" s="142"/>
      <c r="C496" s="143"/>
      <c r="D496" s="144"/>
      <c r="E496" s="143"/>
      <c r="F496" s="143"/>
      <c r="G496" s="143"/>
      <c r="H496" s="143"/>
      <c r="I496" s="143"/>
      <c r="J496" s="143"/>
      <c r="K496" s="143"/>
      <c r="L496" s="143"/>
      <c r="M496" s="143"/>
      <c r="N496" s="143"/>
      <c r="O496" s="143"/>
      <c r="P496" s="143"/>
      <c r="Q496" s="143"/>
      <c r="R496" s="143"/>
      <c r="S496" s="143"/>
      <c r="T496" s="143"/>
      <c r="U496" s="143"/>
      <c r="V496" s="143"/>
      <c r="W496" s="143"/>
      <c r="X496" s="143"/>
      <c r="Y496" s="143"/>
    </row>
    <row r="497" spans="1:25" ht="13">
      <c r="A497" s="156"/>
      <c r="B497" s="142"/>
      <c r="C497" s="143"/>
      <c r="D497" s="144"/>
      <c r="E497" s="143"/>
      <c r="F497" s="143"/>
      <c r="G497" s="143"/>
      <c r="H497" s="143"/>
      <c r="I497" s="143"/>
      <c r="J497" s="143"/>
      <c r="K497" s="143"/>
      <c r="L497" s="143"/>
      <c r="M497" s="143"/>
      <c r="N497" s="143"/>
      <c r="O497" s="143"/>
      <c r="P497" s="143"/>
      <c r="Q497" s="143"/>
      <c r="R497" s="143"/>
      <c r="S497" s="143"/>
      <c r="T497" s="143"/>
      <c r="U497" s="143"/>
      <c r="V497" s="143"/>
      <c r="W497" s="143"/>
      <c r="X497" s="143"/>
      <c r="Y497" s="143"/>
    </row>
    <row r="498" spans="1:25" ht="13">
      <c r="A498" s="156"/>
      <c r="B498" s="142"/>
      <c r="C498" s="143"/>
      <c r="D498" s="144"/>
      <c r="E498" s="143"/>
      <c r="F498" s="143"/>
      <c r="G498" s="143"/>
      <c r="H498" s="143"/>
      <c r="I498" s="143"/>
      <c r="J498" s="143"/>
      <c r="K498" s="143"/>
      <c r="L498" s="143"/>
      <c r="M498" s="143"/>
      <c r="N498" s="143"/>
      <c r="O498" s="143"/>
      <c r="P498" s="143"/>
      <c r="Q498" s="143"/>
      <c r="R498" s="143"/>
      <c r="S498" s="143"/>
      <c r="T498" s="143"/>
      <c r="U498" s="143"/>
      <c r="V498" s="143"/>
      <c r="W498" s="143"/>
      <c r="X498" s="143"/>
      <c r="Y498" s="143"/>
    </row>
    <row r="499" spans="1:25" ht="13">
      <c r="A499" s="156"/>
      <c r="B499" s="142"/>
      <c r="C499" s="143"/>
      <c r="D499" s="144"/>
      <c r="E499" s="143"/>
      <c r="F499" s="143"/>
      <c r="G499" s="143"/>
      <c r="H499" s="143"/>
      <c r="I499" s="143"/>
      <c r="J499" s="143"/>
      <c r="K499" s="143"/>
      <c r="L499" s="143"/>
      <c r="M499" s="143"/>
      <c r="N499" s="143"/>
      <c r="O499" s="143"/>
      <c r="P499" s="143"/>
      <c r="Q499" s="143"/>
      <c r="R499" s="143"/>
      <c r="S499" s="143"/>
      <c r="T499" s="143"/>
      <c r="U499" s="143"/>
      <c r="V499" s="143"/>
      <c r="W499" s="143"/>
      <c r="X499" s="143"/>
      <c r="Y499" s="143"/>
    </row>
    <row r="500" spans="1:25" ht="13">
      <c r="A500" s="156"/>
      <c r="B500" s="142"/>
      <c r="C500" s="143"/>
      <c r="D500" s="144"/>
      <c r="E500" s="143"/>
      <c r="F500" s="143"/>
      <c r="G500" s="143"/>
      <c r="H500" s="143"/>
      <c r="I500" s="143"/>
      <c r="J500" s="143"/>
      <c r="K500" s="143"/>
      <c r="L500" s="143"/>
      <c r="M500" s="143"/>
      <c r="N500" s="143"/>
      <c r="O500" s="143"/>
      <c r="P500" s="143"/>
      <c r="Q500" s="143"/>
      <c r="R500" s="143"/>
      <c r="S500" s="143"/>
      <c r="T500" s="143"/>
      <c r="U500" s="143"/>
      <c r="V500" s="143"/>
      <c r="W500" s="143"/>
      <c r="X500" s="143"/>
      <c r="Y500" s="143"/>
    </row>
    <row r="501" spans="1:25" ht="13">
      <c r="A501" s="156"/>
      <c r="B501" s="142"/>
      <c r="C501" s="143"/>
      <c r="D501" s="144"/>
      <c r="E501" s="143"/>
      <c r="F501" s="143"/>
      <c r="G501" s="143"/>
      <c r="H501" s="143"/>
      <c r="I501" s="143"/>
      <c r="J501" s="143"/>
      <c r="K501" s="143"/>
      <c r="L501" s="143"/>
      <c r="M501" s="143"/>
      <c r="N501" s="143"/>
      <c r="O501" s="143"/>
      <c r="P501" s="143"/>
      <c r="Q501" s="143"/>
      <c r="R501" s="143"/>
      <c r="S501" s="143"/>
      <c r="T501" s="143"/>
      <c r="U501" s="143"/>
      <c r="V501" s="143"/>
      <c r="W501" s="143"/>
      <c r="X501" s="143"/>
      <c r="Y501" s="143"/>
    </row>
    <row r="502" spans="1:25" ht="13">
      <c r="A502" s="156"/>
      <c r="B502" s="142"/>
      <c r="C502" s="143"/>
      <c r="D502" s="144"/>
      <c r="E502" s="143"/>
      <c r="F502" s="143"/>
      <c r="G502" s="143"/>
      <c r="H502" s="143"/>
      <c r="I502" s="143"/>
      <c r="J502" s="143"/>
      <c r="K502" s="143"/>
      <c r="L502" s="143"/>
      <c r="M502" s="143"/>
      <c r="N502" s="143"/>
      <c r="O502" s="143"/>
      <c r="P502" s="143"/>
      <c r="Q502" s="143"/>
      <c r="R502" s="143"/>
      <c r="S502" s="143"/>
      <c r="T502" s="143"/>
      <c r="U502" s="143"/>
      <c r="V502" s="143"/>
      <c r="W502" s="143"/>
      <c r="X502" s="143"/>
      <c r="Y502" s="143"/>
    </row>
    <row r="503" spans="1:25" ht="13">
      <c r="A503" s="156"/>
      <c r="B503" s="142"/>
      <c r="C503" s="143"/>
      <c r="D503" s="144"/>
      <c r="E503" s="143"/>
      <c r="F503" s="143"/>
      <c r="G503" s="143"/>
      <c r="H503" s="143"/>
      <c r="I503" s="143"/>
      <c r="J503" s="143"/>
      <c r="K503" s="143"/>
      <c r="L503" s="143"/>
      <c r="M503" s="143"/>
      <c r="N503" s="143"/>
      <c r="O503" s="143"/>
      <c r="P503" s="143"/>
      <c r="Q503" s="143"/>
      <c r="R503" s="143"/>
      <c r="S503" s="143"/>
      <c r="T503" s="143"/>
      <c r="U503" s="143"/>
      <c r="V503" s="143"/>
      <c r="W503" s="143"/>
      <c r="X503" s="143"/>
      <c r="Y503" s="143"/>
    </row>
    <row r="504" spans="1:25" ht="13">
      <c r="A504" s="156"/>
      <c r="B504" s="142"/>
      <c r="C504" s="143"/>
      <c r="D504" s="144"/>
      <c r="E504" s="143"/>
      <c r="F504" s="143"/>
      <c r="G504" s="143"/>
      <c r="H504" s="143"/>
      <c r="I504" s="143"/>
      <c r="J504" s="143"/>
      <c r="K504" s="143"/>
      <c r="L504" s="143"/>
      <c r="M504" s="143"/>
      <c r="N504" s="143"/>
      <c r="O504" s="143"/>
      <c r="P504" s="143"/>
      <c r="Q504" s="143"/>
      <c r="R504" s="143"/>
      <c r="S504" s="143"/>
      <c r="T504" s="143"/>
      <c r="U504" s="143"/>
      <c r="V504" s="143"/>
      <c r="W504" s="143"/>
      <c r="X504" s="143"/>
      <c r="Y504" s="143"/>
    </row>
    <row r="505" spans="1:25" ht="13">
      <c r="A505" s="156"/>
      <c r="B505" s="142"/>
      <c r="C505" s="143"/>
      <c r="D505" s="144"/>
      <c r="E505" s="143"/>
      <c r="F505" s="143"/>
      <c r="G505" s="143"/>
      <c r="H505" s="143"/>
      <c r="I505" s="143"/>
      <c r="J505" s="143"/>
      <c r="K505" s="143"/>
      <c r="L505" s="143"/>
      <c r="M505" s="143"/>
      <c r="N505" s="143"/>
      <c r="O505" s="143"/>
      <c r="P505" s="143"/>
      <c r="Q505" s="143"/>
      <c r="R505" s="143"/>
      <c r="S505" s="143"/>
      <c r="T505" s="143"/>
      <c r="U505" s="143"/>
      <c r="V505" s="143"/>
      <c r="W505" s="143"/>
      <c r="X505" s="143"/>
      <c r="Y505" s="143"/>
    </row>
    <row r="506" spans="1:25" ht="13">
      <c r="A506" s="156"/>
      <c r="B506" s="142"/>
      <c r="C506" s="143"/>
      <c r="D506" s="144"/>
      <c r="E506" s="143"/>
      <c r="F506" s="143"/>
      <c r="G506" s="143"/>
      <c r="H506" s="143"/>
      <c r="I506" s="143"/>
      <c r="J506" s="143"/>
      <c r="K506" s="143"/>
      <c r="L506" s="143"/>
      <c r="M506" s="143"/>
      <c r="N506" s="143"/>
      <c r="O506" s="143"/>
      <c r="P506" s="143"/>
      <c r="Q506" s="143"/>
      <c r="R506" s="143"/>
      <c r="S506" s="143"/>
      <c r="T506" s="143"/>
      <c r="U506" s="143"/>
      <c r="V506" s="143"/>
      <c r="W506" s="143"/>
      <c r="X506" s="143"/>
      <c r="Y506" s="143"/>
    </row>
    <row r="507" spans="1:25" ht="13">
      <c r="A507" s="156"/>
      <c r="B507" s="142"/>
      <c r="C507" s="143"/>
      <c r="D507" s="144"/>
      <c r="E507" s="143"/>
      <c r="F507" s="143"/>
      <c r="G507" s="143"/>
      <c r="H507" s="143"/>
      <c r="I507" s="143"/>
      <c r="J507" s="143"/>
      <c r="K507" s="143"/>
      <c r="L507" s="143"/>
      <c r="M507" s="143"/>
      <c r="N507" s="143"/>
      <c r="O507" s="143"/>
      <c r="P507" s="143"/>
      <c r="Q507" s="143"/>
      <c r="R507" s="143"/>
      <c r="S507" s="143"/>
      <c r="T507" s="143"/>
      <c r="U507" s="143"/>
      <c r="V507" s="143"/>
      <c r="W507" s="143"/>
      <c r="X507" s="143"/>
      <c r="Y507" s="143"/>
    </row>
    <row r="508" spans="1:25" ht="13">
      <c r="A508" s="156"/>
      <c r="B508" s="142"/>
      <c r="C508" s="143"/>
      <c r="D508" s="144"/>
      <c r="E508" s="143"/>
      <c r="F508" s="143"/>
      <c r="G508" s="143"/>
      <c r="H508" s="143"/>
      <c r="I508" s="143"/>
      <c r="J508" s="143"/>
      <c r="K508" s="143"/>
      <c r="L508" s="143"/>
      <c r="M508" s="143"/>
      <c r="N508" s="143"/>
      <c r="O508" s="143"/>
      <c r="P508" s="143"/>
      <c r="Q508" s="143"/>
      <c r="R508" s="143"/>
      <c r="S508" s="143"/>
      <c r="T508" s="143"/>
      <c r="U508" s="143"/>
      <c r="V508" s="143"/>
      <c r="W508" s="143"/>
      <c r="X508" s="143"/>
      <c r="Y508" s="143"/>
    </row>
    <row r="509" spans="1:25" ht="13">
      <c r="A509" s="156"/>
      <c r="B509" s="142"/>
      <c r="C509" s="143"/>
      <c r="D509" s="144"/>
      <c r="E509" s="143"/>
      <c r="F509" s="143"/>
      <c r="G509" s="143"/>
      <c r="H509" s="143"/>
      <c r="I509" s="143"/>
      <c r="J509" s="143"/>
      <c r="K509" s="143"/>
      <c r="L509" s="143"/>
      <c r="M509" s="143"/>
      <c r="N509" s="143"/>
      <c r="O509" s="143"/>
      <c r="P509" s="143"/>
      <c r="Q509" s="143"/>
      <c r="R509" s="143"/>
      <c r="S509" s="143"/>
      <c r="T509" s="143"/>
      <c r="U509" s="143"/>
      <c r="V509" s="143"/>
      <c r="W509" s="143"/>
      <c r="X509" s="143"/>
      <c r="Y509" s="143"/>
    </row>
    <row r="510" spans="1:25" ht="13">
      <c r="A510" s="156"/>
      <c r="B510" s="142"/>
      <c r="C510" s="143"/>
      <c r="D510" s="144"/>
      <c r="E510" s="143"/>
      <c r="F510" s="143"/>
      <c r="G510" s="143"/>
      <c r="H510" s="143"/>
      <c r="I510" s="143"/>
      <c r="J510" s="143"/>
      <c r="K510" s="143"/>
      <c r="L510" s="143"/>
      <c r="M510" s="143"/>
      <c r="N510" s="143"/>
      <c r="O510" s="143"/>
      <c r="P510" s="143"/>
      <c r="Q510" s="143"/>
      <c r="R510" s="143"/>
      <c r="S510" s="143"/>
      <c r="T510" s="143"/>
      <c r="U510" s="143"/>
      <c r="V510" s="143"/>
      <c r="W510" s="143"/>
      <c r="X510" s="143"/>
      <c r="Y510" s="143"/>
    </row>
    <row r="511" spans="1:25" ht="13">
      <c r="A511" s="156"/>
      <c r="B511" s="142"/>
      <c r="C511" s="143"/>
      <c r="D511" s="144"/>
      <c r="E511" s="143"/>
      <c r="F511" s="143"/>
      <c r="G511" s="143"/>
      <c r="H511" s="143"/>
      <c r="I511" s="143"/>
      <c r="J511" s="143"/>
      <c r="K511" s="143"/>
      <c r="L511" s="143"/>
      <c r="M511" s="143"/>
      <c r="N511" s="143"/>
      <c r="O511" s="143"/>
      <c r="P511" s="143"/>
      <c r="Q511" s="143"/>
      <c r="R511" s="143"/>
      <c r="S511" s="143"/>
      <c r="T511" s="143"/>
      <c r="U511" s="143"/>
      <c r="V511" s="143"/>
      <c r="W511" s="143"/>
      <c r="X511" s="143"/>
      <c r="Y511" s="143"/>
    </row>
    <row r="512" spans="1:25" ht="13">
      <c r="A512" s="156"/>
      <c r="B512" s="142"/>
      <c r="C512" s="143"/>
      <c r="D512" s="144"/>
      <c r="E512" s="143"/>
      <c r="F512" s="143"/>
      <c r="G512" s="143"/>
      <c r="H512" s="143"/>
      <c r="I512" s="143"/>
      <c r="J512" s="143"/>
      <c r="K512" s="143"/>
      <c r="L512" s="143"/>
      <c r="M512" s="143"/>
      <c r="N512" s="143"/>
      <c r="O512" s="143"/>
      <c r="P512" s="143"/>
      <c r="Q512" s="143"/>
      <c r="R512" s="143"/>
      <c r="S512" s="143"/>
      <c r="T512" s="143"/>
      <c r="U512" s="143"/>
      <c r="V512" s="143"/>
      <c r="W512" s="143"/>
      <c r="X512" s="143"/>
      <c r="Y512" s="143"/>
    </row>
    <row r="513" spans="1:25" ht="13">
      <c r="A513" s="156"/>
      <c r="B513" s="142"/>
      <c r="C513" s="143"/>
      <c r="D513" s="144"/>
      <c r="E513" s="143"/>
      <c r="F513" s="143"/>
      <c r="G513" s="143"/>
      <c r="H513" s="143"/>
      <c r="I513" s="143"/>
      <c r="J513" s="143"/>
      <c r="K513" s="143"/>
      <c r="L513" s="143"/>
      <c r="M513" s="143"/>
      <c r="N513" s="143"/>
      <c r="O513" s="143"/>
      <c r="P513" s="143"/>
      <c r="Q513" s="143"/>
      <c r="R513" s="143"/>
      <c r="S513" s="143"/>
      <c r="T513" s="143"/>
      <c r="U513" s="143"/>
      <c r="V513" s="143"/>
      <c r="W513" s="143"/>
      <c r="X513" s="143"/>
      <c r="Y513" s="143"/>
    </row>
    <row r="514" spans="1:25" ht="13">
      <c r="A514" s="156"/>
      <c r="B514" s="142"/>
      <c r="C514" s="143"/>
      <c r="D514" s="144"/>
      <c r="E514" s="143"/>
      <c r="F514" s="143"/>
      <c r="G514" s="143"/>
      <c r="H514" s="143"/>
      <c r="I514" s="143"/>
      <c r="J514" s="143"/>
      <c r="K514" s="143"/>
      <c r="L514" s="143"/>
      <c r="M514" s="143"/>
      <c r="N514" s="143"/>
      <c r="O514" s="143"/>
      <c r="P514" s="143"/>
      <c r="Q514" s="143"/>
      <c r="R514" s="143"/>
      <c r="S514" s="143"/>
      <c r="T514" s="143"/>
      <c r="U514" s="143"/>
      <c r="V514" s="143"/>
      <c r="W514" s="143"/>
      <c r="X514" s="143"/>
      <c r="Y514" s="143"/>
    </row>
    <row r="515" spans="1:25" ht="13">
      <c r="A515" s="156"/>
      <c r="B515" s="142"/>
      <c r="C515" s="143"/>
      <c r="D515" s="144"/>
      <c r="E515" s="143"/>
      <c r="F515" s="143"/>
      <c r="G515" s="143"/>
      <c r="H515" s="143"/>
      <c r="I515" s="143"/>
      <c r="J515" s="143"/>
      <c r="K515" s="143"/>
      <c r="L515" s="143"/>
      <c r="M515" s="143"/>
      <c r="N515" s="143"/>
      <c r="O515" s="143"/>
      <c r="P515" s="143"/>
      <c r="Q515" s="143"/>
      <c r="R515" s="143"/>
      <c r="S515" s="143"/>
      <c r="T515" s="143"/>
      <c r="U515" s="143"/>
      <c r="V515" s="143"/>
      <c r="W515" s="143"/>
      <c r="X515" s="143"/>
      <c r="Y515" s="143"/>
    </row>
    <row r="516" spans="1:25" ht="13">
      <c r="A516" s="156"/>
      <c r="B516" s="142"/>
      <c r="C516" s="143"/>
      <c r="D516" s="144"/>
      <c r="E516" s="143"/>
      <c r="F516" s="143"/>
      <c r="G516" s="143"/>
      <c r="H516" s="143"/>
      <c r="I516" s="143"/>
      <c r="J516" s="143"/>
      <c r="K516" s="143"/>
      <c r="L516" s="143"/>
      <c r="M516" s="143"/>
      <c r="N516" s="143"/>
      <c r="O516" s="143"/>
      <c r="P516" s="143"/>
      <c r="Q516" s="143"/>
      <c r="R516" s="143"/>
      <c r="S516" s="143"/>
      <c r="T516" s="143"/>
      <c r="U516" s="143"/>
      <c r="V516" s="143"/>
      <c r="W516" s="143"/>
      <c r="X516" s="143"/>
      <c r="Y516" s="143"/>
    </row>
    <row r="517" spans="1:25" ht="13">
      <c r="A517" s="156"/>
      <c r="B517" s="142"/>
      <c r="C517" s="143"/>
      <c r="D517" s="144"/>
      <c r="E517" s="143"/>
      <c r="F517" s="143"/>
      <c r="G517" s="143"/>
      <c r="H517" s="143"/>
      <c r="I517" s="143"/>
      <c r="J517" s="143"/>
      <c r="K517" s="143"/>
      <c r="L517" s="143"/>
      <c r="M517" s="143"/>
      <c r="N517" s="143"/>
      <c r="O517" s="143"/>
      <c r="P517" s="143"/>
      <c r="Q517" s="143"/>
      <c r="R517" s="143"/>
      <c r="S517" s="143"/>
      <c r="T517" s="143"/>
      <c r="U517" s="143"/>
      <c r="V517" s="143"/>
      <c r="W517" s="143"/>
      <c r="X517" s="143"/>
      <c r="Y517" s="143"/>
    </row>
    <row r="518" spans="1:25" ht="13">
      <c r="A518" s="156"/>
      <c r="B518" s="142"/>
      <c r="C518" s="143"/>
      <c r="D518" s="144"/>
      <c r="E518" s="143"/>
      <c r="F518" s="143"/>
      <c r="G518" s="143"/>
      <c r="H518" s="143"/>
      <c r="I518" s="143"/>
      <c r="J518" s="143"/>
      <c r="K518" s="143"/>
      <c r="L518" s="143"/>
      <c r="M518" s="143"/>
      <c r="N518" s="143"/>
      <c r="O518" s="143"/>
      <c r="P518" s="143"/>
      <c r="Q518" s="143"/>
      <c r="R518" s="143"/>
      <c r="S518" s="143"/>
      <c r="T518" s="143"/>
      <c r="U518" s="143"/>
      <c r="V518" s="143"/>
      <c r="W518" s="143"/>
      <c r="X518" s="143"/>
      <c r="Y518" s="143"/>
    </row>
    <row r="519" spans="1:25" ht="13">
      <c r="A519" s="156"/>
      <c r="B519" s="142"/>
      <c r="C519" s="143"/>
      <c r="D519" s="144"/>
      <c r="E519" s="143"/>
      <c r="F519" s="143"/>
      <c r="G519" s="143"/>
      <c r="H519" s="143"/>
      <c r="I519" s="143"/>
      <c r="J519" s="143"/>
      <c r="K519" s="143"/>
      <c r="L519" s="143"/>
      <c r="M519" s="143"/>
      <c r="N519" s="143"/>
      <c r="O519" s="143"/>
      <c r="P519" s="143"/>
      <c r="Q519" s="143"/>
      <c r="R519" s="143"/>
      <c r="S519" s="143"/>
      <c r="T519" s="143"/>
      <c r="U519" s="143"/>
      <c r="V519" s="143"/>
      <c r="W519" s="143"/>
      <c r="X519" s="143"/>
      <c r="Y519" s="143"/>
    </row>
    <row r="520" spans="1:25" ht="13">
      <c r="A520" s="156"/>
      <c r="B520" s="142"/>
      <c r="C520" s="143"/>
      <c r="D520" s="144"/>
      <c r="E520" s="143"/>
      <c r="F520" s="143"/>
      <c r="G520" s="143"/>
      <c r="H520" s="143"/>
      <c r="I520" s="143"/>
      <c r="J520" s="143"/>
      <c r="K520" s="143"/>
      <c r="L520" s="143"/>
      <c r="M520" s="143"/>
      <c r="N520" s="143"/>
      <c r="O520" s="143"/>
      <c r="P520" s="143"/>
      <c r="Q520" s="143"/>
      <c r="R520" s="143"/>
      <c r="S520" s="143"/>
      <c r="T520" s="143"/>
      <c r="U520" s="143"/>
      <c r="V520" s="143"/>
      <c r="W520" s="143"/>
      <c r="X520" s="143"/>
      <c r="Y520" s="143"/>
    </row>
    <row r="521" spans="1:25" ht="13">
      <c r="A521" s="156"/>
      <c r="B521" s="142"/>
      <c r="C521" s="143"/>
      <c r="D521" s="144"/>
      <c r="E521" s="143"/>
      <c r="F521" s="143"/>
      <c r="G521" s="143"/>
      <c r="H521" s="143"/>
      <c r="I521" s="143"/>
      <c r="J521" s="143"/>
      <c r="K521" s="143"/>
      <c r="L521" s="143"/>
      <c r="M521" s="143"/>
      <c r="N521" s="143"/>
      <c r="O521" s="143"/>
      <c r="P521" s="143"/>
      <c r="Q521" s="143"/>
      <c r="R521" s="143"/>
      <c r="S521" s="143"/>
      <c r="T521" s="143"/>
      <c r="U521" s="143"/>
      <c r="V521" s="143"/>
      <c r="W521" s="143"/>
      <c r="X521" s="143"/>
      <c r="Y521" s="143"/>
    </row>
    <row r="522" spans="1:25" ht="13">
      <c r="A522" s="156"/>
      <c r="B522" s="142"/>
      <c r="C522" s="143"/>
      <c r="D522" s="144"/>
      <c r="E522" s="143"/>
      <c r="F522" s="143"/>
      <c r="G522" s="143"/>
      <c r="H522" s="143"/>
      <c r="I522" s="143"/>
      <c r="J522" s="143"/>
      <c r="K522" s="143"/>
      <c r="L522" s="143"/>
      <c r="M522" s="143"/>
      <c r="N522" s="143"/>
      <c r="O522" s="143"/>
      <c r="P522" s="143"/>
      <c r="Q522" s="143"/>
      <c r="R522" s="143"/>
      <c r="S522" s="143"/>
      <c r="T522" s="143"/>
      <c r="U522" s="143"/>
      <c r="V522" s="143"/>
      <c r="W522" s="143"/>
      <c r="X522" s="143"/>
      <c r="Y522" s="143"/>
    </row>
    <row r="523" spans="1:25" ht="13">
      <c r="A523" s="156"/>
      <c r="B523" s="142"/>
      <c r="C523" s="143"/>
      <c r="D523" s="144"/>
      <c r="E523" s="143"/>
      <c r="F523" s="143"/>
      <c r="G523" s="143"/>
      <c r="H523" s="143"/>
      <c r="I523" s="143"/>
      <c r="J523" s="143"/>
      <c r="K523" s="143"/>
      <c r="L523" s="143"/>
      <c r="M523" s="143"/>
      <c r="N523" s="143"/>
      <c r="O523" s="143"/>
      <c r="P523" s="143"/>
      <c r="Q523" s="143"/>
      <c r="R523" s="143"/>
      <c r="S523" s="143"/>
      <c r="T523" s="143"/>
      <c r="U523" s="143"/>
      <c r="V523" s="143"/>
      <c r="W523" s="143"/>
      <c r="X523" s="143"/>
      <c r="Y523" s="143"/>
    </row>
    <row r="524" spans="1:25" ht="13">
      <c r="A524" s="156"/>
      <c r="B524" s="142"/>
      <c r="C524" s="143"/>
      <c r="D524" s="144"/>
      <c r="E524" s="143"/>
      <c r="F524" s="143"/>
      <c r="G524" s="143"/>
      <c r="H524" s="143"/>
      <c r="I524" s="143"/>
      <c r="J524" s="143"/>
      <c r="K524" s="143"/>
      <c r="L524" s="143"/>
      <c r="M524" s="143"/>
      <c r="N524" s="143"/>
      <c r="O524" s="143"/>
      <c r="P524" s="143"/>
      <c r="Q524" s="143"/>
      <c r="R524" s="143"/>
      <c r="S524" s="143"/>
      <c r="T524" s="143"/>
      <c r="U524" s="143"/>
      <c r="V524" s="143"/>
      <c r="W524" s="143"/>
      <c r="X524" s="143"/>
      <c r="Y524" s="143"/>
    </row>
    <row r="525" spans="1:25" ht="13">
      <c r="A525" s="156"/>
      <c r="B525" s="142"/>
      <c r="C525" s="143"/>
      <c r="D525" s="144"/>
      <c r="E525" s="143"/>
      <c r="F525" s="143"/>
      <c r="G525" s="143"/>
      <c r="H525" s="143"/>
      <c r="I525" s="143"/>
      <c r="J525" s="143"/>
      <c r="K525" s="143"/>
      <c r="L525" s="143"/>
      <c r="M525" s="143"/>
      <c r="N525" s="143"/>
      <c r="O525" s="143"/>
      <c r="P525" s="143"/>
      <c r="Q525" s="143"/>
      <c r="R525" s="143"/>
      <c r="S525" s="143"/>
      <c r="T525" s="143"/>
      <c r="U525" s="143"/>
      <c r="V525" s="143"/>
      <c r="W525" s="143"/>
      <c r="X525" s="143"/>
      <c r="Y525" s="143"/>
    </row>
    <row r="526" spans="1:25" ht="13">
      <c r="A526" s="156"/>
      <c r="B526" s="142"/>
      <c r="C526" s="143"/>
      <c r="D526" s="144"/>
      <c r="E526" s="143"/>
      <c r="F526" s="143"/>
      <c r="G526" s="143"/>
      <c r="H526" s="143"/>
      <c r="I526" s="143"/>
      <c r="J526" s="143"/>
      <c r="K526" s="143"/>
      <c r="L526" s="143"/>
      <c r="M526" s="143"/>
      <c r="N526" s="143"/>
      <c r="O526" s="143"/>
      <c r="P526" s="143"/>
      <c r="Q526" s="143"/>
      <c r="R526" s="143"/>
      <c r="S526" s="143"/>
      <c r="T526" s="143"/>
      <c r="U526" s="143"/>
      <c r="V526" s="143"/>
      <c r="W526" s="143"/>
      <c r="X526" s="143"/>
      <c r="Y526" s="143"/>
    </row>
    <row r="527" spans="1:25" ht="13">
      <c r="A527" s="156"/>
      <c r="B527" s="142"/>
      <c r="C527" s="143"/>
      <c r="D527" s="144"/>
      <c r="E527" s="143"/>
      <c r="F527" s="143"/>
      <c r="G527" s="143"/>
      <c r="H527" s="143"/>
      <c r="I527" s="143"/>
      <c r="J527" s="143"/>
      <c r="K527" s="143"/>
      <c r="L527" s="143"/>
      <c r="M527" s="143"/>
      <c r="N527" s="143"/>
      <c r="O527" s="143"/>
      <c r="P527" s="143"/>
      <c r="Q527" s="143"/>
      <c r="R527" s="143"/>
      <c r="S527" s="143"/>
      <c r="T527" s="143"/>
      <c r="U527" s="143"/>
      <c r="V527" s="143"/>
      <c r="W527" s="143"/>
      <c r="X527" s="143"/>
      <c r="Y527" s="143"/>
    </row>
    <row r="528" spans="1:25" ht="13">
      <c r="A528" s="156"/>
      <c r="B528" s="142"/>
      <c r="C528" s="143"/>
      <c r="D528" s="144"/>
      <c r="E528" s="143"/>
      <c r="F528" s="143"/>
      <c r="G528" s="143"/>
      <c r="H528" s="143"/>
      <c r="I528" s="143"/>
      <c r="J528" s="143"/>
      <c r="K528" s="143"/>
      <c r="L528" s="143"/>
      <c r="M528" s="143"/>
      <c r="N528" s="143"/>
      <c r="O528" s="143"/>
      <c r="P528" s="143"/>
      <c r="Q528" s="143"/>
      <c r="R528" s="143"/>
      <c r="S528" s="143"/>
      <c r="T528" s="143"/>
      <c r="U528" s="143"/>
      <c r="V528" s="143"/>
      <c r="W528" s="143"/>
      <c r="X528" s="143"/>
      <c r="Y528" s="143"/>
    </row>
    <row r="529" spans="1:25" ht="13">
      <c r="A529" s="156"/>
      <c r="B529" s="142"/>
      <c r="C529" s="143"/>
      <c r="D529" s="144"/>
      <c r="E529" s="143"/>
      <c r="F529" s="143"/>
      <c r="G529" s="143"/>
      <c r="H529" s="143"/>
      <c r="I529" s="143"/>
      <c r="J529" s="143"/>
      <c r="K529" s="143"/>
      <c r="L529" s="143"/>
      <c r="M529" s="143"/>
      <c r="N529" s="143"/>
      <c r="O529" s="143"/>
      <c r="P529" s="143"/>
      <c r="Q529" s="143"/>
      <c r="R529" s="143"/>
      <c r="S529" s="143"/>
      <c r="T529" s="143"/>
      <c r="U529" s="143"/>
      <c r="V529" s="143"/>
      <c r="W529" s="143"/>
      <c r="X529" s="143"/>
      <c r="Y529" s="143"/>
    </row>
    <row r="530" spans="1:25" ht="13">
      <c r="A530" s="156"/>
      <c r="B530" s="142"/>
      <c r="C530" s="143"/>
      <c r="D530" s="144"/>
      <c r="E530" s="143"/>
      <c r="F530" s="143"/>
      <c r="G530" s="143"/>
      <c r="H530" s="143"/>
      <c r="I530" s="143"/>
      <c r="J530" s="143"/>
      <c r="K530" s="143"/>
      <c r="L530" s="143"/>
      <c r="M530" s="143"/>
      <c r="N530" s="143"/>
      <c r="O530" s="143"/>
      <c r="P530" s="143"/>
      <c r="Q530" s="143"/>
      <c r="R530" s="143"/>
      <c r="S530" s="143"/>
      <c r="T530" s="143"/>
      <c r="U530" s="143"/>
      <c r="V530" s="143"/>
      <c r="W530" s="143"/>
      <c r="X530" s="143"/>
      <c r="Y530" s="143"/>
    </row>
    <row r="531" spans="1:25" ht="13">
      <c r="A531" s="156"/>
      <c r="B531" s="142"/>
      <c r="C531" s="143"/>
      <c r="D531" s="144"/>
      <c r="E531" s="143"/>
      <c r="F531" s="143"/>
      <c r="G531" s="143"/>
      <c r="H531" s="143"/>
      <c r="I531" s="143"/>
      <c r="J531" s="143"/>
      <c r="K531" s="143"/>
      <c r="L531" s="143"/>
      <c r="M531" s="143"/>
      <c r="N531" s="143"/>
      <c r="O531" s="143"/>
      <c r="P531" s="143"/>
      <c r="Q531" s="143"/>
      <c r="R531" s="143"/>
      <c r="S531" s="143"/>
      <c r="T531" s="143"/>
      <c r="U531" s="143"/>
      <c r="V531" s="143"/>
      <c r="W531" s="143"/>
      <c r="X531" s="143"/>
      <c r="Y531" s="143"/>
    </row>
    <row r="532" spans="1:25" ht="13">
      <c r="A532" s="156"/>
      <c r="B532" s="142"/>
      <c r="C532" s="143"/>
      <c r="D532" s="144"/>
      <c r="E532" s="143"/>
      <c r="F532" s="143"/>
      <c r="G532" s="143"/>
      <c r="H532" s="143"/>
      <c r="I532" s="143"/>
      <c r="J532" s="143"/>
      <c r="K532" s="143"/>
      <c r="L532" s="143"/>
      <c r="M532" s="143"/>
      <c r="N532" s="143"/>
      <c r="O532" s="143"/>
      <c r="P532" s="143"/>
      <c r="Q532" s="143"/>
      <c r="R532" s="143"/>
      <c r="S532" s="143"/>
      <c r="T532" s="143"/>
      <c r="U532" s="143"/>
      <c r="V532" s="143"/>
      <c r="W532" s="143"/>
      <c r="X532" s="143"/>
      <c r="Y532" s="143"/>
    </row>
    <row r="533" spans="1:25" ht="13">
      <c r="A533" s="156"/>
      <c r="B533" s="142"/>
      <c r="C533" s="143"/>
      <c r="D533" s="144"/>
      <c r="E533" s="143"/>
      <c r="F533" s="143"/>
      <c r="G533" s="143"/>
      <c r="H533" s="143"/>
      <c r="I533" s="143"/>
      <c r="J533" s="143"/>
      <c r="K533" s="143"/>
      <c r="L533" s="143"/>
      <c r="M533" s="143"/>
      <c r="N533" s="143"/>
      <c r="O533" s="143"/>
      <c r="P533" s="143"/>
      <c r="Q533" s="143"/>
      <c r="R533" s="143"/>
      <c r="S533" s="143"/>
      <c r="T533" s="143"/>
      <c r="U533" s="143"/>
      <c r="V533" s="143"/>
      <c r="W533" s="143"/>
      <c r="X533" s="143"/>
      <c r="Y533" s="143"/>
    </row>
    <row r="534" spans="1:25" ht="13">
      <c r="A534" s="156"/>
      <c r="B534" s="142"/>
      <c r="C534" s="143"/>
      <c r="D534" s="144"/>
      <c r="E534" s="143"/>
      <c r="F534" s="143"/>
      <c r="G534" s="143"/>
      <c r="H534" s="143"/>
      <c r="I534" s="143"/>
      <c r="J534" s="143"/>
      <c r="K534" s="143"/>
      <c r="L534" s="143"/>
      <c r="M534" s="143"/>
      <c r="N534" s="143"/>
      <c r="O534" s="143"/>
      <c r="P534" s="143"/>
      <c r="Q534" s="143"/>
      <c r="R534" s="143"/>
      <c r="S534" s="143"/>
      <c r="T534" s="143"/>
      <c r="U534" s="143"/>
      <c r="V534" s="143"/>
      <c r="W534" s="143"/>
      <c r="X534" s="143"/>
      <c r="Y534" s="143"/>
    </row>
    <row r="535" spans="1:25" ht="13">
      <c r="A535" s="156"/>
      <c r="B535" s="142"/>
      <c r="C535" s="143"/>
      <c r="D535" s="144"/>
      <c r="E535" s="143"/>
      <c r="F535" s="143"/>
      <c r="G535" s="143"/>
      <c r="H535" s="143"/>
      <c r="I535" s="143"/>
      <c r="J535" s="143"/>
      <c r="K535" s="143"/>
      <c r="L535" s="143"/>
      <c r="M535" s="143"/>
      <c r="N535" s="143"/>
      <c r="O535" s="143"/>
      <c r="P535" s="143"/>
      <c r="Q535" s="143"/>
      <c r="R535" s="143"/>
      <c r="S535" s="143"/>
      <c r="T535" s="143"/>
      <c r="U535" s="143"/>
      <c r="V535" s="143"/>
      <c r="W535" s="143"/>
      <c r="X535" s="143"/>
      <c r="Y535" s="143"/>
    </row>
    <row r="536" spans="1:25" ht="13">
      <c r="A536" s="156"/>
      <c r="B536" s="142"/>
      <c r="C536" s="143"/>
      <c r="D536" s="144"/>
      <c r="E536" s="143"/>
      <c r="F536" s="143"/>
      <c r="G536" s="143"/>
      <c r="H536" s="143"/>
      <c r="I536" s="143"/>
      <c r="J536" s="143"/>
      <c r="K536" s="143"/>
      <c r="L536" s="143"/>
      <c r="M536" s="143"/>
      <c r="N536" s="143"/>
      <c r="O536" s="143"/>
      <c r="P536" s="143"/>
      <c r="Q536" s="143"/>
      <c r="R536" s="143"/>
      <c r="S536" s="143"/>
      <c r="T536" s="143"/>
      <c r="U536" s="143"/>
      <c r="V536" s="143"/>
      <c r="W536" s="143"/>
      <c r="X536" s="143"/>
      <c r="Y536" s="143"/>
    </row>
    <row r="537" spans="1:25" ht="13">
      <c r="A537" s="156"/>
      <c r="B537" s="142"/>
      <c r="C537" s="143"/>
      <c r="D537" s="144"/>
      <c r="E537" s="143"/>
      <c r="F537" s="143"/>
      <c r="G537" s="143"/>
      <c r="H537" s="143"/>
      <c r="I537" s="143"/>
      <c r="J537" s="143"/>
      <c r="K537" s="143"/>
      <c r="L537" s="143"/>
      <c r="M537" s="143"/>
      <c r="N537" s="143"/>
      <c r="O537" s="143"/>
      <c r="P537" s="143"/>
      <c r="Q537" s="143"/>
      <c r="R537" s="143"/>
      <c r="S537" s="143"/>
      <c r="T537" s="143"/>
      <c r="U537" s="143"/>
      <c r="V537" s="143"/>
      <c r="W537" s="143"/>
      <c r="X537" s="143"/>
      <c r="Y537" s="143"/>
    </row>
    <row r="538" spans="1:25" ht="13">
      <c r="A538" s="156"/>
      <c r="B538" s="142"/>
      <c r="C538" s="143"/>
      <c r="D538" s="144"/>
      <c r="E538" s="143"/>
      <c r="F538" s="143"/>
      <c r="G538" s="143"/>
      <c r="H538" s="143"/>
      <c r="I538" s="143"/>
      <c r="J538" s="143"/>
      <c r="K538" s="143"/>
      <c r="L538" s="143"/>
      <c r="M538" s="143"/>
      <c r="N538" s="143"/>
      <c r="O538" s="143"/>
      <c r="P538" s="143"/>
      <c r="Q538" s="143"/>
      <c r="R538" s="143"/>
      <c r="S538" s="143"/>
      <c r="T538" s="143"/>
      <c r="U538" s="143"/>
      <c r="V538" s="143"/>
      <c r="W538" s="143"/>
      <c r="X538" s="143"/>
      <c r="Y538" s="143"/>
    </row>
    <row r="539" spans="1:25" ht="13">
      <c r="A539" s="156"/>
      <c r="B539" s="142"/>
      <c r="C539" s="143"/>
      <c r="D539" s="144"/>
      <c r="E539" s="143"/>
      <c r="F539" s="143"/>
      <c r="G539" s="143"/>
      <c r="H539" s="143"/>
      <c r="I539" s="143"/>
      <c r="J539" s="143"/>
      <c r="K539" s="143"/>
      <c r="L539" s="143"/>
      <c r="M539" s="143"/>
      <c r="N539" s="143"/>
      <c r="O539" s="143"/>
      <c r="P539" s="143"/>
      <c r="Q539" s="143"/>
      <c r="R539" s="143"/>
      <c r="S539" s="143"/>
      <c r="T539" s="143"/>
      <c r="U539" s="143"/>
      <c r="V539" s="143"/>
      <c r="W539" s="143"/>
      <c r="X539" s="143"/>
      <c r="Y539" s="143"/>
    </row>
    <row r="540" spans="1:25" ht="13">
      <c r="A540" s="156"/>
      <c r="B540" s="142"/>
      <c r="C540" s="143"/>
      <c r="D540" s="144"/>
      <c r="E540" s="143"/>
      <c r="F540" s="143"/>
      <c r="G540" s="143"/>
      <c r="H540" s="143"/>
      <c r="I540" s="143"/>
      <c r="J540" s="143"/>
      <c r="K540" s="143"/>
      <c r="L540" s="143"/>
      <c r="M540" s="143"/>
      <c r="N540" s="143"/>
      <c r="O540" s="143"/>
      <c r="P540" s="143"/>
      <c r="Q540" s="143"/>
      <c r="R540" s="143"/>
      <c r="S540" s="143"/>
      <c r="T540" s="143"/>
      <c r="U540" s="143"/>
      <c r="V540" s="143"/>
      <c r="W540" s="143"/>
      <c r="X540" s="143"/>
      <c r="Y540" s="143"/>
    </row>
    <row r="541" spans="1:25" ht="13">
      <c r="A541" s="156"/>
      <c r="B541" s="142"/>
      <c r="C541" s="143"/>
      <c r="D541" s="144"/>
      <c r="E541" s="143"/>
      <c r="F541" s="143"/>
      <c r="G541" s="143"/>
      <c r="H541" s="143"/>
      <c r="I541" s="143"/>
      <c r="J541" s="143"/>
      <c r="K541" s="143"/>
      <c r="L541" s="143"/>
      <c r="M541" s="143"/>
      <c r="N541" s="143"/>
      <c r="O541" s="143"/>
      <c r="P541" s="143"/>
      <c r="Q541" s="143"/>
      <c r="R541" s="143"/>
      <c r="S541" s="143"/>
      <c r="T541" s="143"/>
      <c r="U541" s="143"/>
      <c r="V541" s="143"/>
      <c r="W541" s="143"/>
      <c r="X541" s="143"/>
      <c r="Y541" s="143"/>
    </row>
    <row r="542" spans="1:25" ht="13">
      <c r="A542" s="156"/>
      <c r="B542" s="142"/>
      <c r="C542" s="143"/>
      <c r="D542" s="144"/>
      <c r="E542" s="143"/>
      <c r="F542" s="143"/>
      <c r="G542" s="143"/>
      <c r="H542" s="143"/>
      <c r="I542" s="143"/>
      <c r="J542" s="143"/>
      <c r="K542" s="143"/>
      <c r="L542" s="143"/>
      <c r="M542" s="143"/>
      <c r="N542" s="143"/>
      <c r="O542" s="143"/>
      <c r="P542" s="143"/>
      <c r="Q542" s="143"/>
      <c r="R542" s="143"/>
      <c r="S542" s="143"/>
      <c r="T542" s="143"/>
      <c r="U542" s="143"/>
      <c r="V542" s="143"/>
      <c r="W542" s="143"/>
      <c r="X542" s="143"/>
      <c r="Y542" s="143"/>
    </row>
    <row r="543" spans="1:25" ht="13">
      <c r="A543" s="156"/>
      <c r="B543" s="142"/>
      <c r="C543" s="143"/>
      <c r="D543" s="144"/>
      <c r="E543" s="143"/>
      <c r="F543" s="143"/>
      <c r="G543" s="143"/>
      <c r="H543" s="143"/>
      <c r="I543" s="143"/>
      <c r="J543" s="143"/>
      <c r="K543" s="143"/>
      <c r="L543" s="143"/>
      <c r="M543" s="143"/>
      <c r="N543" s="143"/>
      <c r="O543" s="143"/>
      <c r="P543" s="143"/>
      <c r="Q543" s="143"/>
      <c r="R543" s="143"/>
      <c r="S543" s="143"/>
      <c r="T543" s="143"/>
      <c r="U543" s="143"/>
      <c r="V543" s="143"/>
      <c r="W543" s="143"/>
      <c r="X543" s="143"/>
      <c r="Y543" s="143"/>
    </row>
    <row r="544" spans="1:25" ht="13">
      <c r="A544" s="156"/>
      <c r="B544" s="142"/>
      <c r="C544" s="143"/>
      <c r="D544" s="144"/>
      <c r="E544" s="143"/>
      <c r="F544" s="143"/>
      <c r="G544" s="143"/>
      <c r="H544" s="143"/>
      <c r="I544" s="143"/>
      <c r="J544" s="143"/>
      <c r="K544" s="143"/>
      <c r="L544" s="143"/>
      <c r="M544" s="143"/>
      <c r="N544" s="143"/>
      <c r="O544" s="143"/>
      <c r="P544" s="143"/>
      <c r="Q544" s="143"/>
      <c r="R544" s="143"/>
      <c r="S544" s="143"/>
      <c r="T544" s="143"/>
      <c r="U544" s="143"/>
      <c r="V544" s="143"/>
      <c r="W544" s="143"/>
      <c r="X544" s="143"/>
      <c r="Y544" s="143"/>
    </row>
    <row r="545" spans="1:25" ht="13">
      <c r="A545" s="156"/>
      <c r="B545" s="142"/>
      <c r="C545" s="143"/>
      <c r="D545" s="144"/>
      <c r="E545" s="143"/>
      <c r="F545" s="143"/>
      <c r="G545" s="143"/>
      <c r="H545" s="143"/>
      <c r="I545" s="143"/>
      <c r="J545" s="143"/>
      <c r="K545" s="143"/>
      <c r="L545" s="143"/>
      <c r="M545" s="143"/>
      <c r="N545" s="143"/>
      <c r="O545" s="143"/>
      <c r="P545" s="143"/>
      <c r="Q545" s="143"/>
      <c r="R545" s="143"/>
      <c r="S545" s="143"/>
      <c r="T545" s="143"/>
      <c r="U545" s="143"/>
      <c r="V545" s="143"/>
      <c r="W545" s="143"/>
      <c r="X545" s="143"/>
      <c r="Y545" s="143"/>
    </row>
    <row r="546" spans="1:25" ht="13">
      <c r="A546" s="156"/>
      <c r="B546" s="142"/>
      <c r="C546" s="143"/>
      <c r="D546" s="144"/>
      <c r="E546" s="143"/>
      <c r="F546" s="143"/>
      <c r="G546" s="143"/>
      <c r="H546" s="143"/>
      <c r="I546" s="143"/>
      <c r="J546" s="143"/>
      <c r="K546" s="143"/>
      <c r="L546" s="143"/>
      <c r="M546" s="143"/>
      <c r="N546" s="143"/>
      <c r="O546" s="143"/>
      <c r="P546" s="143"/>
      <c r="Q546" s="143"/>
      <c r="R546" s="143"/>
      <c r="S546" s="143"/>
      <c r="T546" s="143"/>
      <c r="U546" s="143"/>
      <c r="V546" s="143"/>
      <c r="W546" s="143"/>
      <c r="X546" s="143"/>
      <c r="Y546" s="143"/>
    </row>
    <row r="547" spans="1:25" ht="13">
      <c r="A547" s="156"/>
      <c r="B547" s="142"/>
      <c r="C547" s="143"/>
      <c r="D547" s="144"/>
      <c r="E547" s="143"/>
      <c r="F547" s="143"/>
      <c r="G547" s="143"/>
      <c r="H547" s="143"/>
      <c r="I547" s="143"/>
      <c r="J547" s="143"/>
      <c r="K547" s="143"/>
      <c r="L547" s="143"/>
      <c r="M547" s="143"/>
      <c r="N547" s="143"/>
      <c r="O547" s="143"/>
      <c r="P547" s="143"/>
      <c r="Q547" s="143"/>
      <c r="R547" s="143"/>
      <c r="S547" s="143"/>
      <c r="T547" s="143"/>
      <c r="U547" s="143"/>
      <c r="V547" s="143"/>
      <c r="W547" s="143"/>
      <c r="X547" s="143"/>
      <c r="Y547" s="143"/>
    </row>
    <row r="548" spans="1:25" ht="13">
      <c r="A548" s="156"/>
      <c r="B548" s="142"/>
      <c r="C548" s="143"/>
      <c r="D548" s="144"/>
      <c r="E548" s="143"/>
      <c r="F548" s="143"/>
      <c r="G548" s="143"/>
      <c r="H548" s="143"/>
      <c r="I548" s="143"/>
      <c r="J548" s="143"/>
      <c r="K548" s="143"/>
      <c r="L548" s="143"/>
      <c r="M548" s="143"/>
      <c r="N548" s="143"/>
      <c r="O548" s="143"/>
      <c r="P548" s="143"/>
      <c r="Q548" s="143"/>
      <c r="R548" s="143"/>
      <c r="S548" s="143"/>
      <c r="T548" s="143"/>
      <c r="U548" s="143"/>
      <c r="V548" s="143"/>
      <c r="W548" s="143"/>
      <c r="X548" s="143"/>
      <c r="Y548" s="143"/>
    </row>
    <row r="549" spans="1:25" ht="13">
      <c r="A549" s="156"/>
      <c r="B549" s="142"/>
      <c r="C549" s="143"/>
      <c r="D549" s="144"/>
      <c r="E549" s="143"/>
      <c r="F549" s="143"/>
      <c r="G549" s="143"/>
      <c r="H549" s="143"/>
      <c r="I549" s="143"/>
      <c r="J549" s="143"/>
      <c r="K549" s="143"/>
      <c r="L549" s="143"/>
      <c r="M549" s="143"/>
      <c r="N549" s="143"/>
      <c r="O549" s="143"/>
      <c r="P549" s="143"/>
      <c r="Q549" s="143"/>
      <c r="R549" s="143"/>
      <c r="S549" s="143"/>
      <c r="T549" s="143"/>
      <c r="U549" s="143"/>
      <c r="V549" s="143"/>
      <c r="W549" s="143"/>
      <c r="X549" s="143"/>
      <c r="Y549" s="143"/>
    </row>
    <row r="550" spans="1:25" ht="13">
      <c r="A550" s="156"/>
      <c r="B550" s="142"/>
      <c r="C550" s="143"/>
      <c r="D550" s="144"/>
      <c r="E550" s="143"/>
      <c r="F550" s="143"/>
      <c r="G550" s="143"/>
      <c r="H550" s="143"/>
      <c r="I550" s="143"/>
      <c r="J550" s="143"/>
      <c r="K550" s="143"/>
      <c r="L550" s="143"/>
      <c r="M550" s="143"/>
      <c r="N550" s="143"/>
      <c r="O550" s="143"/>
      <c r="P550" s="143"/>
      <c r="Q550" s="143"/>
      <c r="R550" s="143"/>
      <c r="S550" s="143"/>
      <c r="T550" s="143"/>
      <c r="U550" s="143"/>
      <c r="V550" s="143"/>
      <c r="W550" s="143"/>
      <c r="X550" s="143"/>
      <c r="Y550" s="143"/>
    </row>
    <row r="551" spans="1:25" ht="13">
      <c r="A551" s="156"/>
      <c r="B551" s="142"/>
      <c r="C551" s="143"/>
      <c r="D551" s="144"/>
      <c r="E551" s="143"/>
      <c r="F551" s="143"/>
      <c r="G551" s="143"/>
      <c r="H551" s="143"/>
      <c r="I551" s="143"/>
      <c r="J551" s="143"/>
      <c r="K551" s="143"/>
      <c r="L551" s="143"/>
      <c r="M551" s="143"/>
      <c r="N551" s="143"/>
      <c r="O551" s="143"/>
      <c r="P551" s="143"/>
      <c r="Q551" s="143"/>
      <c r="R551" s="143"/>
      <c r="S551" s="143"/>
      <c r="T551" s="143"/>
      <c r="U551" s="143"/>
      <c r="V551" s="143"/>
      <c r="W551" s="143"/>
      <c r="X551" s="143"/>
      <c r="Y551" s="143"/>
    </row>
    <row r="552" spans="1:25" ht="13">
      <c r="A552" s="156"/>
      <c r="B552" s="142"/>
      <c r="C552" s="143"/>
      <c r="D552" s="144"/>
      <c r="E552" s="143"/>
      <c r="F552" s="143"/>
      <c r="G552" s="143"/>
      <c r="H552" s="143"/>
      <c r="I552" s="143"/>
      <c r="J552" s="143"/>
      <c r="K552" s="143"/>
      <c r="L552" s="143"/>
      <c r="M552" s="143"/>
      <c r="N552" s="143"/>
      <c r="O552" s="143"/>
      <c r="P552" s="143"/>
      <c r="Q552" s="143"/>
      <c r="R552" s="143"/>
      <c r="S552" s="143"/>
      <c r="T552" s="143"/>
      <c r="U552" s="143"/>
      <c r="V552" s="143"/>
      <c r="W552" s="143"/>
      <c r="X552" s="143"/>
      <c r="Y552" s="143"/>
    </row>
    <row r="553" spans="1:25" ht="13">
      <c r="A553" s="156"/>
      <c r="B553" s="142"/>
      <c r="C553" s="143"/>
      <c r="D553" s="144"/>
      <c r="E553" s="143"/>
      <c r="F553" s="143"/>
      <c r="G553" s="143"/>
      <c r="H553" s="143"/>
      <c r="I553" s="143"/>
      <c r="J553" s="143"/>
      <c r="K553" s="143"/>
      <c r="L553" s="143"/>
      <c r="M553" s="143"/>
      <c r="N553" s="143"/>
      <c r="O553" s="143"/>
      <c r="P553" s="143"/>
      <c r="Q553" s="143"/>
      <c r="R553" s="143"/>
      <c r="S553" s="143"/>
      <c r="T553" s="143"/>
      <c r="U553" s="143"/>
      <c r="V553" s="143"/>
      <c r="W553" s="143"/>
      <c r="X553" s="143"/>
      <c r="Y553" s="143"/>
    </row>
    <row r="554" spans="1:25" ht="13">
      <c r="A554" s="156"/>
      <c r="B554" s="142"/>
      <c r="C554" s="143"/>
      <c r="D554" s="144"/>
      <c r="E554" s="143"/>
      <c r="F554" s="143"/>
      <c r="G554" s="143"/>
      <c r="H554" s="143"/>
      <c r="I554" s="143"/>
      <c r="J554" s="143"/>
      <c r="K554" s="143"/>
      <c r="L554" s="143"/>
      <c r="M554" s="143"/>
      <c r="N554" s="143"/>
      <c r="O554" s="143"/>
      <c r="P554" s="143"/>
      <c r="Q554" s="143"/>
      <c r="R554" s="143"/>
      <c r="S554" s="143"/>
      <c r="T554" s="143"/>
      <c r="U554" s="143"/>
      <c r="V554" s="143"/>
      <c r="W554" s="143"/>
      <c r="X554" s="143"/>
      <c r="Y554" s="143"/>
    </row>
    <row r="555" spans="1:25" ht="13">
      <c r="A555" s="156"/>
      <c r="B555" s="142"/>
      <c r="C555" s="143"/>
      <c r="D555" s="144"/>
      <c r="E555" s="143"/>
      <c r="F555" s="143"/>
      <c r="G555" s="143"/>
      <c r="H555" s="143"/>
      <c r="I555" s="143"/>
      <c r="J555" s="143"/>
      <c r="K555" s="143"/>
      <c r="L555" s="143"/>
      <c r="M555" s="143"/>
      <c r="N555" s="143"/>
      <c r="O555" s="143"/>
      <c r="P555" s="143"/>
      <c r="Q555" s="143"/>
      <c r="R555" s="143"/>
      <c r="S555" s="143"/>
      <c r="T555" s="143"/>
      <c r="U555" s="143"/>
      <c r="V555" s="143"/>
      <c r="W555" s="143"/>
      <c r="X555" s="143"/>
      <c r="Y555" s="143"/>
    </row>
    <row r="556" spans="1:25" ht="13">
      <c r="A556" s="156"/>
      <c r="B556" s="142"/>
      <c r="C556" s="143"/>
      <c r="D556" s="144"/>
      <c r="E556" s="143"/>
      <c r="F556" s="143"/>
      <c r="G556" s="143"/>
      <c r="H556" s="143"/>
      <c r="I556" s="143"/>
      <c r="J556" s="143"/>
      <c r="K556" s="143"/>
      <c r="L556" s="143"/>
      <c r="M556" s="143"/>
      <c r="N556" s="143"/>
      <c r="O556" s="143"/>
      <c r="P556" s="143"/>
      <c r="Q556" s="143"/>
      <c r="R556" s="143"/>
      <c r="S556" s="143"/>
      <c r="T556" s="143"/>
      <c r="U556" s="143"/>
      <c r="V556" s="143"/>
      <c r="W556" s="143"/>
      <c r="X556" s="143"/>
      <c r="Y556" s="143"/>
    </row>
    <row r="557" spans="1:25" ht="13">
      <c r="A557" s="156"/>
      <c r="B557" s="142"/>
      <c r="C557" s="143"/>
      <c r="D557" s="144"/>
      <c r="E557" s="143"/>
      <c r="F557" s="143"/>
      <c r="G557" s="143"/>
      <c r="H557" s="143"/>
      <c r="I557" s="143"/>
      <c r="J557" s="143"/>
      <c r="K557" s="143"/>
      <c r="L557" s="143"/>
      <c r="M557" s="143"/>
      <c r="N557" s="143"/>
      <c r="O557" s="143"/>
      <c r="P557" s="143"/>
      <c r="Q557" s="143"/>
      <c r="R557" s="143"/>
      <c r="S557" s="143"/>
      <c r="T557" s="143"/>
      <c r="U557" s="143"/>
      <c r="V557" s="143"/>
      <c r="W557" s="143"/>
      <c r="X557" s="143"/>
      <c r="Y557" s="143"/>
    </row>
    <row r="558" spans="1:25" ht="13">
      <c r="A558" s="156"/>
      <c r="B558" s="142"/>
      <c r="C558" s="143"/>
      <c r="D558" s="144"/>
      <c r="E558" s="143"/>
      <c r="F558" s="143"/>
      <c r="G558" s="143"/>
      <c r="H558" s="143"/>
      <c r="I558" s="143"/>
      <c r="J558" s="143"/>
      <c r="K558" s="143"/>
      <c r="L558" s="143"/>
      <c r="M558" s="143"/>
      <c r="N558" s="143"/>
      <c r="O558" s="143"/>
      <c r="P558" s="143"/>
      <c r="Q558" s="143"/>
      <c r="R558" s="143"/>
      <c r="S558" s="143"/>
      <c r="T558" s="143"/>
      <c r="U558" s="143"/>
      <c r="V558" s="143"/>
      <c r="W558" s="143"/>
      <c r="X558" s="143"/>
      <c r="Y558" s="143"/>
    </row>
    <row r="559" spans="1:25" ht="13">
      <c r="A559" s="156"/>
      <c r="B559" s="142"/>
      <c r="C559" s="143"/>
      <c r="D559" s="144"/>
      <c r="E559" s="143"/>
      <c r="F559" s="143"/>
      <c r="G559" s="143"/>
      <c r="H559" s="143"/>
      <c r="I559" s="143"/>
      <c r="J559" s="143"/>
      <c r="K559" s="143"/>
      <c r="L559" s="143"/>
      <c r="M559" s="143"/>
      <c r="N559" s="143"/>
      <c r="O559" s="143"/>
      <c r="P559" s="143"/>
      <c r="Q559" s="143"/>
      <c r="R559" s="143"/>
      <c r="S559" s="143"/>
      <c r="T559" s="143"/>
      <c r="U559" s="143"/>
      <c r="V559" s="143"/>
      <c r="W559" s="143"/>
      <c r="X559" s="143"/>
      <c r="Y559" s="143"/>
    </row>
    <row r="560" spans="1:25" ht="13">
      <c r="A560" s="156"/>
      <c r="B560" s="142"/>
      <c r="C560" s="143"/>
      <c r="D560" s="144"/>
      <c r="E560" s="143"/>
      <c r="F560" s="143"/>
      <c r="G560" s="143"/>
      <c r="H560" s="143"/>
      <c r="I560" s="143"/>
      <c r="J560" s="143"/>
      <c r="K560" s="143"/>
      <c r="L560" s="143"/>
      <c r="M560" s="143"/>
      <c r="N560" s="143"/>
      <c r="O560" s="143"/>
      <c r="P560" s="143"/>
      <c r="Q560" s="143"/>
      <c r="R560" s="143"/>
      <c r="S560" s="143"/>
      <c r="T560" s="143"/>
      <c r="U560" s="143"/>
      <c r="V560" s="143"/>
      <c r="W560" s="143"/>
      <c r="X560" s="143"/>
      <c r="Y560" s="143"/>
    </row>
    <row r="561" spans="1:25" ht="13">
      <c r="A561" s="156"/>
      <c r="B561" s="142"/>
      <c r="C561" s="143"/>
      <c r="D561" s="144"/>
      <c r="E561" s="143"/>
      <c r="F561" s="143"/>
      <c r="G561" s="143"/>
      <c r="H561" s="143"/>
      <c r="I561" s="143"/>
      <c r="J561" s="143"/>
      <c r="K561" s="143"/>
      <c r="L561" s="143"/>
      <c r="M561" s="143"/>
      <c r="N561" s="143"/>
      <c r="O561" s="143"/>
      <c r="P561" s="143"/>
      <c r="Q561" s="143"/>
      <c r="R561" s="143"/>
      <c r="S561" s="143"/>
      <c r="T561" s="143"/>
      <c r="U561" s="143"/>
      <c r="V561" s="143"/>
      <c r="W561" s="143"/>
      <c r="X561" s="143"/>
      <c r="Y561" s="143"/>
    </row>
    <row r="562" spans="1:25" ht="13">
      <c r="A562" s="156"/>
      <c r="B562" s="142"/>
      <c r="C562" s="143"/>
      <c r="D562" s="144"/>
      <c r="E562" s="143"/>
      <c r="F562" s="143"/>
      <c r="G562" s="143"/>
      <c r="H562" s="143"/>
      <c r="I562" s="143"/>
      <c r="J562" s="143"/>
      <c r="K562" s="143"/>
      <c r="L562" s="143"/>
      <c r="M562" s="143"/>
      <c r="N562" s="143"/>
      <c r="O562" s="143"/>
      <c r="P562" s="143"/>
      <c r="Q562" s="143"/>
      <c r="R562" s="143"/>
      <c r="S562" s="143"/>
      <c r="T562" s="143"/>
      <c r="U562" s="143"/>
      <c r="V562" s="143"/>
      <c r="W562" s="143"/>
      <c r="X562" s="143"/>
      <c r="Y562" s="143"/>
    </row>
    <row r="563" spans="1:25" ht="13">
      <c r="A563" s="156"/>
      <c r="B563" s="142"/>
      <c r="C563" s="143"/>
      <c r="D563" s="144"/>
      <c r="E563" s="143"/>
      <c r="F563" s="143"/>
      <c r="G563" s="143"/>
      <c r="H563" s="143"/>
      <c r="I563" s="143"/>
      <c r="J563" s="143"/>
      <c r="K563" s="143"/>
      <c r="L563" s="143"/>
      <c r="M563" s="143"/>
      <c r="N563" s="143"/>
      <c r="O563" s="143"/>
      <c r="P563" s="143"/>
      <c r="Q563" s="143"/>
      <c r="R563" s="143"/>
      <c r="S563" s="143"/>
      <c r="T563" s="143"/>
      <c r="U563" s="143"/>
      <c r="V563" s="143"/>
      <c r="W563" s="143"/>
      <c r="X563" s="143"/>
      <c r="Y563" s="143"/>
    </row>
    <row r="564" spans="1:25" ht="13">
      <c r="A564" s="156"/>
      <c r="B564" s="142"/>
      <c r="C564" s="143"/>
      <c r="D564" s="144"/>
      <c r="E564" s="143"/>
      <c r="F564" s="143"/>
      <c r="G564" s="143"/>
      <c r="H564" s="143"/>
      <c r="I564" s="143"/>
      <c r="J564" s="143"/>
      <c r="K564" s="143"/>
      <c r="L564" s="143"/>
      <c r="M564" s="143"/>
      <c r="N564" s="143"/>
      <c r="O564" s="143"/>
      <c r="P564" s="143"/>
      <c r="Q564" s="143"/>
      <c r="R564" s="143"/>
      <c r="S564" s="143"/>
      <c r="T564" s="143"/>
      <c r="U564" s="143"/>
      <c r="V564" s="143"/>
      <c r="W564" s="143"/>
      <c r="X564" s="143"/>
      <c r="Y564" s="143"/>
    </row>
    <row r="565" spans="1:25" ht="13">
      <c r="A565" s="156"/>
      <c r="B565" s="142"/>
      <c r="C565" s="143"/>
      <c r="D565" s="144"/>
      <c r="E565" s="143"/>
      <c r="F565" s="143"/>
      <c r="G565" s="143"/>
      <c r="H565" s="143"/>
      <c r="I565" s="143"/>
      <c r="J565" s="143"/>
      <c r="K565" s="143"/>
      <c r="L565" s="143"/>
      <c r="M565" s="143"/>
      <c r="N565" s="143"/>
      <c r="O565" s="143"/>
      <c r="P565" s="143"/>
      <c r="Q565" s="143"/>
      <c r="R565" s="143"/>
      <c r="S565" s="143"/>
      <c r="T565" s="143"/>
      <c r="U565" s="143"/>
      <c r="V565" s="143"/>
      <c r="W565" s="143"/>
      <c r="X565" s="143"/>
      <c r="Y565" s="143"/>
    </row>
    <row r="566" spans="1:25" ht="13">
      <c r="A566" s="156"/>
      <c r="B566" s="142"/>
      <c r="C566" s="143"/>
      <c r="D566" s="144"/>
      <c r="E566" s="143"/>
      <c r="F566" s="143"/>
      <c r="G566" s="143"/>
      <c r="H566" s="143"/>
      <c r="I566" s="143"/>
      <c r="J566" s="143"/>
      <c r="K566" s="143"/>
      <c r="L566" s="143"/>
      <c r="M566" s="143"/>
      <c r="N566" s="143"/>
      <c r="O566" s="143"/>
      <c r="P566" s="143"/>
      <c r="Q566" s="143"/>
      <c r="R566" s="143"/>
      <c r="S566" s="143"/>
      <c r="T566" s="143"/>
      <c r="U566" s="143"/>
      <c r="V566" s="143"/>
      <c r="W566" s="143"/>
      <c r="X566" s="143"/>
      <c r="Y566" s="143"/>
    </row>
    <row r="567" spans="1:25" ht="13">
      <c r="A567" s="156"/>
      <c r="B567" s="142"/>
      <c r="C567" s="143"/>
      <c r="D567" s="144"/>
      <c r="E567" s="143"/>
      <c r="F567" s="143"/>
      <c r="G567" s="143"/>
      <c r="H567" s="143"/>
      <c r="I567" s="143"/>
      <c r="J567" s="143"/>
      <c r="K567" s="143"/>
      <c r="L567" s="143"/>
      <c r="M567" s="143"/>
      <c r="N567" s="143"/>
      <c r="O567" s="143"/>
      <c r="P567" s="143"/>
      <c r="Q567" s="143"/>
      <c r="R567" s="143"/>
      <c r="S567" s="143"/>
      <c r="T567" s="143"/>
      <c r="U567" s="143"/>
      <c r="V567" s="143"/>
      <c r="W567" s="143"/>
      <c r="X567" s="143"/>
      <c r="Y567" s="143"/>
    </row>
    <row r="568" spans="1:25" ht="13">
      <c r="A568" s="156"/>
      <c r="B568" s="142"/>
      <c r="C568" s="143"/>
      <c r="D568" s="144"/>
      <c r="E568" s="143"/>
      <c r="F568" s="143"/>
      <c r="G568" s="143"/>
      <c r="H568" s="143"/>
      <c r="I568" s="143"/>
      <c r="J568" s="143"/>
      <c r="K568" s="143"/>
      <c r="L568" s="143"/>
      <c r="M568" s="143"/>
      <c r="N568" s="143"/>
      <c r="O568" s="143"/>
      <c r="P568" s="143"/>
      <c r="Q568" s="143"/>
      <c r="R568" s="143"/>
      <c r="S568" s="143"/>
      <c r="T568" s="143"/>
      <c r="U568" s="143"/>
      <c r="V568" s="143"/>
      <c r="W568" s="143"/>
      <c r="X568" s="143"/>
      <c r="Y568" s="143"/>
    </row>
    <row r="569" spans="1:25" ht="13">
      <c r="A569" s="156"/>
      <c r="B569" s="142"/>
      <c r="C569" s="143"/>
      <c r="D569" s="144"/>
      <c r="E569" s="143"/>
      <c r="F569" s="143"/>
      <c r="G569" s="143"/>
      <c r="H569" s="143"/>
      <c r="I569" s="143"/>
      <c r="J569" s="143"/>
      <c r="K569" s="143"/>
      <c r="L569" s="143"/>
      <c r="M569" s="143"/>
      <c r="N569" s="143"/>
      <c r="O569" s="143"/>
      <c r="P569" s="143"/>
      <c r="Q569" s="143"/>
      <c r="R569" s="143"/>
      <c r="S569" s="143"/>
      <c r="T569" s="143"/>
      <c r="U569" s="143"/>
      <c r="V569" s="143"/>
      <c r="W569" s="143"/>
      <c r="X569" s="143"/>
      <c r="Y569" s="143"/>
    </row>
    <row r="570" spans="1:25" ht="13">
      <c r="A570" s="156"/>
      <c r="B570" s="142"/>
      <c r="C570" s="143"/>
      <c r="D570" s="144"/>
      <c r="E570" s="143"/>
      <c r="F570" s="143"/>
      <c r="G570" s="143"/>
      <c r="H570" s="143"/>
      <c r="I570" s="143"/>
      <c r="J570" s="143"/>
      <c r="K570" s="143"/>
      <c r="L570" s="143"/>
      <c r="M570" s="143"/>
      <c r="N570" s="143"/>
      <c r="O570" s="143"/>
      <c r="P570" s="143"/>
      <c r="Q570" s="143"/>
      <c r="R570" s="143"/>
      <c r="S570" s="143"/>
      <c r="T570" s="143"/>
      <c r="U570" s="143"/>
      <c r="V570" s="143"/>
      <c r="W570" s="143"/>
      <c r="X570" s="143"/>
      <c r="Y570" s="143"/>
    </row>
    <row r="571" spans="1:25" ht="13">
      <c r="A571" s="156"/>
      <c r="B571" s="142"/>
      <c r="C571" s="143"/>
      <c r="D571" s="144"/>
      <c r="E571" s="143"/>
      <c r="F571" s="143"/>
      <c r="G571" s="143"/>
      <c r="H571" s="143"/>
      <c r="I571" s="143"/>
      <c r="J571" s="143"/>
      <c r="K571" s="143"/>
      <c r="L571" s="143"/>
      <c r="M571" s="143"/>
      <c r="N571" s="143"/>
      <c r="O571" s="143"/>
      <c r="P571" s="143"/>
      <c r="Q571" s="143"/>
      <c r="R571" s="143"/>
      <c r="S571" s="143"/>
      <c r="T571" s="143"/>
      <c r="U571" s="143"/>
      <c r="V571" s="143"/>
      <c r="W571" s="143"/>
      <c r="X571" s="143"/>
      <c r="Y571" s="143"/>
    </row>
    <row r="572" spans="1:25" ht="13">
      <c r="A572" s="156"/>
      <c r="B572" s="142"/>
      <c r="C572" s="143"/>
      <c r="D572" s="144"/>
      <c r="E572" s="143"/>
      <c r="F572" s="143"/>
      <c r="G572" s="143"/>
      <c r="H572" s="143"/>
      <c r="I572" s="143"/>
      <c r="J572" s="143"/>
      <c r="K572" s="143"/>
      <c r="L572" s="143"/>
      <c r="M572" s="143"/>
      <c r="N572" s="143"/>
      <c r="O572" s="143"/>
      <c r="P572" s="143"/>
      <c r="Q572" s="143"/>
      <c r="R572" s="143"/>
      <c r="S572" s="143"/>
      <c r="T572" s="143"/>
      <c r="U572" s="143"/>
      <c r="V572" s="143"/>
      <c r="W572" s="143"/>
      <c r="X572" s="143"/>
      <c r="Y572" s="143"/>
    </row>
    <row r="573" spans="1:25" ht="13">
      <c r="A573" s="156"/>
      <c r="B573" s="142"/>
      <c r="C573" s="143"/>
      <c r="D573" s="144"/>
      <c r="E573" s="143"/>
      <c r="F573" s="143"/>
      <c r="G573" s="143"/>
      <c r="H573" s="143"/>
      <c r="I573" s="143"/>
      <c r="J573" s="143"/>
      <c r="K573" s="143"/>
      <c r="L573" s="143"/>
      <c r="M573" s="143"/>
      <c r="N573" s="143"/>
      <c r="O573" s="143"/>
      <c r="P573" s="143"/>
      <c r="Q573" s="143"/>
      <c r="R573" s="143"/>
      <c r="S573" s="143"/>
      <c r="T573" s="143"/>
      <c r="U573" s="143"/>
      <c r="V573" s="143"/>
      <c r="W573" s="143"/>
      <c r="X573" s="143"/>
      <c r="Y573" s="143"/>
    </row>
    <row r="574" spans="1:25" ht="13">
      <c r="A574" s="156"/>
      <c r="B574" s="142"/>
      <c r="C574" s="143"/>
      <c r="D574" s="144"/>
      <c r="E574" s="143"/>
      <c r="F574" s="143"/>
      <c r="G574" s="143"/>
      <c r="H574" s="143"/>
      <c r="I574" s="143"/>
      <c r="J574" s="143"/>
      <c r="K574" s="143"/>
      <c r="L574" s="143"/>
      <c r="M574" s="143"/>
      <c r="N574" s="143"/>
      <c r="O574" s="143"/>
      <c r="P574" s="143"/>
      <c r="Q574" s="143"/>
      <c r="R574" s="143"/>
      <c r="S574" s="143"/>
      <c r="T574" s="143"/>
      <c r="U574" s="143"/>
      <c r="V574" s="143"/>
      <c r="W574" s="143"/>
      <c r="X574" s="143"/>
      <c r="Y574" s="143"/>
    </row>
    <row r="575" spans="1:25" ht="13">
      <c r="A575" s="156"/>
      <c r="B575" s="142"/>
      <c r="C575" s="143"/>
      <c r="D575" s="144"/>
      <c r="E575" s="143"/>
      <c r="F575" s="143"/>
      <c r="G575" s="143"/>
      <c r="H575" s="143"/>
      <c r="I575" s="143"/>
      <c r="J575" s="143"/>
      <c r="K575" s="143"/>
      <c r="L575" s="143"/>
      <c r="M575" s="143"/>
      <c r="N575" s="143"/>
      <c r="O575" s="143"/>
      <c r="P575" s="143"/>
      <c r="Q575" s="143"/>
      <c r="R575" s="143"/>
      <c r="S575" s="143"/>
      <c r="T575" s="143"/>
      <c r="U575" s="143"/>
      <c r="V575" s="143"/>
      <c r="W575" s="143"/>
      <c r="X575" s="143"/>
      <c r="Y575" s="143"/>
    </row>
    <row r="576" spans="1:25" ht="13">
      <c r="A576" s="156"/>
      <c r="B576" s="142"/>
      <c r="C576" s="143"/>
      <c r="D576" s="144"/>
      <c r="E576" s="143"/>
      <c r="F576" s="143"/>
      <c r="G576" s="143"/>
      <c r="H576" s="143"/>
      <c r="I576" s="143"/>
      <c r="J576" s="143"/>
      <c r="K576" s="143"/>
      <c r="L576" s="143"/>
      <c r="M576" s="143"/>
      <c r="N576" s="143"/>
      <c r="O576" s="143"/>
      <c r="P576" s="143"/>
      <c r="Q576" s="143"/>
      <c r="R576" s="143"/>
      <c r="S576" s="143"/>
      <c r="T576" s="143"/>
      <c r="U576" s="143"/>
      <c r="V576" s="143"/>
      <c r="W576" s="143"/>
      <c r="X576" s="143"/>
      <c r="Y576" s="143"/>
    </row>
    <row r="577" spans="1:25" ht="13">
      <c r="A577" s="156"/>
      <c r="B577" s="142"/>
      <c r="C577" s="143"/>
      <c r="D577" s="144"/>
      <c r="E577" s="143"/>
      <c r="F577" s="143"/>
      <c r="G577" s="143"/>
      <c r="H577" s="143"/>
      <c r="I577" s="143"/>
      <c r="J577" s="143"/>
      <c r="K577" s="143"/>
      <c r="L577" s="143"/>
      <c r="M577" s="143"/>
      <c r="N577" s="143"/>
      <c r="O577" s="143"/>
      <c r="P577" s="143"/>
      <c r="Q577" s="143"/>
      <c r="R577" s="143"/>
      <c r="S577" s="143"/>
      <c r="T577" s="143"/>
      <c r="U577" s="143"/>
      <c r="V577" s="143"/>
      <c r="W577" s="143"/>
      <c r="X577" s="143"/>
      <c r="Y577" s="143"/>
    </row>
    <row r="578" spans="1:25" ht="13">
      <c r="A578" s="156"/>
      <c r="B578" s="142"/>
      <c r="C578" s="143"/>
      <c r="D578" s="144"/>
      <c r="E578" s="143"/>
      <c r="F578" s="143"/>
      <c r="G578" s="143"/>
      <c r="H578" s="143"/>
      <c r="I578" s="143"/>
      <c r="J578" s="143"/>
      <c r="K578" s="143"/>
      <c r="L578" s="143"/>
      <c r="M578" s="143"/>
      <c r="N578" s="143"/>
      <c r="O578" s="143"/>
      <c r="P578" s="143"/>
      <c r="Q578" s="143"/>
      <c r="R578" s="143"/>
      <c r="S578" s="143"/>
      <c r="T578" s="143"/>
      <c r="U578" s="143"/>
      <c r="V578" s="143"/>
      <c r="W578" s="143"/>
      <c r="X578" s="143"/>
      <c r="Y578" s="143"/>
    </row>
    <row r="579" spans="1:25" ht="13">
      <c r="A579" s="156"/>
      <c r="B579" s="142"/>
      <c r="C579" s="143"/>
      <c r="D579" s="144"/>
      <c r="E579" s="143"/>
      <c r="F579" s="143"/>
      <c r="G579" s="143"/>
      <c r="H579" s="143"/>
      <c r="I579" s="143"/>
      <c r="J579" s="143"/>
      <c r="K579" s="143"/>
      <c r="L579" s="143"/>
      <c r="M579" s="143"/>
      <c r="N579" s="143"/>
      <c r="O579" s="143"/>
      <c r="P579" s="143"/>
      <c r="Q579" s="143"/>
      <c r="R579" s="143"/>
      <c r="S579" s="143"/>
      <c r="T579" s="143"/>
      <c r="U579" s="143"/>
      <c r="V579" s="143"/>
      <c r="W579" s="143"/>
      <c r="X579" s="143"/>
      <c r="Y579" s="143"/>
    </row>
    <row r="580" spans="1:25" ht="13">
      <c r="A580" s="156"/>
      <c r="B580" s="142"/>
      <c r="C580" s="143"/>
      <c r="D580" s="144"/>
      <c r="E580" s="143"/>
      <c r="F580" s="143"/>
      <c r="G580" s="143"/>
      <c r="H580" s="143"/>
      <c r="I580" s="143"/>
      <c r="J580" s="143"/>
      <c r="K580" s="143"/>
      <c r="L580" s="143"/>
      <c r="M580" s="143"/>
      <c r="N580" s="143"/>
      <c r="O580" s="143"/>
      <c r="P580" s="143"/>
      <c r="Q580" s="143"/>
      <c r="R580" s="143"/>
      <c r="S580" s="143"/>
      <c r="T580" s="143"/>
      <c r="U580" s="143"/>
      <c r="V580" s="143"/>
      <c r="W580" s="143"/>
      <c r="X580" s="143"/>
      <c r="Y580" s="143"/>
    </row>
    <row r="581" spans="1:25" ht="13">
      <c r="A581" s="156"/>
      <c r="B581" s="142"/>
      <c r="C581" s="143"/>
      <c r="D581" s="144"/>
      <c r="E581" s="143"/>
      <c r="F581" s="143"/>
      <c r="G581" s="143"/>
      <c r="H581" s="143"/>
      <c r="I581" s="143"/>
      <c r="J581" s="143"/>
      <c r="K581" s="143"/>
      <c r="L581" s="143"/>
      <c r="M581" s="143"/>
      <c r="N581" s="143"/>
      <c r="O581" s="143"/>
      <c r="P581" s="143"/>
      <c r="Q581" s="143"/>
      <c r="R581" s="143"/>
      <c r="S581" s="143"/>
      <c r="T581" s="143"/>
      <c r="U581" s="143"/>
      <c r="V581" s="143"/>
      <c r="W581" s="143"/>
      <c r="X581" s="143"/>
      <c r="Y581" s="143"/>
    </row>
    <row r="582" spans="1:25" ht="13">
      <c r="A582" s="156"/>
      <c r="B582" s="142"/>
      <c r="C582" s="143"/>
      <c r="D582" s="144"/>
      <c r="E582" s="143"/>
      <c r="F582" s="143"/>
      <c r="G582" s="143"/>
      <c r="H582" s="143"/>
      <c r="I582" s="143"/>
      <c r="J582" s="143"/>
      <c r="K582" s="143"/>
      <c r="L582" s="143"/>
      <c r="M582" s="143"/>
      <c r="N582" s="143"/>
      <c r="O582" s="143"/>
      <c r="P582" s="143"/>
      <c r="Q582" s="143"/>
      <c r="R582" s="143"/>
      <c r="S582" s="143"/>
      <c r="T582" s="143"/>
      <c r="U582" s="143"/>
      <c r="V582" s="143"/>
      <c r="W582" s="143"/>
      <c r="X582" s="143"/>
      <c r="Y582" s="143"/>
    </row>
    <row r="583" spans="1:25" ht="13">
      <c r="A583" s="156"/>
      <c r="B583" s="142"/>
      <c r="C583" s="143"/>
      <c r="D583" s="144"/>
      <c r="E583" s="143"/>
      <c r="F583" s="143"/>
      <c r="G583" s="143"/>
      <c r="H583" s="143"/>
      <c r="I583" s="143"/>
      <c r="J583" s="143"/>
      <c r="K583" s="143"/>
      <c r="L583" s="143"/>
      <c r="M583" s="143"/>
      <c r="N583" s="143"/>
      <c r="O583" s="143"/>
      <c r="P583" s="143"/>
      <c r="Q583" s="143"/>
      <c r="R583" s="143"/>
      <c r="S583" s="143"/>
      <c r="T583" s="143"/>
      <c r="U583" s="143"/>
      <c r="V583" s="143"/>
      <c r="W583" s="143"/>
      <c r="X583" s="143"/>
      <c r="Y583" s="143"/>
    </row>
    <row r="584" spans="1:25" ht="13">
      <c r="A584" s="156"/>
      <c r="B584" s="142"/>
      <c r="C584" s="143"/>
      <c r="D584" s="144"/>
      <c r="E584" s="143"/>
      <c r="F584" s="143"/>
      <c r="G584" s="143"/>
      <c r="H584" s="143"/>
      <c r="I584" s="143"/>
      <c r="J584" s="143"/>
      <c r="K584" s="143"/>
      <c r="L584" s="143"/>
      <c r="M584" s="143"/>
      <c r="N584" s="143"/>
      <c r="O584" s="143"/>
      <c r="P584" s="143"/>
      <c r="Q584" s="143"/>
      <c r="R584" s="143"/>
      <c r="S584" s="143"/>
      <c r="T584" s="143"/>
      <c r="U584" s="143"/>
      <c r="V584" s="143"/>
      <c r="W584" s="143"/>
      <c r="X584" s="143"/>
      <c r="Y584" s="143"/>
    </row>
    <row r="585" spans="1:25" ht="13">
      <c r="A585" s="156"/>
      <c r="B585" s="142"/>
      <c r="C585" s="143"/>
      <c r="D585" s="144"/>
      <c r="E585" s="143"/>
      <c r="F585" s="143"/>
      <c r="G585" s="143"/>
      <c r="H585" s="143"/>
      <c r="I585" s="143"/>
      <c r="J585" s="143"/>
      <c r="K585" s="143"/>
      <c r="L585" s="143"/>
      <c r="M585" s="143"/>
      <c r="N585" s="143"/>
      <c r="O585" s="143"/>
      <c r="P585" s="143"/>
      <c r="Q585" s="143"/>
      <c r="R585" s="143"/>
      <c r="S585" s="143"/>
      <c r="T585" s="143"/>
      <c r="U585" s="143"/>
      <c r="V585" s="143"/>
      <c r="W585" s="143"/>
      <c r="X585" s="143"/>
      <c r="Y585" s="143"/>
    </row>
    <row r="586" spans="1:25" ht="13">
      <c r="A586" s="156"/>
      <c r="B586" s="142"/>
      <c r="C586" s="143"/>
      <c r="D586" s="144"/>
      <c r="E586" s="143"/>
      <c r="F586" s="143"/>
      <c r="G586" s="143"/>
      <c r="H586" s="143"/>
      <c r="I586" s="143"/>
      <c r="J586" s="143"/>
      <c r="K586" s="143"/>
      <c r="L586" s="143"/>
      <c r="M586" s="143"/>
      <c r="N586" s="143"/>
      <c r="O586" s="143"/>
      <c r="P586" s="143"/>
      <c r="Q586" s="143"/>
      <c r="R586" s="143"/>
      <c r="S586" s="143"/>
      <c r="T586" s="143"/>
      <c r="U586" s="143"/>
      <c r="V586" s="143"/>
      <c r="W586" s="143"/>
      <c r="X586" s="143"/>
      <c r="Y586" s="143"/>
    </row>
    <row r="587" spans="1:25" ht="13">
      <c r="A587" s="156"/>
      <c r="B587" s="142"/>
      <c r="C587" s="143"/>
      <c r="D587" s="144"/>
      <c r="E587" s="143"/>
      <c r="F587" s="143"/>
      <c r="G587" s="143"/>
      <c r="H587" s="143"/>
      <c r="I587" s="143"/>
      <c r="J587" s="143"/>
      <c r="K587" s="143"/>
      <c r="L587" s="143"/>
      <c r="M587" s="143"/>
      <c r="N587" s="143"/>
      <c r="O587" s="143"/>
      <c r="P587" s="143"/>
      <c r="Q587" s="143"/>
      <c r="R587" s="143"/>
      <c r="S587" s="143"/>
      <c r="T587" s="143"/>
      <c r="U587" s="143"/>
      <c r="V587" s="143"/>
      <c r="W587" s="143"/>
      <c r="X587" s="143"/>
      <c r="Y587" s="143"/>
    </row>
    <row r="588" spans="1:25" ht="13">
      <c r="A588" s="156"/>
      <c r="B588" s="142"/>
      <c r="C588" s="143"/>
      <c r="D588" s="144"/>
      <c r="E588" s="143"/>
      <c r="F588" s="143"/>
      <c r="G588" s="143"/>
      <c r="H588" s="143"/>
      <c r="I588" s="143"/>
      <c r="J588" s="143"/>
      <c r="K588" s="143"/>
      <c r="L588" s="143"/>
      <c r="M588" s="143"/>
      <c r="N588" s="143"/>
      <c r="O588" s="143"/>
      <c r="P588" s="143"/>
      <c r="Q588" s="143"/>
      <c r="R588" s="143"/>
      <c r="S588" s="143"/>
      <c r="T588" s="143"/>
      <c r="U588" s="143"/>
      <c r="V588" s="143"/>
      <c r="W588" s="143"/>
      <c r="X588" s="143"/>
      <c r="Y588" s="143"/>
    </row>
    <row r="589" spans="1:25" ht="13">
      <c r="A589" s="156"/>
      <c r="B589" s="142"/>
      <c r="C589" s="143"/>
      <c r="D589" s="144"/>
      <c r="E589" s="143"/>
      <c r="F589" s="143"/>
      <c r="G589" s="143"/>
      <c r="H589" s="143"/>
      <c r="I589" s="143"/>
      <c r="J589" s="143"/>
      <c r="K589" s="143"/>
      <c r="L589" s="143"/>
      <c r="M589" s="143"/>
      <c r="N589" s="143"/>
      <c r="O589" s="143"/>
      <c r="P589" s="143"/>
      <c r="Q589" s="143"/>
      <c r="R589" s="143"/>
      <c r="S589" s="143"/>
      <c r="T589" s="143"/>
      <c r="U589" s="143"/>
      <c r="V589" s="143"/>
      <c r="W589" s="143"/>
      <c r="X589" s="143"/>
      <c r="Y589" s="143"/>
    </row>
    <row r="590" spans="1:25" ht="13">
      <c r="A590" s="156"/>
      <c r="B590" s="142"/>
      <c r="C590" s="143"/>
      <c r="D590" s="144"/>
      <c r="E590" s="143"/>
      <c r="F590" s="143"/>
      <c r="G590" s="143"/>
      <c r="H590" s="143"/>
      <c r="I590" s="143"/>
      <c r="J590" s="143"/>
      <c r="K590" s="143"/>
      <c r="L590" s="143"/>
      <c r="M590" s="143"/>
      <c r="N590" s="143"/>
      <c r="O590" s="143"/>
      <c r="P590" s="143"/>
      <c r="Q590" s="143"/>
      <c r="R590" s="143"/>
      <c r="S590" s="143"/>
      <c r="T590" s="143"/>
      <c r="U590" s="143"/>
      <c r="V590" s="143"/>
      <c r="W590" s="143"/>
      <c r="X590" s="143"/>
      <c r="Y590" s="143"/>
    </row>
    <row r="591" spans="1:25" ht="13">
      <c r="A591" s="156"/>
      <c r="B591" s="142"/>
      <c r="C591" s="143"/>
      <c r="D591" s="144"/>
      <c r="E591" s="143"/>
      <c r="F591" s="143"/>
      <c r="G591" s="143"/>
      <c r="H591" s="143"/>
      <c r="I591" s="143"/>
      <c r="J591" s="143"/>
      <c r="K591" s="143"/>
      <c r="L591" s="143"/>
      <c r="M591" s="143"/>
      <c r="N591" s="143"/>
      <c r="O591" s="143"/>
      <c r="P591" s="143"/>
      <c r="Q591" s="143"/>
      <c r="R591" s="143"/>
      <c r="S591" s="143"/>
      <c r="T591" s="143"/>
      <c r="U591" s="143"/>
      <c r="V591" s="143"/>
      <c r="W591" s="143"/>
      <c r="X591" s="143"/>
      <c r="Y591" s="143"/>
    </row>
    <row r="592" spans="1:25" ht="13">
      <c r="A592" s="156"/>
      <c r="B592" s="142"/>
      <c r="C592" s="143"/>
      <c r="D592" s="144"/>
      <c r="E592" s="143"/>
      <c r="F592" s="143"/>
      <c r="G592" s="143"/>
      <c r="H592" s="143"/>
      <c r="I592" s="143"/>
      <c r="J592" s="143"/>
      <c r="K592" s="143"/>
      <c r="L592" s="143"/>
      <c r="M592" s="143"/>
      <c r="N592" s="143"/>
      <c r="O592" s="143"/>
      <c r="P592" s="143"/>
      <c r="Q592" s="143"/>
      <c r="R592" s="143"/>
      <c r="S592" s="143"/>
      <c r="T592" s="143"/>
      <c r="U592" s="143"/>
      <c r="V592" s="143"/>
      <c r="W592" s="143"/>
      <c r="X592" s="143"/>
      <c r="Y592" s="143"/>
    </row>
    <row r="593" spans="1:25" ht="13">
      <c r="A593" s="156"/>
      <c r="B593" s="142"/>
      <c r="C593" s="143"/>
      <c r="D593" s="144"/>
      <c r="E593" s="143"/>
      <c r="F593" s="143"/>
      <c r="G593" s="143"/>
      <c r="H593" s="143"/>
      <c r="I593" s="143"/>
      <c r="J593" s="143"/>
      <c r="K593" s="143"/>
      <c r="L593" s="143"/>
      <c r="M593" s="143"/>
      <c r="N593" s="143"/>
      <c r="O593" s="143"/>
      <c r="P593" s="143"/>
      <c r="Q593" s="143"/>
      <c r="R593" s="143"/>
      <c r="S593" s="143"/>
      <c r="T593" s="143"/>
      <c r="U593" s="143"/>
      <c r="V593" s="143"/>
      <c r="W593" s="143"/>
      <c r="X593" s="143"/>
      <c r="Y593" s="143"/>
    </row>
    <row r="594" spans="1:25" ht="13">
      <c r="A594" s="156"/>
      <c r="B594" s="142"/>
      <c r="C594" s="143"/>
      <c r="D594" s="144"/>
      <c r="E594" s="143"/>
      <c r="F594" s="143"/>
      <c r="G594" s="143"/>
      <c r="H594" s="143"/>
      <c r="I594" s="143"/>
      <c r="J594" s="143"/>
      <c r="K594" s="143"/>
      <c r="L594" s="143"/>
      <c r="M594" s="143"/>
      <c r="N594" s="143"/>
      <c r="O594" s="143"/>
      <c r="P594" s="143"/>
      <c r="Q594" s="143"/>
      <c r="R594" s="143"/>
      <c r="S594" s="143"/>
      <c r="T594" s="143"/>
      <c r="U594" s="143"/>
      <c r="V594" s="143"/>
      <c r="W594" s="143"/>
      <c r="X594" s="143"/>
      <c r="Y594" s="143"/>
    </row>
    <row r="595" spans="1:25" ht="13">
      <c r="A595" s="156"/>
      <c r="B595" s="142"/>
      <c r="C595" s="143"/>
      <c r="D595" s="144"/>
      <c r="E595" s="143"/>
      <c r="F595" s="143"/>
      <c r="G595" s="143"/>
      <c r="H595" s="143"/>
      <c r="I595" s="143"/>
      <c r="J595" s="143"/>
      <c r="K595" s="143"/>
      <c r="L595" s="143"/>
      <c r="M595" s="143"/>
      <c r="N595" s="143"/>
      <c r="O595" s="143"/>
      <c r="P595" s="143"/>
      <c r="Q595" s="143"/>
      <c r="R595" s="143"/>
      <c r="S595" s="143"/>
      <c r="T595" s="143"/>
      <c r="U595" s="143"/>
      <c r="V595" s="143"/>
      <c r="W595" s="143"/>
      <c r="X595" s="143"/>
      <c r="Y595" s="143"/>
    </row>
    <row r="596" spans="1:25" ht="13">
      <c r="A596" s="156"/>
      <c r="B596" s="142"/>
      <c r="C596" s="143"/>
      <c r="D596" s="144"/>
      <c r="E596" s="143"/>
      <c r="F596" s="143"/>
      <c r="G596" s="143"/>
      <c r="H596" s="143"/>
      <c r="I596" s="143"/>
      <c r="J596" s="143"/>
      <c r="K596" s="143"/>
      <c r="L596" s="143"/>
      <c r="M596" s="143"/>
      <c r="N596" s="143"/>
      <c r="O596" s="143"/>
      <c r="P596" s="143"/>
      <c r="Q596" s="143"/>
      <c r="R596" s="143"/>
      <c r="S596" s="143"/>
      <c r="T596" s="143"/>
      <c r="U596" s="143"/>
      <c r="V596" s="143"/>
      <c r="W596" s="143"/>
      <c r="X596" s="143"/>
      <c r="Y596" s="143"/>
    </row>
    <row r="597" spans="1:25" ht="13">
      <c r="A597" s="156"/>
      <c r="B597" s="142"/>
      <c r="C597" s="143"/>
      <c r="D597" s="144"/>
      <c r="E597" s="143"/>
      <c r="F597" s="143"/>
      <c r="G597" s="143"/>
      <c r="H597" s="143"/>
      <c r="I597" s="143"/>
      <c r="J597" s="143"/>
      <c r="K597" s="143"/>
      <c r="L597" s="143"/>
      <c r="M597" s="143"/>
      <c r="N597" s="143"/>
      <c r="O597" s="143"/>
      <c r="P597" s="143"/>
      <c r="Q597" s="143"/>
      <c r="R597" s="143"/>
      <c r="S597" s="143"/>
      <c r="T597" s="143"/>
      <c r="U597" s="143"/>
      <c r="V597" s="143"/>
      <c r="W597" s="143"/>
      <c r="X597" s="143"/>
      <c r="Y597" s="143"/>
    </row>
    <row r="598" spans="1:25" ht="13">
      <c r="A598" s="156"/>
      <c r="B598" s="142"/>
      <c r="C598" s="143"/>
      <c r="D598" s="144"/>
      <c r="E598" s="143"/>
      <c r="F598" s="143"/>
      <c r="G598" s="143"/>
      <c r="H598" s="143"/>
      <c r="I598" s="143"/>
      <c r="J598" s="143"/>
      <c r="K598" s="143"/>
      <c r="L598" s="143"/>
      <c r="M598" s="143"/>
      <c r="N598" s="143"/>
      <c r="O598" s="143"/>
      <c r="P598" s="143"/>
      <c r="Q598" s="143"/>
      <c r="R598" s="143"/>
      <c r="S598" s="143"/>
      <c r="T598" s="143"/>
      <c r="U598" s="143"/>
      <c r="V598" s="143"/>
      <c r="W598" s="143"/>
      <c r="X598" s="143"/>
      <c r="Y598" s="143"/>
    </row>
    <row r="599" spans="1:25" ht="13">
      <c r="A599" s="156"/>
      <c r="B599" s="142"/>
      <c r="C599" s="143"/>
      <c r="D599" s="144"/>
      <c r="E599" s="143"/>
      <c r="F599" s="143"/>
      <c r="G599" s="143"/>
      <c r="H599" s="143"/>
      <c r="I599" s="143"/>
      <c r="J599" s="143"/>
      <c r="K599" s="143"/>
      <c r="L599" s="143"/>
      <c r="M599" s="143"/>
      <c r="N599" s="143"/>
      <c r="O599" s="143"/>
      <c r="P599" s="143"/>
      <c r="Q599" s="143"/>
      <c r="R599" s="143"/>
      <c r="S599" s="143"/>
      <c r="T599" s="143"/>
      <c r="U599" s="143"/>
      <c r="V599" s="143"/>
      <c r="W599" s="143"/>
      <c r="X599" s="143"/>
      <c r="Y599" s="143"/>
    </row>
    <row r="600" spans="1:25" ht="13">
      <c r="A600" s="156"/>
      <c r="B600" s="142"/>
      <c r="C600" s="143"/>
      <c r="D600" s="144"/>
      <c r="E600" s="143"/>
      <c r="F600" s="143"/>
      <c r="G600" s="143"/>
      <c r="H600" s="143"/>
      <c r="I600" s="143"/>
      <c r="J600" s="143"/>
      <c r="K600" s="143"/>
      <c r="L600" s="143"/>
      <c r="M600" s="143"/>
      <c r="N600" s="143"/>
      <c r="O600" s="143"/>
      <c r="P600" s="143"/>
      <c r="Q600" s="143"/>
      <c r="R600" s="143"/>
      <c r="S600" s="143"/>
      <c r="T600" s="143"/>
      <c r="U600" s="143"/>
      <c r="V600" s="143"/>
      <c r="W600" s="143"/>
      <c r="X600" s="143"/>
      <c r="Y600" s="143"/>
    </row>
    <row r="601" spans="1:25" ht="13">
      <c r="A601" s="156"/>
      <c r="B601" s="142"/>
      <c r="C601" s="143"/>
      <c r="D601" s="144"/>
      <c r="E601" s="143"/>
      <c r="F601" s="143"/>
      <c r="G601" s="143"/>
      <c r="H601" s="143"/>
      <c r="I601" s="143"/>
      <c r="J601" s="143"/>
      <c r="K601" s="143"/>
      <c r="L601" s="143"/>
      <c r="M601" s="143"/>
      <c r="N601" s="143"/>
      <c r="O601" s="143"/>
      <c r="P601" s="143"/>
      <c r="Q601" s="143"/>
      <c r="R601" s="143"/>
      <c r="S601" s="143"/>
      <c r="T601" s="143"/>
      <c r="U601" s="143"/>
      <c r="V601" s="143"/>
      <c r="W601" s="143"/>
      <c r="X601" s="143"/>
      <c r="Y601" s="143"/>
    </row>
    <row r="602" spans="1:25" ht="13">
      <c r="A602" s="156"/>
      <c r="B602" s="142"/>
      <c r="C602" s="143"/>
      <c r="D602" s="144"/>
      <c r="E602" s="143"/>
      <c r="F602" s="143"/>
      <c r="G602" s="143"/>
      <c r="H602" s="143"/>
      <c r="I602" s="143"/>
      <c r="J602" s="143"/>
      <c r="K602" s="143"/>
      <c r="L602" s="143"/>
      <c r="M602" s="143"/>
      <c r="N602" s="143"/>
      <c r="O602" s="143"/>
      <c r="P602" s="143"/>
      <c r="Q602" s="143"/>
      <c r="R602" s="143"/>
      <c r="S602" s="143"/>
      <c r="T602" s="143"/>
      <c r="U602" s="143"/>
      <c r="V602" s="143"/>
      <c r="W602" s="143"/>
      <c r="X602" s="143"/>
      <c r="Y602" s="143"/>
    </row>
    <row r="603" spans="1:25" ht="13">
      <c r="A603" s="156"/>
      <c r="B603" s="142"/>
      <c r="C603" s="143"/>
      <c r="D603" s="144"/>
      <c r="E603" s="143"/>
      <c r="F603" s="143"/>
      <c r="G603" s="143"/>
      <c r="H603" s="143"/>
      <c r="I603" s="143"/>
      <c r="J603" s="143"/>
      <c r="K603" s="143"/>
      <c r="L603" s="143"/>
      <c r="M603" s="143"/>
      <c r="N603" s="143"/>
      <c r="O603" s="143"/>
      <c r="P603" s="143"/>
      <c r="Q603" s="143"/>
      <c r="R603" s="143"/>
      <c r="S603" s="143"/>
      <c r="T603" s="143"/>
      <c r="U603" s="143"/>
      <c r="V603" s="143"/>
      <c r="W603" s="143"/>
      <c r="X603" s="143"/>
      <c r="Y603" s="143"/>
    </row>
    <row r="604" spans="1:25" ht="13">
      <c r="A604" s="156"/>
      <c r="B604" s="142"/>
      <c r="C604" s="143"/>
      <c r="D604" s="144"/>
      <c r="E604" s="143"/>
      <c r="F604" s="143"/>
      <c r="G604" s="143"/>
      <c r="H604" s="143"/>
      <c r="I604" s="143"/>
      <c r="J604" s="143"/>
      <c r="K604" s="143"/>
      <c r="L604" s="143"/>
      <c r="M604" s="143"/>
      <c r="N604" s="143"/>
      <c r="O604" s="143"/>
      <c r="P604" s="143"/>
      <c r="Q604" s="143"/>
      <c r="R604" s="143"/>
      <c r="S604" s="143"/>
      <c r="T604" s="143"/>
      <c r="U604" s="143"/>
      <c r="V604" s="143"/>
      <c r="W604" s="143"/>
      <c r="X604" s="143"/>
      <c r="Y604" s="143"/>
    </row>
    <row r="605" spans="1:25" ht="13">
      <c r="A605" s="156"/>
      <c r="B605" s="142"/>
      <c r="C605" s="143"/>
      <c r="D605" s="144"/>
      <c r="E605" s="143"/>
      <c r="F605" s="143"/>
      <c r="G605" s="143"/>
      <c r="H605" s="143"/>
      <c r="I605" s="143"/>
      <c r="J605" s="143"/>
      <c r="K605" s="143"/>
      <c r="L605" s="143"/>
      <c r="M605" s="143"/>
      <c r="N605" s="143"/>
      <c r="O605" s="143"/>
      <c r="P605" s="143"/>
      <c r="Q605" s="143"/>
      <c r="R605" s="143"/>
      <c r="S605" s="143"/>
      <c r="T605" s="143"/>
      <c r="U605" s="143"/>
      <c r="V605" s="143"/>
      <c r="W605" s="143"/>
      <c r="X605" s="143"/>
      <c r="Y605" s="143"/>
    </row>
    <row r="606" spans="1:25" ht="13">
      <c r="A606" s="156"/>
      <c r="B606" s="142"/>
      <c r="C606" s="143"/>
      <c r="D606" s="144"/>
      <c r="E606" s="143"/>
      <c r="F606" s="143"/>
      <c r="G606" s="143"/>
      <c r="H606" s="143"/>
      <c r="I606" s="143"/>
      <c r="J606" s="143"/>
      <c r="K606" s="143"/>
      <c r="L606" s="143"/>
      <c r="M606" s="143"/>
      <c r="N606" s="143"/>
      <c r="O606" s="143"/>
      <c r="P606" s="143"/>
      <c r="Q606" s="143"/>
      <c r="R606" s="143"/>
      <c r="S606" s="143"/>
      <c r="T606" s="143"/>
      <c r="U606" s="143"/>
      <c r="V606" s="143"/>
      <c r="W606" s="143"/>
      <c r="X606" s="143"/>
      <c r="Y606" s="143"/>
    </row>
    <row r="607" spans="1:25" ht="13">
      <c r="A607" s="156"/>
      <c r="B607" s="142"/>
      <c r="C607" s="143"/>
      <c r="D607" s="144"/>
      <c r="E607" s="143"/>
      <c r="F607" s="143"/>
      <c r="G607" s="143"/>
      <c r="H607" s="143"/>
      <c r="I607" s="143"/>
      <c r="J607" s="143"/>
      <c r="K607" s="143"/>
      <c r="L607" s="143"/>
      <c r="M607" s="143"/>
      <c r="N607" s="143"/>
      <c r="O607" s="143"/>
      <c r="P607" s="143"/>
      <c r="Q607" s="143"/>
      <c r="R607" s="143"/>
      <c r="S607" s="143"/>
      <c r="T607" s="143"/>
      <c r="U607" s="143"/>
      <c r="V607" s="143"/>
      <c r="W607" s="143"/>
      <c r="X607" s="143"/>
      <c r="Y607" s="143"/>
    </row>
    <row r="608" spans="1:25" ht="13">
      <c r="A608" s="156"/>
      <c r="B608" s="142"/>
      <c r="C608" s="143"/>
      <c r="D608" s="144"/>
      <c r="E608" s="143"/>
      <c r="F608" s="143"/>
      <c r="G608" s="143"/>
      <c r="H608" s="143"/>
      <c r="I608" s="143"/>
      <c r="J608" s="143"/>
      <c r="K608" s="143"/>
      <c r="L608" s="143"/>
      <c r="M608" s="143"/>
      <c r="N608" s="143"/>
      <c r="O608" s="143"/>
      <c r="P608" s="143"/>
      <c r="Q608" s="143"/>
      <c r="R608" s="143"/>
      <c r="S608" s="143"/>
      <c r="T608" s="143"/>
      <c r="U608" s="143"/>
      <c r="V608" s="143"/>
      <c r="W608" s="143"/>
      <c r="X608" s="143"/>
      <c r="Y608" s="143"/>
    </row>
    <row r="609" spans="1:25" ht="13">
      <c r="A609" s="156"/>
      <c r="B609" s="142"/>
      <c r="C609" s="143"/>
      <c r="D609" s="144"/>
      <c r="E609" s="143"/>
      <c r="F609" s="143"/>
      <c r="G609" s="143"/>
      <c r="H609" s="143"/>
      <c r="I609" s="143"/>
      <c r="J609" s="143"/>
      <c r="K609" s="143"/>
      <c r="L609" s="143"/>
      <c r="M609" s="143"/>
      <c r="N609" s="143"/>
      <c r="O609" s="143"/>
      <c r="P609" s="143"/>
      <c r="Q609" s="143"/>
      <c r="R609" s="143"/>
      <c r="S609" s="143"/>
      <c r="T609" s="143"/>
      <c r="U609" s="143"/>
      <c r="V609" s="143"/>
      <c r="W609" s="143"/>
      <c r="X609" s="143"/>
      <c r="Y609" s="143"/>
    </row>
    <row r="610" spans="1:25" ht="13">
      <c r="A610" s="156"/>
      <c r="B610" s="142"/>
      <c r="C610" s="143"/>
      <c r="D610" s="144"/>
      <c r="E610" s="143"/>
      <c r="F610" s="143"/>
      <c r="G610" s="143"/>
      <c r="H610" s="143"/>
      <c r="I610" s="143"/>
      <c r="J610" s="143"/>
      <c r="K610" s="143"/>
      <c r="L610" s="143"/>
      <c r="M610" s="143"/>
      <c r="N610" s="143"/>
      <c r="O610" s="143"/>
      <c r="P610" s="143"/>
      <c r="Q610" s="143"/>
      <c r="R610" s="143"/>
      <c r="S610" s="143"/>
      <c r="T610" s="143"/>
      <c r="U610" s="143"/>
      <c r="V610" s="143"/>
      <c r="W610" s="143"/>
      <c r="X610" s="143"/>
      <c r="Y610" s="143"/>
    </row>
    <row r="611" spans="1:25" ht="13">
      <c r="A611" s="156"/>
      <c r="B611" s="142"/>
      <c r="C611" s="143"/>
      <c r="D611" s="144"/>
      <c r="E611" s="143"/>
      <c r="F611" s="143"/>
      <c r="G611" s="143"/>
      <c r="H611" s="143"/>
      <c r="I611" s="143"/>
      <c r="J611" s="143"/>
      <c r="K611" s="143"/>
      <c r="L611" s="143"/>
      <c r="M611" s="143"/>
      <c r="N611" s="143"/>
      <c r="O611" s="143"/>
      <c r="P611" s="143"/>
      <c r="Q611" s="143"/>
      <c r="R611" s="143"/>
      <c r="S611" s="143"/>
      <c r="T611" s="143"/>
      <c r="U611" s="143"/>
      <c r="V611" s="143"/>
      <c r="W611" s="143"/>
      <c r="X611" s="143"/>
      <c r="Y611" s="143"/>
    </row>
    <row r="612" spans="1:25" ht="13">
      <c r="A612" s="156"/>
      <c r="B612" s="142"/>
      <c r="C612" s="143"/>
      <c r="D612" s="144"/>
      <c r="E612" s="143"/>
      <c r="F612" s="143"/>
      <c r="G612" s="143"/>
      <c r="H612" s="143"/>
      <c r="I612" s="143"/>
      <c r="J612" s="143"/>
      <c r="K612" s="143"/>
      <c r="L612" s="143"/>
      <c r="M612" s="143"/>
      <c r="N612" s="143"/>
      <c r="O612" s="143"/>
      <c r="P612" s="143"/>
      <c r="Q612" s="143"/>
      <c r="R612" s="143"/>
      <c r="S612" s="143"/>
      <c r="T612" s="143"/>
      <c r="U612" s="143"/>
      <c r="V612" s="143"/>
      <c r="W612" s="143"/>
      <c r="X612" s="143"/>
      <c r="Y612" s="143"/>
    </row>
    <row r="613" spans="1:25" ht="13">
      <c r="A613" s="156"/>
      <c r="B613" s="142"/>
      <c r="C613" s="143"/>
      <c r="D613" s="144"/>
      <c r="E613" s="143"/>
      <c r="F613" s="143"/>
      <c r="G613" s="143"/>
      <c r="H613" s="143"/>
      <c r="I613" s="143"/>
      <c r="J613" s="143"/>
      <c r="K613" s="143"/>
      <c r="L613" s="143"/>
      <c r="M613" s="143"/>
      <c r="N613" s="143"/>
      <c r="O613" s="143"/>
      <c r="P613" s="143"/>
      <c r="Q613" s="143"/>
      <c r="R613" s="143"/>
      <c r="S613" s="143"/>
      <c r="T613" s="143"/>
      <c r="U613" s="143"/>
      <c r="V613" s="143"/>
      <c r="W613" s="143"/>
      <c r="X613" s="143"/>
      <c r="Y613" s="143"/>
    </row>
    <row r="614" spans="1:25" ht="13">
      <c r="A614" s="156"/>
      <c r="B614" s="142"/>
      <c r="C614" s="143"/>
      <c r="D614" s="144"/>
      <c r="E614" s="143"/>
      <c r="F614" s="143"/>
      <c r="G614" s="143"/>
      <c r="H614" s="143"/>
      <c r="I614" s="143"/>
      <c r="J614" s="143"/>
      <c r="K614" s="143"/>
      <c r="L614" s="143"/>
      <c r="M614" s="143"/>
      <c r="N614" s="143"/>
      <c r="O614" s="143"/>
      <c r="P614" s="143"/>
      <c r="Q614" s="143"/>
      <c r="R614" s="143"/>
      <c r="S614" s="143"/>
      <c r="T614" s="143"/>
      <c r="U614" s="143"/>
      <c r="V614" s="143"/>
      <c r="W614" s="143"/>
      <c r="X614" s="143"/>
      <c r="Y614" s="143"/>
    </row>
    <row r="615" spans="1:25" ht="13">
      <c r="A615" s="156"/>
      <c r="B615" s="142"/>
      <c r="C615" s="143"/>
      <c r="D615" s="144"/>
      <c r="E615" s="143"/>
      <c r="F615" s="143"/>
      <c r="G615" s="143"/>
      <c r="H615" s="143"/>
      <c r="I615" s="143"/>
      <c r="J615" s="143"/>
      <c r="K615" s="143"/>
      <c r="L615" s="143"/>
      <c r="M615" s="143"/>
      <c r="N615" s="143"/>
      <c r="O615" s="143"/>
      <c r="P615" s="143"/>
      <c r="Q615" s="143"/>
      <c r="R615" s="143"/>
      <c r="S615" s="143"/>
      <c r="T615" s="143"/>
      <c r="U615" s="143"/>
      <c r="V615" s="143"/>
      <c r="W615" s="143"/>
      <c r="X615" s="143"/>
      <c r="Y615" s="143"/>
    </row>
    <row r="616" spans="1:25" ht="13">
      <c r="A616" s="156"/>
      <c r="B616" s="142"/>
      <c r="C616" s="143"/>
      <c r="D616" s="144"/>
      <c r="E616" s="143"/>
      <c r="F616" s="143"/>
      <c r="G616" s="143"/>
      <c r="H616" s="143"/>
      <c r="I616" s="143"/>
      <c r="J616" s="143"/>
      <c r="K616" s="143"/>
      <c r="L616" s="143"/>
      <c r="M616" s="143"/>
      <c r="N616" s="143"/>
      <c r="O616" s="143"/>
      <c r="P616" s="143"/>
      <c r="Q616" s="143"/>
      <c r="R616" s="143"/>
      <c r="S616" s="143"/>
      <c r="T616" s="143"/>
      <c r="U616" s="143"/>
      <c r="V616" s="143"/>
      <c r="W616" s="143"/>
      <c r="X616" s="143"/>
      <c r="Y616" s="143"/>
    </row>
    <row r="617" spans="1:25" ht="13">
      <c r="A617" s="156"/>
      <c r="B617" s="142"/>
      <c r="C617" s="143"/>
      <c r="D617" s="144"/>
      <c r="E617" s="143"/>
      <c r="F617" s="143"/>
      <c r="G617" s="143"/>
      <c r="H617" s="143"/>
      <c r="I617" s="143"/>
      <c r="J617" s="143"/>
      <c r="K617" s="143"/>
      <c r="L617" s="143"/>
      <c r="M617" s="143"/>
      <c r="N617" s="143"/>
      <c r="O617" s="143"/>
      <c r="P617" s="143"/>
      <c r="Q617" s="143"/>
      <c r="R617" s="143"/>
      <c r="S617" s="143"/>
      <c r="T617" s="143"/>
      <c r="U617" s="143"/>
      <c r="V617" s="143"/>
      <c r="W617" s="143"/>
      <c r="X617" s="143"/>
      <c r="Y617" s="143"/>
    </row>
    <row r="618" spans="1:25" ht="13">
      <c r="A618" s="156"/>
      <c r="B618" s="142"/>
      <c r="C618" s="143"/>
      <c r="D618" s="144"/>
      <c r="E618" s="143"/>
      <c r="F618" s="143"/>
      <c r="G618" s="143"/>
      <c r="H618" s="143"/>
      <c r="I618" s="143"/>
      <c r="J618" s="143"/>
      <c r="K618" s="143"/>
      <c r="L618" s="143"/>
      <c r="M618" s="143"/>
      <c r="N618" s="143"/>
      <c r="O618" s="143"/>
      <c r="P618" s="143"/>
      <c r="Q618" s="143"/>
      <c r="R618" s="143"/>
      <c r="S618" s="143"/>
      <c r="T618" s="143"/>
      <c r="U618" s="143"/>
      <c r="V618" s="143"/>
      <c r="W618" s="143"/>
      <c r="X618" s="143"/>
      <c r="Y618" s="143"/>
    </row>
    <row r="619" spans="1:25" ht="13">
      <c r="A619" s="156"/>
      <c r="B619" s="142"/>
      <c r="C619" s="143"/>
      <c r="D619" s="144"/>
      <c r="E619" s="143"/>
      <c r="F619" s="143"/>
      <c r="G619" s="143"/>
      <c r="H619" s="143"/>
      <c r="I619" s="143"/>
      <c r="J619" s="143"/>
      <c r="K619" s="143"/>
      <c r="L619" s="143"/>
      <c r="M619" s="143"/>
      <c r="N619" s="143"/>
      <c r="O619" s="143"/>
      <c r="P619" s="143"/>
      <c r="Q619" s="143"/>
      <c r="R619" s="143"/>
      <c r="S619" s="143"/>
      <c r="T619" s="143"/>
      <c r="U619" s="143"/>
      <c r="V619" s="143"/>
      <c r="W619" s="143"/>
      <c r="X619" s="143"/>
      <c r="Y619" s="143"/>
    </row>
    <row r="620" spans="1:25" ht="13">
      <c r="A620" s="156"/>
      <c r="B620" s="142"/>
      <c r="C620" s="143"/>
      <c r="D620" s="144"/>
      <c r="E620" s="143"/>
      <c r="F620" s="143"/>
      <c r="G620" s="143"/>
      <c r="H620" s="143"/>
      <c r="I620" s="143"/>
      <c r="J620" s="143"/>
      <c r="K620" s="143"/>
      <c r="L620" s="143"/>
      <c r="M620" s="143"/>
      <c r="N620" s="143"/>
      <c r="O620" s="143"/>
      <c r="P620" s="143"/>
      <c r="Q620" s="143"/>
      <c r="R620" s="143"/>
      <c r="S620" s="143"/>
      <c r="T620" s="143"/>
      <c r="U620" s="143"/>
      <c r="V620" s="143"/>
      <c r="W620" s="143"/>
      <c r="X620" s="143"/>
      <c r="Y620" s="143"/>
    </row>
    <row r="621" spans="1:25" ht="13">
      <c r="A621" s="156"/>
      <c r="B621" s="142"/>
      <c r="C621" s="143"/>
      <c r="D621" s="144"/>
      <c r="E621" s="143"/>
      <c r="F621" s="143"/>
      <c r="G621" s="143"/>
      <c r="H621" s="143"/>
      <c r="I621" s="143"/>
      <c r="J621" s="143"/>
      <c r="K621" s="143"/>
      <c r="L621" s="143"/>
      <c r="M621" s="143"/>
      <c r="N621" s="143"/>
      <c r="O621" s="143"/>
      <c r="P621" s="143"/>
      <c r="Q621" s="143"/>
      <c r="R621" s="143"/>
      <c r="S621" s="143"/>
      <c r="T621" s="143"/>
      <c r="U621" s="143"/>
      <c r="V621" s="143"/>
      <c r="W621" s="143"/>
      <c r="X621" s="143"/>
      <c r="Y621" s="143"/>
    </row>
    <row r="622" spans="1:25" ht="13">
      <c r="A622" s="156"/>
      <c r="B622" s="142"/>
      <c r="C622" s="143"/>
      <c r="D622" s="144"/>
      <c r="E622" s="143"/>
      <c r="F622" s="143"/>
      <c r="G622" s="143"/>
      <c r="H622" s="143"/>
      <c r="I622" s="143"/>
      <c r="J622" s="143"/>
      <c r="K622" s="143"/>
      <c r="L622" s="143"/>
      <c r="M622" s="143"/>
      <c r="N622" s="143"/>
      <c r="O622" s="143"/>
      <c r="P622" s="143"/>
      <c r="Q622" s="143"/>
      <c r="R622" s="143"/>
      <c r="S622" s="143"/>
      <c r="T622" s="143"/>
      <c r="U622" s="143"/>
      <c r="V622" s="143"/>
      <c r="W622" s="143"/>
      <c r="X622" s="143"/>
      <c r="Y622" s="143"/>
    </row>
    <row r="623" spans="1:25" ht="13">
      <c r="A623" s="156"/>
      <c r="B623" s="142"/>
      <c r="C623" s="143"/>
      <c r="D623" s="144"/>
      <c r="E623" s="143"/>
      <c r="F623" s="143"/>
      <c r="G623" s="143"/>
      <c r="H623" s="143"/>
      <c r="I623" s="143"/>
      <c r="J623" s="143"/>
      <c r="K623" s="143"/>
      <c r="L623" s="143"/>
      <c r="M623" s="143"/>
      <c r="N623" s="143"/>
      <c r="O623" s="143"/>
      <c r="P623" s="143"/>
      <c r="Q623" s="143"/>
      <c r="R623" s="143"/>
      <c r="S623" s="143"/>
      <c r="T623" s="143"/>
      <c r="U623" s="143"/>
      <c r="V623" s="143"/>
      <c r="W623" s="143"/>
      <c r="X623" s="143"/>
      <c r="Y623" s="143"/>
    </row>
    <row r="624" spans="1:25" ht="13">
      <c r="A624" s="156"/>
      <c r="B624" s="142"/>
      <c r="C624" s="143"/>
      <c r="D624" s="144"/>
      <c r="E624" s="143"/>
      <c r="F624" s="143"/>
      <c r="G624" s="143"/>
      <c r="H624" s="143"/>
      <c r="I624" s="143"/>
      <c r="J624" s="143"/>
      <c r="K624" s="143"/>
      <c r="L624" s="143"/>
      <c r="M624" s="143"/>
      <c r="N624" s="143"/>
      <c r="O624" s="143"/>
      <c r="P624" s="143"/>
      <c r="Q624" s="143"/>
      <c r="R624" s="143"/>
      <c r="S624" s="143"/>
      <c r="T624" s="143"/>
      <c r="U624" s="143"/>
      <c r="V624" s="143"/>
      <c r="W624" s="143"/>
      <c r="X624" s="143"/>
      <c r="Y624" s="143"/>
    </row>
    <row r="625" spans="1:25" ht="13">
      <c r="A625" s="156"/>
      <c r="B625" s="142"/>
      <c r="C625" s="143"/>
      <c r="D625" s="144"/>
      <c r="E625" s="143"/>
      <c r="F625" s="143"/>
      <c r="G625" s="143"/>
      <c r="H625" s="143"/>
      <c r="I625" s="143"/>
      <c r="J625" s="143"/>
      <c r="K625" s="143"/>
      <c r="L625" s="143"/>
      <c r="M625" s="143"/>
      <c r="N625" s="143"/>
      <c r="O625" s="143"/>
      <c r="P625" s="143"/>
      <c r="Q625" s="143"/>
      <c r="R625" s="143"/>
      <c r="S625" s="143"/>
      <c r="T625" s="143"/>
      <c r="U625" s="143"/>
      <c r="V625" s="143"/>
      <c r="W625" s="143"/>
      <c r="X625" s="143"/>
      <c r="Y625" s="143"/>
    </row>
    <row r="626" spans="1:25" ht="13">
      <c r="A626" s="156"/>
      <c r="B626" s="142"/>
      <c r="C626" s="143"/>
      <c r="D626" s="144"/>
      <c r="E626" s="143"/>
      <c r="F626" s="143"/>
      <c r="G626" s="143"/>
      <c r="H626" s="143"/>
      <c r="I626" s="143"/>
      <c r="J626" s="143"/>
      <c r="K626" s="143"/>
      <c r="L626" s="143"/>
      <c r="M626" s="143"/>
      <c r="N626" s="143"/>
      <c r="O626" s="143"/>
      <c r="P626" s="143"/>
      <c r="Q626" s="143"/>
      <c r="R626" s="143"/>
      <c r="S626" s="143"/>
      <c r="T626" s="143"/>
      <c r="U626" s="143"/>
      <c r="V626" s="143"/>
      <c r="W626" s="143"/>
      <c r="X626" s="143"/>
      <c r="Y626" s="143"/>
    </row>
    <row r="627" spans="1:25" ht="13">
      <c r="A627" s="156"/>
      <c r="B627" s="142"/>
      <c r="C627" s="143"/>
      <c r="D627" s="144"/>
      <c r="E627" s="143"/>
      <c r="F627" s="143"/>
      <c r="G627" s="143"/>
      <c r="H627" s="143"/>
      <c r="I627" s="143"/>
      <c r="J627" s="143"/>
      <c r="K627" s="143"/>
      <c r="L627" s="143"/>
      <c r="M627" s="143"/>
      <c r="N627" s="143"/>
      <c r="O627" s="143"/>
      <c r="P627" s="143"/>
      <c r="Q627" s="143"/>
      <c r="R627" s="143"/>
      <c r="S627" s="143"/>
      <c r="T627" s="143"/>
      <c r="U627" s="143"/>
      <c r="V627" s="143"/>
      <c r="W627" s="143"/>
      <c r="X627" s="143"/>
      <c r="Y627" s="143"/>
    </row>
    <row r="628" spans="1:25" ht="13">
      <c r="A628" s="156"/>
      <c r="B628" s="142"/>
      <c r="C628" s="143"/>
      <c r="D628" s="144"/>
      <c r="E628" s="143"/>
      <c r="F628" s="143"/>
      <c r="G628" s="143"/>
      <c r="H628" s="143"/>
      <c r="I628" s="143"/>
      <c r="J628" s="143"/>
      <c r="K628" s="143"/>
      <c r="L628" s="143"/>
      <c r="M628" s="143"/>
      <c r="N628" s="143"/>
      <c r="O628" s="143"/>
      <c r="P628" s="143"/>
      <c r="Q628" s="143"/>
      <c r="R628" s="143"/>
      <c r="S628" s="143"/>
      <c r="T628" s="143"/>
      <c r="U628" s="143"/>
      <c r="V628" s="143"/>
      <c r="W628" s="143"/>
      <c r="X628" s="143"/>
      <c r="Y628" s="143"/>
    </row>
    <row r="629" spans="1:25" ht="13">
      <c r="A629" s="156"/>
      <c r="B629" s="142"/>
      <c r="C629" s="143"/>
      <c r="D629" s="144"/>
      <c r="E629" s="143"/>
      <c r="F629" s="143"/>
      <c r="G629" s="143"/>
      <c r="H629" s="143"/>
      <c r="I629" s="143"/>
      <c r="J629" s="143"/>
      <c r="K629" s="143"/>
      <c r="L629" s="143"/>
      <c r="M629" s="143"/>
      <c r="N629" s="143"/>
      <c r="O629" s="143"/>
      <c r="P629" s="143"/>
      <c r="Q629" s="143"/>
      <c r="R629" s="143"/>
      <c r="S629" s="143"/>
      <c r="T629" s="143"/>
      <c r="U629" s="143"/>
      <c r="V629" s="143"/>
      <c r="W629" s="143"/>
      <c r="X629" s="143"/>
      <c r="Y629" s="143"/>
    </row>
    <row r="630" spans="1:25" ht="13">
      <c r="A630" s="156"/>
      <c r="B630" s="142"/>
      <c r="C630" s="143"/>
      <c r="D630" s="144"/>
      <c r="E630" s="143"/>
      <c r="F630" s="143"/>
      <c r="G630" s="143"/>
      <c r="H630" s="143"/>
      <c r="I630" s="143"/>
      <c r="J630" s="143"/>
      <c r="K630" s="143"/>
      <c r="L630" s="143"/>
      <c r="M630" s="143"/>
      <c r="N630" s="143"/>
      <c r="O630" s="143"/>
      <c r="P630" s="143"/>
      <c r="Q630" s="143"/>
      <c r="R630" s="143"/>
      <c r="S630" s="143"/>
      <c r="T630" s="143"/>
      <c r="U630" s="143"/>
      <c r="V630" s="143"/>
      <c r="W630" s="143"/>
      <c r="X630" s="143"/>
      <c r="Y630" s="143"/>
    </row>
    <row r="631" spans="1:25" ht="13">
      <c r="A631" s="156"/>
      <c r="B631" s="142"/>
      <c r="C631" s="143"/>
      <c r="D631" s="144"/>
      <c r="E631" s="143"/>
      <c r="F631" s="143"/>
      <c r="G631" s="143"/>
      <c r="H631" s="143"/>
      <c r="I631" s="143"/>
      <c r="J631" s="143"/>
      <c r="K631" s="143"/>
      <c r="L631" s="143"/>
      <c r="M631" s="143"/>
      <c r="N631" s="143"/>
      <c r="O631" s="143"/>
      <c r="P631" s="143"/>
      <c r="Q631" s="143"/>
      <c r="R631" s="143"/>
      <c r="S631" s="143"/>
      <c r="T631" s="143"/>
      <c r="U631" s="143"/>
      <c r="V631" s="143"/>
      <c r="W631" s="143"/>
      <c r="X631" s="143"/>
      <c r="Y631" s="143"/>
    </row>
    <row r="632" spans="1:25" ht="13">
      <c r="A632" s="156"/>
      <c r="B632" s="142"/>
      <c r="C632" s="143"/>
      <c r="D632" s="144"/>
      <c r="E632" s="143"/>
      <c r="F632" s="143"/>
      <c r="G632" s="143"/>
      <c r="H632" s="143"/>
      <c r="I632" s="143"/>
      <c r="J632" s="143"/>
      <c r="K632" s="143"/>
      <c r="L632" s="143"/>
      <c r="M632" s="143"/>
      <c r="N632" s="143"/>
      <c r="O632" s="143"/>
      <c r="P632" s="143"/>
      <c r="Q632" s="143"/>
      <c r="R632" s="143"/>
      <c r="S632" s="143"/>
      <c r="T632" s="143"/>
      <c r="U632" s="143"/>
      <c r="V632" s="143"/>
      <c r="W632" s="143"/>
      <c r="X632" s="143"/>
      <c r="Y632" s="143"/>
    </row>
    <row r="633" spans="1:25" ht="13">
      <c r="A633" s="156"/>
      <c r="B633" s="142"/>
      <c r="C633" s="143"/>
      <c r="D633" s="144"/>
      <c r="E633" s="143"/>
      <c r="F633" s="143"/>
      <c r="G633" s="143"/>
      <c r="H633" s="143"/>
      <c r="I633" s="143"/>
      <c r="J633" s="143"/>
      <c r="K633" s="143"/>
      <c r="L633" s="143"/>
      <c r="M633" s="143"/>
      <c r="N633" s="143"/>
      <c r="O633" s="143"/>
      <c r="P633" s="143"/>
      <c r="Q633" s="143"/>
      <c r="R633" s="143"/>
      <c r="S633" s="143"/>
      <c r="T633" s="143"/>
      <c r="U633" s="143"/>
      <c r="V633" s="143"/>
      <c r="W633" s="143"/>
      <c r="X633" s="143"/>
      <c r="Y633" s="143"/>
    </row>
    <row r="634" spans="1:25" ht="13">
      <c r="A634" s="156"/>
      <c r="B634" s="142"/>
      <c r="C634" s="143"/>
      <c r="D634" s="144"/>
      <c r="E634" s="143"/>
      <c r="F634" s="143"/>
      <c r="G634" s="143"/>
      <c r="H634" s="143"/>
      <c r="I634" s="143"/>
      <c r="J634" s="143"/>
      <c r="K634" s="143"/>
      <c r="L634" s="143"/>
      <c r="M634" s="143"/>
      <c r="N634" s="143"/>
      <c r="O634" s="143"/>
      <c r="P634" s="143"/>
      <c r="Q634" s="143"/>
      <c r="R634" s="143"/>
      <c r="S634" s="143"/>
      <c r="T634" s="143"/>
      <c r="U634" s="143"/>
      <c r="V634" s="143"/>
      <c r="W634" s="143"/>
      <c r="X634" s="143"/>
      <c r="Y634" s="143"/>
    </row>
    <row r="635" spans="1:25" ht="13">
      <c r="A635" s="156"/>
      <c r="B635" s="142"/>
      <c r="C635" s="143"/>
      <c r="D635" s="144"/>
      <c r="E635" s="143"/>
      <c r="F635" s="143"/>
      <c r="G635" s="143"/>
      <c r="H635" s="143"/>
      <c r="I635" s="143"/>
      <c r="J635" s="143"/>
      <c r="K635" s="143"/>
      <c r="L635" s="143"/>
      <c r="M635" s="143"/>
      <c r="N635" s="143"/>
      <c r="O635" s="143"/>
      <c r="P635" s="143"/>
      <c r="Q635" s="143"/>
      <c r="R635" s="143"/>
      <c r="S635" s="143"/>
      <c r="T635" s="143"/>
      <c r="U635" s="143"/>
      <c r="V635" s="143"/>
      <c r="W635" s="143"/>
      <c r="X635" s="143"/>
      <c r="Y635" s="143"/>
    </row>
    <row r="636" spans="1:25" ht="13">
      <c r="A636" s="156"/>
      <c r="B636" s="142"/>
      <c r="C636" s="143"/>
      <c r="D636" s="144"/>
      <c r="E636" s="143"/>
      <c r="F636" s="143"/>
      <c r="G636" s="143"/>
      <c r="H636" s="143"/>
      <c r="I636" s="143"/>
      <c r="J636" s="143"/>
      <c r="K636" s="143"/>
      <c r="L636" s="143"/>
      <c r="M636" s="143"/>
      <c r="N636" s="143"/>
      <c r="O636" s="143"/>
      <c r="P636" s="143"/>
      <c r="Q636" s="143"/>
      <c r="R636" s="143"/>
      <c r="S636" s="143"/>
      <c r="T636" s="143"/>
      <c r="U636" s="143"/>
      <c r="V636" s="143"/>
      <c r="W636" s="143"/>
      <c r="X636" s="143"/>
      <c r="Y636" s="143"/>
    </row>
    <row r="637" spans="1:25" ht="13">
      <c r="A637" s="156"/>
      <c r="B637" s="142"/>
      <c r="C637" s="143"/>
      <c r="D637" s="144"/>
      <c r="E637" s="143"/>
      <c r="F637" s="143"/>
      <c r="G637" s="143"/>
      <c r="H637" s="143"/>
      <c r="I637" s="143"/>
      <c r="J637" s="143"/>
      <c r="K637" s="143"/>
      <c r="L637" s="143"/>
      <c r="M637" s="143"/>
      <c r="N637" s="143"/>
      <c r="O637" s="143"/>
      <c r="P637" s="143"/>
      <c r="Q637" s="143"/>
      <c r="R637" s="143"/>
      <c r="S637" s="143"/>
      <c r="T637" s="143"/>
      <c r="U637" s="143"/>
      <c r="V637" s="143"/>
      <c r="W637" s="143"/>
      <c r="X637" s="143"/>
      <c r="Y637" s="143"/>
    </row>
    <row r="638" spans="1:25" ht="13">
      <c r="A638" s="156"/>
      <c r="B638" s="142"/>
      <c r="C638" s="143"/>
      <c r="D638" s="144"/>
      <c r="E638" s="143"/>
      <c r="F638" s="143"/>
      <c r="G638" s="143"/>
      <c r="H638" s="143"/>
      <c r="I638" s="143"/>
      <c r="J638" s="143"/>
      <c r="K638" s="143"/>
      <c r="L638" s="143"/>
      <c r="M638" s="143"/>
      <c r="N638" s="143"/>
      <c r="O638" s="143"/>
      <c r="P638" s="143"/>
      <c r="Q638" s="143"/>
      <c r="R638" s="143"/>
      <c r="S638" s="143"/>
      <c r="T638" s="143"/>
      <c r="U638" s="143"/>
      <c r="V638" s="143"/>
      <c r="W638" s="143"/>
      <c r="X638" s="143"/>
      <c r="Y638" s="143"/>
    </row>
    <row r="639" spans="1:25" ht="13">
      <c r="A639" s="156"/>
      <c r="B639" s="142"/>
      <c r="C639" s="143"/>
      <c r="D639" s="144"/>
      <c r="E639" s="143"/>
      <c r="F639" s="143"/>
      <c r="G639" s="143"/>
      <c r="H639" s="143"/>
      <c r="I639" s="143"/>
      <c r="J639" s="143"/>
      <c r="K639" s="143"/>
      <c r="L639" s="143"/>
      <c r="M639" s="143"/>
      <c r="N639" s="143"/>
      <c r="O639" s="143"/>
      <c r="P639" s="143"/>
      <c r="Q639" s="143"/>
      <c r="R639" s="143"/>
      <c r="S639" s="143"/>
      <c r="T639" s="143"/>
      <c r="U639" s="143"/>
      <c r="V639" s="143"/>
      <c r="W639" s="143"/>
      <c r="X639" s="143"/>
      <c r="Y639" s="143"/>
    </row>
    <row r="640" spans="1:25" ht="13">
      <c r="A640" s="156"/>
      <c r="B640" s="142"/>
      <c r="C640" s="143"/>
      <c r="D640" s="144"/>
      <c r="E640" s="143"/>
      <c r="F640" s="143"/>
      <c r="G640" s="143"/>
      <c r="H640" s="143"/>
      <c r="I640" s="143"/>
      <c r="J640" s="143"/>
      <c r="K640" s="143"/>
      <c r="L640" s="143"/>
      <c r="M640" s="143"/>
      <c r="N640" s="143"/>
      <c r="O640" s="143"/>
      <c r="P640" s="143"/>
      <c r="Q640" s="143"/>
      <c r="R640" s="143"/>
      <c r="S640" s="143"/>
      <c r="T640" s="143"/>
      <c r="U640" s="143"/>
      <c r="V640" s="143"/>
      <c r="W640" s="143"/>
      <c r="X640" s="143"/>
      <c r="Y640" s="143"/>
    </row>
    <row r="641" spans="1:25" ht="13">
      <c r="A641" s="156"/>
      <c r="B641" s="142"/>
      <c r="C641" s="143"/>
      <c r="D641" s="144"/>
      <c r="E641" s="143"/>
      <c r="F641" s="143"/>
      <c r="G641" s="143"/>
      <c r="H641" s="143"/>
      <c r="I641" s="143"/>
      <c r="J641" s="143"/>
      <c r="K641" s="143"/>
      <c r="L641" s="143"/>
      <c r="M641" s="143"/>
      <c r="N641" s="143"/>
      <c r="O641" s="143"/>
      <c r="P641" s="143"/>
      <c r="Q641" s="143"/>
      <c r="R641" s="143"/>
      <c r="S641" s="143"/>
      <c r="T641" s="143"/>
      <c r="U641" s="143"/>
      <c r="V641" s="143"/>
      <c r="W641" s="143"/>
      <c r="X641" s="143"/>
      <c r="Y641" s="143"/>
    </row>
    <row r="642" spans="1:25" ht="13">
      <c r="A642" s="156"/>
      <c r="B642" s="142"/>
      <c r="C642" s="143"/>
      <c r="D642" s="144"/>
      <c r="E642" s="143"/>
      <c r="F642" s="143"/>
      <c r="G642" s="143"/>
      <c r="H642" s="143"/>
      <c r="I642" s="143"/>
      <c r="J642" s="143"/>
      <c r="K642" s="143"/>
      <c r="L642" s="143"/>
      <c r="M642" s="143"/>
      <c r="N642" s="143"/>
      <c r="O642" s="143"/>
      <c r="P642" s="143"/>
      <c r="Q642" s="143"/>
      <c r="R642" s="143"/>
      <c r="S642" s="143"/>
      <c r="T642" s="143"/>
      <c r="U642" s="143"/>
      <c r="V642" s="143"/>
      <c r="W642" s="143"/>
      <c r="X642" s="143"/>
      <c r="Y642" s="143"/>
    </row>
    <row r="643" spans="1:25" ht="13">
      <c r="A643" s="156"/>
      <c r="B643" s="142"/>
      <c r="C643" s="143"/>
      <c r="D643" s="144"/>
      <c r="E643" s="143"/>
      <c r="F643" s="143"/>
      <c r="G643" s="143"/>
      <c r="H643" s="143"/>
      <c r="I643" s="143"/>
      <c r="J643" s="143"/>
      <c r="K643" s="143"/>
      <c r="L643" s="143"/>
      <c r="M643" s="143"/>
      <c r="N643" s="143"/>
      <c r="O643" s="143"/>
      <c r="P643" s="143"/>
      <c r="Q643" s="143"/>
      <c r="R643" s="143"/>
      <c r="S643" s="143"/>
      <c r="T643" s="143"/>
      <c r="U643" s="143"/>
      <c r="V643" s="143"/>
      <c r="W643" s="143"/>
      <c r="X643" s="143"/>
      <c r="Y643" s="143"/>
    </row>
    <row r="644" spans="1:25" ht="13">
      <c r="A644" s="156"/>
      <c r="B644" s="142"/>
      <c r="C644" s="143"/>
      <c r="D644" s="144"/>
      <c r="E644" s="143"/>
      <c r="F644" s="143"/>
      <c r="G644" s="143"/>
      <c r="H644" s="143"/>
      <c r="I644" s="143"/>
      <c r="J644" s="143"/>
      <c r="K644" s="143"/>
      <c r="L644" s="143"/>
      <c r="M644" s="143"/>
      <c r="N644" s="143"/>
      <c r="O644" s="143"/>
      <c r="P644" s="143"/>
      <c r="Q644" s="143"/>
      <c r="R644" s="143"/>
      <c r="S644" s="143"/>
      <c r="T644" s="143"/>
      <c r="U644" s="143"/>
      <c r="V644" s="143"/>
      <c r="W644" s="143"/>
      <c r="X644" s="143"/>
      <c r="Y644" s="143"/>
    </row>
    <row r="645" spans="1:25" ht="13">
      <c r="A645" s="156"/>
      <c r="B645" s="142"/>
      <c r="C645" s="143"/>
      <c r="D645" s="144"/>
      <c r="E645" s="143"/>
      <c r="F645" s="143"/>
      <c r="G645" s="143"/>
      <c r="H645" s="143"/>
      <c r="I645" s="143"/>
      <c r="J645" s="143"/>
      <c r="K645" s="143"/>
      <c r="L645" s="143"/>
      <c r="M645" s="143"/>
      <c r="N645" s="143"/>
      <c r="O645" s="143"/>
      <c r="P645" s="143"/>
      <c r="Q645" s="143"/>
      <c r="R645" s="143"/>
      <c r="S645" s="143"/>
      <c r="T645" s="143"/>
      <c r="U645" s="143"/>
      <c r="V645" s="143"/>
      <c r="W645" s="143"/>
      <c r="X645" s="143"/>
      <c r="Y645" s="143"/>
    </row>
    <row r="646" spans="1:25" ht="13">
      <c r="A646" s="156"/>
      <c r="B646" s="142"/>
      <c r="C646" s="143"/>
      <c r="D646" s="144"/>
      <c r="E646" s="143"/>
      <c r="F646" s="143"/>
      <c r="G646" s="143"/>
      <c r="H646" s="143"/>
      <c r="I646" s="143"/>
      <c r="J646" s="143"/>
      <c r="K646" s="143"/>
      <c r="L646" s="143"/>
      <c r="M646" s="143"/>
      <c r="N646" s="143"/>
      <c r="O646" s="143"/>
      <c r="P646" s="143"/>
      <c r="Q646" s="143"/>
      <c r="R646" s="143"/>
      <c r="S646" s="143"/>
      <c r="T646" s="143"/>
      <c r="U646" s="143"/>
      <c r="V646" s="143"/>
      <c r="W646" s="143"/>
      <c r="X646" s="143"/>
      <c r="Y646" s="143"/>
    </row>
    <row r="647" spans="1:25" ht="13">
      <c r="A647" s="156"/>
      <c r="B647" s="142"/>
      <c r="C647" s="143"/>
      <c r="D647" s="144"/>
      <c r="E647" s="143"/>
      <c r="F647" s="143"/>
      <c r="G647" s="143"/>
      <c r="H647" s="143"/>
      <c r="I647" s="143"/>
      <c r="J647" s="143"/>
      <c r="K647" s="143"/>
      <c r="L647" s="143"/>
      <c r="M647" s="143"/>
      <c r="N647" s="143"/>
      <c r="O647" s="143"/>
      <c r="P647" s="143"/>
      <c r="Q647" s="143"/>
      <c r="R647" s="143"/>
      <c r="S647" s="143"/>
      <c r="T647" s="143"/>
      <c r="U647" s="143"/>
      <c r="V647" s="143"/>
      <c r="W647" s="143"/>
      <c r="X647" s="143"/>
      <c r="Y647" s="143"/>
    </row>
    <row r="648" spans="1:25" ht="13">
      <c r="A648" s="156"/>
      <c r="B648" s="142"/>
      <c r="C648" s="143"/>
      <c r="D648" s="144"/>
      <c r="E648" s="143"/>
      <c r="F648" s="143"/>
      <c r="G648" s="143"/>
      <c r="H648" s="143"/>
      <c r="I648" s="143"/>
      <c r="J648" s="143"/>
      <c r="K648" s="143"/>
      <c r="L648" s="143"/>
      <c r="M648" s="143"/>
      <c r="N648" s="143"/>
      <c r="O648" s="143"/>
      <c r="P648" s="143"/>
      <c r="Q648" s="143"/>
      <c r="R648" s="143"/>
      <c r="S648" s="143"/>
      <c r="T648" s="143"/>
      <c r="U648" s="143"/>
      <c r="V648" s="143"/>
      <c r="W648" s="143"/>
      <c r="X648" s="143"/>
      <c r="Y648" s="143"/>
    </row>
    <row r="649" spans="1:25" ht="13">
      <c r="A649" s="156"/>
      <c r="B649" s="142"/>
      <c r="C649" s="143"/>
      <c r="D649" s="144"/>
      <c r="E649" s="143"/>
      <c r="F649" s="143"/>
      <c r="G649" s="143"/>
      <c r="H649" s="143"/>
      <c r="I649" s="143"/>
      <c r="J649" s="143"/>
      <c r="K649" s="143"/>
      <c r="L649" s="143"/>
      <c r="M649" s="143"/>
      <c r="N649" s="143"/>
      <c r="O649" s="143"/>
      <c r="P649" s="143"/>
      <c r="Q649" s="143"/>
      <c r="R649" s="143"/>
      <c r="S649" s="143"/>
      <c r="T649" s="143"/>
      <c r="U649" s="143"/>
      <c r="V649" s="143"/>
      <c r="W649" s="143"/>
      <c r="X649" s="143"/>
      <c r="Y649" s="143"/>
    </row>
    <row r="650" spans="1:25" ht="13">
      <c r="A650" s="156"/>
      <c r="B650" s="142"/>
      <c r="C650" s="143"/>
      <c r="D650" s="144"/>
      <c r="E650" s="143"/>
      <c r="F650" s="143"/>
      <c r="G650" s="143"/>
      <c r="H650" s="143"/>
      <c r="I650" s="143"/>
      <c r="J650" s="143"/>
      <c r="K650" s="143"/>
      <c r="L650" s="143"/>
      <c r="M650" s="143"/>
      <c r="N650" s="143"/>
      <c r="O650" s="143"/>
      <c r="P650" s="143"/>
      <c r="Q650" s="143"/>
      <c r="R650" s="143"/>
      <c r="S650" s="143"/>
      <c r="T650" s="143"/>
      <c r="U650" s="143"/>
      <c r="V650" s="143"/>
      <c r="W650" s="143"/>
      <c r="X650" s="143"/>
      <c r="Y650" s="143"/>
    </row>
    <row r="651" spans="1:25" ht="13">
      <c r="A651" s="156"/>
      <c r="B651" s="142"/>
      <c r="C651" s="143"/>
      <c r="D651" s="144"/>
      <c r="E651" s="143"/>
      <c r="F651" s="143"/>
      <c r="G651" s="143"/>
      <c r="H651" s="143"/>
      <c r="I651" s="143"/>
      <c r="J651" s="143"/>
      <c r="K651" s="143"/>
      <c r="L651" s="143"/>
      <c r="M651" s="143"/>
      <c r="N651" s="143"/>
      <c r="O651" s="143"/>
      <c r="P651" s="143"/>
      <c r="Q651" s="143"/>
      <c r="R651" s="143"/>
      <c r="S651" s="143"/>
      <c r="T651" s="143"/>
      <c r="U651" s="143"/>
      <c r="V651" s="143"/>
      <c r="W651" s="143"/>
      <c r="X651" s="143"/>
      <c r="Y651" s="143"/>
    </row>
    <row r="652" spans="1:25" ht="13">
      <c r="A652" s="156"/>
      <c r="B652" s="142"/>
      <c r="C652" s="143"/>
      <c r="D652" s="144"/>
      <c r="E652" s="143"/>
      <c r="F652" s="143"/>
      <c r="G652" s="143"/>
      <c r="H652" s="143"/>
      <c r="I652" s="143"/>
      <c r="J652" s="143"/>
      <c r="K652" s="143"/>
      <c r="L652" s="143"/>
      <c r="M652" s="143"/>
      <c r="N652" s="143"/>
      <c r="O652" s="143"/>
      <c r="P652" s="143"/>
      <c r="Q652" s="143"/>
      <c r="R652" s="143"/>
      <c r="S652" s="143"/>
      <c r="T652" s="143"/>
      <c r="U652" s="143"/>
      <c r="V652" s="143"/>
      <c r="W652" s="143"/>
      <c r="X652" s="143"/>
      <c r="Y652" s="143"/>
    </row>
    <row r="653" spans="1:25" ht="13">
      <c r="A653" s="156"/>
      <c r="B653" s="142"/>
      <c r="C653" s="143"/>
      <c r="D653" s="144"/>
      <c r="E653" s="143"/>
      <c r="F653" s="143"/>
      <c r="G653" s="143"/>
      <c r="H653" s="143"/>
      <c r="I653" s="143"/>
      <c r="J653" s="143"/>
      <c r="K653" s="143"/>
      <c r="L653" s="143"/>
      <c r="M653" s="143"/>
      <c r="N653" s="143"/>
      <c r="O653" s="143"/>
      <c r="P653" s="143"/>
      <c r="Q653" s="143"/>
      <c r="R653" s="143"/>
      <c r="S653" s="143"/>
      <c r="T653" s="143"/>
      <c r="U653" s="143"/>
      <c r="V653" s="143"/>
      <c r="W653" s="143"/>
      <c r="X653" s="143"/>
      <c r="Y653" s="143"/>
    </row>
    <row r="654" spans="1:25" ht="13">
      <c r="A654" s="156"/>
      <c r="B654" s="142"/>
      <c r="C654" s="143"/>
      <c r="D654" s="144"/>
      <c r="E654" s="143"/>
      <c r="F654" s="143"/>
      <c r="G654" s="143"/>
      <c r="H654" s="143"/>
      <c r="I654" s="143"/>
      <c r="J654" s="143"/>
      <c r="K654" s="143"/>
      <c r="L654" s="143"/>
      <c r="M654" s="143"/>
      <c r="N654" s="143"/>
      <c r="O654" s="143"/>
      <c r="P654" s="143"/>
      <c r="Q654" s="143"/>
      <c r="R654" s="143"/>
      <c r="S654" s="143"/>
      <c r="T654" s="143"/>
      <c r="U654" s="143"/>
      <c r="V654" s="143"/>
      <c r="W654" s="143"/>
      <c r="X654" s="143"/>
      <c r="Y654" s="143"/>
    </row>
    <row r="655" spans="1:25" ht="13">
      <c r="A655" s="156"/>
      <c r="B655" s="142"/>
      <c r="C655" s="143"/>
      <c r="D655" s="144"/>
      <c r="E655" s="143"/>
      <c r="F655" s="143"/>
      <c r="G655" s="143"/>
      <c r="H655" s="143"/>
      <c r="I655" s="143"/>
      <c r="J655" s="143"/>
      <c r="K655" s="143"/>
      <c r="L655" s="143"/>
      <c r="M655" s="143"/>
      <c r="N655" s="143"/>
      <c r="O655" s="143"/>
      <c r="P655" s="143"/>
      <c r="Q655" s="143"/>
      <c r="R655" s="143"/>
      <c r="S655" s="143"/>
      <c r="T655" s="143"/>
      <c r="U655" s="143"/>
      <c r="V655" s="143"/>
      <c r="W655" s="143"/>
      <c r="X655" s="143"/>
      <c r="Y655" s="143"/>
    </row>
    <row r="656" spans="1:25" ht="13">
      <c r="A656" s="156"/>
      <c r="B656" s="142"/>
      <c r="C656" s="143"/>
      <c r="D656" s="144"/>
      <c r="E656" s="143"/>
      <c r="F656" s="143"/>
      <c r="G656" s="143"/>
      <c r="H656" s="143"/>
      <c r="I656" s="143"/>
      <c r="J656" s="143"/>
      <c r="K656" s="143"/>
      <c r="L656" s="143"/>
      <c r="M656" s="143"/>
      <c r="N656" s="143"/>
      <c r="O656" s="143"/>
      <c r="P656" s="143"/>
      <c r="Q656" s="143"/>
      <c r="R656" s="143"/>
      <c r="S656" s="143"/>
      <c r="T656" s="143"/>
      <c r="U656" s="143"/>
      <c r="V656" s="143"/>
      <c r="W656" s="143"/>
      <c r="X656" s="143"/>
      <c r="Y656" s="143"/>
    </row>
    <row r="657" spans="1:25" ht="13">
      <c r="A657" s="156"/>
      <c r="B657" s="142"/>
      <c r="C657" s="143"/>
      <c r="D657" s="144"/>
      <c r="E657" s="143"/>
      <c r="F657" s="143"/>
      <c r="G657" s="143"/>
      <c r="H657" s="143"/>
      <c r="I657" s="143"/>
      <c r="J657" s="143"/>
      <c r="K657" s="143"/>
      <c r="L657" s="143"/>
      <c r="M657" s="143"/>
      <c r="N657" s="143"/>
      <c r="O657" s="143"/>
      <c r="P657" s="143"/>
      <c r="Q657" s="143"/>
      <c r="R657" s="143"/>
      <c r="S657" s="143"/>
      <c r="T657" s="143"/>
      <c r="U657" s="143"/>
      <c r="V657" s="143"/>
      <c r="W657" s="143"/>
      <c r="X657" s="143"/>
      <c r="Y657" s="143"/>
    </row>
    <row r="658" spans="1:25" ht="13">
      <c r="A658" s="156"/>
      <c r="B658" s="142"/>
      <c r="C658" s="143"/>
      <c r="D658" s="144"/>
      <c r="E658" s="143"/>
      <c r="F658" s="143"/>
      <c r="G658" s="143"/>
      <c r="H658" s="143"/>
      <c r="I658" s="143"/>
      <c r="J658" s="143"/>
      <c r="K658" s="143"/>
      <c r="L658" s="143"/>
      <c r="M658" s="143"/>
      <c r="N658" s="143"/>
      <c r="O658" s="143"/>
      <c r="P658" s="143"/>
      <c r="Q658" s="143"/>
      <c r="R658" s="143"/>
      <c r="S658" s="143"/>
      <c r="T658" s="143"/>
      <c r="U658" s="143"/>
      <c r="V658" s="143"/>
      <c r="W658" s="143"/>
      <c r="X658" s="143"/>
      <c r="Y658" s="143"/>
    </row>
    <row r="659" spans="1:25" ht="13">
      <c r="A659" s="156"/>
      <c r="B659" s="142"/>
      <c r="C659" s="143"/>
      <c r="D659" s="144"/>
      <c r="E659" s="143"/>
      <c r="F659" s="143"/>
      <c r="G659" s="143"/>
      <c r="H659" s="143"/>
      <c r="I659" s="143"/>
      <c r="J659" s="143"/>
      <c r="K659" s="143"/>
      <c r="L659" s="143"/>
      <c r="M659" s="143"/>
      <c r="N659" s="143"/>
      <c r="O659" s="143"/>
      <c r="P659" s="143"/>
      <c r="Q659" s="143"/>
      <c r="R659" s="143"/>
      <c r="S659" s="143"/>
      <c r="T659" s="143"/>
      <c r="U659" s="143"/>
      <c r="V659" s="143"/>
      <c r="W659" s="143"/>
      <c r="X659" s="143"/>
      <c r="Y659" s="143"/>
    </row>
    <row r="660" spans="1:25" ht="13">
      <c r="A660" s="156"/>
      <c r="B660" s="142"/>
      <c r="C660" s="143"/>
      <c r="D660" s="144"/>
      <c r="E660" s="143"/>
      <c r="F660" s="143"/>
      <c r="G660" s="143"/>
      <c r="H660" s="143"/>
      <c r="I660" s="143"/>
      <c r="J660" s="143"/>
      <c r="K660" s="143"/>
      <c r="L660" s="143"/>
      <c r="M660" s="143"/>
      <c r="N660" s="143"/>
      <c r="O660" s="143"/>
      <c r="P660" s="143"/>
      <c r="Q660" s="143"/>
      <c r="R660" s="143"/>
      <c r="S660" s="143"/>
      <c r="T660" s="143"/>
      <c r="U660" s="143"/>
      <c r="V660" s="143"/>
      <c r="W660" s="143"/>
      <c r="X660" s="143"/>
      <c r="Y660" s="143"/>
    </row>
    <row r="661" spans="1:25" ht="13">
      <c r="A661" s="156"/>
      <c r="B661" s="142"/>
      <c r="C661" s="143"/>
      <c r="D661" s="144"/>
      <c r="E661" s="143"/>
      <c r="F661" s="143"/>
      <c r="G661" s="143"/>
      <c r="H661" s="143"/>
      <c r="I661" s="143"/>
      <c r="J661" s="143"/>
      <c r="K661" s="143"/>
      <c r="L661" s="143"/>
      <c r="M661" s="143"/>
      <c r="N661" s="143"/>
      <c r="O661" s="143"/>
      <c r="P661" s="143"/>
      <c r="Q661" s="143"/>
      <c r="R661" s="143"/>
      <c r="S661" s="143"/>
      <c r="T661" s="143"/>
      <c r="U661" s="143"/>
      <c r="V661" s="143"/>
      <c r="W661" s="143"/>
      <c r="X661" s="143"/>
      <c r="Y661" s="143"/>
    </row>
    <row r="662" spans="1:25" ht="13">
      <c r="A662" s="156"/>
      <c r="B662" s="142"/>
      <c r="C662" s="143"/>
      <c r="D662" s="144"/>
      <c r="E662" s="143"/>
      <c r="F662" s="143"/>
      <c r="G662" s="143"/>
      <c r="H662" s="143"/>
      <c r="I662" s="143"/>
      <c r="J662" s="143"/>
      <c r="K662" s="143"/>
      <c r="L662" s="143"/>
      <c r="M662" s="143"/>
      <c r="N662" s="143"/>
      <c r="O662" s="143"/>
      <c r="P662" s="143"/>
      <c r="Q662" s="143"/>
      <c r="R662" s="143"/>
      <c r="S662" s="143"/>
      <c r="T662" s="143"/>
      <c r="U662" s="143"/>
      <c r="V662" s="143"/>
      <c r="W662" s="143"/>
      <c r="X662" s="143"/>
      <c r="Y662" s="143"/>
    </row>
    <row r="663" spans="1:25" ht="13">
      <c r="A663" s="156"/>
      <c r="B663" s="142"/>
      <c r="C663" s="143"/>
      <c r="D663" s="144"/>
      <c r="E663" s="143"/>
      <c r="F663" s="143"/>
      <c r="G663" s="143"/>
      <c r="H663" s="143"/>
      <c r="I663" s="143"/>
      <c r="J663" s="143"/>
      <c r="K663" s="143"/>
      <c r="L663" s="143"/>
      <c r="M663" s="143"/>
      <c r="N663" s="143"/>
      <c r="O663" s="143"/>
      <c r="P663" s="143"/>
      <c r="Q663" s="143"/>
      <c r="R663" s="143"/>
      <c r="S663" s="143"/>
      <c r="T663" s="143"/>
      <c r="U663" s="143"/>
      <c r="V663" s="143"/>
      <c r="W663" s="143"/>
      <c r="X663" s="143"/>
      <c r="Y663" s="143"/>
    </row>
    <row r="664" spans="1:25" ht="13">
      <c r="A664" s="156"/>
      <c r="B664" s="142"/>
      <c r="C664" s="143"/>
      <c r="D664" s="144"/>
      <c r="E664" s="143"/>
      <c r="F664" s="143"/>
      <c r="G664" s="143"/>
      <c r="H664" s="143"/>
      <c r="I664" s="143"/>
      <c r="J664" s="143"/>
      <c r="K664" s="143"/>
      <c r="L664" s="143"/>
      <c r="M664" s="143"/>
      <c r="N664" s="143"/>
      <c r="O664" s="143"/>
      <c r="P664" s="143"/>
      <c r="Q664" s="143"/>
      <c r="R664" s="143"/>
      <c r="S664" s="143"/>
      <c r="T664" s="143"/>
      <c r="U664" s="143"/>
      <c r="V664" s="143"/>
      <c r="W664" s="143"/>
      <c r="X664" s="143"/>
      <c r="Y664" s="143"/>
    </row>
    <row r="665" spans="1:25" ht="13">
      <c r="A665" s="156"/>
      <c r="B665" s="142"/>
      <c r="C665" s="143"/>
      <c r="D665" s="144"/>
      <c r="E665" s="143"/>
      <c r="F665" s="143"/>
      <c r="G665" s="143"/>
      <c r="H665" s="143"/>
      <c r="I665" s="143"/>
      <c r="J665" s="143"/>
      <c r="K665" s="143"/>
      <c r="L665" s="143"/>
      <c r="M665" s="143"/>
      <c r="N665" s="143"/>
      <c r="O665" s="143"/>
      <c r="P665" s="143"/>
      <c r="Q665" s="143"/>
      <c r="R665" s="143"/>
      <c r="S665" s="143"/>
      <c r="T665" s="143"/>
      <c r="U665" s="143"/>
      <c r="V665" s="143"/>
      <c r="W665" s="143"/>
      <c r="X665" s="143"/>
      <c r="Y665" s="143"/>
    </row>
    <row r="666" spans="1:25" ht="13">
      <c r="A666" s="156"/>
      <c r="B666" s="142"/>
      <c r="C666" s="143"/>
      <c r="D666" s="144"/>
      <c r="E666" s="143"/>
      <c r="F666" s="143"/>
      <c r="G666" s="143"/>
      <c r="H666" s="143"/>
      <c r="I666" s="143"/>
      <c r="J666" s="143"/>
      <c r="K666" s="143"/>
      <c r="L666" s="143"/>
      <c r="M666" s="143"/>
      <c r="N666" s="143"/>
      <c r="O666" s="143"/>
      <c r="P666" s="143"/>
      <c r="Q666" s="143"/>
      <c r="R666" s="143"/>
      <c r="S666" s="143"/>
      <c r="T666" s="143"/>
      <c r="U666" s="143"/>
      <c r="V666" s="143"/>
      <c r="W666" s="143"/>
      <c r="X666" s="143"/>
      <c r="Y666" s="143"/>
    </row>
    <row r="667" spans="1:25" ht="13">
      <c r="A667" s="156"/>
      <c r="B667" s="142"/>
      <c r="C667" s="143"/>
      <c r="D667" s="144"/>
      <c r="E667" s="143"/>
      <c r="F667" s="143"/>
      <c r="G667" s="143"/>
      <c r="H667" s="143"/>
      <c r="I667" s="143"/>
      <c r="J667" s="143"/>
      <c r="K667" s="143"/>
      <c r="L667" s="143"/>
      <c r="M667" s="143"/>
      <c r="N667" s="143"/>
      <c r="O667" s="143"/>
      <c r="P667" s="143"/>
      <c r="Q667" s="143"/>
      <c r="R667" s="143"/>
      <c r="S667" s="143"/>
      <c r="T667" s="143"/>
      <c r="U667" s="143"/>
      <c r="V667" s="143"/>
      <c r="W667" s="143"/>
      <c r="X667" s="143"/>
      <c r="Y667" s="143"/>
    </row>
    <row r="668" spans="1:25" ht="13">
      <c r="A668" s="156"/>
      <c r="B668" s="142"/>
      <c r="C668" s="143"/>
      <c r="D668" s="144"/>
      <c r="E668" s="143"/>
      <c r="F668" s="143"/>
      <c r="G668" s="143"/>
      <c r="H668" s="143"/>
      <c r="I668" s="143"/>
      <c r="J668" s="143"/>
      <c r="K668" s="143"/>
      <c r="L668" s="143"/>
      <c r="M668" s="143"/>
      <c r="N668" s="143"/>
      <c r="O668" s="143"/>
      <c r="P668" s="143"/>
      <c r="Q668" s="143"/>
      <c r="R668" s="143"/>
      <c r="S668" s="143"/>
      <c r="T668" s="143"/>
      <c r="U668" s="143"/>
      <c r="V668" s="143"/>
      <c r="W668" s="143"/>
      <c r="X668" s="143"/>
      <c r="Y668" s="143"/>
    </row>
    <row r="669" spans="1:25" ht="13">
      <c r="A669" s="156"/>
      <c r="B669" s="142"/>
      <c r="C669" s="143"/>
      <c r="D669" s="144"/>
      <c r="E669" s="143"/>
      <c r="F669" s="143"/>
      <c r="G669" s="143"/>
      <c r="H669" s="143"/>
      <c r="I669" s="143"/>
      <c r="J669" s="143"/>
      <c r="K669" s="143"/>
      <c r="L669" s="143"/>
      <c r="M669" s="143"/>
      <c r="N669" s="143"/>
      <c r="O669" s="143"/>
      <c r="P669" s="143"/>
      <c r="Q669" s="143"/>
      <c r="R669" s="143"/>
      <c r="S669" s="143"/>
      <c r="T669" s="143"/>
      <c r="U669" s="143"/>
      <c r="V669" s="143"/>
      <c r="W669" s="143"/>
      <c r="X669" s="143"/>
      <c r="Y669" s="143"/>
    </row>
    <row r="670" spans="1:25" ht="13">
      <c r="A670" s="156"/>
      <c r="B670" s="142"/>
      <c r="C670" s="143"/>
      <c r="D670" s="144"/>
      <c r="E670" s="143"/>
      <c r="F670" s="143"/>
      <c r="G670" s="143"/>
      <c r="H670" s="143"/>
      <c r="I670" s="143"/>
      <c r="J670" s="143"/>
      <c r="K670" s="143"/>
      <c r="L670" s="143"/>
      <c r="M670" s="143"/>
      <c r="N670" s="143"/>
      <c r="O670" s="143"/>
      <c r="P670" s="143"/>
      <c r="Q670" s="143"/>
      <c r="R670" s="143"/>
      <c r="S670" s="143"/>
      <c r="T670" s="143"/>
      <c r="U670" s="143"/>
      <c r="V670" s="143"/>
      <c r="W670" s="143"/>
      <c r="X670" s="143"/>
      <c r="Y670" s="143"/>
    </row>
    <row r="671" spans="1:25" ht="13">
      <c r="A671" s="156"/>
      <c r="B671" s="142"/>
      <c r="C671" s="143"/>
      <c r="D671" s="144"/>
      <c r="E671" s="143"/>
      <c r="F671" s="143"/>
      <c r="G671" s="143"/>
      <c r="H671" s="143"/>
      <c r="I671" s="143"/>
      <c r="J671" s="143"/>
      <c r="K671" s="143"/>
      <c r="L671" s="143"/>
      <c r="M671" s="143"/>
      <c r="N671" s="143"/>
      <c r="O671" s="143"/>
      <c r="P671" s="143"/>
      <c r="Q671" s="143"/>
      <c r="R671" s="143"/>
      <c r="S671" s="143"/>
      <c r="T671" s="143"/>
      <c r="U671" s="143"/>
      <c r="V671" s="143"/>
      <c r="W671" s="143"/>
      <c r="X671" s="143"/>
      <c r="Y671" s="143"/>
    </row>
    <row r="672" spans="1:25" ht="13">
      <c r="A672" s="156"/>
      <c r="B672" s="142"/>
      <c r="C672" s="143"/>
      <c r="D672" s="144"/>
      <c r="E672" s="143"/>
      <c r="F672" s="143"/>
      <c r="G672" s="143"/>
      <c r="H672" s="143"/>
      <c r="I672" s="143"/>
      <c r="J672" s="143"/>
      <c r="K672" s="143"/>
      <c r="L672" s="143"/>
      <c r="M672" s="143"/>
      <c r="N672" s="143"/>
      <c r="O672" s="143"/>
      <c r="P672" s="143"/>
      <c r="Q672" s="143"/>
      <c r="R672" s="143"/>
      <c r="S672" s="143"/>
      <c r="T672" s="143"/>
      <c r="U672" s="143"/>
      <c r="V672" s="143"/>
      <c r="W672" s="143"/>
      <c r="X672" s="143"/>
      <c r="Y672" s="143"/>
    </row>
    <row r="673" spans="1:25" ht="13">
      <c r="A673" s="156"/>
      <c r="B673" s="142"/>
      <c r="C673" s="143"/>
      <c r="D673" s="144"/>
      <c r="E673" s="143"/>
      <c r="F673" s="143"/>
      <c r="G673" s="143"/>
      <c r="H673" s="143"/>
      <c r="I673" s="143"/>
      <c r="J673" s="143"/>
      <c r="K673" s="143"/>
      <c r="L673" s="143"/>
      <c r="M673" s="143"/>
      <c r="N673" s="143"/>
      <c r="O673" s="143"/>
      <c r="P673" s="143"/>
      <c r="Q673" s="143"/>
      <c r="R673" s="143"/>
      <c r="S673" s="143"/>
      <c r="T673" s="143"/>
      <c r="U673" s="143"/>
      <c r="V673" s="143"/>
      <c r="W673" s="143"/>
      <c r="X673" s="143"/>
      <c r="Y673" s="143"/>
    </row>
    <row r="674" spans="1:25" ht="13">
      <c r="A674" s="156"/>
      <c r="B674" s="142"/>
      <c r="C674" s="143"/>
      <c r="D674" s="144"/>
      <c r="E674" s="143"/>
      <c r="F674" s="143"/>
      <c r="G674" s="143"/>
      <c r="H674" s="143"/>
      <c r="I674" s="143"/>
      <c r="J674" s="143"/>
      <c r="K674" s="143"/>
      <c r="L674" s="143"/>
      <c r="M674" s="143"/>
      <c r="N674" s="143"/>
      <c r="O674" s="143"/>
      <c r="P674" s="143"/>
      <c r="Q674" s="143"/>
      <c r="R674" s="143"/>
      <c r="S674" s="143"/>
      <c r="T674" s="143"/>
      <c r="U674" s="143"/>
      <c r="V674" s="143"/>
      <c r="W674" s="143"/>
      <c r="X674" s="143"/>
      <c r="Y674" s="143"/>
    </row>
    <row r="675" spans="1:25" ht="13">
      <c r="A675" s="156"/>
      <c r="B675" s="142"/>
      <c r="C675" s="143"/>
      <c r="D675" s="144"/>
      <c r="E675" s="143"/>
      <c r="F675" s="143"/>
      <c r="G675" s="143"/>
      <c r="H675" s="143"/>
      <c r="I675" s="143"/>
      <c r="J675" s="143"/>
      <c r="K675" s="143"/>
      <c r="L675" s="143"/>
      <c r="M675" s="143"/>
      <c r="N675" s="143"/>
      <c r="O675" s="143"/>
      <c r="P675" s="143"/>
      <c r="Q675" s="143"/>
      <c r="R675" s="143"/>
      <c r="S675" s="143"/>
      <c r="T675" s="143"/>
      <c r="U675" s="143"/>
      <c r="V675" s="143"/>
      <c r="W675" s="143"/>
      <c r="X675" s="143"/>
      <c r="Y675" s="143"/>
    </row>
    <row r="676" spans="1:25" ht="13">
      <c r="A676" s="156"/>
      <c r="B676" s="142"/>
      <c r="C676" s="143"/>
      <c r="D676" s="144"/>
      <c r="E676" s="143"/>
      <c r="F676" s="143"/>
      <c r="G676" s="143"/>
      <c r="H676" s="143"/>
      <c r="I676" s="143"/>
      <c r="J676" s="143"/>
      <c r="K676" s="143"/>
      <c r="L676" s="143"/>
      <c r="M676" s="143"/>
      <c r="N676" s="143"/>
      <c r="O676" s="143"/>
      <c r="P676" s="143"/>
      <c r="Q676" s="143"/>
      <c r="R676" s="143"/>
      <c r="S676" s="143"/>
      <c r="T676" s="143"/>
      <c r="U676" s="143"/>
      <c r="V676" s="143"/>
      <c r="W676" s="143"/>
      <c r="X676" s="143"/>
      <c r="Y676" s="143"/>
    </row>
    <row r="677" spans="1:25" ht="13">
      <c r="A677" s="156"/>
      <c r="B677" s="142"/>
      <c r="C677" s="143"/>
      <c r="D677" s="144"/>
      <c r="E677" s="143"/>
      <c r="F677" s="143"/>
      <c r="G677" s="143"/>
      <c r="H677" s="143"/>
      <c r="I677" s="143"/>
      <c r="J677" s="143"/>
      <c r="K677" s="143"/>
      <c r="L677" s="143"/>
      <c r="M677" s="143"/>
      <c r="N677" s="143"/>
      <c r="O677" s="143"/>
      <c r="P677" s="143"/>
      <c r="Q677" s="143"/>
      <c r="R677" s="143"/>
      <c r="S677" s="143"/>
      <c r="T677" s="143"/>
      <c r="U677" s="143"/>
      <c r="V677" s="143"/>
      <c r="W677" s="143"/>
      <c r="X677" s="143"/>
      <c r="Y677" s="143"/>
    </row>
    <row r="678" spans="1:25" ht="13">
      <c r="A678" s="156"/>
      <c r="B678" s="142"/>
      <c r="C678" s="143"/>
      <c r="D678" s="144"/>
      <c r="E678" s="143"/>
      <c r="F678" s="143"/>
      <c r="G678" s="143"/>
      <c r="H678" s="143"/>
      <c r="I678" s="143"/>
      <c r="J678" s="143"/>
      <c r="K678" s="143"/>
      <c r="L678" s="143"/>
      <c r="M678" s="143"/>
      <c r="N678" s="143"/>
      <c r="O678" s="143"/>
      <c r="P678" s="143"/>
      <c r="Q678" s="143"/>
      <c r="R678" s="143"/>
      <c r="S678" s="143"/>
      <c r="T678" s="143"/>
      <c r="U678" s="143"/>
      <c r="V678" s="143"/>
      <c r="W678" s="143"/>
      <c r="X678" s="143"/>
      <c r="Y678" s="143"/>
    </row>
    <row r="679" spans="1:25" ht="13">
      <c r="A679" s="156"/>
      <c r="B679" s="142"/>
      <c r="C679" s="143"/>
      <c r="D679" s="144"/>
      <c r="E679" s="143"/>
      <c r="F679" s="143"/>
      <c r="G679" s="143"/>
      <c r="H679" s="143"/>
      <c r="I679" s="143"/>
      <c r="J679" s="143"/>
      <c r="K679" s="143"/>
      <c r="L679" s="143"/>
      <c r="M679" s="143"/>
      <c r="N679" s="143"/>
      <c r="O679" s="143"/>
      <c r="P679" s="143"/>
      <c r="Q679" s="143"/>
      <c r="R679" s="143"/>
      <c r="S679" s="143"/>
      <c r="T679" s="143"/>
      <c r="U679" s="143"/>
      <c r="V679" s="143"/>
      <c r="W679" s="143"/>
      <c r="X679" s="143"/>
      <c r="Y679" s="143"/>
    </row>
    <row r="680" spans="1:25" ht="13">
      <c r="A680" s="156"/>
      <c r="B680" s="142"/>
      <c r="C680" s="143"/>
      <c r="D680" s="144"/>
      <c r="E680" s="143"/>
      <c r="F680" s="143"/>
      <c r="G680" s="143"/>
      <c r="H680" s="143"/>
      <c r="I680" s="143"/>
      <c r="J680" s="143"/>
      <c r="K680" s="143"/>
      <c r="L680" s="143"/>
      <c r="M680" s="143"/>
      <c r="N680" s="143"/>
      <c r="O680" s="143"/>
      <c r="P680" s="143"/>
      <c r="Q680" s="143"/>
      <c r="R680" s="143"/>
      <c r="S680" s="143"/>
      <c r="T680" s="143"/>
      <c r="U680" s="143"/>
      <c r="V680" s="143"/>
      <c r="W680" s="143"/>
      <c r="X680" s="143"/>
      <c r="Y680" s="143"/>
    </row>
    <row r="681" spans="1:25" ht="13">
      <c r="A681" s="156"/>
      <c r="B681" s="142"/>
      <c r="C681" s="143"/>
      <c r="D681" s="144"/>
      <c r="E681" s="143"/>
      <c r="F681" s="143"/>
      <c r="G681" s="143"/>
      <c r="H681" s="143"/>
      <c r="I681" s="143"/>
      <c r="J681" s="143"/>
      <c r="K681" s="143"/>
      <c r="L681" s="143"/>
      <c r="M681" s="143"/>
      <c r="N681" s="143"/>
      <c r="O681" s="143"/>
      <c r="P681" s="143"/>
      <c r="Q681" s="143"/>
      <c r="R681" s="143"/>
      <c r="S681" s="143"/>
      <c r="T681" s="143"/>
      <c r="U681" s="143"/>
      <c r="V681" s="143"/>
      <c r="W681" s="143"/>
      <c r="X681" s="143"/>
      <c r="Y681" s="143"/>
    </row>
    <row r="682" spans="1:25" ht="13">
      <c r="A682" s="156"/>
      <c r="B682" s="142"/>
      <c r="C682" s="143"/>
      <c r="D682" s="144"/>
      <c r="E682" s="143"/>
      <c r="F682" s="143"/>
      <c r="G682" s="143"/>
      <c r="H682" s="143"/>
      <c r="I682" s="143"/>
      <c r="J682" s="143"/>
      <c r="K682" s="143"/>
      <c r="L682" s="143"/>
      <c r="M682" s="143"/>
      <c r="N682" s="143"/>
      <c r="O682" s="143"/>
      <c r="P682" s="143"/>
      <c r="Q682" s="143"/>
      <c r="R682" s="143"/>
      <c r="S682" s="143"/>
      <c r="T682" s="143"/>
      <c r="U682" s="143"/>
      <c r="V682" s="143"/>
      <c r="W682" s="143"/>
      <c r="X682" s="143"/>
      <c r="Y682" s="143"/>
    </row>
    <row r="683" spans="1:25" ht="13">
      <c r="A683" s="156"/>
      <c r="B683" s="142"/>
      <c r="C683" s="143"/>
      <c r="D683" s="144"/>
      <c r="E683" s="143"/>
      <c r="F683" s="143"/>
      <c r="G683" s="143"/>
      <c r="H683" s="143"/>
      <c r="I683" s="143"/>
      <c r="J683" s="143"/>
      <c r="K683" s="143"/>
      <c r="L683" s="143"/>
      <c r="M683" s="143"/>
      <c r="N683" s="143"/>
      <c r="O683" s="143"/>
      <c r="P683" s="143"/>
      <c r="Q683" s="143"/>
      <c r="R683" s="143"/>
      <c r="S683" s="143"/>
      <c r="T683" s="143"/>
      <c r="U683" s="143"/>
      <c r="V683" s="143"/>
      <c r="W683" s="143"/>
      <c r="X683" s="143"/>
      <c r="Y683" s="143"/>
    </row>
    <row r="684" spans="1:25" ht="13">
      <c r="A684" s="156"/>
      <c r="B684" s="142"/>
      <c r="C684" s="143"/>
      <c r="D684" s="144"/>
      <c r="E684" s="143"/>
      <c r="F684" s="143"/>
      <c r="G684" s="143"/>
      <c r="H684" s="143"/>
      <c r="I684" s="143"/>
      <c r="J684" s="143"/>
      <c r="K684" s="143"/>
      <c r="L684" s="143"/>
      <c r="M684" s="143"/>
      <c r="N684" s="143"/>
      <c r="O684" s="143"/>
      <c r="P684" s="143"/>
      <c r="Q684" s="143"/>
      <c r="R684" s="143"/>
      <c r="S684" s="143"/>
      <c r="T684" s="143"/>
      <c r="U684" s="143"/>
      <c r="V684" s="143"/>
      <c r="W684" s="143"/>
      <c r="X684" s="143"/>
      <c r="Y684" s="143"/>
    </row>
    <row r="685" spans="1:25" ht="13">
      <c r="A685" s="156"/>
      <c r="B685" s="142"/>
      <c r="C685" s="143"/>
      <c r="D685" s="144"/>
      <c r="E685" s="143"/>
      <c r="F685" s="143"/>
      <c r="G685" s="143"/>
      <c r="H685" s="143"/>
      <c r="I685" s="143"/>
      <c r="J685" s="143"/>
      <c r="K685" s="143"/>
      <c r="L685" s="143"/>
      <c r="M685" s="143"/>
      <c r="N685" s="143"/>
      <c r="O685" s="143"/>
      <c r="P685" s="143"/>
      <c r="Q685" s="143"/>
      <c r="R685" s="143"/>
      <c r="S685" s="143"/>
      <c r="T685" s="143"/>
      <c r="U685" s="143"/>
      <c r="V685" s="143"/>
      <c r="W685" s="143"/>
      <c r="X685" s="143"/>
      <c r="Y685" s="143"/>
    </row>
    <row r="686" spans="1:25" ht="13">
      <c r="A686" s="156"/>
      <c r="B686" s="142"/>
      <c r="C686" s="143"/>
      <c r="D686" s="144"/>
      <c r="E686" s="143"/>
      <c r="F686" s="143"/>
      <c r="G686" s="143"/>
      <c r="H686" s="143"/>
      <c r="I686" s="143"/>
      <c r="J686" s="143"/>
      <c r="K686" s="143"/>
      <c r="L686" s="143"/>
      <c r="M686" s="143"/>
      <c r="N686" s="143"/>
      <c r="O686" s="143"/>
      <c r="P686" s="143"/>
      <c r="Q686" s="143"/>
      <c r="R686" s="143"/>
      <c r="S686" s="143"/>
      <c r="T686" s="143"/>
      <c r="U686" s="143"/>
      <c r="V686" s="143"/>
      <c r="W686" s="143"/>
      <c r="X686" s="143"/>
      <c r="Y686" s="143"/>
    </row>
    <row r="687" spans="1:25" ht="13">
      <c r="A687" s="156"/>
      <c r="B687" s="142"/>
      <c r="C687" s="143"/>
      <c r="D687" s="144"/>
      <c r="E687" s="143"/>
      <c r="F687" s="143"/>
      <c r="G687" s="143"/>
      <c r="H687" s="143"/>
      <c r="I687" s="143"/>
      <c r="J687" s="143"/>
      <c r="K687" s="143"/>
      <c r="L687" s="143"/>
      <c r="M687" s="143"/>
      <c r="N687" s="143"/>
      <c r="O687" s="143"/>
      <c r="P687" s="143"/>
      <c r="Q687" s="143"/>
      <c r="R687" s="143"/>
      <c r="S687" s="143"/>
      <c r="T687" s="143"/>
      <c r="U687" s="143"/>
      <c r="V687" s="143"/>
      <c r="W687" s="143"/>
      <c r="X687" s="143"/>
      <c r="Y687" s="143"/>
    </row>
    <row r="688" spans="1:25" ht="13">
      <c r="A688" s="156"/>
      <c r="B688" s="142"/>
      <c r="C688" s="143"/>
      <c r="D688" s="144"/>
      <c r="E688" s="143"/>
      <c r="F688" s="143"/>
      <c r="G688" s="143"/>
      <c r="H688" s="143"/>
      <c r="I688" s="143"/>
      <c r="J688" s="143"/>
      <c r="K688" s="143"/>
      <c r="L688" s="143"/>
      <c r="M688" s="143"/>
      <c r="N688" s="143"/>
      <c r="O688" s="143"/>
      <c r="P688" s="143"/>
      <c r="Q688" s="143"/>
      <c r="R688" s="143"/>
      <c r="S688" s="143"/>
      <c r="T688" s="143"/>
      <c r="U688" s="143"/>
      <c r="V688" s="143"/>
      <c r="W688" s="143"/>
      <c r="X688" s="143"/>
      <c r="Y688" s="143"/>
    </row>
    <row r="689" spans="1:25" ht="13">
      <c r="A689" s="156"/>
      <c r="B689" s="142"/>
      <c r="C689" s="143"/>
      <c r="D689" s="144"/>
      <c r="E689" s="143"/>
      <c r="F689" s="143"/>
      <c r="G689" s="143"/>
      <c r="H689" s="143"/>
      <c r="I689" s="143"/>
      <c r="J689" s="143"/>
      <c r="K689" s="143"/>
      <c r="L689" s="143"/>
      <c r="M689" s="143"/>
      <c r="N689" s="143"/>
      <c r="O689" s="143"/>
      <c r="P689" s="143"/>
      <c r="Q689" s="143"/>
      <c r="R689" s="143"/>
      <c r="S689" s="143"/>
      <c r="T689" s="143"/>
      <c r="U689" s="143"/>
      <c r="V689" s="143"/>
      <c r="W689" s="143"/>
      <c r="X689" s="143"/>
      <c r="Y689" s="143"/>
    </row>
    <row r="690" spans="1:25" ht="13">
      <c r="A690" s="156"/>
      <c r="B690" s="142"/>
      <c r="C690" s="143"/>
      <c r="D690" s="144"/>
      <c r="E690" s="143"/>
      <c r="F690" s="143"/>
      <c r="G690" s="143"/>
      <c r="H690" s="143"/>
      <c r="I690" s="143"/>
      <c r="J690" s="143"/>
      <c r="K690" s="143"/>
      <c r="L690" s="143"/>
      <c r="M690" s="143"/>
      <c r="N690" s="143"/>
      <c r="O690" s="143"/>
      <c r="P690" s="143"/>
      <c r="Q690" s="143"/>
      <c r="R690" s="143"/>
      <c r="S690" s="143"/>
      <c r="T690" s="143"/>
      <c r="U690" s="143"/>
      <c r="V690" s="143"/>
      <c r="W690" s="143"/>
      <c r="X690" s="143"/>
      <c r="Y690" s="143"/>
    </row>
    <row r="691" spans="1:25" ht="13">
      <c r="A691" s="156"/>
      <c r="B691" s="142"/>
      <c r="C691" s="143"/>
      <c r="D691" s="144"/>
      <c r="E691" s="143"/>
      <c r="F691" s="143"/>
      <c r="G691" s="143"/>
      <c r="H691" s="143"/>
      <c r="I691" s="143"/>
      <c r="J691" s="143"/>
      <c r="K691" s="143"/>
      <c r="L691" s="143"/>
      <c r="M691" s="143"/>
      <c r="N691" s="143"/>
      <c r="O691" s="143"/>
      <c r="P691" s="143"/>
      <c r="Q691" s="143"/>
      <c r="R691" s="143"/>
      <c r="S691" s="143"/>
      <c r="T691" s="143"/>
      <c r="U691" s="143"/>
      <c r="V691" s="143"/>
      <c r="W691" s="143"/>
      <c r="X691" s="143"/>
      <c r="Y691" s="143"/>
    </row>
    <row r="692" spans="1:25" ht="13">
      <c r="A692" s="156"/>
      <c r="B692" s="142"/>
      <c r="C692" s="143"/>
      <c r="D692" s="144"/>
      <c r="E692" s="143"/>
      <c r="F692" s="143"/>
      <c r="G692" s="143"/>
      <c r="H692" s="143"/>
      <c r="I692" s="143"/>
      <c r="J692" s="143"/>
      <c r="K692" s="143"/>
      <c r="L692" s="143"/>
      <c r="M692" s="143"/>
      <c r="N692" s="143"/>
      <c r="O692" s="143"/>
      <c r="P692" s="143"/>
      <c r="Q692" s="143"/>
      <c r="R692" s="143"/>
      <c r="S692" s="143"/>
      <c r="T692" s="143"/>
      <c r="U692" s="143"/>
      <c r="V692" s="143"/>
      <c r="W692" s="143"/>
      <c r="X692" s="143"/>
      <c r="Y692" s="143"/>
    </row>
    <row r="693" spans="1:25" ht="13">
      <c r="A693" s="156"/>
      <c r="B693" s="142"/>
      <c r="C693" s="143"/>
      <c r="D693" s="144"/>
      <c r="E693" s="143"/>
      <c r="F693" s="143"/>
      <c r="G693" s="143"/>
      <c r="H693" s="143"/>
      <c r="I693" s="143"/>
      <c r="J693" s="143"/>
      <c r="K693" s="143"/>
      <c r="L693" s="143"/>
      <c r="M693" s="143"/>
      <c r="N693" s="143"/>
      <c r="O693" s="143"/>
      <c r="P693" s="143"/>
      <c r="Q693" s="143"/>
      <c r="R693" s="143"/>
      <c r="S693" s="143"/>
      <c r="T693" s="143"/>
      <c r="U693" s="143"/>
      <c r="V693" s="143"/>
      <c r="W693" s="143"/>
      <c r="X693" s="143"/>
      <c r="Y693" s="143"/>
    </row>
    <row r="694" spans="1:25" ht="13">
      <c r="A694" s="156"/>
      <c r="B694" s="142"/>
      <c r="C694" s="143"/>
      <c r="D694" s="144"/>
      <c r="E694" s="143"/>
      <c r="F694" s="143"/>
      <c r="G694" s="143"/>
      <c r="H694" s="143"/>
      <c r="I694" s="143"/>
      <c r="J694" s="143"/>
      <c r="K694" s="143"/>
      <c r="L694" s="143"/>
      <c r="M694" s="143"/>
      <c r="N694" s="143"/>
      <c r="O694" s="143"/>
      <c r="P694" s="143"/>
      <c r="Q694" s="143"/>
      <c r="R694" s="143"/>
      <c r="S694" s="143"/>
      <c r="T694" s="143"/>
      <c r="U694" s="143"/>
      <c r="V694" s="143"/>
      <c r="W694" s="143"/>
      <c r="X694" s="143"/>
      <c r="Y694" s="143"/>
    </row>
    <row r="695" spans="1:25" ht="13">
      <c r="A695" s="156"/>
      <c r="B695" s="142"/>
      <c r="C695" s="143"/>
      <c r="D695" s="144"/>
      <c r="E695" s="143"/>
      <c r="F695" s="143"/>
      <c r="G695" s="143"/>
      <c r="H695" s="143"/>
      <c r="I695" s="143"/>
      <c r="J695" s="143"/>
      <c r="K695" s="143"/>
      <c r="L695" s="143"/>
      <c r="M695" s="143"/>
      <c r="N695" s="143"/>
      <c r="O695" s="143"/>
      <c r="P695" s="143"/>
      <c r="Q695" s="143"/>
      <c r="R695" s="143"/>
      <c r="S695" s="143"/>
      <c r="T695" s="143"/>
      <c r="U695" s="143"/>
      <c r="V695" s="143"/>
      <c r="W695" s="143"/>
      <c r="X695" s="143"/>
      <c r="Y695" s="143"/>
    </row>
    <row r="696" spans="1:25" ht="13">
      <c r="A696" s="156"/>
      <c r="B696" s="142"/>
      <c r="C696" s="143"/>
      <c r="D696" s="144"/>
      <c r="E696" s="143"/>
      <c r="F696" s="143"/>
      <c r="G696" s="143"/>
      <c r="H696" s="143"/>
      <c r="I696" s="143"/>
      <c r="J696" s="143"/>
      <c r="K696" s="143"/>
      <c r="L696" s="143"/>
      <c r="M696" s="143"/>
      <c r="N696" s="143"/>
      <c r="O696" s="143"/>
      <c r="P696" s="143"/>
      <c r="Q696" s="143"/>
      <c r="R696" s="143"/>
      <c r="S696" s="143"/>
      <c r="T696" s="143"/>
      <c r="U696" s="143"/>
      <c r="V696" s="143"/>
      <c r="W696" s="143"/>
      <c r="X696" s="143"/>
      <c r="Y696" s="143"/>
    </row>
    <row r="697" spans="1:25" ht="13">
      <c r="A697" s="156"/>
      <c r="B697" s="142"/>
      <c r="C697" s="143"/>
      <c r="D697" s="144"/>
      <c r="E697" s="143"/>
      <c r="F697" s="143"/>
      <c r="G697" s="143"/>
      <c r="H697" s="143"/>
      <c r="I697" s="143"/>
      <c r="J697" s="143"/>
      <c r="K697" s="143"/>
      <c r="L697" s="143"/>
      <c r="M697" s="143"/>
      <c r="N697" s="143"/>
      <c r="O697" s="143"/>
      <c r="P697" s="143"/>
      <c r="Q697" s="143"/>
      <c r="R697" s="143"/>
      <c r="S697" s="143"/>
      <c r="T697" s="143"/>
      <c r="U697" s="143"/>
      <c r="V697" s="143"/>
      <c r="W697" s="143"/>
      <c r="X697" s="143"/>
      <c r="Y697" s="143"/>
    </row>
    <row r="698" spans="1:25" ht="13">
      <c r="A698" s="156"/>
      <c r="B698" s="142"/>
      <c r="C698" s="143"/>
      <c r="D698" s="144"/>
      <c r="E698" s="143"/>
      <c r="F698" s="143"/>
      <c r="G698" s="143"/>
      <c r="H698" s="143"/>
      <c r="I698" s="143"/>
      <c r="J698" s="143"/>
      <c r="K698" s="143"/>
      <c r="L698" s="143"/>
      <c r="M698" s="143"/>
      <c r="N698" s="143"/>
      <c r="O698" s="143"/>
      <c r="P698" s="143"/>
      <c r="Q698" s="143"/>
      <c r="R698" s="143"/>
      <c r="S698" s="143"/>
      <c r="T698" s="143"/>
      <c r="U698" s="143"/>
      <c r="V698" s="143"/>
      <c r="W698" s="143"/>
      <c r="X698" s="143"/>
      <c r="Y698" s="143"/>
    </row>
    <row r="699" spans="1:25" ht="13">
      <c r="A699" s="156"/>
      <c r="B699" s="142"/>
      <c r="C699" s="143"/>
      <c r="D699" s="144"/>
      <c r="E699" s="143"/>
      <c r="F699" s="143"/>
      <c r="G699" s="143"/>
      <c r="H699" s="143"/>
      <c r="I699" s="143"/>
      <c r="J699" s="143"/>
      <c r="K699" s="143"/>
      <c r="L699" s="143"/>
      <c r="M699" s="143"/>
      <c r="N699" s="143"/>
      <c r="O699" s="143"/>
      <c r="P699" s="143"/>
      <c r="Q699" s="143"/>
      <c r="R699" s="143"/>
      <c r="S699" s="143"/>
      <c r="T699" s="143"/>
      <c r="U699" s="143"/>
      <c r="V699" s="143"/>
      <c r="W699" s="143"/>
      <c r="X699" s="143"/>
      <c r="Y699" s="143"/>
    </row>
    <row r="700" spans="1:25" ht="13">
      <c r="A700" s="156"/>
      <c r="B700" s="142"/>
      <c r="C700" s="143"/>
      <c r="D700" s="144"/>
      <c r="E700" s="143"/>
      <c r="F700" s="143"/>
      <c r="G700" s="143"/>
      <c r="H700" s="143"/>
      <c r="I700" s="143"/>
      <c r="J700" s="143"/>
      <c r="K700" s="143"/>
      <c r="L700" s="143"/>
      <c r="M700" s="143"/>
      <c r="N700" s="143"/>
      <c r="O700" s="143"/>
      <c r="P700" s="143"/>
      <c r="Q700" s="143"/>
      <c r="R700" s="143"/>
      <c r="S700" s="143"/>
      <c r="T700" s="143"/>
      <c r="U700" s="143"/>
      <c r="V700" s="143"/>
      <c r="W700" s="143"/>
      <c r="X700" s="143"/>
      <c r="Y700" s="143"/>
    </row>
    <row r="701" spans="1:25" ht="13">
      <c r="A701" s="156"/>
      <c r="B701" s="142"/>
      <c r="C701" s="143"/>
      <c r="D701" s="144"/>
      <c r="E701" s="143"/>
      <c r="F701" s="143"/>
      <c r="G701" s="143"/>
      <c r="H701" s="143"/>
      <c r="I701" s="143"/>
      <c r="J701" s="143"/>
      <c r="K701" s="143"/>
      <c r="L701" s="143"/>
      <c r="M701" s="143"/>
      <c r="N701" s="143"/>
      <c r="O701" s="143"/>
      <c r="P701" s="143"/>
      <c r="Q701" s="143"/>
      <c r="R701" s="143"/>
      <c r="S701" s="143"/>
      <c r="T701" s="143"/>
      <c r="U701" s="143"/>
      <c r="V701" s="143"/>
      <c r="W701" s="143"/>
      <c r="X701" s="143"/>
      <c r="Y701" s="143"/>
    </row>
    <row r="702" spans="1:25" ht="13">
      <c r="A702" s="156"/>
      <c r="B702" s="142"/>
      <c r="C702" s="143"/>
      <c r="D702" s="144"/>
      <c r="E702" s="143"/>
      <c r="F702" s="143"/>
      <c r="G702" s="143"/>
      <c r="H702" s="143"/>
      <c r="I702" s="143"/>
      <c r="J702" s="143"/>
      <c r="K702" s="143"/>
      <c r="L702" s="143"/>
      <c r="M702" s="143"/>
      <c r="N702" s="143"/>
      <c r="O702" s="143"/>
      <c r="P702" s="143"/>
      <c r="Q702" s="143"/>
      <c r="R702" s="143"/>
      <c r="S702" s="143"/>
      <c r="T702" s="143"/>
      <c r="U702" s="143"/>
      <c r="V702" s="143"/>
      <c r="W702" s="143"/>
      <c r="X702" s="143"/>
      <c r="Y702" s="143"/>
    </row>
    <row r="703" spans="1:25" ht="13">
      <c r="A703" s="156"/>
      <c r="B703" s="142"/>
      <c r="C703" s="143"/>
      <c r="D703" s="144"/>
      <c r="E703" s="143"/>
      <c r="F703" s="143"/>
      <c r="G703" s="143"/>
      <c r="H703" s="143"/>
      <c r="I703" s="143"/>
      <c r="J703" s="143"/>
      <c r="K703" s="143"/>
      <c r="L703" s="143"/>
      <c r="M703" s="143"/>
      <c r="N703" s="143"/>
      <c r="O703" s="143"/>
      <c r="P703" s="143"/>
      <c r="Q703" s="143"/>
      <c r="R703" s="143"/>
      <c r="S703" s="143"/>
      <c r="T703" s="143"/>
      <c r="U703" s="143"/>
      <c r="V703" s="143"/>
      <c r="W703" s="143"/>
      <c r="X703" s="143"/>
      <c r="Y703" s="143"/>
    </row>
    <row r="704" spans="1:25" ht="13">
      <c r="A704" s="156"/>
      <c r="B704" s="142"/>
      <c r="C704" s="143"/>
      <c r="D704" s="144"/>
      <c r="E704" s="143"/>
      <c r="F704" s="143"/>
      <c r="G704" s="143"/>
      <c r="H704" s="143"/>
      <c r="I704" s="143"/>
      <c r="J704" s="143"/>
      <c r="K704" s="143"/>
      <c r="L704" s="143"/>
      <c r="M704" s="143"/>
      <c r="N704" s="143"/>
      <c r="O704" s="143"/>
      <c r="P704" s="143"/>
      <c r="Q704" s="143"/>
      <c r="R704" s="143"/>
      <c r="S704" s="143"/>
      <c r="T704" s="143"/>
      <c r="U704" s="143"/>
      <c r="V704" s="143"/>
      <c r="W704" s="143"/>
      <c r="X704" s="143"/>
      <c r="Y704" s="143"/>
    </row>
    <row r="705" spans="1:25" ht="13">
      <c r="A705" s="156"/>
      <c r="B705" s="142"/>
      <c r="C705" s="143"/>
      <c r="D705" s="144"/>
      <c r="E705" s="143"/>
      <c r="F705" s="143"/>
      <c r="G705" s="143"/>
      <c r="H705" s="143"/>
      <c r="I705" s="143"/>
      <c r="J705" s="143"/>
      <c r="K705" s="143"/>
      <c r="L705" s="143"/>
      <c r="M705" s="143"/>
      <c r="N705" s="143"/>
      <c r="O705" s="143"/>
      <c r="P705" s="143"/>
      <c r="Q705" s="143"/>
      <c r="R705" s="143"/>
      <c r="S705" s="143"/>
      <c r="T705" s="143"/>
      <c r="U705" s="143"/>
      <c r="V705" s="143"/>
      <c r="W705" s="143"/>
      <c r="X705" s="143"/>
      <c r="Y705" s="143"/>
    </row>
    <row r="706" spans="1:25" ht="13">
      <c r="A706" s="156"/>
      <c r="B706" s="142"/>
      <c r="C706" s="143"/>
      <c r="D706" s="144"/>
      <c r="E706" s="143"/>
      <c r="F706" s="143"/>
      <c r="G706" s="143"/>
      <c r="H706" s="143"/>
      <c r="I706" s="143"/>
      <c r="J706" s="143"/>
      <c r="K706" s="143"/>
      <c r="L706" s="143"/>
      <c r="M706" s="143"/>
      <c r="N706" s="143"/>
      <c r="O706" s="143"/>
      <c r="P706" s="143"/>
      <c r="Q706" s="143"/>
      <c r="R706" s="143"/>
      <c r="S706" s="143"/>
      <c r="T706" s="143"/>
      <c r="U706" s="143"/>
      <c r="V706" s="143"/>
      <c r="W706" s="143"/>
      <c r="X706" s="143"/>
      <c r="Y706" s="143"/>
    </row>
    <row r="707" spans="1:25" ht="13">
      <c r="A707" s="156"/>
      <c r="B707" s="142"/>
      <c r="C707" s="143"/>
      <c r="D707" s="144"/>
      <c r="E707" s="143"/>
      <c r="F707" s="143"/>
      <c r="G707" s="143"/>
      <c r="H707" s="143"/>
      <c r="I707" s="143"/>
      <c r="J707" s="143"/>
      <c r="K707" s="143"/>
      <c r="L707" s="143"/>
      <c r="M707" s="143"/>
      <c r="N707" s="143"/>
      <c r="O707" s="143"/>
      <c r="P707" s="143"/>
      <c r="Q707" s="143"/>
      <c r="R707" s="143"/>
      <c r="S707" s="143"/>
      <c r="T707" s="143"/>
      <c r="U707" s="143"/>
      <c r="V707" s="143"/>
      <c r="W707" s="143"/>
      <c r="X707" s="143"/>
      <c r="Y707" s="143"/>
    </row>
    <row r="708" spans="1:25" ht="13">
      <c r="A708" s="156"/>
      <c r="B708" s="142"/>
      <c r="C708" s="143"/>
      <c r="D708" s="144"/>
      <c r="E708" s="143"/>
      <c r="F708" s="143"/>
      <c r="G708" s="143"/>
      <c r="H708" s="143"/>
      <c r="I708" s="143"/>
      <c r="J708" s="143"/>
      <c r="K708" s="143"/>
      <c r="L708" s="143"/>
      <c r="M708" s="143"/>
      <c r="N708" s="143"/>
      <c r="O708" s="143"/>
      <c r="P708" s="143"/>
      <c r="Q708" s="143"/>
      <c r="R708" s="143"/>
      <c r="S708" s="143"/>
      <c r="T708" s="143"/>
      <c r="U708" s="143"/>
      <c r="V708" s="143"/>
      <c r="W708" s="143"/>
      <c r="X708" s="143"/>
      <c r="Y708" s="143"/>
    </row>
    <row r="709" spans="1:25" ht="13">
      <c r="A709" s="156"/>
      <c r="B709" s="142"/>
      <c r="C709" s="143"/>
      <c r="D709" s="144"/>
      <c r="E709" s="143"/>
      <c r="F709" s="143"/>
      <c r="G709" s="143"/>
      <c r="H709" s="143"/>
      <c r="I709" s="143"/>
      <c r="J709" s="143"/>
      <c r="K709" s="143"/>
      <c r="L709" s="143"/>
      <c r="M709" s="143"/>
      <c r="N709" s="143"/>
      <c r="O709" s="143"/>
      <c r="P709" s="143"/>
      <c r="Q709" s="143"/>
      <c r="R709" s="143"/>
      <c r="S709" s="143"/>
      <c r="T709" s="143"/>
      <c r="U709" s="143"/>
      <c r="V709" s="143"/>
      <c r="W709" s="143"/>
      <c r="X709" s="143"/>
      <c r="Y709" s="143"/>
    </row>
    <row r="710" spans="1:25" ht="13">
      <c r="A710" s="156"/>
      <c r="B710" s="142"/>
      <c r="C710" s="143"/>
      <c r="D710" s="144"/>
      <c r="E710" s="143"/>
      <c r="F710" s="143"/>
      <c r="G710" s="143"/>
      <c r="H710" s="143"/>
      <c r="I710" s="143"/>
      <c r="J710" s="143"/>
      <c r="K710" s="143"/>
      <c r="L710" s="143"/>
      <c r="M710" s="143"/>
      <c r="N710" s="143"/>
      <c r="O710" s="143"/>
      <c r="P710" s="143"/>
      <c r="Q710" s="143"/>
      <c r="R710" s="143"/>
      <c r="S710" s="143"/>
      <c r="T710" s="143"/>
      <c r="U710" s="143"/>
      <c r="V710" s="143"/>
      <c r="W710" s="143"/>
      <c r="X710" s="143"/>
      <c r="Y710" s="143"/>
    </row>
    <row r="711" spans="1:25" ht="13">
      <c r="A711" s="156"/>
      <c r="B711" s="142"/>
      <c r="C711" s="143"/>
      <c r="D711" s="144"/>
      <c r="E711" s="143"/>
      <c r="F711" s="143"/>
      <c r="G711" s="143"/>
      <c r="H711" s="143"/>
      <c r="I711" s="143"/>
      <c r="J711" s="143"/>
      <c r="K711" s="143"/>
      <c r="L711" s="143"/>
      <c r="M711" s="143"/>
      <c r="N711" s="143"/>
      <c r="O711" s="143"/>
      <c r="P711" s="143"/>
      <c r="Q711" s="143"/>
      <c r="R711" s="143"/>
      <c r="S711" s="143"/>
      <c r="T711" s="143"/>
      <c r="U711" s="143"/>
      <c r="V711" s="143"/>
      <c r="W711" s="143"/>
      <c r="X711" s="143"/>
      <c r="Y711" s="143"/>
    </row>
    <row r="712" spans="1:25" ht="13">
      <c r="A712" s="156"/>
      <c r="B712" s="142"/>
      <c r="C712" s="143"/>
      <c r="D712" s="144"/>
      <c r="E712" s="143"/>
      <c r="F712" s="143"/>
      <c r="G712" s="143"/>
      <c r="H712" s="143"/>
      <c r="I712" s="143"/>
      <c r="J712" s="143"/>
      <c r="K712" s="143"/>
      <c r="L712" s="143"/>
      <c r="M712" s="143"/>
      <c r="N712" s="143"/>
      <c r="O712" s="143"/>
      <c r="P712" s="143"/>
      <c r="Q712" s="143"/>
      <c r="R712" s="143"/>
      <c r="S712" s="143"/>
      <c r="T712" s="143"/>
      <c r="U712" s="143"/>
      <c r="V712" s="143"/>
      <c r="W712" s="143"/>
      <c r="X712" s="143"/>
      <c r="Y712" s="143"/>
    </row>
    <row r="713" spans="1:25" ht="13">
      <c r="A713" s="156"/>
      <c r="B713" s="142"/>
      <c r="C713" s="143"/>
      <c r="D713" s="144"/>
      <c r="E713" s="143"/>
      <c r="F713" s="143"/>
      <c r="G713" s="143"/>
      <c r="H713" s="143"/>
      <c r="I713" s="143"/>
      <c r="J713" s="143"/>
      <c r="K713" s="143"/>
      <c r="L713" s="143"/>
      <c r="M713" s="143"/>
      <c r="N713" s="143"/>
      <c r="O713" s="143"/>
      <c r="P713" s="143"/>
      <c r="Q713" s="143"/>
      <c r="R713" s="143"/>
      <c r="S713" s="143"/>
      <c r="T713" s="143"/>
      <c r="U713" s="143"/>
      <c r="V713" s="143"/>
      <c r="W713" s="143"/>
      <c r="X713" s="143"/>
      <c r="Y713" s="143"/>
    </row>
    <row r="714" spans="1:25" ht="13">
      <c r="A714" s="156"/>
      <c r="B714" s="142"/>
      <c r="C714" s="143"/>
      <c r="D714" s="144"/>
      <c r="E714" s="143"/>
      <c r="F714" s="143"/>
      <c r="G714" s="143"/>
      <c r="H714" s="143"/>
      <c r="I714" s="143"/>
      <c r="J714" s="143"/>
      <c r="K714" s="143"/>
      <c r="L714" s="143"/>
      <c r="M714" s="143"/>
      <c r="N714" s="143"/>
      <c r="O714" s="143"/>
      <c r="P714" s="143"/>
      <c r="Q714" s="143"/>
      <c r="R714" s="143"/>
      <c r="S714" s="143"/>
      <c r="T714" s="143"/>
      <c r="U714" s="143"/>
      <c r="V714" s="143"/>
      <c r="W714" s="143"/>
      <c r="X714" s="143"/>
      <c r="Y714" s="143"/>
    </row>
    <row r="715" spans="1:25" ht="13">
      <c r="A715" s="156"/>
      <c r="B715" s="142"/>
      <c r="C715" s="143"/>
      <c r="D715" s="144"/>
      <c r="E715" s="143"/>
      <c r="F715" s="143"/>
      <c r="G715" s="143"/>
      <c r="H715" s="143"/>
      <c r="I715" s="143"/>
      <c r="J715" s="143"/>
      <c r="K715" s="143"/>
      <c r="L715" s="143"/>
      <c r="M715" s="143"/>
      <c r="N715" s="143"/>
      <c r="O715" s="143"/>
      <c r="P715" s="143"/>
      <c r="Q715" s="143"/>
      <c r="R715" s="143"/>
      <c r="S715" s="143"/>
      <c r="T715" s="143"/>
      <c r="U715" s="143"/>
      <c r="V715" s="143"/>
      <c r="W715" s="143"/>
      <c r="X715" s="143"/>
      <c r="Y715" s="143"/>
    </row>
    <row r="716" spans="1:25" ht="13">
      <c r="A716" s="156"/>
      <c r="B716" s="142"/>
      <c r="C716" s="143"/>
      <c r="D716" s="144"/>
      <c r="E716" s="143"/>
      <c r="F716" s="143"/>
      <c r="G716" s="143"/>
      <c r="H716" s="143"/>
      <c r="I716" s="143"/>
      <c r="J716" s="143"/>
      <c r="K716" s="143"/>
      <c r="L716" s="143"/>
      <c r="M716" s="143"/>
      <c r="N716" s="143"/>
      <c r="O716" s="143"/>
      <c r="P716" s="143"/>
      <c r="Q716" s="143"/>
      <c r="R716" s="143"/>
      <c r="S716" s="143"/>
      <c r="T716" s="143"/>
      <c r="U716" s="143"/>
      <c r="V716" s="143"/>
      <c r="W716" s="143"/>
      <c r="X716" s="143"/>
      <c r="Y716" s="143"/>
    </row>
    <row r="717" spans="1:25" ht="13">
      <c r="A717" s="156"/>
      <c r="B717" s="142"/>
      <c r="C717" s="143"/>
      <c r="D717" s="144"/>
      <c r="E717" s="143"/>
      <c r="F717" s="143"/>
      <c r="G717" s="143"/>
      <c r="H717" s="143"/>
      <c r="I717" s="143"/>
      <c r="J717" s="143"/>
      <c r="K717" s="143"/>
      <c r="L717" s="143"/>
      <c r="M717" s="143"/>
      <c r="N717" s="143"/>
      <c r="O717" s="143"/>
      <c r="P717" s="143"/>
      <c r="Q717" s="143"/>
      <c r="R717" s="143"/>
      <c r="S717" s="143"/>
      <c r="T717" s="143"/>
      <c r="U717" s="143"/>
      <c r="V717" s="143"/>
      <c r="W717" s="143"/>
      <c r="X717" s="143"/>
      <c r="Y717" s="143"/>
    </row>
    <row r="718" spans="1:25" ht="13">
      <c r="A718" s="156"/>
      <c r="B718" s="142"/>
      <c r="C718" s="143"/>
      <c r="D718" s="144"/>
      <c r="E718" s="143"/>
      <c r="F718" s="143"/>
      <c r="G718" s="143"/>
      <c r="H718" s="143"/>
      <c r="I718" s="143"/>
      <c r="J718" s="143"/>
      <c r="K718" s="143"/>
      <c r="L718" s="143"/>
      <c r="M718" s="143"/>
      <c r="N718" s="143"/>
      <c r="O718" s="143"/>
      <c r="P718" s="143"/>
      <c r="Q718" s="143"/>
      <c r="R718" s="143"/>
      <c r="S718" s="143"/>
      <c r="T718" s="143"/>
      <c r="U718" s="143"/>
      <c r="V718" s="143"/>
      <c r="W718" s="143"/>
      <c r="X718" s="143"/>
      <c r="Y718" s="143"/>
    </row>
    <row r="719" spans="1:25" ht="13">
      <c r="A719" s="156"/>
      <c r="B719" s="142"/>
      <c r="C719" s="143"/>
      <c r="D719" s="144"/>
      <c r="E719" s="143"/>
      <c r="F719" s="143"/>
      <c r="G719" s="143"/>
      <c r="H719" s="143"/>
      <c r="I719" s="143"/>
      <c r="J719" s="143"/>
      <c r="K719" s="143"/>
      <c r="L719" s="143"/>
      <c r="M719" s="143"/>
      <c r="N719" s="143"/>
      <c r="O719" s="143"/>
      <c r="P719" s="143"/>
      <c r="Q719" s="143"/>
      <c r="R719" s="143"/>
      <c r="S719" s="143"/>
      <c r="T719" s="143"/>
      <c r="U719" s="143"/>
      <c r="V719" s="143"/>
      <c r="W719" s="143"/>
      <c r="X719" s="143"/>
      <c r="Y719" s="143"/>
    </row>
    <row r="720" spans="1:25" ht="13">
      <c r="A720" s="156"/>
      <c r="B720" s="142"/>
      <c r="C720" s="143"/>
      <c r="D720" s="144"/>
      <c r="E720" s="143"/>
      <c r="F720" s="143"/>
      <c r="G720" s="143"/>
      <c r="H720" s="143"/>
      <c r="I720" s="143"/>
      <c r="J720" s="143"/>
      <c r="K720" s="143"/>
      <c r="L720" s="143"/>
      <c r="M720" s="143"/>
      <c r="N720" s="143"/>
      <c r="O720" s="143"/>
      <c r="P720" s="143"/>
      <c r="Q720" s="143"/>
      <c r="R720" s="143"/>
      <c r="S720" s="143"/>
      <c r="T720" s="143"/>
      <c r="U720" s="143"/>
      <c r="V720" s="143"/>
      <c r="W720" s="143"/>
      <c r="X720" s="143"/>
      <c r="Y720" s="143"/>
    </row>
    <row r="721" spans="1:25" ht="13">
      <c r="A721" s="156"/>
      <c r="B721" s="142"/>
      <c r="C721" s="143"/>
      <c r="D721" s="144"/>
      <c r="E721" s="143"/>
      <c r="F721" s="143"/>
      <c r="G721" s="143"/>
      <c r="H721" s="143"/>
      <c r="I721" s="143"/>
      <c r="J721" s="143"/>
      <c r="K721" s="143"/>
      <c r="L721" s="143"/>
      <c r="M721" s="143"/>
      <c r="N721" s="143"/>
      <c r="O721" s="143"/>
      <c r="P721" s="143"/>
      <c r="Q721" s="143"/>
      <c r="R721" s="143"/>
      <c r="S721" s="143"/>
      <c r="T721" s="143"/>
      <c r="U721" s="143"/>
      <c r="V721" s="143"/>
      <c r="W721" s="143"/>
      <c r="X721" s="143"/>
      <c r="Y721" s="143"/>
    </row>
    <row r="722" spans="1:25" ht="13">
      <c r="A722" s="156"/>
      <c r="B722" s="142"/>
      <c r="C722" s="143"/>
      <c r="D722" s="144"/>
      <c r="E722" s="143"/>
      <c r="F722" s="143"/>
      <c r="G722" s="143"/>
      <c r="H722" s="143"/>
      <c r="I722" s="143"/>
      <c r="J722" s="143"/>
      <c r="K722" s="143"/>
      <c r="L722" s="143"/>
      <c r="M722" s="143"/>
      <c r="N722" s="143"/>
      <c r="O722" s="143"/>
      <c r="P722" s="143"/>
      <c r="Q722" s="143"/>
      <c r="R722" s="143"/>
      <c r="S722" s="143"/>
      <c r="T722" s="143"/>
      <c r="U722" s="143"/>
      <c r="V722" s="143"/>
      <c r="W722" s="143"/>
      <c r="X722" s="143"/>
      <c r="Y722" s="143"/>
    </row>
    <row r="723" spans="1:25" ht="13">
      <c r="A723" s="156"/>
      <c r="B723" s="142"/>
      <c r="C723" s="143"/>
      <c r="D723" s="144"/>
      <c r="E723" s="143"/>
      <c r="F723" s="143"/>
      <c r="G723" s="143"/>
      <c r="H723" s="143"/>
      <c r="I723" s="143"/>
      <c r="J723" s="143"/>
      <c r="K723" s="143"/>
      <c r="L723" s="143"/>
      <c r="M723" s="143"/>
      <c r="N723" s="143"/>
      <c r="O723" s="143"/>
      <c r="P723" s="143"/>
      <c r="Q723" s="143"/>
      <c r="R723" s="143"/>
      <c r="S723" s="143"/>
      <c r="T723" s="143"/>
      <c r="U723" s="143"/>
      <c r="V723" s="143"/>
      <c r="W723" s="143"/>
      <c r="X723" s="143"/>
      <c r="Y723" s="143"/>
    </row>
    <row r="724" spans="1:25" ht="13">
      <c r="A724" s="156"/>
      <c r="B724" s="142"/>
      <c r="C724" s="143"/>
      <c r="D724" s="144"/>
      <c r="E724" s="143"/>
      <c r="F724" s="143"/>
      <c r="G724" s="143"/>
      <c r="H724" s="143"/>
      <c r="I724" s="143"/>
      <c r="J724" s="143"/>
      <c r="K724" s="143"/>
      <c r="L724" s="143"/>
      <c r="M724" s="143"/>
      <c r="N724" s="143"/>
      <c r="O724" s="143"/>
      <c r="P724" s="143"/>
      <c r="Q724" s="143"/>
      <c r="R724" s="143"/>
      <c r="S724" s="143"/>
      <c r="T724" s="143"/>
      <c r="U724" s="143"/>
      <c r="V724" s="143"/>
      <c r="W724" s="143"/>
      <c r="X724" s="143"/>
      <c r="Y724" s="143"/>
    </row>
    <row r="725" spans="1:25" ht="13">
      <c r="A725" s="156"/>
      <c r="B725" s="142"/>
      <c r="C725" s="143"/>
      <c r="D725" s="144"/>
      <c r="E725" s="143"/>
      <c r="F725" s="143"/>
      <c r="G725" s="143"/>
      <c r="H725" s="143"/>
      <c r="I725" s="143"/>
      <c r="J725" s="143"/>
      <c r="K725" s="143"/>
      <c r="L725" s="143"/>
      <c r="M725" s="143"/>
      <c r="N725" s="143"/>
      <c r="O725" s="143"/>
      <c r="P725" s="143"/>
      <c r="Q725" s="143"/>
      <c r="R725" s="143"/>
      <c r="S725" s="143"/>
      <c r="T725" s="143"/>
      <c r="U725" s="143"/>
      <c r="V725" s="143"/>
      <c r="W725" s="143"/>
      <c r="X725" s="143"/>
      <c r="Y725" s="143"/>
    </row>
    <row r="726" spans="1:25" ht="13">
      <c r="A726" s="156"/>
      <c r="B726" s="142"/>
      <c r="C726" s="143"/>
      <c r="D726" s="144"/>
      <c r="E726" s="143"/>
      <c r="F726" s="143"/>
      <c r="G726" s="143"/>
      <c r="H726" s="143"/>
      <c r="I726" s="143"/>
      <c r="J726" s="143"/>
      <c r="K726" s="143"/>
      <c r="L726" s="143"/>
      <c r="M726" s="143"/>
      <c r="N726" s="143"/>
      <c r="O726" s="143"/>
      <c r="P726" s="143"/>
      <c r="Q726" s="143"/>
      <c r="R726" s="143"/>
      <c r="S726" s="143"/>
      <c r="T726" s="143"/>
      <c r="U726" s="143"/>
      <c r="V726" s="143"/>
      <c r="W726" s="143"/>
      <c r="X726" s="143"/>
      <c r="Y726" s="143"/>
    </row>
    <row r="727" spans="1:25" ht="13">
      <c r="A727" s="156"/>
      <c r="B727" s="142"/>
      <c r="C727" s="143"/>
      <c r="D727" s="144"/>
      <c r="E727" s="143"/>
      <c r="F727" s="143"/>
      <c r="G727" s="143"/>
      <c r="H727" s="143"/>
      <c r="I727" s="143"/>
      <c r="J727" s="143"/>
      <c r="K727" s="143"/>
      <c r="L727" s="143"/>
      <c r="M727" s="143"/>
      <c r="N727" s="143"/>
      <c r="O727" s="143"/>
      <c r="P727" s="143"/>
      <c r="Q727" s="143"/>
      <c r="R727" s="143"/>
      <c r="S727" s="143"/>
      <c r="T727" s="143"/>
      <c r="U727" s="143"/>
      <c r="V727" s="143"/>
      <c r="W727" s="143"/>
      <c r="X727" s="143"/>
      <c r="Y727" s="143"/>
    </row>
    <row r="728" spans="1:25" ht="13">
      <c r="A728" s="156"/>
      <c r="B728" s="142"/>
      <c r="C728" s="143"/>
      <c r="D728" s="144"/>
      <c r="E728" s="143"/>
      <c r="F728" s="143"/>
      <c r="G728" s="143"/>
      <c r="H728" s="143"/>
      <c r="I728" s="143"/>
      <c r="J728" s="143"/>
      <c r="K728" s="143"/>
      <c r="L728" s="143"/>
      <c r="M728" s="143"/>
      <c r="N728" s="143"/>
      <c r="O728" s="143"/>
      <c r="P728" s="143"/>
      <c r="Q728" s="143"/>
      <c r="R728" s="143"/>
      <c r="S728" s="143"/>
      <c r="T728" s="143"/>
      <c r="U728" s="143"/>
      <c r="V728" s="143"/>
      <c r="W728" s="143"/>
      <c r="X728" s="143"/>
      <c r="Y728" s="143"/>
    </row>
    <row r="729" spans="1:25" ht="13">
      <c r="A729" s="156"/>
      <c r="B729" s="142"/>
      <c r="C729" s="143"/>
      <c r="D729" s="144"/>
      <c r="E729" s="143"/>
      <c r="F729" s="143"/>
      <c r="G729" s="143"/>
      <c r="H729" s="143"/>
      <c r="I729" s="143"/>
      <c r="J729" s="143"/>
      <c r="K729" s="143"/>
      <c r="L729" s="143"/>
      <c r="M729" s="143"/>
      <c r="N729" s="143"/>
      <c r="O729" s="143"/>
      <c r="P729" s="143"/>
      <c r="Q729" s="143"/>
      <c r="R729" s="143"/>
      <c r="S729" s="143"/>
      <c r="T729" s="143"/>
      <c r="U729" s="143"/>
      <c r="V729" s="143"/>
      <c r="W729" s="143"/>
      <c r="X729" s="143"/>
      <c r="Y729" s="143"/>
    </row>
    <row r="730" spans="1:25" ht="13">
      <c r="A730" s="156"/>
      <c r="B730" s="142"/>
      <c r="C730" s="143"/>
      <c r="D730" s="144"/>
      <c r="E730" s="143"/>
      <c r="F730" s="143"/>
      <c r="G730" s="143"/>
      <c r="H730" s="143"/>
      <c r="I730" s="143"/>
      <c r="J730" s="143"/>
      <c r="K730" s="143"/>
      <c r="L730" s="143"/>
      <c r="M730" s="143"/>
      <c r="N730" s="143"/>
      <c r="O730" s="143"/>
      <c r="P730" s="143"/>
      <c r="Q730" s="143"/>
      <c r="R730" s="143"/>
      <c r="S730" s="143"/>
      <c r="T730" s="143"/>
      <c r="U730" s="143"/>
      <c r="V730" s="143"/>
      <c r="W730" s="143"/>
      <c r="X730" s="143"/>
      <c r="Y730" s="143"/>
    </row>
    <row r="731" spans="1:25" ht="13">
      <c r="A731" s="156"/>
      <c r="B731" s="142"/>
      <c r="C731" s="143"/>
      <c r="D731" s="144"/>
      <c r="E731" s="143"/>
      <c r="F731" s="143"/>
      <c r="G731" s="143"/>
      <c r="H731" s="143"/>
      <c r="I731" s="143"/>
      <c r="J731" s="143"/>
      <c r="K731" s="143"/>
      <c r="L731" s="143"/>
      <c r="M731" s="143"/>
      <c r="N731" s="143"/>
      <c r="O731" s="143"/>
      <c r="P731" s="143"/>
      <c r="Q731" s="143"/>
      <c r="R731" s="143"/>
      <c r="S731" s="143"/>
      <c r="T731" s="143"/>
      <c r="U731" s="143"/>
      <c r="V731" s="143"/>
      <c r="W731" s="143"/>
      <c r="X731" s="143"/>
      <c r="Y731" s="143"/>
    </row>
    <row r="732" spans="1:25" ht="13">
      <c r="A732" s="156"/>
      <c r="B732" s="142"/>
      <c r="C732" s="143"/>
      <c r="D732" s="144"/>
      <c r="E732" s="143"/>
      <c r="F732" s="143"/>
      <c r="G732" s="143"/>
      <c r="H732" s="143"/>
      <c r="I732" s="143"/>
      <c r="J732" s="143"/>
      <c r="K732" s="143"/>
      <c r="L732" s="143"/>
      <c r="M732" s="143"/>
      <c r="N732" s="143"/>
      <c r="O732" s="143"/>
      <c r="P732" s="143"/>
      <c r="Q732" s="143"/>
      <c r="R732" s="143"/>
      <c r="S732" s="143"/>
      <c r="T732" s="143"/>
      <c r="U732" s="143"/>
      <c r="V732" s="143"/>
      <c r="W732" s="143"/>
      <c r="X732" s="143"/>
      <c r="Y732" s="143"/>
    </row>
    <row r="733" spans="1:25" ht="13">
      <c r="A733" s="156"/>
      <c r="B733" s="142"/>
      <c r="C733" s="143"/>
      <c r="D733" s="144"/>
      <c r="E733" s="143"/>
      <c r="F733" s="143"/>
      <c r="G733" s="143"/>
      <c r="H733" s="143"/>
      <c r="I733" s="143"/>
      <c r="J733" s="143"/>
      <c r="K733" s="143"/>
      <c r="L733" s="143"/>
      <c r="M733" s="143"/>
      <c r="N733" s="143"/>
      <c r="O733" s="143"/>
      <c r="P733" s="143"/>
      <c r="Q733" s="143"/>
      <c r="R733" s="143"/>
      <c r="S733" s="143"/>
      <c r="T733" s="143"/>
      <c r="U733" s="143"/>
      <c r="V733" s="143"/>
      <c r="W733" s="143"/>
      <c r="X733" s="143"/>
      <c r="Y733" s="143"/>
    </row>
    <row r="734" spans="1:25" ht="13">
      <c r="A734" s="156"/>
      <c r="B734" s="142"/>
      <c r="C734" s="143"/>
      <c r="D734" s="144"/>
      <c r="E734" s="143"/>
      <c r="F734" s="143"/>
      <c r="G734" s="143"/>
      <c r="H734" s="143"/>
      <c r="I734" s="143"/>
      <c r="J734" s="143"/>
      <c r="K734" s="143"/>
      <c r="L734" s="143"/>
      <c r="M734" s="143"/>
      <c r="N734" s="143"/>
      <c r="O734" s="143"/>
      <c r="P734" s="143"/>
      <c r="Q734" s="143"/>
      <c r="R734" s="143"/>
      <c r="S734" s="143"/>
      <c r="T734" s="143"/>
      <c r="U734" s="143"/>
      <c r="V734" s="143"/>
      <c r="W734" s="143"/>
      <c r="X734" s="143"/>
      <c r="Y734" s="143"/>
    </row>
    <row r="735" spans="1:25" ht="13">
      <c r="A735" s="156"/>
      <c r="B735" s="142"/>
      <c r="C735" s="143"/>
      <c r="D735" s="144"/>
      <c r="E735" s="143"/>
      <c r="F735" s="143"/>
      <c r="G735" s="143"/>
      <c r="H735" s="143"/>
      <c r="I735" s="143"/>
      <c r="J735" s="143"/>
      <c r="K735" s="143"/>
      <c r="L735" s="143"/>
      <c r="M735" s="143"/>
      <c r="N735" s="143"/>
      <c r="O735" s="143"/>
      <c r="P735" s="143"/>
      <c r="Q735" s="143"/>
      <c r="R735" s="143"/>
      <c r="S735" s="143"/>
      <c r="T735" s="143"/>
      <c r="U735" s="143"/>
      <c r="V735" s="143"/>
      <c r="W735" s="143"/>
      <c r="X735" s="143"/>
      <c r="Y735" s="143"/>
    </row>
    <row r="736" spans="1:25" ht="13">
      <c r="A736" s="156"/>
      <c r="B736" s="142"/>
      <c r="C736" s="143"/>
      <c r="D736" s="144"/>
      <c r="E736" s="143"/>
      <c r="F736" s="143"/>
      <c r="G736" s="143"/>
      <c r="H736" s="143"/>
      <c r="I736" s="143"/>
      <c r="J736" s="143"/>
      <c r="K736" s="143"/>
      <c r="L736" s="143"/>
      <c r="M736" s="143"/>
      <c r="N736" s="143"/>
      <c r="O736" s="143"/>
      <c r="P736" s="143"/>
      <c r="Q736" s="143"/>
      <c r="R736" s="143"/>
      <c r="S736" s="143"/>
      <c r="T736" s="143"/>
      <c r="U736" s="143"/>
      <c r="V736" s="143"/>
      <c r="W736" s="143"/>
      <c r="X736" s="143"/>
      <c r="Y736" s="143"/>
    </row>
    <row r="737" spans="1:25" ht="13">
      <c r="A737" s="156"/>
      <c r="B737" s="142"/>
      <c r="C737" s="143"/>
      <c r="D737" s="144"/>
      <c r="E737" s="143"/>
      <c r="F737" s="143"/>
      <c r="G737" s="143"/>
      <c r="H737" s="143"/>
      <c r="I737" s="143"/>
      <c r="J737" s="143"/>
      <c r="K737" s="143"/>
      <c r="L737" s="143"/>
      <c r="M737" s="143"/>
      <c r="N737" s="143"/>
      <c r="O737" s="143"/>
      <c r="P737" s="143"/>
      <c r="Q737" s="143"/>
      <c r="R737" s="143"/>
      <c r="S737" s="143"/>
      <c r="T737" s="143"/>
      <c r="U737" s="143"/>
      <c r="V737" s="143"/>
      <c r="W737" s="143"/>
      <c r="X737" s="143"/>
      <c r="Y737" s="143"/>
    </row>
    <row r="738" spans="1:25" ht="13">
      <c r="A738" s="156"/>
      <c r="B738" s="142"/>
      <c r="C738" s="143"/>
      <c r="D738" s="144"/>
      <c r="E738" s="143"/>
      <c r="F738" s="143"/>
      <c r="G738" s="143"/>
      <c r="H738" s="143"/>
      <c r="I738" s="143"/>
      <c r="J738" s="143"/>
      <c r="K738" s="143"/>
      <c r="L738" s="143"/>
      <c r="M738" s="143"/>
      <c r="N738" s="143"/>
      <c r="O738" s="143"/>
      <c r="P738" s="143"/>
      <c r="Q738" s="143"/>
      <c r="R738" s="143"/>
      <c r="S738" s="143"/>
      <c r="T738" s="143"/>
      <c r="U738" s="143"/>
      <c r="V738" s="143"/>
      <c r="W738" s="143"/>
      <c r="X738" s="143"/>
      <c r="Y738" s="143"/>
    </row>
    <row r="739" spans="1:25" ht="13">
      <c r="A739" s="156"/>
      <c r="B739" s="142"/>
      <c r="C739" s="143"/>
      <c r="D739" s="144"/>
      <c r="E739" s="143"/>
      <c r="F739" s="143"/>
      <c r="G739" s="143"/>
      <c r="H739" s="143"/>
      <c r="I739" s="143"/>
      <c r="J739" s="143"/>
      <c r="K739" s="143"/>
      <c r="L739" s="143"/>
      <c r="M739" s="143"/>
      <c r="N739" s="143"/>
      <c r="O739" s="143"/>
      <c r="P739" s="143"/>
      <c r="Q739" s="143"/>
      <c r="R739" s="143"/>
      <c r="S739" s="143"/>
      <c r="T739" s="143"/>
      <c r="U739" s="143"/>
      <c r="V739" s="143"/>
      <c r="W739" s="143"/>
      <c r="X739" s="143"/>
      <c r="Y739" s="143"/>
    </row>
    <row r="740" spans="1:25" ht="13">
      <c r="A740" s="156"/>
      <c r="B740" s="142"/>
      <c r="C740" s="143"/>
      <c r="D740" s="144"/>
      <c r="E740" s="143"/>
      <c r="F740" s="143"/>
      <c r="G740" s="143"/>
      <c r="H740" s="143"/>
      <c r="I740" s="143"/>
      <c r="J740" s="143"/>
      <c r="K740" s="143"/>
      <c r="L740" s="143"/>
      <c r="M740" s="143"/>
      <c r="N740" s="143"/>
      <c r="O740" s="143"/>
      <c r="P740" s="143"/>
      <c r="Q740" s="143"/>
      <c r="R740" s="143"/>
      <c r="S740" s="143"/>
      <c r="T740" s="143"/>
      <c r="U740" s="143"/>
      <c r="V740" s="143"/>
      <c r="W740" s="143"/>
      <c r="X740" s="143"/>
      <c r="Y740" s="143"/>
    </row>
    <row r="741" spans="1:25" ht="13">
      <c r="A741" s="156"/>
      <c r="B741" s="142"/>
      <c r="C741" s="143"/>
      <c r="D741" s="144"/>
      <c r="E741" s="143"/>
      <c r="F741" s="143"/>
      <c r="G741" s="143"/>
      <c r="H741" s="143"/>
      <c r="I741" s="143"/>
      <c r="J741" s="143"/>
      <c r="K741" s="143"/>
      <c r="L741" s="143"/>
      <c r="M741" s="143"/>
      <c r="N741" s="143"/>
      <c r="O741" s="143"/>
      <c r="P741" s="143"/>
      <c r="Q741" s="143"/>
      <c r="R741" s="143"/>
      <c r="S741" s="143"/>
      <c r="T741" s="143"/>
      <c r="U741" s="143"/>
      <c r="V741" s="143"/>
      <c r="W741" s="143"/>
      <c r="X741" s="143"/>
      <c r="Y741" s="143"/>
    </row>
    <row r="742" spans="1:25" ht="13">
      <c r="A742" s="156"/>
      <c r="B742" s="142"/>
      <c r="C742" s="143"/>
      <c r="D742" s="144"/>
      <c r="E742" s="143"/>
      <c r="F742" s="143"/>
      <c r="G742" s="143"/>
      <c r="H742" s="143"/>
      <c r="I742" s="143"/>
      <c r="J742" s="143"/>
      <c r="K742" s="143"/>
      <c r="L742" s="143"/>
      <c r="M742" s="143"/>
      <c r="N742" s="143"/>
      <c r="O742" s="143"/>
      <c r="P742" s="143"/>
      <c r="Q742" s="143"/>
      <c r="R742" s="143"/>
      <c r="S742" s="143"/>
      <c r="T742" s="143"/>
      <c r="U742" s="143"/>
      <c r="V742" s="143"/>
      <c r="W742" s="143"/>
      <c r="X742" s="143"/>
      <c r="Y742" s="143"/>
    </row>
    <row r="743" spans="1:25" ht="13">
      <c r="A743" s="156"/>
      <c r="B743" s="142"/>
      <c r="C743" s="143"/>
      <c r="D743" s="144"/>
      <c r="E743" s="143"/>
      <c r="F743" s="143"/>
      <c r="G743" s="143"/>
      <c r="H743" s="143"/>
      <c r="I743" s="143"/>
      <c r="J743" s="143"/>
      <c r="K743" s="143"/>
      <c r="L743" s="143"/>
      <c r="M743" s="143"/>
      <c r="N743" s="143"/>
      <c r="O743" s="143"/>
      <c r="P743" s="143"/>
      <c r="Q743" s="143"/>
      <c r="R743" s="143"/>
      <c r="S743" s="143"/>
      <c r="T743" s="143"/>
      <c r="U743" s="143"/>
      <c r="V743" s="143"/>
      <c r="W743" s="143"/>
      <c r="X743" s="143"/>
      <c r="Y743" s="143"/>
    </row>
    <row r="744" spans="1:25" ht="13">
      <c r="A744" s="156"/>
      <c r="B744" s="142"/>
      <c r="C744" s="143"/>
      <c r="D744" s="144"/>
      <c r="E744" s="143"/>
      <c r="F744" s="143"/>
      <c r="G744" s="143"/>
      <c r="H744" s="143"/>
      <c r="I744" s="143"/>
      <c r="J744" s="143"/>
      <c r="K744" s="143"/>
      <c r="L744" s="143"/>
      <c r="M744" s="143"/>
      <c r="N744" s="143"/>
      <c r="O744" s="143"/>
      <c r="P744" s="143"/>
      <c r="Q744" s="143"/>
      <c r="R744" s="143"/>
      <c r="S744" s="143"/>
      <c r="T744" s="143"/>
      <c r="U744" s="143"/>
      <c r="V744" s="143"/>
      <c r="W744" s="143"/>
      <c r="X744" s="143"/>
      <c r="Y744" s="143"/>
    </row>
    <row r="745" spans="1:25" ht="13">
      <c r="A745" s="156"/>
      <c r="B745" s="142"/>
      <c r="C745" s="143"/>
      <c r="D745" s="144"/>
      <c r="E745" s="143"/>
      <c r="F745" s="143"/>
      <c r="G745" s="143"/>
      <c r="H745" s="143"/>
      <c r="I745" s="143"/>
      <c r="J745" s="143"/>
      <c r="K745" s="143"/>
      <c r="L745" s="143"/>
      <c r="M745" s="143"/>
      <c r="N745" s="143"/>
      <c r="O745" s="143"/>
      <c r="P745" s="143"/>
      <c r="Q745" s="143"/>
      <c r="R745" s="143"/>
      <c r="S745" s="143"/>
      <c r="T745" s="143"/>
      <c r="U745" s="143"/>
      <c r="V745" s="143"/>
      <c r="W745" s="143"/>
      <c r="X745" s="143"/>
      <c r="Y745" s="143"/>
    </row>
    <row r="746" spans="1:25" ht="13">
      <c r="A746" s="156"/>
      <c r="B746" s="142"/>
      <c r="C746" s="143"/>
      <c r="D746" s="144"/>
      <c r="E746" s="143"/>
      <c r="F746" s="143"/>
      <c r="G746" s="143"/>
      <c r="H746" s="143"/>
      <c r="I746" s="143"/>
      <c r="J746" s="143"/>
      <c r="K746" s="143"/>
      <c r="L746" s="143"/>
      <c r="M746" s="143"/>
      <c r="N746" s="143"/>
      <c r="O746" s="143"/>
      <c r="P746" s="143"/>
      <c r="Q746" s="143"/>
      <c r="R746" s="143"/>
      <c r="S746" s="143"/>
      <c r="T746" s="143"/>
      <c r="U746" s="143"/>
      <c r="V746" s="143"/>
      <c r="W746" s="143"/>
      <c r="X746" s="143"/>
      <c r="Y746" s="143"/>
    </row>
    <row r="747" spans="1:25" ht="13">
      <c r="A747" s="156"/>
      <c r="B747" s="142"/>
      <c r="C747" s="143"/>
      <c r="D747" s="144"/>
      <c r="E747" s="143"/>
      <c r="F747" s="143"/>
      <c r="G747" s="143"/>
      <c r="H747" s="143"/>
      <c r="I747" s="143"/>
      <c r="J747" s="143"/>
      <c r="K747" s="143"/>
      <c r="L747" s="143"/>
      <c r="M747" s="143"/>
      <c r="N747" s="143"/>
      <c r="O747" s="143"/>
      <c r="P747" s="143"/>
      <c r="Q747" s="143"/>
      <c r="R747" s="143"/>
      <c r="S747" s="143"/>
      <c r="T747" s="143"/>
      <c r="U747" s="143"/>
      <c r="V747" s="143"/>
      <c r="W747" s="143"/>
      <c r="X747" s="143"/>
      <c r="Y747" s="143"/>
    </row>
    <row r="748" spans="1:25" ht="13">
      <c r="A748" s="156"/>
      <c r="B748" s="142"/>
      <c r="C748" s="143"/>
      <c r="D748" s="144"/>
      <c r="E748" s="143"/>
      <c r="F748" s="143"/>
      <c r="G748" s="143"/>
      <c r="H748" s="143"/>
      <c r="I748" s="143"/>
      <c r="J748" s="143"/>
      <c r="K748" s="143"/>
      <c r="L748" s="143"/>
      <c r="M748" s="143"/>
      <c r="N748" s="143"/>
      <c r="O748" s="143"/>
      <c r="P748" s="143"/>
      <c r="Q748" s="143"/>
      <c r="R748" s="143"/>
      <c r="S748" s="143"/>
      <c r="T748" s="143"/>
      <c r="U748" s="143"/>
      <c r="V748" s="143"/>
      <c r="W748" s="143"/>
      <c r="X748" s="143"/>
      <c r="Y748" s="143"/>
    </row>
    <row r="749" spans="1:25" ht="13">
      <c r="A749" s="156"/>
      <c r="B749" s="142"/>
      <c r="C749" s="143"/>
      <c r="D749" s="144"/>
      <c r="E749" s="143"/>
      <c r="F749" s="143"/>
      <c r="G749" s="143"/>
      <c r="H749" s="143"/>
      <c r="I749" s="143"/>
      <c r="J749" s="143"/>
      <c r="K749" s="143"/>
      <c r="L749" s="143"/>
      <c r="M749" s="143"/>
      <c r="N749" s="143"/>
      <c r="O749" s="143"/>
      <c r="P749" s="143"/>
      <c r="Q749" s="143"/>
      <c r="R749" s="143"/>
      <c r="S749" s="143"/>
      <c r="T749" s="143"/>
      <c r="U749" s="143"/>
      <c r="V749" s="143"/>
      <c r="W749" s="143"/>
      <c r="X749" s="143"/>
      <c r="Y749" s="143"/>
    </row>
    <row r="750" spans="1:25" ht="13">
      <c r="A750" s="156"/>
      <c r="B750" s="142"/>
      <c r="C750" s="143"/>
      <c r="D750" s="144"/>
      <c r="E750" s="143"/>
      <c r="F750" s="143"/>
      <c r="G750" s="143"/>
      <c r="H750" s="143"/>
      <c r="I750" s="143"/>
      <c r="J750" s="143"/>
      <c r="K750" s="143"/>
      <c r="L750" s="143"/>
      <c r="M750" s="143"/>
      <c r="N750" s="143"/>
      <c r="O750" s="143"/>
      <c r="P750" s="143"/>
      <c r="Q750" s="143"/>
      <c r="R750" s="143"/>
      <c r="S750" s="143"/>
      <c r="T750" s="143"/>
      <c r="U750" s="143"/>
      <c r="V750" s="143"/>
      <c r="W750" s="143"/>
      <c r="X750" s="143"/>
      <c r="Y750" s="143"/>
    </row>
    <row r="751" spans="1:25" ht="13">
      <c r="A751" s="156"/>
      <c r="B751" s="142"/>
      <c r="C751" s="143"/>
      <c r="D751" s="144"/>
      <c r="E751" s="143"/>
      <c r="F751" s="143"/>
      <c r="G751" s="143"/>
      <c r="H751" s="143"/>
      <c r="I751" s="143"/>
      <c r="J751" s="143"/>
      <c r="K751" s="143"/>
      <c r="L751" s="143"/>
      <c r="M751" s="143"/>
      <c r="N751" s="143"/>
      <c r="O751" s="143"/>
      <c r="P751" s="143"/>
      <c r="Q751" s="143"/>
      <c r="R751" s="143"/>
      <c r="S751" s="143"/>
      <c r="T751" s="143"/>
      <c r="U751" s="143"/>
      <c r="V751" s="143"/>
      <c r="W751" s="143"/>
      <c r="X751" s="143"/>
      <c r="Y751" s="143"/>
    </row>
    <row r="752" spans="1:25" ht="13">
      <c r="A752" s="156"/>
      <c r="B752" s="142"/>
      <c r="C752" s="143"/>
      <c r="D752" s="144"/>
      <c r="E752" s="143"/>
      <c r="F752" s="143"/>
      <c r="G752" s="143"/>
      <c r="H752" s="143"/>
      <c r="I752" s="143"/>
      <c r="J752" s="143"/>
      <c r="K752" s="143"/>
      <c r="L752" s="143"/>
      <c r="M752" s="143"/>
      <c r="N752" s="143"/>
      <c r="O752" s="143"/>
      <c r="P752" s="143"/>
      <c r="Q752" s="143"/>
      <c r="R752" s="143"/>
      <c r="S752" s="143"/>
      <c r="T752" s="143"/>
      <c r="U752" s="143"/>
      <c r="V752" s="143"/>
      <c r="W752" s="143"/>
      <c r="X752" s="143"/>
      <c r="Y752" s="143"/>
    </row>
    <row r="753" spans="1:25" ht="13">
      <c r="A753" s="156"/>
      <c r="B753" s="142"/>
      <c r="C753" s="143"/>
      <c r="D753" s="144"/>
      <c r="E753" s="143"/>
      <c r="F753" s="143"/>
      <c r="G753" s="143"/>
      <c r="H753" s="143"/>
      <c r="I753" s="143"/>
      <c r="J753" s="143"/>
      <c r="K753" s="143"/>
      <c r="L753" s="143"/>
      <c r="M753" s="143"/>
      <c r="N753" s="143"/>
      <c r="O753" s="143"/>
      <c r="P753" s="143"/>
      <c r="Q753" s="143"/>
      <c r="R753" s="143"/>
      <c r="S753" s="143"/>
      <c r="T753" s="143"/>
      <c r="U753" s="143"/>
      <c r="V753" s="143"/>
      <c r="W753" s="143"/>
      <c r="X753" s="143"/>
      <c r="Y753" s="143"/>
    </row>
    <row r="754" spans="1:25" ht="13">
      <c r="A754" s="156"/>
      <c r="B754" s="142"/>
      <c r="C754" s="143"/>
      <c r="D754" s="144"/>
      <c r="E754" s="143"/>
      <c r="F754" s="143"/>
      <c r="G754" s="143"/>
      <c r="H754" s="143"/>
      <c r="I754" s="143"/>
      <c r="J754" s="143"/>
      <c r="K754" s="143"/>
      <c r="L754" s="143"/>
      <c r="M754" s="143"/>
      <c r="N754" s="143"/>
      <c r="O754" s="143"/>
      <c r="P754" s="143"/>
      <c r="Q754" s="143"/>
      <c r="R754" s="143"/>
      <c r="S754" s="143"/>
      <c r="T754" s="143"/>
      <c r="U754" s="143"/>
      <c r="V754" s="143"/>
      <c r="W754" s="143"/>
      <c r="X754" s="143"/>
      <c r="Y754" s="143"/>
    </row>
    <row r="755" spans="1:25" ht="13">
      <c r="A755" s="156"/>
      <c r="B755" s="142"/>
      <c r="C755" s="143"/>
      <c r="D755" s="144"/>
      <c r="E755" s="143"/>
      <c r="F755" s="143"/>
      <c r="G755" s="143"/>
      <c r="H755" s="143"/>
      <c r="I755" s="143"/>
      <c r="J755" s="143"/>
      <c r="K755" s="143"/>
      <c r="L755" s="143"/>
      <c r="M755" s="143"/>
      <c r="N755" s="143"/>
      <c r="O755" s="143"/>
      <c r="P755" s="143"/>
      <c r="Q755" s="143"/>
      <c r="R755" s="143"/>
      <c r="S755" s="143"/>
      <c r="T755" s="143"/>
      <c r="U755" s="143"/>
      <c r="V755" s="143"/>
      <c r="W755" s="143"/>
      <c r="X755" s="143"/>
      <c r="Y755" s="143"/>
    </row>
    <row r="756" spans="1:25" ht="13">
      <c r="A756" s="156"/>
      <c r="B756" s="142"/>
      <c r="C756" s="143"/>
      <c r="D756" s="144"/>
      <c r="E756" s="143"/>
      <c r="F756" s="143"/>
      <c r="G756" s="143"/>
      <c r="H756" s="143"/>
      <c r="I756" s="143"/>
      <c r="J756" s="143"/>
      <c r="K756" s="143"/>
      <c r="L756" s="143"/>
      <c r="M756" s="143"/>
      <c r="N756" s="143"/>
      <c r="O756" s="143"/>
      <c r="P756" s="143"/>
      <c r="Q756" s="143"/>
      <c r="R756" s="143"/>
      <c r="S756" s="143"/>
      <c r="T756" s="143"/>
      <c r="U756" s="143"/>
      <c r="V756" s="143"/>
      <c r="W756" s="143"/>
      <c r="X756" s="143"/>
      <c r="Y756" s="143"/>
    </row>
    <row r="757" spans="1:25" ht="13">
      <c r="A757" s="156"/>
      <c r="B757" s="142"/>
      <c r="C757" s="143"/>
      <c r="D757" s="144"/>
      <c r="E757" s="143"/>
      <c r="F757" s="143"/>
      <c r="G757" s="143"/>
      <c r="H757" s="143"/>
      <c r="I757" s="143"/>
      <c r="J757" s="143"/>
      <c r="K757" s="143"/>
      <c r="L757" s="143"/>
      <c r="M757" s="143"/>
      <c r="N757" s="143"/>
      <c r="O757" s="143"/>
      <c r="P757" s="143"/>
      <c r="Q757" s="143"/>
      <c r="R757" s="143"/>
      <c r="S757" s="143"/>
      <c r="T757" s="143"/>
      <c r="U757" s="143"/>
      <c r="V757" s="143"/>
      <c r="W757" s="143"/>
      <c r="X757" s="143"/>
      <c r="Y757" s="143"/>
    </row>
    <row r="758" spans="1:25" ht="13">
      <c r="A758" s="156"/>
      <c r="B758" s="142"/>
      <c r="C758" s="143"/>
      <c r="D758" s="144"/>
      <c r="E758" s="143"/>
      <c r="F758" s="143"/>
      <c r="G758" s="143"/>
      <c r="H758" s="143"/>
      <c r="I758" s="143"/>
      <c r="J758" s="143"/>
      <c r="K758" s="143"/>
      <c r="L758" s="143"/>
      <c r="M758" s="143"/>
      <c r="N758" s="143"/>
      <c r="O758" s="143"/>
      <c r="P758" s="143"/>
      <c r="Q758" s="143"/>
      <c r="R758" s="143"/>
      <c r="S758" s="143"/>
      <c r="T758" s="143"/>
      <c r="U758" s="143"/>
      <c r="V758" s="143"/>
      <c r="W758" s="143"/>
      <c r="X758" s="143"/>
      <c r="Y758" s="143"/>
    </row>
    <row r="759" spans="1:25" ht="13">
      <c r="A759" s="156"/>
      <c r="B759" s="142"/>
      <c r="C759" s="143"/>
      <c r="D759" s="144"/>
      <c r="E759" s="143"/>
      <c r="F759" s="143"/>
      <c r="G759" s="143"/>
      <c r="H759" s="143"/>
      <c r="I759" s="143"/>
      <c r="J759" s="143"/>
      <c r="K759" s="143"/>
      <c r="L759" s="143"/>
      <c r="M759" s="143"/>
      <c r="N759" s="143"/>
      <c r="O759" s="143"/>
      <c r="P759" s="143"/>
      <c r="Q759" s="143"/>
      <c r="R759" s="143"/>
      <c r="S759" s="143"/>
      <c r="T759" s="143"/>
      <c r="U759" s="143"/>
      <c r="V759" s="143"/>
      <c r="W759" s="143"/>
      <c r="X759" s="143"/>
      <c r="Y759" s="143"/>
    </row>
    <row r="760" spans="1:25" ht="13">
      <c r="A760" s="156"/>
      <c r="B760" s="142"/>
      <c r="C760" s="143"/>
      <c r="D760" s="144"/>
      <c r="E760" s="143"/>
      <c r="F760" s="143"/>
      <c r="G760" s="143"/>
      <c r="H760" s="143"/>
      <c r="I760" s="143"/>
      <c r="J760" s="143"/>
      <c r="K760" s="143"/>
      <c r="L760" s="143"/>
      <c r="M760" s="143"/>
      <c r="N760" s="143"/>
      <c r="O760" s="143"/>
      <c r="P760" s="143"/>
      <c r="Q760" s="143"/>
      <c r="R760" s="143"/>
      <c r="S760" s="143"/>
      <c r="T760" s="143"/>
      <c r="U760" s="143"/>
      <c r="V760" s="143"/>
      <c r="W760" s="143"/>
      <c r="X760" s="143"/>
      <c r="Y760" s="143"/>
    </row>
    <row r="761" spans="1:25" ht="13">
      <c r="A761" s="156"/>
      <c r="B761" s="142"/>
      <c r="C761" s="143"/>
      <c r="D761" s="144"/>
      <c r="E761" s="143"/>
      <c r="F761" s="143"/>
      <c r="G761" s="143"/>
      <c r="H761" s="143"/>
      <c r="I761" s="143"/>
      <c r="J761" s="143"/>
      <c r="K761" s="143"/>
      <c r="L761" s="143"/>
      <c r="M761" s="143"/>
      <c r="N761" s="143"/>
      <c r="O761" s="143"/>
      <c r="P761" s="143"/>
      <c r="Q761" s="143"/>
      <c r="R761" s="143"/>
      <c r="S761" s="143"/>
      <c r="T761" s="143"/>
      <c r="U761" s="143"/>
      <c r="V761" s="143"/>
      <c r="W761" s="143"/>
      <c r="X761" s="143"/>
      <c r="Y761" s="143"/>
    </row>
    <row r="762" spans="1:25" ht="13">
      <c r="A762" s="156"/>
      <c r="B762" s="142"/>
      <c r="C762" s="143"/>
      <c r="D762" s="144"/>
      <c r="E762" s="143"/>
      <c r="F762" s="143"/>
      <c r="G762" s="143"/>
      <c r="H762" s="143"/>
      <c r="I762" s="143"/>
      <c r="J762" s="143"/>
      <c r="K762" s="143"/>
      <c r="L762" s="143"/>
      <c r="M762" s="143"/>
      <c r="N762" s="143"/>
      <c r="O762" s="143"/>
      <c r="P762" s="143"/>
      <c r="Q762" s="143"/>
      <c r="R762" s="143"/>
      <c r="S762" s="143"/>
      <c r="T762" s="143"/>
      <c r="U762" s="143"/>
      <c r="V762" s="143"/>
      <c r="W762" s="143"/>
      <c r="X762" s="143"/>
      <c r="Y762" s="143"/>
    </row>
    <row r="763" spans="1:25" ht="13">
      <c r="A763" s="156"/>
      <c r="B763" s="142"/>
      <c r="C763" s="143"/>
      <c r="D763" s="144"/>
      <c r="E763" s="143"/>
      <c r="F763" s="143"/>
      <c r="G763" s="143"/>
      <c r="H763" s="143"/>
      <c r="I763" s="143"/>
      <c r="J763" s="143"/>
      <c r="K763" s="143"/>
      <c r="L763" s="143"/>
      <c r="M763" s="143"/>
      <c r="N763" s="143"/>
      <c r="O763" s="143"/>
      <c r="P763" s="143"/>
      <c r="Q763" s="143"/>
      <c r="R763" s="143"/>
      <c r="S763" s="143"/>
      <c r="T763" s="143"/>
      <c r="U763" s="143"/>
      <c r="V763" s="143"/>
      <c r="W763" s="143"/>
      <c r="X763" s="143"/>
      <c r="Y763" s="143"/>
    </row>
    <row r="764" spans="1:25" ht="13">
      <c r="A764" s="156"/>
      <c r="B764" s="142"/>
      <c r="C764" s="143"/>
      <c r="D764" s="144"/>
      <c r="E764" s="143"/>
      <c r="F764" s="143"/>
      <c r="G764" s="143"/>
      <c r="H764" s="143"/>
      <c r="I764" s="143"/>
      <c r="J764" s="143"/>
      <c r="K764" s="143"/>
      <c r="L764" s="143"/>
      <c r="M764" s="143"/>
      <c r="N764" s="143"/>
      <c r="O764" s="143"/>
      <c r="P764" s="143"/>
      <c r="Q764" s="143"/>
      <c r="R764" s="143"/>
      <c r="S764" s="143"/>
      <c r="T764" s="143"/>
      <c r="U764" s="143"/>
      <c r="V764" s="143"/>
      <c r="W764" s="143"/>
      <c r="X764" s="143"/>
      <c r="Y764" s="143"/>
    </row>
    <row r="765" spans="1:25" ht="13">
      <c r="A765" s="156"/>
      <c r="B765" s="142"/>
      <c r="C765" s="143"/>
      <c r="D765" s="144"/>
      <c r="E765" s="143"/>
      <c r="F765" s="143"/>
      <c r="G765" s="143"/>
      <c r="H765" s="143"/>
      <c r="I765" s="143"/>
      <c r="J765" s="143"/>
      <c r="K765" s="143"/>
      <c r="L765" s="143"/>
      <c r="M765" s="143"/>
      <c r="N765" s="143"/>
      <c r="O765" s="143"/>
      <c r="P765" s="143"/>
      <c r="Q765" s="143"/>
      <c r="R765" s="143"/>
      <c r="S765" s="143"/>
      <c r="T765" s="143"/>
      <c r="U765" s="143"/>
      <c r="V765" s="143"/>
      <c r="W765" s="143"/>
      <c r="X765" s="143"/>
      <c r="Y765" s="143"/>
    </row>
    <row r="766" spans="1:25" ht="13">
      <c r="A766" s="156"/>
      <c r="B766" s="142"/>
      <c r="C766" s="143"/>
      <c r="D766" s="144"/>
      <c r="E766" s="143"/>
      <c r="F766" s="143"/>
      <c r="G766" s="143"/>
      <c r="H766" s="143"/>
      <c r="I766" s="143"/>
      <c r="J766" s="143"/>
      <c r="K766" s="143"/>
      <c r="L766" s="143"/>
      <c r="M766" s="143"/>
      <c r="N766" s="143"/>
      <c r="O766" s="143"/>
      <c r="P766" s="143"/>
      <c r="Q766" s="143"/>
      <c r="R766" s="143"/>
      <c r="S766" s="143"/>
      <c r="T766" s="143"/>
      <c r="U766" s="143"/>
      <c r="V766" s="143"/>
      <c r="W766" s="143"/>
      <c r="X766" s="143"/>
      <c r="Y766" s="143"/>
    </row>
    <row r="767" spans="1:25" ht="13">
      <c r="A767" s="156"/>
      <c r="B767" s="142"/>
      <c r="C767" s="143"/>
      <c r="D767" s="144"/>
      <c r="E767" s="143"/>
      <c r="F767" s="143"/>
      <c r="G767" s="143"/>
      <c r="H767" s="143"/>
      <c r="I767" s="143"/>
      <c r="J767" s="143"/>
      <c r="K767" s="143"/>
      <c r="L767" s="143"/>
      <c r="M767" s="143"/>
      <c r="N767" s="143"/>
      <c r="O767" s="143"/>
      <c r="P767" s="143"/>
      <c r="Q767" s="143"/>
      <c r="R767" s="143"/>
      <c r="S767" s="143"/>
      <c r="T767" s="143"/>
      <c r="U767" s="143"/>
      <c r="V767" s="143"/>
      <c r="W767" s="143"/>
      <c r="X767" s="143"/>
      <c r="Y767" s="143"/>
    </row>
    <row r="768" spans="1:25" ht="13">
      <c r="A768" s="156"/>
      <c r="B768" s="142"/>
      <c r="C768" s="143"/>
      <c r="D768" s="144"/>
      <c r="E768" s="143"/>
      <c r="F768" s="143"/>
      <c r="G768" s="143"/>
      <c r="H768" s="143"/>
      <c r="I768" s="143"/>
      <c r="J768" s="143"/>
      <c r="K768" s="143"/>
      <c r="L768" s="143"/>
      <c r="M768" s="143"/>
      <c r="N768" s="143"/>
      <c r="O768" s="143"/>
      <c r="P768" s="143"/>
      <c r="Q768" s="143"/>
      <c r="R768" s="143"/>
      <c r="S768" s="143"/>
      <c r="T768" s="143"/>
      <c r="U768" s="143"/>
      <c r="V768" s="143"/>
      <c r="W768" s="143"/>
      <c r="X768" s="143"/>
      <c r="Y768" s="143"/>
    </row>
    <row r="769" spans="1:25" ht="13">
      <c r="A769" s="156"/>
      <c r="B769" s="142"/>
      <c r="C769" s="143"/>
      <c r="D769" s="144"/>
      <c r="E769" s="143"/>
      <c r="F769" s="143"/>
      <c r="G769" s="143"/>
      <c r="H769" s="143"/>
      <c r="I769" s="143"/>
      <c r="J769" s="143"/>
      <c r="K769" s="143"/>
      <c r="L769" s="143"/>
      <c r="M769" s="143"/>
      <c r="N769" s="143"/>
      <c r="O769" s="143"/>
      <c r="P769" s="143"/>
      <c r="Q769" s="143"/>
      <c r="R769" s="143"/>
      <c r="S769" s="143"/>
      <c r="T769" s="143"/>
      <c r="U769" s="143"/>
      <c r="V769" s="143"/>
      <c r="W769" s="143"/>
      <c r="X769" s="143"/>
      <c r="Y769" s="143"/>
    </row>
    <row r="770" spans="1:25" ht="13">
      <c r="A770" s="156"/>
      <c r="B770" s="142"/>
      <c r="C770" s="143"/>
      <c r="D770" s="144"/>
      <c r="E770" s="143"/>
      <c r="F770" s="143"/>
      <c r="G770" s="143"/>
      <c r="H770" s="143"/>
      <c r="I770" s="143"/>
      <c r="J770" s="143"/>
      <c r="K770" s="143"/>
      <c r="L770" s="143"/>
      <c r="M770" s="143"/>
      <c r="N770" s="143"/>
      <c r="O770" s="143"/>
      <c r="P770" s="143"/>
      <c r="Q770" s="143"/>
      <c r="R770" s="143"/>
      <c r="S770" s="143"/>
      <c r="T770" s="143"/>
      <c r="U770" s="143"/>
      <c r="V770" s="143"/>
      <c r="W770" s="143"/>
      <c r="X770" s="143"/>
      <c r="Y770" s="143"/>
    </row>
    <row r="771" spans="1:25" ht="13">
      <c r="A771" s="156"/>
      <c r="B771" s="142"/>
      <c r="C771" s="143"/>
      <c r="D771" s="144"/>
      <c r="E771" s="143"/>
      <c r="F771" s="143"/>
      <c r="G771" s="143"/>
      <c r="H771" s="143"/>
      <c r="I771" s="143"/>
      <c r="J771" s="143"/>
      <c r="K771" s="143"/>
      <c r="L771" s="143"/>
      <c r="M771" s="143"/>
      <c r="N771" s="143"/>
      <c r="O771" s="143"/>
      <c r="P771" s="143"/>
      <c r="Q771" s="143"/>
      <c r="R771" s="143"/>
      <c r="S771" s="143"/>
      <c r="T771" s="143"/>
      <c r="U771" s="143"/>
      <c r="V771" s="143"/>
      <c r="W771" s="143"/>
      <c r="X771" s="143"/>
      <c r="Y771" s="143"/>
    </row>
    <row r="772" spans="1:25" ht="13">
      <c r="A772" s="156"/>
      <c r="B772" s="142"/>
      <c r="C772" s="143"/>
      <c r="D772" s="144"/>
      <c r="E772" s="143"/>
      <c r="F772" s="143"/>
      <c r="G772" s="143"/>
      <c r="H772" s="143"/>
      <c r="I772" s="143"/>
      <c r="J772" s="143"/>
      <c r="K772" s="143"/>
      <c r="L772" s="143"/>
      <c r="M772" s="143"/>
      <c r="N772" s="143"/>
      <c r="O772" s="143"/>
      <c r="P772" s="143"/>
      <c r="Q772" s="143"/>
      <c r="R772" s="143"/>
      <c r="S772" s="143"/>
      <c r="T772" s="143"/>
      <c r="U772" s="143"/>
      <c r="V772" s="143"/>
      <c r="W772" s="143"/>
      <c r="X772" s="143"/>
      <c r="Y772" s="143"/>
    </row>
    <row r="773" spans="1:25" ht="13">
      <c r="A773" s="156"/>
      <c r="B773" s="142"/>
      <c r="C773" s="143"/>
      <c r="D773" s="144"/>
      <c r="E773" s="143"/>
      <c r="F773" s="143"/>
      <c r="G773" s="143"/>
      <c r="H773" s="143"/>
      <c r="I773" s="143"/>
      <c r="J773" s="143"/>
      <c r="K773" s="143"/>
      <c r="L773" s="143"/>
      <c r="M773" s="143"/>
      <c r="N773" s="143"/>
      <c r="O773" s="143"/>
      <c r="P773" s="143"/>
      <c r="Q773" s="143"/>
      <c r="R773" s="143"/>
      <c r="S773" s="143"/>
      <c r="T773" s="143"/>
      <c r="U773" s="143"/>
      <c r="V773" s="143"/>
      <c r="W773" s="143"/>
      <c r="X773" s="143"/>
      <c r="Y773" s="143"/>
    </row>
    <row r="774" spans="1:25" ht="13">
      <c r="A774" s="156"/>
      <c r="B774" s="142"/>
      <c r="C774" s="143"/>
      <c r="D774" s="144"/>
      <c r="E774" s="143"/>
      <c r="F774" s="143"/>
      <c r="G774" s="143"/>
      <c r="H774" s="143"/>
      <c r="I774" s="143"/>
      <c r="J774" s="143"/>
      <c r="K774" s="143"/>
      <c r="L774" s="143"/>
      <c r="M774" s="143"/>
      <c r="N774" s="143"/>
      <c r="O774" s="143"/>
      <c r="P774" s="143"/>
      <c r="Q774" s="143"/>
      <c r="R774" s="143"/>
      <c r="S774" s="143"/>
      <c r="T774" s="143"/>
      <c r="U774" s="143"/>
      <c r="V774" s="143"/>
      <c r="W774" s="143"/>
      <c r="X774" s="143"/>
      <c r="Y774" s="143"/>
    </row>
    <row r="775" spans="1:25" ht="13">
      <c r="A775" s="156"/>
      <c r="B775" s="142"/>
      <c r="C775" s="143"/>
      <c r="D775" s="144"/>
      <c r="E775" s="143"/>
      <c r="F775" s="143"/>
      <c r="G775" s="143"/>
      <c r="H775" s="143"/>
      <c r="I775" s="143"/>
      <c r="J775" s="143"/>
      <c r="K775" s="143"/>
      <c r="L775" s="143"/>
      <c r="M775" s="143"/>
      <c r="N775" s="143"/>
      <c r="O775" s="143"/>
      <c r="P775" s="143"/>
      <c r="Q775" s="143"/>
      <c r="R775" s="143"/>
      <c r="S775" s="143"/>
      <c r="T775" s="143"/>
      <c r="U775" s="143"/>
      <c r="V775" s="143"/>
      <c r="W775" s="143"/>
      <c r="X775" s="143"/>
      <c r="Y775" s="143"/>
    </row>
    <row r="776" spans="1:25" ht="13">
      <c r="A776" s="156"/>
      <c r="B776" s="142"/>
      <c r="C776" s="143"/>
      <c r="D776" s="144"/>
      <c r="E776" s="143"/>
      <c r="F776" s="143"/>
      <c r="G776" s="143"/>
      <c r="H776" s="143"/>
      <c r="I776" s="143"/>
      <c r="J776" s="143"/>
      <c r="K776" s="143"/>
      <c r="L776" s="143"/>
      <c r="M776" s="143"/>
      <c r="N776" s="143"/>
      <c r="O776" s="143"/>
      <c r="P776" s="143"/>
      <c r="Q776" s="143"/>
      <c r="R776" s="143"/>
      <c r="S776" s="143"/>
      <c r="T776" s="143"/>
      <c r="U776" s="143"/>
      <c r="V776" s="143"/>
      <c r="W776" s="143"/>
      <c r="X776" s="143"/>
      <c r="Y776" s="143"/>
    </row>
    <row r="777" spans="1:25" ht="13">
      <c r="A777" s="156"/>
      <c r="B777" s="142"/>
      <c r="C777" s="143"/>
      <c r="D777" s="144"/>
      <c r="E777" s="143"/>
      <c r="F777" s="143"/>
      <c r="G777" s="143"/>
      <c r="H777" s="143"/>
      <c r="I777" s="143"/>
      <c r="J777" s="143"/>
      <c r="K777" s="143"/>
      <c r="L777" s="143"/>
      <c r="M777" s="143"/>
      <c r="N777" s="143"/>
      <c r="O777" s="143"/>
      <c r="P777" s="143"/>
      <c r="Q777" s="143"/>
      <c r="R777" s="143"/>
      <c r="S777" s="143"/>
      <c r="T777" s="143"/>
      <c r="U777" s="143"/>
      <c r="V777" s="143"/>
      <c r="W777" s="143"/>
      <c r="X777" s="143"/>
      <c r="Y777" s="143"/>
    </row>
    <row r="778" spans="1:25" ht="13">
      <c r="A778" s="156"/>
      <c r="B778" s="142"/>
      <c r="C778" s="143"/>
      <c r="D778" s="144"/>
      <c r="E778" s="143"/>
      <c r="F778" s="143"/>
      <c r="G778" s="143"/>
      <c r="H778" s="143"/>
      <c r="I778" s="143"/>
      <c r="J778" s="143"/>
      <c r="K778" s="143"/>
      <c r="L778" s="143"/>
      <c r="M778" s="143"/>
      <c r="N778" s="143"/>
      <c r="O778" s="143"/>
      <c r="P778" s="143"/>
      <c r="Q778" s="143"/>
      <c r="R778" s="143"/>
      <c r="S778" s="143"/>
      <c r="T778" s="143"/>
      <c r="U778" s="143"/>
      <c r="V778" s="143"/>
      <c r="W778" s="143"/>
      <c r="X778" s="143"/>
      <c r="Y778" s="143"/>
    </row>
    <row r="779" spans="1:25" ht="13">
      <c r="A779" s="156"/>
      <c r="B779" s="142"/>
      <c r="C779" s="143"/>
      <c r="D779" s="144"/>
      <c r="E779" s="143"/>
      <c r="F779" s="143"/>
      <c r="G779" s="143"/>
      <c r="H779" s="143"/>
      <c r="I779" s="143"/>
      <c r="J779" s="143"/>
      <c r="K779" s="143"/>
      <c r="L779" s="143"/>
      <c r="M779" s="143"/>
      <c r="N779" s="143"/>
      <c r="O779" s="143"/>
      <c r="P779" s="143"/>
      <c r="Q779" s="143"/>
      <c r="R779" s="143"/>
      <c r="S779" s="143"/>
      <c r="T779" s="143"/>
      <c r="U779" s="143"/>
      <c r="V779" s="143"/>
      <c r="W779" s="143"/>
      <c r="X779" s="143"/>
      <c r="Y779" s="143"/>
    </row>
    <row r="780" spans="1:25" ht="13">
      <c r="A780" s="156"/>
      <c r="B780" s="142"/>
      <c r="C780" s="143"/>
      <c r="D780" s="144"/>
      <c r="E780" s="143"/>
      <c r="F780" s="143"/>
      <c r="G780" s="143"/>
      <c r="H780" s="143"/>
      <c r="I780" s="143"/>
      <c r="J780" s="143"/>
      <c r="K780" s="143"/>
      <c r="L780" s="143"/>
      <c r="M780" s="143"/>
      <c r="N780" s="143"/>
      <c r="O780" s="143"/>
      <c r="P780" s="143"/>
      <c r="Q780" s="143"/>
      <c r="R780" s="143"/>
      <c r="S780" s="143"/>
      <c r="T780" s="143"/>
      <c r="U780" s="143"/>
      <c r="V780" s="143"/>
      <c r="W780" s="143"/>
      <c r="X780" s="143"/>
      <c r="Y780" s="143"/>
    </row>
    <row r="781" spans="1:25" ht="13">
      <c r="A781" s="156"/>
      <c r="B781" s="142"/>
      <c r="C781" s="143"/>
      <c r="D781" s="144"/>
      <c r="E781" s="143"/>
      <c r="F781" s="143"/>
      <c r="G781" s="143"/>
      <c r="H781" s="143"/>
      <c r="I781" s="143"/>
      <c r="J781" s="143"/>
      <c r="K781" s="143"/>
      <c r="L781" s="143"/>
      <c r="M781" s="143"/>
      <c r="N781" s="143"/>
      <c r="O781" s="143"/>
      <c r="P781" s="143"/>
      <c r="Q781" s="143"/>
      <c r="R781" s="143"/>
      <c r="S781" s="143"/>
      <c r="T781" s="143"/>
      <c r="U781" s="143"/>
      <c r="V781" s="143"/>
      <c r="W781" s="143"/>
      <c r="X781" s="143"/>
      <c r="Y781" s="143"/>
    </row>
    <row r="782" spans="1:25" ht="13">
      <c r="A782" s="156"/>
      <c r="B782" s="142"/>
      <c r="C782" s="143"/>
      <c r="D782" s="144"/>
      <c r="E782" s="143"/>
      <c r="F782" s="143"/>
      <c r="G782" s="143"/>
      <c r="H782" s="143"/>
      <c r="I782" s="143"/>
      <c r="J782" s="143"/>
      <c r="K782" s="143"/>
      <c r="L782" s="143"/>
      <c r="M782" s="143"/>
      <c r="N782" s="143"/>
      <c r="O782" s="143"/>
      <c r="P782" s="143"/>
      <c r="Q782" s="143"/>
      <c r="R782" s="143"/>
      <c r="S782" s="143"/>
      <c r="T782" s="143"/>
      <c r="U782" s="143"/>
      <c r="V782" s="143"/>
      <c r="W782" s="143"/>
      <c r="X782" s="143"/>
      <c r="Y782" s="143"/>
    </row>
    <row r="783" spans="1:25" ht="13">
      <c r="A783" s="156"/>
      <c r="B783" s="142"/>
      <c r="C783" s="143"/>
      <c r="D783" s="144"/>
      <c r="E783" s="143"/>
      <c r="F783" s="143"/>
      <c r="G783" s="143"/>
      <c r="H783" s="143"/>
      <c r="I783" s="143"/>
      <c r="J783" s="143"/>
      <c r="K783" s="143"/>
      <c r="L783" s="143"/>
      <c r="M783" s="143"/>
      <c r="N783" s="143"/>
      <c r="O783" s="143"/>
      <c r="P783" s="143"/>
      <c r="Q783" s="143"/>
      <c r="R783" s="143"/>
      <c r="S783" s="143"/>
      <c r="T783" s="143"/>
      <c r="U783" s="143"/>
      <c r="V783" s="143"/>
      <c r="W783" s="143"/>
      <c r="X783" s="143"/>
      <c r="Y783" s="143"/>
    </row>
    <row r="784" spans="1:25" ht="13">
      <c r="A784" s="156"/>
      <c r="B784" s="142"/>
      <c r="C784" s="143"/>
      <c r="D784" s="144"/>
      <c r="E784" s="143"/>
      <c r="F784" s="143"/>
      <c r="G784" s="143"/>
      <c r="H784" s="143"/>
      <c r="I784" s="143"/>
      <c r="J784" s="143"/>
      <c r="K784" s="143"/>
      <c r="L784" s="143"/>
      <c r="M784" s="143"/>
      <c r="N784" s="143"/>
      <c r="O784" s="143"/>
      <c r="P784" s="143"/>
      <c r="Q784" s="143"/>
      <c r="R784" s="143"/>
      <c r="S784" s="143"/>
      <c r="T784" s="143"/>
      <c r="U784" s="143"/>
      <c r="V784" s="143"/>
      <c r="W784" s="143"/>
      <c r="X784" s="143"/>
      <c r="Y784" s="143"/>
    </row>
    <row r="785" spans="1:25" ht="13">
      <c r="A785" s="156"/>
      <c r="B785" s="142"/>
      <c r="C785" s="143"/>
      <c r="D785" s="144"/>
      <c r="E785" s="143"/>
      <c r="F785" s="143"/>
      <c r="G785" s="143"/>
      <c r="H785" s="143"/>
      <c r="I785" s="143"/>
      <c r="J785" s="143"/>
      <c r="K785" s="143"/>
      <c r="L785" s="143"/>
      <c r="M785" s="143"/>
      <c r="N785" s="143"/>
      <c r="O785" s="143"/>
      <c r="P785" s="143"/>
      <c r="Q785" s="143"/>
      <c r="R785" s="143"/>
      <c r="S785" s="143"/>
      <c r="T785" s="143"/>
      <c r="U785" s="143"/>
      <c r="V785" s="143"/>
      <c r="W785" s="143"/>
      <c r="X785" s="143"/>
      <c r="Y785" s="143"/>
    </row>
    <row r="786" spans="1:25" ht="13">
      <c r="A786" s="156"/>
      <c r="B786" s="142"/>
      <c r="C786" s="143"/>
      <c r="D786" s="144"/>
      <c r="E786" s="143"/>
      <c r="F786" s="143"/>
      <c r="G786" s="143"/>
      <c r="H786" s="143"/>
      <c r="I786" s="143"/>
      <c r="J786" s="143"/>
      <c r="K786" s="143"/>
      <c r="L786" s="143"/>
      <c r="M786" s="143"/>
      <c r="N786" s="143"/>
      <c r="O786" s="143"/>
      <c r="P786" s="143"/>
      <c r="Q786" s="143"/>
      <c r="R786" s="143"/>
      <c r="S786" s="143"/>
      <c r="T786" s="143"/>
      <c r="U786" s="143"/>
      <c r="V786" s="143"/>
      <c r="W786" s="143"/>
      <c r="X786" s="143"/>
      <c r="Y786" s="143"/>
    </row>
    <row r="787" spans="1:25" ht="13">
      <c r="A787" s="156"/>
      <c r="B787" s="142"/>
      <c r="C787" s="143"/>
      <c r="D787" s="144"/>
      <c r="E787" s="143"/>
      <c r="F787" s="143"/>
      <c r="G787" s="143"/>
      <c r="H787" s="143"/>
      <c r="I787" s="143"/>
      <c r="J787" s="143"/>
      <c r="K787" s="143"/>
      <c r="L787" s="143"/>
      <c r="M787" s="143"/>
      <c r="N787" s="143"/>
      <c r="O787" s="143"/>
      <c r="P787" s="143"/>
      <c r="Q787" s="143"/>
      <c r="R787" s="143"/>
      <c r="S787" s="143"/>
      <c r="T787" s="143"/>
      <c r="U787" s="143"/>
      <c r="V787" s="143"/>
      <c r="W787" s="143"/>
      <c r="X787" s="143"/>
      <c r="Y787" s="143"/>
    </row>
    <row r="788" spans="1:25" ht="13">
      <c r="A788" s="156"/>
      <c r="B788" s="142"/>
      <c r="C788" s="143"/>
      <c r="D788" s="144"/>
      <c r="E788" s="143"/>
      <c r="F788" s="143"/>
      <c r="G788" s="143"/>
      <c r="H788" s="143"/>
      <c r="I788" s="143"/>
      <c r="J788" s="143"/>
      <c r="K788" s="143"/>
      <c r="L788" s="143"/>
      <c r="M788" s="143"/>
      <c r="N788" s="143"/>
      <c r="O788" s="143"/>
      <c r="P788" s="143"/>
      <c r="Q788" s="143"/>
      <c r="R788" s="143"/>
      <c r="S788" s="143"/>
      <c r="T788" s="143"/>
      <c r="U788" s="143"/>
      <c r="V788" s="143"/>
      <c r="W788" s="143"/>
      <c r="X788" s="143"/>
      <c r="Y788" s="143"/>
    </row>
    <row r="789" spans="1:25" ht="13">
      <c r="A789" s="156"/>
      <c r="B789" s="142"/>
      <c r="C789" s="143"/>
      <c r="D789" s="144"/>
      <c r="E789" s="143"/>
      <c r="F789" s="143"/>
      <c r="G789" s="143"/>
      <c r="H789" s="143"/>
      <c r="I789" s="143"/>
      <c r="J789" s="143"/>
      <c r="K789" s="143"/>
      <c r="L789" s="143"/>
      <c r="M789" s="143"/>
      <c r="N789" s="143"/>
      <c r="O789" s="143"/>
      <c r="P789" s="143"/>
      <c r="Q789" s="143"/>
      <c r="R789" s="143"/>
      <c r="S789" s="143"/>
      <c r="T789" s="143"/>
      <c r="U789" s="143"/>
      <c r="V789" s="143"/>
      <c r="W789" s="143"/>
      <c r="X789" s="143"/>
      <c r="Y789" s="143"/>
    </row>
    <row r="790" spans="1:25" ht="13">
      <c r="A790" s="156"/>
      <c r="B790" s="142"/>
      <c r="C790" s="143"/>
      <c r="D790" s="144"/>
      <c r="E790" s="143"/>
      <c r="F790" s="143"/>
      <c r="G790" s="143"/>
      <c r="H790" s="143"/>
      <c r="I790" s="143"/>
      <c r="J790" s="143"/>
      <c r="K790" s="143"/>
      <c r="L790" s="143"/>
      <c r="M790" s="143"/>
      <c r="N790" s="143"/>
      <c r="O790" s="143"/>
      <c r="P790" s="143"/>
      <c r="Q790" s="143"/>
      <c r="R790" s="143"/>
      <c r="S790" s="143"/>
      <c r="T790" s="143"/>
      <c r="U790" s="143"/>
      <c r="V790" s="143"/>
      <c r="W790" s="143"/>
      <c r="X790" s="143"/>
      <c r="Y790" s="143"/>
    </row>
    <row r="791" spans="1:25" ht="13">
      <c r="A791" s="156"/>
      <c r="B791" s="142"/>
      <c r="C791" s="143"/>
      <c r="D791" s="144"/>
      <c r="E791" s="143"/>
      <c r="F791" s="143"/>
      <c r="G791" s="143"/>
      <c r="H791" s="143"/>
      <c r="I791" s="143"/>
      <c r="J791" s="143"/>
      <c r="K791" s="143"/>
      <c r="L791" s="143"/>
      <c r="M791" s="143"/>
      <c r="N791" s="143"/>
      <c r="O791" s="143"/>
      <c r="P791" s="143"/>
      <c r="Q791" s="143"/>
      <c r="R791" s="143"/>
      <c r="S791" s="143"/>
      <c r="T791" s="143"/>
      <c r="U791" s="143"/>
      <c r="V791" s="143"/>
      <c r="W791" s="143"/>
      <c r="X791" s="143"/>
      <c r="Y791" s="143"/>
    </row>
    <row r="792" spans="1:25" ht="13">
      <c r="A792" s="156"/>
      <c r="B792" s="142"/>
      <c r="C792" s="143"/>
      <c r="D792" s="144"/>
      <c r="E792" s="143"/>
      <c r="F792" s="143"/>
      <c r="G792" s="143"/>
      <c r="H792" s="143"/>
      <c r="I792" s="143"/>
      <c r="J792" s="143"/>
      <c r="K792" s="143"/>
      <c r="L792" s="143"/>
      <c r="M792" s="143"/>
      <c r="N792" s="143"/>
      <c r="O792" s="143"/>
      <c r="P792" s="143"/>
      <c r="Q792" s="143"/>
      <c r="R792" s="143"/>
      <c r="S792" s="143"/>
      <c r="T792" s="143"/>
      <c r="U792" s="143"/>
      <c r="V792" s="143"/>
      <c r="W792" s="143"/>
      <c r="X792" s="143"/>
      <c r="Y792" s="143"/>
    </row>
    <row r="793" spans="1:25" ht="13">
      <c r="A793" s="156"/>
      <c r="B793" s="142"/>
      <c r="C793" s="143"/>
      <c r="D793" s="144"/>
      <c r="E793" s="143"/>
      <c r="F793" s="143"/>
      <c r="G793" s="143"/>
      <c r="H793" s="143"/>
      <c r="I793" s="143"/>
      <c r="J793" s="143"/>
      <c r="K793" s="143"/>
      <c r="L793" s="143"/>
      <c r="M793" s="143"/>
      <c r="N793" s="143"/>
      <c r="O793" s="143"/>
      <c r="P793" s="143"/>
      <c r="Q793" s="143"/>
      <c r="R793" s="143"/>
      <c r="S793" s="143"/>
      <c r="T793" s="143"/>
      <c r="U793" s="143"/>
      <c r="V793" s="143"/>
      <c r="W793" s="143"/>
      <c r="X793" s="143"/>
      <c r="Y793" s="143"/>
    </row>
    <row r="794" spans="1:25" ht="13">
      <c r="A794" s="156"/>
      <c r="B794" s="142"/>
      <c r="C794" s="143"/>
      <c r="D794" s="144"/>
      <c r="E794" s="143"/>
      <c r="F794" s="143"/>
      <c r="G794" s="143"/>
      <c r="H794" s="143"/>
      <c r="I794" s="143"/>
      <c r="J794" s="143"/>
      <c r="K794" s="143"/>
      <c r="L794" s="143"/>
      <c r="M794" s="143"/>
      <c r="N794" s="143"/>
      <c r="O794" s="143"/>
      <c r="P794" s="143"/>
      <c r="Q794" s="143"/>
      <c r="R794" s="143"/>
      <c r="S794" s="143"/>
      <c r="T794" s="143"/>
      <c r="U794" s="143"/>
      <c r="V794" s="143"/>
      <c r="W794" s="143"/>
      <c r="X794" s="143"/>
      <c r="Y794" s="143"/>
    </row>
    <row r="795" spans="1:25" ht="13">
      <c r="A795" s="156"/>
      <c r="B795" s="142"/>
      <c r="C795" s="143"/>
      <c r="D795" s="144"/>
      <c r="E795" s="143"/>
      <c r="F795" s="143"/>
      <c r="G795" s="143"/>
      <c r="H795" s="143"/>
      <c r="I795" s="143"/>
      <c r="J795" s="143"/>
      <c r="K795" s="143"/>
      <c r="L795" s="143"/>
      <c r="M795" s="143"/>
      <c r="N795" s="143"/>
      <c r="O795" s="143"/>
      <c r="P795" s="143"/>
      <c r="Q795" s="143"/>
      <c r="R795" s="143"/>
      <c r="S795" s="143"/>
      <c r="T795" s="143"/>
      <c r="U795" s="143"/>
      <c r="V795" s="143"/>
      <c r="W795" s="143"/>
      <c r="X795" s="143"/>
      <c r="Y795" s="143"/>
    </row>
    <row r="796" spans="1:25" ht="13">
      <c r="A796" s="156"/>
      <c r="B796" s="142"/>
      <c r="C796" s="143"/>
      <c r="D796" s="144"/>
      <c r="E796" s="143"/>
      <c r="F796" s="143"/>
      <c r="G796" s="143"/>
      <c r="H796" s="143"/>
      <c r="I796" s="143"/>
      <c r="J796" s="143"/>
      <c r="K796" s="143"/>
      <c r="L796" s="143"/>
      <c r="M796" s="143"/>
      <c r="N796" s="143"/>
      <c r="O796" s="143"/>
      <c r="P796" s="143"/>
      <c r="Q796" s="143"/>
      <c r="R796" s="143"/>
      <c r="S796" s="143"/>
      <c r="T796" s="143"/>
      <c r="U796" s="143"/>
      <c r="V796" s="143"/>
      <c r="W796" s="143"/>
      <c r="X796" s="143"/>
      <c r="Y796" s="143"/>
    </row>
    <row r="797" spans="1:25" ht="13">
      <c r="A797" s="156"/>
      <c r="B797" s="142"/>
      <c r="C797" s="143"/>
      <c r="D797" s="144"/>
      <c r="E797" s="143"/>
      <c r="F797" s="143"/>
      <c r="G797" s="143"/>
      <c r="H797" s="143"/>
      <c r="I797" s="143"/>
      <c r="J797" s="143"/>
      <c r="K797" s="143"/>
      <c r="L797" s="143"/>
      <c r="M797" s="143"/>
      <c r="N797" s="143"/>
      <c r="O797" s="143"/>
      <c r="P797" s="143"/>
      <c r="Q797" s="143"/>
      <c r="R797" s="143"/>
      <c r="S797" s="143"/>
      <c r="T797" s="143"/>
      <c r="U797" s="143"/>
      <c r="V797" s="143"/>
      <c r="W797" s="143"/>
      <c r="X797" s="143"/>
      <c r="Y797" s="143"/>
    </row>
    <row r="798" spans="1:25" ht="13">
      <c r="A798" s="156"/>
      <c r="B798" s="142"/>
      <c r="C798" s="143"/>
      <c r="D798" s="144"/>
      <c r="E798" s="143"/>
      <c r="F798" s="143"/>
      <c r="G798" s="143"/>
      <c r="H798" s="143"/>
      <c r="I798" s="143"/>
      <c r="J798" s="143"/>
      <c r="K798" s="143"/>
      <c r="L798" s="143"/>
      <c r="M798" s="143"/>
      <c r="N798" s="143"/>
      <c r="O798" s="143"/>
      <c r="P798" s="143"/>
      <c r="Q798" s="143"/>
      <c r="R798" s="143"/>
      <c r="S798" s="143"/>
      <c r="T798" s="143"/>
      <c r="U798" s="143"/>
      <c r="V798" s="143"/>
      <c r="W798" s="143"/>
      <c r="X798" s="143"/>
      <c r="Y798" s="143"/>
    </row>
    <row r="799" spans="1:25" ht="13">
      <c r="A799" s="156"/>
      <c r="B799" s="142"/>
      <c r="C799" s="143"/>
      <c r="D799" s="144"/>
      <c r="E799" s="143"/>
      <c r="F799" s="143"/>
      <c r="G799" s="143"/>
      <c r="H799" s="143"/>
      <c r="I799" s="143"/>
      <c r="J799" s="143"/>
      <c r="K799" s="143"/>
      <c r="L799" s="143"/>
      <c r="M799" s="143"/>
      <c r="N799" s="143"/>
      <c r="O799" s="143"/>
      <c r="P799" s="143"/>
      <c r="Q799" s="143"/>
      <c r="R799" s="143"/>
      <c r="S799" s="143"/>
      <c r="T799" s="143"/>
      <c r="U799" s="143"/>
      <c r="V799" s="143"/>
      <c r="W799" s="143"/>
      <c r="X799" s="143"/>
      <c r="Y799" s="143"/>
    </row>
    <row r="800" spans="1:25" ht="13">
      <c r="A800" s="156"/>
      <c r="B800" s="142"/>
      <c r="C800" s="143"/>
      <c r="D800" s="144"/>
      <c r="E800" s="143"/>
      <c r="F800" s="143"/>
      <c r="G800" s="143"/>
      <c r="H800" s="143"/>
      <c r="I800" s="143"/>
      <c r="J800" s="143"/>
      <c r="K800" s="143"/>
      <c r="L800" s="143"/>
      <c r="M800" s="143"/>
      <c r="N800" s="143"/>
      <c r="O800" s="143"/>
      <c r="P800" s="143"/>
      <c r="Q800" s="143"/>
      <c r="R800" s="143"/>
      <c r="S800" s="143"/>
      <c r="T800" s="143"/>
      <c r="U800" s="143"/>
      <c r="V800" s="143"/>
      <c r="W800" s="143"/>
      <c r="X800" s="143"/>
      <c r="Y800" s="143"/>
    </row>
    <row r="801" spans="1:25" ht="13">
      <c r="A801" s="156"/>
      <c r="B801" s="142"/>
      <c r="C801" s="143"/>
      <c r="D801" s="144"/>
      <c r="E801" s="143"/>
      <c r="F801" s="143"/>
      <c r="G801" s="143"/>
      <c r="H801" s="143"/>
      <c r="I801" s="143"/>
      <c r="J801" s="143"/>
      <c r="K801" s="143"/>
      <c r="L801" s="143"/>
      <c r="M801" s="143"/>
      <c r="N801" s="143"/>
      <c r="O801" s="143"/>
      <c r="P801" s="143"/>
      <c r="Q801" s="143"/>
      <c r="R801" s="143"/>
      <c r="S801" s="143"/>
      <c r="T801" s="143"/>
      <c r="U801" s="143"/>
      <c r="V801" s="143"/>
      <c r="W801" s="143"/>
      <c r="X801" s="143"/>
      <c r="Y801" s="143"/>
    </row>
    <row r="802" spans="1:25" ht="13">
      <c r="A802" s="156"/>
      <c r="B802" s="142"/>
      <c r="C802" s="143"/>
      <c r="D802" s="144"/>
      <c r="E802" s="143"/>
      <c r="F802" s="143"/>
      <c r="G802" s="143"/>
      <c r="H802" s="143"/>
      <c r="I802" s="143"/>
      <c r="J802" s="143"/>
      <c r="K802" s="143"/>
      <c r="L802" s="143"/>
      <c r="M802" s="143"/>
      <c r="N802" s="143"/>
      <c r="O802" s="143"/>
      <c r="P802" s="143"/>
      <c r="Q802" s="143"/>
      <c r="R802" s="143"/>
      <c r="S802" s="143"/>
      <c r="T802" s="143"/>
      <c r="U802" s="143"/>
      <c r="V802" s="143"/>
      <c r="W802" s="143"/>
      <c r="X802" s="143"/>
      <c r="Y802" s="143"/>
    </row>
    <row r="803" spans="1:25" ht="13">
      <c r="A803" s="156"/>
      <c r="B803" s="142"/>
      <c r="C803" s="143"/>
      <c r="D803" s="144"/>
      <c r="E803" s="143"/>
      <c r="F803" s="143"/>
      <c r="G803" s="143"/>
      <c r="H803" s="143"/>
      <c r="I803" s="143"/>
      <c r="J803" s="143"/>
      <c r="K803" s="143"/>
      <c r="L803" s="143"/>
      <c r="M803" s="143"/>
      <c r="N803" s="143"/>
      <c r="O803" s="143"/>
      <c r="P803" s="143"/>
      <c r="Q803" s="143"/>
      <c r="R803" s="143"/>
      <c r="S803" s="143"/>
      <c r="T803" s="143"/>
      <c r="U803" s="143"/>
      <c r="V803" s="143"/>
      <c r="W803" s="143"/>
      <c r="X803" s="143"/>
      <c r="Y803" s="143"/>
    </row>
    <row r="804" spans="1:25" ht="13">
      <c r="A804" s="156"/>
      <c r="B804" s="142"/>
      <c r="C804" s="143"/>
      <c r="D804" s="144"/>
      <c r="E804" s="143"/>
      <c r="F804" s="143"/>
      <c r="G804" s="143"/>
      <c r="H804" s="143"/>
      <c r="I804" s="143"/>
      <c r="J804" s="143"/>
      <c r="K804" s="143"/>
      <c r="L804" s="143"/>
      <c r="M804" s="143"/>
      <c r="N804" s="143"/>
      <c r="O804" s="143"/>
      <c r="P804" s="143"/>
      <c r="Q804" s="143"/>
      <c r="R804" s="143"/>
      <c r="S804" s="143"/>
      <c r="T804" s="143"/>
      <c r="U804" s="143"/>
      <c r="V804" s="143"/>
      <c r="W804" s="143"/>
      <c r="X804" s="143"/>
      <c r="Y804" s="143"/>
    </row>
    <row r="805" spans="1:25" ht="13">
      <c r="A805" s="156"/>
      <c r="B805" s="142"/>
      <c r="C805" s="143"/>
      <c r="D805" s="144"/>
      <c r="E805" s="143"/>
      <c r="F805" s="143"/>
      <c r="G805" s="143"/>
      <c r="H805" s="143"/>
      <c r="I805" s="143"/>
      <c r="J805" s="143"/>
      <c r="K805" s="143"/>
      <c r="L805" s="143"/>
      <c r="M805" s="143"/>
      <c r="N805" s="143"/>
      <c r="O805" s="143"/>
      <c r="P805" s="143"/>
      <c r="Q805" s="143"/>
      <c r="R805" s="143"/>
      <c r="S805" s="143"/>
      <c r="T805" s="143"/>
      <c r="U805" s="143"/>
      <c r="V805" s="143"/>
      <c r="W805" s="143"/>
      <c r="X805" s="143"/>
      <c r="Y805" s="143"/>
    </row>
    <row r="806" spans="1:25" ht="13">
      <c r="A806" s="156"/>
      <c r="B806" s="142"/>
      <c r="C806" s="143"/>
      <c r="D806" s="144"/>
      <c r="E806" s="143"/>
      <c r="F806" s="143"/>
      <c r="G806" s="143"/>
      <c r="H806" s="143"/>
      <c r="I806" s="143"/>
      <c r="J806" s="143"/>
      <c r="K806" s="143"/>
      <c r="L806" s="143"/>
      <c r="M806" s="143"/>
      <c r="N806" s="143"/>
      <c r="O806" s="143"/>
      <c r="P806" s="143"/>
      <c r="Q806" s="143"/>
      <c r="R806" s="143"/>
      <c r="S806" s="143"/>
      <c r="T806" s="143"/>
      <c r="U806" s="143"/>
      <c r="V806" s="143"/>
      <c r="W806" s="143"/>
      <c r="X806" s="143"/>
      <c r="Y806" s="143"/>
    </row>
    <row r="807" spans="1:25" ht="13">
      <c r="A807" s="156"/>
      <c r="B807" s="142"/>
      <c r="C807" s="143"/>
      <c r="D807" s="144"/>
      <c r="E807" s="143"/>
      <c r="F807" s="143"/>
      <c r="G807" s="143"/>
      <c r="H807" s="143"/>
      <c r="I807" s="143"/>
      <c r="J807" s="143"/>
      <c r="K807" s="143"/>
      <c r="L807" s="143"/>
      <c r="M807" s="143"/>
      <c r="N807" s="143"/>
      <c r="O807" s="143"/>
      <c r="P807" s="143"/>
      <c r="Q807" s="143"/>
      <c r="R807" s="143"/>
      <c r="S807" s="143"/>
      <c r="T807" s="143"/>
      <c r="U807" s="143"/>
      <c r="V807" s="143"/>
      <c r="W807" s="143"/>
      <c r="X807" s="143"/>
      <c r="Y807" s="143"/>
    </row>
    <row r="808" spans="1:25" ht="13">
      <c r="A808" s="156"/>
      <c r="B808" s="142"/>
      <c r="C808" s="143"/>
      <c r="D808" s="144"/>
      <c r="E808" s="143"/>
      <c r="F808" s="143"/>
      <c r="G808" s="143"/>
      <c r="H808" s="143"/>
      <c r="I808" s="143"/>
      <c r="J808" s="143"/>
      <c r="K808" s="143"/>
      <c r="L808" s="143"/>
      <c r="M808" s="143"/>
      <c r="N808" s="143"/>
      <c r="O808" s="143"/>
      <c r="P808" s="143"/>
      <c r="Q808" s="143"/>
      <c r="R808" s="143"/>
      <c r="S808" s="143"/>
      <c r="T808" s="143"/>
      <c r="U808" s="143"/>
      <c r="V808" s="143"/>
      <c r="W808" s="143"/>
      <c r="X808" s="143"/>
      <c r="Y808" s="143"/>
    </row>
    <row r="809" spans="1:25" ht="13">
      <c r="A809" s="156"/>
      <c r="B809" s="142"/>
      <c r="C809" s="143"/>
      <c r="D809" s="144"/>
      <c r="E809" s="143"/>
      <c r="F809" s="143"/>
      <c r="G809" s="143"/>
      <c r="H809" s="143"/>
      <c r="I809" s="143"/>
      <c r="J809" s="143"/>
      <c r="K809" s="143"/>
      <c r="L809" s="143"/>
      <c r="M809" s="143"/>
      <c r="N809" s="143"/>
      <c r="O809" s="143"/>
      <c r="P809" s="143"/>
      <c r="Q809" s="143"/>
      <c r="R809" s="143"/>
      <c r="S809" s="143"/>
      <c r="T809" s="143"/>
      <c r="U809" s="143"/>
      <c r="V809" s="143"/>
      <c r="W809" s="143"/>
      <c r="X809" s="143"/>
      <c r="Y809" s="143"/>
    </row>
    <row r="810" spans="1:25" ht="13">
      <c r="A810" s="156"/>
      <c r="B810" s="142"/>
      <c r="C810" s="143"/>
      <c r="D810" s="144"/>
      <c r="E810" s="143"/>
      <c r="F810" s="143"/>
      <c r="G810" s="143"/>
      <c r="H810" s="143"/>
      <c r="I810" s="143"/>
      <c r="J810" s="143"/>
      <c r="K810" s="143"/>
      <c r="L810" s="143"/>
      <c r="M810" s="143"/>
      <c r="N810" s="143"/>
      <c r="O810" s="143"/>
      <c r="P810" s="143"/>
      <c r="Q810" s="143"/>
      <c r="R810" s="143"/>
      <c r="S810" s="143"/>
      <c r="T810" s="143"/>
      <c r="U810" s="143"/>
      <c r="V810" s="143"/>
      <c r="W810" s="143"/>
      <c r="X810" s="143"/>
      <c r="Y810" s="143"/>
    </row>
    <row r="811" spans="1:25" ht="13">
      <c r="A811" s="156"/>
      <c r="B811" s="142"/>
      <c r="C811" s="143"/>
      <c r="D811" s="144"/>
      <c r="E811" s="143"/>
      <c r="F811" s="143"/>
      <c r="G811" s="143"/>
      <c r="H811" s="143"/>
      <c r="I811" s="143"/>
      <c r="J811" s="143"/>
      <c r="K811" s="143"/>
      <c r="L811" s="143"/>
      <c r="M811" s="143"/>
      <c r="N811" s="143"/>
      <c r="O811" s="143"/>
      <c r="P811" s="143"/>
      <c r="Q811" s="143"/>
      <c r="R811" s="143"/>
      <c r="S811" s="143"/>
      <c r="T811" s="143"/>
      <c r="U811" s="143"/>
      <c r="V811" s="143"/>
      <c r="W811" s="143"/>
      <c r="X811" s="143"/>
      <c r="Y811" s="143"/>
    </row>
    <row r="812" spans="1:25" ht="13">
      <c r="A812" s="156"/>
      <c r="B812" s="142"/>
      <c r="C812" s="143"/>
      <c r="D812" s="144"/>
      <c r="E812" s="143"/>
      <c r="F812" s="143"/>
      <c r="G812" s="143"/>
      <c r="H812" s="143"/>
      <c r="I812" s="143"/>
      <c r="J812" s="143"/>
      <c r="K812" s="143"/>
      <c r="L812" s="143"/>
      <c r="M812" s="143"/>
      <c r="N812" s="143"/>
      <c r="O812" s="143"/>
      <c r="P812" s="143"/>
      <c r="Q812" s="143"/>
      <c r="R812" s="143"/>
      <c r="S812" s="143"/>
      <c r="T812" s="143"/>
      <c r="U812" s="143"/>
      <c r="V812" s="143"/>
      <c r="W812" s="143"/>
      <c r="X812" s="143"/>
      <c r="Y812" s="143"/>
    </row>
    <row r="813" spans="1:25" ht="13">
      <c r="A813" s="156"/>
      <c r="B813" s="142"/>
      <c r="C813" s="143"/>
      <c r="D813" s="144"/>
      <c r="E813" s="143"/>
      <c r="F813" s="143"/>
      <c r="G813" s="143"/>
      <c r="H813" s="143"/>
      <c r="I813" s="143"/>
      <c r="J813" s="143"/>
      <c r="K813" s="143"/>
      <c r="L813" s="143"/>
      <c r="M813" s="143"/>
      <c r="N813" s="143"/>
      <c r="O813" s="143"/>
      <c r="P813" s="143"/>
      <c r="Q813" s="143"/>
      <c r="R813" s="143"/>
      <c r="S813" s="143"/>
      <c r="T813" s="143"/>
      <c r="U813" s="143"/>
      <c r="V813" s="143"/>
      <c r="W813" s="143"/>
      <c r="X813" s="143"/>
      <c r="Y813" s="143"/>
    </row>
    <row r="814" spans="1:25" ht="13">
      <c r="A814" s="156"/>
      <c r="B814" s="142"/>
      <c r="C814" s="143"/>
      <c r="D814" s="144"/>
      <c r="E814" s="143"/>
      <c r="F814" s="143"/>
      <c r="G814" s="143"/>
      <c r="H814" s="143"/>
      <c r="I814" s="143"/>
      <c r="J814" s="143"/>
      <c r="K814" s="143"/>
      <c r="L814" s="143"/>
      <c r="M814" s="143"/>
      <c r="N814" s="143"/>
      <c r="O814" s="143"/>
      <c r="P814" s="143"/>
      <c r="Q814" s="143"/>
      <c r="R814" s="143"/>
      <c r="S814" s="143"/>
      <c r="T814" s="143"/>
      <c r="U814" s="143"/>
      <c r="V814" s="143"/>
      <c r="W814" s="143"/>
      <c r="X814" s="143"/>
      <c r="Y814" s="143"/>
    </row>
    <row r="815" spans="1:25" ht="13">
      <c r="A815" s="156"/>
      <c r="B815" s="142"/>
      <c r="C815" s="143"/>
      <c r="D815" s="144"/>
      <c r="E815" s="143"/>
      <c r="F815" s="143"/>
      <c r="G815" s="143"/>
      <c r="H815" s="143"/>
      <c r="I815" s="143"/>
      <c r="J815" s="143"/>
      <c r="K815" s="143"/>
      <c r="L815" s="143"/>
      <c r="M815" s="143"/>
      <c r="N815" s="143"/>
      <c r="O815" s="143"/>
      <c r="P815" s="143"/>
      <c r="Q815" s="143"/>
      <c r="R815" s="143"/>
      <c r="S815" s="143"/>
      <c r="T815" s="143"/>
      <c r="U815" s="143"/>
      <c r="V815" s="143"/>
      <c r="W815" s="143"/>
      <c r="X815" s="143"/>
      <c r="Y815" s="143"/>
    </row>
    <row r="816" spans="1:25" ht="13">
      <c r="A816" s="156"/>
      <c r="B816" s="142"/>
      <c r="C816" s="143"/>
      <c r="D816" s="144"/>
      <c r="E816" s="143"/>
      <c r="F816" s="143"/>
      <c r="G816" s="143"/>
      <c r="H816" s="143"/>
      <c r="I816" s="143"/>
      <c r="J816" s="143"/>
      <c r="K816" s="143"/>
      <c r="L816" s="143"/>
      <c r="M816" s="143"/>
      <c r="N816" s="143"/>
      <c r="O816" s="143"/>
      <c r="P816" s="143"/>
      <c r="Q816" s="143"/>
      <c r="R816" s="143"/>
      <c r="S816" s="143"/>
      <c r="T816" s="143"/>
      <c r="U816" s="143"/>
      <c r="V816" s="143"/>
      <c r="W816" s="143"/>
      <c r="X816" s="143"/>
      <c r="Y816" s="143"/>
    </row>
    <row r="817" spans="1:25" ht="13">
      <c r="A817" s="156"/>
      <c r="B817" s="142"/>
      <c r="C817" s="143"/>
      <c r="D817" s="144"/>
      <c r="E817" s="143"/>
      <c r="F817" s="143"/>
      <c r="G817" s="143"/>
      <c r="H817" s="143"/>
      <c r="I817" s="143"/>
      <c r="J817" s="143"/>
      <c r="K817" s="143"/>
      <c r="L817" s="143"/>
      <c r="M817" s="143"/>
      <c r="N817" s="143"/>
      <c r="O817" s="143"/>
      <c r="P817" s="143"/>
      <c r="Q817" s="143"/>
      <c r="R817" s="143"/>
      <c r="S817" s="143"/>
      <c r="T817" s="143"/>
      <c r="U817" s="143"/>
      <c r="V817" s="143"/>
      <c r="W817" s="143"/>
      <c r="X817" s="143"/>
      <c r="Y817" s="143"/>
    </row>
    <row r="818" spans="1:25" ht="13">
      <c r="A818" s="156"/>
      <c r="B818" s="142"/>
      <c r="C818" s="143"/>
      <c r="D818" s="144"/>
      <c r="E818" s="143"/>
      <c r="F818" s="143"/>
      <c r="G818" s="143"/>
      <c r="H818" s="143"/>
      <c r="I818" s="143"/>
      <c r="J818" s="143"/>
      <c r="K818" s="143"/>
      <c r="L818" s="143"/>
      <c r="M818" s="143"/>
      <c r="N818" s="143"/>
      <c r="O818" s="143"/>
      <c r="P818" s="143"/>
      <c r="Q818" s="143"/>
      <c r="R818" s="143"/>
      <c r="S818" s="143"/>
      <c r="T818" s="143"/>
      <c r="U818" s="143"/>
      <c r="V818" s="143"/>
      <c r="W818" s="143"/>
      <c r="X818" s="143"/>
      <c r="Y818" s="143"/>
    </row>
    <row r="819" spans="1:25" ht="13">
      <c r="A819" s="156"/>
      <c r="B819" s="142"/>
      <c r="C819" s="143"/>
      <c r="D819" s="144"/>
      <c r="E819" s="143"/>
      <c r="F819" s="143"/>
      <c r="G819" s="143"/>
      <c r="H819" s="143"/>
      <c r="I819" s="143"/>
      <c r="J819" s="143"/>
      <c r="K819" s="143"/>
      <c r="L819" s="143"/>
      <c r="M819" s="143"/>
      <c r="N819" s="143"/>
      <c r="O819" s="143"/>
      <c r="P819" s="143"/>
      <c r="Q819" s="143"/>
      <c r="R819" s="143"/>
      <c r="S819" s="143"/>
      <c r="T819" s="143"/>
      <c r="U819" s="143"/>
      <c r="V819" s="143"/>
      <c r="W819" s="143"/>
      <c r="X819" s="143"/>
      <c r="Y819" s="143"/>
    </row>
    <row r="820" spans="1:25" ht="13">
      <c r="A820" s="156"/>
      <c r="B820" s="142"/>
      <c r="C820" s="143"/>
      <c r="D820" s="144"/>
      <c r="E820" s="143"/>
      <c r="F820" s="143"/>
      <c r="G820" s="143"/>
      <c r="H820" s="143"/>
      <c r="I820" s="143"/>
      <c r="J820" s="143"/>
      <c r="K820" s="143"/>
      <c r="L820" s="143"/>
      <c r="M820" s="143"/>
      <c r="N820" s="143"/>
      <c r="O820" s="143"/>
      <c r="P820" s="143"/>
      <c r="Q820" s="143"/>
      <c r="R820" s="143"/>
      <c r="S820" s="143"/>
      <c r="T820" s="143"/>
      <c r="U820" s="143"/>
      <c r="V820" s="143"/>
      <c r="W820" s="143"/>
      <c r="X820" s="143"/>
      <c r="Y820" s="143"/>
    </row>
    <row r="821" spans="1:25" ht="13">
      <c r="A821" s="156"/>
      <c r="B821" s="142"/>
      <c r="C821" s="143"/>
      <c r="D821" s="144"/>
      <c r="E821" s="143"/>
      <c r="F821" s="143"/>
      <c r="G821" s="143"/>
      <c r="H821" s="143"/>
      <c r="I821" s="143"/>
      <c r="J821" s="143"/>
      <c r="K821" s="143"/>
      <c r="L821" s="143"/>
      <c r="M821" s="143"/>
      <c r="N821" s="143"/>
      <c r="O821" s="143"/>
      <c r="P821" s="143"/>
      <c r="Q821" s="143"/>
      <c r="R821" s="143"/>
      <c r="S821" s="143"/>
      <c r="T821" s="143"/>
      <c r="U821" s="143"/>
      <c r="V821" s="143"/>
      <c r="W821" s="143"/>
      <c r="X821" s="143"/>
      <c r="Y821" s="143"/>
    </row>
    <row r="822" spans="1:25" ht="13">
      <c r="A822" s="156"/>
      <c r="B822" s="142"/>
      <c r="C822" s="143"/>
      <c r="D822" s="144"/>
      <c r="E822" s="143"/>
      <c r="F822" s="143"/>
      <c r="G822" s="143"/>
      <c r="H822" s="143"/>
      <c r="I822" s="143"/>
      <c r="J822" s="143"/>
      <c r="K822" s="143"/>
      <c r="L822" s="143"/>
      <c r="M822" s="143"/>
      <c r="N822" s="143"/>
      <c r="O822" s="143"/>
      <c r="P822" s="143"/>
      <c r="Q822" s="143"/>
      <c r="R822" s="143"/>
      <c r="S822" s="143"/>
      <c r="T822" s="143"/>
      <c r="U822" s="143"/>
      <c r="V822" s="143"/>
      <c r="W822" s="143"/>
      <c r="X822" s="143"/>
      <c r="Y822" s="143"/>
    </row>
    <row r="823" spans="1:25" ht="13">
      <c r="A823" s="156"/>
      <c r="B823" s="142"/>
      <c r="C823" s="143"/>
      <c r="D823" s="144"/>
      <c r="E823" s="143"/>
      <c r="F823" s="143"/>
      <c r="G823" s="143"/>
      <c r="H823" s="143"/>
      <c r="I823" s="143"/>
      <c r="J823" s="143"/>
      <c r="K823" s="143"/>
      <c r="L823" s="143"/>
      <c r="M823" s="143"/>
      <c r="N823" s="143"/>
      <c r="O823" s="143"/>
      <c r="P823" s="143"/>
      <c r="Q823" s="143"/>
      <c r="R823" s="143"/>
      <c r="S823" s="143"/>
      <c r="T823" s="143"/>
      <c r="U823" s="143"/>
      <c r="V823" s="143"/>
      <c r="W823" s="143"/>
      <c r="X823" s="143"/>
      <c r="Y823" s="143"/>
    </row>
    <row r="824" spans="1:25" ht="13">
      <c r="A824" s="156"/>
      <c r="B824" s="142"/>
      <c r="C824" s="143"/>
      <c r="D824" s="144"/>
      <c r="E824" s="143"/>
      <c r="F824" s="143"/>
      <c r="G824" s="143"/>
      <c r="H824" s="143"/>
      <c r="I824" s="143"/>
      <c r="J824" s="143"/>
      <c r="K824" s="143"/>
      <c r="L824" s="143"/>
      <c r="M824" s="143"/>
      <c r="N824" s="143"/>
      <c r="O824" s="143"/>
      <c r="P824" s="143"/>
      <c r="Q824" s="143"/>
      <c r="R824" s="143"/>
      <c r="S824" s="143"/>
      <c r="T824" s="143"/>
      <c r="U824" s="143"/>
      <c r="V824" s="143"/>
      <c r="W824" s="143"/>
      <c r="X824" s="143"/>
      <c r="Y824" s="143"/>
    </row>
    <row r="825" spans="1:25" ht="13">
      <c r="A825" s="156"/>
      <c r="B825" s="142"/>
      <c r="C825" s="143"/>
      <c r="D825" s="144"/>
      <c r="E825" s="143"/>
      <c r="F825" s="143"/>
      <c r="G825" s="143"/>
      <c r="H825" s="143"/>
      <c r="I825" s="143"/>
      <c r="J825" s="143"/>
      <c r="K825" s="143"/>
      <c r="L825" s="143"/>
      <c r="M825" s="143"/>
      <c r="N825" s="143"/>
      <c r="O825" s="143"/>
      <c r="P825" s="143"/>
      <c r="Q825" s="143"/>
      <c r="R825" s="143"/>
      <c r="S825" s="143"/>
      <c r="T825" s="143"/>
      <c r="U825" s="143"/>
      <c r="V825" s="143"/>
      <c r="W825" s="143"/>
      <c r="X825" s="143"/>
      <c r="Y825" s="143"/>
    </row>
    <row r="826" spans="1:25" ht="13">
      <c r="A826" s="156"/>
      <c r="B826" s="142"/>
      <c r="C826" s="143"/>
      <c r="D826" s="144"/>
      <c r="E826" s="143"/>
      <c r="F826" s="143"/>
      <c r="G826" s="143"/>
      <c r="H826" s="143"/>
      <c r="I826" s="143"/>
      <c r="J826" s="143"/>
      <c r="K826" s="143"/>
      <c r="L826" s="143"/>
      <c r="M826" s="143"/>
      <c r="N826" s="143"/>
      <c r="O826" s="143"/>
      <c r="P826" s="143"/>
      <c r="Q826" s="143"/>
      <c r="R826" s="143"/>
      <c r="S826" s="143"/>
      <c r="T826" s="143"/>
      <c r="U826" s="143"/>
      <c r="V826" s="143"/>
      <c r="W826" s="143"/>
      <c r="X826" s="143"/>
      <c r="Y826" s="143"/>
    </row>
    <row r="827" spans="1:25" ht="13">
      <c r="A827" s="156"/>
      <c r="B827" s="142"/>
      <c r="C827" s="143"/>
      <c r="D827" s="144"/>
      <c r="E827" s="143"/>
      <c r="F827" s="143"/>
      <c r="G827" s="143"/>
      <c r="H827" s="143"/>
      <c r="I827" s="143"/>
      <c r="J827" s="143"/>
      <c r="K827" s="143"/>
      <c r="L827" s="143"/>
      <c r="M827" s="143"/>
      <c r="N827" s="143"/>
      <c r="O827" s="143"/>
      <c r="P827" s="143"/>
      <c r="Q827" s="143"/>
      <c r="R827" s="143"/>
      <c r="S827" s="143"/>
      <c r="T827" s="143"/>
      <c r="U827" s="143"/>
      <c r="V827" s="143"/>
      <c r="W827" s="143"/>
      <c r="X827" s="143"/>
      <c r="Y827" s="143"/>
    </row>
    <row r="828" spans="1:25" ht="13">
      <c r="A828" s="156"/>
      <c r="B828" s="142"/>
      <c r="C828" s="143"/>
      <c r="D828" s="144"/>
      <c r="E828" s="143"/>
      <c r="F828" s="143"/>
      <c r="G828" s="143"/>
      <c r="H828" s="143"/>
      <c r="I828" s="143"/>
      <c r="J828" s="143"/>
      <c r="K828" s="143"/>
      <c r="L828" s="143"/>
      <c r="M828" s="143"/>
      <c r="N828" s="143"/>
      <c r="O828" s="143"/>
      <c r="P828" s="143"/>
      <c r="Q828" s="143"/>
      <c r="R828" s="143"/>
      <c r="S828" s="143"/>
      <c r="T828" s="143"/>
      <c r="U828" s="143"/>
      <c r="V828" s="143"/>
      <c r="W828" s="143"/>
      <c r="X828" s="143"/>
      <c r="Y828" s="143"/>
    </row>
    <row r="829" spans="1:25" ht="13">
      <c r="A829" s="156"/>
      <c r="B829" s="142"/>
      <c r="C829" s="143"/>
      <c r="D829" s="144"/>
      <c r="E829" s="143"/>
      <c r="F829" s="143"/>
      <c r="G829" s="143"/>
      <c r="H829" s="143"/>
      <c r="I829" s="143"/>
      <c r="J829" s="143"/>
      <c r="K829" s="143"/>
      <c r="L829" s="143"/>
      <c r="M829" s="143"/>
      <c r="N829" s="143"/>
      <c r="O829" s="143"/>
      <c r="P829" s="143"/>
      <c r="Q829" s="143"/>
      <c r="R829" s="143"/>
      <c r="S829" s="143"/>
      <c r="T829" s="143"/>
      <c r="U829" s="143"/>
      <c r="V829" s="143"/>
      <c r="W829" s="143"/>
      <c r="X829" s="143"/>
      <c r="Y829" s="143"/>
    </row>
    <row r="830" spans="1:25" ht="13">
      <c r="A830" s="156"/>
      <c r="B830" s="142"/>
      <c r="C830" s="143"/>
      <c r="D830" s="144"/>
      <c r="E830" s="143"/>
      <c r="F830" s="143"/>
      <c r="G830" s="143"/>
      <c r="H830" s="143"/>
      <c r="I830" s="143"/>
      <c r="J830" s="143"/>
      <c r="K830" s="143"/>
      <c r="L830" s="143"/>
      <c r="M830" s="143"/>
      <c r="N830" s="143"/>
      <c r="O830" s="143"/>
      <c r="P830" s="143"/>
      <c r="Q830" s="143"/>
      <c r="R830" s="143"/>
      <c r="S830" s="143"/>
      <c r="T830" s="143"/>
      <c r="U830" s="143"/>
      <c r="V830" s="143"/>
      <c r="W830" s="143"/>
      <c r="X830" s="143"/>
      <c r="Y830" s="143"/>
    </row>
    <row r="831" spans="1:25" ht="13">
      <c r="A831" s="156"/>
      <c r="B831" s="142"/>
      <c r="C831" s="143"/>
      <c r="D831" s="144"/>
      <c r="E831" s="143"/>
      <c r="F831" s="143"/>
      <c r="G831" s="143"/>
      <c r="H831" s="143"/>
      <c r="I831" s="143"/>
      <c r="J831" s="143"/>
      <c r="K831" s="143"/>
      <c r="L831" s="143"/>
      <c r="M831" s="143"/>
      <c r="N831" s="143"/>
      <c r="O831" s="143"/>
      <c r="P831" s="143"/>
      <c r="Q831" s="143"/>
      <c r="R831" s="143"/>
      <c r="S831" s="143"/>
      <c r="T831" s="143"/>
      <c r="U831" s="143"/>
      <c r="V831" s="143"/>
      <c r="W831" s="143"/>
      <c r="X831" s="143"/>
      <c r="Y831" s="143"/>
    </row>
    <row r="832" spans="1:25" ht="13">
      <c r="A832" s="156"/>
      <c r="B832" s="142"/>
      <c r="C832" s="143"/>
      <c r="D832" s="144"/>
      <c r="E832" s="143"/>
      <c r="F832" s="143"/>
      <c r="G832" s="143"/>
      <c r="H832" s="143"/>
      <c r="I832" s="143"/>
      <c r="J832" s="143"/>
      <c r="K832" s="143"/>
      <c r="L832" s="143"/>
      <c r="M832" s="143"/>
      <c r="N832" s="143"/>
      <c r="O832" s="143"/>
      <c r="P832" s="143"/>
      <c r="Q832" s="143"/>
      <c r="R832" s="143"/>
      <c r="S832" s="143"/>
      <c r="T832" s="143"/>
      <c r="U832" s="143"/>
      <c r="V832" s="143"/>
      <c r="W832" s="143"/>
      <c r="X832" s="143"/>
      <c r="Y832" s="143"/>
    </row>
    <row r="833" spans="1:25" ht="13">
      <c r="A833" s="156"/>
      <c r="B833" s="142"/>
      <c r="C833" s="143"/>
      <c r="D833" s="144"/>
      <c r="E833" s="143"/>
      <c r="F833" s="143"/>
      <c r="G833" s="143"/>
      <c r="H833" s="143"/>
      <c r="I833" s="143"/>
      <c r="J833" s="143"/>
      <c r="K833" s="143"/>
      <c r="L833" s="143"/>
      <c r="M833" s="143"/>
      <c r="N833" s="143"/>
      <c r="O833" s="143"/>
      <c r="P833" s="143"/>
      <c r="Q833" s="143"/>
      <c r="R833" s="143"/>
      <c r="S833" s="143"/>
      <c r="T833" s="143"/>
      <c r="U833" s="143"/>
      <c r="V833" s="143"/>
      <c r="W833" s="143"/>
      <c r="X833" s="143"/>
      <c r="Y833" s="143"/>
    </row>
    <row r="834" spans="1:25" ht="13">
      <c r="A834" s="156"/>
      <c r="B834" s="142"/>
      <c r="C834" s="143"/>
      <c r="D834" s="144"/>
      <c r="E834" s="143"/>
      <c r="F834" s="143"/>
      <c r="G834" s="143"/>
      <c r="H834" s="143"/>
      <c r="I834" s="143"/>
      <c r="J834" s="143"/>
      <c r="K834" s="143"/>
      <c r="L834" s="143"/>
      <c r="M834" s="143"/>
      <c r="N834" s="143"/>
      <c r="O834" s="143"/>
      <c r="P834" s="143"/>
      <c r="Q834" s="143"/>
      <c r="R834" s="143"/>
      <c r="S834" s="143"/>
      <c r="T834" s="143"/>
      <c r="U834" s="143"/>
      <c r="V834" s="143"/>
      <c r="W834" s="143"/>
      <c r="X834" s="143"/>
      <c r="Y834" s="143"/>
    </row>
    <row r="835" spans="1:25" ht="13">
      <c r="A835" s="156"/>
      <c r="B835" s="142"/>
      <c r="C835" s="143"/>
      <c r="D835" s="144"/>
      <c r="E835" s="143"/>
      <c r="F835" s="143"/>
      <c r="G835" s="143"/>
      <c r="H835" s="143"/>
      <c r="I835" s="143"/>
      <c r="J835" s="143"/>
      <c r="K835" s="143"/>
      <c r="L835" s="143"/>
      <c r="M835" s="143"/>
      <c r="N835" s="143"/>
      <c r="O835" s="143"/>
      <c r="P835" s="143"/>
      <c r="Q835" s="143"/>
      <c r="R835" s="143"/>
      <c r="S835" s="143"/>
      <c r="T835" s="143"/>
      <c r="U835" s="143"/>
      <c r="V835" s="143"/>
      <c r="W835" s="143"/>
      <c r="X835" s="143"/>
      <c r="Y835" s="143"/>
    </row>
    <row r="836" spans="1:25" ht="13">
      <c r="A836" s="156"/>
      <c r="B836" s="142"/>
      <c r="C836" s="143"/>
      <c r="D836" s="144"/>
      <c r="E836" s="143"/>
      <c r="F836" s="143"/>
      <c r="G836" s="143"/>
      <c r="H836" s="143"/>
      <c r="I836" s="143"/>
      <c r="J836" s="143"/>
      <c r="K836" s="143"/>
      <c r="L836" s="143"/>
      <c r="M836" s="143"/>
      <c r="N836" s="143"/>
      <c r="O836" s="143"/>
      <c r="P836" s="143"/>
      <c r="Q836" s="143"/>
      <c r="R836" s="143"/>
      <c r="S836" s="143"/>
      <c r="T836" s="143"/>
      <c r="U836" s="143"/>
      <c r="V836" s="143"/>
      <c r="W836" s="143"/>
      <c r="X836" s="143"/>
      <c r="Y836" s="143"/>
    </row>
    <row r="837" spans="1:25" ht="13">
      <c r="A837" s="156"/>
      <c r="B837" s="142"/>
      <c r="C837" s="143"/>
      <c r="D837" s="144"/>
      <c r="E837" s="143"/>
      <c r="F837" s="143"/>
      <c r="G837" s="143"/>
      <c r="H837" s="143"/>
      <c r="I837" s="143"/>
      <c r="J837" s="143"/>
      <c r="K837" s="143"/>
      <c r="L837" s="143"/>
      <c r="M837" s="143"/>
      <c r="N837" s="143"/>
      <c r="O837" s="143"/>
      <c r="P837" s="143"/>
      <c r="Q837" s="143"/>
      <c r="R837" s="143"/>
      <c r="S837" s="143"/>
      <c r="T837" s="143"/>
      <c r="U837" s="143"/>
      <c r="V837" s="143"/>
      <c r="W837" s="143"/>
      <c r="X837" s="143"/>
      <c r="Y837" s="143"/>
    </row>
    <row r="838" spans="1:25" ht="13">
      <c r="A838" s="156"/>
      <c r="B838" s="142"/>
      <c r="C838" s="143"/>
      <c r="D838" s="144"/>
      <c r="E838" s="143"/>
      <c r="F838" s="143"/>
      <c r="G838" s="143"/>
      <c r="H838" s="143"/>
      <c r="I838" s="143"/>
      <c r="J838" s="143"/>
      <c r="K838" s="143"/>
      <c r="L838" s="143"/>
      <c r="M838" s="143"/>
      <c r="N838" s="143"/>
      <c r="O838" s="143"/>
      <c r="P838" s="143"/>
      <c r="Q838" s="143"/>
      <c r="R838" s="143"/>
      <c r="S838" s="143"/>
      <c r="T838" s="143"/>
      <c r="U838" s="143"/>
      <c r="V838" s="143"/>
      <c r="W838" s="143"/>
      <c r="X838" s="143"/>
      <c r="Y838" s="143"/>
    </row>
    <row r="839" spans="1:25" ht="13">
      <c r="A839" s="156"/>
      <c r="B839" s="142"/>
      <c r="C839" s="143"/>
      <c r="D839" s="144"/>
      <c r="E839" s="143"/>
      <c r="F839" s="143"/>
      <c r="G839" s="143"/>
      <c r="H839" s="143"/>
      <c r="I839" s="143"/>
      <c r="J839" s="143"/>
      <c r="K839" s="143"/>
      <c r="L839" s="143"/>
      <c r="M839" s="143"/>
      <c r="N839" s="143"/>
      <c r="O839" s="143"/>
      <c r="P839" s="143"/>
      <c r="Q839" s="143"/>
      <c r="R839" s="143"/>
      <c r="S839" s="143"/>
      <c r="T839" s="143"/>
      <c r="U839" s="143"/>
      <c r="V839" s="143"/>
      <c r="W839" s="143"/>
      <c r="X839" s="143"/>
      <c r="Y839" s="143"/>
    </row>
    <row r="840" spans="1:25" ht="13">
      <c r="A840" s="156"/>
      <c r="B840" s="142"/>
      <c r="C840" s="143"/>
      <c r="D840" s="144"/>
      <c r="E840" s="143"/>
      <c r="F840" s="143"/>
      <c r="G840" s="143"/>
      <c r="H840" s="143"/>
      <c r="I840" s="143"/>
      <c r="J840" s="143"/>
      <c r="K840" s="143"/>
      <c r="L840" s="143"/>
      <c r="M840" s="143"/>
      <c r="N840" s="143"/>
      <c r="O840" s="143"/>
      <c r="P840" s="143"/>
      <c r="Q840" s="143"/>
      <c r="R840" s="143"/>
      <c r="S840" s="143"/>
      <c r="T840" s="143"/>
      <c r="U840" s="143"/>
      <c r="V840" s="143"/>
      <c r="W840" s="143"/>
      <c r="X840" s="143"/>
      <c r="Y840" s="143"/>
    </row>
    <row r="841" spans="1:25" ht="13">
      <c r="A841" s="156"/>
      <c r="B841" s="142"/>
      <c r="C841" s="143"/>
      <c r="D841" s="144"/>
      <c r="E841" s="143"/>
      <c r="F841" s="143"/>
      <c r="G841" s="143"/>
      <c r="H841" s="143"/>
      <c r="I841" s="143"/>
      <c r="J841" s="143"/>
      <c r="K841" s="143"/>
      <c r="L841" s="143"/>
      <c r="M841" s="143"/>
      <c r="N841" s="143"/>
      <c r="O841" s="143"/>
      <c r="P841" s="143"/>
      <c r="Q841" s="143"/>
      <c r="R841" s="143"/>
      <c r="S841" s="143"/>
      <c r="T841" s="143"/>
      <c r="U841" s="143"/>
      <c r="V841" s="143"/>
      <c r="W841" s="143"/>
      <c r="X841" s="143"/>
      <c r="Y841" s="143"/>
    </row>
    <row r="842" spans="1:25" ht="13">
      <c r="A842" s="156"/>
      <c r="B842" s="142"/>
      <c r="C842" s="143"/>
      <c r="D842" s="144"/>
      <c r="E842" s="143"/>
      <c r="F842" s="143"/>
      <c r="G842" s="143"/>
      <c r="H842" s="143"/>
      <c r="I842" s="143"/>
      <c r="J842" s="143"/>
      <c r="K842" s="143"/>
      <c r="L842" s="143"/>
      <c r="M842" s="143"/>
      <c r="N842" s="143"/>
      <c r="O842" s="143"/>
      <c r="P842" s="143"/>
      <c r="Q842" s="143"/>
      <c r="R842" s="143"/>
      <c r="S842" s="143"/>
      <c r="T842" s="143"/>
      <c r="U842" s="143"/>
      <c r="V842" s="143"/>
      <c r="W842" s="143"/>
      <c r="X842" s="143"/>
      <c r="Y842" s="143"/>
    </row>
  </sheetData>
  <mergeCells count="22">
    <mergeCell ref="A44:A45"/>
    <mergeCell ref="B44:B45"/>
    <mergeCell ref="A46:A49"/>
    <mergeCell ref="B46:B49"/>
    <mergeCell ref="A30:A35"/>
    <mergeCell ref="B30:B35"/>
    <mergeCell ref="A36:A39"/>
    <mergeCell ref="B36:B39"/>
    <mergeCell ref="A40:A43"/>
    <mergeCell ref="B40:B43"/>
    <mergeCell ref="A18:A21"/>
    <mergeCell ref="B18:B21"/>
    <mergeCell ref="A22:A25"/>
    <mergeCell ref="B22:B25"/>
    <mergeCell ref="A26:A29"/>
    <mergeCell ref="B26:B29"/>
    <mergeCell ref="A9:A11"/>
    <mergeCell ref="B9:B11"/>
    <mergeCell ref="A12:A15"/>
    <mergeCell ref="B12:B15"/>
    <mergeCell ref="A16:A17"/>
    <mergeCell ref="B16:B17"/>
  </mergeCells>
  <hyperlinks>
    <hyperlink ref="A3" r:id="rId1"/>
    <hyperlink ref="A5" r:id="rId2"/>
  </hyperlinks>
  <printOptions horizontalCentered="1" gridLines="1"/>
  <pageMargins left="0.25" right="0.25" top="0.75" bottom="0.75" header="0" footer="0"/>
  <pageSetup paperSize="9" pageOrder="overThenDown" orientation="landscape" cellComments="atEnd"/>
  <rowBreaks count="2" manualBreakCount="2">
    <brk id="48" man="1"/>
    <brk id="25" man="1"/>
  </rowBreaks>
  <colBreaks count="2" manualBreakCount="2">
    <brk man="1"/>
    <brk id="4"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election activeCell="B9" sqref="B9"/>
    </sheetView>
  </sheetViews>
  <sheetFormatPr defaultColWidth="8.7265625" defaultRowHeight="14.5"/>
  <cols>
    <col min="2" max="2" width="32.453125" customWidth="1"/>
    <col min="4" max="4" width="6.81640625" bestFit="1" customWidth="1"/>
    <col min="7" max="7" width="47.26953125" bestFit="1" customWidth="1"/>
  </cols>
  <sheetData>
    <row r="1" spans="1:7" ht="29">
      <c r="A1" s="135" t="s">
        <v>1472</v>
      </c>
      <c r="D1" t="s">
        <v>1473</v>
      </c>
      <c r="F1" s="148" t="s">
        <v>1396</v>
      </c>
      <c r="G1" s="150" t="s">
        <v>1398</v>
      </c>
    </row>
    <row r="2" spans="1:7">
      <c r="A2">
        <v>0</v>
      </c>
      <c r="B2" s="155" t="s">
        <v>1474</v>
      </c>
      <c r="D2" t="s">
        <v>57</v>
      </c>
      <c r="F2" s="151"/>
      <c r="G2" s="152" t="s">
        <v>1474</v>
      </c>
    </row>
    <row r="3" spans="1:7">
      <c r="A3">
        <v>1</v>
      </c>
      <c r="B3" s="155" t="s">
        <v>1400</v>
      </c>
      <c r="D3" t="s">
        <v>79</v>
      </c>
      <c r="F3" s="151">
        <v>1.1000000000000001</v>
      </c>
      <c r="G3" s="152" t="s">
        <v>183</v>
      </c>
    </row>
    <row r="4" spans="1:7">
      <c r="A4">
        <v>2</v>
      </c>
      <c r="B4" s="155" t="s">
        <v>1404</v>
      </c>
      <c r="D4" t="s">
        <v>119</v>
      </c>
      <c r="F4" s="151">
        <v>1.2</v>
      </c>
      <c r="G4" s="152" t="s">
        <v>1402</v>
      </c>
    </row>
    <row r="5" spans="1:7">
      <c r="A5">
        <v>3</v>
      </c>
      <c r="B5" s="155" t="s">
        <v>1410</v>
      </c>
      <c r="F5" s="151">
        <v>1.3</v>
      </c>
      <c r="G5" s="152" t="s">
        <v>152</v>
      </c>
    </row>
    <row r="6" spans="1:7">
      <c r="A6">
        <v>4</v>
      </c>
      <c r="B6" s="155" t="s">
        <v>1415</v>
      </c>
      <c r="F6" s="151">
        <v>2.1</v>
      </c>
      <c r="G6" s="152" t="s">
        <v>65</v>
      </c>
    </row>
    <row r="7" spans="1:7">
      <c r="A7">
        <v>5</v>
      </c>
      <c r="B7" s="155" t="s">
        <v>1424</v>
      </c>
      <c r="F7" s="151">
        <v>2.2000000000000002</v>
      </c>
      <c r="G7" s="152" t="s">
        <v>1406</v>
      </c>
    </row>
    <row r="8" spans="1:7">
      <c r="A8">
        <v>6</v>
      </c>
      <c r="B8" s="155" t="s">
        <v>1430</v>
      </c>
      <c r="F8" s="151">
        <v>2.2999999999999998</v>
      </c>
      <c r="G8" s="152" t="s">
        <v>71</v>
      </c>
    </row>
    <row r="9" spans="1:7">
      <c r="A9">
        <v>7</v>
      </c>
      <c r="B9" s="155" t="s">
        <v>1438</v>
      </c>
      <c r="F9" s="151">
        <v>2.4</v>
      </c>
      <c r="G9" s="152" t="s">
        <v>1408</v>
      </c>
    </row>
    <row r="10" spans="1:7">
      <c r="A10">
        <v>8</v>
      </c>
      <c r="B10" s="155" t="s">
        <v>1448</v>
      </c>
      <c r="F10" s="151">
        <v>3.1</v>
      </c>
      <c r="G10" s="152" t="s">
        <v>1411</v>
      </c>
    </row>
    <row r="11" spans="1:7">
      <c r="A11">
        <v>9</v>
      </c>
      <c r="B11" s="155" t="s">
        <v>1453</v>
      </c>
      <c r="F11" s="151">
        <v>3.2</v>
      </c>
      <c r="G11" s="152" t="s">
        <v>1413</v>
      </c>
    </row>
    <row r="12" spans="1:7">
      <c r="A12">
        <v>10</v>
      </c>
      <c r="B12" s="155" t="s">
        <v>1461</v>
      </c>
      <c r="F12" s="151">
        <v>4.0999999999999996</v>
      </c>
      <c r="G12" s="152" t="s">
        <v>1416</v>
      </c>
    </row>
    <row r="13" spans="1:7">
      <c r="A13">
        <v>11</v>
      </c>
      <c r="B13" s="155" t="s">
        <v>1466</v>
      </c>
      <c r="F13" s="151">
        <v>4.2</v>
      </c>
      <c r="G13" s="152" t="s">
        <v>1418</v>
      </c>
    </row>
    <row r="14" spans="1:7">
      <c r="F14" s="151">
        <v>4.3</v>
      </c>
      <c r="G14" s="152" t="s">
        <v>1420</v>
      </c>
    </row>
    <row r="15" spans="1:7">
      <c r="F15" s="151">
        <v>4.4000000000000004</v>
      </c>
      <c r="G15" s="152" t="s">
        <v>1422</v>
      </c>
    </row>
    <row r="16" spans="1:7">
      <c r="F16" s="151">
        <v>5.0999999999999996</v>
      </c>
      <c r="G16" s="152" t="s">
        <v>141</v>
      </c>
    </row>
    <row r="17" spans="6:7">
      <c r="F17" s="154">
        <v>5.2</v>
      </c>
      <c r="G17" s="152" t="s">
        <v>160</v>
      </c>
    </row>
    <row r="18" spans="6:7">
      <c r="F18" s="151">
        <v>5.3</v>
      </c>
      <c r="G18" s="152" t="s">
        <v>86</v>
      </c>
    </row>
    <row r="19" spans="6:7">
      <c r="F19" s="151">
        <v>5.4</v>
      </c>
      <c r="G19" s="152" t="s">
        <v>1428</v>
      </c>
    </row>
    <row r="20" spans="6:7">
      <c r="F20" s="151">
        <v>6.1</v>
      </c>
      <c r="G20" s="152" t="s">
        <v>170</v>
      </c>
    </row>
    <row r="21" spans="6:7">
      <c r="F21" s="151">
        <v>6.2</v>
      </c>
      <c r="G21" s="152" t="s">
        <v>1432</v>
      </c>
    </row>
    <row r="22" spans="6:7">
      <c r="F22" s="151">
        <v>6.3</v>
      </c>
      <c r="G22" s="152" t="s">
        <v>1434</v>
      </c>
    </row>
    <row r="23" spans="6:7">
      <c r="F23" s="151">
        <v>6.4</v>
      </c>
      <c r="G23" s="152" t="s">
        <v>1436</v>
      </c>
    </row>
    <row r="24" spans="6:7">
      <c r="F24" s="151">
        <v>7.1</v>
      </c>
      <c r="G24" s="152" t="s">
        <v>1439</v>
      </c>
    </row>
    <row r="25" spans="6:7">
      <c r="F25" s="151">
        <v>7.2</v>
      </c>
      <c r="G25" s="152" t="s">
        <v>59</v>
      </c>
    </row>
    <row r="26" spans="6:7">
      <c r="F26" s="151">
        <v>7.3</v>
      </c>
      <c r="G26" s="152" t="s">
        <v>1442</v>
      </c>
    </row>
    <row r="27" spans="6:7">
      <c r="F27" s="151">
        <v>7.4</v>
      </c>
      <c r="G27" s="152" t="s">
        <v>1444</v>
      </c>
    </row>
    <row r="28" spans="6:7">
      <c r="F28" s="151">
        <v>7.5</v>
      </c>
      <c r="G28" s="152" t="s">
        <v>151</v>
      </c>
    </row>
    <row r="29" spans="6:7">
      <c r="F29" s="151">
        <v>7.6</v>
      </c>
      <c r="G29" s="152" t="s">
        <v>60</v>
      </c>
    </row>
    <row r="30" spans="6:7">
      <c r="F30" s="151">
        <v>8.1</v>
      </c>
      <c r="G30" s="152" t="s">
        <v>73</v>
      </c>
    </row>
    <row r="31" spans="6:7">
      <c r="F31" s="151">
        <v>8.1999999999999993</v>
      </c>
      <c r="G31" s="152" t="s">
        <v>72</v>
      </c>
    </row>
    <row r="32" spans="6:7">
      <c r="F32" s="151">
        <v>8.3000000000000007</v>
      </c>
      <c r="G32" s="152" t="s">
        <v>148</v>
      </c>
    </row>
    <row r="33" spans="6:7">
      <c r="F33" s="151">
        <v>8.4</v>
      </c>
      <c r="G33" s="152" t="s">
        <v>116</v>
      </c>
    </row>
    <row r="34" spans="6:7">
      <c r="F34" s="151">
        <v>9.1</v>
      </c>
      <c r="G34" s="152" t="s">
        <v>66</v>
      </c>
    </row>
    <row r="35" spans="6:7">
      <c r="F35" s="151">
        <v>9.1999999999999993</v>
      </c>
      <c r="G35" s="152" t="s">
        <v>1455</v>
      </c>
    </row>
    <row r="36" spans="6:7">
      <c r="F36" s="151">
        <v>9.3000000000000007</v>
      </c>
      <c r="G36" s="152" t="s">
        <v>1457</v>
      </c>
    </row>
    <row r="37" spans="6:7">
      <c r="F37" s="151">
        <v>9.4</v>
      </c>
      <c r="G37" s="152" t="s">
        <v>1459</v>
      </c>
    </row>
    <row r="38" spans="6:7">
      <c r="F38" s="151">
        <v>10.1</v>
      </c>
      <c r="G38" s="152" t="s">
        <v>1462</v>
      </c>
    </row>
    <row r="39" spans="6:7">
      <c r="F39" s="151">
        <v>10.199999999999999</v>
      </c>
      <c r="G39" s="152" t="s">
        <v>1464</v>
      </c>
    </row>
    <row r="40" spans="6:7">
      <c r="F40" s="151">
        <v>11.1</v>
      </c>
      <c r="G40" s="152" t="s">
        <v>1467</v>
      </c>
    </row>
    <row r="41" spans="6:7" ht="26">
      <c r="F41" s="151">
        <v>11.2</v>
      </c>
      <c r="G41" s="152" t="s">
        <v>62</v>
      </c>
    </row>
    <row r="42" spans="6:7" ht="26">
      <c r="F42" s="151">
        <v>11.3</v>
      </c>
      <c r="G42" s="152" t="s">
        <v>61</v>
      </c>
    </row>
    <row r="43" spans="6:7">
      <c r="F43" s="151">
        <v>11.4</v>
      </c>
      <c r="G43" s="152" t="s">
        <v>1471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A2" workbookViewId="0">
      <selection activeCell="D9" sqref="D9"/>
    </sheetView>
  </sheetViews>
  <sheetFormatPr defaultColWidth="8.54296875" defaultRowHeight="14.5"/>
  <cols>
    <col min="1" max="1" width="13.1796875" customWidth="1"/>
    <col min="2" max="2" width="16" customWidth="1"/>
  </cols>
  <sheetData>
    <row r="1" spans="1:5" ht="29">
      <c r="A1" s="4" t="s">
        <v>268</v>
      </c>
      <c r="B1" s="4" t="s">
        <v>269</v>
      </c>
      <c r="C1" s="2" t="s">
        <v>274</v>
      </c>
      <c r="E1" t="s">
        <v>1475</v>
      </c>
    </row>
    <row r="2" spans="1:5">
      <c r="A2" t="s">
        <v>297</v>
      </c>
      <c r="B2" t="s">
        <v>320</v>
      </c>
      <c r="C2" t="s">
        <v>301</v>
      </c>
      <c r="E2" t="s">
        <v>57</v>
      </c>
    </row>
    <row r="3" spans="1:5">
      <c r="A3" t="s">
        <v>347</v>
      </c>
      <c r="B3" t="s">
        <v>424</v>
      </c>
      <c r="C3" t="s">
        <v>321</v>
      </c>
      <c r="E3" t="s">
        <v>79</v>
      </c>
    </row>
    <row r="4" spans="1:5">
      <c r="C4" t="s">
        <v>349</v>
      </c>
    </row>
    <row r="5" spans="1:5">
      <c r="C5" t="s">
        <v>529</v>
      </c>
    </row>
    <row r="6" spans="1:5">
      <c r="C6" t="s">
        <v>1476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6"/>
  <sheetViews>
    <sheetView zoomScale="90" zoomScaleNormal="90" workbookViewId="0">
      <selection activeCell="D10" sqref="D10"/>
    </sheetView>
  </sheetViews>
  <sheetFormatPr defaultColWidth="8.7265625" defaultRowHeight="14.5"/>
  <cols>
    <col min="1" max="1" width="6.453125" customWidth="1"/>
    <col min="2" max="2" width="57.1796875" customWidth="1"/>
    <col min="3" max="3" width="34.453125" customWidth="1"/>
    <col min="4" max="4" width="61" style="75" customWidth="1"/>
    <col min="8" max="8" width="26.453125" customWidth="1"/>
  </cols>
  <sheetData>
    <row r="1" spans="1:4" ht="15.5">
      <c r="A1" s="136" t="s">
        <v>1477</v>
      </c>
    </row>
    <row r="2" spans="1:4" ht="15.5">
      <c r="A2" s="136"/>
    </row>
    <row r="3" spans="1:4" ht="16" thickBot="1">
      <c r="A3" s="136" t="s">
        <v>1478</v>
      </c>
    </row>
    <row r="4" spans="1:4" ht="16" thickBot="1">
      <c r="A4" s="138" t="s">
        <v>266</v>
      </c>
      <c r="B4" s="161" t="s">
        <v>267</v>
      </c>
      <c r="C4" s="140" t="s">
        <v>1479</v>
      </c>
      <c r="D4" s="139" t="s">
        <v>1480</v>
      </c>
    </row>
    <row r="5" spans="1:4" ht="29">
      <c r="A5" s="117" t="s">
        <v>295</v>
      </c>
      <c r="B5" s="160" t="str">
        <f>PLA!L5</f>
        <v>Implementar i executar plans de gestió específics per a hàbitats i espècies de conservació prioritària dins l'ENP</v>
      </c>
      <c r="C5" s="160" t="s">
        <v>1474</v>
      </c>
      <c r="D5" s="160"/>
    </row>
    <row r="6" spans="1:4" ht="29">
      <c r="A6" s="117" t="s">
        <v>307</v>
      </c>
      <c r="B6" s="137" t="str">
        <f>PLA!L6</f>
        <v>Adaptar i executar plans de gestió específics per a elements geològics de conservació prioritària dins l'ENP</v>
      </c>
      <c r="C6" s="160" t="s">
        <v>1474</v>
      </c>
      <c r="D6" s="160"/>
    </row>
    <row r="7" spans="1:4" ht="43.5">
      <c r="A7" s="109" t="s">
        <v>318</v>
      </c>
      <c r="B7" s="137" t="str">
        <f>PLA!L7</f>
        <v>Implementar la metodologia de gestió adaptativa (Estàndards Oberts de Gestió Adaptativa a Catalunya) en tots els processos de l'ENP</v>
      </c>
      <c r="C7" s="160" t="s">
        <v>65</v>
      </c>
      <c r="D7" s="160"/>
    </row>
    <row r="8" spans="1:4" ht="43.5">
      <c r="A8" s="109" t="s">
        <v>331</v>
      </c>
      <c r="B8" s="137" t="str">
        <f>PLA!L8</f>
        <v>Executar les mesures previstes en els plans de conservació o recuperació d'espècies amenaçades de forma coordinada amb el Servei de Flora i Fauna en l'àmbit de l'ENP</v>
      </c>
      <c r="C8" s="160" t="s">
        <v>1474</v>
      </c>
      <c r="D8" s="160"/>
    </row>
    <row r="9" spans="1:4" ht="43.5">
      <c r="A9" s="109" t="s">
        <v>336</v>
      </c>
      <c r="B9" s="137" t="str">
        <f>PLA!L9</f>
        <v>Executar les mesures de gestió previstes en els plans de control i erradicació d'espècies exòtiques de forma coordinada amb el Servei de Flora i Fauna en l'àmbit de l'ENP</v>
      </c>
      <c r="C9" s="160" t="s">
        <v>1448</v>
      </c>
      <c r="D9" s="160"/>
    </row>
    <row r="10" spans="1:4" ht="29">
      <c r="A10" s="109" t="s">
        <v>345</v>
      </c>
      <c r="B10" s="137" t="str">
        <f>PLA!L10</f>
        <v xml:space="preserve">Desplegar els objectius i tasques recollits en els instruments de referència i compromisos internacionals  </v>
      </c>
      <c r="C10" s="160" t="s">
        <v>1474</v>
      </c>
      <c r="D10" s="160"/>
    </row>
    <row r="11" spans="1:4" ht="29">
      <c r="A11" s="117" t="s">
        <v>358</v>
      </c>
      <c r="B11" s="137" t="str">
        <f>PLA!L11</f>
        <v>Identificar espais pel foment de la dinàmica natural i l'aprofitament no extractiu</v>
      </c>
      <c r="C11" s="160" t="s">
        <v>1438</v>
      </c>
      <c r="D11" s="160"/>
    </row>
    <row r="12" spans="1:4" ht="29">
      <c r="A12" s="117" t="s">
        <v>365</v>
      </c>
      <c r="B12" s="137" t="str">
        <f>PLA!L12</f>
        <v>Afavorir la maduresa dels sistemes forestals</v>
      </c>
      <c r="C12" s="160" t="s">
        <v>1438</v>
      </c>
      <c r="D12" s="160"/>
    </row>
    <row r="13" spans="1:4" ht="29">
      <c r="A13" s="117" t="s">
        <v>368</v>
      </c>
      <c r="B13" s="137" t="str">
        <f>PLA!L13</f>
        <v>Generar pertorbacions controlades</v>
      </c>
      <c r="C13" s="160" t="s">
        <v>1438</v>
      </c>
      <c r="D13" s="160"/>
    </row>
    <row r="14" spans="1:4" ht="29">
      <c r="A14" s="117" t="s">
        <v>373</v>
      </c>
      <c r="B14" s="137" t="str">
        <f>PLA!L14</f>
        <v xml:space="preserve">Restaurar la dinàmica natural dels rius </v>
      </c>
      <c r="C14" s="160" t="s">
        <v>1438</v>
      </c>
      <c r="D14" s="160"/>
    </row>
    <row r="15" spans="1:4" ht="29">
      <c r="A15" s="117" t="s">
        <v>378</v>
      </c>
      <c r="B15" s="137" t="str">
        <f>PLA!L15</f>
        <v>Fomentar el paisatge en mosaïc</v>
      </c>
      <c r="C15" s="160" t="s">
        <v>1438</v>
      </c>
      <c r="D15" s="160"/>
    </row>
    <row r="16" spans="1:4" ht="29">
      <c r="A16" s="117" t="s">
        <v>382</v>
      </c>
      <c r="B16" s="137" t="str">
        <f>PLA!L16</f>
        <v>Gestionar i intervenir en la dinàmica de poblacions de fauna que no tenen depredador natural</v>
      </c>
      <c r="C16" s="160" t="s">
        <v>1438</v>
      </c>
      <c r="D16" s="160"/>
    </row>
    <row r="17" spans="1:4" ht="29">
      <c r="A17" s="117" t="s">
        <v>390</v>
      </c>
      <c r="B17" s="137" t="str">
        <f>PLA!L18</f>
        <v>Fomentar acords de custòdia en espais d'alt valor dins l'ENP per a la gestió dels elements prioritaris</v>
      </c>
      <c r="C17" s="160" t="s">
        <v>1474</v>
      </c>
      <c r="D17" s="160"/>
    </row>
    <row r="18" spans="1:4" ht="29">
      <c r="A18" s="117" t="s">
        <v>397</v>
      </c>
      <c r="B18" s="137" t="str">
        <f>PLA!L19</f>
        <v>Fomentar bones pràctiques entre els col·lectius de propietaris i gestors del territori</v>
      </c>
      <c r="C18" s="160" t="s">
        <v>1474</v>
      </c>
      <c r="D18" s="160"/>
    </row>
    <row r="19" spans="1:4" ht="29">
      <c r="A19" s="117" t="s">
        <v>401</v>
      </c>
      <c r="B19" s="137" t="str">
        <f>PLA!L20</f>
        <v>Impulsar la coordinació amb els ens locals en la gestió finques públiques situades dins d’ENP</v>
      </c>
      <c r="C19" s="160" t="s">
        <v>1474</v>
      </c>
      <c r="D19" s="160"/>
    </row>
    <row r="20" spans="1:4">
      <c r="A20" s="117" t="s">
        <v>407</v>
      </c>
      <c r="B20" s="137" t="str">
        <f>PLA!L21</f>
        <v>Adaptar i implementar el Pla d'adaptació de l'ENP al canvi climàtic</v>
      </c>
      <c r="C20" s="160" t="s">
        <v>1466</v>
      </c>
      <c r="D20" s="160"/>
    </row>
    <row r="21" spans="1:4">
      <c r="A21" s="117" t="s">
        <v>413</v>
      </c>
      <c r="B21" s="137" t="str">
        <f>PLA!L22</f>
        <v>Gestionar i planificar els recursos hídrics de l'ENP</v>
      </c>
      <c r="C21" s="160" t="s">
        <v>1424</v>
      </c>
      <c r="D21" s="160"/>
    </row>
    <row r="22" spans="1:4" ht="29">
      <c r="A22" s="117" t="s">
        <v>416</v>
      </c>
      <c r="B22" s="137" t="str">
        <f>PLA!L23</f>
        <v>Participar en la redacció i execució dels instruments d'ordenació forestal sostenible i per la conservació en finques públiques</v>
      </c>
      <c r="C22" s="160" t="s">
        <v>1404</v>
      </c>
      <c r="D22" s="160"/>
    </row>
    <row r="23" spans="1:4" ht="43.5">
      <c r="A23" s="117" t="s">
        <v>422</v>
      </c>
      <c r="B23" s="137" t="str">
        <f>PLA!L24</f>
        <v>Promoure la redacció d'instruments d'ordenació forestal per reduir la sensibilitat i vulnerabilitat dels boscos al canvi climàtic en finques privades</v>
      </c>
      <c r="C23" s="160" t="s">
        <v>1404</v>
      </c>
      <c r="D23" s="160"/>
    </row>
    <row r="24" spans="1:4">
      <c r="A24" s="117" t="s">
        <v>430</v>
      </c>
      <c r="B24" s="137" t="str">
        <f>PLA!L25</f>
        <v xml:space="preserve">Redactar i implementar el Pla de Prevenció d'Incendis </v>
      </c>
      <c r="C24" s="160" t="s">
        <v>1461</v>
      </c>
      <c r="D24" s="160"/>
    </row>
    <row r="25" spans="1:4">
      <c r="A25" s="117" t="s">
        <v>434</v>
      </c>
      <c r="B25" s="137" t="str">
        <f>PLA!L26</f>
        <v>Definir i planificar la gestió del foc per a la millora de l'ENP</v>
      </c>
      <c r="C25" s="160" t="s">
        <v>1461</v>
      </c>
      <c r="D25" s="160"/>
    </row>
    <row r="26" spans="1:4" ht="29">
      <c r="A26" s="117" t="s">
        <v>439</v>
      </c>
      <c r="B26" s="137" t="str">
        <f>PLA!L27</f>
        <v>Treballar per a la prevenció d'incendis juntament amb els propietaris, ajuntaments, protecció civil, ADF i bombers.</v>
      </c>
      <c r="C26" s="160" t="s">
        <v>1461</v>
      </c>
      <c r="D26" s="160"/>
    </row>
    <row r="27" spans="1:4" ht="29">
      <c r="A27" s="117" t="s">
        <v>445</v>
      </c>
      <c r="B27" s="137" t="str">
        <f>PLA!L28</f>
        <v>Participar en les consultes dels procesos d'Avaluació Ambiental que afectin directament o indirectament l’espai del ENP</v>
      </c>
      <c r="C27" s="160" t="s">
        <v>1415</v>
      </c>
      <c r="D27" s="160"/>
    </row>
    <row r="28" spans="1:4" ht="43.5">
      <c r="A28" s="117" t="s">
        <v>447</v>
      </c>
      <c r="B28" s="137" t="str">
        <f>PLA!L29</f>
        <v>Exercir un seguiment efectiu de les obres al Parc juntament amb les Oficines Territorials d'Acció i Avaluació Ambiental als efectes d'assegurar la correcta translació de la tutela administrativa.</v>
      </c>
      <c r="C28" s="160" t="s">
        <v>1474</v>
      </c>
      <c r="D28" s="160"/>
    </row>
    <row r="29" spans="1:4" ht="43.5">
      <c r="A29" s="117" t="s">
        <v>449</v>
      </c>
      <c r="B29" s="137" t="str">
        <f>PLA!L30</f>
        <v>Participar en la compensació d'impactes residuals durant els processos d'avaluació ambiental mitjançant la identificació de necessitats d'actuació prioritària dins i fora dels límits de l’ENP</v>
      </c>
      <c r="C29" s="160" t="s">
        <v>1415</v>
      </c>
      <c r="D29" s="160"/>
    </row>
    <row r="30" spans="1:4">
      <c r="A30" s="117" t="s">
        <v>457</v>
      </c>
      <c r="B30" s="137" t="str">
        <f>PLA!L31</f>
        <v>Participar en l'elaboració dels instruments de planificació de l'ENP</v>
      </c>
      <c r="C30" s="160" t="s">
        <v>1474</v>
      </c>
      <c r="D30" s="160"/>
    </row>
    <row r="31" spans="1:4" ht="29">
      <c r="A31" s="117" t="s">
        <v>466</v>
      </c>
      <c r="B31" s="137" t="str">
        <f>PLA!L32</f>
        <v>Vetllar pel manteniment del cabal ecològic dels rius definit al Pla sectorial corresponent</v>
      </c>
      <c r="C31" s="160" t="s">
        <v>1424</v>
      </c>
      <c r="D31" s="160"/>
    </row>
    <row r="32" spans="1:4" ht="43.5">
      <c r="A32" s="117" t="s">
        <v>471</v>
      </c>
      <c r="B32" s="137" t="str">
        <f>PLA!L33</f>
        <v>Vetllar per la regulació dels dragatges, canalitzacions o implantació d'activitats extractives que puguin modificar la llera i el cabal dels rius</v>
      </c>
      <c r="C32" s="160" t="s">
        <v>1424</v>
      </c>
      <c r="D32" s="160"/>
    </row>
    <row r="33" spans="1:4" ht="43.5">
      <c r="A33" s="117" t="s">
        <v>475</v>
      </c>
      <c r="B33" s="137" t="str">
        <f>PLA!L34</f>
        <v>Avaluar i controlar les actuacions que produeixin drenatges, captacions o que puguin impedir l’arribada d’aigua tant superficial com freàtica</v>
      </c>
      <c r="C33" s="160" t="s">
        <v>1424</v>
      </c>
      <c r="D33" s="160"/>
    </row>
    <row r="34" spans="1:4" ht="43.5">
      <c r="A34" s="117" t="s">
        <v>478</v>
      </c>
      <c r="B34" s="137" t="str">
        <f>PLA!L35</f>
        <v>Vetllar pel compliment de la normativa de depuració dels efluents agroramaders, urbans i industrials que s'aboquen als cursos fluvials</v>
      </c>
      <c r="C34" s="160" t="s">
        <v>1453</v>
      </c>
      <c r="D34" s="160"/>
    </row>
    <row r="35" spans="1:4" ht="29">
      <c r="A35" s="117" t="s">
        <v>491</v>
      </c>
      <c r="B35" s="137" t="str">
        <f>PLA!L36</f>
        <v xml:space="preserve">Identificar espais prioritaris per a la compra de terrenys de més valor dins l'ENP </v>
      </c>
      <c r="C35" s="160" t="s">
        <v>1474</v>
      </c>
      <c r="D35" s="160"/>
    </row>
    <row r="36" spans="1:4">
      <c r="A36" s="117" t="s">
        <v>497</v>
      </c>
      <c r="B36" s="137" t="str">
        <f>PLA!L37</f>
        <v>Identificar espais prioritaris per a la gestió directa</v>
      </c>
      <c r="C36" s="160" t="s">
        <v>1474</v>
      </c>
      <c r="D36" s="160"/>
    </row>
    <row r="37" spans="1:4">
      <c r="B37" s="162" t="s">
        <v>1481</v>
      </c>
      <c r="C37" s="160"/>
      <c r="D37" s="160"/>
    </row>
    <row r="38" spans="1:4">
      <c r="C38" s="160"/>
      <c r="D38" s="160"/>
    </row>
    <row r="39" spans="1:4">
      <c r="C39" s="160"/>
      <c r="D39" s="160"/>
    </row>
    <row r="40" spans="1:4">
      <c r="C40" s="160"/>
      <c r="D40" s="160"/>
    </row>
    <row r="41" spans="1:4">
      <c r="C41" s="160"/>
      <c r="D41" s="160"/>
    </row>
    <row r="42" spans="1:4">
      <c r="C42" s="160"/>
      <c r="D42" s="160"/>
    </row>
    <row r="43" spans="1:4">
      <c r="C43" s="160"/>
      <c r="D43" s="160"/>
    </row>
    <row r="44" spans="1:4">
      <c r="C44" s="160"/>
      <c r="D44" s="160"/>
    </row>
    <row r="45" spans="1:4">
      <c r="C45" s="160"/>
      <c r="D45" s="160"/>
    </row>
    <row r="46" spans="1:4">
      <c r="C46" s="160"/>
      <c r="D46" s="160"/>
    </row>
    <row r="47" spans="1:4">
      <c r="C47" s="160"/>
      <c r="D47" s="160"/>
    </row>
    <row r="48" spans="1:4">
      <c r="C48" s="160"/>
      <c r="D48" s="160"/>
    </row>
    <row r="49" spans="3:4">
      <c r="C49" s="160"/>
      <c r="D49" s="160"/>
    </row>
    <row r="50" spans="3:4">
      <c r="C50" s="160"/>
      <c r="D50" s="160"/>
    </row>
    <row r="51" spans="3:4">
      <c r="C51" s="160"/>
      <c r="D51" s="160"/>
    </row>
    <row r="52" spans="3:4">
      <c r="C52" s="160"/>
      <c r="D52" s="160"/>
    </row>
    <row r="53" spans="3:4">
      <c r="C53" s="160"/>
      <c r="D53" s="160"/>
    </row>
    <row r="54" spans="3:4">
      <c r="C54" s="160"/>
      <c r="D54" s="160"/>
    </row>
    <row r="55" spans="3:4">
      <c r="C55" s="160"/>
      <c r="D55" s="160"/>
    </row>
    <row r="56" spans="3:4">
      <c r="C56" s="160"/>
      <c r="D56" s="160"/>
    </row>
    <row r="57" spans="3:4">
      <c r="C57" s="160"/>
      <c r="D57" s="160"/>
    </row>
    <row r="58" spans="3:4">
      <c r="C58" s="160"/>
      <c r="D58" s="160"/>
    </row>
    <row r="59" spans="3:4">
      <c r="C59" s="160"/>
      <c r="D59" s="160"/>
    </row>
    <row r="60" spans="3:4">
      <c r="C60" s="160"/>
      <c r="D60" s="160"/>
    </row>
    <row r="61" spans="3:4">
      <c r="C61" s="160"/>
      <c r="D61" s="160"/>
    </row>
    <row r="62" spans="3:4">
      <c r="C62" s="160"/>
      <c r="D62" s="160"/>
    </row>
    <row r="63" spans="3:4">
      <c r="C63" s="160"/>
      <c r="D63" s="160"/>
    </row>
    <row r="64" spans="3:4">
      <c r="C64" s="160"/>
      <c r="D64" s="160"/>
    </row>
    <row r="65" spans="3:4">
      <c r="C65" s="160"/>
      <c r="D65" s="160"/>
    </row>
    <row r="66" spans="3:4">
      <c r="C66" s="160"/>
      <c r="D66" s="160"/>
    </row>
    <row r="67" spans="3:4">
      <c r="C67" s="160"/>
      <c r="D67" s="160"/>
    </row>
    <row r="68" spans="3:4">
      <c r="C68" s="160"/>
      <c r="D68" s="160"/>
    </row>
    <row r="69" spans="3:4">
      <c r="C69" s="160"/>
      <c r="D69" s="160"/>
    </row>
    <row r="70" spans="3:4">
      <c r="C70" s="160"/>
      <c r="D70" s="160"/>
    </row>
    <row r="71" spans="3:4">
      <c r="C71" s="160"/>
      <c r="D71" s="160"/>
    </row>
    <row r="72" spans="3:4">
      <c r="C72" s="160"/>
      <c r="D72" s="160"/>
    </row>
    <row r="73" spans="3:4">
      <c r="C73" s="160"/>
      <c r="D73" s="160"/>
    </row>
    <row r="74" spans="3:4">
      <c r="C74" s="160"/>
      <c r="D74" s="160"/>
    </row>
    <row r="75" spans="3:4">
      <c r="C75" s="160"/>
      <c r="D75" s="160"/>
    </row>
    <row r="76" spans="3:4">
      <c r="C76" s="160"/>
      <c r="D76" s="160"/>
    </row>
    <row r="77" spans="3:4">
      <c r="C77" s="160"/>
      <c r="D77" s="160"/>
    </row>
    <row r="78" spans="3:4">
      <c r="C78" s="160"/>
      <c r="D78" s="160"/>
    </row>
    <row r="79" spans="3:4">
      <c r="C79" s="160"/>
      <c r="D79" s="160"/>
    </row>
    <row r="80" spans="3:4">
      <c r="C80" s="160"/>
      <c r="D80" s="160"/>
    </row>
    <row r="81" spans="3:4">
      <c r="C81" s="160"/>
      <c r="D81" s="160"/>
    </row>
    <row r="82" spans="3:4">
      <c r="C82" s="160"/>
      <c r="D82" s="160"/>
    </row>
    <row r="83" spans="3:4">
      <c r="C83" s="160"/>
      <c r="D83" s="160"/>
    </row>
    <row r="84" spans="3:4">
      <c r="C84" s="160"/>
      <c r="D84" s="160"/>
    </row>
    <row r="85" spans="3:4">
      <c r="C85" s="160"/>
      <c r="D85" s="160"/>
    </row>
    <row r="86" spans="3:4">
      <c r="C86" s="160"/>
      <c r="D86" s="160"/>
    </row>
    <row r="87" spans="3:4">
      <c r="C87" s="160"/>
      <c r="D87" s="160"/>
    </row>
    <row r="88" spans="3:4">
      <c r="C88" s="160"/>
      <c r="D88" s="160"/>
    </row>
    <row r="89" spans="3:4">
      <c r="C89" s="160"/>
      <c r="D89" s="160"/>
    </row>
    <row r="90" spans="3:4">
      <c r="C90" s="160"/>
      <c r="D90" s="160"/>
    </row>
    <row r="91" spans="3:4">
      <c r="C91" s="160"/>
      <c r="D91" s="160"/>
    </row>
    <row r="92" spans="3:4">
      <c r="C92" s="160"/>
      <c r="D92" s="160"/>
    </row>
    <row r="93" spans="3:4">
      <c r="C93" s="160"/>
      <c r="D93" s="160"/>
    </row>
    <row r="94" spans="3:4">
      <c r="C94" s="160"/>
      <c r="D94" s="160"/>
    </row>
    <row r="95" spans="3:4">
      <c r="C95" s="160"/>
      <c r="D95" s="160"/>
    </row>
    <row r="96" spans="3:4">
      <c r="C96" s="160"/>
      <c r="D96" s="160"/>
    </row>
    <row r="97" spans="3:4">
      <c r="C97" s="160"/>
      <c r="D97" s="160"/>
    </row>
    <row r="98" spans="3:4">
      <c r="C98" s="160"/>
      <c r="D98" s="160"/>
    </row>
    <row r="99" spans="3:4">
      <c r="C99" s="160"/>
      <c r="D99" s="160"/>
    </row>
    <row r="100" spans="3:4">
      <c r="C100" s="160"/>
      <c r="D100" s="160"/>
    </row>
    <row r="101" spans="3:4">
      <c r="C101" s="160"/>
      <c r="D101" s="160"/>
    </row>
    <row r="102" spans="3:4">
      <c r="C102" s="160"/>
      <c r="D102" s="160"/>
    </row>
    <row r="103" spans="3:4">
      <c r="C103" s="160"/>
      <c r="D103" s="160"/>
    </row>
    <row r="104" spans="3:4">
      <c r="C104" s="160"/>
      <c r="D104" s="160"/>
    </row>
    <row r="105" spans="3:4">
      <c r="C105" s="160"/>
      <c r="D105" s="160"/>
    </row>
    <row r="106" spans="3:4">
      <c r="C106" s="160"/>
      <c r="D106" s="160"/>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Llistes!$B$2:$B$13</xm:f>
          </x14:formula1>
          <xm:sqref>C5:C106</xm:sqref>
        </x14:dataValidation>
        <x14:dataValidation type="list" allowBlank="1" showInputMessage="1" showErrorMessage="1">
          <x14:formula1>
            <xm:f>Llistes!$G$2:$G$43</xm:f>
          </x14:formula1>
          <xm:sqref>D5:D106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99"/>
  <sheetViews>
    <sheetView zoomScaleNormal="100" workbookViewId="0">
      <pane xSplit="1" ySplit="1" topLeftCell="F2" activePane="bottomRight" state="frozen"/>
      <selection pane="topRight"/>
      <selection pane="bottomLeft"/>
      <selection pane="bottomRight" activeCell="J90" sqref="J90"/>
    </sheetView>
  </sheetViews>
  <sheetFormatPr defaultColWidth="8.7265625" defaultRowHeight="14.5"/>
  <cols>
    <col min="1" max="1" width="7.7265625" style="17" customWidth="1"/>
    <col min="2" max="2" width="24.54296875" style="282" customWidth="1"/>
    <col min="3" max="3" width="6.1796875" style="218" customWidth="1"/>
    <col min="4" max="4" width="40.54296875" style="282" customWidth="1"/>
    <col min="5" max="5" width="6.54296875" style="218" customWidth="1"/>
    <col min="6" max="6" width="57.453125" style="1" customWidth="1"/>
    <col min="7" max="7" width="22.1796875" style="1" customWidth="1"/>
    <col min="8" max="8" width="8.54296875" style="233" customWidth="1"/>
    <col min="9" max="9" width="15.7265625" style="323" customWidth="1"/>
    <col min="10" max="10" width="12.54296875" style="305" customWidth="1"/>
    <col min="11" max="11" width="54.26953125" style="3" customWidth="1"/>
    <col min="12" max="12" width="53.453125" style="218" customWidth="1"/>
    <col min="13" max="13" width="14.453125" style="3" customWidth="1"/>
    <col min="14" max="14" width="36.81640625" style="3" customWidth="1"/>
    <col min="15" max="17" width="8.7265625" style="3"/>
  </cols>
  <sheetData>
    <row r="1" spans="1:17" s="75" customFormat="1" ht="43.5">
      <c r="A1" s="238" t="s">
        <v>1482</v>
      </c>
      <c r="B1" s="240" t="s">
        <v>1483</v>
      </c>
      <c r="C1" s="238" t="s">
        <v>1484</v>
      </c>
      <c r="D1" s="240" t="s">
        <v>1485</v>
      </c>
      <c r="E1" s="238" t="s">
        <v>1486</v>
      </c>
      <c r="F1" s="238" t="s">
        <v>1487</v>
      </c>
      <c r="G1" s="239" t="s">
        <v>1488</v>
      </c>
      <c r="H1" s="239" t="s">
        <v>1489</v>
      </c>
      <c r="I1" s="322" t="s">
        <v>1490</v>
      </c>
      <c r="J1" s="300" t="s">
        <v>1491</v>
      </c>
      <c r="K1" s="300" t="s">
        <v>1492</v>
      </c>
      <c r="L1" s="301" t="s">
        <v>1493</v>
      </c>
      <c r="M1" s="301" t="s">
        <v>1494</v>
      </c>
      <c r="N1" s="301" t="s">
        <v>1495</v>
      </c>
      <c r="O1" s="1"/>
      <c r="P1" s="1"/>
      <c r="Q1" s="1"/>
    </row>
    <row r="2" spans="1:17" ht="29">
      <c r="A2" s="17">
        <v>1</v>
      </c>
      <c r="B2" s="283" t="s">
        <v>1496</v>
      </c>
      <c r="C2" s="218">
        <v>1</v>
      </c>
      <c r="D2" s="241" t="s">
        <v>1497</v>
      </c>
      <c r="E2" s="218" t="s">
        <v>1498</v>
      </c>
      <c r="F2" s="219" t="s">
        <v>1499</v>
      </c>
      <c r="G2" s="1" t="s">
        <v>1500</v>
      </c>
      <c r="J2" s="319" t="s">
        <v>830</v>
      </c>
      <c r="K2" s="302" t="s">
        <v>831</v>
      </c>
      <c r="L2" s="295"/>
      <c r="M2" s="295"/>
      <c r="N2" s="295"/>
    </row>
    <row r="3" spans="1:17" ht="29">
      <c r="A3" s="17">
        <v>2</v>
      </c>
      <c r="B3" s="283" t="s">
        <v>1496</v>
      </c>
      <c r="C3" s="218">
        <v>1</v>
      </c>
      <c r="D3" s="241" t="s">
        <v>1497</v>
      </c>
      <c r="E3" s="218" t="s">
        <v>1501</v>
      </c>
      <c r="F3" s="219" t="s">
        <v>1502</v>
      </c>
      <c r="G3" s="1" t="s">
        <v>290</v>
      </c>
      <c r="J3" s="319" t="s">
        <v>830</v>
      </c>
      <c r="K3" s="302" t="s">
        <v>831</v>
      </c>
      <c r="L3" s="295"/>
      <c r="M3" s="295"/>
      <c r="N3" s="295"/>
    </row>
    <row r="4" spans="1:17" ht="29">
      <c r="A4" s="17">
        <v>3</v>
      </c>
      <c r="B4" s="283" t="s">
        <v>1496</v>
      </c>
      <c r="C4" s="218">
        <v>1</v>
      </c>
      <c r="D4" s="241" t="s">
        <v>1497</v>
      </c>
      <c r="E4" s="218" t="s">
        <v>1503</v>
      </c>
      <c r="F4" s="219" t="s">
        <v>1504</v>
      </c>
      <c r="G4" s="1" t="s">
        <v>290</v>
      </c>
      <c r="J4" s="319" t="s">
        <v>830</v>
      </c>
      <c r="K4" s="302" t="s">
        <v>831</v>
      </c>
      <c r="L4" s="295"/>
      <c r="M4" s="295"/>
      <c r="N4" s="295"/>
    </row>
    <row r="5" spans="1:17" ht="29">
      <c r="A5" s="17">
        <v>4</v>
      </c>
      <c r="B5" s="283" t="s">
        <v>1496</v>
      </c>
      <c r="C5" s="218">
        <v>1</v>
      </c>
      <c r="D5" s="241" t="s">
        <v>1497</v>
      </c>
      <c r="E5" s="218" t="s">
        <v>1505</v>
      </c>
      <c r="F5" s="219" t="s">
        <v>1506</v>
      </c>
      <c r="G5" s="1" t="s">
        <v>1500</v>
      </c>
      <c r="J5" s="319" t="s">
        <v>830</v>
      </c>
      <c r="K5" s="302" t="s">
        <v>831</v>
      </c>
      <c r="L5" s="295"/>
      <c r="M5" s="295"/>
      <c r="N5" s="295"/>
    </row>
    <row r="6" spans="1:17" ht="29">
      <c r="A6" s="17">
        <v>5</v>
      </c>
      <c r="B6" s="283" t="s">
        <v>1496</v>
      </c>
      <c r="C6" s="218">
        <v>1</v>
      </c>
      <c r="D6" s="241" t="s">
        <v>1497</v>
      </c>
      <c r="E6" s="218" t="s">
        <v>1507</v>
      </c>
      <c r="F6" s="219" t="s">
        <v>1508</v>
      </c>
      <c r="G6" s="1" t="s">
        <v>1509</v>
      </c>
      <c r="J6" s="319" t="s">
        <v>830</v>
      </c>
      <c r="K6" s="302" t="s">
        <v>831</v>
      </c>
      <c r="L6" s="295"/>
      <c r="M6" s="295"/>
      <c r="N6" s="295"/>
    </row>
    <row r="7" spans="1:17" ht="29">
      <c r="A7" s="17">
        <v>6</v>
      </c>
      <c r="B7" s="283" t="s">
        <v>1496</v>
      </c>
      <c r="C7" s="218">
        <v>1</v>
      </c>
      <c r="D7" s="241" t="s">
        <v>1497</v>
      </c>
      <c r="E7" s="218" t="s">
        <v>1510</v>
      </c>
      <c r="F7" s="219" t="s">
        <v>1511</v>
      </c>
      <c r="G7" s="1" t="s">
        <v>1509</v>
      </c>
      <c r="J7" s="319" t="s">
        <v>830</v>
      </c>
      <c r="K7" s="302" t="s">
        <v>831</v>
      </c>
      <c r="L7" s="295"/>
      <c r="M7" s="295"/>
      <c r="N7" s="295"/>
    </row>
    <row r="8" spans="1:17" ht="29">
      <c r="A8" s="17">
        <v>7</v>
      </c>
      <c r="B8" s="283" t="s">
        <v>1496</v>
      </c>
      <c r="C8" s="218">
        <v>1</v>
      </c>
      <c r="D8" s="241" t="s">
        <v>1497</v>
      </c>
      <c r="E8" s="218" t="s">
        <v>1512</v>
      </c>
      <c r="F8" s="219" t="s">
        <v>1513</v>
      </c>
      <c r="G8" s="1" t="s">
        <v>1500</v>
      </c>
      <c r="J8" s="319" t="s">
        <v>830</v>
      </c>
      <c r="K8" s="302" t="s">
        <v>831</v>
      </c>
      <c r="L8" s="295"/>
      <c r="M8" s="295"/>
      <c r="N8" s="295"/>
    </row>
    <row r="9" spans="1:17" ht="29">
      <c r="A9" s="17">
        <v>8</v>
      </c>
      <c r="B9" s="283" t="s">
        <v>1496</v>
      </c>
      <c r="C9" s="218">
        <v>1</v>
      </c>
      <c r="D9" s="241" t="s">
        <v>1497</v>
      </c>
      <c r="E9" s="218" t="s">
        <v>1514</v>
      </c>
      <c r="F9" s="219" t="s">
        <v>1515</v>
      </c>
      <c r="G9" s="1" t="s">
        <v>1516</v>
      </c>
      <c r="H9" s="233" t="s">
        <v>1517</v>
      </c>
      <c r="J9" s="320"/>
      <c r="K9" s="295"/>
      <c r="L9" s="295"/>
      <c r="M9" s="295"/>
      <c r="N9" s="295"/>
    </row>
    <row r="10" spans="1:17" ht="29">
      <c r="A10" s="17">
        <v>9</v>
      </c>
      <c r="B10" s="283" t="s">
        <v>1496</v>
      </c>
      <c r="C10" s="218">
        <v>1</v>
      </c>
      <c r="D10" s="241" t="s">
        <v>1497</v>
      </c>
      <c r="E10" s="218" t="s">
        <v>1518</v>
      </c>
      <c r="F10" s="219" t="s">
        <v>1519</v>
      </c>
      <c r="G10" s="1" t="s">
        <v>1516</v>
      </c>
      <c r="H10" s="233" t="s">
        <v>1517</v>
      </c>
      <c r="J10" s="320"/>
      <c r="K10" s="295"/>
      <c r="L10" s="295"/>
      <c r="M10" s="295"/>
      <c r="N10" s="295"/>
    </row>
    <row r="11" spans="1:17" ht="29">
      <c r="A11" s="17">
        <v>10</v>
      </c>
      <c r="B11" s="283" t="s">
        <v>1496</v>
      </c>
      <c r="C11" s="218">
        <v>1</v>
      </c>
      <c r="D11" s="241" t="s">
        <v>1497</v>
      </c>
      <c r="E11" s="218" t="s">
        <v>1520</v>
      </c>
      <c r="F11" s="219" t="s">
        <v>1521</v>
      </c>
      <c r="G11" s="1" t="s">
        <v>1500</v>
      </c>
      <c r="J11" s="319" t="s">
        <v>843</v>
      </c>
      <c r="K11" s="302" t="s">
        <v>844</v>
      </c>
      <c r="L11" s="295"/>
      <c r="M11" s="295"/>
      <c r="N11" s="295"/>
    </row>
    <row r="12" spans="1:17" ht="29">
      <c r="A12" s="17">
        <v>11</v>
      </c>
      <c r="B12" s="283" t="s">
        <v>1496</v>
      </c>
      <c r="C12" s="218">
        <v>2</v>
      </c>
      <c r="D12" s="242" t="s">
        <v>1522</v>
      </c>
      <c r="E12" s="218" t="s">
        <v>1523</v>
      </c>
      <c r="F12" s="219" t="s">
        <v>1524</v>
      </c>
      <c r="G12" s="1" t="s">
        <v>1500</v>
      </c>
      <c r="J12" s="319" t="s">
        <v>1235</v>
      </c>
      <c r="K12" s="302" t="s">
        <v>1236</v>
      </c>
      <c r="L12" s="295"/>
      <c r="M12" s="295"/>
      <c r="N12" s="295"/>
    </row>
    <row r="13" spans="1:17">
      <c r="A13" s="17">
        <v>12</v>
      </c>
      <c r="B13" s="283" t="s">
        <v>1496</v>
      </c>
      <c r="C13" s="218">
        <v>2</v>
      </c>
      <c r="D13" s="242" t="s">
        <v>1522</v>
      </c>
      <c r="E13" s="218" t="s">
        <v>1523</v>
      </c>
      <c r="F13" s="219" t="s">
        <v>1525</v>
      </c>
      <c r="G13" s="1" t="s">
        <v>1500</v>
      </c>
      <c r="J13" s="319" t="s">
        <v>1223</v>
      </c>
      <c r="K13" s="302" t="s">
        <v>1224</v>
      </c>
      <c r="L13" s="295"/>
      <c r="M13" s="295"/>
      <c r="N13" s="295"/>
    </row>
    <row r="14" spans="1:17">
      <c r="A14" s="17">
        <v>13</v>
      </c>
      <c r="B14" s="283" t="s">
        <v>1496</v>
      </c>
      <c r="C14" s="218">
        <v>2</v>
      </c>
      <c r="D14" s="242" t="s">
        <v>1522</v>
      </c>
      <c r="E14" s="218" t="s">
        <v>1526</v>
      </c>
      <c r="F14" s="219" t="s">
        <v>1527</v>
      </c>
      <c r="G14" s="1" t="s">
        <v>1500</v>
      </c>
      <c r="J14" s="319" t="s">
        <v>1223</v>
      </c>
      <c r="K14" s="302" t="s">
        <v>1224</v>
      </c>
      <c r="L14" s="295"/>
      <c r="M14" s="295"/>
      <c r="N14" s="295"/>
    </row>
    <row r="15" spans="1:17" ht="29">
      <c r="A15" s="17">
        <v>14</v>
      </c>
      <c r="B15" s="283" t="s">
        <v>1496</v>
      </c>
      <c r="C15" s="218">
        <v>2</v>
      </c>
      <c r="D15" s="242" t="s">
        <v>1522</v>
      </c>
      <c r="E15" s="218" t="s">
        <v>1528</v>
      </c>
      <c r="F15" s="219" t="s">
        <v>1529</v>
      </c>
      <c r="G15" s="1" t="s">
        <v>1500</v>
      </c>
      <c r="J15" s="319" t="s">
        <v>843</v>
      </c>
      <c r="K15" s="302" t="s">
        <v>844</v>
      </c>
      <c r="L15" s="295"/>
      <c r="M15" s="295"/>
      <c r="N15" s="295"/>
    </row>
    <row r="16" spans="1:17" ht="29">
      <c r="A16" s="17">
        <v>15</v>
      </c>
      <c r="B16" s="283" t="s">
        <v>1496</v>
      </c>
      <c r="C16" s="218">
        <v>2</v>
      </c>
      <c r="D16" s="242" t="s">
        <v>1522</v>
      </c>
      <c r="E16" s="218" t="s">
        <v>1530</v>
      </c>
      <c r="F16" s="219" t="s">
        <v>1531</v>
      </c>
      <c r="G16" s="1" t="s">
        <v>1500</v>
      </c>
      <c r="J16" s="319" t="s">
        <v>843</v>
      </c>
      <c r="K16" s="302" t="s">
        <v>844</v>
      </c>
      <c r="L16" s="295"/>
      <c r="M16" s="295"/>
      <c r="N16" s="295"/>
    </row>
    <row r="17" spans="1:14" ht="29">
      <c r="A17" s="17">
        <v>16</v>
      </c>
      <c r="B17" s="283" t="s">
        <v>1496</v>
      </c>
      <c r="C17" s="218">
        <v>3</v>
      </c>
      <c r="D17" s="243" t="s">
        <v>1532</v>
      </c>
      <c r="E17" s="218" t="s">
        <v>1533</v>
      </c>
      <c r="F17" s="219" t="s">
        <v>1534</v>
      </c>
      <c r="G17" s="1" t="s">
        <v>1500</v>
      </c>
      <c r="J17" s="319" t="s">
        <v>843</v>
      </c>
      <c r="K17" s="302" t="s">
        <v>844</v>
      </c>
      <c r="L17" s="295"/>
      <c r="M17" s="295"/>
      <c r="N17" s="295"/>
    </row>
    <row r="18" spans="1:14" ht="29">
      <c r="A18" s="17">
        <v>17</v>
      </c>
      <c r="B18" s="283" t="s">
        <v>1496</v>
      </c>
      <c r="C18" s="218">
        <v>3</v>
      </c>
      <c r="D18" s="243" t="s">
        <v>1532</v>
      </c>
      <c r="E18" s="218" t="s">
        <v>1535</v>
      </c>
      <c r="F18" s="219" t="s">
        <v>1536</v>
      </c>
      <c r="G18" s="1" t="s">
        <v>1500</v>
      </c>
      <c r="J18" s="319" t="s">
        <v>843</v>
      </c>
      <c r="K18" s="302" t="s">
        <v>844</v>
      </c>
      <c r="L18" s="295"/>
      <c r="M18" s="295"/>
      <c r="N18" s="295"/>
    </row>
    <row r="19" spans="1:14" ht="43.5">
      <c r="A19" s="17">
        <v>18</v>
      </c>
      <c r="B19" s="283" t="s">
        <v>1496</v>
      </c>
      <c r="C19" s="218">
        <v>3</v>
      </c>
      <c r="D19" s="243" t="s">
        <v>1532</v>
      </c>
      <c r="E19" s="218" t="s">
        <v>1537</v>
      </c>
      <c r="F19" s="219" t="s">
        <v>1538</v>
      </c>
      <c r="G19" s="1" t="s">
        <v>1500</v>
      </c>
      <c r="J19" s="319" t="s">
        <v>1075</v>
      </c>
      <c r="K19" s="302" t="s">
        <v>1539</v>
      </c>
      <c r="L19" s="295"/>
      <c r="M19" s="295"/>
      <c r="N19" s="295"/>
    </row>
    <row r="20" spans="1:14" ht="29">
      <c r="A20" s="17">
        <v>19</v>
      </c>
      <c r="B20" s="283" t="s">
        <v>1496</v>
      </c>
      <c r="C20" s="218">
        <v>3</v>
      </c>
      <c r="D20" s="243" t="s">
        <v>1532</v>
      </c>
      <c r="E20" s="218" t="s">
        <v>1540</v>
      </c>
      <c r="F20" s="219" t="s">
        <v>1541</v>
      </c>
      <c r="G20" s="1" t="s">
        <v>1500</v>
      </c>
      <c r="J20" s="319" t="s">
        <v>1075</v>
      </c>
      <c r="K20" s="302" t="s">
        <v>1076</v>
      </c>
      <c r="L20" s="295"/>
      <c r="M20" s="295"/>
      <c r="N20" s="295"/>
    </row>
    <row r="21" spans="1:14">
      <c r="A21" s="17">
        <v>20</v>
      </c>
      <c r="B21" s="283" t="s">
        <v>1496</v>
      </c>
      <c r="C21" s="218">
        <v>3</v>
      </c>
      <c r="D21" s="243" t="s">
        <v>1532</v>
      </c>
      <c r="E21" s="218" t="s">
        <v>1542</v>
      </c>
      <c r="F21" s="219" t="s">
        <v>1543</v>
      </c>
      <c r="G21" s="1" t="s">
        <v>1516</v>
      </c>
      <c r="H21" s="233" t="s">
        <v>1517</v>
      </c>
      <c r="J21" s="320"/>
      <c r="K21" s="295"/>
      <c r="L21" s="295"/>
      <c r="M21" s="295"/>
      <c r="N21" s="295"/>
    </row>
    <row r="22" spans="1:14" ht="29">
      <c r="A22" s="17">
        <v>21</v>
      </c>
      <c r="B22" s="283" t="s">
        <v>1496</v>
      </c>
      <c r="C22" s="218">
        <v>3</v>
      </c>
      <c r="D22" s="243" t="s">
        <v>1532</v>
      </c>
      <c r="E22" s="218" t="s">
        <v>1544</v>
      </c>
      <c r="F22" s="219" t="s">
        <v>1545</v>
      </c>
      <c r="G22" s="1" t="s">
        <v>1500</v>
      </c>
      <c r="J22" s="319" t="s">
        <v>847</v>
      </c>
      <c r="K22" s="302" t="s">
        <v>848</v>
      </c>
      <c r="L22" s="1"/>
      <c r="M22" s="303"/>
      <c r="N22" s="1"/>
    </row>
    <row r="23" spans="1:14" ht="43.5">
      <c r="A23" s="17">
        <v>22</v>
      </c>
      <c r="B23" s="283" t="s">
        <v>1496</v>
      </c>
      <c r="C23" s="218">
        <v>3</v>
      </c>
      <c r="D23" s="243" t="s">
        <v>1532</v>
      </c>
      <c r="E23" s="218" t="s">
        <v>1546</v>
      </c>
      <c r="F23" s="219" t="s">
        <v>1547</v>
      </c>
      <c r="G23" s="1" t="s">
        <v>1500</v>
      </c>
      <c r="J23" s="319" t="s">
        <v>978</v>
      </c>
      <c r="K23" s="302" t="s">
        <v>979</v>
      </c>
      <c r="L23" s="1"/>
      <c r="M23" s="303"/>
      <c r="N23" s="1"/>
    </row>
    <row r="24" spans="1:14" ht="43.5">
      <c r="A24" s="17">
        <v>23</v>
      </c>
      <c r="B24" s="283" t="s">
        <v>1496</v>
      </c>
      <c r="C24" s="218">
        <v>3</v>
      </c>
      <c r="D24" s="243" t="s">
        <v>1532</v>
      </c>
      <c r="E24" s="218" t="s">
        <v>1548</v>
      </c>
      <c r="F24" s="219" t="s">
        <v>1549</v>
      </c>
      <c r="G24" s="1" t="s">
        <v>1500</v>
      </c>
      <c r="J24" s="319" t="s">
        <v>978</v>
      </c>
      <c r="K24" s="302" t="s">
        <v>979</v>
      </c>
      <c r="L24" s="1"/>
      <c r="M24" s="303"/>
      <c r="N24" s="1"/>
    </row>
    <row r="25" spans="1:14" ht="43.5">
      <c r="A25" s="17">
        <v>24</v>
      </c>
      <c r="B25" s="283" t="s">
        <v>1496</v>
      </c>
      <c r="C25" s="218">
        <v>4</v>
      </c>
      <c r="D25" s="244" t="s">
        <v>1550</v>
      </c>
      <c r="E25" s="218" t="s">
        <v>1551</v>
      </c>
      <c r="F25" s="219" t="s">
        <v>1552</v>
      </c>
      <c r="G25" s="1" t="s">
        <v>1500</v>
      </c>
      <c r="J25" s="319" t="s">
        <v>579</v>
      </c>
      <c r="K25" s="302" t="s">
        <v>580</v>
      </c>
      <c r="L25" s="1"/>
      <c r="M25" s="303"/>
      <c r="N25" s="1"/>
    </row>
    <row r="26" spans="1:14" ht="29">
      <c r="A26" s="17">
        <v>25</v>
      </c>
      <c r="B26" s="283" t="s">
        <v>1496</v>
      </c>
      <c r="C26" s="218">
        <v>4</v>
      </c>
      <c r="D26" s="244" t="s">
        <v>1550</v>
      </c>
      <c r="E26" s="218" t="s">
        <v>1553</v>
      </c>
      <c r="F26" s="219" t="s">
        <v>1554</v>
      </c>
      <c r="G26" s="1" t="s">
        <v>1500</v>
      </c>
      <c r="J26" s="319" t="s">
        <v>1223</v>
      </c>
      <c r="K26" s="302" t="s">
        <v>1224</v>
      </c>
      <c r="L26" s="1"/>
      <c r="M26" s="303"/>
      <c r="N26" s="1"/>
    </row>
    <row r="27" spans="1:14" ht="29">
      <c r="A27" s="17">
        <v>26</v>
      </c>
      <c r="B27" s="283" t="s">
        <v>1496</v>
      </c>
      <c r="C27" s="218">
        <v>4</v>
      </c>
      <c r="D27" s="244" t="s">
        <v>1550</v>
      </c>
      <c r="E27" s="218" t="s">
        <v>1555</v>
      </c>
      <c r="F27" s="219" t="s">
        <v>866</v>
      </c>
      <c r="G27" s="1" t="s">
        <v>1500</v>
      </c>
      <c r="J27" s="319" t="s">
        <v>864</v>
      </c>
      <c r="K27" s="302" t="s">
        <v>865</v>
      </c>
      <c r="L27" s="1"/>
      <c r="M27" s="303"/>
      <c r="N27" s="302"/>
    </row>
    <row r="28" spans="1:14" ht="58">
      <c r="A28" s="17">
        <v>27</v>
      </c>
      <c r="B28" s="283" t="s">
        <v>1496</v>
      </c>
      <c r="C28" s="218">
        <v>4</v>
      </c>
      <c r="D28" s="244" t="s">
        <v>1550</v>
      </c>
      <c r="E28" s="218" t="s">
        <v>1556</v>
      </c>
      <c r="F28" s="219" t="s">
        <v>686</v>
      </c>
      <c r="G28" s="1" t="s">
        <v>1500</v>
      </c>
      <c r="J28" s="319" t="s">
        <v>682</v>
      </c>
      <c r="K28" s="302" t="s">
        <v>683</v>
      </c>
      <c r="L28" s="1"/>
      <c r="M28" s="303"/>
      <c r="N28" s="1"/>
    </row>
    <row r="29" spans="1:14" ht="29">
      <c r="A29" s="17">
        <v>28</v>
      </c>
      <c r="B29" s="283" t="s">
        <v>1496</v>
      </c>
      <c r="C29" s="218">
        <v>5</v>
      </c>
      <c r="D29" s="245" t="s">
        <v>1557</v>
      </c>
      <c r="E29" s="218" t="s">
        <v>1558</v>
      </c>
      <c r="F29" s="219" t="s">
        <v>1559</v>
      </c>
      <c r="G29" s="1" t="s">
        <v>1500</v>
      </c>
      <c r="J29" s="319" t="s">
        <v>1084</v>
      </c>
      <c r="K29" s="302" t="s">
        <v>1085</v>
      </c>
      <c r="L29" s="1"/>
      <c r="M29" s="303"/>
      <c r="N29" s="1"/>
    </row>
    <row r="30" spans="1:14" ht="29">
      <c r="A30" s="17">
        <v>29</v>
      </c>
      <c r="B30" s="283" t="s">
        <v>1496</v>
      </c>
      <c r="C30" s="218">
        <v>5</v>
      </c>
      <c r="D30" s="245" t="s">
        <v>1557</v>
      </c>
      <c r="E30" s="218" t="s">
        <v>1560</v>
      </c>
      <c r="F30" s="219" t="s">
        <v>1561</v>
      </c>
      <c r="G30" s="1" t="s">
        <v>1500</v>
      </c>
      <c r="J30" s="319" t="s">
        <v>1145</v>
      </c>
      <c r="K30" s="302" t="s">
        <v>1146</v>
      </c>
      <c r="L30" s="1"/>
      <c r="M30" s="303"/>
      <c r="N30" s="1"/>
    </row>
    <row r="31" spans="1:14" ht="29">
      <c r="A31" s="17">
        <v>30</v>
      </c>
      <c r="B31" s="283" t="s">
        <v>1496</v>
      </c>
      <c r="C31" s="218">
        <v>5</v>
      </c>
      <c r="D31" s="245" t="s">
        <v>1557</v>
      </c>
      <c r="E31" s="218" t="s">
        <v>1562</v>
      </c>
      <c r="F31" s="219" t="s">
        <v>1563</v>
      </c>
      <c r="G31" s="1" t="s">
        <v>1500</v>
      </c>
      <c r="J31" s="319" t="s">
        <v>1145</v>
      </c>
      <c r="K31" s="302" t="s">
        <v>1146</v>
      </c>
      <c r="L31" s="1"/>
      <c r="M31" s="303"/>
      <c r="N31" s="1"/>
    </row>
    <row r="32" spans="1:14" ht="43.5">
      <c r="A32" s="17">
        <v>31</v>
      </c>
      <c r="B32" s="283" t="s">
        <v>1496</v>
      </c>
      <c r="C32" s="218">
        <v>5</v>
      </c>
      <c r="D32" s="245" t="s">
        <v>1557</v>
      </c>
      <c r="E32" s="218" t="s">
        <v>1564</v>
      </c>
      <c r="F32" s="219" t="s">
        <v>1565</v>
      </c>
      <c r="G32" s="1" t="s">
        <v>1500</v>
      </c>
      <c r="J32" s="319" t="s">
        <v>978</v>
      </c>
      <c r="K32" s="302" t="s">
        <v>979</v>
      </c>
      <c r="L32" s="1"/>
      <c r="M32" s="303"/>
      <c r="N32" s="1"/>
    </row>
    <row r="33" spans="1:14" ht="43.5">
      <c r="A33" s="17">
        <v>32</v>
      </c>
      <c r="B33" s="283" t="s">
        <v>1496</v>
      </c>
      <c r="C33" s="218">
        <v>5</v>
      </c>
      <c r="D33" s="245" t="s">
        <v>1557</v>
      </c>
      <c r="E33" s="218" t="s">
        <v>1566</v>
      </c>
      <c r="F33" s="219" t="s">
        <v>1567</v>
      </c>
      <c r="G33" s="1" t="s">
        <v>1500</v>
      </c>
      <c r="J33" s="319" t="s">
        <v>978</v>
      </c>
      <c r="K33" s="302" t="s">
        <v>979</v>
      </c>
      <c r="L33" s="1"/>
      <c r="M33" s="303"/>
      <c r="N33" s="1"/>
    </row>
    <row r="34" spans="1:14" ht="43.5">
      <c r="A34" s="17">
        <v>33</v>
      </c>
      <c r="B34" s="283" t="s">
        <v>1496</v>
      </c>
      <c r="C34" s="218">
        <v>5</v>
      </c>
      <c r="D34" s="245" t="s">
        <v>1557</v>
      </c>
      <c r="E34" s="218" t="s">
        <v>1568</v>
      </c>
      <c r="F34" s="219" t="s">
        <v>1569</v>
      </c>
      <c r="G34" s="1" t="s">
        <v>1500</v>
      </c>
      <c r="J34" s="319" t="s">
        <v>1050</v>
      </c>
      <c r="K34" s="302" t="s">
        <v>1051</v>
      </c>
      <c r="L34" s="1"/>
      <c r="M34" s="303"/>
      <c r="N34" s="1"/>
    </row>
    <row r="35" spans="1:14" ht="29">
      <c r="A35" s="17">
        <v>34</v>
      </c>
      <c r="B35" s="283" t="s">
        <v>1496</v>
      </c>
      <c r="C35" s="218">
        <v>6</v>
      </c>
      <c r="D35" s="246" t="s">
        <v>1570</v>
      </c>
      <c r="E35" s="218" t="s">
        <v>1571</v>
      </c>
      <c r="F35" s="219" t="s">
        <v>1572</v>
      </c>
      <c r="G35" s="1" t="s">
        <v>1500</v>
      </c>
      <c r="J35" s="319" t="s">
        <v>1077</v>
      </c>
      <c r="K35" s="302" t="s">
        <v>1078</v>
      </c>
      <c r="L35" s="1"/>
      <c r="M35" s="303"/>
      <c r="N35" s="1"/>
    </row>
    <row r="36" spans="1:14" ht="29">
      <c r="A36" s="17">
        <v>35</v>
      </c>
      <c r="B36" s="283" t="s">
        <v>1496</v>
      </c>
      <c r="C36" s="218">
        <v>6</v>
      </c>
      <c r="D36" s="246" t="s">
        <v>1570</v>
      </c>
      <c r="E36" s="218" t="s">
        <v>1573</v>
      </c>
      <c r="F36" s="219" t="s">
        <v>1574</v>
      </c>
      <c r="G36" s="1" t="s">
        <v>1500</v>
      </c>
      <c r="J36" s="319" t="s">
        <v>785</v>
      </c>
      <c r="K36" s="302" t="s">
        <v>786</v>
      </c>
      <c r="L36" s="1"/>
      <c r="M36" s="303"/>
      <c r="N36" s="1"/>
    </row>
    <row r="37" spans="1:14" ht="29">
      <c r="A37" s="17">
        <v>36</v>
      </c>
      <c r="B37" s="283" t="s">
        <v>1496</v>
      </c>
      <c r="C37" s="218">
        <v>6</v>
      </c>
      <c r="D37" s="246" t="s">
        <v>1570</v>
      </c>
      <c r="E37" s="218" t="s">
        <v>1575</v>
      </c>
      <c r="F37" s="219" t="s">
        <v>1576</v>
      </c>
      <c r="G37" s="1" t="s">
        <v>1500</v>
      </c>
      <c r="J37" s="319" t="s">
        <v>800</v>
      </c>
      <c r="K37" s="302" t="s">
        <v>801</v>
      </c>
      <c r="L37" s="1"/>
      <c r="M37" s="303"/>
      <c r="N37" s="1"/>
    </row>
    <row r="38" spans="1:14" ht="29">
      <c r="A38" s="17">
        <v>37</v>
      </c>
      <c r="B38" s="283" t="s">
        <v>1496</v>
      </c>
      <c r="C38" s="218">
        <v>6</v>
      </c>
      <c r="D38" s="246" t="s">
        <v>1570</v>
      </c>
      <c r="E38" s="218" t="s">
        <v>1577</v>
      </c>
      <c r="F38" s="219" t="s">
        <v>1578</v>
      </c>
      <c r="G38" s="1" t="s">
        <v>1500</v>
      </c>
      <c r="J38" s="319" t="s">
        <v>800</v>
      </c>
      <c r="K38" s="302" t="s">
        <v>801</v>
      </c>
      <c r="L38" s="1"/>
      <c r="M38" s="303"/>
      <c r="N38" s="1"/>
    </row>
    <row r="39" spans="1:14" ht="29">
      <c r="A39" s="17">
        <v>38</v>
      </c>
      <c r="B39" s="283" t="s">
        <v>1496</v>
      </c>
      <c r="C39" s="218">
        <v>6</v>
      </c>
      <c r="D39" s="246" t="s">
        <v>1570</v>
      </c>
      <c r="E39" s="218" t="s">
        <v>1579</v>
      </c>
      <c r="F39" s="219" t="s">
        <v>1580</v>
      </c>
      <c r="G39" s="1" t="s">
        <v>1500</v>
      </c>
      <c r="J39" s="319" t="s">
        <v>785</v>
      </c>
      <c r="K39" s="302" t="s">
        <v>786</v>
      </c>
      <c r="L39" s="1"/>
      <c r="M39" s="303"/>
      <c r="N39" s="1"/>
    </row>
    <row r="40" spans="1:14" ht="29">
      <c r="A40" s="17">
        <v>39</v>
      </c>
      <c r="B40" s="283" t="s">
        <v>1496</v>
      </c>
      <c r="C40" s="218">
        <v>6</v>
      </c>
      <c r="D40" s="246" t="s">
        <v>1570</v>
      </c>
      <c r="E40" s="218" t="s">
        <v>1581</v>
      </c>
      <c r="F40" s="219" t="s">
        <v>1582</v>
      </c>
      <c r="G40" s="1" t="s">
        <v>1500</v>
      </c>
      <c r="J40" s="319" t="s">
        <v>1164</v>
      </c>
      <c r="K40" s="302" t="s">
        <v>1165</v>
      </c>
      <c r="L40" s="1"/>
      <c r="M40" s="303"/>
      <c r="N40" s="1"/>
    </row>
    <row r="41" spans="1:14" ht="29">
      <c r="A41" s="17">
        <v>40</v>
      </c>
      <c r="B41" s="283" t="s">
        <v>1496</v>
      </c>
      <c r="C41" s="218">
        <v>6</v>
      </c>
      <c r="D41" s="246" t="s">
        <v>1570</v>
      </c>
      <c r="E41" s="218" t="s">
        <v>1583</v>
      </c>
      <c r="F41" s="219" t="s">
        <v>1584</v>
      </c>
      <c r="G41" s="1" t="s">
        <v>1500</v>
      </c>
      <c r="J41" s="319" t="s">
        <v>770</v>
      </c>
      <c r="K41" s="302" t="s">
        <v>771</v>
      </c>
      <c r="L41" s="1"/>
      <c r="M41" s="303"/>
      <c r="N41" s="1"/>
    </row>
    <row r="42" spans="1:14" ht="29">
      <c r="A42" s="17">
        <v>41</v>
      </c>
      <c r="B42" s="283" t="s">
        <v>1496</v>
      </c>
      <c r="C42" s="218">
        <v>6</v>
      </c>
      <c r="D42" s="246" t="s">
        <v>1570</v>
      </c>
      <c r="E42" s="218" t="s">
        <v>1585</v>
      </c>
      <c r="F42" s="219" t="s">
        <v>1586</v>
      </c>
      <c r="G42" s="1" t="s">
        <v>1500</v>
      </c>
      <c r="J42" s="319" t="str">
        <f>VLOOKUP(K42,PLA_v2025!G:H,2,FALSE)</f>
        <v>08.3.4</v>
      </c>
      <c r="K42" s="295" t="s">
        <v>801</v>
      </c>
      <c r="L42" s="1"/>
      <c r="M42" s="303"/>
      <c r="N42" s="1"/>
    </row>
    <row r="43" spans="1:14" ht="29">
      <c r="A43" s="17">
        <v>42</v>
      </c>
      <c r="B43" s="283" t="s">
        <v>1496</v>
      </c>
      <c r="C43" s="218">
        <v>7</v>
      </c>
      <c r="D43" s="247" t="s">
        <v>1587</v>
      </c>
      <c r="E43" s="218" t="s">
        <v>1588</v>
      </c>
      <c r="F43" s="219" t="s">
        <v>1589</v>
      </c>
      <c r="G43" s="1" t="s">
        <v>1500</v>
      </c>
      <c r="J43" s="319" t="str">
        <f>VLOOKUP(K43,PLA_v2025!G:H,2,FALSE)</f>
        <v>09.2.2</v>
      </c>
      <c r="K43" s="302" t="s">
        <v>848</v>
      </c>
      <c r="L43" s="1"/>
      <c r="M43" s="303"/>
      <c r="N43" s="1"/>
    </row>
    <row r="44" spans="1:14" ht="29">
      <c r="A44" s="17">
        <v>43</v>
      </c>
      <c r="B44" s="283" t="s">
        <v>1496</v>
      </c>
      <c r="C44" s="218">
        <v>7</v>
      </c>
      <c r="D44" s="247" t="s">
        <v>1587</v>
      </c>
      <c r="E44" s="218" t="s">
        <v>1590</v>
      </c>
      <c r="F44" s="219" t="s">
        <v>1591</v>
      </c>
      <c r="G44" s="1" t="s">
        <v>1500</v>
      </c>
      <c r="J44" s="319" t="str">
        <f>VLOOKUP(K44,PLA_v2025!G:H,2,FALSE)</f>
        <v>09.2.2</v>
      </c>
      <c r="K44" s="302" t="s">
        <v>848</v>
      </c>
      <c r="L44" s="1"/>
      <c r="M44" s="303"/>
      <c r="N44" s="1"/>
    </row>
    <row r="45" spans="1:14" ht="29">
      <c r="A45" s="17">
        <v>44</v>
      </c>
      <c r="B45" s="283" t="s">
        <v>1496</v>
      </c>
      <c r="C45" s="218">
        <v>7</v>
      </c>
      <c r="D45" s="247" t="s">
        <v>1587</v>
      </c>
      <c r="E45" s="218" t="s">
        <v>1592</v>
      </c>
      <c r="F45" s="219" t="s">
        <v>1593</v>
      </c>
      <c r="G45" s="1" t="s">
        <v>1500</v>
      </c>
      <c r="J45" s="319" t="str">
        <f>VLOOKUP(K45,PLA_v2025!G:H,2,FALSE)</f>
        <v>09.2.1</v>
      </c>
      <c r="K45" s="302" t="s">
        <v>844</v>
      </c>
      <c r="L45" s="1"/>
      <c r="M45" s="303"/>
      <c r="N45" s="1"/>
    </row>
    <row r="46" spans="1:14" ht="29">
      <c r="A46" s="17">
        <v>45</v>
      </c>
      <c r="B46" s="283" t="s">
        <v>1496</v>
      </c>
      <c r="C46" s="218">
        <v>7</v>
      </c>
      <c r="D46" s="247" t="s">
        <v>1587</v>
      </c>
      <c r="E46" s="218" t="s">
        <v>1594</v>
      </c>
      <c r="F46" s="219" t="s">
        <v>1595</v>
      </c>
      <c r="G46" s="1" t="s">
        <v>1500</v>
      </c>
      <c r="J46" s="319" t="str">
        <f>VLOOKUP(K46,PLA_v2025!G:H,2,FALSE)</f>
        <v>09.2.2</v>
      </c>
      <c r="K46" s="302" t="s">
        <v>848</v>
      </c>
      <c r="L46" s="1"/>
      <c r="M46" s="303"/>
      <c r="N46" s="1"/>
    </row>
    <row r="47" spans="1:14" ht="29">
      <c r="A47" s="17">
        <v>46</v>
      </c>
      <c r="B47" s="283" t="s">
        <v>1496</v>
      </c>
      <c r="C47" s="218">
        <v>7</v>
      </c>
      <c r="D47" s="247" t="s">
        <v>1587</v>
      </c>
      <c r="E47" s="218" t="s">
        <v>1596</v>
      </c>
      <c r="F47" s="219" t="s">
        <v>1597</v>
      </c>
      <c r="G47" s="1" t="s">
        <v>1500</v>
      </c>
      <c r="J47" s="319" t="str">
        <f>VLOOKUP(K47,PLA_v2025!G:H,2,FALSE)</f>
        <v>09.2.1</v>
      </c>
      <c r="K47" s="302" t="s">
        <v>844</v>
      </c>
      <c r="L47" s="1"/>
      <c r="M47" s="303"/>
      <c r="N47" s="1"/>
    </row>
    <row r="48" spans="1:14" ht="29">
      <c r="A48" s="17">
        <v>47</v>
      </c>
      <c r="B48" s="283" t="s">
        <v>1496</v>
      </c>
      <c r="C48" s="218">
        <v>7</v>
      </c>
      <c r="D48" s="247" t="s">
        <v>1587</v>
      </c>
      <c r="E48" s="218" t="s">
        <v>1598</v>
      </c>
      <c r="F48" s="219" t="s">
        <v>1599</v>
      </c>
      <c r="G48" s="1" t="s">
        <v>1500</v>
      </c>
      <c r="J48" s="319" t="str">
        <f>VLOOKUP(K48,PLA_v2025!G:H,2,FALSE)</f>
        <v>09.2.1</v>
      </c>
      <c r="K48" s="302" t="s">
        <v>844</v>
      </c>
      <c r="L48" s="1"/>
      <c r="M48" s="303"/>
      <c r="N48" s="1"/>
    </row>
    <row r="49" spans="1:14" ht="43.5">
      <c r="A49" s="17">
        <v>48</v>
      </c>
      <c r="B49" s="283" t="s">
        <v>1496</v>
      </c>
      <c r="C49" s="218">
        <v>7</v>
      </c>
      <c r="D49" s="247" t="s">
        <v>1587</v>
      </c>
      <c r="E49" s="218" t="s">
        <v>1600</v>
      </c>
      <c r="F49" s="219" t="s">
        <v>1601</v>
      </c>
      <c r="G49" s="1" t="s">
        <v>1500</v>
      </c>
      <c r="J49" s="319" t="str">
        <f>VLOOKUP(K49,PLA_v2025!G:H,2,FALSE)</f>
        <v>09.1.1</v>
      </c>
      <c r="K49" s="302" t="s">
        <v>831</v>
      </c>
      <c r="L49" s="1"/>
      <c r="M49" s="303"/>
      <c r="N49" s="1"/>
    </row>
    <row r="50" spans="1:14" ht="29">
      <c r="A50" s="17">
        <v>49</v>
      </c>
      <c r="B50" s="283" t="s">
        <v>1496</v>
      </c>
      <c r="C50" s="218">
        <v>8</v>
      </c>
      <c r="D50" s="248" t="s">
        <v>1602</v>
      </c>
      <c r="E50" s="218" t="s">
        <v>1603</v>
      </c>
      <c r="F50" s="219" t="s">
        <v>1604</v>
      </c>
      <c r="G50" s="1" t="s">
        <v>1500</v>
      </c>
      <c r="J50" s="319" t="str">
        <f>VLOOKUP(K50,PLA_v2025!G:H,2,FALSE)</f>
        <v>13.8.3</v>
      </c>
      <c r="K50" s="302" t="s">
        <v>1192</v>
      </c>
      <c r="L50" s="1"/>
      <c r="M50" s="303"/>
      <c r="N50" s="1"/>
    </row>
    <row r="51" spans="1:14" ht="29">
      <c r="A51" s="17">
        <v>50</v>
      </c>
      <c r="B51" s="283" t="s">
        <v>1496</v>
      </c>
      <c r="C51" s="218">
        <v>8</v>
      </c>
      <c r="D51" s="248" t="s">
        <v>1602</v>
      </c>
      <c r="E51" s="218" t="s">
        <v>1605</v>
      </c>
      <c r="F51" s="219" t="s">
        <v>1606</v>
      </c>
      <c r="G51" s="1" t="s">
        <v>1500</v>
      </c>
      <c r="J51" s="319" t="str">
        <f>VLOOKUP(K51,PLA_v2025!G:H,2,FALSE)</f>
        <v>13.8.1</v>
      </c>
      <c r="K51" s="302" t="s">
        <v>1182</v>
      </c>
      <c r="L51" s="1"/>
      <c r="M51" s="303"/>
      <c r="N51" s="1"/>
    </row>
    <row r="52" spans="1:14" ht="29">
      <c r="A52" s="17">
        <v>51</v>
      </c>
      <c r="B52" s="283" t="s">
        <v>1496</v>
      </c>
      <c r="C52" s="218">
        <v>8</v>
      </c>
      <c r="D52" s="248" t="s">
        <v>1602</v>
      </c>
      <c r="E52" s="218" t="s">
        <v>1607</v>
      </c>
      <c r="F52" s="219" t="s">
        <v>1608</v>
      </c>
      <c r="G52" s="1" t="s">
        <v>1500</v>
      </c>
      <c r="J52" s="319" t="str">
        <f>VLOOKUP(K52,PLA_v2025!G:H,2,FALSE)</f>
        <v>13.8.2</v>
      </c>
      <c r="K52" s="302" t="s">
        <v>1189</v>
      </c>
      <c r="L52" s="1"/>
      <c r="M52" s="303"/>
      <c r="N52" s="1"/>
    </row>
    <row r="53" spans="1:14" ht="29">
      <c r="A53" s="17">
        <v>52</v>
      </c>
      <c r="B53" s="283" t="s">
        <v>1496</v>
      </c>
      <c r="C53" s="218">
        <v>8</v>
      </c>
      <c r="D53" s="248" t="s">
        <v>1602</v>
      </c>
      <c r="E53" s="218" t="s">
        <v>1609</v>
      </c>
      <c r="F53" s="219" t="s">
        <v>1610</v>
      </c>
      <c r="G53" s="1" t="s">
        <v>1500</v>
      </c>
      <c r="J53" s="319" t="str">
        <f>VLOOKUP(K53,PLA_v2025!G:H,2,FALSE)</f>
        <v>06.5.6</v>
      </c>
      <c r="K53" s="302" t="s">
        <v>733</v>
      </c>
      <c r="L53" s="1"/>
      <c r="M53" s="303"/>
      <c r="N53" s="1"/>
    </row>
    <row r="54" spans="1:14" ht="72.5">
      <c r="A54" s="17">
        <v>53</v>
      </c>
      <c r="B54" s="284" t="s">
        <v>1611</v>
      </c>
      <c r="C54" s="218">
        <v>1</v>
      </c>
      <c r="D54" s="249" t="s">
        <v>1612</v>
      </c>
      <c r="E54" s="218" t="s">
        <v>1498</v>
      </c>
      <c r="F54" s="220" t="s">
        <v>1613</v>
      </c>
      <c r="G54" s="1" t="s">
        <v>1614</v>
      </c>
      <c r="I54" s="323" t="s">
        <v>1615</v>
      </c>
      <c r="J54" s="319" t="str">
        <f>VLOOKUP(K54,PLA_v2025!G:H,2,FALSE)</f>
        <v>06.3.3</v>
      </c>
      <c r="K54" s="302" t="s">
        <v>674</v>
      </c>
    </row>
    <row r="55" spans="1:14" ht="72.5">
      <c r="A55" s="17">
        <v>54</v>
      </c>
      <c r="B55" s="284" t="s">
        <v>1611</v>
      </c>
      <c r="C55" s="218">
        <v>1</v>
      </c>
      <c r="D55" s="249" t="s">
        <v>1612</v>
      </c>
      <c r="E55" s="218" t="s">
        <v>1501</v>
      </c>
      <c r="F55" s="220" t="s">
        <v>1616</v>
      </c>
      <c r="G55" s="1" t="s">
        <v>1509</v>
      </c>
      <c r="I55" s="323" t="s">
        <v>1617</v>
      </c>
      <c r="J55" s="319" t="str">
        <f>VLOOKUP(K55,PLA_v2025!G:H,2,FALSE)</f>
        <v>03.2.1</v>
      </c>
      <c r="K55" s="302" t="s">
        <v>458</v>
      </c>
    </row>
    <row r="56" spans="1:14" ht="72.5">
      <c r="A56" s="17">
        <v>55</v>
      </c>
      <c r="B56" s="284" t="s">
        <v>1611</v>
      </c>
      <c r="C56" s="218">
        <v>1</v>
      </c>
      <c r="D56" s="249" t="s">
        <v>1612</v>
      </c>
      <c r="E56" s="218" t="s">
        <v>1503</v>
      </c>
      <c r="F56" s="220" t="s">
        <v>1618</v>
      </c>
      <c r="G56" s="1" t="s">
        <v>1500</v>
      </c>
      <c r="I56" s="323" t="s">
        <v>1619</v>
      </c>
      <c r="J56" s="319" t="str">
        <f>VLOOKUP(K56,PLA_v2025!G:H,2,FALSE)</f>
        <v>03.2.1</v>
      </c>
      <c r="K56" s="302" t="s">
        <v>458</v>
      </c>
    </row>
    <row r="57" spans="1:14" ht="72.5">
      <c r="A57" s="17">
        <v>56</v>
      </c>
      <c r="B57" s="284" t="s">
        <v>1611</v>
      </c>
      <c r="C57" s="218">
        <v>1</v>
      </c>
      <c r="D57" s="249" t="s">
        <v>1612</v>
      </c>
      <c r="E57" s="218" t="s">
        <v>1505</v>
      </c>
      <c r="F57" s="220" t="s">
        <v>1620</v>
      </c>
      <c r="G57" s="1" t="s">
        <v>1500</v>
      </c>
      <c r="J57" s="319" t="str">
        <f>VLOOKUP(K57,PLA_v2025!G:H,2,FALSE)</f>
        <v>01.4.3</v>
      </c>
      <c r="K57" s="302" t="s">
        <v>402</v>
      </c>
    </row>
    <row r="58" spans="1:14" ht="72.5">
      <c r="A58" s="17">
        <v>57</v>
      </c>
      <c r="B58" s="284" t="s">
        <v>1611</v>
      </c>
      <c r="C58" s="218">
        <v>1</v>
      </c>
      <c r="D58" s="249" t="s">
        <v>1612</v>
      </c>
      <c r="E58" s="218" t="s">
        <v>1507</v>
      </c>
      <c r="F58" s="220" t="s">
        <v>1621</v>
      </c>
      <c r="G58" s="1" t="s">
        <v>1509</v>
      </c>
      <c r="J58" s="319" t="str">
        <f>VLOOKUP(K58,PLA_v2025!G:H,2,FALSE)</f>
        <v>01.2.1</v>
      </c>
      <c r="K58" s="302" t="s">
        <v>319</v>
      </c>
      <c r="L58" s="302"/>
    </row>
    <row r="59" spans="1:14" ht="72.5">
      <c r="A59" s="17">
        <v>58</v>
      </c>
      <c r="B59" s="284" t="s">
        <v>1611</v>
      </c>
      <c r="C59" s="218">
        <v>1</v>
      </c>
      <c r="D59" s="249" t="s">
        <v>1612</v>
      </c>
      <c r="E59" s="218" t="s">
        <v>1510</v>
      </c>
      <c r="F59" s="220" t="s">
        <v>1622</v>
      </c>
      <c r="G59" s="1" t="s">
        <v>1509</v>
      </c>
      <c r="I59" s="323" t="s">
        <v>1623</v>
      </c>
      <c r="J59" s="319" t="str">
        <f>VLOOKUP(K59,PLA_v2025!G:H,2,FALSE)</f>
        <v>01.3.4</v>
      </c>
      <c r="K59" s="302" t="s">
        <v>374</v>
      </c>
      <c r="L59" s="302" t="s">
        <v>375</v>
      </c>
    </row>
    <row r="60" spans="1:14" ht="72.5">
      <c r="A60" s="17">
        <v>59</v>
      </c>
      <c r="B60" s="284" t="s">
        <v>1611</v>
      </c>
      <c r="C60" s="218">
        <v>1</v>
      </c>
      <c r="D60" s="249" t="s">
        <v>1612</v>
      </c>
      <c r="E60" s="218" t="s">
        <v>1512</v>
      </c>
      <c r="F60" s="220" t="s">
        <v>1624</v>
      </c>
      <c r="G60" s="1" t="s">
        <v>1625</v>
      </c>
      <c r="J60" s="319" t="str">
        <f>VLOOKUP(K60,PLA_v2025!G:H,2,FALSE)</f>
        <v>03.1.1</v>
      </c>
      <c r="K60" s="302" t="s">
        <v>446</v>
      </c>
    </row>
    <row r="61" spans="1:14" ht="72.5">
      <c r="A61" s="17">
        <v>60</v>
      </c>
      <c r="B61" s="284" t="s">
        <v>1611</v>
      </c>
      <c r="C61" s="218">
        <v>1</v>
      </c>
      <c r="D61" s="249" t="s">
        <v>1612</v>
      </c>
      <c r="E61" s="218" t="s">
        <v>1514</v>
      </c>
      <c r="F61" s="220" t="s">
        <v>1626</v>
      </c>
      <c r="G61" s="1" t="s">
        <v>1625</v>
      </c>
      <c r="J61" s="319" t="str">
        <f>VLOOKUP(K61,PLA_v2025!G:H,2,FALSE)</f>
        <v>15.1.1</v>
      </c>
      <c r="K61" s="302" t="s">
        <v>1245</v>
      </c>
    </row>
    <row r="62" spans="1:14" ht="72.5">
      <c r="A62" s="17">
        <v>61</v>
      </c>
      <c r="B62" s="284" t="s">
        <v>1611</v>
      </c>
      <c r="C62" s="218">
        <v>1</v>
      </c>
      <c r="D62" s="249" t="s">
        <v>1612</v>
      </c>
      <c r="E62" s="218" t="s">
        <v>1518</v>
      </c>
      <c r="F62" s="220" t="s">
        <v>1627</v>
      </c>
      <c r="G62" s="1" t="s">
        <v>1625</v>
      </c>
      <c r="I62" s="323" t="s">
        <v>1628</v>
      </c>
      <c r="J62" s="319" t="str">
        <f>VLOOKUP(K62,PLA_v2025!G:H,2,FALSE)</f>
        <v>15.1.1</v>
      </c>
      <c r="K62" s="302" t="s">
        <v>1245</v>
      </c>
    </row>
    <row r="63" spans="1:14" ht="72.5">
      <c r="A63" s="17">
        <v>62</v>
      </c>
      <c r="B63" s="284" t="s">
        <v>1611</v>
      </c>
      <c r="C63" s="218">
        <v>2</v>
      </c>
      <c r="D63" s="250" t="s">
        <v>1629</v>
      </c>
      <c r="E63" s="218" t="s">
        <v>1523</v>
      </c>
      <c r="F63" s="220" t="s">
        <v>1630</v>
      </c>
      <c r="G63" s="1" t="s">
        <v>1509</v>
      </c>
      <c r="I63" s="323" t="s">
        <v>1631</v>
      </c>
      <c r="J63" s="319" t="e">
        <f>VLOOKUP(K63,PLA_v2025!G:H,2,FALSE)</f>
        <v>#N/A</v>
      </c>
      <c r="K63" s="302" t="s">
        <v>1354</v>
      </c>
    </row>
    <row r="64" spans="1:14" ht="72.5">
      <c r="A64" s="17">
        <v>63</v>
      </c>
      <c r="B64" s="284" t="s">
        <v>1611</v>
      </c>
      <c r="C64" s="218">
        <v>2</v>
      </c>
      <c r="D64" s="250" t="s">
        <v>1629</v>
      </c>
      <c r="E64" s="218" t="s">
        <v>1526</v>
      </c>
      <c r="F64" s="220" t="s">
        <v>1632</v>
      </c>
      <c r="G64" s="1" t="s">
        <v>1509</v>
      </c>
      <c r="I64" s="323" t="s">
        <v>1633</v>
      </c>
      <c r="J64" s="319" t="str">
        <f>VLOOKUP(K64,PLA_v2025!G:H,2,FALSE)</f>
        <v>06.2.2</v>
      </c>
      <c r="K64" s="302" t="s">
        <v>636</v>
      </c>
      <c r="L64" s="302" t="s">
        <v>1634</v>
      </c>
    </row>
    <row r="65" spans="1:12" ht="72.5">
      <c r="A65" s="17">
        <v>64</v>
      </c>
      <c r="B65" s="284" t="s">
        <v>1611</v>
      </c>
      <c r="C65" s="218">
        <v>2</v>
      </c>
      <c r="D65" s="250" t="s">
        <v>1629</v>
      </c>
      <c r="E65" s="218" t="s">
        <v>1528</v>
      </c>
      <c r="F65" s="220" t="s">
        <v>1635</v>
      </c>
      <c r="G65" s="1" t="s">
        <v>1509</v>
      </c>
      <c r="J65" s="319" t="str">
        <f>VLOOKUP(K65,PLA_v2025!G:H,2,FALSE)</f>
        <v>06.3.3</v>
      </c>
      <c r="K65" s="302" t="s">
        <v>674</v>
      </c>
    </row>
    <row r="66" spans="1:12" ht="72.5">
      <c r="A66" s="17">
        <v>65</v>
      </c>
      <c r="B66" s="284" t="s">
        <v>1611</v>
      </c>
      <c r="C66" s="218">
        <v>2</v>
      </c>
      <c r="D66" s="250" t="s">
        <v>1629</v>
      </c>
      <c r="E66" s="218" t="s">
        <v>1530</v>
      </c>
      <c r="F66" s="220" t="s">
        <v>1636</v>
      </c>
      <c r="G66" s="1" t="s">
        <v>1509</v>
      </c>
      <c r="I66" s="323" t="s">
        <v>1637</v>
      </c>
      <c r="J66" s="319" t="str">
        <f>VLOOKUP(K66,PLA_v2025!G:H,2,FALSE)</f>
        <v>06.2.2</v>
      </c>
      <c r="K66" s="302" t="s">
        <v>636</v>
      </c>
      <c r="L66" s="302" t="s">
        <v>1634</v>
      </c>
    </row>
    <row r="67" spans="1:12" ht="72.5">
      <c r="A67" s="17">
        <v>66</v>
      </c>
      <c r="B67" s="284" t="s">
        <v>1611</v>
      </c>
      <c r="C67" s="218">
        <v>2</v>
      </c>
      <c r="D67" s="250" t="s">
        <v>1629</v>
      </c>
      <c r="E67" s="218" t="s">
        <v>1638</v>
      </c>
      <c r="F67" s="220" t="s">
        <v>1639</v>
      </c>
      <c r="G67" s="1" t="s">
        <v>1509</v>
      </c>
      <c r="I67" s="323" t="s">
        <v>1640</v>
      </c>
      <c r="J67" s="319" t="e">
        <f>VLOOKUP(K67,PLA_v2025!G:H,2,FALSE)</f>
        <v>#N/A</v>
      </c>
      <c r="K67" s="302" t="s">
        <v>1354</v>
      </c>
    </row>
    <row r="68" spans="1:12" ht="72.5">
      <c r="A68" s="17">
        <v>67</v>
      </c>
      <c r="B68" s="284" t="s">
        <v>1611</v>
      </c>
      <c r="C68" s="218">
        <v>2</v>
      </c>
      <c r="D68" s="250" t="s">
        <v>1629</v>
      </c>
      <c r="E68" s="218" t="s">
        <v>1641</v>
      </c>
      <c r="F68" s="220" t="s">
        <v>1642</v>
      </c>
      <c r="G68" s="1" t="s">
        <v>1625</v>
      </c>
      <c r="J68" s="319" t="str">
        <f>VLOOKUP(K68,PLA_v2025!G:H,2,FALSE)</f>
        <v>06.3.3</v>
      </c>
      <c r="K68" s="302" t="s">
        <v>674</v>
      </c>
    </row>
    <row r="69" spans="1:12" ht="72.5">
      <c r="A69" s="17">
        <v>68</v>
      </c>
      <c r="B69" s="284" t="s">
        <v>1611</v>
      </c>
      <c r="C69" s="218">
        <v>2</v>
      </c>
      <c r="D69" s="250" t="s">
        <v>1629</v>
      </c>
      <c r="E69" s="218" t="s">
        <v>1643</v>
      </c>
      <c r="F69" s="220" t="s">
        <v>1644</v>
      </c>
      <c r="G69" s="1" t="s">
        <v>1625</v>
      </c>
      <c r="J69" s="319" t="str">
        <f>VLOOKUP(K69,PLA_v2025!G:H,2,FALSE)</f>
        <v>06.2.2</v>
      </c>
      <c r="K69" s="302" t="s">
        <v>636</v>
      </c>
      <c r="L69" s="302" t="s">
        <v>1634</v>
      </c>
    </row>
    <row r="70" spans="1:12" ht="72.5">
      <c r="A70" s="17">
        <v>69</v>
      </c>
      <c r="B70" s="284" t="s">
        <v>1611</v>
      </c>
      <c r="C70" s="218">
        <v>2</v>
      </c>
      <c r="D70" s="250" t="s">
        <v>1629</v>
      </c>
      <c r="E70" s="218" t="s">
        <v>1645</v>
      </c>
      <c r="F70" s="220" t="s">
        <v>1646</v>
      </c>
      <c r="G70" s="1" t="s">
        <v>1625</v>
      </c>
      <c r="J70" s="319" t="e">
        <f>VLOOKUP(K70,PLA_v2025!G:H,2,FALSE)</f>
        <v>#N/A</v>
      </c>
      <c r="K70" s="302" t="s">
        <v>1354</v>
      </c>
    </row>
    <row r="71" spans="1:12" ht="72.5">
      <c r="A71" s="17">
        <v>70</v>
      </c>
      <c r="B71" s="284" t="s">
        <v>1611</v>
      </c>
      <c r="C71" s="218">
        <v>2</v>
      </c>
      <c r="D71" s="250" t="s">
        <v>1629</v>
      </c>
      <c r="E71" s="218" t="s">
        <v>1647</v>
      </c>
      <c r="F71" s="220" t="s">
        <v>1648</v>
      </c>
      <c r="G71" s="1" t="s">
        <v>1509</v>
      </c>
      <c r="I71" s="323" t="s">
        <v>1649</v>
      </c>
      <c r="J71" s="319" t="str">
        <f>VLOOKUP(K71,PLA_v2025!G:H,2,FALSE)</f>
        <v>06.2.2</v>
      </c>
      <c r="K71" s="302" t="s">
        <v>636</v>
      </c>
      <c r="L71" s="302" t="s">
        <v>1634</v>
      </c>
    </row>
    <row r="72" spans="1:12" ht="72.5">
      <c r="A72" s="17">
        <v>71</v>
      </c>
      <c r="B72" s="284" t="s">
        <v>1611</v>
      </c>
      <c r="C72" s="218">
        <v>2</v>
      </c>
      <c r="D72" s="250" t="s">
        <v>1629</v>
      </c>
      <c r="E72" s="218" t="s">
        <v>1650</v>
      </c>
      <c r="F72" s="220" t="s">
        <v>1651</v>
      </c>
      <c r="G72" s="1" t="s">
        <v>1625</v>
      </c>
      <c r="J72" s="319" t="e">
        <f>VLOOKUP(K72,PLA_v2025!G:H,2,FALSE)</f>
        <v>#N/A</v>
      </c>
      <c r="K72" s="302" t="s">
        <v>1354</v>
      </c>
    </row>
    <row r="73" spans="1:12" ht="72.5">
      <c r="A73" s="17">
        <v>72</v>
      </c>
      <c r="B73" s="284" t="s">
        <v>1611</v>
      </c>
      <c r="C73" s="218">
        <v>2</v>
      </c>
      <c r="D73" s="250" t="s">
        <v>1629</v>
      </c>
      <c r="E73" s="218" t="s">
        <v>1652</v>
      </c>
      <c r="F73" s="220" t="s">
        <v>1653</v>
      </c>
      <c r="G73" s="1" t="s">
        <v>1625</v>
      </c>
      <c r="I73" s="323" t="s">
        <v>1654</v>
      </c>
      <c r="J73" s="319" t="str">
        <f>VLOOKUP(K73,PLA_v2025!G:H,2,FALSE)</f>
        <v>06.2.2</v>
      </c>
      <c r="K73" s="302" t="s">
        <v>636</v>
      </c>
      <c r="L73" s="302" t="s">
        <v>1634</v>
      </c>
    </row>
    <row r="74" spans="1:12" ht="72.5">
      <c r="A74" s="17">
        <v>73</v>
      </c>
      <c r="B74" s="284" t="s">
        <v>1611</v>
      </c>
      <c r="C74" s="218">
        <v>2</v>
      </c>
      <c r="D74" s="250" t="s">
        <v>1629</v>
      </c>
      <c r="E74" s="218" t="s">
        <v>1655</v>
      </c>
      <c r="F74" s="220" t="s">
        <v>1656</v>
      </c>
      <c r="G74" s="1" t="s">
        <v>1509</v>
      </c>
      <c r="I74" s="323" t="s">
        <v>1657</v>
      </c>
      <c r="J74" s="319" t="str">
        <f>VLOOKUP(K74,PLA_v2025!G:H,2,FALSE)</f>
        <v>01.2.2</v>
      </c>
      <c r="K74" s="302" t="s">
        <v>332</v>
      </c>
      <c r="L74" s="302"/>
    </row>
    <row r="75" spans="1:12" ht="72.5">
      <c r="A75" s="17">
        <v>74</v>
      </c>
      <c r="B75" s="284" t="s">
        <v>1611</v>
      </c>
      <c r="C75" s="218">
        <v>2</v>
      </c>
      <c r="D75" s="250" t="s">
        <v>1629</v>
      </c>
      <c r="E75" s="218" t="s">
        <v>1658</v>
      </c>
      <c r="F75" s="220" t="s">
        <v>1659</v>
      </c>
      <c r="G75" s="1" t="s">
        <v>1509</v>
      </c>
      <c r="I75" s="323" t="s">
        <v>1660</v>
      </c>
      <c r="J75" s="319" t="str">
        <f>VLOOKUP(K75,PLA_v2025!G:H,2,FALSE)</f>
        <v>01.1.1</v>
      </c>
      <c r="K75" s="302" t="s">
        <v>296</v>
      </c>
      <c r="L75" s="302" t="s">
        <v>299</v>
      </c>
    </row>
    <row r="76" spans="1:12" ht="72.5">
      <c r="A76" s="17">
        <v>75</v>
      </c>
      <c r="B76" s="284" t="s">
        <v>1611</v>
      </c>
      <c r="C76" s="218">
        <v>2</v>
      </c>
      <c r="D76" s="250" t="s">
        <v>1629</v>
      </c>
      <c r="E76" s="218" t="s">
        <v>1661</v>
      </c>
      <c r="F76" s="220" t="s">
        <v>1662</v>
      </c>
      <c r="G76" s="1" t="s">
        <v>1625</v>
      </c>
      <c r="J76" s="319" t="str">
        <f>VLOOKUP(K76,PLA_v2025!G:H,2,FALSE)</f>
        <v>13.2.3</v>
      </c>
      <c r="K76" s="302" t="s">
        <v>1051</v>
      </c>
    </row>
    <row r="77" spans="1:12" ht="72.5">
      <c r="A77" s="17">
        <v>76</v>
      </c>
      <c r="B77" s="284" t="s">
        <v>1611</v>
      </c>
      <c r="C77" s="218">
        <v>2</v>
      </c>
      <c r="D77" s="250" t="s">
        <v>1629</v>
      </c>
      <c r="E77" s="218" t="s">
        <v>1663</v>
      </c>
      <c r="F77" s="220" t="s">
        <v>1664</v>
      </c>
      <c r="G77" s="1" t="s">
        <v>1625</v>
      </c>
      <c r="J77" s="319" t="str">
        <f>VLOOKUP(K77,PLA_v2025!G:H,2,FALSE)</f>
        <v>13.5.5</v>
      </c>
      <c r="K77" s="302" t="s">
        <v>1138</v>
      </c>
    </row>
    <row r="78" spans="1:12" ht="72.5">
      <c r="A78" s="17">
        <v>77</v>
      </c>
      <c r="B78" s="284" t="s">
        <v>1611</v>
      </c>
      <c r="C78" s="218">
        <v>2</v>
      </c>
      <c r="D78" s="250" t="s">
        <v>1629</v>
      </c>
      <c r="E78" s="218" t="s">
        <v>1665</v>
      </c>
      <c r="F78" s="220" t="s">
        <v>1666</v>
      </c>
      <c r="G78" s="1" t="s">
        <v>1509</v>
      </c>
      <c r="J78" s="319" t="str">
        <f>VLOOKUP(K78,PLA_v2025!G:H,2,FALSE)</f>
        <v>14.2.1</v>
      </c>
      <c r="K78" s="302" t="s">
        <v>1224</v>
      </c>
    </row>
    <row r="79" spans="1:12" ht="43.5">
      <c r="A79" s="17">
        <v>78</v>
      </c>
      <c r="B79" s="284" t="s">
        <v>1611</v>
      </c>
      <c r="C79" s="218">
        <v>3</v>
      </c>
      <c r="D79" s="251" t="s">
        <v>1667</v>
      </c>
      <c r="E79" s="218" t="s">
        <v>1533</v>
      </c>
      <c r="F79" s="220" t="s">
        <v>1668</v>
      </c>
      <c r="G79" s="1" t="s">
        <v>1509</v>
      </c>
      <c r="J79" s="319" t="str">
        <f>VLOOKUP(K79,PLA_v2025!G:H,2,FALSE)</f>
        <v>06.3.2</v>
      </c>
      <c r="K79" s="302" t="s">
        <v>670</v>
      </c>
    </row>
    <row r="80" spans="1:12" ht="43.5">
      <c r="A80" s="17">
        <v>79</v>
      </c>
      <c r="B80" s="284" t="s">
        <v>1611</v>
      </c>
      <c r="C80" s="218">
        <v>3</v>
      </c>
      <c r="D80" s="251" t="s">
        <v>1667</v>
      </c>
      <c r="E80" s="218" t="s">
        <v>1535</v>
      </c>
      <c r="F80" s="220" t="s">
        <v>1669</v>
      </c>
      <c r="G80" s="1" t="s">
        <v>290</v>
      </c>
      <c r="J80" s="319" t="str">
        <f>VLOOKUP(K80,PLA_v2025!G:H,2,FALSE)</f>
        <v>03.2.1</v>
      </c>
      <c r="K80" s="302" t="s">
        <v>458</v>
      </c>
    </row>
    <row r="81" spans="1:12" ht="43.5">
      <c r="A81" s="17">
        <v>80</v>
      </c>
      <c r="B81" s="284" t="s">
        <v>1611</v>
      </c>
      <c r="C81" s="218">
        <v>3</v>
      </c>
      <c r="D81" s="251" t="s">
        <v>1667</v>
      </c>
      <c r="E81" s="218" t="s">
        <v>1537</v>
      </c>
      <c r="F81" s="220" t="s">
        <v>1670</v>
      </c>
      <c r="G81" s="1" t="s">
        <v>1500</v>
      </c>
      <c r="J81" s="319" t="str">
        <f>VLOOKUP(K81,PLA_v2025!G:H,2,FALSE)</f>
        <v>13.2.3</v>
      </c>
      <c r="K81" s="302" t="s">
        <v>1051</v>
      </c>
    </row>
    <row r="82" spans="1:12" ht="43.5">
      <c r="A82" s="17">
        <v>81</v>
      </c>
      <c r="B82" s="284" t="s">
        <v>1611</v>
      </c>
      <c r="C82" s="218">
        <v>3</v>
      </c>
      <c r="D82" s="251" t="s">
        <v>1667</v>
      </c>
      <c r="E82" s="218" t="s">
        <v>1540</v>
      </c>
      <c r="F82" s="220" t="s">
        <v>1671</v>
      </c>
      <c r="G82" s="1" t="s">
        <v>1625</v>
      </c>
      <c r="J82" s="319" t="str">
        <f>VLOOKUP(K82,PLA_v2025!G:H,2,FALSE)</f>
        <v>13.2.3</v>
      </c>
      <c r="K82" s="302" t="s">
        <v>1051</v>
      </c>
    </row>
    <row r="83" spans="1:12" ht="72.5">
      <c r="A83" s="17">
        <v>82</v>
      </c>
      <c r="B83" s="284" t="s">
        <v>1611</v>
      </c>
      <c r="C83" s="218">
        <v>4</v>
      </c>
      <c r="D83" s="252" t="s">
        <v>1672</v>
      </c>
      <c r="E83" s="218" t="s">
        <v>1551</v>
      </c>
      <c r="F83" s="220" t="s">
        <v>1673</v>
      </c>
      <c r="G83" s="1" t="s">
        <v>1509</v>
      </c>
      <c r="I83" s="323" t="s">
        <v>1674</v>
      </c>
      <c r="J83" s="319" t="str">
        <f>VLOOKUP(K83,PLA_v2025!G:H,2,FALSE)</f>
        <v>06.2.2</v>
      </c>
      <c r="K83" s="302" t="s">
        <v>636</v>
      </c>
      <c r="L83" s="302" t="s">
        <v>1634</v>
      </c>
    </row>
    <row r="84" spans="1:12" ht="72.5">
      <c r="A84" s="17">
        <v>83</v>
      </c>
      <c r="B84" s="284" t="s">
        <v>1611</v>
      </c>
      <c r="C84" s="218">
        <v>4</v>
      </c>
      <c r="D84" s="252" t="s">
        <v>1672</v>
      </c>
      <c r="E84" s="218" t="s">
        <v>1553</v>
      </c>
      <c r="F84" s="220" t="s">
        <v>1675</v>
      </c>
      <c r="G84" s="1" t="s">
        <v>1625</v>
      </c>
      <c r="J84" s="319" t="str">
        <f>VLOOKUP(K84,PLA_v2025!G:H,2,FALSE)</f>
        <v>06.2.2</v>
      </c>
      <c r="K84" s="302" t="s">
        <v>636</v>
      </c>
      <c r="L84" s="302" t="s">
        <v>1634</v>
      </c>
    </row>
    <row r="85" spans="1:12" ht="72.5">
      <c r="A85" s="17">
        <v>84</v>
      </c>
      <c r="B85" s="284" t="s">
        <v>1611</v>
      </c>
      <c r="C85" s="218">
        <v>4</v>
      </c>
      <c r="D85" s="252" t="s">
        <v>1672</v>
      </c>
      <c r="E85" s="218" t="s">
        <v>1555</v>
      </c>
      <c r="F85" s="220" t="s">
        <v>1676</v>
      </c>
      <c r="G85" s="1" t="s">
        <v>1625</v>
      </c>
      <c r="J85" s="319" t="str">
        <f>VLOOKUP(K85,PLA_v2025!G:H,2,FALSE)</f>
        <v>06.2.2</v>
      </c>
      <c r="K85" s="302" t="s">
        <v>636</v>
      </c>
      <c r="L85" s="302" t="s">
        <v>1634</v>
      </c>
    </row>
    <row r="86" spans="1:12" ht="72.5">
      <c r="A86" s="17">
        <v>85</v>
      </c>
      <c r="B86" s="284" t="s">
        <v>1611</v>
      </c>
      <c r="C86" s="218">
        <v>4</v>
      </c>
      <c r="D86" s="252" t="s">
        <v>1672</v>
      </c>
      <c r="E86" s="218" t="s">
        <v>1556</v>
      </c>
      <c r="F86" s="220" t="s">
        <v>1677</v>
      </c>
      <c r="G86" s="1" t="s">
        <v>290</v>
      </c>
      <c r="J86" s="319" t="e">
        <f>VLOOKUP(K86,PLA_v2025!G:H,2,FALSE)</f>
        <v>#N/A</v>
      </c>
      <c r="K86" s="304" t="s">
        <v>1354</v>
      </c>
    </row>
    <row r="87" spans="1:12" ht="72.5">
      <c r="A87" s="17">
        <v>86</v>
      </c>
      <c r="B87" s="284" t="s">
        <v>1611</v>
      </c>
      <c r="C87" s="218">
        <v>4</v>
      </c>
      <c r="D87" s="252" t="s">
        <v>1672</v>
      </c>
      <c r="E87" s="218" t="s">
        <v>1678</v>
      </c>
      <c r="F87" s="220" t="s">
        <v>1679</v>
      </c>
      <c r="G87" s="1" t="s">
        <v>1509</v>
      </c>
      <c r="I87" s="323" t="s">
        <v>1674</v>
      </c>
      <c r="J87" s="319" t="e">
        <f>VLOOKUP(K87,PLA_v2025!G:H,2,FALSE)</f>
        <v>#N/A</v>
      </c>
      <c r="K87" s="304" t="s">
        <v>1354</v>
      </c>
    </row>
    <row r="88" spans="1:12" ht="72.5">
      <c r="A88" s="17">
        <v>87</v>
      </c>
      <c r="B88" s="284" t="s">
        <v>1611</v>
      </c>
      <c r="C88" s="218">
        <v>4</v>
      </c>
      <c r="D88" s="252" t="s">
        <v>1672</v>
      </c>
      <c r="E88" s="218" t="s">
        <v>1680</v>
      </c>
      <c r="F88" s="220" t="s">
        <v>1681</v>
      </c>
      <c r="G88" s="1" t="s">
        <v>1625</v>
      </c>
      <c r="J88" s="319" t="e">
        <f>VLOOKUP(K88,PLA_v2025!G:H,2,FALSE)</f>
        <v>#N/A</v>
      </c>
      <c r="K88" s="304" t="s">
        <v>1354</v>
      </c>
    </row>
    <row r="89" spans="1:12" ht="72.5">
      <c r="A89" s="17">
        <v>88</v>
      </c>
      <c r="B89" s="284" t="s">
        <v>1611</v>
      </c>
      <c r="C89" s="218">
        <v>4</v>
      </c>
      <c r="D89" s="252" t="s">
        <v>1672</v>
      </c>
      <c r="E89" s="218" t="s">
        <v>1682</v>
      </c>
      <c r="F89" s="220" t="s">
        <v>1683</v>
      </c>
      <c r="G89" s="1" t="s">
        <v>1500</v>
      </c>
      <c r="I89" s="323" t="s">
        <v>1684</v>
      </c>
      <c r="J89" s="319" t="str">
        <f>VLOOKUP(K89,PLA_v2025!G:H,2,FALSE)</f>
        <v>06.2.2</v>
      </c>
      <c r="K89" s="302" t="s">
        <v>636</v>
      </c>
      <c r="L89" s="302" t="s">
        <v>1634</v>
      </c>
    </row>
    <row r="90" spans="1:12" ht="72.5">
      <c r="A90" s="17">
        <v>89</v>
      </c>
      <c r="B90" s="284" t="s">
        <v>1611</v>
      </c>
      <c r="C90" s="218">
        <v>4</v>
      </c>
      <c r="D90" s="252" t="s">
        <v>1672</v>
      </c>
      <c r="E90" s="218" t="s">
        <v>1685</v>
      </c>
      <c r="F90" s="220" t="s">
        <v>1686</v>
      </c>
      <c r="G90" s="1" t="s">
        <v>1625</v>
      </c>
      <c r="J90" s="319" t="e">
        <f>VLOOKUP(K90,PLA_v2025!G:H,2,FALSE)</f>
        <v>#N/A</v>
      </c>
      <c r="K90" s="304" t="s">
        <v>1354</v>
      </c>
      <c r="L90" s="302"/>
    </row>
    <row r="91" spans="1:12" ht="72.5">
      <c r="A91" s="17">
        <v>90</v>
      </c>
      <c r="B91" s="284" t="s">
        <v>1611</v>
      </c>
      <c r="C91" s="218">
        <v>4</v>
      </c>
      <c r="D91" s="252" t="s">
        <v>1672</v>
      </c>
      <c r="E91" s="218" t="s">
        <v>1687</v>
      </c>
      <c r="F91" s="220" t="s">
        <v>1688</v>
      </c>
      <c r="G91" s="1" t="s">
        <v>1625</v>
      </c>
      <c r="J91" s="319" t="e">
        <f>VLOOKUP(K91,PLA_v2025!G:H,2,FALSE)</f>
        <v>#N/A</v>
      </c>
      <c r="K91" s="304" t="s">
        <v>1354</v>
      </c>
      <c r="L91" s="302"/>
    </row>
    <row r="92" spans="1:12" ht="72.5">
      <c r="A92" s="17">
        <v>91</v>
      </c>
      <c r="B92" s="284" t="s">
        <v>1611</v>
      </c>
      <c r="C92" s="218">
        <v>4</v>
      </c>
      <c r="D92" s="252" t="s">
        <v>1672</v>
      </c>
      <c r="E92" s="218" t="s">
        <v>1689</v>
      </c>
      <c r="F92" s="220" t="s">
        <v>1690</v>
      </c>
      <c r="G92" s="1" t="s">
        <v>1625</v>
      </c>
      <c r="J92" s="319" t="e">
        <f>VLOOKUP(K92,PLA_v2025!G:H,2,FALSE)</f>
        <v>#N/A</v>
      </c>
      <c r="K92" s="304" t="s">
        <v>1354</v>
      </c>
      <c r="L92" s="302"/>
    </row>
    <row r="93" spans="1:12" ht="72.5">
      <c r="A93" s="17">
        <v>92</v>
      </c>
      <c r="B93" s="284" t="s">
        <v>1611</v>
      </c>
      <c r="C93" s="218">
        <v>4</v>
      </c>
      <c r="D93" s="252" t="s">
        <v>1672</v>
      </c>
      <c r="E93" s="218" t="s">
        <v>1691</v>
      </c>
      <c r="F93" s="220" t="s">
        <v>1692</v>
      </c>
      <c r="G93" s="1" t="s">
        <v>1625</v>
      </c>
      <c r="J93" s="319" t="str">
        <f>VLOOKUP(K93,PLA_v2025!G:H,2,FALSE)</f>
        <v>01.1.1</v>
      </c>
      <c r="K93" s="302" t="s">
        <v>296</v>
      </c>
      <c r="L93" s="302" t="s">
        <v>299</v>
      </c>
    </row>
    <row r="94" spans="1:12" ht="72.5">
      <c r="A94" s="17">
        <v>93</v>
      </c>
      <c r="B94" s="284" t="s">
        <v>1611</v>
      </c>
      <c r="C94" s="218">
        <v>4</v>
      </c>
      <c r="D94" s="252" t="s">
        <v>1672</v>
      </c>
      <c r="E94" s="218" t="s">
        <v>1693</v>
      </c>
      <c r="F94" s="220" t="s">
        <v>1694</v>
      </c>
      <c r="G94" s="1" t="s">
        <v>1500</v>
      </c>
      <c r="I94" s="323" t="s">
        <v>1695</v>
      </c>
      <c r="J94" s="319" t="str">
        <f>VLOOKUP(K94,PLA_v2025!G:H,2,FALSE)</f>
        <v>06.3.2</v>
      </c>
      <c r="K94" s="302" t="s">
        <v>670</v>
      </c>
      <c r="L94" s="302"/>
    </row>
    <row r="95" spans="1:12" ht="72.5">
      <c r="A95" s="17">
        <v>94</v>
      </c>
      <c r="B95" s="284" t="s">
        <v>1611</v>
      </c>
      <c r="C95" s="218">
        <v>4</v>
      </c>
      <c r="D95" s="252" t="s">
        <v>1672</v>
      </c>
      <c r="E95" s="218" t="s">
        <v>1696</v>
      </c>
      <c r="F95" s="220" t="s">
        <v>1697</v>
      </c>
      <c r="G95" s="1" t="s">
        <v>1625</v>
      </c>
      <c r="J95" s="319" t="str">
        <f>VLOOKUP(K95,PLA_v2025!G:H,2,FALSE)</f>
        <v>06.3.2</v>
      </c>
      <c r="K95" s="302" t="s">
        <v>670</v>
      </c>
      <c r="L95" s="302"/>
    </row>
    <row r="96" spans="1:12" ht="72.5">
      <c r="A96" s="17">
        <v>95</v>
      </c>
      <c r="B96" s="284" t="s">
        <v>1611</v>
      </c>
      <c r="C96" s="218">
        <v>4</v>
      </c>
      <c r="D96" s="252" t="s">
        <v>1672</v>
      </c>
      <c r="E96" s="218" t="s">
        <v>1698</v>
      </c>
      <c r="F96" s="220" t="s">
        <v>1699</v>
      </c>
      <c r="G96" s="1" t="s">
        <v>1509</v>
      </c>
      <c r="J96" s="319" t="str">
        <f>VLOOKUP(K96,PLA_v2025!G:H,2,FALSE)</f>
        <v>06.3.2</v>
      </c>
      <c r="K96" s="302" t="s">
        <v>670</v>
      </c>
      <c r="L96" s="302"/>
    </row>
    <row r="97" spans="1:14" ht="72.5">
      <c r="A97" s="17">
        <v>96</v>
      </c>
      <c r="B97" s="284" t="s">
        <v>1611</v>
      </c>
      <c r="C97" s="218">
        <v>4</v>
      </c>
      <c r="D97" s="252" t="s">
        <v>1672</v>
      </c>
      <c r="E97" s="218" t="s">
        <v>1700</v>
      </c>
      <c r="F97" s="220" t="s">
        <v>1701</v>
      </c>
      <c r="G97" s="1" t="s">
        <v>1625</v>
      </c>
      <c r="J97" s="319" t="str">
        <f>VLOOKUP(K97,PLA_v2025!G:H,2,FALSE)</f>
        <v>15.1.2</v>
      </c>
      <c r="K97" s="302" t="s">
        <v>1250</v>
      </c>
    </row>
    <row r="98" spans="1:14" ht="72.5">
      <c r="A98" s="17">
        <v>97</v>
      </c>
      <c r="B98" s="284" t="s">
        <v>1611</v>
      </c>
      <c r="C98" s="218">
        <v>5</v>
      </c>
      <c r="D98" s="253" t="s">
        <v>1702</v>
      </c>
      <c r="E98" s="218" t="s">
        <v>1558</v>
      </c>
      <c r="F98" s="220" t="s">
        <v>1703</v>
      </c>
      <c r="G98" s="1" t="s">
        <v>1509</v>
      </c>
      <c r="I98" s="323" t="s">
        <v>1684</v>
      </c>
      <c r="J98" s="319" t="str">
        <f>VLOOKUP(K98,PLA_v2025!G:H,2,FALSE)</f>
        <v>06.2.1</v>
      </c>
      <c r="K98" s="302" t="s">
        <v>630</v>
      </c>
    </row>
    <row r="99" spans="1:14" ht="72.5">
      <c r="A99" s="17">
        <v>98</v>
      </c>
      <c r="B99" s="284" t="s">
        <v>1611</v>
      </c>
      <c r="C99" s="218">
        <v>5</v>
      </c>
      <c r="D99" s="253" t="s">
        <v>1702</v>
      </c>
      <c r="E99" s="218" t="s">
        <v>1560</v>
      </c>
      <c r="F99" s="220" t="s">
        <v>1704</v>
      </c>
      <c r="G99" s="1" t="s">
        <v>1509</v>
      </c>
      <c r="I99" s="323" t="s">
        <v>1684</v>
      </c>
      <c r="J99" s="319" t="str">
        <f>VLOOKUP(K99,PLA_v2025!G:H,2,FALSE)</f>
        <v>06.2.1</v>
      </c>
      <c r="K99" s="302" t="s">
        <v>630</v>
      </c>
    </row>
    <row r="100" spans="1:14" ht="72.5">
      <c r="A100" s="17">
        <v>99</v>
      </c>
      <c r="B100" s="284" t="s">
        <v>1611</v>
      </c>
      <c r="C100" s="218">
        <v>5</v>
      </c>
      <c r="D100" s="253" t="s">
        <v>1702</v>
      </c>
      <c r="E100" s="218" t="s">
        <v>1562</v>
      </c>
      <c r="F100" s="220" t="s">
        <v>1705</v>
      </c>
      <c r="G100" s="1" t="s">
        <v>1625</v>
      </c>
      <c r="I100" s="323" t="s">
        <v>1706</v>
      </c>
      <c r="J100" s="319" t="str">
        <f>VLOOKUP(K100,PLA_v2025!G:H,2,FALSE)</f>
        <v>01.1.1</v>
      </c>
      <c r="K100" s="302" t="s">
        <v>296</v>
      </c>
      <c r="L100" s="302" t="s">
        <v>299</v>
      </c>
    </row>
    <row r="101" spans="1:14" ht="72.5">
      <c r="A101" s="17">
        <v>100</v>
      </c>
      <c r="B101" s="284" t="s">
        <v>1611</v>
      </c>
      <c r="C101" s="218">
        <v>5</v>
      </c>
      <c r="D101" s="253" t="s">
        <v>1702</v>
      </c>
      <c r="E101" s="218" t="s">
        <v>1564</v>
      </c>
      <c r="F101" s="220" t="s">
        <v>1707</v>
      </c>
      <c r="J101" s="319" t="str">
        <f>VLOOKUP(K101,PLA_v2025!G:H,2,FALSE)</f>
        <v>06.2.2</v>
      </c>
      <c r="K101" s="302" t="s">
        <v>636</v>
      </c>
      <c r="L101" s="302" t="s">
        <v>1634</v>
      </c>
    </row>
    <row r="102" spans="1:14" ht="72.5">
      <c r="A102" s="17">
        <v>101</v>
      </c>
      <c r="B102" s="284" t="s">
        <v>1611</v>
      </c>
      <c r="C102" s="218">
        <v>5</v>
      </c>
      <c r="D102" s="253" t="s">
        <v>1702</v>
      </c>
      <c r="E102" s="218" t="s">
        <v>1566</v>
      </c>
      <c r="F102" s="220" t="s">
        <v>1708</v>
      </c>
      <c r="G102" s="1" t="s">
        <v>1614</v>
      </c>
      <c r="I102" s="323" t="s">
        <v>1709</v>
      </c>
      <c r="J102" s="319" t="str">
        <f>VLOOKUP(K102,PLA_v2025!G:H,2,FALSE)</f>
        <v>03.4.1</v>
      </c>
      <c r="K102" s="302" t="s">
        <v>492</v>
      </c>
    </row>
    <row r="103" spans="1:14" ht="72.5">
      <c r="A103" s="17">
        <v>102</v>
      </c>
      <c r="B103" s="284" t="s">
        <v>1611</v>
      </c>
      <c r="C103" s="218">
        <v>5</v>
      </c>
      <c r="D103" s="253" t="s">
        <v>1702</v>
      </c>
      <c r="E103" s="218" t="s">
        <v>1568</v>
      </c>
      <c r="F103" s="220" t="s">
        <v>1710</v>
      </c>
      <c r="G103" s="1" t="s">
        <v>1614</v>
      </c>
      <c r="I103" s="323" t="s">
        <v>1711</v>
      </c>
      <c r="J103" s="319" t="str">
        <f>VLOOKUP(K103,PLA_v2025!G:H,2,FALSE)</f>
        <v>01.4.1</v>
      </c>
      <c r="K103" s="302" t="s">
        <v>391</v>
      </c>
    </row>
    <row r="104" spans="1:14" ht="72.5">
      <c r="A104" s="17">
        <v>103</v>
      </c>
      <c r="B104" s="284" t="s">
        <v>1611</v>
      </c>
      <c r="C104" s="218">
        <v>5</v>
      </c>
      <c r="D104" s="253" t="s">
        <v>1702</v>
      </c>
      <c r="E104" s="218" t="s">
        <v>1712</v>
      </c>
      <c r="F104" s="220" t="s">
        <v>1713</v>
      </c>
      <c r="G104" s="1" t="s">
        <v>1509</v>
      </c>
      <c r="I104" s="323" t="s">
        <v>1714</v>
      </c>
      <c r="J104" s="319" t="str">
        <f>VLOOKUP(K104,PLA_v2025!G:H,2,FALSE)</f>
        <v>01.1.1</v>
      </c>
      <c r="K104" s="302" t="s">
        <v>296</v>
      </c>
      <c r="L104" s="302" t="s">
        <v>299</v>
      </c>
    </row>
    <row r="105" spans="1:14" ht="72.5">
      <c r="A105" s="17">
        <v>104</v>
      </c>
      <c r="B105" s="284" t="s">
        <v>1611</v>
      </c>
      <c r="C105" s="218">
        <v>5</v>
      </c>
      <c r="D105" s="253" t="s">
        <v>1702</v>
      </c>
      <c r="E105" s="218" t="s">
        <v>1715</v>
      </c>
      <c r="F105" s="220" t="s">
        <v>1716</v>
      </c>
      <c r="G105" s="1" t="s">
        <v>1509</v>
      </c>
      <c r="I105" s="323" t="s">
        <v>1711</v>
      </c>
      <c r="J105" s="319" t="str">
        <f>VLOOKUP(K105,PLA_v2025!G:H,2,FALSE)</f>
        <v>01.4.1</v>
      </c>
      <c r="K105" s="302" t="s">
        <v>391</v>
      </c>
    </row>
    <row r="106" spans="1:14" ht="72.5">
      <c r="A106" s="17">
        <v>105</v>
      </c>
      <c r="B106" s="284" t="s">
        <v>1611</v>
      </c>
      <c r="C106" s="218">
        <v>5</v>
      </c>
      <c r="D106" s="253" t="s">
        <v>1702</v>
      </c>
      <c r="E106" s="218" t="s">
        <v>1717</v>
      </c>
      <c r="F106" s="220" t="s">
        <v>1718</v>
      </c>
      <c r="G106" s="1" t="s">
        <v>1509</v>
      </c>
      <c r="J106" s="319" t="str">
        <f>VLOOKUP(K106,PLA_v2025!G:H,2,FALSE)</f>
        <v>08.2.1</v>
      </c>
      <c r="K106" s="302" t="s">
        <v>771</v>
      </c>
    </row>
    <row r="107" spans="1:14" ht="72.5">
      <c r="A107" s="17">
        <v>106</v>
      </c>
      <c r="B107" s="284" t="s">
        <v>1611</v>
      </c>
      <c r="C107" s="218">
        <v>5</v>
      </c>
      <c r="D107" s="253" t="s">
        <v>1702</v>
      </c>
      <c r="E107" s="218" t="s">
        <v>1719</v>
      </c>
      <c r="F107" s="220" t="s">
        <v>1720</v>
      </c>
      <c r="J107" s="319" t="e">
        <f>VLOOKUP(K107,PLA_v2025!G:H,2,FALSE)</f>
        <v>#N/A</v>
      </c>
      <c r="K107" s="302" t="s">
        <v>1357</v>
      </c>
      <c r="L107" s="302" t="s">
        <v>1721</v>
      </c>
    </row>
    <row r="108" spans="1:14" ht="72.5">
      <c r="A108" s="17">
        <v>107</v>
      </c>
      <c r="B108" s="284" t="s">
        <v>1611</v>
      </c>
      <c r="C108" s="218">
        <v>5</v>
      </c>
      <c r="D108" s="253" t="s">
        <v>1702</v>
      </c>
      <c r="E108" s="218" t="s">
        <v>1722</v>
      </c>
      <c r="F108" s="220" t="s">
        <v>1723</v>
      </c>
      <c r="G108" s="1" t="s">
        <v>1500</v>
      </c>
      <c r="J108" s="319" t="str">
        <f>VLOOKUP(K108,PLA_v2025!G:H,2,FALSE)</f>
        <v>16.2.2</v>
      </c>
      <c r="K108" s="302" t="s">
        <v>1285</v>
      </c>
      <c r="L108" s="302"/>
      <c r="M108" s="307"/>
      <c r="N108" s="302"/>
    </row>
    <row r="109" spans="1:14" ht="72.5">
      <c r="A109" s="17">
        <v>108</v>
      </c>
      <c r="B109" s="284" t="s">
        <v>1611</v>
      </c>
      <c r="C109" s="218">
        <v>5</v>
      </c>
      <c r="D109" s="253" t="s">
        <v>1702</v>
      </c>
      <c r="E109" s="218" t="s">
        <v>1724</v>
      </c>
      <c r="F109" s="220" t="s">
        <v>1725</v>
      </c>
      <c r="G109" s="1" t="s">
        <v>1500</v>
      </c>
      <c r="I109" s="323" t="s">
        <v>1726</v>
      </c>
      <c r="J109" s="319" t="str">
        <f>VLOOKUP(K109,PLA_v2025!G:H,2,FALSE)</f>
        <v>14.2.1</v>
      </c>
      <c r="K109" s="302" t="s">
        <v>1224</v>
      </c>
    </row>
    <row r="110" spans="1:14" ht="43.5">
      <c r="A110" s="17">
        <v>109</v>
      </c>
      <c r="B110" s="284" t="s">
        <v>1611</v>
      </c>
      <c r="C110" s="218">
        <v>6</v>
      </c>
      <c r="D110" s="254" t="s">
        <v>1727</v>
      </c>
      <c r="E110" s="218" t="s">
        <v>1571</v>
      </c>
      <c r="F110" s="220" t="s">
        <v>1728</v>
      </c>
      <c r="G110" s="1" t="s">
        <v>1500</v>
      </c>
      <c r="I110" s="323" t="s">
        <v>1729</v>
      </c>
      <c r="J110" s="319" t="str">
        <f>VLOOKUP(K110,PLA_v2025!G:H,2,FALSE)</f>
        <v>06.3.2</v>
      </c>
      <c r="K110" s="302" t="s">
        <v>670</v>
      </c>
      <c r="L110" s="302"/>
    </row>
    <row r="111" spans="1:14" ht="43.5">
      <c r="A111" s="17">
        <v>110</v>
      </c>
      <c r="B111" s="284" t="s">
        <v>1611</v>
      </c>
      <c r="C111" s="218">
        <v>6</v>
      </c>
      <c r="D111" s="254" t="s">
        <v>1727</v>
      </c>
      <c r="E111" s="218" t="s">
        <v>1573</v>
      </c>
      <c r="F111" s="220" t="s">
        <v>1730</v>
      </c>
      <c r="G111" s="1" t="s">
        <v>1500</v>
      </c>
      <c r="I111" s="323" t="s">
        <v>1731</v>
      </c>
      <c r="J111" s="319" t="str">
        <f>VLOOKUP(K111,PLA_v2025!G:H,2,FALSE)</f>
        <v>06.3.2</v>
      </c>
      <c r="K111" s="302" t="s">
        <v>670</v>
      </c>
      <c r="L111" s="302"/>
    </row>
    <row r="112" spans="1:14" ht="43.5">
      <c r="A112" s="17">
        <v>111</v>
      </c>
      <c r="B112" s="284" t="s">
        <v>1611</v>
      </c>
      <c r="C112" s="218">
        <v>6</v>
      </c>
      <c r="D112" s="254" t="s">
        <v>1727</v>
      </c>
      <c r="E112" s="218" t="s">
        <v>1575</v>
      </c>
      <c r="F112" s="220" t="s">
        <v>1732</v>
      </c>
      <c r="G112" s="1" t="s">
        <v>1500</v>
      </c>
      <c r="I112" s="323" t="s">
        <v>1733</v>
      </c>
      <c r="J112" s="319" t="str">
        <f>VLOOKUP(K112,PLA_v2025!G:H,2,FALSE)</f>
        <v>06.2.6</v>
      </c>
      <c r="K112" s="302" t="s">
        <v>656</v>
      </c>
      <c r="L112" s="302"/>
    </row>
    <row r="113" spans="1:12" ht="43.5">
      <c r="A113" s="17">
        <v>112</v>
      </c>
      <c r="B113" s="284" t="s">
        <v>1611</v>
      </c>
      <c r="C113" s="218">
        <v>6</v>
      </c>
      <c r="D113" s="254" t="s">
        <v>1727</v>
      </c>
      <c r="E113" s="218" t="s">
        <v>1577</v>
      </c>
      <c r="F113" s="220" t="s">
        <v>1734</v>
      </c>
      <c r="G113" s="1" t="s">
        <v>1625</v>
      </c>
      <c r="J113" s="319" t="str">
        <f>VLOOKUP(K113,PLA_v2025!G:H,2,FALSE)</f>
        <v>06.3.2</v>
      </c>
      <c r="K113" s="302" t="s">
        <v>670</v>
      </c>
      <c r="L113" s="302"/>
    </row>
    <row r="114" spans="1:12" ht="43.5">
      <c r="A114" s="17">
        <v>113</v>
      </c>
      <c r="B114" s="284" t="s">
        <v>1611</v>
      </c>
      <c r="C114" s="218">
        <v>6</v>
      </c>
      <c r="D114" s="254" t="s">
        <v>1727</v>
      </c>
      <c r="E114" s="218" t="s">
        <v>1579</v>
      </c>
      <c r="F114" s="220" t="s">
        <v>1735</v>
      </c>
      <c r="G114" s="1" t="s">
        <v>1500</v>
      </c>
      <c r="I114" s="323" t="s">
        <v>1736</v>
      </c>
      <c r="J114" s="319" t="str">
        <f>VLOOKUP(K114,PLA_v2025!G:H,2,FALSE)</f>
        <v>06.4.4</v>
      </c>
      <c r="K114" s="302" t="s">
        <v>697</v>
      </c>
    </row>
    <row r="115" spans="1:12" ht="43.5">
      <c r="A115" s="17">
        <v>114</v>
      </c>
      <c r="B115" s="284" t="s">
        <v>1611</v>
      </c>
      <c r="C115" s="218">
        <v>6</v>
      </c>
      <c r="D115" s="254" t="s">
        <v>1727</v>
      </c>
      <c r="E115" s="218" t="s">
        <v>1581</v>
      </c>
      <c r="F115" s="220" t="s">
        <v>1737</v>
      </c>
      <c r="G115" s="1" t="s">
        <v>1625</v>
      </c>
      <c r="J115" s="319" t="str">
        <f>VLOOKUP(K115,PLA_v2025!G:H,2,FALSE)</f>
        <v>14.1.2</v>
      </c>
      <c r="K115" s="302" t="s">
        <v>1216</v>
      </c>
    </row>
    <row r="116" spans="1:12" ht="43.5">
      <c r="A116" s="17">
        <v>115</v>
      </c>
      <c r="B116" s="284" t="s">
        <v>1611</v>
      </c>
      <c r="C116" s="218">
        <v>6</v>
      </c>
      <c r="D116" s="254" t="s">
        <v>1727</v>
      </c>
      <c r="E116" s="218" t="s">
        <v>1583</v>
      </c>
      <c r="F116" s="220" t="s">
        <v>1738</v>
      </c>
      <c r="G116" s="1" t="s">
        <v>1509</v>
      </c>
      <c r="I116" s="323" t="s">
        <v>1684</v>
      </c>
      <c r="J116" s="319" t="str">
        <f>VLOOKUP(K116,PLA_v2025!G:H,2,FALSE)</f>
        <v>14.1.2</v>
      </c>
      <c r="K116" s="302" t="s">
        <v>1216</v>
      </c>
    </row>
    <row r="117" spans="1:12" ht="43.5">
      <c r="A117" s="17">
        <v>116</v>
      </c>
      <c r="B117" s="284" t="s">
        <v>1611</v>
      </c>
      <c r="C117" s="218">
        <v>6</v>
      </c>
      <c r="D117" s="254" t="s">
        <v>1727</v>
      </c>
      <c r="E117" s="218" t="s">
        <v>1585</v>
      </c>
      <c r="F117" s="220" t="s">
        <v>1739</v>
      </c>
      <c r="G117" s="1" t="s">
        <v>1625</v>
      </c>
      <c r="J117" s="319" t="str">
        <f>VLOOKUP(K117,PLA_v2025!G:H,2,FALSE)</f>
        <v>14.1.2</v>
      </c>
      <c r="K117" s="302" t="s">
        <v>1216</v>
      </c>
    </row>
    <row r="118" spans="1:12" ht="72.5">
      <c r="A118" s="17">
        <v>117</v>
      </c>
      <c r="B118" s="284" t="s">
        <v>1611</v>
      </c>
      <c r="C118" s="218">
        <v>7</v>
      </c>
      <c r="D118" s="255" t="s">
        <v>1740</v>
      </c>
      <c r="E118" s="218" t="s">
        <v>1588</v>
      </c>
      <c r="F118" s="220" t="s">
        <v>1741</v>
      </c>
      <c r="J118" s="319" t="str">
        <f>VLOOKUP(K118,PLA_v2025!G:H,2,FALSE)</f>
        <v>06.3.2</v>
      </c>
      <c r="K118" s="302" t="s">
        <v>670</v>
      </c>
      <c r="L118" s="302"/>
    </row>
    <row r="119" spans="1:12" ht="72.5">
      <c r="A119" s="17">
        <v>118</v>
      </c>
      <c r="B119" s="284" t="s">
        <v>1611</v>
      </c>
      <c r="C119" s="218">
        <v>7</v>
      </c>
      <c r="D119" s="255" t="s">
        <v>1740</v>
      </c>
      <c r="E119" s="218" t="s">
        <v>1590</v>
      </c>
      <c r="F119" s="220" t="s">
        <v>1742</v>
      </c>
      <c r="G119" s="1" t="s">
        <v>1625</v>
      </c>
      <c r="I119" s="323" t="s">
        <v>1743</v>
      </c>
      <c r="J119" s="319" t="str">
        <f>VLOOKUP(K119,PLA_v2025!G:H,2,FALSE)</f>
        <v>06.3.2</v>
      </c>
      <c r="K119" s="302" t="s">
        <v>670</v>
      </c>
    </row>
    <row r="120" spans="1:12" ht="72.5">
      <c r="A120" s="17">
        <v>119</v>
      </c>
      <c r="B120" s="284" t="s">
        <v>1611</v>
      </c>
      <c r="C120" s="218">
        <v>7</v>
      </c>
      <c r="D120" s="255" t="s">
        <v>1740</v>
      </c>
      <c r="E120" s="218" t="s">
        <v>1592</v>
      </c>
      <c r="F120" s="220" t="s">
        <v>1744</v>
      </c>
      <c r="G120" s="1" t="s">
        <v>1509</v>
      </c>
      <c r="J120" s="319" t="str">
        <f>VLOOKUP(K120,PLA_v2025!G:H,2,FALSE)</f>
        <v>03.1.2</v>
      </c>
      <c r="K120" s="302" t="s">
        <v>448</v>
      </c>
    </row>
    <row r="121" spans="1:12" ht="72.5">
      <c r="A121" s="17">
        <v>120</v>
      </c>
      <c r="B121" s="284" t="s">
        <v>1611</v>
      </c>
      <c r="C121" s="218">
        <v>7</v>
      </c>
      <c r="D121" s="255" t="s">
        <v>1740</v>
      </c>
      <c r="E121" s="218" t="s">
        <v>1594</v>
      </c>
      <c r="F121" s="220" t="s">
        <v>1745</v>
      </c>
      <c r="G121" s="1" t="s">
        <v>1614</v>
      </c>
      <c r="I121" s="323" t="s">
        <v>1733</v>
      </c>
      <c r="J121" s="319" t="str">
        <f>VLOOKUP(K121,PLA_v2025!G:H,2,FALSE)</f>
        <v>01.2.3</v>
      </c>
      <c r="K121" s="302" t="s">
        <v>337</v>
      </c>
    </row>
    <row r="122" spans="1:12" ht="72.5">
      <c r="A122" s="17">
        <v>121</v>
      </c>
      <c r="B122" s="284" t="s">
        <v>1611</v>
      </c>
      <c r="C122" s="218">
        <v>7</v>
      </c>
      <c r="D122" s="255" t="s">
        <v>1740</v>
      </c>
      <c r="E122" s="218" t="s">
        <v>1596</v>
      </c>
      <c r="F122" s="220" t="s">
        <v>1746</v>
      </c>
      <c r="G122" s="1" t="s">
        <v>1500</v>
      </c>
      <c r="I122" s="323" t="s">
        <v>1747</v>
      </c>
      <c r="J122" s="319" t="str">
        <f>VLOOKUP(K122,PLA_v2025!G:H,2,FALSE)</f>
        <v>06.2.3</v>
      </c>
      <c r="K122" s="302" t="s">
        <v>643</v>
      </c>
    </row>
    <row r="123" spans="1:12" ht="72.5">
      <c r="A123" s="17">
        <v>122</v>
      </c>
      <c r="B123" s="284" t="s">
        <v>1611</v>
      </c>
      <c r="C123" s="218">
        <v>7</v>
      </c>
      <c r="D123" s="255" t="s">
        <v>1740</v>
      </c>
      <c r="E123" s="218" t="s">
        <v>1598</v>
      </c>
      <c r="F123" s="220" t="s">
        <v>1748</v>
      </c>
      <c r="G123" s="1" t="s">
        <v>1516</v>
      </c>
      <c r="H123" s="233" t="s">
        <v>1517</v>
      </c>
      <c r="I123" s="323" t="s">
        <v>1749</v>
      </c>
      <c r="J123" s="319"/>
      <c r="K123" s="302"/>
    </row>
    <row r="124" spans="1:12" ht="72.5">
      <c r="A124" s="17">
        <v>123</v>
      </c>
      <c r="B124" s="284" t="s">
        <v>1611</v>
      </c>
      <c r="C124" s="218">
        <v>7</v>
      </c>
      <c r="D124" s="255" t="s">
        <v>1740</v>
      </c>
      <c r="E124" s="218" t="s">
        <v>1600</v>
      </c>
      <c r="F124" s="220" t="s">
        <v>1750</v>
      </c>
      <c r="G124" s="1" t="s">
        <v>1625</v>
      </c>
      <c r="J124" s="319" t="str">
        <f>VLOOKUP(K124,PLA_v2025!G:H,2,FALSE)</f>
        <v>13.4.4</v>
      </c>
      <c r="K124" s="302" t="s">
        <v>1107</v>
      </c>
    </row>
    <row r="125" spans="1:12" ht="72.5">
      <c r="A125" s="17">
        <v>124</v>
      </c>
      <c r="B125" s="284" t="s">
        <v>1611</v>
      </c>
      <c r="C125" s="218">
        <v>7</v>
      </c>
      <c r="D125" s="255" t="s">
        <v>1740</v>
      </c>
      <c r="E125" s="218" t="s">
        <v>1751</v>
      </c>
      <c r="F125" s="220" t="s">
        <v>1752</v>
      </c>
      <c r="G125" s="1" t="s">
        <v>1625</v>
      </c>
      <c r="J125" s="319" t="str">
        <f>VLOOKUP(K125,PLA_v2025!G:H,2,FALSE)</f>
        <v>13.3.2</v>
      </c>
      <c r="K125" s="302" t="s">
        <v>1076</v>
      </c>
    </row>
    <row r="126" spans="1:12" ht="72.5">
      <c r="A126" s="17">
        <v>125</v>
      </c>
      <c r="B126" s="284" t="s">
        <v>1611</v>
      </c>
      <c r="C126" s="218">
        <v>7</v>
      </c>
      <c r="D126" s="255" t="s">
        <v>1740</v>
      </c>
      <c r="E126" s="218" t="s">
        <v>1753</v>
      </c>
      <c r="F126" s="220" t="s">
        <v>1754</v>
      </c>
      <c r="G126" s="1" t="s">
        <v>1625</v>
      </c>
      <c r="J126" s="319" t="str">
        <f>VLOOKUP(K126,PLA_v2025!G:H,2,FALSE)</f>
        <v>13.3.2</v>
      </c>
      <c r="K126" s="302" t="s">
        <v>1076</v>
      </c>
    </row>
    <row r="127" spans="1:12" ht="72.5">
      <c r="A127" s="17">
        <v>126</v>
      </c>
      <c r="B127" s="284" t="s">
        <v>1611</v>
      </c>
      <c r="C127" s="218">
        <v>7</v>
      </c>
      <c r="D127" s="255" t="s">
        <v>1740</v>
      </c>
      <c r="E127" s="218" t="s">
        <v>1755</v>
      </c>
      <c r="F127" s="220" t="s">
        <v>1756</v>
      </c>
      <c r="J127" s="319" t="str">
        <f>VLOOKUP(K127,PLA_v2025!G:H,2,FALSE)</f>
        <v>14.2.1</v>
      </c>
      <c r="K127" s="302" t="s">
        <v>1224</v>
      </c>
    </row>
    <row r="128" spans="1:12" ht="72.5">
      <c r="A128" s="17">
        <v>127</v>
      </c>
      <c r="B128" s="284" t="s">
        <v>1611</v>
      </c>
      <c r="C128" s="218">
        <v>7</v>
      </c>
      <c r="D128" s="255" t="s">
        <v>1740</v>
      </c>
      <c r="E128" s="218" t="s">
        <v>1757</v>
      </c>
      <c r="F128" s="220" t="s">
        <v>1758</v>
      </c>
      <c r="G128" s="1" t="s">
        <v>1625</v>
      </c>
      <c r="J128" s="319" t="e">
        <f>VLOOKUP(K128,PLA_v2025!G:H,2,FALSE)</f>
        <v>#N/A</v>
      </c>
      <c r="K128" s="302" t="s">
        <v>960</v>
      </c>
    </row>
    <row r="129" spans="1:12" ht="72.5">
      <c r="A129" s="17">
        <v>128</v>
      </c>
      <c r="B129" s="284" t="s">
        <v>1611</v>
      </c>
      <c r="C129" s="218">
        <v>7</v>
      </c>
      <c r="D129" s="255" t="s">
        <v>1740</v>
      </c>
      <c r="E129" s="218" t="s">
        <v>1759</v>
      </c>
      <c r="F129" s="220" t="s">
        <v>1760</v>
      </c>
      <c r="G129" s="1" t="s">
        <v>1625</v>
      </c>
      <c r="J129" s="319" t="str">
        <f>VLOOKUP(K129,PLA_v2025!G:H,2,FALSE)</f>
        <v>14.1.2</v>
      </c>
      <c r="K129" s="302" t="s">
        <v>1216</v>
      </c>
    </row>
    <row r="130" spans="1:12" ht="72.5">
      <c r="A130" s="17">
        <v>129</v>
      </c>
      <c r="B130" s="284" t="s">
        <v>1611</v>
      </c>
      <c r="C130" s="218">
        <v>7</v>
      </c>
      <c r="D130" s="255" t="s">
        <v>1740</v>
      </c>
      <c r="E130" s="218" t="s">
        <v>1761</v>
      </c>
      <c r="F130" s="220" t="s">
        <v>1762</v>
      </c>
      <c r="G130" s="1" t="s">
        <v>1516</v>
      </c>
      <c r="H130" s="233" t="s">
        <v>1517</v>
      </c>
      <c r="I130" s="323" t="s">
        <v>1763</v>
      </c>
      <c r="J130" s="297"/>
      <c r="K130" s="302"/>
      <c r="L130" s="302"/>
    </row>
    <row r="131" spans="1:12" ht="43.5">
      <c r="A131" s="17">
        <v>130</v>
      </c>
      <c r="B131" s="285" t="s">
        <v>1764</v>
      </c>
      <c r="C131" s="218">
        <v>1</v>
      </c>
      <c r="D131" s="256" t="s">
        <v>1765</v>
      </c>
      <c r="E131" s="218" t="s">
        <v>1498</v>
      </c>
      <c r="F131" s="221" t="s">
        <v>1766</v>
      </c>
      <c r="G131" s="1" t="s">
        <v>1509</v>
      </c>
      <c r="I131" s="323" t="s">
        <v>1767</v>
      </c>
      <c r="J131" s="319" t="str">
        <f>VLOOKUP(K131,PLA_v2025!G:H,2,FALSE)</f>
        <v>06.3.3</v>
      </c>
      <c r="K131" s="302" t="s">
        <v>674</v>
      </c>
    </row>
    <row r="132" spans="1:12" ht="30.65" customHeight="1">
      <c r="A132" s="17">
        <v>131</v>
      </c>
      <c r="B132" s="285" t="s">
        <v>1764</v>
      </c>
      <c r="C132" s="218">
        <v>1</v>
      </c>
      <c r="D132" s="256" t="s">
        <v>1765</v>
      </c>
      <c r="E132" s="218" t="s">
        <v>1501</v>
      </c>
      <c r="F132" s="221" t="s">
        <v>1768</v>
      </c>
      <c r="G132" s="1" t="s">
        <v>1509</v>
      </c>
      <c r="J132" s="319" t="str">
        <f>VLOOKUP(K132,PLA_v2025!G:H,2,FALSE)</f>
        <v>06.3.3</v>
      </c>
      <c r="K132" s="302" t="s">
        <v>674</v>
      </c>
    </row>
    <row r="133" spans="1:12" ht="43.5">
      <c r="A133" s="17">
        <v>132</v>
      </c>
      <c r="B133" s="285" t="s">
        <v>1764</v>
      </c>
      <c r="C133" s="218">
        <v>1</v>
      </c>
      <c r="D133" s="256" t="s">
        <v>1765</v>
      </c>
      <c r="E133" s="218" t="s">
        <v>1503</v>
      </c>
      <c r="F133" s="221" t="s">
        <v>1769</v>
      </c>
      <c r="G133" s="1" t="s">
        <v>1509</v>
      </c>
      <c r="J133" s="319" t="str">
        <f>VLOOKUP(K133,PLA_v2025!G:H,2,FALSE)</f>
        <v>06.2.2</v>
      </c>
      <c r="K133" s="302" t="s">
        <v>636</v>
      </c>
      <c r="L133" s="302" t="s">
        <v>1634</v>
      </c>
    </row>
    <row r="134" spans="1:12" ht="43.5">
      <c r="A134" s="17">
        <v>133</v>
      </c>
      <c r="B134" s="285" t="s">
        <v>1764</v>
      </c>
      <c r="C134" s="218">
        <v>1</v>
      </c>
      <c r="D134" s="256" t="s">
        <v>1765</v>
      </c>
      <c r="E134" s="218" t="s">
        <v>1505</v>
      </c>
      <c r="F134" s="221" t="s">
        <v>1770</v>
      </c>
      <c r="G134" s="1" t="s">
        <v>1509</v>
      </c>
      <c r="J134" s="319" t="str">
        <f>VLOOKUP(K134,PLA_v2025!G:H,2,FALSE)</f>
        <v>06.4.2</v>
      </c>
      <c r="K134" s="302" t="s">
        <v>688</v>
      </c>
    </row>
    <row r="135" spans="1:12" ht="43.5">
      <c r="A135" s="17">
        <v>134</v>
      </c>
      <c r="B135" s="285" t="s">
        <v>1764</v>
      </c>
      <c r="C135" s="218">
        <v>1</v>
      </c>
      <c r="D135" s="256" t="s">
        <v>1765</v>
      </c>
      <c r="E135" s="218" t="s">
        <v>1507</v>
      </c>
      <c r="F135" s="221" t="s">
        <v>1771</v>
      </c>
      <c r="G135" s="1" t="s">
        <v>1625</v>
      </c>
      <c r="I135" s="323" t="s">
        <v>1772</v>
      </c>
      <c r="J135" s="319" t="str">
        <f>VLOOKUP(K135,PLA_v2025!G:H,2,FALSE)</f>
        <v>12.1.2</v>
      </c>
      <c r="K135" s="302" t="s">
        <v>1009</v>
      </c>
    </row>
    <row r="136" spans="1:12" ht="43.5">
      <c r="A136" s="17">
        <v>135</v>
      </c>
      <c r="B136" s="285" t="s">
        <v>1764</v>
      </c>
      <c r="C136" s="218">
        <v>1</v>
      </c>
      <c r="D136" s="256" t="s">
        <v>1765</v>
      </c>
      <c r="E136" s="218" t="s">
        <v>1510</v>
      </c>
      <c r="F136" s="221" t="s">
        <v>1773</v>
      </c>
      <c r="G136" s="1" t="s">
        <v>1509</v>
      </c>
      <c r="I136" s="323" t="s">
        <v>1774</v>
      </c>
      <c r="J136" s="319" t="e">
        <f>VLOOKUP(K136,PLA_v2025!G:H,2,FALSE)</f>
        <v>#N/A</v>
      </c>
      <c r="K136" s="302" t="s">
        <v>1354</v>
      </c>
    </row>
    <row r="137" spans="1:12" ht="43.5">
      <c r="A137" s="17">
        <v>136</v>
      </c>
      <c r="B137" s="285" t="s">
        <v>1764</v>
      </c>
      <c r="C137" s="218">
        <v>1</v>
      </c>
      <c r="D137" s="256" t="s">
        <v>1765</v>
      </c>
      <c r="E137" s="218" t="s">
        <v>1512</v>
      </c>
      <c r="F137" s="221" t="s">
        <v>1775</v>
      </c>
      <c r="G137" s="1" t="s">
        <v>1625</v>
      </c>
      <c r="I137" s="323" t="s">
        <v>1776</v>
      </c>
      <c r="J137" s="319" t="str">
        <f>VLOOKUP(K137,PLA_v2025!G:H,2,FALSE)</f>
        <v>06.2.1</v>
      </c>
      <c r="K137" s="302" t="s">
        <v>630</v>
      </c>
    </row>
    <row r="138" spans="1:12" ht="43.5">
      <c r="A138" s="17">
        <v>137</v>
      </c>
      <c r="B138" s="285" t="s">
        <v>1764</v>
      </c>
      <c r="C138" s="218">
        <v>2</v>
      </c>
      <c r="D138" s="257" t="s">
        <v>1777</v>
      </c>
      <c r="E138" s="218" t="s">
        <v>1523</v>
      </c>
      <c r="F138" s="221" t="s">
        <v>1778</v>
      </c>
      <c r="G138" s="1" t="s">
        <v>1509</v>
      </c>
      <c r="I138" s="323" t="s">
        <v>1779</v>
      </c>
      <c r="J138" s="319" t="str">
        <f>VLOOKUP(K138,PLA_v2025!G:H,2,FALSE)</f>
        <v>01.1.2</v>
      </c>
      <c r="K138" s="302" t="s">
        <v>308</v>
      </c>
    </row>
    <row r="139" spans="1:12" ht="43.5">
      <c r="A139" s="17">
        <v>138</v>
      </c>
      <c r="B139" s="285" t="s">
        <v>1764</v>
      </c>
      <c r="C139" s="218">
        <v>2</v>
      </c>
      <c r="D139" s="257" t="s">
        <v>1777</v>
      </c>
      <c r="E139" s="218" t="s">
        <v>1526</v>
      </c>
      <c r="F139" s="221" t="s">
        <v>1780</v>
      </c>
      <c r="G139" s="1" t="s">
        <v>1509</v>
      </c>
      <c r="I139" s="323" t="s">
        <v>1781</v>
      </c>
      <c r="J139" s="319" t="str">
        <f>VLOOKUP(K139,PLA_v2025!G:H,2,FALSE)</f>
        <v>01.1.2</v>
      </c>
      <c r="K139" s="302" t="s">
        <v>308</v>
      </c>
    </row>
    <row r="140" spans="1:12" ht="29">
      <c r="A140" s="17">
        <v>139</v>
      </c>
      <c r="B140" s="285" t="s">
        <v>1764</v>
      </c>
      <c r="C140" s="218">
        <v>2</v>
      </c>
      <c r="D140" s="257" t="s">
        <v>1777</v>
      </c>
      <c r="E140" s="218" t="s">
        <v>1528</v>
      </c>
      <c r="F140" s="221" t="s">
        <v>1782</v>
      </c>
      <c r="G140" s="1" t="s">
        <v>1625</v>
      </c>
      <c r="I140" s="323" t="s">
        <v>1783</v>
      </c>
      <c r="J140" s="319" t="str">
        <f>VLOOKUP(K140,PLA_v2025!G:H,2,FALSE)</f>
        <v>03.2.1</v>
      </c>
      <c r="K140" s="302" t="s">
        <v>458</v>
      </c>
    </row>
    <row r="141" spans="1:12" ht="43.5">
      <c r="A141" s="17">
        <v>140</v>
      </c>
      <c r="B141" s="285" t="s">
        <v>1764</v>
      </c>
      <c r="C141" s="218">
        <v>2</v>
      </c>
      <c r="D141" s="257" t="s">
        <v>1777</v>
      </c>
      <c r="E141" s="218" t="s">
        <v>1530</v>
      </c>
      <c r="F141" s="221" t="s">
        <v>1784</v>
      </c>
      <c r="G141" s="1" t="s">
        <v>1625</v>
      </c>
      <c r="J141" s="319" t="str">
        <f>VLOOKUP(K141,PLA_v2025!G:H,2,FALSE)</f>
        <v>01.1.2</v>
      </c>
      <c r="K141" s="302" t="s">
        <v>308</v>
      </c>
      <c r="L141" s="302"/>
    </row>
    <row r="142" spans="1:12" ht="43.5">
      <c r="A142" s="17">
        <v>141</v>
      </c>
      <c r="B142" s="285" t="s">
        <v>1764</v>
      </c>
      <c r="C142" s="218">
        <v>2</v>
      </c>
      <c r="D142" s="257" t="s">
        <v>1777</v>
      </c>
      <c r="E142" s="218" t="s">
        <v>1638</v>
      </c>
      <c r="F142" s="221" t="s">
        <v>1785</v>
      </c>
      <c r="G142" s="1" t="s">
        <v>1625</v>
      </c>
      <c r="J142" s="319" t="str">
        <f>VLOOKUP(K142,PLA_v2025!G:H,2,FALSE)</f>
        <v>06.2.1</v>
      </c>
      <c r="K142" s="302" t="s">
        <v>630</v>
      </c>
    </row>
    <row r="143" spans="1:12" ht="43.5">
      <c r="A143" s="17">
        <v>142</v>
      </c>
      <c r="B143" s="285" t="s">
        <v>1764</v>
      </c>
      <c r="C143" s="218">
        <v>2</v>
      </c>
      <c r="D143" s="257" t="s">
        <v>1777</v>
      </c>
      <c r="E143" s="218" t="s">
        <v>1641</v>
      </c>
      <c r="F143" s="221" t="s">
        <v>1786</v>
      </c>
      <c r="G143" s="1" t="s">
        <v>1500</v>
      </c>
      <c r="I143" s="323" t="s">
        <v>1787</v>
      </c>
      <c r="J143" s="319" t="e">
        <f>VLOOKUP(K143,PLA_v2025!G:H,2,FALSE)</f>
        <v>#N/A</v>
      </c>
      <c r="K143" s="302" t="s">
        <v>1354</v>
      </c>
    </row>
    <row r="144" spans="1:12" ht="43.5">
      <c r="A144" s="17">
        <v>143</v>
      </c>
      <c r="B144" s="285" t="s">
        <v>1764</v>
      </c>
      <c r="C144" s="218">
        <v>3</v>
      </c>
      <c r="D144" s="258" t="s">
        <v>1788</v>
      </c>
      <c r="E144" s="218" t="s">
        <v>1533</v>
      </c>
      <c r="F144" s="221" t="s">
        <v>1789</v>
      </c>
      <c r="G144" s="1" t="s">
        <v>1625</v>
      </c>
      <c r="J144" s="319" t="str">
        <f>VLOOKUP(K144,PLA_v2025!G:H,2,FALSE)</f>
        <v>14.1.2</v>
      </c>
      <c r="K144" s="302" t="s">
        <v>1216</v>
      </c>
    </row>
    <row r="145" spans="1:11" ht="43.5">
      <c r="A145" s="17">
        <v>144</v>
      </c>
      <c r="B145" s="285" t="s">
        <v>1764</v>
      </c>
      <c r="C145" s="218">
        <v>3</v>
      </c>
      <c r="D145" s="258" t="s">
        <v>1788</v>
      </c>
      <c r="E145" s="218" t="s">
        <v>1535</v>
      </c>
      <c r="F145" s="221" t="s">
        <v>1790</v>
      </c>
      <c r="G145" s="1" t="s">
        <v>1509</v>
      </c>
      <c r="J145" s="319" t="str">
        <f>VLOOKUP(K145,PLA_v2025!G:H,2,FALSE)</f>
        <v>14.2.1</v>
      </c>
      <c r="K145" s="302" t="s">
        <v>1224</v>
      </c>
    </row>
    <row r="146" spans="1:11" ht="43.5">
      <c r="A146" s="17">
        <v>145</v>
      </c>
      <c r="B146" s="285" t="s">
        <v>1764</v>
      </c>
      <c r="C146" s="218">
        <v>3</v>
      </c>
      <c r="D146" s="258" t="s">
        <v>1788</v>
      </c>
      <c r="E146" s="218" t="s">
        <v>1537</v>
      </c>
      <c r="F146" s="221" t="s">
        <v>1791</v>
      </c>
      <c r="G146" s="1" t="s">
        <v>1509</v>
      </c>
      <c r="J146" s="319" t="str">
        <f>VLOOKUP(K146,PLA_v2025!G:H,2,FALSE)</f>
        <v>14.2.1</v>
      </c>
      <c r="K146" s="302" t="s">
        <v>1224</v>
      </c>
    </row>
    <row r="147" spans="1:11" ht="29.5" thickBot="1">
      <c r="A147" s="17">
        <v>146</v>
      </c>
      <c r="B147" s="286" t="s">
        <v>1792</v>
      </c>
      <c r="C147" s="218" t="s">
        <v>1498</v>
      </c>
      <c r="D147" s="259" t="s">
        <v>1793</v>
      </c>
      <c r="F147" s="222" t="s">
        <v>1794</v>
      </c>
      <c r="G147" s="1" t="s">
        <v>1625</v>
      </c>
      <c r="J147" s="319" t="str">
        <f>VLOOKUP(K147,PLA_v2025!G:H,2,FALSE)</f>
        <v>03.2.1</v>
      </c>
      <c r="K147" s="1" t="s">
        <v>458</v>
      </c>
    </row>
    <row r="148" spans="1:11" ht="30" thickTop="1" thickBot="1">
      <c r="A148" s="17">
        <v>147</v>
      </c>
      <c r="B148" s="286" t="s">
        <v>1792</v>
      </c>
      <c r="C148" s="218" t="s">
        <v>1501</v>
      </c>
      <c r="D148" s="260" t="s">
        <v>1795</v>
      </c>
      <c r="E148" s="223"/>
      <c r="F148" s="222" t="s">
        <v>1796</v>
      </c>
      <c r="G148" s="1" t="s">
        <v>1509</v>
      </c>
      <c r="I148" s="323" t="s">
        <v>1797</v>
      </c>
      <c r="J148" s="319" t="str">
        <f>VLOOKUP(K148,PLA_v2025!G:H,2,FALSE)</f>
        <v>03.2.1</v>
      </c>
      <c r="K148" s="1" t="s">
        <v>458</v>
      </c>
    </row>
    <row r="149" spans="1:11" ht="14.15" customHeight="1" thickTop="1" thickBot="1">
      <c r="A149" s="17">
        <v>148</v>
      </c>
      <c r="B149" s="286" t="s">
        <v>1792</v>
      </c>
      <c r="C149" s="218" t="s">
        <v>1501</v>
      </c>
      <c r="D149" s="260" t="s">
        <v>1795</v>
      </c>
      <c r="E149" s="224"/>
      <c r="F149" s="222" t="s">
        <v>1798</v>
      </c>
      <c r="G149" s="1" t="s">
        <v>1625</v>
      </c>
      <c r="J149" s="319" t="str">
        <f>VLOOKUP(K149,PLA_v2025!G:H,2,FALSE)</f>
        <v>03.2.1</v>
      </c>
      <c r="K149" s="1" t="s">
        <v>458</v>
      </c>
    </row>
    <row r="150" spans="1:11" ht="30" thickTop="1" thickBot="1">
      <c r="A150" s="17">
        <v>149</v>
      </c>
      <c r="B150" s="286" t="s">
        <v>1792</v>
      </c>
      <c r="C150" s="218" t="s">
        <v>1501</v>
      </c>
      <c r="D150" s="260" t="s">
        <v>1795</v>
      </c>
      <c r="E150" s="224"/>
      <c r="F150" s="222" t="s">
        <v>1799</v>
      </c>
      <c r="G150" s="1" t="s">
        <v>1500</v>
      </c>
      <c r="J150" s="319" t="str">
        <f>VLOOKUP(K150,PLA_v2025!G:H,2,FALSE)</f>
        <v>03.2.1</v>
      </c>
      <c r="K150" s="1" t="s">
        <v>458</v>
      </c>
    </row>
    <row r="151" spans="1:11" ht="15.5" thickTop="1" thickBot="1">
      <c r="A151" s="17">
        <v>150</v>
      </c>
      <c r="B151" s="286" t="s">
        <v>1792</v>
      </c>
      <c r="C151" s="218" t="s">
        <v>1501</v>
      </c>
      <c r="D151" s="260" t="s">
        <v>1795</v>
      </c>
      <c r="E151" s="224"/>
      <c r="F151" s="222" t="s">
        <v>1800</v>
      </c>
      <c r="G151" s="1" t="s">
        <v>1500</v>
      </c>
      <c r="J151" s="319" t="e">
        <f>VLOOKUP(K151,PLA_v2025!G:H,2,FALSE)</f>
        <v>#N/A</v>
      </c>
      <c r="K151" s="1" t="s">
        <v>1350</v>
      </c>
    </row>
    <row r="152" spans="1:11" ht="30" thickTop="1" thickBot="1">
      <c r="A152" s="17">
        <v>151</v>
      </c>
      <c r="B152" s="286" t="s">
        <v>1792</v>
      </c>
      <c r="C152" s="218" t="s">
        <v>1501</v>
      </c>
      <c r="D152" s="260" t="s">
        <v>1795</v>
      </c>
      <c r="E152" s="224"/>
      <c r="F152" s="222" t="s">
        <v>1801</v>
      </c>
      <c r="G152" s="1" t="s">
        <v>1625</v>
      </c>
      <c r="J152" s="319" t="str">
        <f>VLOOKUP(K152,PLA_v2025!G:H,2,FALSE)</f>
        <v>03.2.1</v>
      </c>
      <c r="K152" s="1" t="s">
        <v>458</v>
      </c>
    </row>
    <row r="153" spans="1:11" ht="30" thickTop="1" thickBot="1">
      <c r="A153" s="17">
        <v>152</v>
      </c>
      <c r="B153" s="286" t="s">
        <v>1792</v>
      </c>
      <c r="C153" s="218" t="s">
        <v>1501</v>
      </c>
      <c r="D153" s="260" t="s">
        <v>1795</v>
      </c>
      <c r="E153" s="224"/>
      <c r="F153" s="222" t="s">
        <v>1802</v>
      </c>
      <c r="G153" s="1" t="s">
        <v>1625</v>
      </c>
      <c r="J153" s="319" t="str">
        <f>VLOOKUP(K153,PLA_v2025!G:H,2,FALSE)</f>
        <v>03.2.1</v>
      </c>
      <c r="K153" s="1" t="s">
        <v>458</v>
      </c>
    </row>
    <row r="154" spans="1:11" ht="30" thickTop="1" thickBot="1">
      <c r="A154" s="17">
        <v>153</v>
      </c>
      <c r="B154" s="286" t="s">
        <v>1792</v>
      </c>
      <c r="C154" s="218" t="s">
        <v>1501</v>
      </c>
      <c r="D154" s="260" t="s">
        <v>1795</v>
      </c>
      <c r="E154" s="224"/>
      <c r="F154" s="222" t="s">
        <v>1803</v>
      </c>
      <c r="G154" s="1" t="s">
        <v>1625</v>
      </c>
      <c r="J154" s="319" t="str">
        <f>VLOOKUP(K154,PLA_v2025!G:H,2,FALSE)</f>
        <v>03.2.1</v>
      </c>
      <c r="K154" s="1" t="s">
        <v>458</v>
      </c>
    </row>
    <row r="155" spans="1:11" ht="30" thickTop="1" thickBot="1">
      <c r="A155" s="17">
        <v>154</v>
      </c>
      <c r="B155" s="286" t="s">
        <v>1792</v>
      </c>
      <c r="C155" s="218" t="s">
        <v>1501</v>
      </c>
      <c r="D155" s="260" t="s">
        <v>1795</v>
      </c>
      <c r="E155" s="224"/>
      <c r="F155" s="222" t="s">
        <v>1804</v>
      </c>
      <c r="G155" s="1" t="s">
        <v>1625</v>
      </c>
      <c r="I155" s="323" t="s">
        <v>1805</v>
      </c>
      <c r="J155" s="319" t="str">
        <f>VLOOKUP(K155,PLA_v2025!G:H,2,FALSE)</f>
        <v>03.2.1</v>
      </c>
      <c r="K155" s="1" t="s">
        <v>458</v>
      </c>
    </row>
    <row r="156" spans="1:11" ht="30" thickTop="1" thickBot="1">
      <c r="A156" s="17">
        <v>155</v>
      </c>
      <c r="B156" s="286" t="s">
        <v>1792</v>
      </c>
      <c r="C156" s="218" t="s">
        <v>1501</v>
      </c>
      <c r="D156" s="260" t="s">
        <v>1795</v>
      </c>
      <c r="E156" s="224"/>
      <c r="F156" s="222" t="s">
        <v>1806</v>
      </c>
      <c r="G156" s="1" t="s">
        <v>1625</v>
      </c>
      <c r="J156" s="319" t="str">
        <f>VLOOKUP(K156,PLA_v2025!G:H,2,FALSE)</f>
        <v>03.2.1</v>
      </c>
      <c r="K156" s="1" t="s">
        <v>458</v>
      </c>
    </row>
    <row r="157" spans="1:11" ht="30" thickTop="1" thickBot="1">
      <c r="A157" s="17">
        <v>156</v>
      </c>
      <c r="B157" s="286" t="s">
        <v>1792</v>
      </c>
      <c r="C157" s="218" t="s">
        <v>1501</v>
      </c>
      <c r="D157" s="260" t="s">
        <v>1795</v>
      </c>
      <c r="E157" s="224"/>
      <c r="F157" s="222" t="s">
        <v>1807</v>
      </c>
      <c r="G157" s="1" t="s">
        <v>1625</v>
      </c>
      <c r="I157" s="323" t="s">
        <v>1808</v>
      </c>
      <c r="J157" s="319" t="str">
        <f>VLOOKUP(K157,PLA_v2025!G:H,2,FALSE)</f>
        <v>03.2.1</v>
      </c>
      <c r="K157" s="1" t="s">
        <v>458</v>
      </c>
    </row>
    <row r="158" spans="1:11" ht="30" thickTop="1" thickBot="1">
      <c r="A158" s="17">
        <v>157</v>
      </c>
      <c r="B158" s="286" t="s">
        <v>1792</v>
      </c>
      <c r="C158" s="218" t="s">
        <v>1501</v>
      </c>
      <c r="D158" s="260" t="s">
        <v>1795</v>
      </c>
      <c r="E158" s="224"/>
      <c r="F158" s="222" t="s">
        <v>1809</v>
      </c>
      <c r="G158" s="1" t="s">
        <v>1625</v>
      </c>
      <c r="J158" s="319" t="str">
        <f>VLOOKUP(K158,PLA_v2025!G:H,2,FALSE)</f>
        <v>03.4.2</v>
      </c>
      <c r="K158" s="1" t="s">
        <v>498</v>
      </c>
    </row>
    <row r="159" spans="1:11" ht="59" thickTop="1" thickBot="1">
      <c r="A159" s="17">
        <v>158</v>
      </c>
      <c r="B159" s="286" t="s">
        <v>1792</v>
      </c>
      <c r="C159" s="218" t="s">
        <v>1501</v>
      </c>
      <c r="D159" s="260" t="s">
        <v>1795</v>
      </c>
      <c r="E159" s="225"/>
      <c r="F159" s="226" t="s">
        <v>1810</v>
      </c>
      <c r="G159" s="1" t="s">
        <v>1509</v>
      </c>
      <c r="I159" s="323" t="s">
        <v>1811</v>
      </c>
      <c r="J159" s="319" t="e">
        <f>VLOOKUP(K159,PLA_v2025!G:H,2,FALSE)</f>
        <v>#N/A</v>
      </c>
      <c r="K159" s="1" t="s">
        <v>1354</v>
      </c>
    </row>
    <row r="160" spans="1:11" ht="59" thickTop="1" thickBot="1">
      <c r="A160" s="17">
        <v>159</v>
      </c>
      <c r="B160" s="286" t="s">
        <v>1792</v>
      </c>
      <c r="C160" s="218" t="s">
        <v>1503</v>
      </c>
      <c r="D160" s="260" t="s">
        <v>1812</v>
      </c>
      <c r="E160" s="223"/>
      <c r="F160" s="222" t="s">
        <v>1813</v>
      </c>
      <c r="G160" s="1" t="s">
        <v>1509</v>
      </c>
      <c r="J160" s="319" t="str">
        <f>VLOOKUP(K160,PLA_v2025!G:H,2,FALSE)</f>
        <v>06.2.3</v>
      </c>
      <c r="K160" s="1" t="s">
        <v>643</v>
      </c>
    </row>
    <row r="161" spans="1:12" ht="59" thickTop="1" thickBot="1">
      <c r="A161" s="17">
        <v>160</v>
      </c>
      <c r="B161" s="286" t="s">
        <v>1792</v>
      </c>
      <c r="C161" s="218" t="s">
        <v>1503</v>
      </c>
      <c r="D161" s="260" t="s">
        <v>1812</v>
      </c>
      <c r="E161" s="224"/>
      <c r="F161" s="222" t="s">
        <v>1814</v>
      </c>
      <c r="G161" s="1" t="s">
        <v>1509</v>
      </c>
      <c r="I161" s="323" t="s">
        <v>1815</v>
      </c>
      <c r="J161" s="319" t="str">
        <f>VLOOKUP(K161,PLA_v2025!G:H,2,FALSE)</f>
        <v>16.5.1</v>
      </c>
      <c r="K161" s="302" t="s">
        <v>1334</v>
      </c>
    </row>
    <row r="162" spans="1:12" ht="30" thickTop="1" thickBot="1">
      <c r="A162" s="17">
        <v>161</v>
      </c>
      <c r="B162" s="286" t="s">
        <v>1792</v>
      </c>
      <c r="C162" s="218" t="s">
        <v>1505</v>
      </c>
      <c r="D162" s="260" t="s">
        <v>1816</v>
      </c>
      <c r="E162" s="223"/>
      <c r="F162" s="227" t="s">
        <v>1817</v>
      </c>
      <c r="G162" s="1" t="s">
        <v>1500</v>
      </c>
      <c r="I162" s="323" t="s">
        <v>1818</v>
      </c>
      <c r="J162" s="319" t="str">
        <f>VLOOKUP(K162,PLA_v2025!G:H,2,FALSE)</f>
        <v>03.2.1</v>
      </c>
      <c r="K162" s="1" t="s">
        <v>458</v>
      </c>
    </row>
    <row r="163" spans="1:12" ht="44.5" thickTop="1" thickBot="1">
      <c r="A163" s="17">
        <v>162</v>
      </c>
      <c r="B163" s="286" t="s">
        <v>1792</v>
      </c>
      <c r="C163" s="218" t="s">
        <v>1526</v>
      </c>
      <c r="D163" s="261" t="s">
        <v>1819</v>
      </c>
      <c r="E163" s="228"/>
      <c r="F163" s="222" t="s">
        <v>1820</v>
      </c>
      <c r="G163" s="1" t="s">
        <v>1625</v>
      </c>
      <c r="I163" s="323" t="s">
        <v>1821</v>
      </c>
      <c r="J163" s="319" t="str">
        <f>VLOOKUP(K163,PLA_v2025!G:H,2,FALSE)</f>
        <v>06.3.2</v>
      </c>
      <c r="K163" s="1" t="s">
        <v>670</v>
      </c>
    </row>
    <row r="164" spans="1:12" ht="44.5" thickTop="1" thickBot="1">
      <c r="A164" s="17">
        <v>163</v>
      </c>
      <c r="B164" s="286" t="s">
        <v>1792</v>
      </c>
      <c r="C164" s="218" t="s">
        <v>1526</v>
      </c>
      <c r="D164" s="261" t="s">
        <v>1819</v>
      </c>
      <c r="F164" s="226" t="s">
        <v>1822</v>
      </c>
      <c r="G164" s="1" t="s">
        <v>1625</v>
      </c>
      <c r="I164" s="323" t="s">
        <v>1821</v>
      </c>
      <c r="J164" s="319" t="str">
        <f>VLOOKUP(K164,PLA_v2025!G:H,2,FALSE)</f>
        <v>06.3.2</v>
      </c>
      <c r="K164" s="1" t="s">
        <v>670</v>
      </c>
    </row>
    <row r="165" spans="1:12" ht="44.5" thickTop="1" thickBot="1">
      <c r="A165" s="17">
        <v>164</v>
      </c>
      <c r="B165" s="286" t="s">
        <v>1792</v>
      </c>
      <c r="C165" s="218" t="s">
        <v>1528</v>
      </c>
      <c r="D165" s="261" t="s">
        <v>1823</v>
      </c>
      <c r="E165" s="228"/>
      <c r="F165" s="227" t="s">
        <v>1824</v>
      </c>
      <c r="G165" s="1" t="s">
        <v>1500</v>
      </c>
      <c r="I165" s="323" t="s">
        <v>1825</v>
      </c>
      <c r="J165" s="319" t="str">
        <f>VLOOKUP(K165,PLA_v2025!G:H,2,FALSE)</f>
        <v>11.7.2</v>
      </c>
      <c r="K165" s="1" t="s">
        <v>979</v>
      </c>
    </row>
    <row r="166" spans="1:12" ht="44.5" thickTop="1" thickBot="1">
      <c r="A166" s="17">
        <v>165</v>
      </c>
      <c r="B166" s="286" t="s">
        <v>1792</v>
      </c>
      <c r="C166" s="218" t="s">
        <v>1528</v>
      </c>
      <c r="D166" s="261" t="s">
        <v>1823</v>
      </c>
      <c r="F166" s="222" t="s">
        <v>1826</v>
      </c>
      <c r="G166" s="1" t="s">
        <v>1500</v>
      </c>
      <c r="J166" s="319" t="str">
        <f>VLOOKUP(K166,PLA_v2025!G:H,2,FALSE)</f>
        <v>11.7.2</v>
      </c>
      <c r="K166" s="1" t="s">
        <v>979</v>
      </c>
    </row>
    <row r="167" spans="1:12" ht="30" thickTop="1" thickBot="1">
      <c r="A167" s="17">
        <v>166</v>
      </c>
      <c r="B167" s="286" t="s">
        <v>1792</v>
      </c>
      <c r="C167" s="218" t="s">
        <v>1528</v>
      </c>
      <c r="D167" s="261" t="s">
        <v>1823</v>
      </c>
      <c r="F167" s="222" t="s">
        <v>1827</v>
      </c>
      <c r="G167" s="1" t="s">
        <v>1516</v>
      </c>
      <c r="H167" s="233" t="s">
        <v>1517</v>
      </c>
      <c r="J167" s="319"/>
      <c r="K167" s="1" t="s">
        <v>1828</v>
      </c>
    </row>
    <row r="168" spans="1:12" ht="30" thickTop="1" thickBot="1">
      <c r="A168" s="17">
        <v>167</v>
      </c>
      <c r="B168" s="286" t="s">
        <v>1792</v>
      </c>
      <c r="C168" s="218" t="s">
        <v>1528</v>
      </c>
      <c r="D168" s="261" t="s">
        <v>1823</v>
      </c>
      <c r="E168" s="229"/>
      <c r="F168" s="226" t="s">
        <v>1829</v>
      </c>
      <c r="G168" s="1" t="s">
        <v>1516</v>
      </c>
      <c r="H168" s="233" t="s">
        <v>1517</v>
      </c>
      <c r="J168" s="319"/>
      <c r="K168" s="1" t="s">
        <v>1828</v>
      </c>
    </row>
    <row r="169" spans="1:12" ht="88" thickTop="1" thickBot="1">
      <c r="A169" s="17">
        <v>168</v>
      </c>
      <c r="B169" s="286" t="s">
        <v>1792</v>
      </c>
      <c r="C169" s="218" t="s">
        <v>1533</v>
      </c>
      <c r="D169" s="262" t="s">
        <v>1830</v>
      </c>
      <c r="F169" s="230" t="s">
        <v>1831</v>
      </c>
      <c r="G169" s="1" t="s">
        <v>1500</v>
      </c>
      <c r="I169" s="323" t="s">
        <v>1832</v>
      </c>
      <c r="J169" s="319" t="str">
        <f>VLOOKUP(K169,PLA_v2025!G:H,2,FALSE)</f>
        <v>06.2.2</v>
      </c>
      <c r="K169" s="1" t="s">
        <v>636</v>
      </c>
      <c r="L169" s="302" t="s">
        <v>1634</v>
      </c>
    </row>
    <row r="170" spans="1:12" ht="73.5" thickTop="1" thickBot="1">
      <c r="A170" s="17">
        <v>169</v>
      </c>
      <c r="B170" s="286" t="s">
        <v>1792</v>
      </c>
      <c r="C170" s="218" t="s">
        <v>1533</v>
      </c>
      <c r="D170" s="262" t="s">
        <v>1830</v>
      </c>
      <c r="F170" s="222" t="s">
        <v>1833</v>
      </c>
      <c r="G170" s="1" t="s">
        <v>1614</v>
      </c>
      <c r="I170" s="323" t="s">
        <v>1834</v>
      </c>
      <c r="J170" s="319" t="str">
        <f>VLOOKUP(K170,PLA_v2025!G:H,2,FALSE)</f>
        <v>01.4.1</v>
      </c>
      <c r="K170" s="1" t="s">
        <v>391</v>
      </c>
    </row>
    <row r="171" spans="1:12" ht="44.5" thickTop="1" thickBot="1">
      <c r="A171" s="17">
        <v>170</v>
      </c>
      <c r="B171" s="286" t="s">
        <v>1792</v>
      </c>
      <c r="C171" s="218" t="s">
        <v>1533</v>
      </c>
      <c r="D171" s="262" t="s">
        <v>1830</v>
      </c>
      <c r="F171" s="222" t="s">
        <v>1835</v>
      </c>
      <c r="G171" s="1" t="s">
        <v>1509</v>
      </c>
      <c r="J171" s="319" t="e">
        <f>VLOOKUP(K171,PLA_v2025!G:H,2,FALSE)</f>
        <v>#N/A</v>
      </c>
      <c r="K171" s="1" t="s">
        <v>1354</v>
      </c>
    </row>
    <row r="172" spans="1:12" ht="30" thickTop="1" thickBot="1">
      <c r="A172" s="17">
        <v>171</v>
      </c>
      <c r="B172" s="286" t="s">
        <v>1792</v>
      </c>
      <c r="C172" s="218" t="s">
        <v>1533</v>
      </c>
      <c r="D172" s="262" t="s">
        <v>1830</v>
      </c>
      <c r="F172" s="222" t="s">
        <v>1836</v>
      </c>
      <c r="G172" s="1" t="s">
        <v>1500</v>
      </c>
      <c r="J172" s="319" t="str">
        <f>VLOOKUP(K172,PLA_v2025!G:H,2,FALSE)</f>
        <v>01.1.2</v>
      </c>
      <c r="K172" s="1" t="s">
        <v>308</v>
      </c>
    </row>
    <row r="173" spans="1:12" ht="30" thickTop="1" thickBot="1">
      <c r="A173" s="17">
        <v>172</v>
      </c>
      <c r="B173" s="286" t="s">
        <v>1792</v>
      </c>
      <c r="C173" s="218" t="s">
        <v>1533</v>
      </c>
      <c r="D173" s="262" t="s">
        <v>1830</v>
      </c>
      <c r="F173" s="222" t="s">
        <v>1837</v>
      </c>
      <c r="G173" s="1" t="s">
        <v>1500</v>
      </c>
      <c r="J173" s="319" t="str">
        <f>VLOOKUP(K173,PLA_v2025!G:H,2,FALSE)</f>
        <v>01.1.2</v>
      </c>
      <c r="K173" s="1" t="s">
        <v>308</v>
      </c>
    </row>
    <row r="174" spans="1:12" ht="30" thickTop="1" thickBot="1">
      <c r="A174" s="17">
        <v>173</v>
      </c>
      <c r="B174" s="286" t="s">
        <v>1792</v>
      </c>
      <c r="C174" s="218" t="s">
        <v>1535</v>
      </c>
      <c r="D174" s="262" t="s">
        <v>1838</v>
      </c>
      <c r="F174" s="230" t="s">
        <v>1839</v>
      </c>
      <c r="G174" s="1" t="s">
        <v>1509</v>
      </c>
      <c r="I174" s="323" t="s">
        <v>1840</v>
      </c>
      <c r="J174" s="319" t="str">
        <f>VLOOKUP(K174,PLA_v2025!G:H,2,FALSE)</f>
        <v>06.2.1</v>
      </c>
      <c r="K174" s="1" t="s">
        <v>630</v>
      </c>
    </row>
    <row r="175" spans="1:12" ht="44.5" thickTop="1" thickBot="1">
      <c r="A175" s="17">
        <v>174</v>
      </c>
      <c r="B175" s="286" t="s">
        <v>1792</v>
      </c>
      <c r="C175" s="218" t="s">
        <v>1535</v>
      </c>
      <c r="D175" s="262" t="s">
        <v>1838</v>
      </c>
      <c r="F175" s="230" t="s">
        <v>1841</v>
      </c>
      <c r="G175" s="1" t="s">
        <v>1500</v>
      </c>
      <c r="J175" s="319" t="str">
        <f>VLOOKUP(K175,PLA_v2025!G:H,2,FALSE)</f>
        <v>06.1.2</v>
      </c>
      <c r="K175" s="1" t="s">
        <v>623</v>
      </c>
    </row>
    <row r="176" spans="1:12" ht="44.5" thickTop="1" thickBot="1">
      <c r="A176" s="17">
        <v>175</v>
      </c>
      <c r="B176" s="286" t="s">
        <v>1792</v>
      </c>
      <c r="C176" s="218" t="s">
        <v>1535</v>
      </c>
      <c r="D176" s="262" t="s">
        <v>1838</v>
      </c>
      <c r="F176" s="230" t="s">
        <v>1842</v>
      </c>
      <c r="G176" s="1" t="s">
        <v>1500</v>
      </c>
      <c r="J176" s="319" t="str">
        <f>VLOOKUP(K176,PLA_v2025!G:H,2,FALSE)</f>
        <v>06.1.2</v>
      </c>
      <c r="K176" s="1" t="s">
        <v>623</v>
      </c>
    </row>
    <row r="177" spans="1:12" ht="44.5" thickTop="1" thickBot="1">
      <c r="A177" s="17">
        <v>176</v>
      </c>
      <c r="B177" s="286" t="s">
        <v>1792</v>
      </c>
      <c r="C177" s="218" t="s">
        <v>1537</v>
      </c>
      <c r="D177" s="262" t="s">
        <v>1843</v>
      </c>
      <c r="E177" s="228"/>
      <c r="F177" s="227" t="s">
        <v>1844</v>
      </c>
      <c r="G177" s="1" t="s">
        <v>1614</v>
      </c>
      <c r="I177" s="323" t="s">
        <v>1845</v>
      </c>
      <c r="J177" s="319" t="str">
        <f>VLOOKUP(K177,PLA_v2025!G:H,2,FALSE)</f>
        <v>03.3.5</v>
      </c>
      <c r="K177" s="1" t="s">
        <v>484</v>
      </c>
    </row>
    <row r="178" spans="1:12" ht="30" thickTop="1" thickBot="1">
      <c r="A178" s="17">
        <v>177</v>
      </c>
      <c r="B178" s="286" t="s">
        <v>1792</v>
      </c>
      <c r="C178" s="218" t="s">
        <v>1537</v>
      </c>
      <c r="D178" s="262" t="s">
        <v>1843</v>
      </c>
      <c r="F178" s="222" t="s">
        <v>1846</v>
      </c>
      <c r="G178" s="1" t="s">
        <v>1509</v>
      </c>
      <c r="I178" s="323" t="s">
        <v>1847</v>
      </c>
      <c r="J178" s="319" t="str">
        <f>VLOOKUP(K178,PLA_v2025!G:H,2,FALSE)</f>
        <v>01.3.4</v>
      </c>
      <c r="K178" s="1" t="s">
        <v>374</v>
      </c>
      <c r="L178" s="1" t="s">
        <v>375</v>
      </c>
    </row>
    <row r="179" spans="1:12" ht="30" thickTop="1" thickBot="1">
      <c r="A179" s="17">
        <v>178</v>
      </c>
      <c r="B179" s="286" t="s">
        <v>1792</v>
      </c>
      <c r="C179" s="218" t="s">
        <v>1537</v>
      </c>
      <c r="D179" s="262" t="s">
        <v>1843</v>
      </c>
      <c r="F179" s="222" t="s">
        <v>1848</v>
      </c>
      <c r="G179" s="1" t="s">
        <v>1625</v>
      </c>
      <c r="I179" s="323" t="s">
        <v>1849</v>
      </c>
      <c r="J179" s="319" t="str">
        <f>VLOOKUP(K179,PLA_v2025!G:H,2,FALSE)</f>
        <v>02.1.2</v>
      </c>
      <c r="K179" s="1" t="s">
        <v>414</v>
      </c>
    </row>
    <row r="180" spans="1:12" ht="30" thickTop="1" thickBot="1">
      <c r="A180" s="17">
        <v>179</v>
      </c>
      <c r="B180" s="286" t="s">
        <v>1792</v>
      </c>
      <c r="C180" s="218" t="s">
        <v>1537</v>
      </c>
      <c r="D180" s="262" t="s">
        <v>1843</v>
      </c>
      <c r="F180" s="222" t="s">
        <v>1850</v>
      </c>
      <c r="G180" s="1" t="s">
        <v>1500</v>
      </c>
      <c r="J180" s="319" t="str">
        <f>VLOOKUP(K180,PLA_v2025!G:H,2,FALSE)</f>
        <v>03.4.2</v>
      </c>
      <c r="K180" s="1" t="s">
        <v>498</v>
      </c>
    </row>
    <row r="181" spans="1:12" ht="30" thickTop="1" thickBot="1">
      <c r="A181" s="17">
        <v>180</v>
      </c>
      <c r="B181" s="286" t="s">
        <v>1792</v>
      </c>
      <c r="C181" s="218" t="s">
        <v>1537</v>
      </c>
      <c r="D181" s="262" t="s">
        <v>1843</v>
      </c>
      <c r="F181" s="222" t="s">
        <v>1851</v>
      </c>
      <c r="G181" s="1" t="s">
        <v>1614</v>
      </c>
      <c r="I181" s="323" t="s">
        <v>1852</v>
      </c>
      <c r="J181" s="319" t="str">
        <f>VLOOKUP(K181,PLA_v2025!G:H,2,FALSE)</f>
        <v>03.4.2</v>
      </c>
      <c r="K181" s="1" t="s">
        <v>498</v>
      </c>
    </row>
    <row r="182" spans="1:12" ht="30" thickTop="1" thickBot="1">
      <c r="A182" s="17">
        <v>181</v>
      </c>
      <c r="B182" s="286" t="s">
        <v>1792</v>
      </c>
      <c r="C182" s="218" t="s">
        <v>1537</v>
      </c>
      <c r="D182" s="262" t="s">
        <v>1843</v>
      </c>
      <c r="E182" s="229"/>
      <c r="F182" s="226" t="s">
        <v>1853</v>
      </c>
      <c r="G182" s="1" t="s">
        <v>1509</v>
      </c>
      <c r="I182" s="323" t="s">
        <v>1854</v>
      </c>
      <c r="J182" s="319" t="str">
        <f>VLOOKUP(K182,PLA_v2025!G:H,2,FALSE)</f>
        <v>15.1.3</v>
      </c>
      <c r="K182" s="1" t="s">
        <v>1254</v>
      </c>
    </row>
    <row r="183" spans="1:12" ht="44" thickTop="1">
      <c r="A183" s="17">
        <v>182</v>
      </c>
      <c r="B183" s="286" t="s">
        <v>1792</v>
      </c>
      <c r="C183" s="218" t="s">
        <v>1540</v>
      </c>
      <c r="D183" s="263" t="s">
        <v>1855</v>
      </c>
      <c r="F183" s="230" t="s">
        <v>1856</v>
      </c>
      <c r="G183" s="1" t="s">
        <v>1509</v>
      </c>
      <c r="J183" s="319" t="str">
        <f>VLOOKUP(K183,PLA_v2025!G:H,2,FALSE)</f>
        <v>06.2.2</v>
      </c>
      <c r="K183" s="1" t="s">
        <v>636</v>
      </c>
      <c r="L183" s="302" t="s">
        <v>1634</v>
      </c>
    </row>
    <row r="184" spans="1:12" ht="43.5">
      <c r="A184" s="17">
        <v>183</v>
      </c>
      <c r="B184" s="286" t="s">
        <v>1792</v>
      </c>
      <c r="C184" s="218" t="s">
        <v>1540</v>
      </c>
      <c r="D184" s="263" t="s">
        <v>1855</v>
      </c>
      <c r="F184" s="230" t="s">
        <v>1857</v>
      </c>
      <c r="G184" s="1" t="s">
        <v>1500</v>
      </c>
      <c r="J184" s="319" t="str">
        <f>VLOOKUP(K184,PLA_v2025!G:H,2,FALSE)</f>
        <v>03.3.3</v>
      </c>
      <c r="K184" s="1" t="s">
        <v>476</v>
      </c>
    </row>
    <row r="185" spans="1:12" ht="29">
      <c r="A185" s="17">
        <v>184</v>
      </c>
      <c r="B185" s="286" t="s">
        <v>1792</v>
      </c>
      <c r="C185" s="218" t="s">
        <v>1540</v>
      </c>
      <c r="D185" s="263" t="s">
        <v>1855</v>
      </c>
      <c r="F185" s="230" t="s">
        <v>1858</v>
      </c>
      <c r="G185" s="1" t="s">
        <v>1625</v>
      </c>
      <c r="I185" s="323" t="s">
        <v>1859</v>
      </c>
      <c r="J185" s="319" t="str">
        <f>VLOOKUP(K185,PLA_v2025!G:H,2,FALSE)</f>
        <v>08.2.1</v>
      </c>
      <c r="K185" s="1" t="s">
        <v>771</v>
      </c>
    </row>
    <row r="186" spans="1:12" ht="44" thickBot="1">
      <c r="A186" s="17">
        <v>185</v>
      </c>
      <c r="B186" s="286" t="s">
        <v>1792</v>
      </c>
      <c r="C186" s="218" t="s">
        <v>1540</v>
      </c>
      <c r="D186" s="263" t="s">
        <v>1855</v>
      </c>
      <c r="F186" s="230" t="s">
        <v>1860</v>
      </c>
      <c r="G186" s="1" t="s">
        <v>1500</v>
      </c>
      <c r="I186" s="323" t="s">
        <v>1861</v>
      </c>
      <c r="J186" s="319" t="str">
        <f>VLOOKUP(K186,PLA_v2025!G:H,2,FALSE)</f>
        <v>06.2.2</v>
      </c>
      <c r="K186" s="1" t="s">
        <v>636</v>
      </c>
      <c r="L186" s="302" t="s">
        <v>1634</v>
      </c>
    </row>
    <row r="187" spans="1:12" ht="59" thickTop="1" thickBot="1">
      <c r="A187" s="17">
        <v>186</v>
      </c>
      <c r="B187" s="286" t="s">
        <v>1792</v>
      </c>
      <c r="C187" s="218" t="s">
        <v>1542</v>
      </c>
      <c r="D187" s="262" t="s">
        <v>1862</v>
      </c>
      <c r="E187" s="228"/>
      <c r="F187" s="227" t="s">
        <v>1863</v>
      </c>
      <c r="G187" s="1" t="s">
        <v>1625</v>
      </c>
      <c r="I187" s="323" t="s">
        <v>1864</v>
      </c>
      <c r="J187" s="319" t="str">
        <f>VLOOKUP(K187,PLA_v2025!G:H,2,FALSE)</f>
        <v>03.3.4</v>
      </c>
      <c r="K187" s="1" t="s">
        <v>479</v>
      </c>
      <c r="L187" s="302" t="s">
        <v>1865</v>
      </c>
    </row>
    <row r="188" spans="1:12" ht="59" thickTop="1" thickBot="1">
      <c r="A188" s="17">
        <v>187</v>
      </c>
      <c r="B188" s="286" t="s">
        <v>1792</v>
      </c>
      <c r="C188" s="218" t="s">
        <v>1542</v>
      </c>
      <c r="D188" s="262" t="s">
        <v>1862</v>
      </c>
      <c r="F188" s="222" t="s">
        <v>1866</v>
      </c>
      <c r="G188" s="1" t="s">
        <v>290</v>
      </c>
      <c r="J188" s="319" t="str">
        <f>VLOOKUP(K188,PLA_v2025!G:H,2,FALSE)</f>
        <v>03.3.4</v>
      </c>
      <c r="K188" s="1" t="s">
        <v>479</v>
      </c>
      <c r="L188" s="302" t="s">
        <v>1865</v>
      </c>
    </row>
    <row r="189" spans="1:12" ht="59" thickTop="1" thickBot="1">
      <c r="A189" s="17">
        <v>188</v>
      </c>
      <c r="B189" s="286" t="s">
        <v>1792</v>
      </c>
      <c r="C189" s="218" t="s">
        <v>1542</v>
      </c>
      <c r="D189" s="262" t="s">
        <v>1862</v>
      </c>
      <c r="F189" s="222" t="s">
        <v>1867</v>
      </c>
      <c r="J189" s="319" t="str">
        <f>VLOOKUP(K189,PLA_v2025!G:H,2,FALSE)</f>
        <v>03.3.4</v>
      </c>
      <c r="K189" s="1" t="s">
        <v>479</v>
      </c>
      <c r="L189" s="302" t="s">
        <v>1865</v>
      </c>
    </row>
    <row r="190" spans="1:12" ht="59" thickTop="1" thickBot="1">
      <c r="A190" s="17">
        <v>189</v>
      </c>
      <c r="B190" s="286" t="s">
        <v>1792</v>
      </c>
      <c r="C190" s="218" t="s">
        <v>1542</v>
      </c>
      <c r="D190" s="262" t="s">
        <v>1862</v>
      </c>
      <c r="F190" s="222" t="s">
        <v>1868</v>
      </c>
      <c r="G190" s="1" t="s">
        <v>1509</v>
      </c>
      <c r="I190" s="323" t="s">
        <v>1869</v>
      </c>
      <c r="J190" s="319" t="str">
        <f>VLOOKUP(K190,PLA_v2025!G:H,2,FALSE)</f>
        <v>03.3.4</v>
      </c>
      <c r="K190" s="1" t="s">
        <v>479</v>
      </c>
      <c r="L190" s="302" t="s">
        <v>1865</v>
      </c>
    </row>
    <row r="191" spans="1:12" ht="44.5" thickTop="1" thickBot="1">
      <c r="A191" s="17">
        <v>190</v>
      </c>
      <c r="B191" s="286" t="s">
        <v>1792</v>
      </c>
      <c r="C191" s="218" t="s">
        <v>1542</v>
      </c>
      <c r="D191" s="262" t="s">
        <v>1862</v>
      </c>
      <c r="F191" s="222" t="s">
        <v>1870</v>
      </c>
      <c r="G191" s="1" t="s">
        <v>1625</v>
      </c>
      <c r="J191" s="319" t="str">
        <f>VLOOKUP(K191,PLA_v2025!G:H,2,FALSE)</f>
        <v>06.2.3</v>
      </c>
      <c r="K191" s="1" t="s">
        <v>643</v>
      </c>
    </row>
    <row r="192" spans="1:12" ht="44.5" thickTop="1" thickBot="1">
      <c r="A192" s="17">
        <v>191</v>
      </c>
      <c r="B192" s="286" t="s">
        <v>1792</v>
      </c>
      <c r="C192" s="218" t="s">
        <v>1542</v>
      </c>
      <c r="D192" s="262" t="s">
        <v>1862</v>
      </c>
      <c r="E192" s="229"/>
      <c r="F192" s="226" t="s">
        <v>1871</v>
      </c>
      <c r="G192" s="1" t="s">
        <v>1625</v>
      </c>
      <c r="I192" s="323" t="s">
        <v>1872</v>
      </c>
      <c r="J192" s="319" t="str">
        <f>VLOOKUP(K192,PLA_v2025!G:H,2,FALSE)</f>
        <v>03.1.1</v>
      </c>
      <c r="K192" s="1" t="s">
        <v>446</v>
      </c>
    </row>
    <row r="193" spans="1:12" ht="29.5" thickTop="1">
      <c r="A193" s="17">
        <v>192</v>
      </c>
      <c r="B193" s="286" t="s">
        <v>1792</v>
      </c>
      <c r="C193" s="218" t="s">
        <v>1551</v>
      </c>
      <c r="D193" s="264" t="s">
        <v>1873</v>
      </c>
      <c r="F193" s="230" t="s">
        <v>1874</v>
      </c>
      <c r="G193" s="1" t="s">
        <v>290</v>
      </c>
      <c r="I193" s="323" t="s">
        <v>1684</v>
      </c>
      <c r="J193" s="319" t="str">
        <f>VLOOKUP(K193,PLA_v2025!G:H,2,FALSE)</f>
        <v>06.2.1</v>
      </c>
      <c r="K193" s="1" t="s">
        <v>630</v>
      </c>
    </row>
    <row r="194" spans="1:12" ht="29">
      <c r="A194" s="17">
        <v>193</v>
      </c>
      <c r="B194" s="286" t="s">
        <v>1792</v>
      </c>
      <c r="C194" s="218" t="s">
        <v>1551</v>
      </c>
      <c r="D194" s="264"/>
      <c r="F194" s="230" t="s">
        <v>1875</v>
      </c>
      <c r="G194" s="1" t="s">
        <v>1500</v>
      </c>
      <c r="J194" s="319" t="str">
        <f>VLOOKUP(K194,PLA_v2025!G:H,2,FALSE)</f>
        <v>01.1.1</v>
      </c>
      <c r="K194" s="1" t="s">
        <v>296</v>
      </c>
      <c r="L194" s="302" t="s">
        <v>299</v>
      </c>
    </row>
    <row r="195" spans="1:12" ht="29.5" thickBot="1">
      <c r="A195" s="17">
        <v>194</v>
      </c>
      <c r="B195" s="286" t="s">
        <v>1792</v>
      </c>
      <c r="C195" s="218" t="s">
        <v>1551</v>
      </c>
      <c r="D195" s="264"/>
      <c r="F195" s="230" t="s">
        <v>1876</v>
      </c>
      <c r="G195" s="1" t="s">
        <v>1509</v>
      </c>
      <c r="I195" s="323" t="s">
        <v>1877</v>
      </c>
      <c r="J195" s="319" t="str">
        <f>VLOOKUP(K195,PLA_v2025!G:H,2,FALSE)</f>
        <v>06.2.7</v>
      </c>
      <c r="K195" s="1" t="s">
        <v>659</v>
      </c>
    </row>
    <row r="196" spans="1:12" ht="59" thickTop="1" thickBot="1">
      <c r="A196" s="17">
        <v>195</v>
      </c>
      <c r="B196" s="286" t="s">
        <v>1792</v>
      </c>
      <c r="C196" s="218" t="s">
        <v>1553</v>
      </c>
      <c r="D196" s="265" t="s">
        <v>1878</v>
      </c>
      <c r="E196" s="228"/>
      <c r="F196" s="227" t="s">
        <v>1879</v>
      </c>
      <c r="G196" s="1" t="s">
        <v>1500</v>
      </c>
      <c r="J196" s="319" t="str">
        <f>VLOOKUP(K196,PLA_v2025!G:H,2,FALSE)</f>
        <v>06.2.2</v>
      </c>
      <c r="K196" s="1" t="s">
        <v>636</v>
      </c>
      <c r="L196" s="302" t="s">
        <v>1634</v>
      </c>
    </row>
    <row r="197" spans="1:12" ht="30" thickTop="1" thickBot="1">
      <c r="A197" s="17">
        <v>196</v>
      </c>
      <c r="B197" s="286" t="s">
        <v>1792</v>
      </c>
      <c r="C197" s="218" t="s">
        <v>1553</v>
      </c>
      <c r="D197" s="265" t="s">
        <v>1878</v>
      </c>
      <c r="F197" s="222" t="s">
        <v>1880</v>
      </c>
      <c r="G197" s="1" t="s">
        <v>1509</v>
      </c>
      <c r="I197" s="323" t="s">
        <v>1684</v>
      </c>
      <c r="J197" s="319" t="str">
        <f>VLOOKUP(K197,PLA_v2025!G:H,2,FALSE)</f>
        <v>06.2.1</v>
      </c>
      <c r="K197" s="1" t="s">
        <v>630</v>
      </c>
    </row>
    <row r="198" spans="1:12" ht="30" thickTop="1" thickBot="1">
      <c r="A198" s="17">
        <v>197</v>
      </c>
      <c r="B198" s="286" t="s">
        <v>1792</v>
      </c>
      <c r="C198" s="218" t="s">
        <v>1553</v>
      </c>
      <c r="D198" s="265" t="s">
        <v>1878</v>
      </c>
      <c r="F198" s="222" t="s">
        <v>1881</v>
      </c>
      <c r="G198" s="1" t="s">
        <v>1509</v>
      </c>
      <c r="I198" s="323" t="s">
        <v>1882</v>
      </c>
      <c r="J198" s="319" t="str">
        <f>VLOOKUP(K198,PLA_v2025!G:H,2,FALSE)</f>
        <v>01.1.1</v>
      </c>
      <c r="K198" s="1" t="s">
        <v>296</v>
      </c>
      <c r="L198" s="302" t="s">
        <v>299</v>
      </c>
    </row>
    <row r="199" spans="1:12" ht="44.5" thickTop="1" thickBot="1">
      <c r="A199" s="17">
        <v>198</v>
      </c>
      <c r="B199" s="286" t="s">
        <v>1792</v>
      </c>
      <c r="C199" s="218" t="s">
        <v>1553</v>
      </c>
      <c r="D199" s="265" t="s">
        <v>1878</v>
      </c>
      <c r="F199" s="222" t="s">
        <v>1883</v>
      </c>
      <c r="G199" s="1" t="s">
        <v>1500</v>
      </c>
      <c r="J199" s="319" t="str">
        <f>VLOOKUP(K199,PLA_v2025!G:H,2,FALSE)</f>
        <v>01.2.2</v>
      </c>
      <c r="K199" s="1" t="s">
        <v>332</v>
      </c>
    </row>
    <row r="200" spans="1:12" ht="44.5" thickTop="1" thickBot="1">
      <c r="A200" s="17">
        <v>199</v>
      </c>
      <c r="B200" s="286" t="s">
        <v>1792</v>
      </c>
      <c r="C200" s="218" t="s">
        <v>1553</v>
      </c>
      <c r="D200" s="265" t="s">
        <v>1878</v>
      </c>
      <c r="F200" s="222" t="s">
        <v>1884</v>
      </c>
      <c r="G200" s="1" t="s">
        <v>1500</v>
      </c>
      <c r="I200" s="323" t="s">
        <v>1885</v>
      </c>
      <c r="J200" s="319" t="str">
        <f>VLOOKUP(K200,PLA_v2025!G:H,2,FALSE)</f>
        <v>01.2.2</v>
      </c>
      <c r="K200" s="1" t="s">
        <v>332</v>
      </c>
    </row>
    <row r="201" spans="1:12" ht="44.5" thickTop="1" thickBot="1">
      <c r="A201" s="17">
        <v>200</v>
      </c>
      <c r="B201" s="286" t="s">
        <v>1792</v>
      </c>
      <c r="C201" s="218" t="s">
        <v>1553</v>
      </c>
      <c r="D201" s="265" t="s">
        <v>1878</v>
      </c>
      <c r="E201" s="229"/>
      <c r="F201" s="226" t="s">
        <v>1886</v>
      </c>
      <c r="G201" s="1" t="s">
        <v>1509</v>
      </c>
      <c r="J201" s="319" t="str">
        <f>VLOOKUP(K201,PLA_v2025!G:H,2,FALSE)</f>
        <v>06.2.2</v>
      </c>
      <c r="K201" s="1" t="s">
        <v>636</v>
      </c>
      <c r="L201" s="302" t="s">
        <v>1634</v>
      </c>
    </row>
    <row r="202" spans="1:12" ht="30" thickTop="1" thickBot="1">
      <c r="A202" s="17">
        <v>201</v>
      </c>
      <c r="B202" s="286" t="s">
        <v>1792</v>
      </c>
      <c r="C202" s="218" t="s">
        <v>1555</v>
      </c>
      <c r="D202" s="265" t="s">
        <v>1887</v>
      </c>
      <c r="E202" s="228"/>
      <c r="F202" s="227" t="s">
        <v>1888</v>
      </c>
      <c r="G202" s="1" t="s">
        <v>290</v>
      </c>
      <c r="I202" s="323" t="s">
        <v>1684</v>
      </c>
      <c r="J202" s="319" t="str">
        <f>VLOOKUP(K202,PLA_v2025!G:H,2,FALSE)</f>
        <v>06.2.1</v>
      </c>
      <c r="K202" s="1" t="s">
        <v>630</v>
      </c>
    </row>
    <row r="203" spans="1:12" ht="15.5" thickTop="1" thickBot="1">
      <c r="A203" s="17">
        <v>202</v>
      </c>
      <c r="B203" s="286" t="s">
        <v>1792</v>
      </c>
      <c r="C203" s="218" t="s">
        <v>1560</v>
      </c>
      <c r="D203" s="266" t="s">
        <v>1889</v>
      </c>
      <c r="E203" s="228"/>
      <c r="F203" s="227" t="s">
        <v>1890</v>
      </c>
      <c r="G203" s="1" t="s">
        <v>1509</v>
      </c>
      <c r="I203" s="323" t="s">
        <v>1891</v>
      </c>
      <c r="J203" s="319" t="str">
        <f>VLOOKUP(K203,PLA_v2025!G:H,2,FALSE)</f>
        <v>03.4.2</v>
      </c>
      <c r="K203" s="1" t="s">
        <v>498</v>
      </c>
    </row>
    <row r="204" spans="1:12" ht="44.5" thickTop="1" thickBot="1">
      <c r="A204" s="17">
        <v>203</v>
      </c>
      <c r="B204" s="286" t="s">
        <v>1792</v>
      </c>
      <c r="C204" s="218" t="s">
        <v>1560</v>
      </c>
      <c r="D204" s="266" t="s">
        <v>1889</v>
      </c>
      <c r="F204" s="222" t="s">
        <v>1892</v>
      </c>
      <c r="J204" s="319" t="str">
        <f>VLOOKUP(K204,PLA_v2025!G:H,2,FALSE)</f>
        <v>06.2.2</v>
      </c>
      <c r="K204" s="1" t="s">
        <v>636</v>
      </c>
      <c r="L204" s="302" t="s">
        <v>1634</v>
      </c>
    </row>
    <row r="205" spans="1:12" ht="44.5" thickTop="1" thickBot="1">
      <c r="A205" s="17">
        <v>204</v>
      </c>
      <c r="B205" s="286" t="s">
        <v>1792</v>
      </c>
      <c r="C205" s="218" t="s">
        <v>1560</v>
      </c>
      <c r="D205" s="266" t="s">
        <v>1889</v>
      </c>
      <c r="F205" s="222" t="s">
        <v>1893</v>
      </c>
      <c r="J205" s="319" t="e">
        <f>VLOOKUP(K205,PLA_v2025!G:H,2,FALSE)</f>
        <v>#N/A</v>
      </c>
      <c r="K205" s="1" t="s">
        <v>1354</v>
      </c>
    </row>
    <row r="206" spans="1:12" ht="44.5" thickTop="1" thickBot="1">
      <c r="A206" s="17">
        <v>205</v>
      </c>
      <c r="B206" s="286" t="s">
        <v>1792</v>
      </c>
      <c r="C206" s="218" t="s">
        <v>1560</v>
      </c>
      <c r="D206" s="266" t="s">
        <v>1889</v>
      </c>
      <c r="F206" s="222" t="s">
        <v>1894</v>
      </c>
      <c r="J206" s="319" t="str">
        <f>VLOOKUP(K206,PLA_v2025!G:H,2,FALSE)</f>
        <v>02.1.3</v>
      </c>
      <c r="K206" s="1" t="s">
        <v>417</v>
      </c>
      <c r="L206" s="302" t="s">
        <v>1895</v>
      </c>
    </row>
    <row r="207" spans="1:12" ht="44.5" thickTop="1" thickBot="1">
      <c r="A207" s="17">
        <v>206</v>
      </c>
      <c r="B207" s="286" t="s">
        <v>1792</v>
      </c>
      <c r="C207" s="218" t="s">
        <v>1560</v>
      </c>
      <c r="D207" s="266" t="s">
        <v>1889</v>
      </c>
      <c r="F207" s="222" t="s">
        <v>1896</v>
      </c>
      <c r="J207" s="319" t="str">
        <f>VLOOKUP(K207,PLA_v2025!G:H,2,FALSE)</f>
        <v>02.1.4</v>
      </c>
      <c r="K207" s="1" t="s">
        <v>423</v>
      </c>
    </row>
    <row r="208" spans="1:12" ht="30" thickTop="1" thickBot="1">
      <c r="A208" s="17">
        <v>207</v>
      </c>
      <c r="B208" s="286" t="s">
        <v>1792</v>
      </c>
      <c r="C208" s="218" t="s">
        <v>1560</v>
      </c>
      <c r="D208" s="266" t="s">
        <v>1889</v>
      </c>
      <c r="E208" s="229"/>
      <c r="F208" s="226" t="s">
        <v>1897</v>
      </c>
      <c r="J208" s="319" t="str">
        <f>VLOOKUP(K208,PLA_v2025!G:H,2,FALSE)</f>
        <v>01.4.1</v>
      </c>
      <c r="K208" s="1" t="s">
        <v>391</v>
      </c>
    </row>
    <row r="209" spans="1:12" ht="44.5" thickTop="1" thickBot="1">
      <c r="A209" s="17">
        <v>208</v>
      </c>
      <c r="B209" s="286" t="s">
        <v>1792</v>
      </c>
      <c r="C209" s="218" t="s">
        <v>1564</v>
      </c>
      <c r="D209" s="266" t="s">
        <v>1898</v>
      </c>
      <c r="E209" s="228"/>
      <c r="F209" s="227" t="s">
        <v>1899</v>
      </c>
      <c r="G209" s="1" t="s">
        <v>1516</v>
      </c>
      <c r="H209" s="233" t="s">
        <v>1517</v>
      </c>
      <c r="I209" s="323" t="s">
        <v>1900</v>
      </c>
      <c r="J209" s="319"/>
      <c r="K209" s="1"/>
    </row>
    <row r="210" spans="1:12" ht="30" thickTop="1" thickBot="1">
      <c r="A210" s="17">
        <v>209</v>
      </c>
      <c r="B210" s="286" t="s">
        <v>1792</v>
      </c>
      <c r="C210" s="218" t="s">
        <v>1564</v>
      </c>
      <c r="D210" s="266" t="s">
        <v>1898</v>
      </c>
      <c r="F210" s="222" t="s">
        <v>1901</v>
      </c>
      <c r="G210" s="1" t="s">
        <v>290</v>
      </c>
      <c r="I210" s="323" t="s">
        <v>1902</v>
      </c>
      <c r="J210" s="319" t="str">
        <f>VLOOKUP(K210,PLA_v2025!G:H,2,FALSE)</f>
        <v>06.2.1</v>
      </c>
      <c r="K210" s="1" t="s">
        <v>630</v>
      </c>
    </row>
    <row r="211" spans="1:12" ht="59" thickTop="1" thickBot="1">
      <c r="A211" s="17">
        <v>210</v>
      </c>
      <c r="B211" s="286" t="s">
        <v>1792</v>
      </c>
      <c r="C211" s="218" t="s">
        <v>1564</v>
      </c>
      <c r="D211" s="266" t="s">
        <v>1898</v>
      </c>
      <c r="F211" s="222" t="s">
        <v>1903</v>
      </c>
      <c r="G211" s="1" t="s">
        <v>290</v>
      </c>
      <c r="I211" s="323" t="s">
        <v>1904</v>
      </c>
      <c r="J211" s="319" t="str">
        <f>VLOOKUP(K211,PLA_v2025!G:H,2,FALSE)</f>
        <v>08.4.1</v>
      </c>
      <c r="K211" s="1" t="s">
        <v>817</v>
      </c>
    </row>
    <row r="212" spans="1:12" ht="44.5" thickTop="1" thickBot="1">
      <c r="A212" s="17">
        <v>211</v>
      </c>
      <c r="B212" s="286" t="s">
        <v>1792</v>
      </c>
      <c r="C212" s="218" t="s">
        <v>1564</v>
      </c>
      <c r="D212" s="266" t="s">
        <v>1898</v>
      </c>
      <c r="F212" s="222" t="s">
        <v>1905</v>
      </c>
      <c r="G212" s="1" t="s">
        <v>1625</v>
      </c>
      <c r="I212" s="323" t="s">
        <v>1906</v>
      </c>
      <c r="J212" s="319" t="str">
        <f>VLOOKUP(K212,PLA_v2025!G:H,2,FALSE)</f>
        <v>08.4.2</v>
      </c>
      <c r="K212" s="1" t="s">
        <v>820</v>
      </c>
    </row>
    <row r="213" spans="1:12" ht="44.5" thickTop="1" thickBot="1">
      <c r="A213" s="17">
        <v>212</v>
      </c>
      <c r="B213" s="286" t="s">
        <v>1792</v>
      </c>
      <c r="C213" s="218" t="s">
        <v>1564</v>
      </c>
      <c r="D213" s="266" t="s">
        <v>1898</v>
      </c>
      <c r="F213" s="222" t="s">
        <v>1907</v>
      </c>
      <c r="G213" s="1" t="s">
        <v>1500</v>
      </c>
      <c r="I213" s="323" t="s">
        <v>1908</v>
      </c>
      <c r="J213" s="319" t="str">
        <f>VLOOKUP(K213,PLA_v2025!G:H,2,FALSE)</f>
        <v>06.2.2</v>
      </c>
      <c r="K213" s="1" t="s">
        <v>636</v>
      </c>
      <c r="L213" s="302" t="s">
        <v>1634</v>
      </c>
    </row>
    <row r="214" spans="1:12" ht="30" thickTop="1" thickBot="1">
      <c r="A214" s="17">
        <v>213</v>
      </c>
      <c r="B214" s="286" t="s">
        <v>1792</v>
      </c>
      <c r="C214" s="218" t="s">
        <v>1564</v>
      </c>
      <c r="D214" s="266" t="s">
        <v>1898</v>
      </c>
      <c r="E214" s="229"/>
      <c r="F214" s="226" t="s">
        <v>1909</v>
      </c>
      <c r="G214" s="1" t="s">
        <v>1625</v>
      </c>
      <c r="J214" s="319" t="str">
        <f>VLOOKUP(K214,PLA_v2025!G:H,2,FALSE)</f>
        <v>14.2.1</v>
      </c>
      <c r="K214" s="1" t="s">
        <v>1224</v>
      </c>
    </row>
    <row r="215" spans="1:12" ht="44.5" thickTop="1" thickBot="1">
      <c r="A215" s="17">
        <v>214</v>
      </c>
      <c r="B215" s="286" t="s">
        <v>1792</v>
      </c>
      <c r="C215" s="218" t="s">
        <v>1571</v>
      </c>
      <c r="D215" s="267" t="s">
        <v>1910</v>
      </c>
      <c r="E215" s="228"/>
      <c r="F215" s="222" t="s">
        <v>1911</v>
      </c>
      <c r="G215" s="1" t="s">
        <v>1500</v>
      </c>
      <c r="I215" s="323" t="s">
        <v>1912</v>
      </c>
      <c r="J215" s="319" t="str">
        <f>VLOOKUP(K215,PLA_v2025!G:H,2,FALSE)</f>
        <v>04.4.2</v>
      </c>
      <c r="K215" s="1" t="s">
        <v>580</v>
      </c>
    </row>
    <row r="216" spans="1:12" ht="59" thickTop="1" thickBot="1">
      <c r="A216" s="17">
        <v>215</v>
      </c>
      <c r="B216" s="286" t="s">
        <v>1792</v>
      </c>
      <c r="C216" s="218" t="s">
        <v>1571</v>
      </c>
      <c r="D216" s="267" t="s">
        <v>1910</v>
      </c>
      <c r="F216" s="222" t="s">
        <v>1913</v>
      </c>
      <c r="G216" s="1" t="s">
        <v>1500</v>
      </c>
      <c r="I216" s="323" t="s">
        <v>1914</v>
      </c>
      <c r="J216" s="319" t="str">
        <f>VLOOKUP(K216,PLA_v2025!G:H,2,FALSE)</f>
        <v>03.1.2</v>
      </c>
      <c r="K216" s="1" t="s">
        <v>448</v>
      </c>
    </row>
    <row r="217" spans="1:12" ht="59" thickTop="1" thickBot="1">
      <c r="A217" s="17">
        <v>216</v>
      </c>
      <c r="B217" s="286" t="s">
        <v>1792</v>
      </c>
      <c r="C217" s="218" t="s">
        <v>1571</v>
      </c>
      <c r="D217" s="267" t="s">
        <v>1910</v>
      </c>
      <c r="F217" s="222" t="s">
        <v>1915</v>
      </c>
      <c r="G217" s="1" t="s">
        <v>1625</v>
      </c>
      <c r="J217" s="319" t="str">
        <f>VLOOKUP(K217,PLA_v2025!G:H,2,FALSE)</f>
        <v>05.1.1</v>
      </c>
      <c r="K217" s="1" t="s">
        <v>592</v>
      </c>
    </row>
    <row r="218" spans="1:12" ht="59" thickTop="1" thickBot="1">
      <c r="A218" s="17">
        <v>217</v>
      </c>
      <c r="B218" s="286" t="s">
        <v>1792</v>
      </c>
      <c r="C218" s="218" t="s">
        <v>1590</v>
      </c>
      <c r="D218" s="268" t="s">
        <v>1916</v>
      </c>
      <c r="E218" s="228"/>
      <c r="F218" s="222" t="s">
        <v>1917</v>
      </c>
      <c r="G218" s="1" t="s">
        <v>1614</v>
      </c>
      <c r="I218" s="323" t="s">
        <v>1918</v>
      </c>
      <c r="J218" s="319" t="str">
        <f>VLOOKUP(K218,PLA_v2025!G:H,2,FALSE)</f>
        <v>03.4.1</v>
      </c>
      <c r="K218" s="1" t="s">
        <v>492</v>
      </c>
    </row>
    <row r="219" spans="1:12" ht="44.5" thickTop="1" thickBot="1">
      <c r="A219" s="17">
        <v>218</v>
      </c>
      <c r="B219" s="286" t="s">
        <v>1792</v>
      </c>
      <c r="C219" s="218" t="s">
        <v>1590</v>
      </c>
      <c r="D219" s="268" t="s">
        <v>1916</v>
      </c>
      <c r="F219" s="222" t="s">
        <v>1919</v>
      </c>
      <c r="G219" s="1" t="s">
        <v>1625</v>
      </c>
      <c r="J219" s="319" t="str">
        <f>VLOOKUP(K219,PLA_v2025!G:H,2,FALSE)</f>
        <v>01.4.1</v>
      </c>
      <c r="K219" s="1" t="s">
        <v>391</v>
      </c>
    </row>
    <row r="220" spans="1:12" ht="59" thickTop="1" thickBot="1">
      <c r="A220" s="17">
        <v>219</v>
      </c>
      <c r="B220" s="286" t="s">
        <v>1792</v>
      </c>
      <c r="C220" s="218" t="s">
        <v>1590</v>
      </c>
      <c r="D220" s="268" t="s">
        <v>1916</v>
      </c>
      <c r="F220" s="231" t="s">
        <v>1920</v>
      </c>
      <c r="G220" s="1" t="s">
        <v>1500</v>
      </c>
      <c r="H220" s="234"/>
      <c r="I220" s="324" t="s">
        <v>1921</v>
      </c>
      <c r="J220" s="319" t="str">
        <f>VLOOKUP(K220,PLA_v2025!G:H,2,FALSE)</f>
        <v>03.1.3</v>
      </c>
      <c r="K220" s="1" t="s">
        <v>450</v>
      </c>
      <c r="L220" s="299" t="s">
        <v>451</v>
      </c>
    </row>
    <row r="221" spans="1:12" ht="44.5" thickTop="1" thickBot="1">
      <c r="A221" s="17">
        <v>220</v>
      </c>
      <c r="B221" s="286" t="s">
        <v>1792</v>
      </c>
      <c r="C221" s="218" t="s">
        <v>1590</v>
      </c>
      <c r="D221" s="268" t="s">
        <v>1916</v>
      </c>
      <c r="E221" s="229"/>
      <c r="F221" s="226" t="s">
        <v>1922</v>
      </c>
      <c r="G221" s="1" t="s">
        <v>1500</v>
      </c>
      <c r="I221" s="323" t="s">
        <v>1923</v>
      </c>
      <c r="J221" s="319" t="str">
        <f>VLOOKUP(K221,PLA_v2025!G:H,2,FALSE)</f>
        <v>03.2.1</v>
      </c>
      <c r="K221" s="1" t="s">
        <v>458</v>
      </c>
    </row>
    <row r="222" spans="1:12" ht="44.5" thickTop="1" thickBot="1">
      <c r="A222" s="17">
        <v>221</v>
      </c>
      <c r="B222" s="286" t="s">
        <v>1792</v>
      </c>
      <c r="C222" s="218" t="s">
        <v>1603</v>
      </c>
      <c r="D222" s="269" t="s">
        <v>1924</v>
      </c>
      <c r="E222" s="228"/>
      <c r="F222" s="227" t="s">
        <v>1925</v>
      </c>
      <c r="G222" s="1" t="s">
        <v>1500</v>
      </c>
      <c r="J222" s="319" t="str">
        <f>VLOOKUP(K222,PLA_v2025!G:H,2,FALSE)</f>
        <v>08.2.1</v>
      </c>
      <c r="K222" s="1" t="s">
        <v>771</v>
      </c>
    </row>
    <row r="223" spans="1:12" ht="59" thickTop="1" thickBot="1">
      <c r="A223" s="17">
        <v>222</v>
      </c>
      <c r="B223" s="286" t="s">
        <v>1792</v>
      </c>
      <c r="C223" s="218" t="s">
        <v>1603</v>
      </c>
      <c r="D223" s="269" t="s">
        <v>1924</v>
      </c>
      <c r="F223" s="222" t="s">
        <v>1926</v>
      </c>
      <c r="G223" s="1" t="s">
        <v>1500</v>
      </c>
      <c r="J223" s="319" t="str">
        <f>VLOOKUP(K223,PLA_v2025!G:H,2,FALSE)</f>
        <v>08.1.1</v>
      </c>
      <c r="K223" s="1" t="s">
        <v>746</v>
      </c>
      <c r="L223" s="302" t="s">
        <v>1927</v>
      </c>
    </row>
    <row r="224" spans="1:12" ht="44.5" thickTop="1" thickBot="1">
      <c r="A224" s="17">
        <v>223</v>
      </c>
      <c r="B224" s="286" t="s">
        <v>1792</v>
      </c>
      <c r="C224" s="218" t="s">
        <v>1603</v>
      </c>
      <c r="D224" s="269" t="s">
        <v>1924</v>
      </c>
      <c r="F224" s="222" t="s">
        <v>1928</v>
      </c>
      <c r="G224" s="1" t="s">
        <v>1500</v>
      </c>
      <c r="J224" s="319" t="str">
        <f>VLOOKUP(K224,PLA_v2025!G:H,2,FALSE)</f>
        <v>08.3.1</v>
      </c>
      <c r="K224" s="1" t="s">
        <v>780</v>
      </c>
    </row>
    <row r="225" spans="1:12" ht="44.5" thickTop="1" thickBot="1">
      <c r="A225" s="17">
        <v>224</v>
      </c>
      <c r="B225" s="286" t="s">
        <v>1792</v>
      </c>
      <c r="C225" s="218" t="s">
        <v>1603</v>
      </c>
      <c r="D225" s="269" t="s">
        <v>1924</v>
      </c>
      <c r="F225" s="222" t="s">
        <v>1929</v>
      </c>
      <c r="G225" s="1" t="s">
        <v>1500</v>
      </c>
      <c r="J225" s="319" t="str">
        <f>VLOOKUP(K225,PLA_v2025!G:H,2,FALSE)</f>
        <v>01.3.5</v>
      </c>
      <c r="K225" s="1" t="s">
        <v>379</v>
      </c>
    </row>
    <row r="226" spans="1:12" ht="59" thickTop="1" thickBot="1">
      <c r="A226" s="17">
        <v>225</v>
      </c>
      <c r="B226" s="286" t="s">
        <v>1792</v>
      </c>
      <c r="C226" s="218" t="s">
        <v>1603</v>
      </c>
      <c r="D226" s="269" t="s">
        <v>1924</v>
      </c>
      <c r="E226" s="229"/>
      <c r="F226" s="226" t="s">
        <v>1930</v>
      </c>
      <c r="G226" s="1" t="s">
        <v>1500</v>
      </c>
      <c r="J226" s="319" t="str">
        <f>VLOOKUP(K226,PLA_v2025!G:H,2,FALSE)</f>
        <v>01.3.5</v>
      </c>
      <c r="K226" s="1" t="s">
        <v>379</v>
      </c>
    </row>
    <row r="227" spans="1:12" ht="44.5" thickTop="1" thickBot="1">
      <c r="A227" s="17">
        <v>226</v>
      </c>
      <c r="B227" s="286" t="s">
        <v>1792</v>
      </c>
      <c r="C227" s="218" t="s">
        <v>1603</v>
      </c>
      <c r="D227" s="269" t="s">
        <v>1924</v>
      </c>
      <c r="F227" s="222" t="s">
        <v>1931</v>
      </c>
      <c r="G227" s="1" t="s">
        <v>1625</v>
      </c>
      <c r="J227" s="319" t="str">
        <f>VLOOKUP(K227,PLA_v2025!G:H,2,FALSE)</f>
        <v>08.1.1</v>
      </c>
      <c r="K227" s="1" t="s">
        <v>746</v>
      </c>
      <c r="L227" s="302" t="s">
        <v>1927</v>
      </c>
    </row>
    <row r="228" spans="1:12" ht="30" thickTop="1" thickBot="1">
      <c r="A228" s="17">
        <v>227</v>
      </c>
      <c r="B228" s="286" t="s">
        <v>1792</v>
      </c>
      <c r="C228" s="218" t="s">
        <v>1605</v>
      </c>
      <c r="D228" s="269" t="s">
        <v>1932</v>
      </c>
      <c r="E228" s="228"/>
      <c r="F228" s="227" t="s">
        <v>1933</v>
      </c>
      <c r="G228" s="1" t="s">
        <v>1500</v>
      </c>
      <c r="J228" s="319" t="str">
        <f>VLOOKUP(K228,PLA_v2025!G:H,2,FALSE)</f>
        <v>03.2.1</v>
      </c>
      <c r="K228" s="1" t="s">
        <v>458</v>
      </c>
    </row>
    <row r="229" spans="1:12" ht="44.5" thickTop="1" thickBot="1">
      <c r="A229" s="17">
        <v>228</v>
      </c>
      <c r="B229" s="286" t="s">
        <v>1792</v>
      </c>
      <c r="C229" s="218" t="s">
        <v>1605</v>
      </c>
      <c r="D229" s="269" t="s">
        <v>1932</v>
      </c>
      <c r="F229" s="222" t="s">
        <v>1934</v>
      </c>
      <c r="G229" s="1" t="s">
        <v>1500</v>
      </c>
      <c r="I229" s="323" t="s">
        <v>1935</v>
      </c>
      <c r="J229" s="319" t="str">
        <f>VLOOKUP(K229,PLA_v2025!G:H,2,FALSE)</f>
        <v>03.1.3</v>
      </c>
      <c r="K229" s="1" t="s">
        <v>450</v>
      </c>
      <c r="L229" s="299" t="s">
        <v>451</v>
      </c>
    </row>
    <row r="230" spans="1:12" ht="44.5" thickTop="1" thickBot="1">
      <c r="A230" s="17">
        <v>229</v>
      </c>
      <c r="B230" s="286" t="s">
        <v>1792</v>
      </c>
      <c r="C230" s="218" t="s">
        <v>1605</v>
      </c>
      <c r="D230" s="269" t="s">
        <v>1932</v>
      </c>
      <c r="F230" s="222" t="s">
        <v>1936</v>
      </c>
      <c r="G230" s="1" t="s">
        <v>1500</v>
      </c>
      <c r="I230" s="323" t="s">
        <v>1937</v>
      </c>
      <c r="J230" s="319" t="str">
        <f>VLOOKUP(K230,PLA_v2025!G:H,2,FALSE)</f>
        <v>01.4.2</v>
      </c>
      <c r="K230" s="1" t="s">
        <v>398</v>
      </c>
    </row>
    <row r="231" spans="1:12" ht="44.5" thickTop="1" thickBot="1">
      <c r="A231" s="17">
        <v>230</v>
      </c>
      <c r="B231" s="286" t="s">
        <v>1792</v>
      </c>
      <c r="C231" s="218" t="s">
        <v>1938</v>
      </c>
      <c r="D231" s="270" t="s">
        <v>1939</v>
      </c>
      <c r="E231" s="228"/>
      <c r="F231" s="227" t="s">
        <v>1940</v>
      </c>
      <c r="G231" s="1" t="s">
        <v>1500</v>
      </c>
      <c r="J231" s="319" t="str">
        <f>VLOOKUP(K231,PLA_v2025!G:H,2,FALSE)</f>
        <v>11.3.5</v>
      </c>
      <c r="K231" s="302" t="s">
        <v>942</v>
      </c>
    </row>
    <row r="232" spans="1:12" ht="30" thickTop="1" thickBot="1">
      <c r="A232" s="17">
        <v>231</v>
      </c>
      <c r="B232" s="286" t="s">
        <v>1792</v>
      </c>
      <c r="C232" s="218" t="s">
        <v>1938</v>
      </c>
      <c r="D232" s="270" t="s">
        <v>1939</v>
      </c>
      <c r="F232" s="222" t="s">
        <v>1941</v>
      </c>
      <c r="G232" s="1" t="s">
        <v>1500</v>
      </c>
      <c r="J232" s="319" t="str">
        <f>VLOOKUP(K232,PLA_v2025!G:H,2,FALSE)</f>
        <v>11.6.2</v>
      </c>
      <c r="K232" s="1" t="s">
        <v>969</v>
      </c>
    </row>
    <row r="233" spans="1:12" ht="44.5" thickTop="1" thickBot="1">
      <c r="A233" s="17">
        <v>232</v>
      </c>
      <c r="B233" s="286" t="s">
        <v>1792</v>
      </c>
      <c r="C233" s="218" t="s">
        <v>1938</v>
      </c>
      <c r="D233" s="270" t="s">
        <v>1939</v>
      </c>
      <c r="F233" s="222" t="s">
        <v>1942</v>
      </c>
      <c r="G233" s="1" t="s">
        <v>1625</v>
      </c>
      <c r="J233" s="319" t="str">
        <f>VLOOKUP(K233,PLA_v2025!G:H,2,FALSE)</f>
        <v>11.7.2</v>
      </c>
      <c r="K233" s="302" t="s">
        <v>979</v>
      </c>
    </row>
    <row r="234" spans="1:12" ht="30" thickTop="1" thickBot="1">
      <c r="A234" s="17">
        <v>233</v>
      </c>
      <c r="B234" s="286" t="s">
        <v>1792</v>
      </c>
      <c r="C234" s="218" t="s">
        <v>1938</v>
      </c>
      <c r="D234" s="270" t="s">
        <v>1939</v>
      </c>
      <c r="F234" s="222" t="s">
        <v>1943</v>
      </c>
      <c r="G234" s="1" t="s">
        <v>1500</v>
      </c>
      <c r="J234" s="319" t="str">
        <f>VLOOKUP(K234,PLA_v2025!G:H,2,FALSE)</f>
        <v>11.2.1</v>
      </c>
      <c r="K234" s="1" t="s">
        <v>916</v>
      </c>
    </row>
    <row r="235" spans="1:12" ht="30" thickTop="1" thickBot="1">
      <c r="A235" s="17">
        <v>234</v>
      </c>
      <c r="B235" s="286" t="s">
        <v>1792</v>
      </c>
      <c r="C235" s="218" t="s">
        <v>1938</v>
      </c>
      <c r="D235" s="270" t="s">
        <v>1939</v>
      </c>
      <c r="F235" s="222" t="s">
        <v>1944</v>
      </c>
      <c r="G235" s="1" t="s">
        <v>1500</v>
      </c>
      <c r="J235" s="319" t="e">
        <f>VLOOKUP(K235,PLA_v2025!G:H,2,FALSE)</f>
        <v>#N/A</v>
      </c>
      <c r="K235" s="1" t="s">
        <v>960</v>
      </c>
    </row>
    <row r="236" spans="1:12" ht="44.5" thickTop="1" thickBot="1">
      <c r="A236" s="17">
        <v>235</v>
      </c>
      <c r="B236" s="286" t="s">
        <v>1792</v>
      </c>
      <c r="C236" s="218" t="s">
        <v>1938</v>
      </c>
      <c r="D236" s="270" t="s">
        <v>1939</v>
      </c>
      <c r="F236" s="222" t="s">
        <v>1945</v>
      </c>
      <c r="G236" s="1" t="s">
        <v>1500</v>
      </c>
      <c r="J236" s="319" t="str">
        <f>VLOOKUP(K236,PLA_v2025!G:H,2,FALSE)</f>
        <v>06.5.2</v>
      </c>
      <c r="K236" s="1" t="s">
        <v>714</v>
      </c>
    </row>
    <row r="237" spans="1:12" ht="30" thickTop="1" thickBot="1">
      <c r="A237" s="17">
        <v>236</v>
      </c>
      <c r="B237" s="286" t="s">
        <v>1792</v>
      </c>
      <c r="C237" s="218" t="s">
        <v>1938</v>
      </c>
      <c r="D237" s="270" t="s">
        <v>1939</v>
      </c>
      <c r="F237" s="222" t="s">
        <v>1946</v>
      </c>
      <c r="G237" s="1" t="s">
        <v>1500</v>
      </c>
      <c r="J237" s="319" t="str">
        <f>VLOOKUP(K237,PLA_v2025!G:H,2,FALSE)</f>
        <v>13.4.1</v>
      </c>
      <c r="K237" s="1" t="s">
        <v>1085</v>
      </c>
    </row>
    <row r="238" spans="1:12" ht="30" thickTop="1" thickBot="1">
      <c r="A238" s="17">
        <v>237</v>
      </c>
      <c r="B238" s="286" t="s">
        <v>1792</v>
      </c>
      <c r="C238" s="218" t="s">
        <v>1938</v>
      </c>
      <c r="D238" s="270" t="s">
        <v>1939</v>
      </c>
      <c r="F238" s="222" t="s">
        <v>1947</v>
      </c>
      <c r="G238" s="1" t="s">
        <v>1500</v>
      </c>
      <c r="J238" s="319" t="str">
        <f>VLOOKUP(K238,PLA_v2025!G:H,2,FALSE)</f>
        <v>13.4.1</v>
      </c>
      <c r="K238" s="1" t="s">
        <v>1085</v>
      </c>
    </row>
    <row r="239" spans="1:12" ht="73.5" thickTop="1" thickBot="1">
      <c r="A239" s="17">
        <v>238</v>
      </c>
      <c r="B239" s="286" t="s">
        <v>1792</v>
      </c>
      <c r="C239" s="218" t="s">
        <v>1938</v>
      </c>
      <c r="D239" s="270" t="s">
        <v>1939</v>
      </c>
      <c r="E239" s="229"/>
      <c r="F239" s="226" t="s">
        <v>1948</v>
      </c>
      <c r="G239" s="1" t="s">
        <v>1500</v>
      </c>
      <c r="J239" s="319" t="str">
        <f>VLOOKUP(K239,PLA_v2025!G:H,2,FALSE)</f>
        <v>11.7.2</v>
      </c>
      <c r="K239" s="302" t="s">
        <v>979</v>
      </c>
    </row>
    <row r="240" spans="1:12" ht="44.5" thickTop="1" thickBot="1">
      <c r="A240" s="17">
        <v>239</v>
      </c>
      <c r="B240" s="287" t="s">
        <v>46</v>
      </c>
      <c r="C240" s="218">
        <v>1</v>
      </c>
      <c r="D240" s="271" t="s">
        <v>1949</v>
      </c>
      <c r="F240" s="221" t="s">
        <v>1950</v>
      </c>
      <c r="G240" s="1" t="s">
        <v>1509</v>
      </c>
      <c r="I240" s="323" t="s">
        <v>1951</v>
      </c>
      <c r="J240" s="319" t="str">
        <f>VLOOKUP(K240,PLA_v2025!G:H,2,FALSE)</f>
        <v>01.3.2</v>
      </c>
      <c r="K240" s="302" t="s">
        <v>366</v>
      </c>
      <c r="L240" s="302"/>
    </row>
    <row r="241" spans="1:12" ht="59" thickTop="1" thickBot="1">
      <c r="A241" s="17">
        <v>240</v>
      </c>
      <c r="B241" s="287" t="s">
        <v>46</v>
      </c>
      <c r="C241" s="218">
        <v>1</v>
      </c>
      <c r="D241" s="271" t="s">
        <v>1949</v>
      </c>
      <c r="F241" s="221" t="s">
        <v>1952</v>
      </c>
      <c r="G241" s="1" t="s">
        <v>1500</v>
      </c>
      <c r="I241" s="323" t="s">
        <v>1953</v>
      </c>
      <c r="J241" s="319" t="str">
        <f>VLOOKUP(K241,PLA_v2025!G:H,2,FALSE)</f>
        <v>08.1.3</v>
      </c>
      <c r="K241" s="302" t="s">
        <v>763</v>
      </c>
      <c r="L241" s="302" t="s">
        <v>764</v>
      </c>
    </row>
    <row r="242" spans="1:12" ht="44.5" thickTop="1" thickBot="1">
      <c r="A242" s="17">
        <v>241</v>
      </c>
      <c r="B242" s="287" t="s">
        <v>46</v>
      </c>
      <c r="C242" s="218">
        <v>1</v>
      </c>
      <c r="D242" s="271" t="s">
        <v>1949</v>
      </c>
      <c r="F242" s="221" t="s">
        <v>1954</v>
      </c>
      <c r="G242" s="1" t="s">
        <v>1500</v>
      </c>
      <c r="I242" s="323" t="s">
        <v>1955</v>
      </c>
      <c r="J242" s="319" t="str">
        <f>VLOOKUP(K242,PLA_v2025!G:H,2,FALSE)</f>
        <v>01.3.2</v>
      </c>
      <c r="K242" s="302" t="s">
        <v>366</v>
      </c>
    </row>
    <row r="243" spans="1:12" ht="44.5" thickTop="1" thickBot="1">
      <c r="A243" s="17">
        <v>242</v>
      </c>
      <c r="B243" s="287" t="s">
        <v>46</v>
      </c>
      <c r="C243" s="218">
        <v>1</v>
      </c>
      <c r="D243" s="271" t="s">
        <v>1949</v>
      </c>
      <c r="F243" s="221" t="s">
        <v>1956</v>
      </c>
      <c r="G243" s="1" t="s">
        <v>1500</v>
      </c>
      <c r="I243" s="323" t="s">
        <v>1957</v>
      </c>
      <c r="J243" s="319" t="str">
        <f>VLOOKUP(K243,PLA_v2025!G:H,2,FALSE)</f>
        <v>01.2.3</v>
      </c>
      <c r="K243" s="302" t="s">
        <v>337</v>
      </c>
    </row>
    <row r="244" spans="1:12" ht="44.5" thickTop="1" thickBot="1">
      <c r="A244" s="17">
        <v>243</v>
      </c>
      <c r="B244" s="287" t="s">
        <v>46</v>
      </c>
      <c r="C244" s="218">
        <v>1</v>
      </c>
      <c r="D244" s="271" t="s">
        <v>1949</v>
      </c>
      <c r="F244" s="221" t="s">
        <v>1958</v>
      </c>
      <c r="G244" s="1" t="s">
        <v>1509</v>
      </c>
      <c r="I244" s="323" t="s">
        <v>1959</v>
      </c>
      <c r="J244" s="319" t="str">
        <f>VLOOKUP(K244,PLA_v2025!G:H,2,FALSE)</f>
        <v>01.3.4</v>
      </c>
      <c r="K244" s="302" t="s">
        <v>374</v>
      </c>
      <c r="L244" s="302" t="s">
        <v>375</v>
      </c>
    </row>
    <row r="245" spans="1:12" ht="58.5" thickTop="1">
      <c r="A245" s="17">
        <v>244</v>
      </c>
      <c r="B245" s="287" t="s">
        <v>46</v>
      </c>
      <c r="C245" s="218">
        <v>1</v>
      </c>
      <c r="D245" s="271" t="s">
        <v>1949</v>
      </c>
      <c r="F245" s="221" t="s">
        <v>1960</v>
      </c>
      <c r="G245" s="1" t="s">
        <v>1500</v>
      </c>
      <c r="J245" s="319" t="str">
        <f>VLOOKUP(K245,PLA_v2025!G:H,2,FALSE)</f>
        <v>01.3.7</v>
      </c>
      <c r="K245" s="302" t="s">
        <v>387</v>
      </c>
    </row>
    <row r="246" spans="1:12" ht="58">
      <c r="A246" s="17">
        <v>245</v>
      </c>
      <c r="B246" s="287" t="s">
        <v>46</v>
      </c>
      <c r="C246" s="218">
        <v>2</v>
      </c>
      <c r="D246" s="272" t="s">
        <v>1961</v>
      </c>
      <c r="F246" s="221" t="s">
        <v>1962</v>
      </c>
      <c r="G246" s="1" t="s">
        <v>1509</v>
      </c>
      <c r="I246" s="323" t="s">
        <v>1963</v>
      </c>
      <c r="J246" s="319" t="str">
        <f>VLOOKUP(K246,PLA_v2025!G:H,2,FALSE)</f>
        <v>08.1.3</v>
      </c>
      <c r="K246" s="302" t="s">
        <v>763</v>
      </c>
      <c r="L246" s="302" t="s">
        <v>764</v>
      </c>
    </row>
    <row r="247" spans="1:12" ht="58">
      <c r="A247" s="17">
        <v>246</v>
      </c>
      <c r="B247" s="287" t="s">
        <v>46</v>
      </c>
      <c r="C247" s="218">
        <v>2</v>
      </c>
      <c r="D247" s="272" t="s">
        <v>1961</v>
      </c>
      <c r="F247" s="221" t="s">
        <v>1964</v>
      </c>
      <c r="G247" s="1" t="s">
        <v>290</v>
      </c>
      <c r="I247" s="323" t="s">
        <v>1684</v>
      </c>
      <c r="J247" s="319" t="str">
        <f>VLOOKUP(K247,PLA_v2025!G:H,2,FALSE)</f>
        <v>06.2.1</v>
      </c>
      <c r="K247" s="302" t="s">
        <v>630</v>
      </c>
    </row>
    <row r="248" spans="1:12" ht="58">
      <c r="A248" s="17">
        <v>247</v>
      </c>
      <c r="B248" s="287" t="s">
        <v>46</v>
      </c>
      <c r="C248" s="218">
        <v>3</v>
      </c>
      <c r="D248" s="272" t="s">
        <v>1965</v>
      </c>
      <c r="F248" s="221" t="s">
        <v>1966</v>
      </c>
      <c r="G248" s="1" t="s">
        <v>1625</v>
      </c>
      <c r="I248" s="323" t="s">
        <v>1967</v>
      </c>
      <c r="J248" s="319" t="str">
        <f>VLOOKUP(K248,PLA_v2025!G:H,2,FALSE)</f>
        <v>11.3.1</v>
      </c>
      <c r="K248" s="302" t="s">
        <v>929</v>
      </c>
      <c r="L248" s="302"/>
    </row>
    <row r="249" spans="1:12" ht="58">
      <c r="A249" s="17">
        <v>248</v>
      </c>
      <c r="B249" s="287" t="s">
        <v>46</v>
      </c>
      <c r="C249" s="218">
        <v>3</v>
      </c>
      <c r="D249" s="272" t="s">
        <v>1965</v>
      </c>
      <c r="F249" s="221" t="s">
        <v>1968</v>
      </c>
      <c r="G249" s="1" t="s">
        <v>1625</v>
      </c>
      <c r="I249" s="323" t="s">
        <v>1969</v>
      </c>
      <c r="J249" s="319" t="str">
        <f>VLOOKUP(K249,PLA_v2025!G:H,2,FALSE)</f>
        <v>01.3.4</v>
      </c>
      <c r="K249" s="302" t="s">
        <v>374</v>
      </c>
      <c r="L249" s="302" t="s">
        <v>375</v>
      </c>
    </row>
    <row r="250" spans="1:12" ht="43.5">
      <c r="A250" s="17">
        <v>249</v>
      </c>
      <c r="B250" s="287" t="s">
        <v>46</v>
      </c>
      <c r="C250" s="218">
        <v>4</v>
      </c>
      <c r="D250" s="272" t="s">
        <v>1970</v>
      </c>
      <c r="F250" s="221" t="s">
        <v>1971</v>
      </c>
      <c r="G250" s="1" t="s">
        <v>1625</v>
      </c>
      <c r="H250" s="233" t="s">
        <v>1517</v>
      </c>
      <c r="I250" s="323" t="s">
        <v>1972</v>
      </c>
      <c r="J250" s="319" t="str">
        <f>VLOOKUP(K250,PLA_v2025!G:H,2,FALSE)</f>
        <v>01.3.4</v>
      </c>
      <c r="K250" s="302" t="s">
        <v>374</v>
      </c>
      <c r="L250" s="302" t="s">
        <v>375</v>
      </c>
    </row>
    <row r="251" spans="1:12" ht="87">
      <c r="A251" s="17">
        <v>250</v>
      </c>
      <c r="B251" s="287" t="s">
        <v>46</v>
      </c>
      <c r="C251" s="218">
        <v>5</v>
      </c>
      <c r="D251" s="272" t="s">
        <v>1973</v>
      </c>
      <c r="F251" s="221" t="s">
        <v>1974</v>
      </c>
      <c r="G251" s="1" t="s">
        <v>1614</v>
      </c>
      <c r="I251" s="323" t="s">
        <v>1975</v>
      </c>
      <c r="J251" s="319" t="str">
        <f>VLOOKUP(K251,PLA_v2025!G:H,2,FALSE)</f>
        <v>06.2.2</v>
      </c>
      <c r="K251" s="302" t="s">
        <v>636</v>
      </c>
      <c r="L251" s="302" t="s">
        <v>1634</v>
      </c>
    </row>
    <row r="252" spans="1:12" ht="87">
      <c r="A252" s="17">
        <v>251</v>
      </c>
      <c r="B252" s="287" t="s">
        <v>46</v>
      </c>
      <c r="C252" s="218">
        <v>5</v>
      </c>
      <c r="D252" s="272" t="s">
        <v>1973</v>
      </c>
      <c r="F252" s="221" t="s">
        <v>1976</v>
      </c>
      <c r="G252" s="1" t="s">
        <v>1614</v>
      </c>
      <c r="I252" s="323" t="s">
        <v>1977</v>
      </c>
      <c r="J252" s="319" t="str">
        <f>VLOOKUP(K252,PLA_v2025!G:H,2,FALSE)</f>
        <v>01.3.4</v>
      </c>
      <c r="K252" s="302" t="s">
        <v>374</v>
      </c>
      <c r="L252" s="302" t="s">
        <v>375</v>
      </c>
    </row>
    <row r="253" spans="1:12" ht="87">
      <c r="A253" s="17">
        <v>252</v>
      </c>
      <c r="B253" s="287" t="s">
        <v>46</v>
      </c>
      <c r="C253" s="218">
        <v>5</v>
      </c>
      <c r="D253" s="272" t="s">
        <v>1973</v>
      </c>
      <c r="F253" s="221" t="s">
        <v>1978</v>
      </c>
      <c r="G253" s="1" t="s">
        <v>1614</v>
      </c>
      <c r="I253" s="323" t="s">
        <v>1979</v>
      </c>
      <c r="J253" s="319" t="str">
        <f>VLOOKUP(K253,PLA_v2025!G:H,2,FALSE)</f>
        <v>03.3.3</v>
      </c>
      <c r="K253" s="302" t="s">
        <v>476</v>
      </c>
    </row>
    <row r="254" spans="1:12" ht="72.5">
      <c r="A254" s="17">
        <v>253</v>
      </c>
      <c r="B254" s="287" t="s">
        <v>46</v>
      </c>
      <c r="C254" s="218">
        <v>6</v>
      </c>
      <c r="D254" s="258" t="s">
        <v>1980</v>
      </c>
      <c r="F254" s="221" t="s">
        <v>1981</v>
      </c>
      <c r="G254" s="1" t="s">
        <v>1614</v>
      </c>
      <c r="I254" s="323" t="s">
        <v>1982</v>
      </c>
      <c r="J254" s="319" t="str">
        <f>VLOOKUP(K254,PLA_v2025!G:H,2,FALSE)</f>
        <v>03.4.1</v>
      </c>
      <c r="K254" s="302" t="s">
        <v>492</v>
      </c>
    </row>
    <row r="255" spans="1:12" ht="58">
      <c r="A255" s="17">
        <v>254</v>
      </c>
      <c r="B255" s="287" t="s">
        <v>46</v>
      </c>
      <c r="C255" s="218">
        <v>7</v>
      </c>
      <c r="D255" s="272" t="s">
        <v>1983</v>
      </c>
      <c r="F255" s="221" t="s">
        <v>1984</v>
      </c>
      <c r="G255" s="1" t="s">
        <v>1509</v>
      </c>
      <c r="I255" s="323" t="s">
        <v>1985</v>
      </c>
      <c r="J255" s="319" t="str">
        <f>VLOOKUP(K255,PLA_v2025!G:H,2,FALSE)</f>
        <v>06.2.2</v>
      </c>
      <c r="K255" s="302" t="s">
        <v>636</v>
      </c>
      <c r="L255" s="302" t="s">
        <v>1634</v>
      </c>
    </row>
    <row r="256" spans="1:12" ht="58">
      <c r="A256" s="17">
        <v>255</v>
      </c>
      <c r="B256" s="287" t="s">
        <v>46</v>
      </c>
      <c r="C256" s="218">
        <v>8</v>
      </c>
      <c r="D256" s="272" t="s">
        <v>1986</v>
      </c>
      <c r="F256" s="221" t="s">
        <v>1987</v>
      </c>
      <c r="G256" s="1" t="s">
        <v>1614</v>
      </c>
      <c r="I256" s="323" t="s">
        <v>1988</v>
      </c>
      <c r="J256" s="319" t="str">
        <f>VLOOKUP(K256,PLA_v2025!G:H,2,FALSE)</f>
        <v>06.2.2</v>
      </c>
      <c r="K256" s="302" t="s">
        <v>636</v>
      </c>
      <c r="L256" s="302" t="s">
        <v>1634</v>
      </c>
    </row>
    <row r="257" spans="1:12" ht="43.5">
      <c r="A257" s="17">
        <v>256</v>
      </c>
      <c r="B257" s="287" t="s">
        <v>46</v>
      </c>
      <c r="C257" s="218">
        <v>9</v>
      </c>
      <c r="D257" s="258" t="s">
        <v>1989</v>
      </c>
      <c r="F257" s="221" t="s">
        <v>1990</v>
      </c>
      <c r="G257" s="1" t="s">
        <v>1509</v>
      </c>
      <c r="I257" s="323" t="s">
        <v>1985</v>
      </c>
      <c r="J257" s="319" t="str">
        <f>VLOOKUP(K257,PLA_v2025!G:H,2,FALSE)</f>
        <v>08.1.3</v>
      </c>
      <c r="K257" s="302" t="s">
        <v>763</v>
      </c>
      <c r="L257" s="302" t="s">
        <v>764</v>
      </c>
    </row>
    <row r="258" spans="1:12" ht="43.5">
      <c r="A258" s="17">
        <v>257</v>
      </c>
      <c r="B258" s="287" t="s">
        <v>46</v>
      </c>
      <c r="C258" s="218">
        <v>10</v>
      </c>
      <c r="D258" s="272" t="s">
        <v>1991</v>
      </c>
      <c r="F258" s="221" t="s">
        <v>1992</v>
      </c>
      <c r="G258" s="1" t="s">
        <v>1614</v>
      </c>
      <c r="I258" s="323" t="s">
        <v>1988</v>
      </c>
      <c r="J258" s="319" t="str">
        <f>VLOOKUP(K258,PLA_v2025!G:H,2,FALSE)</f>
        <v>06.2.2</v>
      </c>
      <c r="K258" s="302" t="s">
        <v>636</v>
      </c>
      <c r="L258" s="302" t="s">
        <v>1634</v>
      </c>
    </row>
    <row r="259" spans="1:12" ht="43.5">
      <c r="A259" s="17">
        <v>258</v>
      </c>
      <c r="B259" s="287" t="s">
        <v>46</v>
      </c>
      <c r="C259" s="218">
        <v>10</v>
      </c>
      <c r="D259" s="272" t="s">
        <v>1991</v>
      </c>
      <c r="F259" s="221" t="s">
        <v>1993</v>
      </c>
      <c r="G259" s="1" t="s">
        <v>1614</v>
      </c>
      <c r="I259" s="323" t="s">
        <v>1988</v>
      </c>
      <c r="J259" s="319" t="str">
        <f>VLOOKUP(K259,PLA_v2025!G:H,2,FALSE)</f>
        <v>06.2.2</v>
      </c>
      <c r="K259" s="302" t="s">
        <v>636</v>
      </c>
      <c r="L259" s="302" t="s">
        <v>1634</v>
      </c>
    </row>
    <row r="260" spans="1:12" ht="58">
      <c r="A260" s="17">
        <v>259</v>
      </c>
      <c r="B260" s="287" t="s">
        <v>46</v>
      </c>
      <c r="C260" s="218">
        <v>11</v>
      </c>
      <c r="D260" s="258" t="s">
        <v>1994</v>
      </c>
      <c r="F260" s="221" t="s">
        <v>1995</v>
      </c>
      <c r="G260" s="1" t="s">
        <v>1614</v>
      </c>
      <c r="I260" s="323" t="s">
        <v>1982</v>
      </c>
      <c r="J260" s="319" t="str">
        <f>VLOOKUP(K260,PLA_v2025!G:H,2,FALSE)</f>
        <v>01.1.1</v>
      </c>
      <c r="K260" s="302" t="s">
        <v>296</v>
      </c>
      <c r="L260" s="302" t="s">
        <v>299</v>
      </c>
    </row>
    <row r="261" spans="1:12" ht="58">
      <c r="A261" s="17">
        <v>260</v>
      </c>
      <c r="B261" s="287" t="s">
        <v>46</v>
      </c>
      <c r="C261" s="218">
        <v>11</v>
      </c>
      <c r="D261" s="258" t="s">
        <v>1996</v>
      </c>
      <c r="F261" s="221" t="s">
        <v>1997</v>
      </c>
      <c r="G261" s="1" t="s">
        <v>1614</v>
      </c>
      <c r="I261" s="323" t="s">
        <v>1982</v>
      </c>
      <c r="J261" s="319" t="str">
        <f>VLOOKUP(K261,PLA_v2025!G:H,2,FALSE)</f>
        <v>01.3.7</v>
      </c>
      <c r="K261" s="302" t="s">
        <v>387</v>
      </c>
    </row>
    <row r="262" spans="1:12" ht="29">
      <c r="A262" s="17">
        <v>261</v>
      </c>
      <c r="B262" s="287" t="s">
        <v>46</v>
      </c>
      <c r="C262" s="218">
        <v>12</v>
      </c>
      <c r="D262" s="258" t="s">
        <v>1998</v>
      </c>
      <c r="F262" s="221" t="s">
        <v>1998</v>
      </c>
      <c r="G262" s="1" t="s">
        <v>1614</v>
      </c>
      <c r="I262" s="323" t="s">
        <v>1982</v>
      </c>
      <c r="J262" s="319" t="str">
        <f>VLOOKUP(K262,PLA_v2025!G:H,2,FALSE)</f>
        <v>03.4.1</v>
      </c>
      <c r="K262" s="302" t="s">
        <v>492</v>
      </c>
    </row>
    <row r="263" spans="1:12" ht="43.5">
      <c r="A263" s="17">
        <v>262</v>
      </c>
      <c r="B263" s="287" t="s">
        <v>46</v>
      </c>
      <c r="C263" s="218">
        <v>13</v>
      </c>
      <c r="D263" s="272" t="s">
        <v>1999</v>
      </c>
      <c r="F263" s="221" t="s">
        <v>2000</v>
      </c>
      <c r="G263" s="1" t="s">
        <v>1509</v>
      </c>
      <c r="I263" s="323" t="s">
        <v>2001</v>
      </c>
      <c r="J263" s="319" t="str">
        <f>VLOOKUP(K263,PLA_v2025!G:H,2,FALSE)</f>
        <v>01.2.3</v>
      </c>
      <c r="K263" s="302" t="s">
        <v>337</v>
      </c>
    </row>
    <row r="264" spans="1:12" ht="58">
      <c r="A264" s="17">
        <v>263</v>
      </c>
      <c r="B264" s="287" t="s">
        <v>46</v>
      </c>
      <c r="C264" s="218">
        <v>13</v>
      </c>
      <c r="D264" s="272" t="s">
        <v>2002</v>
      </c>
      <c r="F264" s="221" t="s">
        <v>2003</v>
      </c>
      <c r="G264" s="1" t="s">
        <v>1509</v>
      </c>
      <c r="I264" s="323" t="s">
        <v>2001</v>
      </c>
      <c r="J264" s="319" t="str">
        <f>VLOOKUP(K264,PLA_v2025!G:H,2,FALSE)</f>
        <v>08.1.3</v>
      </c>
      <c r="K264" s="302" t="s">
        <v>763</v>
      </c>
      <c r="L264" s="302" t="s">
        <v>764</v>
      </c>
    </row>
    <row r="265" spans="1:12" ht="58">
      <c r="A265" s="17">
        <v>264</v>
      </c>
      <c r="B265" s="287" t="s">
        <v>46</v>
      </c>
      <c r="C265" s="218">
        <v>13</v>
      </c>
      <c r="D265" s="272" t="s">
        <v>2002</v>
      </c>
      <c r="F265" s="221" t="s">
        <v>2004</v>
      </c>
      <c r="G265" s="1" t="s">
        <v>1509</v>
      </c>
      <c r="I265" s="323" t="s">
        <v>2001</v>
      </c>
      <c r="J265" s="319" t="str">
        <f>VLOOKUP(K265,PLA_v2025!G:H,2,FALSE)</f>
        <v>01.3.3</v>
      </c>
      <c r="K265" s="302" t="s">
        <v>369</v>
      </c>
    </row>
    <row r="266" spans="1:12" ht="58">
      <c r="A266" s="17">
        <v>265</v>
      </c>
      <c r="B266" s="287" t="s">
        <v>46</v>
      </c>
      <c r="C266" s="218">
        <v>13</v>
      </c>
      <c r="D266" s="272" t="s">
        <v>2002</v>
      </c>
      <c r="F266" s="221" t="s">
        <v>2005</v>
      </c>
      <c r="G266" s="1" t="s">
        <v>1509</v>
      </c>
      <c r="I266" s="323" t="s">
        <v>2001</v>
      </c>
      <c r="J266" s="319" t="str">
        <f>VLOOKUP(K266,PLA_v2025!G:H,2,FALSE)</f>
        <v>01.3.4</v>
      </c>
      <c r="K266" s="302" t="s">
        <v>374</v>
      </c>
      <c r="L266" s="302" t="s">
        <v>375</v>
      </c>
    </row>
    <row r="267" spans="1:12" ht="58">
      <c r="A267" s="17">
        <v>266</v>
      </c>
      <c r="B267" s="287" t="s">
        <v>46</v>
      </c>
      <c r="C267" s="218">
        <v>13</v>
      </c>
      <c r="D267" s="272" t="s">
        <v>2002</v>
      </c>
      <c r="F267" s="221" t="s">
        <v>2006</v>
      </c>
      <c r="G267" s="1" t="s">
        <v>1509</v>
      </c>
      <c r="I267" s="323" t="s">
        <v>2001</v>
      </c>
      <c r="J267" s="319" t="str">
        <f>VLOOKUP(K267,PLA_v2025!G:H,2,FALSE)</f>
        <v>01.3.5</v>
      </c>
      <c r="K267" s="302" t="s">
        <v>379</v>
      </c>
    </row>
    <row r="268" spans="1:12" ht="43.5">
      <c r="A268" s="17">
        <v>267</v>
      </c>
      <c r="B268" s="287" t="s">
        <v>46</v>
      </c>
      <c r="C268" s="218">
        <v>14</v>
      </c>
      <c r="D268" s="258" t="s">
        <v>2007</v>
      </c>
      <c r="F268" s="221" t="s">
        <v>2008</v>
      </c>
      <c r="G268" s="1" t="s">
        <v>1625</v>
      </c>
      <c r="I268" s="323" t="s">
        <v>2009</v>
      </c>
      <c r="J268" s="319" t="str">
        <f>VLOOKUP(K268,PLA_v2025!G:H,2,FALSE)</f>
        <v>01.3.5</v>
      </c>
      <c r="K268" s="302" t="s">
        <v>379</v>
      </c>
    </row>
    <row r="269" spans="1:12" ht="43.5">
      <c r="A269" s="17">
        <v>268</v>
      </c>
      <c r="B269" s="287" t="s">
        <v>46</v>
      </c>
      <c r="C269" s="218">
        <v>14</v>
      </c>
      <c r="D269" s="258" t="s">
        <v>2007</v>
      </c>
      <c r="F269" s="221" t="s">
        <v>2010</v>
      </c>
      <c r="G269" s="1" t="s">
        <v>1625</v>
      </c>
      <c r="I269" s="323" t="s">
        <v>2009</v>
      </c>
      <c r="J269" s="319" t="str">
        <f>VLOOKUP(K269,PLA_v2025!G:H,2,FALSE)</f>
        <v>06.2.2</v>
      </c>
      <c r="K269" s="302" t="s">
        <v>636</v>
      </c>
      <c r="L269" s="302" t="s">
        <v>1634</v>
      </c>
    </row>
    <row r="270" spans="1:12" ht="58">
      <c r="A270" s="17">
        <v>269</v>
      </c>
      <c r="B270" s="287" t="s">
        <v>46</v>
      </c>
      <c r="C270" s="218">
        <v>14</v>
      </c>
      <c r="D270" s="258" t="s">
        <v>2007</v>
      </c>
      <c r="F270" s="221" t="s">
        <v>2011</v>
      </c>
      <c r="G270" s="1" t="s">
        <v>1625</v>
      </c>
      <c r="I270" s="323" t="s">
        <v>2009</v>
      </c>
      <c r="J270" s="319" t="str">
        <f>VLOOKUP(K270,PLA_v2025!G:H,2,FALSE)</f>
        <v>01.3.4</v>
      </c>
      <c r="K270" s="302" t="s">
        <v>374</v>
      </c>
      <c r="L270" s="302" t="s">
        <v>375</v>
      </c>
    </row>
    <row r="271" spans="1:12" ht="43.5">
      <c r="A271" s="17">
        <v>270</v>
      </c>
      <c r="B271" s="287" t="s">
        <v>46</v>
      </c>
      <c r="C271" s="218">
        <v>14</v>
      </c>
      <c r="D271" s="258" t="s">
        <v>2007</v>
      </c>
      <c r="F271" s="221" t="s">
        <v>2012</v>
      </c>
      <c r="G271" s="1" t="s">
        <v>1625</v>
      </c>
      <c r="I271" s="323" t="s">
        <v>2009</v>
      </c>
      <c r="J271" s="319" t="str">
        <f>VLOOKUP(K271,PLA_v2025!G:H,2,FALSE)</f>
        <v>01.1.1</v>
      </c>
      <c r="K271" s="302" t="s">
        <v>296</v>
      </c>
      <c r="L271" s="302" t="s">
        <v>299</v>
      </c>
    </row>
    <row r="272" spans="1:12" ht="43.5">
      <c r="A272" s="17">
        <v>271</v>
      </c>
      <c r="B272" s="287" t="s">
        <v>46</v>
      </c>
      <c r="C272" s="218">
        <v>14</v>
      </c>
      <c r="D272" s="258" t="s">
        <v>2007</v>
      </c>
      <c r="F272" s="221" t="s">
        <v>2013</v>
      </c>
      <c r="G272" s="1" t="s">
        <v>1625</v>
      </c>
      <c r="I272" s="323" t="s">
        <v>2009</v>
      </c>
      <c r="J272" s="319" t="str">
        <f>VLOOKUP(K272,PLA_v2025!G:H,2,FALSE)</f>
        <v>01.1.1</v>
      </c>
      <c r="K272" s="302" t="s">
        <v>296</v>
      </c>
      <c r="L272" s="302" t="s">
        <v>299</v>
      </c>
    </row>
    <row r="273" spans="1:12" ht="43.5">
      <c r="A273" s="17">
        <v>272</v>
      </c>
      <c r="B273" s="287" t="s">
        <v>46</v>
      </c>
      <c r="C273" s="218">
        <v>15</v>
      </c>
      <c r="D273" s="258" t="s">
        <v>2014</v>
      </c>
      <c r="F273" s="221" t="s">
        <v>2015</v>
      </c>
      <c r="G273" s="1" t="s">
        <v>1509</v>
      </c>
      <c r="I273" s="323" t="s">
        <v>2016</v>
      </c>
      <c r="J273" s="319" t="str">
        <f>VLOOKUP(K273,PLA_v2025!G:H,2,FALSE)</f>
        <v>06.2.2</v>
      </c>
      <c r="K273" s="302" t="s">
        <v>636</v>
      </c>
      <c r="L273" s="302" t="s">
        <v>1634</v>
      </c>
    </row>
    <row r="274" spans="1:12" ht="29">
      <c r="A274" s="17">
        <v>273</v>
      </c>
      <c r="B274" s="287" t="s">
        <v>46</v>
      </c>
      <c r="C274" s="218">
        <v>16</v>
      </c>
      <c r="D274" s="272" t="s">
        <v>2017</v>
      </c>
      <c r="F274" s="221" t="s">
        <v>2018</v>
      </c>
      <c r="G274" s="1" t="s">
        <v>1625</v>
      </c>
      <c r="I274" s="323" t="s">
        <v>2019</v>
      </c>
      <c r="J274" s="319" t="str">
        <f>VLOOKUP(K274,PLA_v2025!G:H,2,FALSE)</f>
        <v>01.3.7</v>
      </c>
      <c r="K274" s="302" t="s">
        <v>387</v>
      </c>
    </row>
    <row r="275" spans="1:12" ht="43.5">
      <c r="A275" s="17">
        <v>274</v>
      </c>
      <c r="B275" s="287" t="s">
        <v>46</v>
      </c>
      <c r="C275" s="218">
        <v>16</v>
      </c>
      <c r="D275" s="272" t="s">
        <v>2017</v>
      </c>
      <c r="F275" s="221" t="s">
        <v>2020</v>
      </c>
      <c r="G275" s="1" t="s">
        <v>1625</v>
      </c>
      <c r="I275" s="323" t="s">
        <v>2019</v>
      </c>
      <c r="J275" s="319" t="str">
        <f>VLOOKUP(K275,PLA_v2025!G:H,2,FALSE)</f>
        <v>03.3.1</v>
      </c>
      <c r="K275" s="302" t="s">
        <v>467</v>
      </c>
    </row>
    <row r="276" spans="1:12" ht="29">
      <c r="A276" s="17">
        <v>275</v>
      </c>
      <c r="B276" s="287" t="s">
        <v>46</v>
      </c>
      <c r="C276" s="218">
        <v>16</v>
      </c>
      <c r="D276" s="272" t="s">
        <v>2017</v>
      </c>
      <c r="F276" s="221" t="s">
        <v>2021</v>
      </c>
      <c r="G276" s="1" t="s">
        <v>1625</v>
      </c>
      <c r="I276" s="323" t="s">
        <v>2019</v>
      </c>
      <c r="J276" s="319" t="str">
        <f>VLOOKUP(K276,PLA_v2025!G:H,2,FALSE)</f>
        <v>01.1.1</v>
      </c>
      <c r="K276" s="302" t="s">
        <v>296</v>
      </c>
      <c r="L276" s="302" t="s">
        <v>299</v>
      </c>
    </row>
    <row r="277" spans="1:12" ht="29">
      <c r="A277" s="17">
        <v>276</v>
      </c>
      <c r="B277" s="287" t="s">
        <v>46</v>
      </c>
      <c r="C277" s="218">
        <v>17</v>
      </c>
      <c r="D277" s="258" t="s">
        <v>2022</v>
      </c>
      <c r="F277" s="221" t="s">
        <v>2023</v>
      </c>
      <c r="G277" s="1" t="s">
        <v>1625</v>
      </c>
      <c r="I277" s="323" t="s">
        <v>2024</v>
      </c>
      <c r="J277" s="319" t="str">
        <f>VLOOKUP(K277,PLA_v2025!G:H,2,FALSE)</f>
        <v>01.3.4</v>
      </c>
      <c r="K277" s="302" t="s">
        <v>374</v>
      </c>
      <c r="L277" s="302" t="s">
        <v>375</v>
      </c>
    </row>
    <row r="278" spans="1:12" ht="58">
      <c r="A278" s="17">
        <v>277</v>
      </c>
      <c r="B278" s="287" t="s">
        <v>46</v>
      </c>
      <c r="C278" s="218">
        <v>17</v>
      </c>
      <c r="D278" s="258" t="s">
        <v>2022</v>
      </c>
      <c r="F278" s="221" t="s">
        <v>2025</v>
      </c>
      <c r="G278" s="1" t="s">
        <v>1625</v>
      </c>
      <c r="J278" s="319" t="str">
        <f>VLOOKUP(K278,PLA_v2025!G:H,2,FALSE)</f>
        <v>01.3.7</v>
      </c>
      <c r="K278" s="302" t="s">
        <v>387</v>
      </c>
    </row>
    <row r="279" spans="1:12" ht="43.5">
      <c r="A279" s="17">
        <v>278</v>
      </c>
      <c r="B279" s="287" t="s">
        <v>46</v>
      </c>
      <c r="C279" s="218">
        <v>17</v>
      </c>
      <c r="D279" s="258" t="s">
        <v>2022</v>
      </c>
      <c r="F279" s="221" t="s">
        <v>2026</v>
      </c>
      <c r="G279" s="1" t="s">
        <v>1625</v>
      </c>
      <c r="J279" s="319" t="str">
        <f>VLOOKUP(K279,PLA_v2025!G:H,2,FALSE)</f>
        <v>01.2.3</v>
      </c>
      <c r="K279" s="302" t="s">
        <v>337</v>
      </c>
    </row>
    <row r="280" spans="1:12" ht="58">
      <c r="A280" s="17">
        <v>279</v>
      </c>
      <c r="B280" s="287" t="s">
        <v>46</v>
      </c>
      <c r="C280" s="218">
        <v>17</v>
      </c>
      <c r="D280" s="258" t="s">
        <v>2022</v>
      </c>
      <c r="F280" s="221" t="s">
        <v>2027</v>
      </c>
      <c r="G280" s="1" t="s">
        <v>1625</v>
      </c>
      <c r="J280" s="319" t="str">
        <f>VLOOKUP(K280,PLA_v2025!G:H,2,FALSE)</f>
        <v>11.3.1</v>
      </c>
      <c r="K280" s="302" t="s">
        <v>929</v>
      </c>
    </row>
    <row r="281" spans="1:12" ht="29">
      <c r="A281" s="17">
        <v>280</v>
      </c>
      <c r="B281" s="287" t="s">
        <v>46</v>
      </c>
      <c r="C281" s="218">
        <v>17</v>
      </c>
      <c r="D281" s="258" t="s">
        <v>2022</v>
      </c>
      <c r="F281" s="221" t="s">
        <v>2028</v>
      </c>
      <c r="G281" s="1" t="s">
        <v>1625</v>
      </c>
      <c r="J281" s="319" t="str">
        <f>VLOOKUP(K281,PLA_v2025!G:H,2,FALSE)</f>
        <v>01.1.1</v>
      </c>
      <c r="K281" s="302" t="s">
        <v>296</v>
      </c>
      <c r="L281" s="302" t="s">
        <v>299</v>
      </c>
    </row>
    <row r="282" spans="1:12" ht="29">
      <c r="A282" s="17">
        <v>281</v>
      </c>
      <c r="B282" s="287" t="s">
        <v>46</v>
      </c>
      <c r="C282" s="218">
        <v>17</v>
      </c>
      <c r="D282" s="258" t="s">
        <v>2022</v>
      </c>
      <c r="F282" s="221" t="s">
        <v>2029</v>
      </c>
      <c r="G282" s="1" t="s">
        <v>1625</v>
      </c>
      <c r="J282" s="319" t="str">
        <f>VLOOKUP(K282,PLA_v2025!G:H,2,FALSE)</f>
        <v>01.1.1</v>
      </c>
      <c r="K282" s="302" t="s">
        <v>296</v>
      </c>
      <c r="L282" s="302" t="s">
        <v>299</v>
      </c>
    </row>
    <row r="283" spans="1:12" ht="43.5">
      <c r="A283" s="17">
        <v>282</v>
      </c>
      <c r="B283" s="287" t="s">
        <v>46</v>
      </c>
      <c r="C283" s="218">
        <v>17</v>
      </c>
      <c r="D283" s="258" t="s">
        <v>2022</v>
      </c>
      <c r="F283" s="221" t="s">
        <v>2030</v>
      </c>
      <c r="G283" s="1" t="s">
        <v>1625</v>
      </c>
      <c r="J283" s="319" t="str">
        <f>VLOOKUP(K283,PLA_v2025!G:H,2,FALSE)</f>
        <v>01.2.3</v>
      </c>
      <c r="K283" s="302" t="s">
        <v>337</v>
      </c>
    </row>
    <row r="284" spans="1:12" ht="43.5">
      <c r="A284" s="17">
        <v>283</v>
      </c>
      <c r="B284" s="287" t="s">
        <v>46</v>
      </c>
      <c r="C284" s="218">
        <v>17</v>
      </c>
      <c r="D284" s="258" t="s">
        <v>2022</v>
      </c>
      <c r="F284" s="221" t="s">
        <v>2031</v>
      </c>
      <c r="G284" s="1" t="s">
        <v>1625</v>
      </c>
      <c r="J284" s="319" t="str">
        <f>VLOOKUP(K284,PLA_v2025!G:H,2,FALSE)</f>
        <v>03.3.5</v>
      </c>
      <c r="K284" s="302" t="s">
        <v>484</v>
      </c>
    </row>
    <row r="285" spans="1:12" ht="29">
      <c r="A285" s="17">
        <v>284</v>
      </c>
      <c r="B285" s="287" t="s">
        <v>46</v>
      </c>
      <c r="C285" s="218">
        <v>17</v>
      </c>
      <c r="D285" s="258" t="s">
        <v>2022</v>
      </c>
      <c r="F285" s="221" t="s">
        <v>2032</v>
      </c>
      <c r="G285" s="1" t="s">
        <v>1625</v>
      </c>
      <c r="J285" s="319" t="str">
        <f>VLOOKUP(K285,PLA_v2025!G:H,2,FALSE)</f>
        <v>01.3.4</v>
      </c>
      <c r="K285" s="302" t="s">
        <v>374</v>
      </c>
      <c r="L285" s="302" t="s">
        <v>375</v>
      </c>
    </row>
    <row r="286" spans="1:12" ht="29">
      <c r="A286" s="17">
        <v>285</v>
      </c>
      <c r="B286" s="288" t="s">
        <v>2033</v>
      </c>
      <c r="C286" s="218">
        <v>1</v>
      </c>
      <c r="D286" s="273" t="s">
        <v>2034</v>
      </c>
      <c r="F286" s="232" t="s">
        <v>2035</v>
      </c>
      <c r="G286" s="1" t="s">
        <v>1500</v>
      </c>
      <c r="J286" s="319" t="str">
        <f>VLOOKUP(K286,PLA_v2025!G:H,2,FALSE)</f>
        <v>01.4.2</v>
      </c>
      <c r="K286" s="302" t="s">
        <v>398</v>
      </c>
    </row>
    <row r="287" spans="1:12" ht="58">
      <c r="A287" s="17">
        <v>286</v>
      </c>
      <c r="B287" s="288" t="s">
        <v>2033</v>
      </c>
      <c r="C287" s="218">
        <v>1</v>
      </c>
      <c r="D287" s="273" t="s">
        <v>2034</v>
      </c>
      <c r="F287" s="232" t="s">
        <v>2036</v>
      </c>
      <c r="G287" s="1" t="s">
        <v>1509</v>
      </c>
      <c r="J287" s="319" t="str">
        <f>VLOOKUP(K287,PLA_v2025!G:H,2,FALSE)</f>
        <v>03.3.4</v>
      </c>
      <c r="K287" s="302" t="s">
        <v>479</v>
      </c>
      <c r="L287" s="302" t="s">
        <v>1865</v>
      </c>
    </row>
    <row r="288" spans="1:12" ht="58">
      <c r="A288" s="17">
        <v>287</v>
      </c>
      <c r="B288" s="288" t="s">
        <v>2033</v>
      </c>
      <c r="C288" s="218">
        <v>1</v>
      </c>
      <c r="D288" s="273" t="s">
        <v>2034</v>
      </c>
      <c r="F288" s="232" t="s">
        <v>2037</v>
      </c>
      <c r="G288" s="1" t="s">
        <v>1500</v>
      </c>
      <c r="J288" s="319" t="str">
        <f>VLOOKUP(K288,PLA_v2025!G:H,2,FALSE)</f>
        <v>03.3.4</v>
      </c>
      <c r="K288" s="302" t="s">
        <v>479</v>
      </c>
      <c r="L288" s="302" t="s">
        <v>1865</v>
      </c>
    </row>
    <row r="289" spans="1:17" ht="43.5">
      <c r="A289" s="17">
        <v>288</v>
      </c>
      <c r="B289" s="288" t="s">
        <v>2033</v>
      </c>
      <c r="C289" s="218">
        <v>2</v>
      </c>
      <c r="D289" s="274" t="s">
        <v>2038</v>
      </c>
      <c r="F289" s="232" t="s">
        <v>2039</v>
      </c>
      <c r="G289" s="1" t="s">
        <v>1500</v>
      </c>
      <c r="I289" s="325"/>
      <c r="J289" s="319" t="str">
        <f>VLOOKUP(K289,PLA_v2025!G:H,2,FALSE)</f>
        <v>06.2.2</v>
      </c>
      <c r="K289" s="302" t="s">
        <v>636</v>
      </c>
      <c r="L289" s="321" t="s">
        <v>637</v>
      </c>
      <c r="M289"/>
      <c r="N289"/>
      <c r="O289"/>
      <c r="P289"/>
      <c r="Q289"/>
    </row>
    <row r="290" spans="1:17" ht="43.5">
      <c r="A290" s="17">
        <v>289</v>
      </c>
      <c r="B290" s="288" t="s">
        <v>2033</v>
      </c>
      <c r="C290" s="218">
        <v>2</v>
      </c>
      <c r="D290" s="274" t="s">
        <v>2038</v>
      </c>
      <c r="F290" s="232" t="s">
        <v>2040</v>
      </c>
      <c r="G290" s="1" t="s">
        <v>1500</v>
      </c>
      <c r="J290" s="319" t="str">
        <f>VLOOKUP(K290,PLA_v2025!G:H,2,FALSE)</f>
        <v>06.2.2</v>
      </c>
      <c r="K290" s="302" t="s">
        <v>636</v>
      </c>
      <c r="L290" s="321" t="s">
        <v>637</v>
      </c>
    </row>
    <row r="291" spans="1:17" ht="29">
      <c r="A291" s="17">
        <v>290</v>
      </c>
      <c r="B291" s="288" t="s">
        <v>2033</v>
      </c>
      <c r="C291" s="218">
        <v>2</v>
      </c>
      <c r="D291" s="274" t="s">
        <v>2038</v>
      </c>
      <c r="F291" s="232" t="s">
        <v>2041</v>
      </c>
      <c r="G291" s="1" t="s">
        <v>1500</v>
      </c>
      <c r="J291" s="319" t="str">
        <f>VLOOKUP(K291,PLA_v2025!G:H,2,FALSE)</f>
        <v>01.1.1</v>
      </c>
      <c r="K291" s="302" t="s">
        <v>296</v>
      </c>
      <c r="L291" s="302" t="s">
        <v>299</v>
      </c>
    </row>
    <row r="292" spans="1:17" ht="43.5">
      <c r="A292" s="17">
        <v>291</v>
      </c>
      <c r="B292" s="288" t="s">
        <v>2033</v>
      </c>
      <c r="C292" s="218">
        <v>3</v>
      </c>
      <c r="D292" s="275" t="s">
        <v>2042</v>
      </c>
      <c r="F292" s="232" t="s">
        <v>2043</v>
      </c>
      <c r="G292" s="1" t="s">
        <v>1509</v>
      </c>
      <c r="J292" s="319" t="str">
        <f>VLOOKUP(K292,PLA_v2025!G:H,2,FALSE)</f>
        <v>08.1.1</v>
      </c>
      <c r="K292" s="302" t="s">
        <v>746</v>
      </c>
      <c r="L292" s="302" t="s">
        <v>1927</v>
      </c>
    </row>
    <row r="293" spans="1:17" ht="43.5">
      <c r="A293" s="17">
        <v>292</v>
      </c>
      <c r="B293" s="288" t="s">
        <v>2033</v>
      </c>
      <c r="C293" s="218">
        <v>4</v>
      </c>
      <c r="D293" s="276" t="s">
        <v>2044</v>
      </c>
      <c r="F293" s="232" t="s">
        <v>2045</v>
      </c>
      <c r="G293" s="1" t="s">
        <v>1500</v>
      </c>
      <c r="J293" s="319" t="str">
        <f>VLOOKUP(K293,PLA_v2025!G:H,2,FALSE)</f>
        <v>08.3.1</v>
      </c>
      <c r="K293" s="302" t="s">
        <v>780</v>
      </c>
    </row>
    <row r="294" spans="1:17" ht="14.5" customHeight="1">
      <c r="A294" s="17">
        <v>293</v>
      </c>
      <c r="B294" s="288" t="s">
        <v>2033</v>
      </c>
      <c r="C294" s="218">
        <v>4</v>
      </c>
      <c r="D294" s="276" t="s">
        <v>2044</v>
      </c>
      <c r="F294" s="232" t="s">
        <v>2046</v>
      </c>
      <c r="G294" s="1" t="s">
        <v>1500</v>
      </c>
      <c r="J294" s="319" t="str">
        <f>VLOOKUP(K294,PLA_v2025!G:H,2,FALSE)</f>
        <v>08.3.6</v>
      </c>
      <c r="K294" s="302" t="s">
        <v>810</v>
      </c>
    </row>
    <row r="295" spans="1:17" ht="29">
      <c r="A295" s="17">
        <v>294</v>
      </c>
      <c r="B295" s="288" t="s">
        <v>2033</v>
      </c>
      <c r="C295" s="218">
        <v>4</v>
      </c>
      <c r="D295" s="276" t="s">
        <v>2044</v>
      </c>
      <c r="F295" s="232" t="s">
        <v>2047</v>
      </c>
      <c r="G295" s="1" t="s">
        <v>1500</v>
      </c>
      <c r="J295" s="319" t="str">
        <f>VLOOKUP(K295,PLA_v2025!G:H,2,FALSE)</f>
        <v>08.3.3</v>
      </c>
      <c r="K295" s="302" t="s">
        <v>793</v>
      </c>
    </row>
    <row r="296" spans="1:17" ht="43.5">
      <c r="A296" s="17">
        <v>295</v>
      </c>
      <c r="B296" s="288" t="s">
        <v>2033</v>
      </c>
      <c r="C296" s="218">
        <v>4</v>
      </c>
      <c r="D296" s="276" t="s">
        <v>2044</v>
      </c>
      <c r="F296" s="232" t="s">
        <v>2048</v>
      </c>
      <c r="G296" s="1" t="s">
        <v>1500</v>
      </c>
      <c r="J296" s="319" t="str">
        <f>VLOOKUP(K296,PLA_v2025!G:H,2,FALSE)</f>
        <v>08.1.1</v>
      </c>
      <c r="K296" s="302" t="s">
        <v>746</v>
      </c>
      <c r="L296" s="302" t="s">
        <v>1927</v>
      </c>
    </row>
    <row r="297" spans="1:17" ht="29">
      <c r="A297" s="17">
        <v>296</v>
      </c>
      <c r="B297" s="288" t="s">
        <v>2033</v>
      </c>
      <c r="C297" s="218">
        <v>4</v>
      </c>
      <c r="D297" s="276" t="s">
        <v>2044</v>
      </c>
      <c r="F297" s="232" t="s">
        <v>2049</v>
      </c>
      <c r="G297" s="1" t="s">
        <v>1500</v>
      </c>
      <c r="J297" s="319" t="str">
        <f>VLOOKUP(K297,PLA_v2025!G:H,2,FALSE)</f>
        <v>01.4.2</v>
      </c>
      <c r="K297" s="302" t="s">
        <v>398</v>
      </c>
    </row>
    <row r="298" spans="1:17" ht="58">
      <c r="A298" s="17">
        <v>297</v>
      </c>
      <c r="B298" s="288" t="s">
        <v>2033</v>
      </c>
      <c r="C298" s="218">
        <v>5</v>
      </c>
      <c r="D298" s="277" t="s">
        <v>2050</v>
      </c>
      <c r="F298" s="232" t="s">
        <v>2051</v>
      </c>
      <c r="G298" s="1" t="s">
        <v>1500</v>
      </c>
      <c r="J298" s="319" t="e">
        <f>VLOOKUP(K298,PLA_v2025!G:H,2,FALSE)</f>
        <v>#N/A</v>
      </c>
      <c r="K298" s="302" t="s">
        <v>1357</v>
      </c>
      <c r="L298" s="302" t="s">
        <v>1721</v>
      </c>
    </row>
    <row r="299" spans="1:17" ht="43.5">
      <c r="A299" s="17">
        <v>298</v>
      </c>
      <c r="B299" s="289" t="s">
        <v>2052</v>
      </c>
      <c r="D299" s="294" t="s">
        <v>329</v>
      </c>
      <c r="F299" s="235" t="s">
        <v>2053</v>
      </c>
      <c r="G299" s="1" t="s">
        <v>1625</v>
      </c>
      <c r="I299" s="326" t="s">
        <v>42</v>
      </c>
      <c r="J299" s="319" t="str">
        <f>VLOOKUP(K299,PLA_v2025!G:H,2,FALSE)</f>
        <v>11.7.2</v>
      </c>
      <c r="K299" s="302" t="s">
        <v>979</v>
      </c>
    </row>
    <row r="300" spans="1:17" ht="43.5">
      <c r="A300" s="17">
        <v>299</v>
      </c>
      <c r="B300" s="289" t="s">
        <v>2052</v>
      </c>
      <c r="D300" s="294" t="s">
        <v>329</v>
      </c>
      <c r="F300" s="235" t="s">
        <v>2054</v>
      </c>
      <c r="G300" s="1" t="s">
        <v>1625</v>
      </c>
      <c r="I300" s="326" t="s">
        <v>42</v>
      </c>
      <c r="J300" s="319" t="str">
        <f>VLOOKUP(K300,PLA_v2025!G:H,2,FALSE)</f>
        <v>11.7.2</v>
      </c>
      <c r="K300" s="302" t="s">
        <v>979</v>
      </c>
    </row>
    <row r="301" spans="1:17" ht="13.4" customHeight="1">
      <c r="A301" s="17">
        <v>300</v>
      </c>
      <c r="B301" s="289" t="s">
        <v>2052</v>
      </c>
      <c r="D301" s="294" t="s">
        <v>329</v>
      </c>
      <c r="F301" s="235" t="s">
        <v>2055</v>
      </c>
      <c r="G301" s="1" t="s">
        <v>1625</v>
      </c>
      <c r="I301" s="326" t="s">
        <v>42</v>
      </c>
      <c r="J301" s="319" t="str">
        <f>VLOOKUP(K301,PLA_v2025!G:H,2,FALSE)</f>
        <v>16.3.5</v>
      </c>
      <c r="K301" s="302" t="s">
        <v>1317</v>
      </c>
    </row>
    <row r="302" spans="1:17" ht="29">
      <c r="A302" s="17">
        <v>301</v>
      </c>
      <c r="B302" s="289" t="s">
        <v>2052</v>
      </c>
      <c r="D302" s="294" t="s">
        <v>329</v>
      </c>
      <c r="F302" s="235" t="s">
        <v>2056</v>
      </c>
      <c r="G302" s="1" t="s">
        <v>1625</v>
      </c>
      <c r="I302" s="326" t="s">
        <v>42</v>
      </c>
      <c r="J302" s="319" t="str">
        <f>VLOOKUP(K302,PLA_v2025!G:H,2,FALSE)</f>
        <v>16.3.5</v>
      </c>
      <c r="K302" s="302" t="s">
        <v>1317</v>
      </c>
      <c r="L302" s="17"/>
    </row>
    <row r="303" spans="1:17" ht="60" customHeight="1">
      <c r="A303" s="17">
        <v>302</v>
      </c>
      <c r="B303" s="289" t="s">
        <v>2052</v>
      </c>
      <c r="D303" s="294" t="s">
        <v>329</v>
      </c>
      <c r="F303" s="235" t="s">
        <v>2057</v>
      </c>
      <c r="G303" s="1" t="s">
        <v>1625</v>
      </c>
      <c r="I303" s="326" t="s">
        <v>42</v>
      </c>
      <c r="J303" s="319" t="str">
        <f>VLOOKUP(K303,PLA_v2025!G:H,2,FALSE)</f>
        <v>04.3.3</v>
      </c>
      <c r="K303" s="302" t="s">
        <v>560</v>
      </c>
    </row>
    <row r="304" spans="1:17" ht="29">
      <c r="A304" s="17">
        <v>303</v>
      </c>
      <c r="B304" s="289" t="s">
        <v>2052</v>
      </c>
      <c r="D304" s="294" t="s">
        <v>329</v>
      </c>
      <c r="F304" s="235" t="s">
        <v>2058</v>
      </c>
      <c r="G304" s="1" t="s">
        <v>1625</v>
      </c>
      <c r="I304" s="326" t="s">
        <v>42</v>
      </c>
      <c r="J304" s="319" t="str">
        <f>VLOOKUP(K304,PLA_v2025!G:H,2,FALSE)</f>
        <v>03.2.1</v>
      </c>
      <c r="K304" s="302" t="s">
        <v>458</v>
      </c>
      <c r="L304" s="302"/>
    </row>
    <row r="305" spans="1:12" ht="16.75" customHeight="1">
      <c r="A305" s="17">
        <v>304</v>
      </c>
      <c r="B305" s="289" t="s">
        <v>2052</v>
      </c>
      <c r="D305" s="294" t="s">
        <v>329</v>
      </c>
      <c r="F305" s="235" t="s">
        <v>2059</v>
      </c>
      <c r="G305" s="1" t="s">
        <v>1625</v>
      </c>
      <c r="I305" s="326" t="s">
        <v>42</v>
      </c>
      <c r="J305" s="319" t="str">
        <f>VLOOKUP(K305,PLA_v2025!G:H,2,FALSE)</f>
        <v>16.1.1</v>
      </c>
      <c r="K305" s="302" t="s">
        <v>1267</v>
      </c>
    </row>
    <row r="306" spans="1:12" ht="16.75" customHeight="1">
      <c r="A306" s="17">
        <v>305</v>
      </c>
      <c r="B306" s="289" t="s">
        <v>2052</v>
      </c>
      <c r="D306" s="294" t="s">
        <v>329</v>
      </c>
      <c r="F306" s="235" t="s">
        <v>2060</v>
      </c>
      <c r="G306" s="1" t="s">
        <v>1625</v>
      </c>
      <c r="I306" s="326" t="s">
        <v>42</v>
      </c>
      <c r="J306" s="319" t="str">
        <f>VLOOKUP(K306,PLA_v2025!G:H,2,FALSE)</f>
        <v>11.7.2</v>
      </c>
      <c r="K306" s="1" t="s">
        <v>979</v>
      </c>
    </row>
    <row r="307" spans="1:12" ht="43.5">
      <c r="A307" s="17">
        <v>306</v>
      </c>
      <c r="B307" s="289" t="s">
        <v>2052</v>
      </c>
      <c r="D307" s="294" t="s">
        <v>329</v>
      </c>
      <c r="F307" s="235" t="s">
        <v>2061</v>
      </c>
      <c r="G307" s="1" t="s">
        <v>1625</v>
      </c>
      <c r="I307" s="326" t="s">
        <v>2062</v>
      </c>
      <c r="J307" s="319" t="str">
        <f>VLOOKUP(K307,PLA_v2025!G:H,2,FALSE)</f>
        <v>06.4.4</v>
      </c>
      <c r="K307" s="302" t="s">
        <v>697</v>
      </c>
    </row>
    <row r="308" spans="1:12" ht="43.5">
      <c r="A308" s="17">
        <v>307</v>
      </c>
      <c r="B308" s="289" t="s">
        <v>2052</v>
      </c>
      <c r="D308" s="294" t="s">
        <v>329</v>
      </c>
      <c r="F308" s="235" t="s">
        <v>2063</v>
      </c>
      <c r="G308" s="1" t="s">
        <v>1625</v>
      </c>
      <c r="I308" s="326" t="s">
        <v>42</v>
      </c>
      <c r="J308" s="319" t="str">
        <f>VLOOKUP(K308,PLA_v2025!G:H,2,FALSE)</f>
        <v>16.2.3</v>
      </c>
      <c r="K308" s="302" t="s">
        <v>1292</v>
      </c>
    </row>
    <row r="309" spans="1:12" ht="43.5">
      <c r="A309" s="17">
        <v>308</v>
      </c>
      <c r="B309" s="289" t="s">
        <v>2052</v>
      </c>
      <c r="D309" s="294" t="s">
        <v>329</v>
      </c>
      <c r="F309" s="235" t="s">
        <v>2064</v>
      </c>
      <c r="G309" s="1" t="s">
        <v>1625</v>
      </c>
      <c r="I309" s="326" t="s">
        <v>42</v>
      </c>
      <c r="J309" s="319" t="str">
        <f>VLOOKUP(K309,PLA_v2025!G:H,2,FALSE)</f>
        <v>08.3.1</v>
      </c>
      <c r="K309" s="302" t="s">
        <v>780</v>
      </c>
    </row>
    <row r="310" spans="1:12" ht="29">
      <c r="A310" s="17">
        <v>309</v>
      </c>
      <c r="B310" s="289" t="s">
        <v>2052</v>
      </c>
      <c r="D310" s="293" t="s">
        <v>2065</v>
      </c>
      <c r="F310" s="235" t="s">
        <v>2066</v>
      </c>
      <c r="G310" s="1" t="s">
        <v>1625</v>
      </c>
      <c r="I310" s="326" t="s">
        <v>42</v>
      </c>
      <c r="J310" s="319" t="str">
        <f>VLOOKUP(K310,PLA_v2025!G:H,2,FALSE)</f>
        <v>16.1.1</v>
      </c>
      <c r="K310" s="302" t="s">
        <v>1267</v>
      </c>
    </row>
    <row r="311" spans="1:12" ht="29">
      <c r="A311" s="17">
        <v>310</v>
      </c>
      <c r="B311" s="289" t="s">
        <v>2052</v>
      </c>
      <c r="D311" s="293" t="s">
        <v>2065</v>
      </c>
      <c r="F311" s="235" t="s">
        <v>2067</v>
      </c>
      <c r="G311" s="1" t="s">
        <v>1625</v>
      </c>
      <c r="I311" s="326" t="s">
        <v>42</v>
      </c>
      <c r="J311" s="319" t="str">
        <f>VLOOKUP(K311,PLA_v2025!G:H,2,FALSE)</f>
        <v>16.3.5</v>
      </c>
      <c r="K311" s="302" t="s">
        <v>1317</v>
      </c>
    </row>
    <row r="312" spans="1:12">
      <c r="A312" s="17">
        <v>311</v>
      </c>
      <c r="B312" s="289" t="s">
        <v>2052</v>
      </c>
      <c r="D312" s="293" t="s">
        <v>2065</v>
      </c>
      <c r="F312" s="235" t="s">
        <v>2068</v>
      </c>
      <c r="G312" s="1" t="s">
        <v>1625</v>
      </c>
      <c r="I312" s="326" t="s">
        <v>42</v>
      </c>
      <c r="J312" s="319" t="str">
        <f>VLOOKUP(K312,PLA_v2025!G:H,2,FALSE)</f>
        <v>16.6.1</v>
      </c>
      <c r="K312" s="302" t="s">
        <v>1340</v>
      </c>
    </row>
    <row r="313" spans="1:12" ht="29">
      <c r="A313" s="17">
        <v>312</v>
      </c>
      <c r="B313" s="289" t="s">
        <v>2052</v>
      </c>
      <c r="D313" s="293" t="s">
        <v>2065</v>
      </c>
      <c r="F313" s="235" t="s">
        <v>2069</v>
      </c>
      <c r="G313" s="1" t="s">
        <v>1625</v>
      </c>
      <c r="I313" s="326" t="s">
        <v>42</v>
      </c>
      <c r="J313" s="319" t="str">
        <f>VLOOKUP(K313,PLA_v2025!G:H,2,FALSE)</f>
        <v>16.3.5</v>
      </c>
      <c r="K313" s="302" t="s">
        <v>1317</v>
      </c>
    </row>
    <row r="314" spans="1:12" ht="29">
      <c r="A314" s="17">
        <v>313</v>
      </c>
      <c r="B314" s="289" t="s">
        <v>2052</v>
      </c>
      <c r="D314" s="293" t="s">
        <v>2065</v>
      </c>
      <c r="F314" s="235" t="s">
        <v>2070</v>
      </c>
      <c r="G314" s="1" t="s">
        <v>1625</v>
      </c>
      <c r="I314" s="326" t="s">
        <v>42</v>
      </c>
      <c r="J314" s="319" t="str">
        <f>VLOOKUP(K314,PLA_v2025!G:H,2,FALSE)</f>
        <v>16.3.5</v>
      </c>
      <c r="K314" s="302" t="s">
        <v>1317</v>
      </c>
    </row>
    <row r="315" spans="1:12" ht="29">
      <c r="A315" s="17">
        <v>314</v>
      </c>
      <c r="B315" s="289" t="s">
        <v>2052</v>
      </c>
      <c r="D315" s="293" t="s">
        <v>2065</v>
      </c>
      <c r="F315" s="235" t="s">
        <v>2071</v>
      </c>
      <c r="G315" s="1" t="s">
        <v>1625</v>
      </c>
      <c r="I315" s="326" t="s">
        <v>42</v>
      </c>
      <c r="J315" s="319" t="str">
        <f>VLOOKUP(K315,PLA_v2025!G:H,2,FALSE)</f>
        <v>16.3.5</v>
      </c>
      <c r="K315" s="302" t="s">
        <v>1317</v>
      </c>
    </row>
    <row r="316" spans="1:12" ht="29">
      <c r="A316" s="17">
        <v>315</v>
      </c>
      <c r="B316" s="289" t="s">
        <v>2052</v>
      </c>
      <c r="D316" s="293" t="s">
        <v>2065</v>
      </c>
      <c r="F316" s="235" t="s">
        <v>2072</v>
      </c>
      <c r="G316" s="1" t="s">
        <v>1625</v>
      </c>
      <c r="I316" s="326" t="s">
        <v>42</v>
      </c>
      <c r="J316" s="319" t="str">
        <f>VLOOKUP(K316,PLA_v2025!G:H,2,FALSE)</f>
        <v>16.3.5</v>
      </c>
      <c r="K316" s="302" t="s">
        <v>1317</v>
      </c>
    </row>
    <row r="317" spans="1:12" ht="29">
      <c r="A317" s="17">
        <v>316</v>
      </c>
      <c r="B317" s="289" t="s">
        <v>2052</v>
      </c>
      <c r="D317" s="293" t="s">
        <v>2065</v>
      </c>
      <c r="F317" s="235" t="s">
        <v>2073</v>
      </c>
      <c r="G317" s="1" t="s">
        <v>1625</v>
      </c>
      <c r="I317" s="326" t="s">
        <v>42</v>
      </c>
      <c r="J317" s="319" t="str">
        <f>VLOOKUP(K317,PLA_v2025!G:H,2,FALSE)</f>
        <v>16.3.5</v>
      </c>
      <c r="K317" s="302" t="s">
        <v>1317</v>
      </c>
    </row>
    <row r="318" spans="1:12" ht="29">
      <c r="A318" s="17">
        <v>317</v>
      </c>
      <c r="B318" s="289" t="s">
        <v>2052</v>
      </c>
      <c r="D318" s="293" t="s">
        <v>2065</v>
      </c>
      <c r="F318" s="235" t="s">
        <v>2074</v>
      </c>
      <c r="G318" s="1" t="s">
        <v>1625</v>
      </c>
      <c r="I318" s="326" t="s">
        <v>42</v>
      </c>
      <c r="J318" s="319" t="str">
        <f>VLOOKUP(K318,PLA_v2025!G:H,2,FALSE)</f>
        <v>16.6.3</v>
      </c>
      <c r="K318" s="302" t="s">
        <v>1345</v>
      </c>
    </row>
    <row r="319" spans="1:12" ht="43.5">
      <c r="A319" s="17">
        <v>318</v>
      </c>
      <c r="B319" s="289" t="s">
        <v>2052</v>
      </c>
      <c r="D319" s="293" t="s">
        <v>2065</v>
      </c>
      <c r="F319" s="235" t="s">
        <v>2075</v>
      </c>
      <c r="G319" s="1" t="s">
        <v>1625</v>
      </c>
      <c r="I319" s="326" t="s">
        <v>42</v>
      </c>
      <c r="J319" s="319" t="str">
        <f>VLOOKUP(K319,PLA_v2025!G:H,2,FALSE)</f>
        <v>11.7.2</v>
      </c>
      <c r="K319" s="302" t="s">
        <v>979</v>
      </c>
    </row>
    <row r="320" spans="1:12" ht="29">
      <c r="A320" s="17">
        <v>319</v>
      </c>
      <c r="B320" s="289" t="s">
        <v>2052</v>
      </c>
      <c r="D320" s="293" t="s">
        <v>2065</v>
      </c>
      <c r="F320" s="235" t="s">
        <v>2076</v>
      </c>
      <c r="G320" s="1" t="s">
        <v>1625</v>
      </c>
      <c r="I320" s="326" t="s">
        <v>42</v>
      </c>
      <c r="J320" s="319" t="str">
        <f>VLOOKUP(K320,PLA_v2025!G:H,2,FALSE)</f>
        <v>16.3.5</v>
      </c>
      <c r="K320" s="302" t="s">
        <v>1317</v>
      </c>
      <c r="L320" s="306"/>
    </row>
    <row r="321" spans="1:12" ht="29">
      <c r="A321" s="17">
        <v>320</v>
      </c>
      <c r="B321" s="289" t="s">
        <v>2052</v>
      </c>
      <c r="D321" s="293" t="s">
        <v>2065</v>
      </c>
      <c r="F321" s="235" t="s">
        <v>2077</v>
      </c>
      <c r="G321" s="1" t="s">
        <v>1625</v>
      </c>
      <c r="I321" s="326" t="s">
        <v>42</v>
      </c>
      <c r="J321" s="319" t="str">
        <f>VLOOKUP(K321,PLA_v2025!G:H,2,FALSE)</f>
        <v>16.3.5</v>
      </c>
      <c r="K321" s="302" t="s">
        <v>1317</v>
      </c>
    </row>
    <row r="322" spans="1:12" ht="29">
      <c r="A322" s="17">
        <v>321</v>
      </c>
      <c r="B322" s="289" t="s">
        <v>2052</v>
      </c>
      <c r="D322" s="293" t="s">
        <v>2065</v>
      </c>
      <c r="F322" s="235" t="s">
        <v>2078</v>
      </c>
      <c r="G322" s="1" t="s">
        <v>1625</v>
      </c>
      <c r="I322" s="326" t="s">
        <v>42</v>
      </c>
      <c r="J322" s="319" t="str">
        <f>VLOOKUP(K322,PLA_v2025!G:H,2,FALSE)</f>
        <v>16.3.5</v>
      </c>
      <c r="K322" s="302" t="s">
        <v>1317</v>
      </c>
    </row>
    <row r="323" spans="1:12" ht="29">
      <c r="A323" s="17">
        <v>322</v>
      </c>
      <c r="B323" s="289" t="s">
        <v>2052</v>
      </c>
      <c r="D323" s="293" t="s">
        <v>2065</v>
      </c>
      <c r="F323" s="235" t="s">
        <v>2079</v>
      </c>
      <c r="G323" s="1" t="s">
        <v>1625</v>
      </c>
      <c r="I323" s="326" t="s">
        <v>42</v>
      </c>
      <c r="J323" s="319" t="str">
        <f>VLOOKUP(K323,PLA_v2025!G:H,2,FALSE)</f>
        <v>16.3.5</v>
      </c>
      <c r="K323" s="302" t="s">
        <v>1317</v>
      </c>
    </row>
    <row r="324" spans="1:12" ht="29">
      <c r="A324" s="17">
        <v>323</v>
      </c>
      <c r="B324" s="289" t="s">
        <v>2052</v>
      </c>
      <c r="D324" s="293" t="s">
        <v>2065</v>
      </c>
      <c r="F324" s="235" t="s">
        <v>2080</v>
      </c>
      <c r="G324" s="1" t="s">
        <v>1625</v>
      </c>
      <c r="I324" s="326" t="s">
        <v>42</v>
      </c>
      <c r="J324" s="319" t="str">
        <f>VLOOKUP(K324,PLA_v2025!G:H,2,FALSE)</f>
        <v>16.3.5</v>
      </c>
      <c r="K324" s="302" t="s">
        <v>1317</v>
      </c>
    </row>
    <row r="325" spans="1:12" ht="29">
      <c r="A325" s="17">
        <v>324</v>
      </c>
      <c r="B325" s="289" t="s">
        <v>2052</v>
      </c>
      <c r="D325" s="293" t="s">
        <v>2065</v>
      </c>
      <c r="F325" s="235" t="s">
        <v>2081</v>
      </c>
      <c r="G325" s="1" t="s">
        <v>1625</v>
      </c>
      <c r="I325" s="326" t="s">
        <v>42</v>
      </c>
      <c r="J325" s="319" t="str">
        <f>VLOOKUP(K325,PLA_v2025!G:H,2,FALSE)</f>
        <v>16.6.3</v>
      </c>
      <c r="K325" s="302" t="s">
        <v>1345</v>
      </c>
    </row>
    <row r="326" spans="1:12" ht="29">
      <c r="A326" s="17">
        <v>325</v>
      </c>
      <c r="B326" s="289" t="s">
        <v>2052</v>
      </c>
      <c r="D326" s="293" t="s">
        <v>2065</v>
      </c>
      <c r="F326" s="235" t="s">
        <v>2082</v>
      </c>
      <c r="G326" s="1" t="s">
        <v>1625</v>
      </c>
      <c r="I326" s="326" t="s">
        <v>42</v>
      </c>
      <c r="J326" s="319" t="str">
        <f>VLOOKUP(K326,PLA_v2025!G:H,2,FALSE)</f>
        <v>16.6.3</v>
      </c>
      <c r="K326" s="302" t="s">
        <v>1345</v>
      </c>
      <c r="L326" s="306"/>
    </row>
    <row r="327" spans="1:12" ht="29">
      <c r="A327" s="17">
        <v>326</v>
      </c>
      <c r="B327" s="289" t="s">
        <v>2052</v>
      </c>
      <c r="D327" s="293" t="s">
        <v>2065</v>
      </c>
      <c r="F327" s="235" t="s">
        <v>2083</v>
      </c>
      <c r="G327" s="1" t="s">
        <v>1625</v>
      </c>
      <c r="I327" s="326" t="s">
        <v>42</v>
      </c>
      <c r="J327" s="319" t="str">
        <f>VLOOKUP(K327,PLA_v2025!G:H,2,FALSE)</f>
        <v>16.3.5</v>
      </c>
      <c r="K327" s="302" t="s">
        <v>1317</v>
      </c>
      <c r="L327" s="306"/>
    </row>
    <row r="328" spans="1:12" ht="29">
      <c r="A328" s="17">
        <v>327</v>
      </c>
      <c r="B328" s="289" t="s">
        <v>2052</v>
      </c>
      <c r="D328" s="293" t="s">
        <v>2065</v>
      </c>
      <c r="F328" s="235" t="s">
        <v>2084</v>
      </c>
      <c r="G328" s="1" t="s">
        <v>1625</v>
      </c>
      <c r="I328" s="326" t="s">
        <v>42</v>
      </c>
      <c r="J328" s="319" t="str">
        <f>VLOOKUP(K328,PLA_v2025!G:H,2,FALSE)</f>
        <v>11.8.3</v>
      </c>
      <c r="K328" s="302" t="s">
        <v>997</v>
      </c>
      <c r="L328" s="306"/>
    </row>
    <row r="329" spans="1:12" ht="29">
      <c r="A329" s="17">
        <v>328</v>
      </c>
      <c r="B329" s="289" t="s">
        <v>2052</v>
      </c>
      <c r="D329" s="293" t="s">
        <v>2065</v>
      </c>
      <c r="F329" s="235" t="s">
        <v>2085</v>
      </c>
      <c r="G329" s="1" t="s">
        <v>1625</v>
      </c>
      <c r="I329" s="326" t="s">
        <v>42</v>
      </c>
      <c r="J329" s="319" t="str">
        <f>VLOOKUP(K329,PLA_v2025!G:H,2,FALSE)</f>
        <v>16.3.5</v>
      </c>
      <c r="K329" s="302" t="s">
        <v>1317</v>
      </c>
      <c r="L329" s="306"/>
    </row>
    <row r="330" spans="1:12" ht="29">
      <c r="A330" s="17">
        <v>329</v>
      </c>
      <c r="B330" s="289" t="s">
        <v>2052</v>
      </c>
      <c r="D330" s="293" t="s">
        <v>2065</v>
      </c>
      <c r="F330" s="235" t="s">
        <v>2086</v>
      </c>
      <c r="G330" s="1" t="s">
        <v>1625</v>
      </c>
      <c r="I330" s="326" t="s">
        <v>42</v>
      </c>
      <c r="J330" s="319" t="str">
        <f>VLOOKUP(K330,PLA_v2025!G:H,2,FALSE)</f>
        <v>16.3.5</v>
      </c>
      <c r="K330" s="302" t="s">
        <v>1317</v>
      </c>
      <c r="L330" s="306"/>
    </row>
    <row r="331" spans="1:12" ht="29">
      <c r="A331" s="17">
        <v>330</v>
      </c>
      <c r="B331" s="289" t="s">
        <v>2052</v>
      </c>
      <c r="D331" s="293" t="s">
        <v>2065</v>
      </c>
      <c r="F331" s="235" t="s">
        <v>2087</v>
      </c>
      <c r="G331" s="1" t="s">
        <v>1625</v>
      </c>
      <c r="I331" s="326" t="s">
        <v>42</v>
      </c>
      <c r="J331" s="319" t="str">
        <f>VLOOKUP(K331,PLA_v2025!G:H,2,FALSE)</f>
        <v>16.3.5</v>
      </c>
      <c r="K331" s="302" t="s">
        <v>1317</v>
      </c>
      <c r="L331" s="306"/>
    </row>
    <row r="332" spans="1:12" ht="29">
      <c r="A332" s="17">
        <v>331</v>
      </c>
      <c r="B332" s="289" t="s">
        <v>2052</v>
      </c>
      <c r="D332" s="278" t="s">
        <v>2088</v>
      </c>
      <c r="F332" s="235" t="s">
        <v>2089</v>
      </c>
      <c r="G332" s="1" t="s">
        <v>1509</v>
      </c>
      <c r="I332" s="326" t="s">
        <v>42</v>
      </c>
      <c r="J332" s="319" t="str">
        <f>VLOOKUP(K332,PLA_v2025!G:H,2,FALSE)</f>
        <v>16.3.5</v>
      </c>
      <c r="K332" s="302" t="s">
        <v>1317</v>
      </c>
      <c r="L332" s="306"/>
    </row>
    <row r="333" spans="1:12" ht="29">
      <c r="A333" s="17">
        <v>332</v>
      </c>
      <c r="B333" s="289" t="s">
        <v>2052</v>
      </c>
      <c r="D333" s="278" t="s">
        <v>2088</v>
      </c>
      <c r="F333" s="235" t="s">
        <v>2090</v>
      </c>
      <c r="G333" s="1" t="s">
        <v>1625</v>
      </c>
      <c r="I333" s="326" t="s">
        <v>42</v>
      </c>
      <c r="J333" s="319" t="str">
        <f>VLOOKUP(K333,PLA_v2025!G:H,2,FALSE)</f>
        <v>16.3.5</v>
      </c>
      <c r="K333" s="302" t="s">
        <v>1317</v>
      </c>
    </row>
    <row r="334" spans="1:12" ht="29">
      <c r="A334" s="17">
        <v>333</v>
      </c>
      <c r="B334" s="289" t="s">
        <v>2052</v>
      </c>
      <c r="D334" s="278" t="s">
        <v>2088</v>
      </c>
      <c r="F334" s="235" t="s">
        <v>2091</v>
      </c>
      <c r="G334" s="1" t="s">
        <v>1509</v>
      </c>
      <c r="I334" s="326" t="s">
        <v>42</v>
      </c>
      <c r="J334" s="319" t="str">
        <f>VLOOKUP(K334,PLA_v2025!G:H,2,FALSE)</f>
        <v>08.3.2</v>
      </c>
      <c r="K334" s="302" t="s">
        <v>786</v>
      </c>
    </row>
    <row r="335" spans="1:12" ht="29">
      <c r="A335" s="17">
        <v>334</v>
      </c>
      <c r="B335" s="289" t="s">
        <v>2052</v>
      </c>
      <c r="D335" s="278" t="s">
        <v>2088</v>
      </c>
      <c r="F335" s="235" t="s">
        <v>2092</v>
      </c>
      <c r="G335" s="1" t="s">
        <v>1625</v>
      </c>
      <c r="I335" s="326" t="s">
        <v>42</v>
      </c>
      <c r="J335" s="319" t="str">
        <f>VLOOKUP(K335,PLA_v2025!G:H,2,FALSE)</f>
        <v>08.3.2</v>
      </c>
      <c r="K335" s="302" t="s">
        <v>786</v>
      </c>
    </row>
    <row r="336" spans="1:12" ht="29">
      <c r="A336" s="17">
        <v>335</v>
      </c>
      <c r="B336" s="289" t="s">
        <v>2052</v>
      </c>
      <c r="D336" s="278" t="s">
        <v>2088</v>
      </c>
      <c r="F336" s="235" t="s">
        <v>2093</v>
      </c>
      <c r="G336" s="1" t="s">
        <v>290</v>
      </c>
      <c r="I336" s="326" t="s">
        <v>42</v>
      </c>
      <c r="J336" s="319" t="str">
        <f>VLOOKUP(K336,PLA_v2025!G:H,2,FALSE)</f>
        <v>01.4.2</v>
      </c>
      <c r="K336" s="302" t="s">
        <v>398</v>
      </c>
    </row>
    <row r="337" spans="1:12" ht="29">
      <c r="A337" s="17">
        <v>336</v>
      </c>
      <c r="B337" s="289" t="s">
        <v>2052</v>
      </c>
      <c r="D337" s="278" t="s">
        <v>2088</v>
      </c>
      <c r="F337" s="235" t="s">
        <v>2094</v>
      </c>
      <c r="G337" s="1" t="s">
        <v>1509</v>
      </c>
      <c r="I337" s="326" t="s">
        <v>42</v>
      </c>
      <c r="J337" s="319" t="str">
        <f>VLOOKUP(K337,PLA_v2025!G:H,2,FALSE)</f>
        <v>08.3.4</v>
      </c>
      <c r="K337" s="302" t="s">
        <v>801</v>
      </c>
    </row>
    <row r="338" spans="1:12" ht="29">
      <c r="A338" s="17">
        <v>337</v>
      </c>
      <c r="B338" s="289" t="s">
        <v>2052</v>
      </c>
      <c r="D338" s="278" t="s">
        <v>2088</v>
      </c>
      <c r="F338" s="235" t="s">
        <v>2095</v>
      </c>
      <c r="G338" s="1" t="s">
        <v>1625</v>
      </c>
      <c r="I338" s="326" t="s">
        <v>42</v>
      </c>
      <c r="J338" s="319" t="str">
        <f>VLOOKUP(K338,PLA_v2025!G:H,2,FALSE)</f>
        <v>08.3.4</v>
      </c>
      <c r="K338" s="302" t="s">
        <v>801</v>
      </c>
    </row>
    <row r="339" spans="1:12" ht="43.5">
      <c r="A339" s="17">
        <v>338</v>
      </c>
      <c r="B339" s="289" t="s">
        <v>2052</v>
      </c>
      <c r="D339" s="278" t="s">
        <v>2088</v>
      </c>
      <c r="F339" s="235" t="s">
        <v>2096</v>
      </c>
      <c r="G339" s="1" t="s">
        <v>290</v>
      </c>
      <c r="I339" s="326" t="s">
        <v>42</v>
      </c>
      <c r="J339" s="319" t="str">
        <f>VLOOKUP(K339,PLA_v2025!G:H,2,FALSE)</f>
        <v>06.2.3</v>
      </c>
      <c r="K339" s="302" t="s">
        <v>643</v>
      </c>
    </row>
    <row r="340" spans="1:12" ht="43.5">
      <c r="A340" s="17">
        <v>339</v>
      </c>
      <c r="B340" s="289" t="s">
        <v>2052</v>
      </c>
      <c r="D340" s="278" t="s">
        <v>2088</v>
      </c>
      <c r="F340" s="235" t="s">
        <v>2097</v>
      </c>
      <c r="G340" s="1" t="s">
        <v>1509</v>
      </c>
      <c r="I340" s="326" t="s">
        <v>42</v>
      </c>
      <c r="J340" s="319" t="str">
        <f>VLOOKUP(K340,PLA_v2025!G:H,2,FALSE)</f>
        <v>06.2.3</v>
      </c>
      <c r="K340" s="302" t="s">
        <v>643</v>
      </c>
      <c r="L340" s="306"/>
    </row>
    <row r="341" spans="1:12" ht="43.5">
      <c r="A341" s="17">
        <v>340</v>
      </c>
      <c r="B341" s="289" t="s">
        <v>2052</v>
      </c>
      <c r="D341" s="278" t="s">
        <v>2088</v>
      </c>
      <c r="F341" s="235" t="s">
        <v>2098</v>
      </c>
      <c r="G341" s="1" t="s">
        <v>1500</v>
      </c>
      <c r="I341" s="326" t="s">
        <v>42</v>
      </c>
      <c r="J341" s="319" t="s">
        <v>978</v>
      </c>
      <c r="K341" s="302" t="s">
        <v>979</v>
      </c>
      <c r="L341" s="306"/>
    </row>
    <row r="342" spans="1:12" ht="29">
      <c r="A342" s="17">
        <v>341</v>
      </c>
      <c r="B342" s="289" t="s">
        <v>2052</v>
      </c>
      <c r="D342" s="278" t="s">
        <v>2088</v>
      </c>
      <c r="F342" s="235" t="s">
        <v>2099</v>
      </c>
      <c r="G342" s="1" t="s">
        <v>1509</v>
      </c>
      <c r="I342" s="326" t="s">
        <v>42</v>
      </c>
      <c r="J342" s="319" t="str">
        <f>VLOOKUP(K342,PLA_v2025!G:H,2,FALSE)</f>
        <v>08.3.4</v>
      </c>
      <c r="K342" s="302" t="s">
        <v>801</v>
      </c>
    </row>
    <row r="343" spans="1:12" ht="43.5">
      <c r="A343" s="17">
        <v>342</v>
      </c>
      <c r="B343" s="289" t="s">
        <v>2052</v>
      </c>
      <c r="D343" s="278" t="s">
        <v>2088</v>
      </c>
      <c r="F343" s="235" t="s">
        <v>2100</v>
      </c>
      <c r="G343" s="1" t="s">
        <v>1509</v>
      </c>
      <c r="I343" s="326" t="s">
        <v>42</v>
      </c>
      <c r="J343" s="319" t="str">
        <f>VLOOKUP(K343,PLA_v2025!G:H,2,FALSE)</f>
        <v>06.2.2</v>
      </c>
      <c r="K343" s="302" t="s">
        <v>636</v>
      </c>
      <c r="L343" s="302" t="s">
        <v>1634</v>
      </c>
    </row>
    <row r="344" spans="1:12" ht="29">
      <c r="A344" s="17">
        <v>343</v>
      </c>
      <c r="B344" s="289" t="s">
        <v>2052</v>
      </c>
      <c r="D344" s="278" t="s">
        <v>2088</v>
      </c>
      <c r="F344" s="235" t="s">
        <v>2101</v>
      </c>
      <c r="G344" s="1" t="s">
        <v>290</v>
      </c>
      <c r="I344" s="326" t="s">
        <v>2102</v>
      </c>
      <c r="J344" s="319" t="str">
        <f>VLOOKUP(K344,PLA_v2025!G:H,2,FALSE)</f>
        <v>08.3.4</v>
      </c>
      <c r="K344" s="302" t="s">
        <v>801</v>
      </c>
    </row>
    <row r="345" spans="1:12" ht="29">
      <c r="A345" s="17">
        <v>344</v>
      </c>
      <c r="B345" s="289" t="s">
        <v>2052</v>
      </c>
      <c r="D345" s="278" t="s">
        <v>2088</v>
      </c>
      <c r="F345" s="235" t="s">
        <v>2103</v>
      </c>
      <c r="G345" s="1" t="s">
        <v>1509</v>
      </c>
      <c r="I345" s="326" t="s">
        <v>42</v>
      </c>
      <c r="J345" s="319" t="str">
        <f>VLOOKUP(K345,PLA_v2025!G:H,2,FALSE)</f>
        <v>08.3.2</v>
      </c>
      <c r="K345" s="302" t="s">
        <v>786</v>
      </c>
    </row>
    <row r="346" spans="1:12" ht="43.5">
      <c r="A346" s="17">
        <v>345</v>
      </c>
      <c r="B346" s="289" t="s">
        <v>2052</v>
      </c>
      <c r="D346" s="278" t="s">
        <v>2088</v>
      </c>
      <c r="F346" s="235" t="s">
        <v>2104</v>
      </c>
      <c r="G346" s="1" t="s">
        <v>1509</v>
      </c>
      <c r="I346" s="326" t="s">
        <v>42</v>
      </c>
      <c r="J346" s="319" t="str">
        <f>VLOOKUP(K346,PLA_v2025!G:H,2,FALSE)</f>
        <v>08.1.1</v>
      </c>
      <c r="K346" s="302" t="s">
        <v>746</v>
      </c>
      <c r="L346" s="302" t="s">
        <v>1927</v>
      </c>
    </row>
    <row r="347" spans="1:12" ht="43.5">
      <c r="A347" s="17">
        <v>346</v>
      </c>
      <c r="B347" s="289" t="s">
        <v>2052</v>
      </c>
      <c r="D347" s="278" t="s">
        <v>2088</v>
      </c>
      <c r="F347" s="235" t="s">
        <v>2105</v>
      </c>
      <c r="G347" s="1" t="s">
        <v>1509</v>
      </c>
      <c r="I347" s="326" t="s">
        <v>42</v>
      </c>
      <c r="J347" s="319" t="str">
        <f>VLOOKUP(K347,PLA_v2025!G:H,2,FALSE)</f>
        <v>08.1.1</v>
      </c>
      <c r="K347" s="302" t="s">
        <v>746</v>
      </c>
      <c r="L347" s="302" t="s">
        <v>1927</v>
      </c>
    </row>
    <row r="348" spans="1:12" ht="58">
      <c r="A348" s="17">
        <v>347</v>
      </c>
      <c r="B348" s="289" t="s">
        <v>2052</v>
      </c>
      <c r="D348" s="278" t="s">
        <v>2088</v>
      </c>
      <c r="F348" s="235" t="s">
        <v>2106</v>
      </c>
      <c r="G348" s="1" t="s">
        <v>1509</v>
      </c>
      <c r="I348" s="326" t="s">
        <v>42</v>
      </c>
      <c r="J348" s="319" t="e">
        <f>VLOOKUP(K348,PLA_v2025!G:H,2,FALSE)</f>
        <v>#N/A</v>
      </c>
      <c r="K348" s="302" t="s">
        <v>1357</v>
      </c>
      <c r="L348" s="302" t="s">
        <v>1721</v>
      </c>
    </row>
    <row r="349" spans="1:12">
      <c r="A349" s="17">
        <v>348</v>
      </c>
      <c r="B349" s="289" t="s">
        <v>2052</v>
      </c>
      <c r="D349" s="292" t="s">
        <v>2107</v>
      </c>
      <c r="F349" s="235" t="s">
        <v>2108</v>
      </c>
      <c r="G349" s="1" t="s">
        <v>1625</v>
      </c>
      <c r="I349" s="326" t="s">
        <v>42</v>
      </c>
      <c r="J349" s="319" t="str">
        <f>VLOOKUP(K349,PLA_v2025!G:H,2,FALSE)</f>
        <v>09.1.1</v>
      </c>
      <c r="K349" s="302" t="s">
        <v>831</v>
      </c>
      <c r="L349" s="306"/>
    </row>
    <row r="350" spans="1:12">
      <c r="A350" s="17">
        <v>349</v>
      </c>
      <c r="B350" s="289" t="s">
        <v>2052</v>
      </c>
      <c r="D350" s="292" t="s">
        <v>2107</v>
      </c>
      <c r="F350" s="235" t="s">
        <v>2109</v>
      </c>
      <c r="G350" s="1" t="s">
        <v>1625</v>
      </c>
      <c r="I350" s="326" t="s">
        <v>42</v>
      </c>
      <c r="J350" s="319" t="str">
        <f>VLOOKUP(K350,PLA_v2025!G:H,2,FALSE)</f>
        <v>09.1.1</v>
      </c>
      <c r="K350" s="302" t="s">
        <v>831</v>
      </c>
    </row>
    <row r="351" spans="1:12">
      <c r="A351" s="17">
        <v>350</v>
      </c>
      <c r="B351" s="289" t="s">
        <v>2052</v>
      </c>
      <c r="D351" s="292" t="s">
        <v>2107</v>
      </c>
      <c r="F351" s="235" t="s">
        <v>2110</v>
      </c>
      <c r="G351" s="1" t="s">
        <v>1625</v>
      </c>
      <c r="I351" s="326" t="s">
        <v>42</v>
      </c>
      <c r="J351" s="319" t="str">
        <f>VLOOKUP(K351,PLA_v2025!G:H,2,FALSE)</f>
        <v>09.1.1</v>
      </c>
      <c r="K351" s="302" t="s">
        <v>831</v>
      </c>
    </row>
    <row r="352" spans="1:12" ht="29">
      <c r="A352" s="17">
        <v>351</v>
      </c>
      <c r="B352" s="289" t="s">
        <v>2052</v>
      </c>
      <c r="D352" s="292" t="s">
        <v>2107</v>
      </c>
      <c r="F352" s="235" t="s">
        <v>2111</v>
      </c>
      <c r="G352" s="1" t="s">
        <v>1625</v>
      </c>
      <c r="I352" s="326" t="s">
        <v>42</v>
      </c>
      <c r="J352" s="319" t="str">
        <f>VLOOKUP(K352,PLA_v2025!G:H,2,FALSE)</f>
        <v>13.5.4</v>
      </c>
      <c r="K352" s="302" t="s">
        <v>1132</v>
      </c>
    </row>
    <row r="353" spans="1:17" ht="29">
      <c r="A353" s="17">
        <v>352</v>
      </c>
      <c r="B353" s="289" t="s">
        <v>2052</v>
      </c>
      <c r="D353" s="292" t="s">
        <v>2107</v>
      </c>
      <c r="F353" s="235" t="s">
        <v>2112</v>
      </c>
      <c r="G353" s="1" t="s">
        <v>1625</v>
      </c>
      <c r="I353" s="326" t="s">
        <v>42</v>
      </c>
      <c r="J353" s="319" t="str">
        <f>VLOOKUP(K353,PLA_v2025!G:H,2,FALSE)</f>
        <v>13.8.3</v>
      </c>
      <c r="K353" s="302" t="s">
        <v>1192</v>
      </c>
    </row>
    <row r="354" spans="1:17" ht="29">
      <c r="A354" s="17">
        <v>353</v>
      </c>
      <c r="B354" s="289" t="s">
        <v>2052</v>
      </c>
      <c r="D354" s="292" t="s">
        <v>2107</v>
      </c>
      <c r="F354" s="235" t="s">
        <v>2113</v>
      </c>
      <c r="G354" s="1" t="s">
        <v>1625</v>
      </c>
      <c r="I354" s="326" t="s">
        <v>42</v>
      </c>
      <c r="J354" s="319" t="str">
        <f>VLOOKUP(K354,PLA_v2025!G:H,2,FALSE)</f>
        <v>14.1.1</v>
      </c>
      <c r="K354" s="302" t="s">
        <v>1206</v>
      </c>
    </row>
    <row r="355" spans="1:17" ht="43.5">
      <c r="A355" s="17">
        <v>354</v>
      </c>
      <c r="B355" s="289" t="s">
        <v>2052</v>
      </c>
      <c r="D355" s="292" t="s">
        <v>2107</v>
      </c>
      <c r="F355" s="235" t="s">
        <v>2114</v>
      </c>
      <c r="G355" s="1" t="s">
        <v>1625</v>
      </c>
      <c r="I355" s="326" t="s">
        <v>42</v>
      </c>
      <c r="J355" s="319" t="str">
        <f>VLOOKUP(K355,PLA_v2025!G:H,2,FALSE)</f>
        <v>11.7.2</v>
      </c>
      <c r="K355" s="302" t="s">
        <v>979</v>
      </c>
    </row>
    <row r="356" spans="1:17">
      <c r="A356" s="17">
        <v>355</v>
      </c>
      <c r="B356" s="289" t="s">
        <v>2052</v>
      </c>
      <c r="D356" s="292" t="s">
        <v>2107</v>
      </c>
      <c r="F356" s="235" t="s">
        <v>2115</v>
      </c>
      <c r="G356" s="1" t="s">
        <v>1625</v>
      </c>
      <c r="I356" s="326" t="s">
        <v>42</v>
      </c>
      <c r="J356" s="319" t="str">
        <f>VLOOKUP(K356,PLA_v2025!G:H,2,FALSE)</f>
        <v>09.1.1</v>
      </c>
      <c r="K356" s="302" t="s">
        <v>831</v>
      </c>
    </row>
    <row r="357" spans="1:17">
      <c r="A357" s="17">
        <v>356</v>
      </c>
      <c r="B357" s="289" t="s">
        <v>2052</v>
      </c>
      <c r="D357" s="292" t="s">
        <v>2107</v>
      </c>
      <c r="F357" s="235" t="s">
        <v>2116</v>
      </c>
      <c r="G357" s="1" t="s">
        <v>1625</v>
      </c>
      <c r="I357" s="326" t="s">
        <v>42</v>
      </c>
      <c r="J357" s="319" t="str">
        <f>VLOOKUP(K357,PLA_v2025!G:H,2,FALSE)</f>
        <v>09.1.1</v>
      </c>
      <c r="K357" s="302" t="s">
        <v>831</v>
      </c>
    </row>
    <row r="358" spans="1:17" ht="29">
      <c r="A358" s="17">
        <v>357</v>
      </c>
      <c r="B358" s="318" t="s">
        <v>2052</v>
      </c>
      <c r="D358" s="291" t="s">
        <v>1314</v>
      </c>
      <c r="F358" s="235" t="s">
        <v>2117</v>
      </c>
      <c r="G358" s="1" t="s">
        <v>1625</v>
      </c>
      <c r="I358" s="327" t="s">
        <v>42</v>
      </c>
      <c r="J358" s="319" t="str">
        <f>VLOOKUP(K358,PLA_v2025!G:H,2,FALSE)</f>
        <v>16.5.1</v>
      </c>
      <c r="K358" s="302" t="s">
        <v>1334</v>
      </c>
      <c r="L358" s="17"/>
      <c r="M358"/>
      <c r="N358"/>
      <c r="O358"/>
      <c r="P358"/>
      <c r="Q358"/>
    </row>
    <row r="359" spans="1:17" ht="29">
      <c r="A359" s="17">
        <v>358</v>
      </c>
      <c r="B359" s="289" t="s">
        <v>2052</v>
      </c>
      <c r="D359" s="291" t="s">
        <v>1314</v>
      </c>
      <c r="F359" s="235" t="s">
        <v>2117</v>
      </c>
      <c r="G359" s="1" t="s">
        <v>1516</v>
      </c>
      <c r="H359" s="233" t="s">
        <v>1517</v>
      </c>
      <c r="I359" s="326" t="s">
        <v>2118</v>
      </c>
      <c r="J359" s="317"/>
      <c r="K359" s="302"/>
      <c r="L359" s="17"/>
    </row>
    <row r="360" spans="1:17" ht="29">
      <c r="A360" s="17">
        <v>359</v>
      </c>
      <c r="B360" s="289" t="s">
        <v>2052</v>
      </c>
      <c r="D360" s="291" t="s">
        <v>1314</v>
      </c>
      <c r="F360" s="235" t="s">
        <v>2119</v>
      </c>
      <c r="G360" s="1" t="s">
        <v>1625</v>
      </c>
      <c r="I360" s="326" t="s">
        <v>42</v>
      </c>
      <c r="J360" s="319" t="str">
        <f>VLOOKUP(K360,PLA_v2025!G:H,2,FALSE)</f>
        <v>16.5.1</v>
      </c>
      <c r="K360" s="302" t="s">
        <v>1334</v>
      </c>
      <c r="L360" s="17"/>
    </row>
    <row r="361" spans="1:17" ht="29">
      <c r="A361" s="17">
        <v>360</v>
      </c>
      <c r="B361" s="289" t="s">
        <v>2052</v>
      </c>
      <c r="D361" s="291" t="s">
        <v>1314</v>
      </c>
      <c r="F361" s="235" t="s">
        <v>2120</v>
      </c>
      <c r="G361" s="1" t="s">
        <v>1625</v>
      </c>
      <c r="I361" s="326" t="s">
        <v>42</v>
      </c>
      <c r="J361" s="319" t="str">
        <f>VLOOKUP(K361,PLA_v2025!G:H,2,FALSE)</f>
        <v>16.5.1</v>
      </c>
      <c r="K361" s="302" t="s">
        <v>1334</v>
      </c>
      <c r="L361" s="17"/>
    </row>
    <row r="362" spans="1:17" ht="29">
      <c r="A362" s="17">
        <v>361</v>
      </c>
      <c r="B362" s="289" t="s">
        <v>2052</v>
      </c>
      <c r="D362" s="291" t="s">
        <v>1314</v>
      </c>
      <c r="F362" s="235" t="s">
        <v>2121</v>
      </c>
      <c r="G362" s="1" t="s">
        <v>1625</v>
      </c>
      <c r="I362" s="326" t="s">
        <v>42</v>
      </c>
      <c r="J362" s="319" t="str">
        <f>VLOOKUP(K362,PLA_v2025!G:H,2,FALSE)</f>
        <v>16.5.1</v>
      </c>
      <c r="K362" s="302" t="s">
        <v>1334</v>
      </c>
      <c r="L362" s="17"/>
    </row>
    <row r="363" spans="1:17" ht="43.5">
      <c r="A363" s="17">
        <v>362</v>
      </c>
      <c r="B363" s="289" t="s">
        <v>2052</v>
      </c>
      <c r="D363" s="291" t="s">
        <v>1314</v>
      </c>
      <c r="F363" s="235" t="s">
        <v>2122</v>
      </c>
      <c r="G363" s="1" t="s">
        <v>1625</v>
      </c>
      <c r="I363" s="326" t="s">
        <v>42</v>
      </c>
      <c r="J363" s="319" t="str">
        <f>VLOOKUP(K363,PLA_v2025!G:H,2,FALSE)</f>
        <v>16.5.1</v>
      </c>
      <c r="K363" s="302" t="s">
        <v>1334</v>
      </c>
      <c r="L363" s="17"/>
    </row>
    <row r="364" spans="1:17" ht="29">
      <c r="A364" s="17">
        <v>363</v>
      </c>
      <c r="B364" s="289" t="s">
        <v>2052</v>
      </c>
      <c r="D364" s="291" t="s">
        <v>1314</v>
      </c>
      <c r="F364" s="235" t="s">
        <v>2123</v>
      </c>
      <c r="G364" s="1" t="s">
        <v>1625</v>
      </c>
      <c r="I364" s="326" t="s">
        <v>42</v>
      </c>
      <c r="J364" s="319" t="str">
        <f>VLOOKUP(K364,PLA_v2025!G:H,2,FALSE)</f>
        <v>16.5.1</v>
      </c>
      <c r="K364" s="302" t="s">
        <v>1334</v>
      </c>
      <c r="L364" s="17"/>
    </row>
    <row r="365" spans="1:17" ht="43.5">
      <c r="A365" s="17">
        <v>364</v>
      </c>
      <c r="B365" s="289" t="s">
        <v>2052</v>
      </c>
      <c r="D365" s="291" t="s">
        <v>1314</v>
      </c>
      <c r="F365" s="235" t="s">
        <v>2124</v>
      </c>
      <c r="G365" s="1" t="s">
        <v>1625</v>
      </c>
      <c r="I365" s="326" t="s">
        <v>42</v>
      </c>
      <c r="J365" s="319" t="str">
        <f>VLOOKUP(K365,PLA_v2025!G:H,2,FALSE)</f>
        <v>16.2.3</v>
      </c>
      <c r="K365" s="302" t="s">
        <v>1292</v>
      </c>
      <c r="L365" s="17"/>
    </row>
    <row r="366" spans="1:17" ht="43.5">
      <c r="A366" s="17">
        <v>365</v>
      </c>
      <c r="B366" s="289" t="s">
        <v>2052</v>
      </c>
      <c r="D366" s="291" t="s">
        <v>1314</v>
      </c>
      <c r="F366" s="235" t="s">
        <v>2125</v>
      </c>
      <c r="G366" s="1" t="s">
        <v>1625</v>
      </c>
      <c r="I366" s="326" t="s">
        <v>42</v>
      </c>
      <c r="J366" s="319" t="str">
        <f>VLOOKUP(K366,PLA_v2025!G:H,2,FALSE)</f>
        <v>06.4.4</v>
      </c>
      <c r="K366" s="302" t="s">
        <v>697</v>
      </c>
      <c r="L366" s="17"/>
    </row>
    <row r="367" spans="1:17" ht="29">
      <c r="A367" s="17">
        <v>366</v>
      </c>
      <c r="B367" s="289" t="s">
        <v>2052</v>
      </c>
      <c r="D367" s="291" t="s">
        <v>1314</v>
      </c>
      <c r="F367" s="235" t="s">
        <v>2126</v>
      </c>
      <c r="G367" s="1" t="s">
        <v>1625</v>
      </c>
      <c r="I367" s="326" t="s">
        <v>42</v>
      </c>
      <c r="J367" s="319" t="str">
        <f>VLOOKUP(K367,PLA_v2025!G:H,2,FALSE)</f>
        <v>14.1.2</v>
      </c>
      <c r="K367" s="302" t="s">
        <v>1216</v>
      </c>
      <c r="L367" s="17"/>
    </row>
    <row r="368" spans="1:17" ht="29">
      <c r="A368" s="17">
        <v>367</v>
      </c>
      <c r="B368" s="289" t="s">
        <v>2052</v>
      </c>
      <c r="D368" s="291" t="s">
        <v>1314</v>
      </c>
      <c r="F368" s="235" t="s">
        <v>2127</v>
      </c>
      <c r="G368" s="1" t="s">
        <v>1625</v>
      </c>
      <c r="I368" s="326" t="s">
        <v>42</v>
      </c>
      <c r="J368" s="319" t="str">
        <f>VLOOKUP(K368,PLA_v2025!G:H,2,FALSE)</f>
        <v>14.1.2</v>
      </c>
      <c r="K368" s="302" t="s">
        <v>1216</v>
      </c>
      <c r="L368" s="17"/>
    </row>
    <row r="369" spans="1:12" ht="43.5">
      <c r="A369" s="17">
        <v>368</v>
      </c>
      <c r="B369" s="289" t="s">
        <v>2052</v>
      </c>
      <c r="D369" s="279" t="s">
        <v>2128</v>
      </c>
      <c r="F369" s="235" t="s">
        <v>2129</v>
      </c>
      <c r="G369" s="1" t="s">
        <v>1625</v>
      </c>
      <c r="I369" s="326" t="s">
        <v>42</v>
      </c>
      <c r="J369" s="319" t="e">
        <f>VLOOKUP(K369,PLA_v2025!G:H,2,FALSE)</f>
        <v>#N/A</v>
      </c>
      <c r="K369" s="302" t="s">
        <v>2130</v>
      </c>
      <c r="L369" s="17"/>
    </row>
    <row r="370" spans="1:12" ht="43.5">
      <c r="A370" s="17">
        <v>369</v>
      </c>
      <c r="B370" s="289" t="s">
        <v>2052</v>
      </c>
      <c r="D370" s="279" t="s">
        <v>2128</v>
      </c>
      <c r="F370" s="235" t="s">
        <v>2131</v>
      </c>
      <c r="G370" s="1" t="s">
        <v>1625</v>
      </c>
      <c r="I370" s="326" t="s">
        <v>42</v>
      </c>
      <c r="J370" s="319" t="str">
        <f>VLOOKUP(K370,PLA_v2025!G:H,2,FALSE)</f>
        <v>13.2.3</v>
      </c>
      <c r="K370" s="302" t="s">
        <v>1051</v>
      </c>
      <c r="L370" s="17"/>
    </row>
    <row r="371" spans="1:12" ht="29">
      <c r="A371" s="17">
        <v>370</v>
      </c>
      <c r="B371" s="289" t="s">
        <v>2052</v>
      </c>
      <c r="D371" s="279" t="s">
        <v>2128</v>
      </c>
      <c r="F371" s="235" t="s">
        <v>2132</v>
      </c>
      <c r="G371" s="1" t="s">
        <v>1509</v>
      </c>
      <c r="I371" s="326" t="s">
        <v>42</v>
      </c>
      <c r="J371" s="319" t="str">
        <f>VLOOKUP(K371,PLA_v2025!G:H,2,FALSE)</f>
        <v>13.3.2</v>
      </c>
      <c r="K371" s="302" t="s">
        <v>1076</v>
      </c>
      <c r="L371" s="17"/>
    </row>
    <row r="372" spans="1:12" ht="29">
      <c r="A372" s="17">
        <v>371</v>
      </c>
      <c r="B372" s="289" t="s">
        <v>2052</v>
      </c>
      <c r="D372" s="279" t="s">
        <v>2128</v>
      </c>
      <c r="F372" s="235" t="s">
        <v>2133</v>
      </c>
      <c r="G372" s="1" t="s">
        <v>1509</v>
      </c>
      <c r="I372" s="326" t="s">
        <v>42</v>
      </c>
      <c r="J372" s="319" t="str">
        <f>VLOOKUP(K372,PLA_v2025!G:H,2,FALSE)</f>
        <v>13.3.3</v>
      </c>
      <c r="K372" s="302" t="s">
        <v>1078</v>
      </c>
      <c r="L372" s="17"/>
    </row>
    <row r="373" spans="1:12" ht="43.5">
      <c r="A373" s="17">
        <v>372</v>
      </c>
      <c r="B373" s="289" t="s">
        <v>2052</v>
      </c>
      <c r="D373" s="279" t="s">
        <v>2128</v>
      </c>
      <c r="F373" s="235" t="s">
        <v>2134</v>
      </c>
      <c r="G373" s="1" t="s">
        <v>1509</v>
      </c>
      <c r="I373" s="326" t="s">
        <v>42</v>
      </c>
      <c r="J373" s="319" t="str">
        <f>VLOOKUP(K373,PLA_v2025!G:H,2,FALSE)</f>
        <v>13.2.3</v>
      </c>
      <c r="K373" s="302" t="s">
        <v>1051</v>
      </c>
      <c r="L373" s="17"/>
    </row>
    <row r="374" spans="1:12" ht="43.5">
      <c r="A374" s="17">
        <v>373</v>
      </c>
      <c r="B374" s="289" t="s">
        <v>2052</v>
      </c>
      <c r="D374" s="279" t="s">
        <v>2128</v>
      </c>
      <c r="F374" s="235" t="s">
        <v>2135</v>
      </c>
      <c r="G374" s="1" t="s">
        <v>1509</v>
      </c>
      <c r="I374" s="326" t="s">
        <v>42</v>
      </c>
      <c r="J374" s="319" t="str">
        <f>VLOOKUP(K374,PLA_v2025!G:H,2,FALSE)</f>
        <v>13.2.3</v>
      </c>
      <c r="K374" s="302" t="s">
        <v>1051</v>
      </c>
      <c r="L374" s="17"/>
    </row>
    <row r="375" spans="1:12" ht="43.5">
      <c r="A375" s="17">
        <v>374</v>
      </c>
      <c r="B375" s="289" t="s">
        <v>2052</v>
      </c>
      <c r="D375" s="279" t="s">
        <v>2128</v>
      </c>
      <c r="F375" s="235" t="s">
        <v>2136</v>
      </c>
      <c r="G375" s="1" t="s">
        <v>1625</v>
      </c>
      <c r="I375" s="326" t="s">
        <v>42</v>
      </c>
      <c r="J375" s="319" t="str">
        <f>VLOOKUP(K375,PLA_v2025!G:H,2,FALSE)</f>
        <v>13.4.4</v>
      </c>
      <c r="K375" s="302" t="s">
        <v>1107</v>
      </c>
      <c r="L375" s="17"/>
    </row>
    <row r="376" spans="1:12" ht="29">
      <c r="A376" s="17">
        <v>375</v>
      </c>
      <c r="B376" s="289" t="s">
        <v>2052</v>
      </c>
      <c r="D376" s="279" t="s">
        <v>42</v>
      </c>
      <c r="F376" s="235" t="s">
        <v>2137</v>
      </c>
      <c r="G376" s="1" t="s">
        <v>1625</v>
      </c>
      <c r="I376" s="326" t="s">
        <v>42</v>
      </c>
      <c r="J376" s="319" t="str">
        <f>VLOOKUP(K376,PLA_v2025!G:H,2,FALSE)</f>
        <v>13.4.1</v>
      </c>
      <c r="K376" s="302" t="s">
        <v>1085</v>
      </c>
      <c r="L376" s="17"/>
    </row>
    <row r="377" spans="1:12">
      <c r="A377" s="17">
        <v>376</v>
      </c>
      <c r="B377" s="289" t="s">
        <v>2052</v>
      </c>
      <c r="D377" s="279" t="s">
        <v>2128</v>
      </c>
      <c r="F377" s="235" t="s">
        <v>2138</v>
      </c>
      <c r="G377" s="1" t="s">
        <v>1625</v>
      </c>
      <c r="I377" s="326" t="s">
        <v>42</v>
      </c>
      <c r="J377" s="319" t="e">
        <f>VLOOKUP(K377,PLA_v2025!G:H,2,FALSE)</f>
        <v>#N/A</v>
      </c>
      <c r="K377" s="302" t="s">
        <v>960</v>
      </c>
      <c r="L377" s="17"/>
    </row>
    <row r="378" spans="1:12">
      <c r="A378" s="17">
        <v>377</v>
      </c>
      <c r="B378" s="289" t="s">
        <v>2052</v>
      </c>
      <c r="D378" s="279" t="s">
        <v>2128</v>
      </c>
      <c r="F378" s="235" t="s">
        <v>2139</v>
      </c>
      <c r="G378" s="1" t="s">
        <v>1625</v>
      </c>
      <c r="I378" s="326" t="s">
        <v>42</v>
      </c>
      <c r="J378" s="319" t="e">
        <f>VLOOKUP(K378,PLA_v2025!G:H,2,FALSE)</f>
        <v>#N/A</v>
      </c>
      <c r="K378" s="302" t="s">
        <v>960</v>
      </c>
      <c r="L378" s="17"/>
    </row>
    <row r="379" spans="1:12" ht="29">
      <c r="A379" s="17">
        <v>378</v>
      </c>
      <c r="B379" s="289" t="s">
        <v>2052</v>
      </c>
      <c r="D379" s="279" t="s">
        <v>2128</v>
      </c>
      <c r="F379" s="235" t="s">
        <v>2140</v>
      </c>
      <c r="G379" s="1" t="s">
        <v>1625</v>
      </c>
      <c r="I379" s="326" t="s">
        <v>42</v>
      </c>
      <c r="J379" s="319" t="str">
        <f>VLOOKUP(K379,PLA_v2025!G:H,2,FALSE)</f>
        <v>14.3.1</v>
      </c>
      <c r="K379" s="302" t="s">
        <v>1233</v>
      </c>
      <c r="L379" s="17"/>
    </row>
    <row r="380" spans="1:12" ht="43.5">
      <c r="A380" s="17">
        <v>379</v>
      </c>
      <c r="B380" s="289" t="s">
        <v>2052</v>
      </c>
      <c r="D380" s="279" t="s">
        <v>2128</v>
      </c>
      <c r="F380" s="235" t="s">
        <v>2141</v>
      </c>
      <c r="G380" s="1" t="s">
        <v>1625</v>
      </c>
      <c r="I380" s="326" t="s">
        <v>42</v>
      </c>
      <c r="J380" s="319" t="str">
        <f>VLOOKUP(K380,PLA_v2025!G:H,2,FALSE)</f>
        <v>06.5.2</v>
      </c>
      <c r="K380" s="302" t="s">
        <v>714</v>
      </c>
      <c r="L380" s="17"/>
    </row>
    <row r="381" spans="1:12" ht="29">
      <c r="A381" s="17">
        <v>380</v>
      </c>
      <c r="B381" s="289" t="s">
        <v>2052</v>
      </c>
      <c r="D381" s="279" t="s">
        <v>2128</v>
      </c>
      <c r="F381" s="235" t="s">
        <v>2142</v>
      </c>
      <c r="G381" s="1" t="s">
        <v>1625</v>
      </c>
      <c r="I381" s="326" t="s">
        <v>42</v>
      </c>
      <c r="J381" s="319" t="str">
        <f>VLOOKUP(K381,PLA_v2025!G:H,2,FALSE)</f>
        <v>14.1.2</v>
      </c>
      <c r="K381" s="302" t="s">
        <v>1216</v>
      </c>
      <c r="L381" s="17"/>
    </row>
    <row r="382" spans="1:12" ht="43.5">
      <c r="A382" s="17">
        <v>381</v>
      </c>
      <c r="B382" s="289" t="s">
        <v>2052</v>
      </c>
      <c r="D382" s="279" t="s">
        <v>2128</v>
      </c>
      <c r="F382" s="235" t="s">
        <v>2143</v>
      </c>
      <c r="G382" s="1" t="s">
        <v>1625</v>
      </c>
      <c r="I382" s="326" t="s">
        <v>2144</v>
      </c>
      <c r="J382" s="319" t="str">
        <f>VLOOKUP(K382,PLA_v2025!G:H,2,FALSE)</f>
        <v>11.7.2</v>
      </c>
      <c r="K382" s="302" t="s">
        <v>979</v>
      </c>
      <c r="L382" s="17"/>
    </row>
    <row r="383" spans="1:12" ht="29">
      <c r="A383" s="17">
        <v>382</v>
      </c>
      <c r="B383" s="289" t="s">
        <v>2052</v>
      </c>
      <c r="D383" s="280" t="s">
        <v>2145</v>
      </c>
      <c r="F383" s="235" t="s">
        <v>2146</v>
      </c>
      <c r="G383" s="1" t="s">
        <v>1625</v>
      </c>
      <c r="I383" s="326" t="s">
        <v>2147</v>
      </c>
      <c r="J383" s="319" t="str">
        <f>VLOOKUP(K383,PLA_v2025!G:H,2,FALSE)</f>
        <v>13.4.1</v>
      </c>
      <c r="K383" s="302" t="s">
        <v>1085</v>
      </c>
      <c r="L383" s="17"/>
    </row>
    <row r="384" spans="1:12" ht="29">
      <c r="A384" s="17">
        <v>383</v>
      </c>
      <c r="B384" s="289" t="s">
        <v>2052</v>
      </c>
      <c r="D384" s="280" t="s">
        <v>2145</v>
      </c>
      <c r="F384" s="235" t="s">
        <v>2148</v>
      </c>
      <c r="G384" s="1" t="s">
        <v>1500</v>
      </c>
      <c r="I384" s="326" t="s">
        <v>2149</v>
      </c>
      <c r="J384" s="319" t="str">
        <f>VLOOKUP(K384,PLA_v2025!G:H,2,FALSE)</f>
        <v>04.2.2</v>
      </c>
      <c r="K384" s="302" t="s">
        <v>528</v>
      </c>
      <c r="L384" s="17"/>
    </row>
    <row r="385" spans="1:12" ht="43.5">
      <c r="A385" s="17">
        <v>384</v>
      </c>
      <c r="B385" s="289" t="s">
        <v>2052</v>
      </c>
      <c r="D385" s="280" t="s">
        <v>2145</v>
      </c>
      <c r="F385" s="235" t="s">
        <v>2150</v>
      </c>
      <c r="G385" s="1" t="s">
        <v>1509</v>
      </c>
      <c r="I385" s="326" t="s">
        <v>2151</v>
      </c>
      <c r="J385" s="319" t="str">
        <f>VLOOKUP(K385,PLA_v2025!G:H,2,FALSE)</f>
        <v>06.2.2</v>
      </c>
      <c r="K385" s="302" t="s">
        <v>636</v>
      </c>
      <c r="L385" s="8" t="s">
        <v>1634</v>
      </c>
    </row>
    <row r="386" spans="1:12" ht="29">
      <c r="A386" s="17">
        <v>385</v>
      </c>
      <c r="B386" s="289" t="s">
        <v>2052</v>
      </c>
      <c r="D386" s="280" t="s">
        <v>2145</v>
      </c>
      <c r="F386" s="235" t="s">
        <v>2152</v>
      </c>
      <c r="G386" s="1" t="s">
        <v>1500</v>
      </c>
      <c r="I386" s="326" t="s">
        <v>2153</v>
      </c>
      <c r="J386" s="319" t="str">
        <f>VLOOKUP(K386,PLA_v2025!G:H,2,FALSE)</f>
        <v>01.1.2</v>
      </c>
      <c r="K386" s="302" t="s">
        <v>308</v>
      </c>
      <c r="L386" s="17"/>
    </row>
    <row r="387" spans="1:12" ht="29">
      <c r="A387" s="17">
        <v>386</v>
      </c>
      <c r="B387" s="289" t="s">
        <v>2052</v>
      </c>
      <c r="D387" s="280" t="s">
        <v>2145</v>
      </c>
      <c r="F387" s="235" t="s">
        <v>2154</v>
      </c>
      <c r="G387" s="1" t="s">
        <v>1500</v>
      </c>
      <c r="I387" s="328" t="s">
        <v>2155</v>
      </c>
      <c r="J387" s="319" t="str">
        <f>VLOOKUP(K387,PLA_v2025!G:H,2,FALSE)</f>
        <v>01.1.2</v>
      </c>
      <c r="K387" s="302" t="s">
        <v>308</v>
      </c>
      <c r="L387" s="17"/>
    </row>
    <row r="388" spans="1:12" ht="29">
      <c r="A388" s="17">
        <v>387</v>
      </c>
      <c r="B388" s="289" t="s">
        <v>2052</v>
      </c>
      <c r="D388" s="280" t="s">
        <v>2145</v>
      </c>
      <c r="F388" s="235" t="s">
        <v>2156</v>
      </c>
      <c r="G388" s="1" t="s">
        <v>1500</v>
      </c>
      <c r="I388" s="326" t="s">
        <v>2157</v>
      </c>
      <c r="J388" s="319" t="str">
        <f>VLOOKUP(K388,PLA_v2025!G:H,2,FALSE)</f>
        <v>01.1.2</v>
      </c>
      <c r="K388" s="302" t="s">
        <v>308</v>
      </c>
      <c r="L388" s="17"/>
    </row>
    <row r="389" spans="1:12">
      <c r="A389" s="17">
        <v>388</v>
      </c>
      <c r="B389" s="289" t="s">
        <v>2052</v>
      </c>
      <c r="D389" s="280" t="s">
        <v>2145</v>
      </c>
      <c r="F389" s="235" t="s">
        <v>2158</v>
      </c>
      <c r="G389" s="1" t="s">
        <v>1500</v>
      </c>
      <c r="I389" s="326" t="s">
        <v>2159</v>
      </c>
      <c r="J389" s="319" t="str">
        <f>VLOOKUP(K389,PLA_v2025!G:H,2,FALSE)</f>
        <v>02.1.2</v>
      </c>
      <c r="K389" s="302" t="s">
        <v>414</v>
      </c>
      <c r="L389" s="8"/>
    </row>
    <row r="390" spans="1:12" ht="43.5">
      <c r="A390" s="17">
        <v>389</v>
      </c>
      <c r="B390" s="289" t="s">
        <v>2052</v>
      </c>
      <c r="D390" s="280" t="s">
        <v>2145</v>
      </c>
      <c r="F390" s="235" t="s">
        <v>2160</v>
      </c>
      <c r="G390" s="1" t="s">
        <v>1500</v>
      </c>
      <c r="I390" s="326" t="s">
        <v>2161</v>
      </c>
      <c r="J390" s="319" t="str">
        <f>VLOOKUP(K390,PLA_v2025!G:H,2,FALSE)</f>
        <v>03.3.3</v>
      </c>
      <c r="K390" s="302" t="s">
        <v>476</v>
      </c>
      <c r="L390" s="8"/>
    </row>
    <row r="391" spans="1:12" ht="43.5">
      <c r="A391" s="17">
        <v>390</v>
      </c>
      <c r="B391" s="289" t="s">
        <v>2052</v>
      </c>
      <c r="D391" s="280" t="s">
        <v>2145</v>
      </c>
      <c r="F391" s="235" t="s">
        <v>2162</v>
      </c>
      <c r="G391" s="1" t="s">
        <v>1500</v>
      </c>
      <c r="I391" s="326" t="s">
        <v>2163</v>
      </c>
      <c r="J391" s="319" t="str">
        <f>VLOOKUP(K391,PLA_v2025!G:H,2,FALSE)</f>
        <v>03.3.3</v>
      </c>
      <c r="K391" s="302" t="s">
        <v>476</v>
      </c>
      <c r="L391" s="8"/>
    </row>
    <row r="392" spans="1:12" ht="43.5">
      <c r="A392" s="17">
        <v>391</v>
      </c>
      <c r="B392" s="289" t="s">
        <v>2052</v>
      </c>
      <c r="D392" s="280" t="s">
        <v>2145</v>
      </c>
      <c r="F392" s="235" t="s">
        <v>2164</v>
      </c>
      <c r="G392" s="1" t="s">
        <v>1625</v>
      </c>
      <c r="I392" s="326" t="s">
        <v>2165</v>
      </c>
      <c r="J392" s="319" t="str">
        <f>VLOOKUP(K392,PLA_v2025!G:H,2,FALSE)</f>
        <v>03.3.3</v>
      </c>
      <c r="K392" s="302" t="s">
        <v>476</v>
      </c>
      <c r="L392" s="8"/>
    </row>
    <row r="393" spans="1:12" ht="58">
      <c r="A393" s="17">
        <v>392</v>
      </c>
      <c r="B393" s="289" t="s">
        <v>2052</v>
      </c>
      <c r="D393" s="280" t="s">
        <v>2145</v>
      </c>
      <c r="F393" s="235" t="s">
        <v>2166</v>
      </c>
      <c r="G393" s="1" t="s">
        <v>1500</v>
      </c>
      <c r="I393" s="326" t="s">
        <v>2167</v>
      </c>
      <c r="J393" s="319" t="str">
        <f>VLOOKUP(K393,PLA_v2025!G:H,2,FALSE)</f>
        <v>03.3.4</v>
      </c>
      <c r="K393" s="302" t="s">
        <v>479</v>
      </c>
      <c r="L393" s="302" t="s">
        <v>1865</v>
      </c>
    </row>
    <row r="394" spans="1:12" ht="29">
      <c r="A394" s="17">
        <v>393</v>
      </c>
      <c r="B394" s="289" t="s">
        <v>2052</v>
      </c>
      <c r="D394" s="280" t="s">
        <v>2145</v>
      </c>
      <c r="F394" s="235" t="s">
        <v>2168</v>
      </c>
      <c r="G394" s="1" t="s">
        <v>1500</v>
      </c>
      <c r="I394" s="326" t="s">
        <v>2169</v>
      </c>
      <c r="J394" s="319" t="str">
        <f>VLOOKUP(K394,PLA_v2025!G:H,2,FALSE)</f>
        <v>01.1.1</v>
      </c>
      <c r="K394" s="302" t="s">
        <v>296</v>
      </c>
      <c r="L394" s="8" t="s">
        <v>299</v>
      </c>
    </row>
    <row r="395" spans="1:12" ht="43.5">
      <c r="A395" s="17">
        <v>394</v>
      </c>
      <c r="B395" s="289" t="s">
        <v>2052</v>
      </c>
      <c r="D395" s="280" t="s">
        <v>2145</v>
      </c>
      <c r="F395" s="235" t="s">
        <v>2170</v>
      </c>
      <c r="G395" s="1" t="s">
        <v>1625</v>
      </c>
      <c r="I395" s="326" t="s">
        <v>2171</v>
      </c>
      <c r="J395" s="319" t="str">
        <f>VLOOKUP(K395,PLA_v2025!G:H,2,FALSE)</f>
        <v>01.2.2</v>
      </c>
      <c r="K395" s="302" t="s">
        <v>332</v>
      </c>
      <c r="L395" s="8"/>
    </row>
    <row r="396" spans="1:12" ht="43.5">
      <c r="A396" s="17">
        <v>395</v>
      </c>
      <c r="B396" s="289" t="s">
        <v>2052</v>
      </c>
      <c r="D396" s="280" t="s">
        <v>2145</v>
      </c>
      <c r="F396" s="235" t="s">
        <v>2172</v>
      </c>
      <c r="G396" s="1" t="s">
        <v>1509</v>
      </c>
      <c r="I396" s="326" t="s">
        <v>2173</v>
      </c>
      <c r="J396" s="319" t="e">
        <f>VLOOKUP(K396,PLA_v2025!G:H,2,FALSE)</f>
        <v>#N/A</v>
      </c>
      <c r="K396" s="302" t="s">
        <v>1354</v>
      </c>
      <c r="L396" s="17"/>
    </row>
    <row r="397" spans="1:12" ht="29">
      <c r="A397" s="17">
        <v>396</v>
      </c>
      <c r="B397" s="289" t="s">
        <v>2052</v>
      </c>
      <c r="D397" s="280" t="s">
        <v>2145</v>
      </c>
      <c r="F397" s="235" t="s">
        <v>2174</v>
      </c>
      <c r="G397" s="1" t="s">
        <v>1625</v>
      </c>
      <c r="I397" s="326" t="s">
        <v>2175</v>
      </c>
      <c r="J397" s="319" t="str">
        <f>VLOOKUP(K397,PLA_v2025!G:H,2,FALSE)</f>
        <v>12.1.2</v>
      </c>
      <c r="K397" s="302" t="s">
        <v>1009</v>
      </c>
      <c r="L397" s="17"/>
    </row>
    <row r="398" spans="1:12" ht="29">
      <c r="A398" s="17">
        <v>397</v>
      </c>
      <c r="B398" s="289" t="s">
        <v>2052</v>
      </c>
      <c r="D398" s="280" t="s">
        <v>2145</v>
      </c>
      <c r="F398" s="235" t="s">
        <v>2176</v>
      </c>
      <c r="G398" s="1" t="s">
        <v>1625</v>
      </c>
      <c r="I398" s="326" t="s">
        <v>2177</v>
      </c>
      <c r="J398" s="319" t="str">
        <f>VLOOKUP(K398,PLA_v2025!G:H,2,FALSE)</f>
        <v>01.1.1</v>
      </c>
      <c r="K398" s="302" t="s">
        <v>296</v>
      </c>
      <c r="L398" s="8" t="s">
        <v>299</v>
      </c>
    </row>
    <row r="399" spans="1:12" ht="29">
      <c r="A399" s="17">
        <v>398</v>
      </c>
      <c r="B399" s="289" t="s">
        <v>2052</v>
      </c>
      <c r="D399" s="280" t="s">
        <v>2145</v>
      </c>
      <c r="F399" s="235" t="s">
        <v>2178</v>
      </c>
      <c r="G399" s="1" t="s">
        <v>1500</v>
      </c>
      <c r="I399" s="326" t="s">
        <v>2179</v>
      </c>
      <c r="J399" s="319" t="str">
        <f>VLOOKUP(K399,PLA_v2025!G:H,2,FALSE)</f>
        <v>06.3.2</v>
      </c>
      <c r="K399" s="302" t="s">
        <v>670</v>
      </c>
      <c r="L399" s="17"/>
    </row>
    <row r="400" spans="1:12">
      <c r="A400" s="17">
        <v>399</v>
      </c>
      <c r="B400" s="289" t="s">
        <v>2052</v>
      </c>
      <c r="D400" s="280" t="s">
        <v>2145</v>
      </c>
      <c r="F400" s="235" t="s">
        <v>2180</v>
      </c>
      <c r="G400" s="1" t="s">
        <v>1625</v>
      </c>
      <c r="I400" s="326" t="s">
        <v>2181</v>
      </c>
      <c r="J400" s="319" t="str">
        <f>VLOOKUP(K400,PLA_v2025!G:H,2,FALSE)</f>
        <v>14.2.1</v>
      </c>
      <c r="K400" s="302" t="s">
        <v>1224</v>
      </c>
      <c r="L400" s="17"/>
    </row>
    <row r="401" spans="1:14" ht="29">
      <c r="A401" s="17">
        <v>400</v>
      </c>
      <c r="B401" s="289" t="s">
        <v>2052</v>
      </c>
      <c r="D401" s="280" t="s">
        <v>2145</v>
      </c>
      <c r="F401" s="235" t="s">
        <v>2182</v>
      </c>
      <c r="G401" s="1" t="s">
        <v>1500</v>
      </c>
      <c r="I401" s="326" t="s">
        <v>2183</v>
      </c>
      <c r="J401" s="319" t="str">
        <f>VLOOKUP(K401,PLA_v2025!G:H,2,FALSE)</f>
        <v>16.1.1</v>
      </c>
      <c r="K401" s="302" t="s">
        <v>1267</v>
      </c>
      <c r="L401" s="17"/>
    </row>
    <row r="402" spans="1:14" ht="29">
      <c r="A402" s="17">
        <v>401</v>
      </c>
      <c r="B402" s="289" t="s">
        <v>2052</v>
      </c>
      <c r="D402" s="280" t="s">
        <v>2145</v>
      </c>
      <c r="F402" s="235" t="s">
        <v>2184</v>
      </c>
      <c r="G402" s="1" t="s">
        <v>1500</v>
      </c>
      <c r="I402" s="326" t="s">
        <v>2185</v>
      </c>
      <c r="J402" s="319" t="str">
        <f>VLOOKUP(K402,PLA_v2025!G:H,2,FALSE)</f>
        <v>16.3.5</v>
      </c>
      <c r="K402" s="302" t="s">
        <v>1317</v>
      </c>
      <c r="M402" s="307"/>
      <c r="N402" s="295"/>
    </row>
    <row r="403" spans="1:14" ht="29">
      <c r="A403" s="17">
        <v>402</v>
      </c>
      <c r="B403" s="289" t="s">
        <v>2052</v>
      </c>
      <c r="D403" s="280" t="s">
        <v>2145</v>
      </c>
      <c r="F403" s="235" t="s">
        <v>2186</v>
      </c>
      <c r="G403" s="1" t="s">
        <v>1500</v>
      </c>
      <c r="I403" s="326" t="s">
        <v>2187</v>
      </c>
      <c r="J403" s="319" t="str">
        <f>VLOOKUP(K403,PLA_v2025!G:H,2,FALSE)</f>
        <v>16.3.5</v>
      </c>
      <c r="K403" s="302" t="s">
        <v>1317</v>
      </c>
      <c r="L403" s="17"/>
    </row>
    <row r="404" spans="1:14">
      <c r="A404" s="17">
        <v>403</v>
      </c>
      <c r="B404" s="289" t="s">
        <v>2052</v>
      </c>
      <c r="D404" s="280" t="s">
        <v>2145</v>
      </c>
      <c r="F404" s="235" t="s">
        <v>2188</v>
      </c>
      <c r="G404" s="1" t="s">
        <v>1500</v>
      </c>
      <c r="I404" s="326" t="s">
        <v>2189</v>
      </c>
      <c r="J404" s="319" t="str">
        <f>VLOOKUP(K404,PLA_v2025!G:H,2,FALSE)</f>
        <v>01.3.3</v>
      </c>
      <c r="K404" s="302" t="s">
        <v>369</v>
      </c>
      <c r="L404" s="17"/>
      <c r="M404" s="307"/>
      <c r="N404" s="295"/>
    </row>
    <row r="405" spans="1:14" ht="29">
      <c r="A405" s="17">
        <v>404</v>
      </c>
      <c r="B405" s="289" t="s">
        <v>2052</v>
      </c>
      <c r="D405" s="280" t="s">
        <v>2145</v>
      </c>
      <c r="F405" s="235" t="s">
        <v>2190</v>
      </c>
      <c r="G405" s="1" t="s">
        <v>1500</v>
      </c>
      <c r="I405" s="326" t="s">
        <v>2191</v>
      </c>
      <c r="J405" s="319" t="str">
        <f>VLOOKUP(K405,PLA_v2025!G:H,2,FALSE)</f>
        <v>16.3.5</v>
      </c>
      <c r="K405" s="302" t="s">
        <v>1317</v>
      </c>
      <c r="M405" s="307"/>
      <c r="N405" s="295"/>
    </row>
    <row r="406" spans="1:14" ht="58">
      <c r="A406" s="17">
        <v>405</v>
      </c>
      <c r="B406" s="289" t="s">
        <v>2052</v>
      </c>
      <c r="D406" s="280" t="s">
        <v>2145</v>
      </c>
      <c r="F406" s="235" t="s">
        <v>2192</v>
      </c>
      <c r="G406" s="1" t="s">
        <v>1500</v>
      </c>
      <c r="I406" s="326" t="s">
        <v>2193</v>
      </c>
      <c r="J406" s="319" t="e">
        <f>VLOOKUP(K406,PLA_v2025!G:H,2,FALSE)</f>
        <v>#N/A</v>
      </c>
      <c r="K406" s="302" t="s">
        <v>1357</v>
      </c>
      <c r="L406" s="302" t="s">
        <v>1721</v>
      </c>
      <c r="M406" s="307"/>
    </row>
    <row r="407" spans="1:14" ht="43.5">
      <c r="A407" s="17">
        <v>406</v>
      </c>
      <c r="B407" s="289" t="s">
        <v>2052</v>
      </c>
      <c r="D407" s="280" t="s">
        <v>2145</v>
      </c>
      <c r="F407" s="235" t="s">
        <v>2194</v>
      </c>
      <c r="G407" s="1" t="s">
        <v>1625</v>
      </c>
      <c r="I407" s="326" t="s">
        <v>2195</v>
      </c>
      <c r="J407" s="319" t="str">
        <f>VLOOKUP(K407,PLA_v2025!G:H,2,FALSE)</f>
        <v>16.2.3</v>
      </c>
      <c r="K407" s="302" t="s">
        <v>1292</v>
      </c>
      <c r="L407" s="17"/>
      <c r="M407" s="307"/>
      <c r="N407" s="295"/>
    </row>
    <row r="408" spans="1:14" ht="29">
      <c r="A408" s="17">
        <v>407</v>
      </c>
      <c r="B408" s="289" t="s">
        <v>2052</v>
      </c>
      <c r="D408" s="280" t="s">
        <v>2145</v>
      </c>
      <c r="F408" s="235" t="s">
        <v>2196</v>
      </c>
      <c r="G408" s="1" t="s">
        <v>1625</v>
      </c>
      <c r="I408" s="326" t="s">
        <v>2197</v>
      </c>
      <c r="J408" s="319" t="str">
        <f>VLOOKUP(K408,PLA_v2025!G:H,2,FALSE)</f>
        <v>04.3.4</v>
      </c>
      <c r="K408" s="302" t="s">
        <v>565</v>
      </c>
      <c r="L408" s="17"/>
      <c r="M408" s="307"/>
    </row>
    <row r="409" spans="1:14" ht="29">
      <c r="A409" s="17">
        <v>408</v>
      </c>
      <c r="B409" s="289" t="s">
        <v>2052</v>
      </c>
      <c r="D409" s="280" t="s">
        <v>2145</v>
      </c>
      <c r="F409" s="235" t="s">
        <v>2198</v>
      </c>
      <c r="G409" s="1" t="s">
        <v>1625</v>
      </c>
      <c r="I409" s="326" t="s">
        <v>2199</v>
      </c>
      <c r="J409" s="319" t="str">
        <f>VLOOKUP(K409,PLA_v2025!G:H,2,FALSE)</f>
        <v>04.3.4</v>
      </c>
      <c r="K409" s="302" t="s">
        <v>565</v>
      </c>
      <c r="L409" s="17"/>
      <c r="M409" s="307"/>
    </row>
    <row r="410" spans="1:14">
      <c r="A410" s="17">
        <v>409</v>
      </c>
      <c r="B410" s="289" t="s">
        <v>2052</v>
      </c>
      <c r="D410" s="280" t="s">
        <v>2145</v>
      </c>
      <c r="F410" s="235" t="s">
        <v>2200</v>
      </c>
      <c r="G410" s="1" t="s">
        <v>1500</v>
      </c>
      <c r="I410" s="326" t="s">
        <v>2201</v>
      </c>
      <c r="J410" s="319" t="str">
        <f>VLOOKUP(K410,PLA_v2025!G:H,2,FALSE)</f>
        <v>08.3.3</v>
      </c>
      <c r="K410" s="302" t="s">
        <v>793</v>
      </c>
      <c r="L410" s="17"/>
      <c r="M410" s="307"/>
    </row>
    <row r="411" spans="1:14" ht="29">
      <c r="A411" s="17">
        <v>410</v>
      </c>
      <c r="B411" s="289" t="s">
        <v>2052</v>
      </c>
      <c r="D411" s="280" t="s">
        <v>2145</v>
      </c>
      <c r="F411" s="235" t="s">
        <v>2202</v>
      </c>
      <c r="G411" s="1" t="s">
        <v>1500</v>
      </c>
      <c r="I411" s="326" t="s">
        <v>2201</v>
      </c>
      <c r="J411" s="319" t="str">
        <f>VLOOKUP(K411,PLA_v2025!G:H,2,FALSE)</f>
        <v>13.2.4</v>
      </c>
      <c r="K411" s="302" t="s">
        <v>1053</v>
      </c>
      <c r="L411" s="17"/>
      <c r="M411" s="307"/>
    </row>
    <row r="412" spans="1:14" ht="43.5">
      <c r="A412" s="17">
        <v>411</v>
      </c>
      <c r="B412" s="289" t="s">
        <v>2052</v>
      </c>
      <c r="D412" s="280" t="s">
        <v>2145</v>
      </c>
      <c r="F412" s="235" t="s">
        <v>2203</v>
      </c>
      <c r="G412" s="1" t="s">
        <v>1509</v>
      </c>
      <c r="I412" s="326" t="s">
        <v>2204</v>
      </c>
      <c r="J412" s="319" t="str">
        <f>VLOOKUP(K412,PLA_v2025!G:H,2,FALSE)</f>
        <v>06.2.2</v>
      </c>
      <c r="K412" s="302" t="s">
        <v>636</v>
      </c>
      <c r="L412" s="8" t="s">
        <v>1634</v>
      </c>
      <c r="M412" s="307"/>
    </row>
    <row r="413" spans="1:14" ht="43.5">
      <c r="A413" s="17">
        <v>412</v>
      </c>
      <c r="B413" s="289" t="s">
        <v>2052</v>
      </c>
      <c r="D413" s="280" t="s">
        <v>2145</v>
      </c>
      <c r="F413" s="235" t="s">
        <v>2205</v>
      </c>
      <c r="G413" s="1" t="s">
        <v>1509</v>
      </c>
      <c r="I413" s="326" t="s">
        <v>2206</v>
      </c>
      <c r="J413" s="319" t="str">
        <f>VLOOKUP(K413,PLA_v2025!G:H,2,FALSE)</f>
        <v>01.2.3</v>
      </c>
      <c r="K413" s="302" t="s">
        <v>337</v>
      </c>
      <c r="L413" s="17"/>
      <c r="M413" s="307"/>
    </row>
    <row r="414" spans="1:14" ht="29">
      <c r="A414" s="17">
        <v>413</v>
      </c>
      <c r="B414" s="289" t="s">
        <v>2052</v>
      </c>
      <c r="D414" s="281" t="s">
        <v>2207</v>
      </c>
      <c r="F414" s="235" t="s">
        <v>2208</v>
      </c>
      <c r="G414" s="1" t="s">
        <v>1625</v>
      </c>
      <c r="I414" s="326" t="s">
        <v>42</v>
      </c>
      <c r="J414" s="319" t="str">
        <f>VLOOKUP(K414,PLA_v2025!G:H,2,FALSE)</f>
        <v>16.3.5</v>
      </c>
      <c r="K414" s="302" t="s">
        <v>1317</v>
      </c>
      <c r="L414" s="17"/>
      <c r="M414" s="307"/>
    </row>
    <row r="415" spans="1:14" ht="29">
      <c r="A415" s="17">
        <v>414</v>
      </c>
      <c r="B415" s="289" t="s">
        <v>2052</v>
      </c>
      <c r="D415" s="281" t="s">
        <v>2207</v>
      </c>
      <c r="F415" s="235" t="s">
        <v>2209</v>
      </c>
      <c r="G415" s="1" t="s">
        <v>1625</v>
      </c>
      <c r="I415" s="326" t="s">
        <v>42</v>
      </c>
      <c r="J415" s="319" t="str">
        <f>VLOOKUP(K415,PLA_v2025!G:H,2,FALSE)</f>
        <v>06.3.2</v>
      </c>
      <c r="K415" s="302" t="s">
        <v>670</v>
      </c>
      <c r="L415" s="8"/>
      <c r="M415" s="307"/>
    </row>
    <row r="416" spans="1:14" ht="29">
      <c r="A416" s="17">
        <v>415</v>
      </c>
      <c r="B416" s="289" t="s">
        <v>2052</v>
      </c>
      <c r="D416" s="281" t="s">
        <v>2207</v>
      </c>
      <c r="F416" s="235" t="s">
        <v>2210</v>
      </c>
      <c r="G416" s="1" t="s">
        <v>1625</v>
      </c>
      <c r="I416" s="326" t="s">
        <v>42</v>
      </c>
      <c r="J416" s="319" t="str">
        <f>VLOOKUP(K416,PLA_v2025!G:H,2,FALSE)</f>
        <v>16.3.5</v>
      </c>
      <c r="K416" s="302" t="s">
        <v>1317</v>
      </c>
      <c r="L416" s="17"/>
      <c r="M416" s="307"/>
    </row>
    <row r="417" spans="1:13" ht="43.5">
      <c r="A417" s="17">
        <v>416</v>
      </c>
      <c r="B417" s="289" t="s">
        <v>2052</v>
      </c>
      <c r="D417" s="281" t="s">
        <v>2207</v>
      </c>
      <c r="F417" s="235" t="s">
        <v>2211</v>
      </c>
      <c r="G417" s="1" t="s">
        <v>1625</v>
      </c>
      <c r="I417" s="326" t="s">
        <v>42</v>
      </c>
      <c r="J417" s="319" t="str">
        <f>VLOOKUP(K417,PLA_v2025!G:H,2,FALSE)</f>
        <v>06.2.2</v>
      </c>
      <c r="K417" s="302" t="s">
        <v>636</v>
      </c>
      <c r="L417" s="8" t="s">
        <v>1634</v>
      </c>
      <c r="M417" s="307"/>
    </row>
    <row r="418" spans="1:13" ht="29">
      <c r="A418" s="17">
        <v>417</v>
      </c>
      <c r="B418" s="289" t="s">
        <v>2052</v>
      </c>
      <c r="D418" s="281" t="s">
        <v>2207</v>
      </c>
      <c r="F418" s="235" t="s">
        <v>2212</v>
      </c>
      <c r="G418" s="1" t="s">
        <v>1625</v>
      </c>
      <c r="I418" s="326" t="s">
        <v>42</v>
      </c>
      <c r="J418" s="319" t="str">
        <f>VLOOKUP(K418,PLA_v2025!G:H,2,FALSE)</f>
        <v>06.3.2</v>
      </c>
      <c r="K418" s="302" t="s">
        <v>670</v>
      </c>
      <c r="L418" s="17"/>
      <c r="M418" s="307"/>
    </row>
    <row r="419" spans="1:13" ht="29">
      <c r="A419" s="17">
        <v>418</v>
      </c>
      <c r="B419" s="289" t="s">
        <v>2052</v>
      </c>
      <c r="D419" s="281" t="s">
        <v>2207</v>
      </c>
      <c r="F419" s="235" t="s">
        <v>2213</v>
      </c>
      <c r="G419" s="1" t="s">
        <v>1625</v>
      </c>
      <c r="I419" s="326" t="s">
        <v>42</v>
      </c>
      <c r="J419" s="319" t="str">
        <f>VLOOKUP(K419,PLA_v2025!G:H,2,FALSE)</f>
        <v>06.3.2</v>
      </c>
      <c r="K419" s="302" t="s">
        <v>670</v>
      </c>
      <c r="L419" s="17"/>
      <c r="M419" s="307"/>
    </row>
    <row r="420" spans="1:13" ht="29">
      <c r="A420" s="17">
        <v>419</v>
      </c>
      <c r="B420" s="289" t="s">
        <v>2052</v>
      </c>
      <c r="D420" s="281" t="s">
        <v>2207</v>
      </c>
      <c r="F420" s="235" t="s">
        <v>2214</v>
      </c>
      <c r="G420" s="1" t="s">
        <v>1625</v>
      </c>
      <c r="I420" s="326" t="s">
        <v>42</v>
      </c>
      <c r="J420" s="319" t="str">
        <f>VLOOKUP(K420,PLA_v2025!G:H,2,FALSE)</f>
        <v>04.3.2</v>
      </c>
      <c r="K420" s="302" t="s">
        <v>555</v>
      </c>
      <c r="L420" s="17"/>
      <c r="M420" s="307"/>
    </row>
    <row r="421" spans="1:13" ht="43.5">
      <c r="A421" s="17">
        <v>420</v>
      </c>
      <c r="B421" s="289" t="s">
        <v>2052</v>
      </c>
      <c r="D421" s="281" t="s">
        <v>2207</v>
      </c>
      <c r="F421" s="235" t="s">
        <v>2215</v>
      </c>
      <c r="G421" s="1" t="s">
        <v>1625</v>
      </c>
      <c r="I421" s="326" t="s">
        <v>42</v>
      </c>
      <c r="J421" s="319" t="str">
        <f>VLOOKUP(K421,PLA_v2025!G:H,2,FALSE)</f>
        <v>08.1.3</v>
      </c>
      <c r="K421" s="302" t="s">
        <v>763</v>
      </c>
      <c r="L421" s="8" t="s">
        <v>764</v>
      </c>
      <c r="M421" s="307"/>
    </row>
    <row r="422" spans="1:13" ht="29">
      <c r="A422" s="17">
        <v>421</v>
      </c>
      <c r="B422" s="289" t="s">
        <v>2052</v>
      </c>
      <c r="D422" s="281" t="s">
        <v>2207</v>
      </c>
      <c r="F422" s="235" t="s">
        <v>2216</v>
      </c>
      <c r="G422" s="1" t="s">
        <v>1625</v>
      </c>
      <c r="I422" s="326" t="s">
        <v>42</v>
      </c>
      <c r="J422" s="319" t="str">
        <f>VLOOKUP(K422,PLA_v2025!G:H,2,FALSE)</f>
        <v>01.4.2</v>
      </c>
      <c r="K422" s="302" t="s">
        <v>398</v>
      </c>
      <c r="L422" s="17"/>
      <c r="M422" s="307"/>
    </row>
    <row r="423" spans="1:13" ht="43.5">
      <c r="A423" s="17">
        <v>422</v>
      </c>
      <c r="B423" s="289" t="s">
        <v>2052</v>
      </c>
      <c r="D423" s="281" t="s">
        <v>2207</v>
      </c>
      <c r="F423" s="235" t="s">
        <v>2217</v>
      </c>
      <c r="G423" s="1" t="s">
        <v>1625</v>
      </c>
      <c r="I423" s="326" t="s">
        <v>42</v>
      </c>
      <c r="J423" s="319" t="str">
        <f>VLOOKUP(K423,PLA_v2025!G:H,2,FALSE)</f>
        <v>02.1.3</v>
      </c>
      <c r="K423" s="302" t="s">
        <v>417</v>
      </c>
      <c r="L423" s="302" t="s">
        <v>1895</v>
      </c>
      <c r="M423" s="307"/>
    </row>
    <row r="424" spans="1:13" ht="29">
      <c r="A424" s="17">
        <v>423</v>
      </c>
      <c r="B424" s="289" t="s">
        <v>2052</v>
      </c>
      <c r="D424" s="281" t="s">
        <v>2207</v>
      </c>
      <c r="F424" s="235" t="s">
        <v>2218</v>
      </c>
      <c r="G424" s="1" t="s">
        <v>1625</v>
      </c>
      <c r="I424" s="326" t="s">
        <v>42</v>
      </c>
      <c r="J424" s="319" t="str">
        <f>VLOOKUP(K424,PLA_v2025!G:H,2,FALSE)</f>
        <v>01.4.2</v>
      </c>
      <c r="K424" s="302" t="s">
        <v>398</v>
      </c>
      <c r="L424" s="17"/>
      <c r="M424" s="307"/>
    </row>
    <row r="425" spans="1:13" ht="29">
      <c r="A425" s="17">
        <v>424</v>
      </c>
      <c r="B425" s="289" t="s">
        <v>2052</v>
      </c>
      <c r="D425" s="281" t="s">
        <v>2207</v>
      </c>
      <c r="F425" s="235" t="s">
        <v>2219</v>
      </c>
      <c r="G425" s="1" t="s">
        <v>1625</v>
      </c>
      <c r="I425" s="326" t="s">
        <v>42</v>
      </c>
      <c r="J425" s="319" t="str">
        <f>VLOOKUP(K425,PLA_v2025!G:H,2,FALSE)</f>
        <v>04.3.2</v>
      </c>
      <c r="K425" s="302" t="s">
        <v>555</v>
      </c>
      <c r="L425" s="17"/>
      <c r="M425" s="307"/>
    </row>
    <row r="426" spans="1:13" ht="43.5">
      <c r="A426" s="17">
        <v>425</v>
      </c>
      <c r="B426" s="289" t="s">
        <v>2052</v>
      </c>
      <c r="D426" s="281" t="s">
        <v>2207</v>
      </c>
      <c r="F426" s="235" t="s">
        <v>2220</v>
      </c>
      <c r="G426" s="1" t="s">
        <v>1625</v>
      </c>
      <c r="I426" s="326" t="s">
        <v>42</v>
      </c>
      <c r="J426" s="319" t="str">
        <f>VLOOKUP(K426,PLA_v2025!G:H,2,FALSE)</f>
        <v>06.2.2</v>
      </c>
      <c r="K426" s="302" t="s">
        <v>636</v>
      </c>
      <c r="L426" s="8" t="s">
        <v>1634</v>
      </c>
      <c r="M426" s="307"/>
    </row>
    <row r="427" spans="1:13" ht="43.5">
      <c r="A427" s="17">
        <v>426</v>
      </c>
      <c r="B427" s="289" t="s">
        <v>2052</v>
      </c>
      <c r="D427" s="281" t="s">
        <v>2207</v>
      </c>
      <c r="F427" s="235" t="s">
        <v>2221</v>
      </c>
      <c r="G427" s="1" t="s">
        <v>1625</v>
      </c>
      <c r="I427" s="326" t="s">
        <v>42</v>
      </c>
      <c r="J427" s="319" t="str">
        <f>VLOOKUP(K427,PLA_v2025!G:H,2,FALSE)</f>
        <v>08.1.3</v>
      </c>
      <c r="K427" s="302" t="s">
        <v>763</v>
      </c>
      <c r="L427" s="8" t="s">
        <v>764</v>
      </c>
      <c r="M427" s="307"/>
    </row>
    <row r="428" spans="1:13" ht="58">
      <c r="A428" s="17">
        <v>427</v>
      </c>
      <c r="B428" s="287" t="s">
        <v>46</v>
      </c>
      <c r="D428" s="258" t="s">
        <v>2222</v>
      </c>
      <c r="E428" s="237" t="s">
        <v>2223</v>
      </c>
      <c r="F428" s="75" t="s">
        <v>2224</v>
      </c>
      <c r="G428" s="1" t="s">
        <v>1614</v>
      </c>
      <c r="J428" s="319" t="str">
        <f>VLOOKUP(K428,PLA_v2025!G:H,2,FALSE)</f>
        <v>08.1.3</v>
      </c>
      <c r="K428" s="302" t="s">
        <v>763</v>
      </c>
      <c r="L428" s="8" t="s">
        <v>764</v>
      </c>
      <c r="M428" s="307"/>
    </row>
    <row r="429" spans="1:13" ht="29">
      <c r="A429" s="17">
        <v>428</v>
      </c>
      <c r="B429" s="287" t="s">
        <v>46</v>
      </c>
      <c r="D429" s="258" t="s">
        <v>2222</v>
      </c>
      <c r="E429" t="s">
        <v>2225</v>
      </c>
      <c r="F429" s="75" t="s">
        <v>2226</v>
      </c>
      <c r="G429" s="1" t="s">
        <v>1509</v>
      </c>
      <c r="J429" s="319" t="str">
        <f>VLOOKUP(K429,PLA_v2025!G:H,2,FALSE)</f>
        <v>06.2.1</v>
      </c>
      <c r="K429" s="302" t="s">
        <v>630</v>
      </c>
      <c r="L429" s="17"/>
      <c r="M429" s="307"/>
    </row>
    <row r="430" spans="1:13" ht="87">
      <c r="A430" s="17">
        <v>429</v>
      </c>
      <c r="B430" s="287" t="s">
        <v>46</v>
      </c>
      <c r="D430" s="258" t="s">
        <v>2222</v>
      </c>
      <c r="E430" t="s">
        <v>2227</v>
      </c>
      <c r="F430" s="75" t="s">
        <v>2228</v>
      </c>
      <c r="G430" s="1" t="s">
        <v>290</v>
      </c>
      <c r="J430" s="319" t="str">
        <f>VLOOKUP(K430,PLA_v2025!G:H,2,FALSE)</f>
        <v>03.3.3</v>
      </c>
      <c r="K430" s="302" t="s">
        <v>476</v>
      </c>
      <c r="L430" s="17"/>
      <c r="M430" s="307"/>
    </row>
    <row r="431" spans="1:13" ht="43.5">
      <c r="A431" s="17">
        <v>430</v>
      </c>
      <c r="B431" s="287" t="s">
        <v>46</v>
      </c>
      <c r="D431" s="258" t="s">
        <v>2222</v>
      </c>
      <c r="E431" t="s">
        <v>2229</v>
      </c>
      <c r="F431" s="75" t="s">
        <v>2230</v>
      </c>
      <c r="G431" s="1" t="s">
        <v>290</v>
      </c>
      <c r="J431" s="319" t="str">
        <f>VLOOKUP(K431,PLA_v2025!G:H,2,FALSE)</f>
        <v>11.3.1</v>
      </c>
      <c r="K431" s="302" t="s">
        <v>929</v>
      </c>
      <c r="L431" s="17"/>
      <c r="M431" s="307"/>
    </row>
    <row r="432" spans="1:13" ht="29">
      <c r="A432" s="17">
        <v>431</v>
      </c>
      <c r="B432" s="287" t="s">
        <v>46</v>
      </c>
      <c r="D432" s="258" t="s">
        <v>2222</v>
      </c>
      <c r="E432" t="s">
        <v>2231</v>
      </c>
      <c r="F432" s="75" t="s">
        <v>2232</v>
      </c>
      <c r="G432" s="1" t="s">
        <v>1614</v>
      </c>
      <c r="J432" s="319" t="str">
        <f>VLOOKUP(K432,PLA_v2025!G:H,2,FALSE)</f>
        <v>03.3.1</v>
      </c>
      <c r="K432" s="302" t="s">
        <v>467</v>
      </c>
      <c r="L432" s="17"/>
      <c r="M432" s="307"/>
    </row>
    <row r="433" spans="1:14" ht="43.5">
      <c r="A433" s="17">
        <v>432</v>
      </c>
      <c r="B433" s="287" t="s">
        <v>46</v>
      </c>
      <c r="D433" s="258" t="s">
        <v>2222</v>
      </c>
      <c r="E433" t="s">
        <v>2233</v>
      </c>
      <c r="F433" s="75" t="s">
        <v>2234</v>
      </c>
      <c r="G433" s="1" t="s">
        <v>1614</v>
      </c>
      <c r="J433" s="319" t="str">
        <f>VLOOKUP(K433,PLA_v2025!G:H,2,FALSE)</f>
        <v>03.3.3</v>
      </c>
      <c r="K433" s="302" t="s">
        <v>476</v>
      </c>
      <c r="L433" s="17"/>
      <c r="M433" s="307"/>
    </row>
    <row r="434" spans="1:14" ht="43.5">
      <c r="A434" s="17">
        <v>433</v>
      </c>
      <c r="B434" s="287" t="s">
        <v>46</v>
      </c>
      <c r="D434" s="258" t="s">
        <v>2222</v>
      </c>
      <c r="E434" t="s">
        <v>2235</v>
      </c>
      <c r="F434" s="75" t="s">
        <v>2236</v>
      </c>
      <c r="G434" s="1" t="s">
        <v>1509</v>
      </c>
      <c r="J434" s="319" t="str">
        <f>VLOOKUP(K434,PLA_v2025!G:H,2,FALSE)</f>
        <v>06.2.2</v>
      </c>
      <c r="K434" s="302" t="s">
        <v>636</v>
      </c>
      <c r="L434" s="8" t="s">
        <v>1634</v>
      </c>
      <c r="M434" s="307"/>
    </row>
    <row r="435" spans="1:14" ht="58">
      <c r="A435" s="17">
        <v>434</v>
      </c>
      <c r="B435" s="287" t="s">
        <v>46</v>
      </c>
      <c r="D435" s="258" t="s">
        <v>2222</v>
      </c>
      <c r="E435" t="s">
        <v>2237</v>
      </c>
      <c r="F435" s="75" t="s">
        <v>2238</v>
      </c>
      <c r="G435" s="1" t="s">
        <v>1614</v>
      </c>
      <c r="J435" s="319" t="str">
        <f>VLOOKUP(K435,PLA_v2025!G:H,2,FALSE)</f>
        <v>03.3.4</v>
      </c>
      <c r="K435" s="302" t="s">
        <v>479</v>
      </c>
      <c r="L435" s="8" t="s">
        <v>1865</v>
      </c>
      <c r="M435" s="307"/>
    </row>
    <row r="436" spans="1:14" ht="43.5">
      <c r="A436" s="17">
        <v>435</v>
      </c>
      <c r="B436" s="287" t="s">
        <v>46</v>
      </c>
      <c r="D436" s="258" t="s">
        <v>2222</v>
      </c>
      <c r="E436" t="s">
        <v>2239</v>
      </c>
      <c r="F436" s="75" t="s">
        <v>2240</v>
      </c>
      <c r="G436" s="1" t="s">
        <v>1614</v>
      </c>
      <c r="J436" s="319" t="str">
        <f>VLOOKUP(K436,PLA_v2025!G:H,2,FALSE)</f>
        <v>03.3.1</v>
      </c>
      <c r="K436" s="302" t="s">
        <v>467</v>
      </c>
      <c r="L436" s="17"/>
      <c r="M436" s="307"/>
    </row>
    <row r="437" spans="1:14" ht="29">
      <c r="A437" s="17">
        <v>436</v>
      </c>
      <c r="B437" s="287" t="s">
        <v>46</v>
      </c>
      <c r="D437" s="258" t="s">
        <v>2222</v>
      </c>
      <c r="E437" t="s">
        <v>2241</v>
      </c>
      <c r="F437" s="75" t="s">
        <v>2242</v>
      </c>
      <c r="G437" s="1" t="s">
        <v>1625</v>
      </c>
      <c r="J437" s="319" t="str">
        <f>VLOOKUP(K437,PLA_v2025!G:H,2,FALSE)</f>
        <v>03.4.2</v>
      </c>
      <c r="K437" s="302" t="s">
        <v>498</v>
      </c>
      <c r="L437" s="17"/>
      <c r="M437" s="307"/>
    </row>
    <row r="438" spans="1:14" ht="43.5">
      <c r="A438" s="17">
        <v>437</v>
      </c>
      <c r="B438" s="287" t="s">
        <v>46</v>
      </c>
      <c r="D438" s="258" t="s">
        <v>2222</v>
      </c>
      <c r="E438" t="s">
        <v>2243</v>
      </c>
      <c r="F438" s="75" t="s">
        <v>2244</v>
      </c>
      <c r="G438" s="1" t="s">
        <v>1614</v>
      </c>
      <c r="J438" s="319" t="str">
        <f>VLOOKUP(K438,PLA_v2025!G:H,2,FALSE)</f>
        <v>10.1.2</v>
      </c>
      <c r="K438" s="302" t="s">
        <v>865</v>
      </c>
      <c r="M438" s="307"/>
    </row>
    <row r="439" spans="1:14" ht="43.5">
      <c r="A439" s="17">
        <v>438</v>
      </c>
      <c r="B439" s="287" t="s">
        <v>46</v>
      </c>
      <c r="D439" s="258" t="s">
        <v>2222</v>
      </c>
      <c r="E439" t="s">
        <v>2245</v>
      </c>
      <c r="F439" s="75" t="s">
        <v>2246</v>
      </c>
      <c r="G439" s="1" t="s">
        <v>1509</v>
      </c>
      <c r="J439" s="319" t="str">
        <f>VLOOKUP(K439,PLA_v2025!G:H,2,FALSE)</f>
        <v>01.2.3</v>
      </c>
      <c r="K439" s="302" t="s">
        <v>337</v>
      </c>
      <c r="M439" s="307"/>
    </row>
    <row r="440" spans="1:14" ht="58">
      <c r="A440" s="17">
        <v>439</v>
      </c>
      <c r="B440" s="287" t="s">
        <v>46</v>
      </c>
      <c r="D440" s="258" t="s">
        <v>2222</v>
      </c>
      <c r="E440" t="s">
        <v>2247</v>
      </c>
      <c r="F440" s="75" t="s">
        <v>2248</v>
      </c>
      <c r="G440" s="1" t="s">
        <v>1509</v>
      </c>
      <c r="J440" s="319" t="str">
        <f>VLOOKUP(K440,PLA_v2025!G:H,2,FALSE)</f>
        <v>01.3.7</v>
      </c>
      <c r="K440" s="302" t="s">
        <v>387</v>
      </c>
      <c r="L440" s="290"/>
      <c r="M440" s="307"/>
      <c r="N440" s="302"/>
    </row>
    <row r="441" spans="1:14" ht="29">
      <c r="A441" s="17">
        <v>440</v>
      </c>
      <c r="B441" s="287" t="s">
        <v>46</v>
      </c>
      <c r="D441" s="258" t="s">
        <v>2222</v>
      </c>
      <c r="E441" t="s">
        <v>2249</v>
      </c>
      <c r="F441" s="75" t="s">
        <v>2250</v>
      </c>
      <c r="G441" s="1" t="s">
        <v>1509</v>
      </c>
      <c r="J441" s="319" t="str">
        <f>VLOOKUP(K441,PLA_v2025!G:H,2,FALSE)</f>
        <v>01.3.4</v>
      </c>
      <c r="K441" s="302" t="s">
        <v>374</v>
      </c>
      <c r="L441" s="8" t="s">
        <v>375</v>
      </c>
      <c r="M441" s="307"/>
    </row>
    <row r="442" spans="1:14" ht="43.5">
      <c r="A442" s="17">
        <v>441</v>
      </c>
      <c r="B442" s="287" t="s">
        <v>46</v>
      </c>
      <c r="D442" s="258" t="s">
        <v>2222</v>
      </c>
      <c r="E442" t="s">
        <v>2251</v>
      </c>
      <c r="F442" s="75" t="s">
        <v>2252</v>
      </c>
      <c r="G442" s="1" t="s">
        <v>1614</v>
      </c>
      <c r="J442" s="319" t="str">
        <f>VLOOKUP(K442,PLA_v2025!G:H,2,FALSE)</f>
        <v>01.3.4</v>
      </c>
      <c r="K442" s="302" t="s">
        <v>374</v>
      </c>
      <c r="L442" s="8" t="s">
        <v>375</v>
      </c>
      <c r="M442" s="307"/>
    </row>
    <row r="443" spans="1:14" ht="43.5">
      <c r="A443" s="17">
        <v>442</v>
      </c>
      <c r="B443" s="287" t="s">
        <v>46</v>
      </c>
      <c r="D443" s="258" t="s">
        <v>2222</v>
      </c>
      <c r="E443" t="s">
        <v>2253</v>
      </c>
      <c r="F443" s="75" t="s">
        <v>2254</v>
      </c>
      <c r="G443" s="1" t="s">
        <v>1614</v>
      </c>
      <c r="J443" s="319" t="str">
        <f>VLOOKUP(K443,PLA_v2025!G:H,2,FALSE)</f>
        <v>08.4.1</v>
      </c>
      <c r="K443" s="302" t="s">
        <v>817</v>
      </c>
      <c r="L443" s="237"/>
    </row>
    <row r="444" spans="1:14" ht="29">
      <c r="A444" s="17">
        <v>443</v>
      </c>
      <c r="B444" s="287" t="s">
        <v>46</v>
      </c>
      <c r="D444" s="258" t="s">
        <v>2222</v>
      </c>
      <c r="E444" t="s">
        <v>2255</v>
      </c>
      <c r="F444" s="75" t="s">
        <v>2256</v>
      </c>
      <c r="G444" s="1" t="s">
        <v>1509</v>
      </c>
      <c r="J444" s="319" t="str">
        <f>VLOOKUP(K444,PLA_v2025!G:H,2,FALSE)</f>
        <v>01.3.2</v>
      </c>
      <c r="K444" s="302" t="s">
        <v>366</v>
      </c>
      <c r="L444" s="17"/>
    </row>
    <row r="445" spans="1:14" ht="29">
      <c r="A445" s="17">
        <v>444</v>
      </c>
      <c r="B445" s="287" t="s">
        <v>46</v>
      </c>
      <c r="D445" s="258" t="s">
        <v>2222</v>
      </c>
      <c r="E445" t="s">
        <v>2257</v>
      </c>
      <c r="F445" s="75" t="s">
        <v>2258</v>
      </c>
      <c r="G445" s="1" t="s">
        <v>1614</v>
      </c>
      <c r="J445" s="319" t="str">
        <f>VLOOKUP(K445,PLA_v2025!G:H,2,FALSE)</f>
        <v>01.1.1</v>
      </c>
      <c r="K445" s="302" t="s">
        <v>296</v>
      </c>
      <c r="L445" s="8" t="s">
        <v>299</v>
      </c>
    </row>
    <row r="446" spans="1:14" ht="43.5">
      <c r="A446" s="17">
        <v>445</v>
      </c>
      <c r="B446" s="287" t="s">
        <v>46</v>
      </c>
      <c r="D446" s="258" t="s">
        <v>2222</v>
      </c>
      <c r="E446" t="s">
        <v>2259</v>
      </c>
      <c r="F446" s="75" t="s">
        <v>2260</v>
      </c>
      <c r="G446" s="1" t="s">
        <v>1614</v>
      </c>
      <c r="J446" s="319" t="str">
        <f>VLOOKUP(K446,PLA_v2025!G:H,2,FALSE)</f>
        <v>03.1.3</v>
      </c>
      <c r="K446" s="302" t="s">
        <v>450</v>
      </c>
      <c r="L446" s="8" t="s">
        <v>451</v>
      </c>
    </row>
    <row r="447" spans="1:14" ht="43.5">
      <c r="A447" s="17">
        <v>446</v>
      </c>
      <c r="B447" s="287" t="s">
        <v>46</v>
      </c>
      <c r="D447" s="258" t="s">
        <v>2222</v>
      </c>
      <c r="E447" t="s">
        <v>2261</v>
      </c>
      <c r="F447" s="75" t="s">
        <v>2262</v>
      </c>
      <c r="G447" s="1" t="s">
        <v>1614</v>
      </c>
      <c r="J447" s="319" t="str">
        <f>VLOOKUP(K447,PLA_v2025!G:H,2,FALSE)</f>
        <v>03.1.3</v>
      </c>
      <c r="K447" s="302" t="s">
        <v>450</v>
      </c>
      <c r="L447" s="8" t="s">
        <v>451</v>
      </c>
    </row>
    <row r="448" spans="1:14" ht="43.5">
      <c r="A448" s="17">
        <v>447</v>
      </c>
      <c r="B448" s="287" t="s">
        <v>46</v>
      </c>
      <c r="D448" s="258" t="s">
        <v>2222</v>
      </c>
      <c r="E448" t="s">
        <v>2263</v>
      </c>
      <c r="F448" s="75" t="s">
        <v>2264</v>
      </c>
      <c r="G448" s="1" t="s">
        <v>1625</v>
      </c>
      <c r="J448" s="319" t="str">
        <f>VLOOKUP(K448,PLA_v2025!G:H,2,FALSE)</f>
        <v>01.4.2</v>
      </c>
      <c r="K448" s="302" t="s">
        <v>398</v>
      </c>
      <c r="L448" s="17"/>
    </row>
    <row r="449" spans="1:12" ht="29">
      <c r="A449" s="17">
        <v>448</v>
      </c>
      <c r="B449" s="287" t="s">
        <v>46</v>
      </c>
      <c r="D449" s="258" t="s">
        <v>2222</v>
      </c>
      <c r="E449" t="s">
        <v>2265</v>
      </c>
      <c r="F449" s="75" t="s">
        <v>2266</v>
      </c>
      <c r="J449" s="319" t="str">
        <f>VLOOKUP(K449,PLA_v2025!G:H,2,FALSE)</f>
        <v>01.3.2</v>
      </c>
      <c r="K449" s="302" t="s">
        <v>366</v>
      </c>
      <c r="L449" s="17"/>
    </row>
    <row r="450" spans="1:12" ht="58">
      <c r="A450" s="17">
        <v>449</v>
      </c>
      <c r="B450" s="287" t="s">
        <v>46</v>
      </c>
      <c r="D450" s="258" t="s">
        <v>2222</v>
      </c>
      <c r="E450" t="s">
        <v>2267</v>
      </c>
      <c r="F450" s="75" t="s">
        <v>2268</v>
      </c>
      <c r="J450" s="319" t="str">
        <f>VLOOKUP(K450,PLA_v2025!G:H,2,FALSE)</f>
        <v>01.3.2</v>
      </c>
      <c r="K450" s="302" t="s">
        <v>366</v>
      </c>
      <c r="L450" s="17"/>
    </row>
    <row r="451" spans="1:12" ht="29">
      <c r="A451" s="17">
        <v>450</v>
      </c>
      <c r="B451" s="287" t="s">
        <v>46</v>
      </c>
      <c r="D451" s="258" t="s">
        <v>2222</v>
      </c>
      <c r="E451" t="s">
        <v>2269</v>
      </c>
      <c r="F451" s="75" t="s">
        <v>2270</v>
      </c>
      <c r="J451" s="319" t="str">
        <f>VLOOKUP(K451,PLA_v2025!G:H,2,FALSE)</f>
        <v>01.1.1</v>
      </c>
      <c r="K451" s="302" t="s">
        <v>296</v>
      </c>
      <c r="L451" s="8" t="s">
        <v>299</v>
      </c>
    </row>
    <row r="452" spans="1:12" ht="58">
      <c r="A452" s="17">
        <v>451</v>
      </c>
      <c r="B452" s="287" t="s">
        <v>46</v>
      </c>
      <c r="D452" s="258" t="s">
        <v>2222</v>
      </c>
      <c r="E452" t="s">
        <v>2271</v>
      </c>
      <c r="F452" s="75" t="s">
        <v>2272</v>
      </c>
      <c r="J452" s="319" t="str">
        <f>VLOOKUP(K452,PLA_v2025!G:H,2,FALSE)</f>
        <v>01.1.1</v>
      </c>
      <c r="K452" s="302" t="s">
        <v>296</v>
      </c>
      <c r="L452" s="8" t="s">
        <v>299</v>
      </c>
    </row>
    <row r="453" spans="1:12" ht="29">
      <c r="A453" s="17">
        <v>452</v>
      </c>
      <c r="B453" s="287" t="s">
        <v>46</v>
      </c>
      <c r="D453" s="258" t="s">
        <v>2222</v>
      </c>
      <c r="E453" t="s">
        <v>2273</v>
      </c>
      <c r="F453" s="75" t="s">
        <v>2274</v>
      </c>
      <c r="J453" s="319" t="str">
        <f>VLOOKUP(K453,PLA_v2025!G:H,2,FALSE)</f>
        <v>01.1.1</v>
      </c>
      <c r="K453" s="302" t="s">
        <v>296</v>
      </c>
      <c r="L453" s="8" t="s">
        <v>299</v>
      </c>
    </row>
    <row r="454" spans="1:12" ht="29">
      <c r="A454" s="17">
        <v>453</v>
      </c>
      <c r="B454" s="287" t="s">
        <v>46</v>
      </c>
      <c r="D454" s="258" t="s">
        <v>2222</v>
      </c>
      <c r="E454" t="s">
        <v>2275</v>
      </c>
      <c r="F454" s="75" t="s">
        <v>2276</v>
      </c>
      <c r="H454" s="233" t="s">
        <v>1517</v>
      </c>
      <c r="J454" s="296"/>
      <c r="K454" s="3" t="s">
        <v>1828</v>
      </c>
      <c r="L454" s="17"/>
    </row>
    <row r="455" spans="1:12" ht="58">
      <c r="A455" s="17">
        <v>454</v>
      </c>
      <c r="B455" s="287" t="s">
        <v>46</v>
      </c>
      <c r="D455" s="258" t="s">
        <v>2222</v>
      </c>
      <c r="E455" t="s">
        <v>2277</v>
      </c>
      <c r="F455" s="75" t="s">
        <v>2278</v>
      </c>
      <c r="J455" s="319" t="str">
        <f>VLOOKUP(K455,PLA_v2025!G:H,2,FALSE)</f>
        <v>01.3.4</v>
      </c>
      <c r="K455" s="302" t="s">
        <v>374</v>
      </c>
      <c r="L455" s="8" t="s">
        <v>375</v>
      </c>
    </row>
    <row r="456" spans="1:12" ht="29">
      <c r="A456" s="17">
        <v>455</v>
      </c>
      <c r="B456" s="287" t="s">
        <v>46</v>
      </c>
      <c r="D456" s="258" t="s">
        <v>2222</v>
      </c>
      <c r="E456" t="s">
        <v>2279</v>
      </c>
      <c r="F456" s="75" t="s">
        <v>2280</v>
      </c>
      <c r="J456" s="319" t="str">
        <f>VLOOKUP(K456,PLA_v2025!G:H,2,FALSE)</f>
        <v>01.1.1</v>
      </c>
      <c r="K456" s="302" t="s">
        <v>296</v>
      </c>
      <c r="L456" s="8" t="s">
        <v>299</v>
      </c>
    </row>
    <row r="457" spans="1:12" ht="43.5">
      <c r="A457" s="17">
        <v>456</v>
      </c>
      <c r="B457" s="287" t="s">
        <v>46</v>
      </c>
      <c r="D457" s="258" t="s">
        <v>2222</v>
      </c>
      <c r="E457" t="s">
        <v>2281</v>
      </c>
      <c r="F457" s="75" t="s">
        <v>2282</v>
      </c>
      <c r="J457" s="319" t="str">
        <f>VLOOKUP(K457,PLA_v2025!G:H,2,FALSE)</f>
        <v>08.4.2</v>
      </c>
      <c r="K457" s="302" t="s">
        <v>820</v>
      </c>
      <c r="L457" s="17"/>
    </row>
    <row r="458" spans="1:12" ht="43.5">
      <c r="A458" s="17">
        <v>457</v>
      </c>
      <c r="B458" s="287" t="s">
        <v>46</v>
      </c>
      <c r="D458" s="258" t="s">
        <v>2222</v>
      </c>
      <c r="E458" t="s">
        <v>2283</v>
      </c>
      <c r="F458" s="75" t="s">
        <v>2284</v>
      </c>
      <c r="H458" s="233" t="s">
        <v>1517</v>
      </c>
      <c r="J458" s="296"/>
      <c r="K458" s="3" t="s">
        <v>1828</v>
      </c>
      <c r="L458" s="17"/>
    </row>
    <row r="459" spans="1:12" ht="43.5">
      <c r="A459" s="17">
        <v>458</v>
      </c>
      <c r="B459" s="287" t="s">
        <v>46</v>
      </c>
      <c r="D459" s="258" t="s">
        <v>2222</v>
      </c>
      <c r="E459" t="s">
        <v>2285</v>
      </c>
      <c r="F459" s="75" t="s">
        <v>2286</v>
      </c>
      <c r="J459" s="319" t="str">
        <f>VLOOKUP(K459,PLA_v2025!G:H,2,FALSE)</f>
        <v>01.3.4</v>
      </c>
      <c r="K459" s="302" t="s">
        <v>374</v>
      </c>
      <c r="L459" s="8" t="s">
        <v>375</v>
      </c>
    </row>
    <row r="460" spans="1:12" ht="29">
      <c r="A460" s="17">
        <v>459</v>
      </c>
      <c r="B460" s="287" t="s">
        <v>46</v>
      </c>
      <c r="D460" s="258" t="s">
        <v>2222</v>
      </c>
      <c r="E460" t="s">
        <v>2287</v>
      </c>
      <c r="F460" s="75" t="s">
        <v>2288</v>
      </c>
      <c r="G460" s="1" t="s">
        <v>1614</v>
      </c>
      <c r="J460" s="319" t="str">
        <f>VLOOKUP(K460,PLA_v2025!G:H,2,FALSE)</f>
        <v>01.1.1</v>
      </c>
      <c r="K460" s="302" t="s">
        <v>296</v>
      </c>
      <c r="L460" s="8" t="s">
        <v>299</v>
      </c>
    </row>
    <row r="461" spans="1:12" ht="43.5">
      <c r="A461" s="17">
        <v>460</v>
      </c>
      <c r="B461" s="287" t="s">
        <v>46</v>
      </c>
      <c r="D461" s="258" t="s">
        <v>2222</v>
      </c>
      <c r="E461" t="s">
        <v>2289</v>
      </c>
      <c r="F461" s="75" t="s">
        <v>2290</v>
      </c>
      <c r="J461" s="319" t="str">
        <f>VLOOKUP(K461,PLA_v2025!G:H,2,FALSE)</f>
        <v>01.4.2</v>
      </c>
      <c r="K461" s="302" t="s">
        <v>398</v>
      </c>
      <c r="L461" s="17"/>
    </row>
    <row r="462" spans="1:12" ht="29">
      <c r="A462" s="17">
        <v>461</v>
      </c>
      <c r="B462" s="287" t="s">
        <v>46</v>
      </c>
      <c r="D462" s="258" t="s">
        <v>2222</v>
      </c>
      <c r="E462" t="s">
        <v>2291</v>
      </c>
      <c r="F462" s="75" t="s">
        <v>2292</v>
      </c>
      <c r="J462" s="319" t="str">
        <f>VLOOKUP(K462,PLA_v2025!G:H,2,FALSE)</f>
        <v>01.3.2</v>
      </c>
      <c r="K462" s="302" t="s">
        <v>366</v>
      </c>
      <c r="L462" s="17"/>
    </row>
    <row r="463" spans="1:12" ht="43.5">
      <c r="A463" s="17">
        <v>462</v>
      </c>
      <c r="B463" s="287" t="s">
        <v>46</v>
      </c>
      <c r="D463" s="258" t="s">
        <v>2222</v>
      </c>
      <c r="E463" t="s">
        <v>2293</v>
      </c>
      <c r="F463" s="75" t="s">
        <v>2294</v>
      </c>
      <c r="J463" s="319" t="str">
        <f>VLOOKUP(K463,PLA_v2025!G:H,2,FALSE)</f>
        <v>01.1.1</v>
      </c>
      <c r="K463" s="302" t="s">
        <v>296</v>
      </c>
      <c r="L463" s="8" t="s">
        <v>299</v>
      </c>
    </row>
    <row r="464" spans="1:12" ht="43.5">
      <c r="A464" s="17">
        <v>463</v>
      </c>
      <c r="B464" s="287" t="s">
        <v>46</v>
      </c>
      <c r="D464" s="258" t="s">
        <v>2222</v>
      </c>
      <c r="E464" t="s">
        <v>2295</v>
      </c>
      <c r="F464" s="75" t="s">
        <v>2296</v>
      </c>
      <c r="G464" s="1" t="s">
        <v>1614</v>
      </c>
      <c r="J464" s="319" t="str">
        <f>VLOOKUP(K464,PLA_v2025!G:H,2,FALSE)</f>
        <v>08.1.1</v>
      </c>
      <c r="K464" s="302" t="s">
        <v>746</v>
      </c>
      <c r="L464" s="302" t="s">
        <v>1927</v>
      </c>
    </row>
    <row r="465" spans="1:12" ht="29">
      <c r="A465" s="17">
        <v>464</v>
      </c>
      <c r="B465" s="287" t="s">
        <v>46</v>
      </c>
      <c r="D465" s="258" t="s">
        <v>2222</v>
      </c>
      <c r="E465" t="s">
        <v>2297</v>
      </c>
      <c r="F465" s="75" t="s">
        <v>2298</v>
      </c>
      <c r="J465" s="319" t="str">
        <f>VLOOKUP(K465,PLA_v2025!G:H,2,FALSE)</f>
        <v>11.1.3</v>
      </c>
      <c r="K465" s="302" t="s">
        <v>879</v>
      </c>
      <c r="L465" s="17"/>
    </row>
    <row r="466" spans="1:12" ht="29">
      <c r="A466" s="17">
        <v>465</v>
      </c>
      <c r="B466" s="287" t="s">
        <v>46</v>
      </c>
      <c r="D466" s="258" t="s">
        <v>2222</v>
      </c>
      <c r="E466" t="s">
        <v>2299</v>
      </c>
      <c r="F466" s="75" t="s">
        <v>2300</v>
      </c>
      <c r="G466" s="1" t="s">
        <v>1509</v>
      </c>
      <c r="J466" s="319" t="str">
        <f>VLOOKUP(K466,PLA_v2025!G:H,2,FALSE)</f>
        <v>03.4.2</v>
      </c>
      <c r="K466" s="302" t="s">
        <v>498</v>
      </c>
      <c r="L466" s="17"/>
    </row>
    <row r="467" spans="1:12" ht="29">
      <c r="A467" s="17">
        <v>466</v>
      </c>
      <c r="B467" s="287" t="s">
        <v>46</v>
      </c>
      <c r="D467" s="258" t="s">
        <v>2222</v>
      </c>
      <c r="E467" t="s">
        <v>2301</v>
      </c>
      <c r="F467" s="75" t="s">
        <v>2302</v>
      </c>
      <c r="G467" s="1" t="s">
        <v>1516</v>
      </c>
      <c r="H467" s="233" t="s">
        <v>1517</v>
      </c>
      <c r="J467" s="317"/>
      <c r="K467" s="302"/>
      <c r="L467" s="17"/>
    </row>
    <row r="468" spans="1:12" ht="43.5">
      <c r="A468" s="17">
        <v>467</v>
      </c>
      <c r="B468" s="287" t="s">
        <v>46</v>
      </c>
      <c r="D468" s="258" t="s">
        <v>2222</v>
      </c>
      <c r="E468" t="s">
        <v>2303</v>
      </c>
      <c r="F468" s="75" t="s">
        <v>2304</v>
      </c>
      <c r="G468" s="1" t="s">
        <v>1516</v>
      </c>
      <c r="H468" s="233" t="s">
        <v>1517</v>
      </c>
      <c r="J468" s="3"/>
    </row>
    <row r="469" spans="1:12" ht="43.5">
      <c r="A469" s="17">
        <v>468</v>
      </c>
      <c r="B469" s="287" t="s">
        <v>46</v>
      </c>
      <c r="D469" s="258" t="s">
        <v>2222</v>
      </c>
      <c r="E469" t="s">
        <v>2305</v>
      </c>
      <c r="F469" s="75" t="s">
        <v>2306</v>
      </c>
      <c r="G469" s="1" t="s">
        <v>1614</v>
      </c>
      <c r="J469" s="319" t="str">
        <f>VLOOKUP(K469,PLA_v2025!G:H,2,FALSE)</f>
        <v>01.2.2</v>
      </c>
      <c r="K469" s="302" t="s">
        <v>332</v>
      </c>
    </row>
    <row r="470" spans="1:12" ht="29">
      <c r="A470" s="17">
        <v>469</v>
      </c>
      <c r="B470" s="287" t="s">
        <v>46</v>
      </c>
      <c r="D470" s="258" t="s">
        <v>2222</v>
      </c>
      <c r="E470" t="s">
        <v>2307</v>
      </c>
      <c r="F470" s="75" t="s">
        <v>2308</v>
      </c>
      <c r="G470" s="1" t="s">
        <v>1516</v>
      </c>
      <c r="H470" s="233" t="s">
        <v>1517</v>
      </c>
      <c r="J470" s="3"/>
    </row>
    <row r="471" spans="1:12" ht="58">
      <c r="A471" s="17">
        <v>470</v>
      </c>
      <c r="B471" s="287" t="s">
        <v>46</v>
      </c>
      <c r="D471" s="258" t="s">
        <v>2222</v>
      </c>
      <c r="E471" t="s">
        <v>2309</v>
      </c>
      <c r="F471" s="75" t="s">
        <v>2310</v>
      </c>
      <c r="G471" s="1" t="s">
        <v>1509</v>
      </c>
      <c r="J471" s="319" t="str">
        <f>VLOOKUP(K471,PLA_v2025!G:H,2,FALSE)</f>
        <v>03.3.3</v>
      </c>
      <c r="K471" s="302" t="s">
        <v>476</v>
      </c>
      <c r="L471" s="17"/>
    </row>
    <row r="472" spans="1:12" ht="43.5">
      <c r="A472" s="17">
        <v>471</v>
      </c>
      <c r="B472" s="287" t="s">
        <v>46</v>
      </c>
      <c r="D472" s="258" t="s">
        <v>2222</v>
      </c>
      <c r="E472" t="s">
        <v>2311</v>
      </c>
      <c r="F472" s="75" t="s">
        <v>2312</v>
      </c>
      <c r="G472" s="1" t="s">
        <v>1509</v>
      </c>
      <c r="J472" s="319" t="str">
        <f>VLOOKUP(K472,PLA_v2025!G:H,2,FALSE)</f>
        <v>01.1.1</v>
      </c>
      <c r="K472" s="302" t="s">
        <v>296</v>
      </c>
      <c r="L472" s="8" t="s">
        <v>299</v>
      </c>
    </row>
    <row r="473" spans="1:12" ht="58">
      <c r="A473" s="17">
        <v>472</v>
      </c>
      <c r="B473" s="287" t="s">
        <v>46</v>
      </c>
      <c r="D473" s="258" t="s">
        <v>2222</v>
      </c>
      <c r="E473" t="s">
        <v>2313</v>
      </c>
      <c r="F473" s="75" t="s">
        <v>2314</v>
      </c>
      <c r="G473" s="1" t="s">
        <v>1614</v>
      </c>
      <c r="J473" s="319" t="str">
        <f>VLOOKUP(K473,PLA_v2025!G:H,2,FALSE)</f>
        <v>03.4.1</v>
      </c>
      <c r="K473" s="302" t="s">
        <v>492</v>
      </c>
      <c r="L473" s="17"/>
    </row>
    <row r="474" spans="1:12" ht="43.5">
      <c r="A474" s="17">
        <v>473</v>
      </c>
      <c r="B474" s="287" t="s">
        <v>46</v>
      </c>
      <c r="D474" s="258" t="s">
        <v>2222</v>
      </c>
      <c r="E474" t="s">
        <v>2315</v>
      </c>
      <c r="F474" s="75" t="s">
        <v>2316</v>
      </c>
      <c r="G474" s="1" t="s">
        <v>1614</v>
      </c>
      <c r="J474" s="319" t="str">
        <f>VLOOKUP(K474,PLA_v2025!G:H,2,FALSE)</f>
        <v>08.1.3</v>
      </c>
      <c r="K474" s="302" t="s">
        <v>763</v>
      </c>
      <c r="L474" s="8" t="s">
        <v>764</v>
      </c>
    </row>
    <row r="475" spans="1:12" ht="29">
      <c r="A475" s="17">
        <v>474</v>
      </c>
      <c r="B475" s="287" t="s">
        <v>46</v>
      </c>
      <c r="D475" s="258" t="s">
        <v>2222</v>
      </c>
      <c r="E475" t="s">
        <v>2317</v>
      </c>
      <c r="F475" s="75" t="s">
        <v>2318</v>
      </c>
      <c r="J475" s="319" t="str">
        <f>VLOOKUP(K475,PLA_v2025!G:H,2,FALSE)</f>
        <v>01.1.1</v>
      </c>
      <c r="K475" s="302" t="s">
        <v>296</v>
      </c>
      <c r="L475" s="8" t="s">
        <v>299</v>
      </c>
    </row>
    <row r="476" spans="1:12" ht="43.5">
      <c r="A476" s="17">
        <v>475</v>
      </c>
      <c r="B476" s="287" t="s">
        <v>46</v>
      </c>
      <c r="D476" s="258" t="s">
        <v>2222</v>
      </c>
      <c r="E476" t="s">
        <v>2319</v>
      </c>
      <c r="F476" s="75" t="s">
        <v>2320</v>
      </c>
      <c r="J476" s="319" t="str">
        <f>VLOOKUP(K476,PLA_v2025!G:H,2,FALSE)</f>
        <v>03.4.2</v>
      </c>
      <c r="K476" s="302" t="s">
        <v>498</v>
      </c>
      <c r="L476" s="17"/>
    </row>
    <row r="477" spans="1:12" ht="29">
      <c r="A477" s="17">
        <v>476</v>
      </c>
      <c r="B477" s="287" t="s">
        <v>46</v>
      </c>
      <c r="D477" s="258" t="s">
        <v>2222</v>
      </c>
      <c r="E477" t="s">
        <v>2321</v>
      </c>
      <c r="F477" s="75" t="s">
        <v>2322</v>
      </c>
      <c r="G477" s="1" t="s">
        <v>1509</v>
      </c>
      <c r="J477" s="319" t="str">
        <f>VLOOKUP(K477,PLA_v2025!G:H,2,FALSE)</f>
        <v>01.1.1</v>
      </c>
      <c r="K477" s="302" t="s">
        <v>296</v>
      </c>
      <c r="L477" s="8" t="s">
        <v>299</v>
      </c>
    </row>
    <row r="478" spans="1:12" ht="43.5">
      <c r="A478" s="17">
        <v>477</v>
      </c>
      <c r="B478" s="287" t="s">
        <v>46</v>
      </c>
      <c r="D478" s="258" t="s">
        <v>2222</v>
      </c>
      <c r="E478" t="s">
        <v>2323</v>
      </c>
      <c r="F478" s="75" t="s">
        <v>2324</v>
      </c>
      <c r="G478" s="1" t="s">
        <v>1516</v>
      </c>
      <c r="H478" s="233" t="s">
        <v>1517</v>
      </c>
      <c r="J478" s="319"/>
    </row>
    <row r="479" spans="1:12" ht="29">
      <c r="A479" s="17">
        <v>478</v>
      </c>
      <c r="B479" s="287" t="s">
        <v>46</v>
      </c>
      <c r="D479" s="258" t="s">
        <v>2222</v>
      </c>
      <c r="E479" t="s">
        <v>2325</v>
      </c>
      <c r="F479" s="75" t="s">
        <v>2326</v>
      </c>
      <c r="G479" s="1" t="s">
        <v>1614</v>
      </c>
      <c r="J479" s="319" t="str">
        <f>VLOOKUP(K479,PLA_v2025!G:H,2,FALSE)</f>
        <v>01.3.7</v>
      </c>
      <c r="K479" s="299" t="s">
        <v>387</v>
      </c>
      <c r="L479" s="290"/>
    </row>
    <row r="480" spans="1:12">
      <c r="A480" s="17">
        <v>479</v>
      </c>
      <c r="B480" s="287" t="s">
        <v>46</v>
      </c>
      <c r="D480" s="258" t="s">
        <v>2222</v>
      </c>
      <c r="E480" t="s">
        <v>2327</v>
      </c>
      <c r="F480" s="75" t="s">
        <v>2328</v>
      </c>
      <c r="G480" s="1" t="s">
        <v>1516</v>
      </c>
      <c r="H480" s="233" t="s">
        <v>1517</v>
      </c>
      <c r="J480" s="319"/>
      <c r="K480" s="299"/>
      <c r="L480" s="290"/>
    </row>
    <row r="481" spans="1:14" ht="43.5">
      <c r="A481" s="17">
        <v>480</v>
      </c>
      <c r="B481" s="287" t="s">
        <v>46</v>
      </c>
      <c r="D481" s="258" t="s">
        <v>2222</v>
      </c>
      <c r="E481" t="s">
        <v>2329</v>
      </c>
      <c r="F481" s="75" t="s">
        <v>2330</v>
      </c>
      <c r="G481" s="1" t="s">
        <v>1614</v>
      </c>
      <c r="J481" s="319" t="str">
        <f>VLOOKUP(K481,PLA_v2025!G:H,2,FALSE)</f>
        <v>01.1.1</v>
      </c>
      <c r="K481" s="302" t="s">
        <v>296</v>
      </c>
      <c r="L481" s="8" t="s">
        <v>299</v>
      </c>
    </row>
    <row r="482" spans="1:14" ht="43.5">
      <c r="A482" s="17">
        <v>481</v>
      </c>
      <c r="B482" s="287" t="s">
        <v>46</v>
      </c>
      <c r="D482" s="258" t="s">
        <v>2222</v>
      </c>
      <c r="E482" t="s">
        <v>2331</v>
      </c>
      <c r="F482" s="75" t="s">
        <v>2332</v>
      </c>
      <c r="G482" s="1" t="s">
        <v>1614</v>
      </c>
      <c r="J482" s="319" t="str">
        <f>VLOOKUP(K482,PLA_v2025!G:H,2,FALSE)</f>
        <v>08.4.2</v>
      </c>
      <c r="K482" s="302" t="s">
        <v>820</v>
      </c>
      <c r="L482" s="17"/>
    </row>
    <row r="483" spans="1:14" ht="58">
      <c r="A483" s="17">
        <v>482</v>
      </c>
      <c r="B483" s="287" t="s">
        <v>46</v>
      </c>
      <c r="D483" s="258" t="s">
        <v>2222</v>
      </c>
      <c r="E483" t="s">
        <v>2333</v>
      </c>
      <c r="F483" s="75" t="s">
        <v>2334</v>
      </c>
      <c r="G483" s="1" t="s">
        <v>1614</v>
      </c>
      <c r="J483" s="319" t="str">
        <f>VLOOKUP(K483,PLA_v2025!G:H,2,FALSE)</f>
        <v>08.1.1</v>
      </c>
      <c r="K483" s="302" t="s">
        <v>746</v>
      </c>
      <c r="L483" s="302" t="s">
        <v>1927</v>
      </c>
    </row>
    <row r="484" spans="1:14">
      <c r="A484" s="17">
        <v>483</v>
      </c>
      <c r="B484" s="287" t="s">
        <v>46</v>
      </c>
      <c r="D484" s="258" t="s">
        <v>2222</v>
      </c>
      <c r="E484" t="s">
        <v>2335</v>
      </c>
      <c r="F484" s="75" t="s">
        <v>2336</v>
      </c>
      <c r="G484" s="1" t="s">
        <v>1516</v>
      </c>
      <c r="H484" s="233" t="s">
        <v>1517</v>
      </c>
      <c r="J484" s="298"/>
      <c r="K484" s="302"/>
    </row>
    <row r="485" spans="1:14" ht="43.5">
      <c r="A485" s="17">
        <v>484</v>
      </c>
      <c r="B485" s="287" t="s">
        <v>46</v>
      </c>
      <c r="D485" s="258" t="s">
        <v>2222</v>
      </c>
      <c r="E485" t="s">
        <v>2337</v>
      </c>
      <c r="F485" s="75" t="s">
        <v>2338</v>
      </c>
      <c r="G485" s="1" t="s">
        <v>1516</v>
      </c>
      <c r="H485" s="233" t="s">
        <v>1517</v>
      </c>
      <c r="J485" s="298"/>
      <c r="K485" s="302"/>
      <c r="L485" s="302"/>
    </row>
    <row r="486" spans="1:14" ht="58">
      <c r="A486" s="17">
        <v>485</v>
      </c>
      <c r="B486" s="287" t="s">
        <v>46</v>
      </c>
      <c r="D486" s="258" t="s">
        <v>2222</v>
      </c>
      <c r="E486" t="s">
        <v>2339</v>
      </c>
      <c r="F486" s="75" t="s">
        <v>2340</v>
      </c>
      <c r="G486" s="1" t="s">
        <v>290</v>
      </c>
      <c r="J486" s="319" t="str">
        <f>VLOOKUP(K486,PLA_v2025!G:H,2,FALSE)</f>
        <v>10.1.2</v>
      </c>
      <c r="K486" s="302" t="s">
        <v>865</v>
      </c>
    </row>
    <row r="487" spans="1:14" ht="58">
      <c r="A487" s="17">
        <v>486</v>
      </c>
      <c r="B487" s="287" t="s">
        <v>46</v>
      </c>
      <c r="D487" s="258" t="s">
        <v>2222</v>
      </c>
      <c r="E487" t="s">
        <v>2341</v>
      </c>
      <c r="F487" s="75" t="s">
        <v>2342</v>
      </c>
      <c r="G487" s="1" t="s">
        <v>290</v>
      </c>
      <c r="J487" s="319" t="str">
        <f>VLOOKUP(K487,PLA_v2025!G:H,2,FALSE)</f>
        <v>10.1.2</v>
      </c>
      <c r="K487" s="302" t="s">
        <v>865</v>
      </c>
    </row>
    <row r="488" spans="1:14" ht="43.5">
      <c r="A488" s="17">
        <v>487</v>
      </c>
      <c r="B488" s="287" t="s">
        <v>46</v>
      </c>
      <c r="D488" s="258" t="s">
        <v>2222</v>
      </c>
      <c r="E488" t="s">
        <v>2343</v>
      </c>
      <c r="F488" s="75" t="s">
        <v>2344</v>
      </c>
      <c r="G488" s="1" t="s">
        <v>290</v>
      </c>
      <c r="J488" s="319" t="str">
        <f>VLOOKUP(K488,PLA_v2025!G:H,2,FALSE)</f>
        <v>08.4.2</v>
      </c>
      <c r="K488" s="302" t="s">
        <v>820</v>
      </c>
      <c r="L488" s="290"/>
      <c r="M488" s="307"/>
      <c r="N488" s="302"/>
    </row>
    <row r="489" spans="1:14" ht="43.5">
      <c r="A489" s="17">
        <v>488</v>
      </c>
      <c r="B489" s="287" t="s">
        <v>46</v>
      </c>
      <c r="D489" s="258" t="s">
        <v>2222</v>
      </c>
      <c r="E489" t="s">
        <v>2345</v>
      </c>
      <c r="F489" s="75" t="s">
        <v>2346</v>
      </c>
      <c r="G489" s="1" t="s">
        <v>1614</v>
      </c>
      <c r="J489" s="319" t="str">
        <f>VLOOKUP(K489,PLA_v2025!G:H,2,FALSE)</f>
        <v>01.4.2</v>
      </c>
      <c r="K489" s="302" t="s">
        <v>398</v>
      </c>
      <c r="L489" s="290"/>
      <c r="M489" s="307"/>
      <c r="N489" s="302"/>
    </row>
    <row r="490" spans="1:14" ht="29">
      <c r="A490" s="17">
        <v>489</v>
      </c>
      <c r="B490" s="287" t="s">
        <v>46</v>
      </c>
      <c r="D490" s="258" t="s">
        <v>2222</v>
      </c>
      <c r="E490" t="s">
        <v>2347</v>
      </c>
      <c r="F490" s="75" t="s">
        <v>2348</v>
      </c>
      <c r="G490" s="1" t="s">
        <v>1516</v>
      </c>
      <c r="H490" s="233" t="s">
        <v>1517</v>
      </c>
      <c r="J490" s="319"/>
      <c r="K490" s="302"/>
    </row>
    <row r="491" spans="1:14" ht="29">
      <c r="A491" s="17">
        <v>490</v>
      </c>
      <c r="B491" s="287" t="s">
        <v>46</v>
      </c>
      <c r="D491" s="258" t="s">
        <v>2222</v>
      </c>
      <c r="E491" t="s">
        <v>2349</v>
      </c>
      <c r="F491" s="75" t="s">
        <v>2350</v>
      </c>
      <c r="G491" s="1" t="s">
        <v>1614</v>
      </c>
      <c r="J491" s="319" t="str">
        <f>VLOOKUP(K491,PLA_v2025!G:H,2,FALSE)</f>
        <v>06.3.2</v>
      </c>
      <c r="K491" s="302" t="s">
        <v>670</v>
      </c>
    </row>
    <row r="492" spans="1:14" ht="29">
      <c r="A492" s="17">
        <v>491</v>
      </c>
      <c r="B492" s="287" t="s">
        <v>46</v>
      </c>
      <c r="D492" s="258" t="s">
        <v>2222</v>
      </c>
      <c r="E492" t="s">
        <v>2351</v>
      </c>
      <c r="F492" s="75" t="s">
        <v>2352</v>
      </c>
      <c r="G492" s="1" t="s">
        <v>1509</v>
      </c>
      <c r="J492" s="319" t="str">
        <f>VLOOKUP(K492,PLA_v2025!G:H,2,FALSE)</f>
        <v>06.3.2</v>
      </c>
      <c r="K492" s="302" t="s">
        <v>670</v>
      </c>
    </row>
    <row r="493" spans="1:14" ht="43.5">
      <c r="A493" s="17">
        <v>492</v>
      </c>
      <c r="B493" s="287" t="s">
        <v>46</v>
      </c>
      <c r="D493" s="258" t="s">
        <v>2222</v>
      </c>
      <c r="E493" t="s">
        <v>2353</v>
      </c>
      <c r="F493" s="75" t="s">
        <v>2354</v>
      </c>
      <c r="G493" s="1" t="s">
        <v>1614</v>
      </c>
      <c r="J493" s="319" t="str">
        <f>VLOOKUP(K493,PLA_v2025!G:H,2,FALSE)</f>
        <v>08.4.2</v>
      </c>
      <c r="K493" s="302" t="s">
        <v>820</v>
      </c>
    </row>
    <row r="494" spans="1:14" ht="58">
      <c r="A494" s="17">
        <v>493</v>
      </c>
      <c r="B494" s="287" t="s">
        <v>46</v>
      </c>
      <c r="D494" s="258" t="s">
        <v>2222</v>
      </c>
      <c r="E494" t="s">
        <v>2355</v>
      </c>
      <c r="F494" s="75" t="s">
        <v>2356</v>
      </c>
      <c r="G494" s="1" t="s">
        <v>1516</v>
      </c>
      <c r="H494" s="233" t="s">
        <v>1517</v>
      </c>
      <c r="J494" s="319"/>
      <c r="K494" s="302"/>
    </row>
    <row r="495" spans="1:14" ht="43.5">
      <c r="A495" s="17">
        <v>494</v>
      </c>
      <c r="B495" s="287" t="s">
        <v>46</v>
      </c>
      <c r="D495" s="258" t="s">
        <v>2222</v>
      </c>
      <c r="E495" t="s">
        <v>2357</v>
      </c>
      <c r="F495" s="75" t="s">
        <v>2358</v>
      </c>
      <c r="G495" s="1" t="s">
        <v>1614</v>
      </c>
      <c r="J495" s="319" t="str">
        <f>VLOOKUP(K495,PLA_v2025!G:H,2,FALSE)</f>
        <v>06.2.2</v>
      </c>
      <c r="K495" s="302" t="s">
        <v>636</v>
      </c>
      <c r="L495" s="8" t="s">
        <v>1634</v>
      </c>
    </row>
    <row r="496" spans="1:14" ht="29">
      <c r="A496" s="17">
        <v>495</v>
      </c>
      <c r="B496" s="287" t="s">
        <v>46</v>
      </c>
      <c r="D496" s="258" t="s">
        <v>2222</v>
      </c>
      <c r="E496" t="s">
        <v>2359</v>
      </c>
      <c r="F496" s="75" t="s">
        <v>2360</v>
      </c>
      <c r="G496" s="1" t="s">
        <v>1516</v>
      </c>
      <c r="H496" s="233" t="s">
        <v>1517</v>
      </c>
      <c r="J496" s="319"/>
    </row>
    <row r="497" spans="1:12" ht="43.5">
      <c r="A497" s="17">
        <v>496</v>
      </c>
      <c r="B497" s="287" t="s">
        <v>46</v>
      </c>
      <c r="D497" s="258" t="s">
        <v>2222</v>
      </c>
      <c r="E497" t="s">
        <v>2361</v>
      </c>
      <c r="F497" s="75" t="s">
        <v>2362</v>
      </c>
      <c r="G497" s="1" t="s">
        <v>1509</v>
      </c>
      <c r="J497" s="319" t="str">
        <f>VLOOKUP(K497,PLA_v2025!G:H,2,FALSE)</f>
        <v>06.2.2</v>
      </c>
      <c r="K497" s="302" t="s">
        <v>636</v>
      </c>
      <c r="L497" s="302" t="s">
        <v>1634</v>
      </c>
    </row>
    <row r="498" spans="1:12" ht="43.5">
      <c r="A498" s="17">
        <v>497</v>
      </c>
      <c r="B498" s="287" t="s">
        <v>46</v>
      </c>
      <c r="D498" s="258" t="s">
        <v>2222</v>
      </c>
      <c r="E498" t="s">
        <v>2363</v>
      </c>
      <c r="F498" s="75" t="s">
        <v>2364</v>
      </c>
      <c r="G498" s="1" t="s">
        <v>1509</v>
      </c>
      <c r="J498" s="319" t="str">
        <f>VLOOKUP(K498,PLA_v2025!G:H,2,FALSE)</f>
        <v>06.2.2</v>
      </c>
      <c r="K498" s="302" t="s">
        <v>636</v>
      </c>
      <c r="L498" s="8" t="s">
        <v>1634</v>
      </c>
    </row>
    <row r="499" spans="1:12" ht="43.5">
      <c r="A499" s="17">
        <v>498</v>
      </c>
      <c r="B499" s="287" t="s">
        <v>46</v>
      </c>
      <c r="D499" s="258" t="s">
        <v>2222</v>
      </c>
      <c r="E499" t="s">
        <v>2365</v>
      </c>
      <c r="F499" s="75" t="s">
        <v>2366</v>
      </c>
      <c r="G499" s="1" t="s">
        <v>1509</v>
      </c>
      <c r="J499" s="319" t="str">
        <f>VLOOKUP(K499,PLA_v2025!G:H,2,FALSE)</f>
        <v>06.2.2</v>
      </c>
      <c r="K499" s="302" t="s">
        <v>636</v>
      </c>
      <c r="L499" s="302" t="s">
        <v>1634</v>
      </c>
    </row>
    <row r="500" spans="1:12" ht="43.5">
      <c r="A500" s="17">
        <v>499</v>
      </c>
      <c r="B500" s="287" t="s">
        <v>46</v>
      </c>
      <c r="D500" s="258" t="s">
        <v>2222</v>
      </c>
      <c r="E500" t="s">
        <v>2367</v>
      </c>
      <c r="F500" s="75" t="s">
        <v>2368</v>
      </c>
      <c r="G500" s="1" t="s">
        <v>1509</v>
      </c>
      <c r="J500" s="319" t="str">
        <f>VLOOKUP(K500,PLA_v2025!G:H,2,FALSE)</f>
        <v>06.2.2</v>
      </c>
      <c r="K500" s="302" t="s">
        <v>636</v>
      </c>
      <c r="L500" s="302" t="s">
        <v>1634</v>
      </c>
    </row>
    <row r="501" spans="1:12" ht="43.5">
      <c r="A501" s="17">
        <v>500</v>
      </c>
      <c r="B501" s="287" t="s">
        <v>46</v>
      </c>
      <c r="D501" s="258" t="s">
        <v>2222</v>
      </c>
      <c r="E501" t="s">
        <v>2369</v>
      </c>
      <c r="F501" s="75" t="s">
        <v>2370</v>
      </c>
      <c r="G501" s="1" t="s">
        <v>1614</v>
      </c>
      <c r="J501" s="319" t="str">
        <f>VLOOKUP(K501,PLA_v2025!G:H,2,FALSE)</f>
        <v>01.2.2</v>
      </c>
      <c r="K501" s="302" t="s">
        <v>332</v>
      </c>
    </row>
    <row r="502" spans="1:12" ht="43.5">
      <c r="A502" s="17">
        <v>501</v>
      </c>
      <c r="B502" s="287" t="s">
        <v>46</v>
      </c>
      <c r="D502" s="258" t="s">
        <v>2222</v>
      </c>
      <c r="E502" t="s">
        <v>2371</v>
      </c>
      <c r="F502" s="75" t="s">
        <v>2372</v>
      </c>
      <c r="G502" s="1" t="s">
        <v>1614</v>
      </c>
      <c r="J502" s="319" t="str">
        <f>VLOOKUP(K502,PLA_v2025!G:H,2,FALSE)</f>
        <v>01.2.2</v>
      </c>
      <c r="K502" s="302" t="s">
        <v>332</v>
      </c>
    </row>
    <row r="503" spans="1:12" ht="43.5">
      <c r="A503" s="17">
        <v>502</v>
      </c>
      <c r="B503" s="287" t="s">
        <v>46</v>
      </c>
      <c r="D503" s="258" t="s">
        <v>2222</v>
      </c>
      <c r="E503" t="s">
        <v>2373</v>
      </c>
      <c r="F503" s="75" t="s">
        <v>2374</v>
      </c>
      <c r="G503" s="1" t="s">
        <v>1509</v>
      </c>
      <c r="J503" s="319" t="str">
        <f>VLOOKUP(K503,PLA_v2025!G:H,2,FALSE)</f>
        <v>01.2.3</v>
      </c>
      <c r="K503" s="302" t="s">
        <v>337</v>
      </c>
    </row>
    <row r="504" spans="1:12" ht="43.5">
      <c r="A504" s="17">
        <v>503</v>
      </c>
      <c r="B504" s="287" t="s">
        <v>46</v>
      </c>
      <c r="D504" s="258" t="s">
        <v>2222</v>
      </c>
      <c r="E504" t="s">
        <v>2375</v>
      </c>
      <c r="F504" s="75" t="s">
        <v>2376</v>
      </c>
      <c r="G504" s="1" t="s">
        <v>1516</v>
      </c>
      <c r="H504" s="233" t="s">
        <v>1517</v>
      </c>
      <c r="J504" s="319"/>
      <c r="K504" s="3" t="s">
        <v>1828</v>
      </c>
    </row>
    <row r="505" spans="1:12" ht="43.5">
      <c r="A505" s="17">
        <v>504</v>
      </c>
      <c r="B505" s="287" t="s">
        <v>46</v>
      </c>
      <c r="D505" s="258" t="s">
        <v>2222</v>
      </c>
      <c r="E505" t="s">
        <v>2377</v>
      </c>
      <c r="F505" s="75" t="s">
        <v>2378</v>
      </c>
      <c r="G505" s="1" t="s">
        <v>1625</v>
      </c>
      <c r="J505" s="319" t="str">
        <f>VLOOKUP(K505,PLA_v2025!G:H,2,FALSE)</f>
        <v>06.2.5</v>
      </c>
      <c r="K505" s="302" t="s">
        <v>652</v>
      </c>
    </row>
    <row r="506" spans="1:12" ht="43.5">
      <c r="A506" s="17">
        <v>505</v>
      </c>
      <c r="B506" s="287" t="s">
        <v>46</v>
      </c>
      <c r="D506" s="258" t="s">
        <v>2222</v>
      </c>
      <c r="E506" t="s">
        <v>2379</v>
      </c>
      <c r="F506" s="75" t="s">
        <v>2380</v>
      </c>
      <c r="G506" s="1" t="s">
        <v>1516</v>
      </c>
      <c r="H506" s="233" t="s">
        <v>1517</v>
      </c>
      <c r="J506" s="319"/>
      <c r="K506" s="3" t="s">
        <v>1828</v>
      </c>
    </row>
    <row r="507" spans="1:12" ht="43.5">
      <c r="A507" s="17">
        <v>506</v>
      </c>
      <c r="B507" s="287" t="s">
        <v>46</v>
      </c>
      <c r="D507" s="258" t="s">
        <v>2222</v>
      </c>
      <c r="E507" t="s">
        <v>2381</v>
      </c>
      <c r="F507" s="75" t="s">
        <v>2382</v>
      </c>
      <c r="G507" s="1" t="s">
        <v>1614</v>
      </c>
      <c r="J507" s="319" t="str">
        <f>VLOOKUP(K507,PLA_v2025!G:H,2,FALSE)</f>
        <v>03.1.3</v>
      </c>
      <c r="K507" s="302" t="s">
        <v>450</v>
      </c>
      <c r="L507" s="302" t="s">
        <v>451</v>
      </c>
    </row>
    <row r="508" spans="1:12" ht="43.5">
      <c r="A508" s="17">
        <v>507</v>
      </c>
      <c r="B508" s="287" t="s">
        <v>46</v>
      </c>
      <c r="D508" s="258" t="s">
        <v>2222</v>
      </c>
      <c r="E508" t="s">
        <v>2383</v>
      </c>
      <c r="F508" s="75" t="s">
        <v>2384</v>
      </c>
      <c r="G508" s="1" t="s">
        <v>1509</v>
      </c>
      <c r="J508" s="319" t="str">
        <f>VLOOKUP(K508,PLA_v2025!G:H,2,FALSE)</f>
        <v>06.1.2</v>
      </c>
      <c r="K508" s="302" t="s">
        <v>623</v>
      </c>
    </row>
    <row r="509" spans="1:12" ht="72.5">
      <c r="A509" s="17">
        <v>508</v>
      </c>
      <c r="B509" s="287" t="s">
        <v>46</v>
      </c>
      <c r="D509" s="258" t="s">
        <v>2222</v>
      </c>
      <c r="E509" t="s">
        <v>2385</v>
      </c>
      <c r="F509" s="75" t="s">
        <v>2386</v>
      </c>
      <c r="G509" s="1" t="s">
        <v>1516</v>
      </c>
      <c r="H509" s="233" t="s">
        <v>1517</v>
      </c>
      <c r="J509" s="319"/>
      <c r="K509" s="3" t="s">
        <v>1828</v>
      </c>
    </row>
    <row r="510" spans="1:12" ht="43.5">
      <c r="A510" s="17">
        <v>509</v>
      </c>
      <c r="B510" s="287" t="s">
        <v>46</v>
      </c>
      <c r="D510" s="258" t="s">
        <v>2222</v>
      </c>
      <c r="E510" t="s">
        <v>2387</v>
      </c>
      <c r="F510" s="75" t="s">
        <v>2388</v>
      </c>
      <c r="J510" s="319" t="str">
        <f>VLOOKUP(K510,PLA_v2025!G:H,2,FALSE)</f>
        <v>01.1.1</v>
      </c>
      <c r="K510" s="302" t="s">
        <v>296</v>
      </c>
      <c r="L510" s="302" t="s">
        <v>299</v>
      </c>
    </row>
    <row r="511" spans="1:12" ht="58">
      <c r="A511" s="17">
        <v>510</v>
      </c>
      <c r="B511" s="287" t="s">
        <v>46</v>
      </c>
      <c r="D511" s="258" t="s">
        <v>2222</v>
      </c>
      <c r="E511" t="s">
        <v>2389</v>
      </c>
      <c r="F511" s="75" t="s">
        <v>2390</v>
      </c>
      <c r="J511" s="319" t="str">
        <f>VLOOKUP(K511,PLA_v2025!G:H,2,FALSE)</f>
        <v>03.1.1</v>
      </c>
      <c r="K511" s="302" t="s">
        <v>446</v>
      </c>
    </row>
    <row r="512" spans="1:12" ht="43.5">
      <c r="A512" s="17">
        <v>511</v>
      </c>
      <c r="B512" s="287" t="s">
        <v>46</v>
      </c>
      <c r="D512" s="258" t="s">
        <v>2222</v>
      </c>
      <c r="E512" t="s">
        <v>2391</v>
      </c>
      <c r="F512" s="75" t="s">
        <v>2392</v>
      </c>
      <c r="G512" s="1" t="s">
        <v>1614</v>
      </c>
      <c r="J512" s="319" t="str">
        <f>VLOOKUP(K512,PLA_v2025!G:H,2,FALSE)</f>
        <v>08.1.3</v>
      </c>
      <c r="K512" s="302" t="s">
        <v>763</v>
      </c>
      <c r="L512" s="302" t="s">
        <v>764</v>
      </c>
    </row>
    <row r="513" spans="1:14" ht="29">
      <c r="A513" s="17">
        <v>512</v>
      </c>
      <c r="B513" s="287" t="s">
        <v>46</v>
      </c>
      <c r="D513" s="258" t="s">
        <v>2222</v>
      </c>
      <c r="E513" t="s">
        <v>2393</v>
      </c>
      <c r="F513" s="75" t="s">
        <v>2394</v>
      </c>
      <c r="G513" s="1" t="s">
        <v>1516</v>
      </c>
      <c r="H513" s="233" t="s">
        <v>1517</v>
      </c>
      <c r="J513" s="319"/>
      <c r="K513" s="3" t="s">
        <v>1828</v>
      </c>
    </row>
    <row r="514" spans="1:14" ht="43.5">
      <c r="A514" s="17">
        <v>513</v>
      </c>
      <c r="B514" s="287" t="s">
        <v>46</v>
      </c>
      <c r="D514" s="258" t="s">
        <v>2222</v>
      </c>
      <c r="E514" t="s">
        <v>2395</v>
      </c>
      <c r="F514" s="75" t="s">
        <v>2396</v>
      </c>
      <c r="G514" s="1" t="s">
        <v>1509</v>
      </c>
      <c r="J514" s="319" t="str">
        <f>VLOOKUP(K514,PLA_v2025!G:H,2,FALSE)</f>
        <v>01.3.5</v>
      </c>
      <c r="K514" s="302" t="s">
        <v>379</v>
      </c>
    </row>
    <row r="515" spans="1:14" ht="29">
      <c r="A515" s="17">
        <v>514</v>
      </c>
      <c r="B515" s="287" t="s">
        <v>46</v>
      </c>
      <c r="D515" s="258" t="s">
        <v>2222</v>
      </c>
      <c r="E515" t="s">
        <v>2397</v>
      </c>
      <c r="F515" s="237" t="s">
        <v>2398</v>
      </c>
      <c r="G515" s="1" t="s">
        <v>1614</v>
      </c>
      <c r="J515" s="319" t="str">
        <f>VLOOKUP(K515,PLA_v2025!G:H,2,FALSE)</f>
        <v>01.3.7</v>
      </c>
      <c r="K515" s="299" t="s">
        <v>387</v>
      </c>
      <c r="L515" s="290"/>
    </row>
    <row r="516" spans="1:14">
      <c r="A516" s="17">
        <v>515</v>
      </c>
      <c r="B516" s="287" t="s">
        <v>46</v>
      </c>
      <c r="D516" s="258" t="s">
        <v>2222</v>
      </c>
      <c r="E516" t="s">
        <v>2399</v>
      </c>
      <c r="F516" s="237" t="s">
        <v>2400</v>
      </c>
      <c r="G516" s="1" t="s">
        <v>1516</v>
      </c>
      <c r="H516" s="233" t="s">
        <v>1517</v>
      </c>
      <c r="J516" s="319"/>
      <c r="K516" s="3" t="s">
        <v>1828</v>
      </c>
    </row>
    <row r="517" spans="1:14" ht="43.5">
      <c r="A517" s="17">
        <v>516</v>
      </c>
      <c r="B517" s="287" t="s">
        <v>46</v>
      </c>
      <c r="D517" s="258" t="s">
        <v>2222</v>
      </c>
      <c r="E517" t="s">
        <v>2401</v>
      </c>
      <c r="F517" s="75" t="s">
        <v>2402</v>
      </c>
      <c r="G517" s="1" t="s">
        <v>1614</v>
      </c>
      <c r="J517" s="319" t="str">
        <f>VLOOKUP(K517,PLA_v2025!G:H,2,FALSE)</f>
        <v>08.1.3</v>
      </c>
      <c r="K517" s="302" t="s">
        <v>763</v>
      </c>
      <c r="L517" s="302" t="s">
        <v>764</v>
      </c>
      <c r="M517" s="308"/>
      <c r="N517" s="299"/>
    </row>
    <row r="518" spans="1:14" ht="29">
      <c r="A518" s="17">
        <v>517</v>
      </c>
      <c r="B518" s="287" t="s">
        <v>46</v>
      </c>
      <c r="D518" s="258" t="s">
        <v>2222</v>
      </c>
      <c r="E518" t="s">
        <v>2403</v>
      </c>
      <c r="F518" s="75" t="s">
        <v>2404</v>
      </c>
      <c r="G518" s="1" t="s">
        <v>1509</v>
      </c>
      <c r="J518" s="319" t="str">
        <f>VLOOKUP(K518,PLA_v2025!G:H,2,FALSE)</f>
        <v>01.3.5</v>
      </c>
      <c r="K518" s="302" t="s">
        <v>379</v>
      </c>
    </row>
    <row r="519" spans="1:14" ht="43.5">
      <c r="A519" s="17">
        <v>518</v>
      </c>
      <c r="B519" s="287" t="s">
        <v>46</v>
      </c>
      <c r="D519" s="258" t="s">
        <v>2222</v>
      </c>
      <c r="E519" t="s">
        <v>2405</v>
      </c>
      <c r="F519" s="75" t="s">
        <v>2406</v>
      </c>
      <c r="G519" s="1" t="s">
        <v>1614</v>
      </c>
      <c r="J519" s="319" t="str">
        <f>VLOOKUP(K519,PLA_v2025!G:H,2,FALSE)</f>
        <v>01.2.2</v>
      </c>
      <c r="K519" s="302" t="s">
        <v>332</v>
      </c>
    </row>
    <row r="520" spans="1:14" ht="43.5">
      <c r="A520" s="17">
        <v>519</v>
      </c>
      <c r="B520" s="287" t="s">
        <v>46</v>
      </c>
      <c r="D520" s="258" t="s">
        <v>2222</v>
      </c>
      <c r="E520" t="s">
        <v>2407</v>
      </c>
      <c r="F520" s="75" t="s">
        <v>2408</v>
      </c>
      <c r="G520" s="1" t="s">
        <v>1614</v>
      </c>
      <c r="J520" s="319" t="str">
        <f>VLOOKUP(K520,PLA_v2025!G:H,2,FALSE)</f>
        <v>08.1.1</v>
      </c>
      <c r="K520" s="302" t="s">
        <v>746</v>
      </c>
      <c r="L520" s="302" t="s">
        <v>1927</v>
      </c>
    </row>
    <row r="521" spans="1:14" ht="29">
      <c r="A521" s="17">
        <v>520</v>
      </c>
      <c r="B521" s="287" t="s">
        <v>46</v>
      </c>
      <c r="D521" s="258" t="s">
        <v>2222</v>
      </c>
      <c r="E521" t="s">
        <v>2409</v>
      </c>
      <c r="F521" s="237" t="s">
        <v>2410</v>
      </c>
      <c r="J521" s="319" t="str">
        <f>VLOOKUP(K521,PLA_v2025!G:H,2,FALSE)</f>
        <v>01.3.5</v>
      </c>
      <c r="K521" s="302" t="s">
        <v>379</v>
      </c>
    </row>
    <row r="522" spans="1:14" ht="58">
      <c r="A522" s="17">
        <v>521</v>
      </c>
      <c r="B522" s="287" t="s">
        <v>46</v>
      </c>
      <c r="D522" s="258" t="s">
        <v>2222</v>
      </c>
      <c r="E522" t="s">
        <v>2411</v>
      </c>
      <c r="F522" s="75" t="s">
        <v>2412</v>
      </c>
      <c r="J522" s="319" t="str">
        <f>VLOOKUP(K522,PLA_v2025!G:H,2,FALSE)</f>
        <v>01.2.3</v>
      </c>
      <c r="K522" s="302" t="s">
        <v>337</v>
      </c>
    </row>
    <row r="523" spans="1:14" ht="43.5">
      <c r="A523" s="17">
        <v>522</v>
      </c>
      <c r="B523" s="287" t="s">
        <v>46</v>
      </c>
      <c r="D523" s="258" t="s">
        <v>2222</v>
      </c>
      <c r="E523" t="s">
        <v>2413</v>
      </c>
      <c r="F523" s="75" t="s">
        <v>2414</v>
      </c>
      <c r="G523" s="1" t="s">
        <v>1516</v>
      </c>
      <c r="H523" s="233" t="s">
        <v>1517</v>
      </c>
      <c r="J523" s="319"/>
    </row>
    <row r="524" spans="1:14">
      <c r="A524" s="17">
        <v>523</v>
      </c>
      <c r="B524" s="287" t="s">
        <v>46</v>
      </c>
      <c r="D524" s="258" t="s">
        <v>2222</v>
      </c>
      <c r="E524" t="s">
        <v>2415</v>
      </c>
      <c r="F524" s="75" t="s">
        <v>2416</v>
      </c>
      <c r="G524" s="1" t="s">
        <v>1516</v>
      </c>
      <c r="H524" s="233" t="s">
        <v>1517</v>
      </c>
      <c r="J524" s="319"/>
      <c r="K524" s="302"/>
    </row>
    <row r="525" spans="1:14" ht="29">
      <c r="A525" s="17">
        <v>524</v>
      </c>
      <c r="B525" s="287" t="s">
        <v>46</v>
      </c>
      <c r="D525" s="258" t="s">
        <v>2222</v>
      </c>
      <c r="E525" t="s">
        <v>2417</v>
      </c>
      <c r="F525" s="75" t="s">
        <v>2418</v>
      </c>
      <c r="J525" s="319" t="str">
        <f>VLOOKUP(K525,PLA_v2025!G:H,2,FALSE)</f>
        <v>11.8.2</v>
      </c>
      <c r="K525" s="302" t="s">
        <v>994</v>
      </c>
    </row>
    <row r="526" spans="1:14" ht="29">
      <c r="A526" s="17">
        <v>525</v>
      </c>
      <c r="B526" s="287" t="s">
        <v>46</v>
      </c>
      <c r="D526" s="258" t="s">
        <v>2222</v>
      </c>
      <c r="E526" t="s">
        <v>2419</v>
      </c>
      <c r="F526" s="237" t="s">
        <v>2420</v>
      </c>
      <c r="G526" s="1" t="s">
        <v>1516</v>
      </c>
      <c r="H526" s="233" t="s">
        <v>1517</v>
      </c>
      <c r="J526" s="319"/>
    </row>
    <row r="527" spans="1:14" ht="87">
      <c r="A527" s="17">
        <v>526</v>
      </c>
      <c r="B527" s="309" t="s">
        <v>2421</v>
      </c>
      <c r="C527" s="218" t="s">
        <v>2422</v>
      </c>
      <c r="D527" s="310" t="s">
        <v>2423</v>
      </c>
      <c r="E527"/>
      <c r="F527" s="290" t="s">
        <v>2424</v>
      </c>
      <c r="I527" s="325"/>
      <c r="J527" s="319" t="str">
        <f>VLOOKUP(K527,PLA_v2025!G:H,2,FALSE)</f>
        <v>12.1.1</v>
      </c>
      <c r="K527" s="302" t="s">
        <v>1005</v>
      </c>
      <c r="L527" s="17"/>
      <c r="M527"/>
      <c r="N527"/>
    </row>
    <row r="528" spans="1:14" ht="87">
      <c r="A528" s="17">
        <v>527</v>
      </c>
      <c r="B528" s="309" t="s">
        <v>2421</v>
      </c>
      <c r="C528" s="218" t="s">
        <v>2422</v>
      </c>
      <c r="D528" s="310" t="s">
        <v>2423</v>
      </c>
      <c r="E528"/>
      <c r="F528" s="290" t="s">
        <v>2425</v>
      </c>
      <c r="I528" s="325"/>
      <c r="J528" s="319" t="str">
        <f>VLOOKUP(K528,PLA_v2025!G:H,2,FALSE)</f>
        <v>13.4.1</v>
      </c>
      <c r="K528" s="302" t="s">
        <v>1085</v>
      </c>
      <c r="L528" s="17"/>
      <c r="M528"/>
      <c r="N528"/>
    </row>
    <row r="529" spans="1:14" ht="29">
      <c r="A529" s="17">
        <v>528</v>
      </c>
      <c r="B529" s="309" t="s">
        <v>2421</v>
      </c>
      <c r="C529" s="218" t="s">
        <v>2422</v>
      </c>
      <c r="D529" s="310" t="s">
        <v>2423</v>
      </c>
      <c r="E529"/>
      <c r="F529" s="330" t="s">
        <v>2426</v>
      </c>
      <c r="I529" s="325" t="s">
        <v>2427</v>
      </c>
      <c r="J529" s="319" t="str">
        <f>VLOOKUP(K529,PLA_v2025!G:H,2,FALSE)</f>
        <v>14.3.1</v>
      </c>
      <c r="K529" s="302" t="s">
        <v>1233</v>
      </c>
      <c r="L529" s="17"/>
      <c r="M529"/>
      <c r="N529"/>
    </row>
    <row r="530" spans="1:14" ht="43.5">
      <c r="A530" s="17">
        <v>529</v>
      </c>
      <c r="B530" s="309" t="s">
        <v>2421</v>
      </c>
      <c r="C530" s="218" t="s">
        <v>2422</v>
      </c>
      <c r="D530" s="310" t="s">
        <v>2423</v>
      </c>
      <c r="E530"/>
      <c r="F530" s="290" t="s">
        <v>2428</v>
      </c>
      <c r="I530" s="325"/>
      <c r="J530" s="319" t="str">
        <f>VLOOKUP(K530,PLA_v2025!G:H,2,FALSE)</f>
        <v>06.5.2</v>
      </c>
      <c r="K530" s="302" t="s">
        <v>714</v>
      </c>
      <c r="L530" s="17"/>
      <c r="M530"/>
      <c r="N530"/>
    </row>
    <row r="531" spans="1:14" ht="43.5">
      <c r="A531" s="17">
        <v>530</v>
      </c>
      <c r="B531" s="309" t="s">
        <v>2421</v>
      </c>
      <c r="C531" s="218" t="s">
        <v>2422</v>
      </c>
      <c r="D531" s="310" t="s">
        <v>2423</v>
      </c>
      <c r="E531"/>
      <c r="F531" s="290" t="s">
        <v>2429</v>
      </c>
      <c r="I531" s="325"/>
      <c r="J531" s="319" t="str">
        <f>VLOOKUP(K531,PLA_v2025!G:H,2,FALSE)</f>
        <v>06.5.2</v>
      </c>
      <c r="K531" s="302" t="s">
        <v>714</v>
      </c>
      <c r="L531" s="17"/>
      <c r="M531"/>
      <c r="N531"/>
    </row>
    <row r="532" spans="1:14" ht="29">
      <c r="A532" s="17">
        <v>531</v>
      </c>
      <c r="B532" s="309" t="s">
        <v>2421</v>
      </c>
      <c r="C532" s="218" t="s">
        <v>2422</v>
      </c>
      <c r="D532" s="310" t="s">
        <v>2423</v>
      </c>
      <c r="E532"/>
      <c r="F532" s="290" t="s">
        <v>2430</v>
      </c>
      <c r="I532" s="325"/>
      <c r="J532" s="319" t="str">
        <f>VLOOKUP(K532,PLA_v2025!G:H,2,FALSE)</f>
        <v>14.1.2</v>
      </c>
      <c r="K532" s="302" t="s">
        <v>1216</v>
      </c>
      <c r="L532" s="17"/>
      <c r="M532"/>
      <c r="N532"/>
    </row>
    <row r="533" spans="1:14" ht="29">
      <c r="A533" s="17">
        <v>532</v>
      </c>
      <c r="B533" s="309" t="s">
        <v>2421</v>
      </c>
      <c r="C533" s="218" t="s">
        <v>2422</v>
      </c>
      <c r="D533" s="310" t="s">
        <v>2423</v>
      </c>
      <c r="E533"/>
      <c r="F533" s="290" t="s">
        <v>2431</v>
      </c>
      <c r="I533" s="325"/>
      <c r="J533" s="319" t="str">
        <f>VLOOKUP(K533,PLA_v2025!G:H,2,FALSE)</f>
        <v>16.5.1</v>
      </c>
      <c r="K533" s="302" t="s">
        <v>1334</v>
      </c>
      <c r="L533" s="17"/>
      <c r="M533"/>
      <c r="N533"/>
    </row>
    <row r="534" spans="1:14" ht="43.5">
      <c r="A534" s="17">
        <v>533</v>
      </c>
      <c r="B534" s="309" t="s">
        <v>2421</v>
      </c>
      <c r="C534" s="218" t="s">
        <v>2422</v>
      </c>
      <c r="D534" s="310" t="s">
        <v>2423</v>
      </c>
      <c r="E534"/>
      <c r="F534" s="290" t="s">
        <v>2432</v>
      </c>
      <c r="I534" s="325"/>
      <c r="J534" s="319" t="str">
        <f>VLOOKUP(K534,PLA_v2025!G:H,2,FALSE)</f>
        <v>14.1.2</v>
      </c>
      <c r="K534" s="302" t="s">
        <v>1216</v>
      </c>
      <c r="L534" s="17"/>
      <c r="M534"/>
      <c r="N534"/>
    </row>
    <row r="535" spans="1:14" ht="29">
      <c r="A535" s="17">
        <v>534</v>
      </c>
      <c r="B535" s="309" t="s">
        <v>2421</v>
      </c>
      <c r="C535" s="218" t="s">
        <v>2422</v>
      </c>
      <c r="D535" s="310" t="s">
        <v>2423</v>
      </c>
      <c r="E535"/>
      <c r="F535" s="299" t="s">
        <v>2433</v>
      </c>
      <c r="I535" s="325"/>
      <c r="J535" s="319" t="str">
        <f>VLOOKUP(K535,PLA_v2025!G:H,2,FALSE)</f>
        <v>16.5.1</v>
      </c>
      <c r="K535" s="302" t="s">
        <v>1334</v>
      </c>
      <c r="L535" s="17"/>
      <c r="M535"/>
      <c r="N535"/>
    </row>
    <row r="536" spans="1:14" ht="29">
      <c r="A536" s="17">
        <v>535</v>
      </c>
      <c r="B536" s="309" t="s">
        <v>2421</v>
      </c>
      <c r="C536" s="218" t="s">
        <v>2422</v>
      </c>
      <c r="D536" s="310" t="s">
        <v>2423</v>
      </c>
      <c r="E536"/>
      <c r="F536" s="311" t="s">
        <v>2434</v>
      </c>
      <c r="I536" s="325" t="s">
        <v>2427</v>
      </c>
      <c r="J536" s="319" t="str">
        <f>VLOOKUP(K536,PLA_v2025!G:H,2,FALSE)</f>
        <v>16.6.3</v>
      </c>
      <c r="K536" s="302" t="s">
        <v>1345</v>
      </c>
      <c r="L536" s="17"/>
      <c r="M536"/>
      <c r="N536"/>
    </row>
    <row r="537" spans="1:14" ht="58">
      <c r="A537" s="17">
        <v>536</v>
      </c>
      <c r="B537" s="309" t="s">
        <v>2421</v>
      </c>
      <c r="C537" s="218" t="s">
        <v>2422</v>
      </c>
      <c r="D537" s="310" t="s">
        <v>2423</v>
      </c>
      <c r="E537"/>
      <c r="F537" s="311" t="s">
        <v>2435</v>
      </c>
      <c r="I537" s="325" t="s">
        <v>2427</v>
      </c>
      <c r="J537" s="319" t="str">
        <f>VLOOKUP(K537,PLA_v2025!G:H,2,FALSE)</f>
        <v>11.7.2</v>
      </c>
      <c r="K537" s="302" t="s">
        <v>979</v>
      </c>
      <c r="L537" s="17"/>
      <c r="M537"/>
      <c r="N537"/>
    </row>
    <row r="538" spans="1:14" ht="29">
      <c r="A538" s="17">
        <v>537</v>
      </c>
      <c r="B538" s="309" t="s">
        <v>2421</v>
      </c>
      <c r="C538" s="218" t="s">
        <v>2422</v>
      </c>
      <c r="D538" s="310" t="s">
        <v>2423</v>
      </c>
      <c r="E538"/>
      <c r="F538" s="299" t="s">
        <v>2436</v>
      </c>
      <c r="I538" s="325"/>
      <c r="J538" s="319" t="str">
        <f>VLOOKUP(K538,PLA_v2025!G:H,2,FALSE)</f>
        <v>14.1.1</v>
      </c>
      <c r="K538" s="302" t="s">
        <v>1206</v>
      </c>
      <c r="L538" s="17"/>
      <c r="M538"/>
      <c r="N538"/>
    </row>
    <row r="539" spans="1:14" ht="87">
      <c r="A539" s="17">
        <v>538</v>
      </c>
      <c r="B539" s="309" t="s">
        <v>2421</v>
      </c>
      <c r="C539" s="218" t="s">
        <v>2422</v>
      </c>
      <c r="D539" s="310" t="s">
        <v>2423</v>
      </c>
      <c r="E539"/>
      <c r="F539" s="311" t="s">
        <v>2437</v>
      </c>
      <c r="I539" s="325" t="s">
        <v>2427</v>
      </c>
      <c r="J539" s="319" t="str">
        <f>VLOOKUP(K539,PLA_v2025!G:H,2,FALSE)</f>
        <v>16.6.3</v>
      </c>
      <c r="K539" s="302" t="s">
        <v>1345</v>
      </c>
      <c r="L539" s="17"/>
      <c r="M539"/>
      <c r="N539"/>
    </row>
    <row r="540" spans="1:14" ht="72.5">
      <c r="A540" s="17">
        <v>539</v>
      </c>
      <c r="B540" s="309" t="s">
        <v>2421</v>
      </c>
      <c r="C540" s="218" t="s">
        <v>2422</v>
      </c>
      <c r="D540" s="310" t="s">
        <v>2423</v>
      </c>
      <c r="E540"/>
      <c r="F540" s="299" t="s">
        <v>2438</v>
      </c>
      <c r="I540" s="325"/>
      <c r="J540" s="319" t="str">
        <f>VLOOKUP(K540,PLA_v2025!G:H,2,FALSE)</f>
        <v>11.6.2</v>
      </c>
      <c r="K540" s="302" t="s">
        <v>969</v>
      </c>
      <c r="L540" s="17"/>
      <c r="M540"/>
      <c r="N540"/>
    </row>
    <row r="541" spans="1:14" ht="29">
      <c r="A541" s="17">
        <v>540</v>
      </c>
      <c r="B541" s="309" t="s">
        <v>2421</v>
      </c>
      <c r="C541" s="218" t="s">
        <v>2422</v>
      </c>
      <c r="D541" s="310" t="s">
        <v>2423</v>
      </c>
      <c r="E541"/>
      <c r="F541" s="311" t="s">
        <v>2439</v>
      </c>
      <c r="G541" s="1" t="s">
        <v>1516</v>
      </c>
      <c r="H541" s="233" t="s">
        <v>1517</v>
      </c>
      <c r="I541" s="325" t="s">
        <v>2427</v>
      </c>
      <c r="J541" s="319"/>
      <c r="K541" s="302"/>
      <c r="L541" s="17"/>
      <c r="M541"/>
      <c r="N541"/>
    </row>
    <row r="542" spans="1:14" ht="29">
      <c r="A542" s="17">
        <v>541</v>
      </c>
      <c r="B542" s="309" t="s">
        <v>2421</v>
      </c>
      <c r="C542" s="218" t="s">
        <v>2422</v>
      </c>
      <c r="D542" s="310" t="s">
        <v>2423</v>
      </c>
      <c r="E542"/>
      <c r="F542" s="299" t="s">
        <v>2440</v>
      </c>
      <c r="I542" s="325"/>
      <c r="J542" s="319" t="str">
        <f>VLOOKUP(K542,PLA_v2025!G:H,2,FALSE)</f>
        <v>16.6.3</v>
      </c>
      <c r="K542" s="302" t="s">
        <v>1345</v>
      </c>
      <c r="L542" s="17"/>
      <c r="M542"/>
      <c r="N542"/>
    </row>
    <row r="543" spans="1:14" ht="58">
      <c r="A543" s="17">
        <v>542</v>
      </c>
      <c r="B543" s="309" t="s">
        <v>2421</v>
      </c>
      <c r="C543" s="218" t="s">
        <v>2422</v>
      </c>
      <c r="D543" s="310" t="s">
        <v>2423</v>
      </c>
      <c r="E543"/>
      <c r="F543" s="290" t="s">
        <v>2441</v>
      </c>
      <c r="I543" s="325"/>
      <c r="J543" s="319" t="str">
        <f>VLOOKUP(K543,PLA_v2025!G:H,2,FALSE)</f>
        <v>16.5.1</v>
      </c>
      <c r="K543" s="302" t="s">
        <v>1334</v>
      </c>
      <c r="L543" s="17"/>
      <c r="M543"/>
      <c r="N543"/>
    </row>
    <row r="544" spans="1:14" ht="29">
      <c r="A544" s="17">
        <v>543</v>
      </c>
      <c r="B544" s="309" t="s">
        <v>2421</v>
      </c>
      <c r="C544" s="218" t="s">
        <v>2422</v>
      </c>
      <c r="D544" s="310" t="s">
        <v>2423</v>
      </c>
      <c r="E544"/>
      <c r="F544" s="290" t="s">
        <v>2442</v>
      </c>
      <c r="I544" s="325"/>
      <c r="J544" s="319" t="str">
        <f>VLOOKUP(K544,PLA_v2025!G:H,2,FALSE)</f>
        <v>14.1.1</v>
      </c>
      <c r="K544" s="302" t="s">
        <v>1206</v>
      </c>
      <c r="L544" s="17"/>
      <c r="M544"/>
      <c r="N544"/>
    </row>
    <row r="545" spans="1:14" ht="43.5">
      <c r="A545" s="17">
        <v>544</v>
      </c>
      <c r="B545" s="309" t="s">
        <v>2421</v>
      </c>
      <c r="C545" s="218" t="s">
        <v>2422</v>
      </c>
      <c r="D545" s="310" t="s">
        <v>2423</v>
      </c>
      <c r="E545"/>
      <c r="F545" s="290" t="s">
        <v>2443</v>
      </c>
      <c r="I545" s="325"/>
      <c r="J545" s="319" t="str">
        <f>VLOOKUP(K545,PLA_v2025!G:H,2,FALSE)</f>
        <v>14.3.1</v>
      </c>
      <c r="K545" s="302" t="s">
        <v>1233</v>
      </c>
      <c r="L545" s="17"/>
      <c r="M545"/>
      <c r="N545"/>
    </row>
    <row r="546" spans="1:14" ht="29">
      <c r="A546" s="17">
        <v>545</v>
      </c>
      <c r="B546" s="309" t="s">
        <v>2421</v>
      </c>
      <c r="C546" s="218" t="s">
        <v>2422</v>
      </c>
      <c r="D546" s="310" t="s">
        <v>2423</v>
      </c>
      <c r="E546"/>
      <c r="F546" s="290" t="s">
        <v>2444</v>
      </c>
      <c r="I546" s="325"/>
      <c r="J546" s="319" t="str">
        <f>VLOOKUP(K546,PLA_v2025!G:H,2,FALSE)</f>
        <v>06.5.5</v>
      </c>
      <c r="K546" s="302" t="s">
        <v>729</v>
      </c>
      <c r="L546" s="17"/>
      <c r="M546"/>
      <c r="N546"/>
    </row>
    <row r="547" spans="1:14" ht="29">
      <c r="A547" s="17">
        <v>546</v>
      </c>
      <c r="B547" s="309" t="s">
        <v>2421</v>
      </c>
      <c r="C547" s="218" t="s">
        <v>2422</v>
      </c>
      <c r="D547" s="310" t="s">
        <v>2423</v>
      </c>
      <c r="E547"/>
      <c r="F547" s="330" t="s">
        <v>2445</v>
      </c>
      <c r="I547" s="325" t="s">
        <v>2427</v>
      </c>
      <c r="J547" s="319" t="str">
        <f>VLOOKUP(K547,PLA_v2025!G:H,2,FALSE)</f>
        <v>06.5.5</v>
      </c>
      <c r="K547" s="302" t="s">
        <v>729</v>
      </c>
      <c r="L547" s="17"/>
      <c r="M547"/>
      <c r="N547"/>
    </row>
    <row r="548" spans="1:14" ht="29">
      <c r="A548" s="17">
        <v>547</v>
      </c>
      <c r="B548" s="309" t="s">
        <v>2421</v>
      </c>
      <c r="C548" s="218" t="s">
        <v>2422</v>
      </c>
      <c r="D548" s="310" t="s">
        <v>2423</v>
      </c>
      <c r="E548"/>
      <c r="F548" s="290" t="s">
        <v>2446</v>
      </c>
      <c r="I548" s="325"/>
      <c r="J548" s="319" t="str">
        <f>VLOOKUP(K548,PLA_v2025!G:H,2,FALSE)</f>
        <v>14.3.1</v>
      </c>
      <c r="K548" s="302" t="s">
        <v>1233</v>
      </c>
      <c r="L548" s="17"/>
      <c r="M548"/>
      <c r="N548"/>
    </row>
    <row r="549" spans="1:14" ht="43.5">
      <c r="A549" s="17">
        <v>548</v>
      </c>
      <c r="B549" s="309" t="s">
        <v>2421</v>
      </c>
      <c r="C549" s="218" t="s">
        <v>2422</v>
      </c>
      <c r="D549" s="310" t="s">
        <v>2423</v>
      </c>
      <c r="E549"/>
      <c r="F549" s="290" t="s">
        <v>2447</v>
      </c>
      <c r="I549" s="325"/>
      <c r="J549" s="319" t="str">
        <f>VLOOKUP(K549,PLA_v2025!G:H,2,FALSE)</f>
        <v>11.2.2</v>
      </c>
      <c r="K549" s="302" t="s">
        <v>921</v>
      </c>
      <c r="L549" s="17"/>
      <c r="M549"/>
      <c r="N549"/>
    </row>
    <row r="550" spans="1:14" ht="43.5">
      <c r="A550" s="17">
        <v>549</v>
      </c>
      <c r="B550" s="309" t="s">
        <v>2421</v>
      </c>
      <c r="C550" s="218" t="s">
        <v>2422</v>
      </c>
      <c r="D550" s="310" t="s">
        <v>2423</v>
      </c>
      <c r="E550"/>
      <c r="F550" s="290" t="s">
        <v>2448</v>
      </c>
      <c r="I550" s="325"/>
      <c r="J550" s="319" t="str">
        <f>VLOOKUP(K550,PLA_v2025!G:H,2,FALSE)</f>
        <v>16.6.3</v>
      </c>
      <c r="K550" s="302" t="s">
        <v>1345</v>
      </c>
      <c r="L550" s="17"/>
      <c r="M550"/>
      <c r="N550"/>
    </row>
    <row r="551" spans="1:14" ht="87">
      <c r="A551" s="17">
        <v>550</v>
      </c>
      <c r="B551" s="309" t="s">
        <v>2421</v>
      </c>
      <c r="C551" s="218" t="s">
        <v>2422</v>
      </c>
      <c r="D551" s="310" t="s">
        <v>2423</v>
      </c>
      <c r="E551"/>
      <c r="F551" s="290" t="s">
        <v>2449</v>
      </c>
      <c r="I551" s="325"/>
      <c r="J551" s="319" t="str">
        <f>VLOOKUP(K551,PLA_v2025!G:H,2,FALSE)</f>
        <v>14.1.1</v>
      </c>
      <c r="K551" s="302" t="s">
        <v>1206</v>
      </c>
      <c r="L551" s="17"/>
      <c r="M551"/>
      <c r="N551"/>
    </row>
    <row r="552" spans="1:14" ht="43.5">
      <c r="A552" s="17">
        <v>551</v>
      </c>
      <c r="B552" s="309" t="s">
        <v>2421</v>
      </c>
      <c r="C552" s="218" t="s">
        <v>2422</v>
      </c>
      <c r="D552" s="310" t="s">
        <v>2423</v>
      </c>
      <c r="E552"/>
      <c r="F552" s="290" t="s">
        <v>2450</v>
      </c>
      <c r="I552" s="325"/>
      <c r="J552" s="319" t="str">
        <f>VLOOKUP(K552,PLA_v2025!G:H,2,FALSE)</f>
        <v>06.5.5</v>
      </c>
      <c r="K552" s="302" t="s">
        <v>729</v>
      </c>
      <c r="L552" s="17"/>
      <c r="M552"/>
      <c r="N552"/>
    </row>
    <row r="553" spans="1:14" ht="58">
      <c r="A553" s="17">
        <v>552</v>
      </c>
      <c r="B553" s="309" t="s">
        <v>2421</v>
      </c>
      <c r="C553" s="218" t="s">
        <v>2451</v>
      </c>
      <c r="D553" s="312" t="s">
        <v>2452</v>
      </c>
      <c r="E553"/>
      <c r="F553" s="290" t="s">
        <v>2453</v>
      </c>
      <c r="I553" s="325"/>
      <c r="J553" s="319" t="str">
        <f>VLOOKUP(K553,PLA_v2025!G:H,2,FALSE)</f>
        <v>13.4.1</v>
      </c>
      <c r="K553" s="302" t="s">
        <v>1085</v>
      </c>
      <c r="L553" s="17"/>
      <c r="M553"/>
      <c r="N553"/>
    </row>
    <row r="554" spans="1:14" ht="43.5">
      <c r="A554" s="17">
        <v>553</v>
      </c>
      <c r="B554" s="309" t="s">
        <v>2421</v>
      </c>
      <c r="C554" s="218" t="s">
        <v>2451</v>
      </c>
      <c r="D554" s="312" t="s">
        <v>2452</v>
      </c>
      <c r="E554"/>
      <c r="F554" s="290" t="s">
        <v>2454</v>
      </c>
      <c r="I554" s="325"/>
      <c r="J554" s="319" t="str">
        <f>VLOOKUP(K554,PLA_v2025!G:H,2,FALSE)</f>
        <v>13.4.1</v>
      </c>
      <c r="K554" s="302" t="s">
        <v>1085</v>
      </c>
      <c r="L554" s="17"/>
      <c r="M554"/>
      <c r="N554"/>
    </row>
    <row r="555" spans="1:14" ht="87">
      <c r="A555" s="17">
        <v>554</v>
      </c>
      <c r="B555" s="309" t="s">
        <v>2421</v>
      </c>
      <c r="C555" s="218" t="s">
        <v>2451</v>
      </c>
      <c r="D555" s="312" t="s">
        <v>2452</v>
      </c>
      <c r="E555"/>
      <c r="F555" s="290" t="s">
        <v>2455</v>
      </c>
      <c r="I555" s="325"/>
      <c r="J555" s="319" t="str">
        <f>VLOOKUP(K555,PLA_v2025!G:H,2,FALSE)</f>
        <v>12.1.1</v>
      </c>
      <c r="K555" s="302" t="s">
        <v>1005</v>
      </c>
      <c r="L555" s="17"/>
      <c r="M555"/>
      <c r="N555"/>
    </row>
    <row r="556" spans="1:14" ht="43.5">
      <c r="A556" s="17">
        <v>555</v>
      </c>
      <c r="B556" s="309" t="s">
        <v>2421</v>
      </c>
      <c r="C556" s="218" t="s">
        <v>2451</v>
      </c>
      <c r="D556" s="312" t="s">
        <v>2452</v>
      </c>
      <c r="E556"/>
      <c r="F556" s="290" t="s">
        <v>2456</v>
      </c>
      <c r="I556" s="325"/>
      <c r="J556" s="319" t="str">
        <f>VLOOKUP(K556,PLA_v2025!G:H,2,FALSE)</f>
        <v>12.1.1</v>
      </c>
      <c r="K556" s="302" t="s">
        <v>1005</v>
      </c>
      <c r="L556" s="17"/>
      <c r="M556"/>
      <c r="N556"/>
    </row>
    <row r="557" spans="1:14" ht="87">
      <c r="A557" s="17">
        <v>556</v>
      </c>
      <c r="B557" s="309" t="s">
        <v>2421</v>
      </c>
      <c r="C557" s="218" t="s">
        <v>2451</v>
      </c>
      <c r="D557" s="312" t="s">
        <v>2452</v>
      </c>
      <c r="E557"/>
      <c r="F557" s="290" t="s">
        <v>2457</v>
      </c>
      <c r="I557" s="325"/>
      <c r="J557" s="319" t="str">
        <f>VLOOKUP(K557,PLA_v2025!G:H,2,FALSE)</f>
        <v>12.1.1</v>
      </c>
      <c r="K557" s="302" t="s">
        <v>1005</v>
      </c>
      <c r="L557" s="17"/>
      <c r="M557"/>
      <c r="N557"/>
    </row>
    <row r="558" spans="1:14" ht="29">
      <c r="A558" s="17">
        <v>557</v>
      </c>
      <c r="B558" s="309" t="s">
        <v>2421</v>
      </c>
      <c r="C558" s="218" t="s">
        <v>2451</v>
      </c>
      <c r="D558" s="312" t="s">
        <v>2452</v>
      </c>
      <c r="E558"/>
      <c r="F558" s="290" t="s">
        <v>2458</v>
      </c>
      <c r="I558" s="325"/>
      <c r="J558" s="319" t="str">
        <f>VLOOKUP(K558,PLA_v2025!G:H,2,FALSE)</f>
        <v>14.1.2</v>
      </c>
      <c r="K558" s="302" t="s">
        <v>1216</v>
      </c>
      <c r="L558" s="17"/>
      <c r="M558"/>
      <c r="N558"/>
    </row>
    <row r="559" spans="1:14" ht="72.5">
      <c r="A559" s="17">
        <v>558</v>
      </c>
      <c r="B559" s="309" t="s">
        <v>2421</v>
      </c>
      <c r="C559" s="218" t="s">
        <v>2451</v>
      </c>
      <c r="D559" s="312" t="s">
        <v>2452</v>
      </c>
      <c r="E559"/>
      <c r="F559" s="290" t="s">
        <v>2459</v>
      </c>
      <c r="I559" s="325"/>
      <c r="J559" s="319" t="str">
        <f>VLOOKUP(K559,PLA_v2025!G:H,2,FALSE)</f>
        <v>14.1.2</v>
      </c>
      <c r="K559" s="302" t="s">
        <v>1216</v>
      </c>
      <c r="L559" s="17"/>
      <c r="M559"/>
      <c r="N559"/>
    </row>
    <row r="560" spans="1:14" ht="72.5">
      <c r="A560" s="17">
        <v>559</v>
      </c>
      <c r="B560" s="309" t="s">
        <v>2421</v>
      </c>
      <c r="C560" s="218" t="s">
        <v>2451</v>
      </c>
      <c r="D560" s="312" t="s">
        <v>2452</v>
      </c>
      <c r="E560"/>
      <c r="F560" s="290" t="s">
        <v>2460</v>
      </c>
      <c r="I560" s="325"/>
      <c r="J560" s="319" t="str">
        <f>VLOOKUP(K560,PLA_v2025!G:H,2,FALSE)</f>
        <v>06.5.2</v>
      </c>
      <c r="K560" s="302" t="s">
        <v>714</v>
      </c>
      <c r="L560" s="17"/>
      <c r="M560"/>
      <c r="N560"/>
    </row>
    <row r="561" spans="1:14" ht="43.5">
      <c r="A561" s="17">
        <v>560</v>
      </c>
      <c r="B561" s="309" t="s">
        <v>2421</v>
      </c>
      <c r="C561" s="218" t="s">
        <v>2451</v>
      </c>
      <c r="D561" s="312" t="s">
        <v>2452</v>
      </c>
      <c r="E561"/>
      <c r="F561" s="290" t="s">
        <v>2461</v>
      </c>
      <c r="I561" s="325"/>
      <c r="J561" s="319" t="str">
        <f>VLOOKUP(K561,PLA_v2025!G:H,2,FALSE)</f>
        <v>06.5.2</v>
      </c>
      <c r="K561" s="302" t="s">
        <v>714</v>
      </c>
      <c r="L561" s="17"/>
      <c r="M561"/>
      <c r="N561"/>
    </row>
    <row r="562" spans="1:14" ht="43.5">
      <c r="A562" s="17">
        <v>561</v>
      </c>
      <c r="B562" s="309" t="s">
        <v>2421</v>
      </c>
      <c r="C562" s="218" t="s">
        <v>2451</v>
      </c>
      <c r="D562" s="312" t="s">
        <v>2452</v>
      </c>
      <c r="E562"/>
      <c r="F562" s="290" t="s">
        <v>2462</v>
      </c>
      <c r="I562" s="325"/>
      <c r="J562" s="319" t="str">
        <f>VLOOKUP(K562,PLA_v2025!G:H,2,FALSE)</f>
        <v>06.5.2</v>
      </c>
      <c r="K562" s="302" t="s">
        <v>714</v>
      </c>
      <c r="L562" s="17"/>
      <c r="M562"/>
      <c r="N562"/>
    </row>
    <row r="563" spans="1:14" ht="29">
      <c r="A563" s="17">
        <v>562</v>
      </c>
      <c r="B563" s="309" t="s">
        <v>2421</v>
      </c>
      <c r="C563" s="218" t="s">
        <v>2451</v>
      </c>
      <c r="D563" s="312" t="s">
        <v>2452</v>
      </c>
      <c r="E563"/>
      <c r="F563" s="290" t="s">
        <v>2463</v>
      </c>
      <c r="I563" s="325"/>
      <c r="J563" s="319" t="str">
        <f>VLOOKUP(K563,PLA_v2025!G:H,2,FALSE)</f>
        <v>06.5.5</v>
      </c>
      <c r="K563" s="302" t="s">
        <v>729</v>
      </c>
      <c r="L563" s="17"/>
      <c r="M563"/>
      <c r="N563"/>
    </row>
    <row r="564" spans="1:14" ht="58">
      <c r="A564" s="17">
        <v>563</v>
      </c>
      <c r="B564" s="309" t="s">
        <v>2421</v>
      </c>
      <c r="C564" s="218" t="s">
        <v>2451</v>
      </c>
      <c r="D564" s="312" t="s">
        <v>2452</v>
      </c>
      <c r="E564"/>
      <c r="F564" s="290" t="s">
        <v>2464</v>
      </c>
      <c r="I564" s="325"/>
      <c r="J564" s="319" t="str">
        <f>VLOOKUP(K564,PLA_v2025!G:H,2,FALSE)</f>
        <v>06.5.5</v>
      </c>
      <c r="K564" s="302" t="s">
        <v>729</v>
      </c>
      <c r="L564" s="17"/>
      <c r="M564"/>
      <c r="N564"/>
    </row>
    <row r="565" spans="1:14" ht="43.5">
      <c r="A565" s="17">
        <v>564</v>
      </c>
      <c r="B565" s="309" t="s">
        <v>2421</v>
      </c>
      <c r="C565" s="218" t="s">
        <v>2465</v>
      </c>
      <c r="D565" s="313" t="s">
        <v>2466</v>
      </c>
      <c r="E565"/>
      <c r="F565" s="290" t="s">
        <v>2467</v>
      </c>
      <c r="I565" s="325"/>
      <c r="J565" s="319" t="e">
        <f>VLOOKUP(K565,PLA_v2025!G:H,2,FALSE)</f>
        <v>#N/A</v>
      </c>
      <c r="K565" s="302" t="s">
        <v>2130</v>
      </c>
      <c r="L565" s="17"/>
      <c r="M565"/>
      <c r="N565"/>
    </row>
    <row r="566" spans="1:14" ht="72.5">
      <c r="A566" s="17">
        <v>565</v>
      </c>
      <c r="B566" s="309" t="s">
        <v>2421</v>
      </c>
      <c r="C566" s="218" t="s">
        <v>2468</v>
      </c>
      <c r="D566" s="313" t="s">
        <v>2466</v>
      </c>
      <c r="E566"/>
      <c r="F566" s="290" t="s">
        <v>2469</v>
      </c>
      <c r="I566" s="325"/>
      <c r="J566" s="319" t="e">
        <f>VLOOKUP(K566,PLA_v2025!G:H,2,FALSE)</f>
        <v>#N/A</v>
      </c>
      <c r="K566" s="302" t="s">
        <v>2130</v>
      </c>
      <c r="L566" s="17"/>
      <c r="M566"/>
      <c r="N566"/>
    </row>
    <row r="567" spans="1:14" ht="43.5">
      <c r="A567" s="17">
        <v>566</v>
      </c>
      <c r="B567" s="309" t="s">
        <v>2421</v>
      </c>
      <c r="C567" s="218" t="s">
        <v>2470</v>
      </c>
      <c r="D567" s="314" t="s">
        <v>2471</v>
      </c>
      <c r="E567"/>
      <c r="F567" s="290" t="s">
        <v>2472</v>
      </c>
      <c r="I567" s="325"/>
      <c r="J567" s="319" t="str">
        <f>VLOOKUP(K567,PLA_v2025!G:H,2,FALSE)</f>
        <v>13.2.3</v>
      </c>
      <c r="K567" s="302" t="s">
        <v>1051</v>
      </c>
      <c r="L567" s="17"/>
      <c r="M567"/>
      <c r="N567"/>
    </row>
    <row r="568" spans="1:14" ht="58">
      <c r="A568" s="17">
        <v>567</v>
      </c>
      <c r="B568" s="309" t="s">
        <v>2421</v>
      </c>
      <c r="C568" s="218" t="s">
        <v>2470</v>
      </c>
      <c r="D568" s="314" t="s">
        <v>2471</v>
      </c>
      <c r="E568"/>
      <c r="F568" s="290" t="s">
        <v>2473</v>
      </c>
      <c r="I568" s="325"/>
      <c r="J568" s="319" t="str">
        <f>VLOOKUP(K568,PLA_v2025!G:H,2,FALSE)</f>
        <v>13.5.5</v>
      </c>
      <c r="K568" s="302" t="s">
        <v>1138</v>
      </c>
      <c r="L568" s="17"/>
      <c r="M568"/>
      <c r="N568"/>
    </row>
    <row r="569" spans="1:14" ht="29">
      <c r="A569" s="17">
        <v>568</v>
      </c>
      <c r="B569" s="309" t="s">
        <v>2421</v>
      </c>
      <c r="C569" s="218" t="s">
        <v>2470</v>
      </c>
      <c r="D569" s="314" t="s">
        <v>2471</v>
      </c>
      <c r="E569"/>
      <c r="F569" s="290" t="s">
        <v>2474</v>
      </c>
      <c r="I569" s="325"/>
      <c r="J569" s="319" t="str">
        <f>VLOOKUP(K569,PLA_v2025!G:H,2,FALSE)</f>
        <v>13.1.2</v>
      </c>
      <c r="K569" s="302" t="s">
        <v>1023</v>
      </c>
      <c r="L569" s="17"/>
      <c r="M569"/>
      <c r="N569"/>
    </row>
    <row r="570" spans="1:14" ht="29">
      <c r="A570" s="17">
        <v>569</v>
      </c>
      <c r="B570" s="309" t="s">
        <v>2421</v>
      </c>
      <c r="C570" s="218" t="s">
        <v>2470</v>
      </c>
      <c r="D570" s="314" t="s">
        <v>2471</v>
      </c>
      <c r="E570"/>
      <c r="F570" s="290" t="s">
        <v>2475</v>
      </c>
      <c r="I570" s="325"/>
      <c r="J570" s="319" t="str">
        <f>VLOOKUP(K570,PLA_v2025!G:H,2,FALSE)</f>
        <v>13.1.2</v>
      </c>
      <c r="K570" s="302" t="s">
        <v>1023</v>
      </c>
      <c r="L570" s="17"/>
      <c r="M570"/>
      <c r="N570"/>
    </row>
    <row r="571" spans="1:14" ht="29">
      <c r="A571" s="17">
        <v>570</v>
      </c>
      <c r="B571" s="309" t="s">
        <v>2421</v>
      </c>
      <c r="C571" s="218" t="s">
        <v>2470</v>
      </c>
      <c r="D571" s="314" t="s">
        <v>2471</v>
      </c>
      <c r="E571"/>
      <c r="F571" s="290" t="s">
        <v>2476</v>
      </c>
      <c r="I571" s="325"/>
      <c r="J571" s="319" t="str">
        <f>VLOOKUP(K571,PLA_v2025!G:H,2,FALSE)</f>
        <v>13.1.3</v>
      </c>
      <c r="K571" s="302" t="s">
        <v>1031</v>
      </c>
      <c r="L571" s="17"/>
      <c r="M571"/>
      <c r="N571"/>
    </row>
    <row r="572" spans="1:14" ht="29">
      <c r="A572" s="17">
        <v>571</v>
      </c>
      <c r="B572" s="309" t="s">
        <v>2421</v>
      </c>
      <c r="C572" s="218" t="s">
        <v>2470</v>
      </c>
      <c r="D572" s="314" t="s">
        <v>2471</v>
      </c>
      <c r="E572"/>
      <c r="F572" s="290" t="s">
        <v>2477</v>
      </c>
      <c r="I572" s="325"/>
      <c r="J572" s="319" t="str">
        <f>VLOOKUP(K572,PLA_v2025!G:H,2,FALSE)</f>
        <v>13.1.2</v>
      </c>
      <c r="K572" s="302" t="s">
        <v>1023</v>
      </c>
      <c r="L572" s="17"/>
      <c r="M572"/>
      <c r="N572"/>
    </row>
    <row r="573" spans="1:14" ht="29">
      <c r="A573" s="17">
        <v>572</v>
      </c>
      <c r="B573" s="309" t="s">
        <v>2421</v>
      </c>
      <c r="C573" s="218" t="s">
        <v>2470</v>
      </c>
      <c r="D573" s="314" t="s">
        <v>2471</v>
      </c>
      <c r="E573"/>
      <c r="F573" s="290" t="s">
        <v>2478</v>
      </c>
      <c r="I573" s="325"/>
      <c r="J573" s="319" t="str">
        <f>VLOOKUP(K573,PLA_v2025!G:H,2,FALSE)</f>
        <v>13.1.2</v>
      </c>
      <c r="K573" s="302" t="s">
        <v>1023</v>
      </c>
      <c r="L573" s="17"/>
      <c r="M573"/>
      <c r="N573"/>
    </row>
    <row r="574" spans="1:14" ht="29">
      <c r="A574" s="17">
        <v>573</v>
      </c>
      <c r="B574" s="309" t="s">
        <v>2421</v>
      </c>
      <c r="C574" s="218" t="s">
        <v>2470</v>
      </c>
      <c r="D574" s="314" t="s">
        <v>2471</v>
      </c>
      <c r="E574"/>
      <c r="F574" s="290" t="s">
        <v>2479</v>
      </c>
      <c r="I574" s="325"/>
      <c r="J574" s="319" t="str">
        <f>VLOOKUP(K574,PLA_v2025!G:H,2,FALSE)</f>
        <v>13.1.2</v>
      </c>
      <c r="K574" s="302" t="s">
        <v>1023</v>
      </c>
      <c r="L574" s="17"/>
      <c r="M574"/>
      <c r="N574"/>
    </row>
    <row r="575" spans="1:14" ht="29">
      <c r="A575" s="17">
        <v>574</v>
      </c>
      <c r="B575" s="309" t="s">
        <v>2421</v>
      </c>
      <c r="C575" s="218" t="s">
        <v>1537</v>
      </c>
      <c r="D575" s="315" t="s">
        <v>2480</v>
      </c>
      <c r="E575"/>
      <c r="F575" s="290" t="s">
        <v>2481</v>
      </c>
      <c r="I575" s="325"/>
      <c r="J575" s="319" t="str">
        <f>VLOOKUP(K575,PLA_v2025!G:H,2,FALSE)</f>
        <v>13.6.2</v>
      </c>
      <c r="K575" s="302" t="s">
        <v>1150</v>
      </c>
      <c r="L575" s="17"/>
      <c r="M575"/>
      <c r="N575"/>
    </row>
    <row r="576" spans="1:14" ht="58">
      <c r="A576" s="17">
        <v>575</v>
      </c>
      <c r="B576" s="309" t="s">
        <v>2421</v>
      </c>
      <c r="C576" s="218" t="s">
        <v>1537</v>
      </c>
      <c r="D576" s="315" t="s">
        <v>2480</v>
      </c>
      <c r="E576"/>
      <c r="F576" s="290" t="s">
        <v>2482</v>
      </c>
      <c r="I576" s="325"/>
      <c r="J576" s="319" t="str">
        <f>VLOOKUP(K576,PLA_v2025!G:H,2,FALSE)</f>
        <v>13.6.2</v>
      </c>
      <c r="K576" s="302" t="s">
        <v>1150</v>
      </c>
      <c r="L576" s="17"/>
      <c r="M576"/>
      <c r="N576"/>
    </row>
    <row r="577" spans="1:14" ht="58">
      <c r="A577" s="17">
        <v>576</v>
      </c>
      <c r="B577" s="309" t="s">
        <v>2421</v>
      </c>
      <c r="C577" s="218" t="s">
        <v>1537</v>
      </c>
      <c r="D577" s="315" t="s">
        <v>2480</v>
      </c>
      <c r="E577"/>
      <c r="F577" s="290" t="s">
        <v>2483</v>
      </c>
      <c r="I577" s="325"/>
      <c r="J577" s="319" t="str">
        <f>VLOOKUP(K577,PLA_v2025!G:H,2,FALSE)</f>
        <v>13.6.2</v>
      </c>
      <c r="K577" s="302" t="s">
        <v>1150</v>
      </c>
      <c r="L577" s="17"/>
      <c r="M577"/>
      <c r="N577"/>
    </row>
    <row r="578" spans="1:14" ht="29">
      <c r="A578" s="17">
        <v>577</v>
      </c>
      <c r="B578" s="309" t="s">
        <v>2421</v>
      </c>
      <c r="C578" s="218" t="s">
        <v>1537</v>
      </c>
      <c r="D578" s="315" t="s">
        <v>2480</v>
      </c>
      <c r="E578"/>
      <c r="F578" s="290" t="s">
        <v>2484</v>
      </c>
      <c r="I578" s="325"/>
      <c r="J578" s="319" t="str">
        <f>VLOOKUP(K578,PLA_v2025!G:H,2,FALSE)</f>
        <v>13.6.1</v>
      </c>
      <c r="K578" s="302" t="s">
        <v>1146</v>
      </c>
      <c r="L578" s="17"/>
      <c r="M578"/>
      <c r="N578"/>
    </row>
    <row r="579" spans="1:14" ht="43.5">
      <c r="A579" s="17">
        <v>578</v>
      </c>
      <c r="B579" s="309" t="s">
        <v>2421</v>
      </c>
      <c r="C579" s="218" t="s">
        <v>1537</v>
      </c>
      <c r="D579" s="315" t="s">
        <v>2480</v>
      </c>
      <c r="E579"/>
      <c r="F579" s="290" t="s">
        <v>2485</v>
      </c>
      <c r="I579" s="325"/>
      <c r="J579" s="319" t="str">
        <f>VLOOKUP(K579,PLA_v2025!G:H,2,FALSE)</f>
        <v>13.6.1</v>
      </c>
      <c r="K579" s="302" t="s">
        <v>1146</v>
      </c>
      <c r="L579" s="17"/>
      <c r="M579"/>
      <c r="N579"/>
    </row>
    <row r="580" spans="1:14" ht="101.5">
      <c r="A580" s="17">
        <v>579</v>
      </c>
      <c r="B580" s="309" t="s">
        <v>2421</v>
      </c>
      <c r="C580" s="218" t="s">
        <v>1537</v>
      </c>
      <c r="D580" s="315" t="s">
        <v>2480</v>
      </c>
      <c r="E580"/>
      <c r="F580" s="290" t="s">
        <v>2486</v>
      </c>
      <c r="I580" s="325"/>
      <c r="J580" s="319" t="str">
        <f>VLOOKUP(K580,PLA_v2025!G:H,2,FALSE)</f>
        <v>13.6.2</v>
      </c>
      <c r="K580" s="302" t="s">
        <v>1150</v>
      </c>
      <c r="L580" s="17"/>
      <c r="M580"/>
      <c r="N580"/>
    </row>
    <row r="581" spans="1:14" ht="43.5">
      <c r="A581" s="17">
        <v>580</v>
      </c>
      <c r="B581" s="309" t="s">
        <v>2421</v>
      </c>
      <c r="C581" s="218" t="s">
        <v>1537</v>
      </c>
      <c r="D581" s="315" t="s">
        <v>2480</v>
      </c>
      <c r="E581"/>
      <c r="F581" s="290" t="s">
        <v>2487</v>
      </c>
      <c r="I581" s="325"/>
      <c r="J581" s="319" t="str">
        <f>VLOOKUP(K581,PLA_v2025!G:H,2,FALSE)</f>
        <v>13.6.2</v>
      </c>
      <c r="K581" s="302" t="s">
        <v>1150</v>
      </c>
      <c r="L581" s="17"/>
      <c r="M581"/>
      <c r="N581"/>
    </row>
    <row r="582" spans="1:14" ht="29">
      <c r="A582" s="17">
        <v>581</v>
      </c>
      <c r="B582" s="309" t="s">
        <v>2421</v>
      </c>
      <c r="C582" s="218" t="s">
        <v>1537</v>
      </c>
      <c r="D582" s="315" t="s">
        <v>2480</v>
      </c>
      <c r="E582"/>
      <c r="F582" s="290" t="s">
        <v>2488</v>
      </c>
      <c r="I582" s="325"/>
      <c r="J582" s="319" t="str">
        <f>VLOOKUP(K582,PLA_v2025!G:H,2,FALSE)</f>
        <v>13.6.2</v>
      </c>
      <c r="K582" s="302" t="s">
        <v>1150</v>
      </c>
      <c r="L582" s="17"/>
      <c r="M582"/>
      <c r="N582"/>
    </row>
    <row r="583" spans="1:14" ht="43.5">
      <c r="A583" s="17">
        <v>582</v>
      </c>
      <c r="B583" s="288" t="s">
        <v>2033</v>
      </c>
      <c r="C583" s="218">
        <v>1</v>
      </c>
      <c r="D583" s="273" t="s">
        <v>2034</v>
      </c>
      <c r="F583" s="290" t="s">
        <v>2489</v>
      </c>
      <c r="G583" s="1" t="s">
        <v>1500</v>
      </c>
      <c r="J583" s="319" t="str">
        <f>VLOOKUP(K583,PLA_v2025!G:H,2,FALSE)</f>
        <v>06.4.4</v>
      </c>
      <c r="K583" s="302" t="s">
        <v>697</v>
      </c>
    </row>
    <row r="584" spans="1:14" ht="43.5">
      <c r="A584" s="17">
        <v>583</v>
      </c>
      <c r="B584" s="288" t="s">
        <v>2033</v>
      </c>
      <c r="C584" s="218">
        <v>1</v>
      </c>
      <c r="D584" s="273" t="s">
        <v>2034</v>
      </c>
      <c r="F584" s="290" t="s">
        <v>2490</v>
      </c>
      <c r="G584" s="1" t="s">
        <v>1500</v>
      </c>
      <c r="J584" s="319" t="str">
        <f>VLOOKUP(K584,PLA_v2025!G:H,2,FALSE)</f>
        <v>08.1.1</v>
      </c>
      <c r="K584" s="302" t="s">
        <v>746</v>
      </c>
      <c r="L584" s="302" t="s">
        <v>1927</v>
      </c>
    </row>
    <row r="585" spans="1:14" ht="29">
      <c r="A585" s="17">
        <v>584</v>
      </c>
      <c r="B585" s="288" t="s">
        <v>2033</v>
      </c>
      <c r="C585" s="218">
        <v>2</v>
      </c>
      <c r="D585" s="274" t="s">
        <v>2038</v>
      </c>
      <c r="F585" s="290" t="s">
        <v>2491</v>
      </c>
      <c r="G585" s="1" t="s">
        <v>1500</v>
      </c>
      <c r="J585" s="319" t="str">
        <f>VLOOKUP(K585,PLA_v2025!G:H,2,FALSE)</f>
        <v>01.4.2</v>
      </c>
      <c r="K585" s="302" t="s">
        <v>398</v>
      </c>
    </row>
    <row r="586" spans="1:14" ht="29">
      <c r="A586" s="17">
        <v>585</v>
      </c>
      <c r="B586" s="288" t="s">
        <v>2033</v>
      </c>
      <c r="C586" s="218">
        <v>2</v>
      </c>
      <c r="D586" s="274" t="s">
        <v>2038</v>
      </c>
      <c r="F586" s="290" t="s">
        <v>2492</v>
      </c>
      <c r="G586" s="1" t="s">
        <v>1509</v>
      </c>
      <c r="J586" s="319" t="str">
        <f>VLOOKUP(K586,PLA_v2025!G:H,2,FALSE)</f>
        <v>01.4.2</v>
      </c>
      <c r="K586" s="302" t="s">
        <v>398</v>
      </c>
    </row>
    <row r="587" spans="1:14" ht="43.5">
      <c r="A587" s="17">
        <v>586</v>
      </c>
      <c r="B587" s="288" t="s">
        <v>2033</v>
      </c>
      <c r="C587" s="218">
        <v>2</v>
      </c>
      <c r="D587" s="274" t="s">
        <v>2038</v>
      </c>
      <c r="F587" s="290" t="s">
        <v>2493</v>
      </c>
      <c r="G587" s="1" t="s">
        <v>1500</v>
      </c>
      <c r="J587" s="319" t="str">
        <f>VLOOKUP(K587,PLA_v2025!G:H,2,FALSE)</f>
        <v>08.1.1</v>
      </c>
      <c r="K587" s="302" t="s">
        <v>746</v>
      </c>
      <c r="L587" s="302" t="s">
        <v>1927</v>
      </c>
    </row>
    <row r="588" spans="1:14" ht="29">
      <c r="A588" s="17">
        <v>587</v>
      </c>
      <c r="B588" s="288" t="s">
        <v>2033</v>
      </c>
      <c r="C588" s="218">
        <v>3</v>
      </c>
      <c r="D588" s="275" t="s">
        <v>2042</v>
      </c>
      <c r="F588" s="290" t="s">
        <v>2494</v>
      </c>
      <c r="G588" s="1" t="s">
        <v>1509</v>
      </c>
      <c r="J588" s="319" t="str">
        <f>VLOOKUP(K588,PLA_v2025!G:H,2,FALSE)</f>
        <v>01.4.2</v>
      </c>
      <c r="K588" s="302" t="s">
        <v>398</v>
      </c>
    </row>
    <row r="589" spans="1:14" ht="58">
      <c r="A589" s="17">
        <v>588</v>
      </c>
      <c r="B589" s="288" t="s">
        <v>2033</v>
      </c>
      <c r="C589" s="218">
        <v>4</v>
      </c>
      <c r="D589" s="276" t="s">
        <v>2044</v>
      </c>
      <c r="F589" s="290" t="s">
        <v>2495</v>
      </c>
      <c r="G589" s="1" t="s">
        <v>1500</v>
      </c>
      <c r="J589" s="319" t="str">
        <f>VLOOKUP(K589,PLA_v2025!G:H,2,FALSE)</f>
        <v>08.3.6</v>
      </c>
      <c r="K589" s="302" t="s">
        <v>810</v>
      </c>
    </row>
    <row r="590" spans="1:14" ht="58">
      <c r="A590" s="17">
        <v>589</v>
      </c>
      <c r="B590" s="288" t="s">
        <v>2033</v>
      </c>
      <c r="C590" s="218">
        <v>5</v>
      </c>
      <c r="D590" s="277" t="s">
        <v>2050</v>
      </c>
      <c r="F590" s="290" t="s">
        <v>2496</v>
      </c>
      <c r="G590" s="1" t="s">
        <v>1500</v>
      </c>
      <c r="J590" s="319" t="e">
        <f>VLOOKUP(K590,PLA_v2025!G:H,2,FALSE)</f>
        <v>#N/A</v>
      </c>
      <c r="K590" s="302" t="s">
        <v>1357</v>
      </c>
      <c r="L590" s="302" t="s">
        <v>1721</v>
      </c>
    </row>
    <row r="591" spans="1:14">
      <c r="J591" s="307"/>
      <c r="K591" s="302"/>
    </row>
    <row r="592" spans="1:14">
      <c r="J592" s="307"/>
      <c r="K592" s="302"/>
    </row>
    <row r="593" spans="10:11">
      <c r="J593" s="307"/>
      <c r="K593" s="302"/>
    </row>
    <row r="594" spans="10:11">
      <c r="J594" s="307"/>
      <c r="K594" s="302"/>
    </row>
    <row r="595" spans="10:11">
      <c r="J595" s="307"/>
      <c r="K595" s="302"/>
    </row>
    <row r="596" spans="10:11">
      <c r="J596" s="307"/>
      <c r="K596" s="302"/>
    </row>
    <row r="597" spans="10:11">
      <c r="J597" s="307"/>
      <c r="K597" s="302"/>
    </row>
    <row r="598" spans="10:11">
      <c r="J598" s="307"/>
      <c r="K598" s="302"/>
    </row>
    <row r="599" spans="10:11">
      <c r="J599" s="307"/>
      <c r="K599" s="302"/>
    </row>
  </sheetData>
  <autoFilter ref="A1:N590">
    <sortState ref="A2:N590">
      <sortCondition ref="A1:A590"/>
    </sortState>
  </autoFilter>
  <phoneticPr fontId="3" type="noConversion"/>
  <dataValidations count="4">
    <dataValidation type="list" allowBlank="1" showInputMessage="1" showErrorMessage="1" sqref="B2:B285 B436:B534 B591:B1048576">
      <formula1>"Pla Especial ZVG,Estratègia per la gestió del vulcanisme,Estratègia de gestió de la flora i la vegetació,Estratègia agrària,Estratègia de Turisme Sostenible de la Garrotxa,MAP"</formula1>
    </dataValidation>
    <dataValidation allowBlank="1" showInputMessage="1" showErrorMessage="1" sqref="G1"/>
    <dataValidation type="list" allowBlank="1" showInputMessage="1" showErrorMessage="1" sqref="G2:G1048576">
      <formula1>"Descartat, Executat, Executat en part/en curs, En curs indefinidament, No executat, Suport/Impuls"</formula1>
    </dataValidation>
    <dataValidation type="list" allowBlank="1" showInputMessage="1" showErrorMessage="1" sqref="H591:H1048576 H2:H288 H290:H357 H359:H534">
      <formula1>"NA"</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9"/>
  <sheetViews>
    <sheetView workbookViewId="0">
      <selection activeCell="F10" sqref="F10"/>
    </sheetView>
  </sheetViews>
  <sheetFormatPr defaultColWidth="8.7265625" defaultRowHeight="14.5"/>
  <sheetData>
    <row r="3" spans="2:2">
      <c r="B3" s="177" t="s">
        <v>2497</v>
      </c>
    </row>
    <row r="4" spans="2:2">
      <c r="B4" s="177" t="s">
        <v>1516</v>
      </c>
    </row>
    <row r="5" spans="2:2">
      <c r="B5" s="177" t="s">
        <v>290</v>
      </c>
    </row>
    <row r="6" spans="2:2">
      <c r="B6" s="340" t="s">
        <v>2498</v>
      </c>
    </row>
    <row r="7" spans="2:2">
      <c r="B7" s="340" t="s">
        <v>2499</v>
      </c>
    </row>
    <row r="8" spans="2:2">
      <c r="B8" s="340" t="s">
        <v>1625</v>
      </c>
    </row>
    <row r="9" spans="2:2">
      <c r="B9" s="340" t="s">
        <v>2500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2.xml><?xml version="1.0" encoding="utf-8"?>
<ds:datastoreItem xmlns:ds="http://schemas.openxmlformats.org/officeDocument/2006/customXml" ds:itemID="{A22F65A4-2F85-4E0E-AAC6-DEF69A9128FF}"/>
</file>

<file path=customXml/itemProps3.xml><?xml version="1.0" encoding="utf-8"?>
<ds:datastoreItem xmlns:ds="http://schemas.openxmlformats.org/officeDocument/2006/customXml" ds:itemID="{9C3BBD1B-D8EB-4F55-AA85-1B39798B5B8A}">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11d7cc50-dbbe-4565-adaf-571c17ded0f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12</vt:i4>
      </vt:variant>
    </vt:vector>
  </HeadingPairs>
  <TitlesOfParts>
    <vt:vector size="12" baseType="lpstr">
      <vt:lpstr>ESTRATÈGIA</vt:lpstr>
      <vt:lpstr>INSTRUCCIONS</vt:lpstr>
      <vt:lpstr>PRIORITZACIÓ</vt:lpstr>
      <vt:lpstr>PLA_v2025</vt:lpstr>
      <vt:lpstr>Hores</vt:lpstr>
      <vt:lpstr>PLA</vt:lpstr>
      <vt:lpstr>Taxonomia Amenaces</vt:lpstr>
      <vt:lpstr>Llistes</vt:lpstr>
      <vt:lpstr>Full1</vt:lpstr>
      <vt:lpstr>VINCLE AMENAÇA_OBJ. OPERATIU</vt:lpstr>
      <vt:lpstr>BUIDAT_ACCIONS_vDec</vt:lpstr>
      <vt:lpstr>Tesaure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Pijoan Coromina, Joan</cp:lastModifiedBy>
  <cp:revision/>
  <dcterms:created xsi:type="dcterms:W3CDTF">2015-06-05T18:17:20Z</dcterms:created>
  <dcterms:modified xsi:type="dcterms:W3CDTF">2025-12-25T12:33:27Z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2c5e9c7f-1974-4476-9f2f-3a6e0e091669</vt:lpwstr>
  </property>
  <property fmtid="{D5CDD505-2E9C-101B-9397-08002B2CF9AE}" pid="4" name="MediaServiceImageTags">
    <vt:lpwstr/>
  </property>
  <property fmtid="{D5CDD505-2E9C-101B-9397-08002B2CF9AE}" pid="5" name="Order">
    <vt:r8>5400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