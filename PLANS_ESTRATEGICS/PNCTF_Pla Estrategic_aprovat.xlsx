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Z:\317\04476\PN_CTF\PNCTF\3. PLANIFICACIÓ\3.1. PLANS\3.1.3. Plans específics\Pla_Estrategic_PNCTF\Document final treball\DEF\"/>
    </mc:Choice>
  </mc:AlternateContent>
  <xr:revisionPtr revIDLastSave="0" documentId="11_CDCC7CF1A712E54BFD59938B1685EA8FD3E9474B" xr6:coauthVersionLast="47" xr6:coauthVersionMax="47" xr10:uidLastSave="{00000000-0000-0000-0000-000000000000}"/>
  <bookViews>
    <workbookView xWindow="-28920" yWindow="-7830" windowWidth="29040" windowHeight="14130" firstSheet="3" activeTab="3" xr2:uid="{00000000-000D-0000-FFFF-FFFF00000000}"/>
  </bookViews>
  <sheets>
    <sheet name="ESTRATÈGIA" sheetId="8" r:id="rId1"/>
    <sheet name="INSTRUCCIONS" sheetId="6" r:id="rId2"/>
    <sheet name="PRIORITZACIÓ" sheetId="7" r:id="rId3"/>
    <sheet name="PLA" sheetId="3" r:id="rId4"/>
    <sheet name="VINCLE AMENAÇA_OBJ. OPERATIU" sheetId="9" r:id="rId5"/>
    <sheet name="Taxonomia Amenaces" sheetId="10" r:id="rId6"/>
    <sheet name="Llistes" sheetId="11" r:id="rId7"/>
    <sheet name="Full1" sheetId="5" state="hidden" r:id="rId8"/>
  </sheets>
  <definedNames>
    <definedName name="_xlnm._FilterDatabase" localSheetId="3" hidden="1">PLA!$A$4:$AD$185</definedName>
    <definedName name="_xlnm._FilterDatabase" localSheetId="2" hidden="1">PRIORITZACIÓ!$A$42:$J$179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2" i="3" l="1"/>
  <c r="J184" i="3" l="1"/>
  <c r="J175" i="3"/>
  <c r="V19" i="3"/>
  <c r="V7" i="3"/>
  <c r="V14" i="3"/>
  <c r="V5" i="3"/>
  <c r="V36" i="3"/>
  <c r="V22" i="3"/>
  <c r="V172" i="3" l="1"/>
  <c r="V144" i="3"/>
  <c r="V138" i="3"/>
  <c r="V137" i="3"/>
  <c r="V136" i="3"/>
  <c r="V135" i="3"/>
  <c r="V129" i="3"/>
  <c r="V128" i="3"/>
  <c r="V121" i="3"/>
  <c r="V120" i="3"/>
  <c r="V115" i="3"/>
  <c r="V114" i="3"/>
  <c r="V98" i="3"/>
  <c r="V97" i="3"/>
  <c r="V96" i="3"/>
  <c r="V93" i="3"/>
  <c r="V90" i="3"/>
  <c r="V89" i="3"/>
  <c r="V88" i="3"/>
  <c r="V87" i="3"/>
  <c r="V86" i="3"/>
  <c r="V83" i="3"/>
  <c r="V82" i="3"/>
  <c r="V81" i="3"/>
  <c r="V80" i="3"/>
  <c r="V78" i="3"/>
  <c r="V77" i="3"/>
  <c r="V76" i="3"/>
  <c r="V75" i="3"/>
  <c r="V74" i="3"/>
  <c r="V73" i="3"/>
  <c r="V71" i="3"/>
  <c r="V70" i="3"/>
  <c r="V68" i="3"/>
  <c r="V67" i="3"/>
  <c r="V65" i="3"/>
  <c r="V61" i="3"/>
  <c r="V57" i="3"/>
  <c r="V54" i="3"/>
  <c r="V49" i="3"/>
  <c r="V48" i="3"/>
  <c r="V47" i="3"/>
  <c r="V34" i="3" l="1"/>
  <c r="V31" i="3"/>
  <c r="V29" i="3"/>
  <c r="V27" i="3"/>
  <c r="V24" i="3"/>
  <c r="V21" i="3"/>
  <c r="V15" i="3"/>
  <c r="V11" i="3"/>
  <c r="J176" i="3" l="1"/>
  <c r="J33" i="3" l="1"/>
  <c r="J6" i="3" l="1"/>
  <c r="B6" i="9" s="1"/>
  <c r="J7" i="3"/>
  <c r="B7" i="9" s="1"/>
  <c r="J8" i="3"/>
  <c r="B8" i="9" s="1"/>
  <c r="J9" i="3"/>
  <c r="B9" i="9" s="1"/>
  <c r="J10" i="3"/>
  <c r="B10" i="9" s="1"/>
  <c r="J11" i="3"/>
  <c r="B11" i="9" s="1"/>
  <c r="J12" i="3"/>
  <c r="B12" i="9" s="1"/>
  <c r="B13" i="9"/>
  <c r="B14" i="9"/>
  <c r="J15" i="3"/>
  <c r="B15" i="9" s="1"/>
  <c r="J16" i="3"/>
  <c r="B16" i="9" s="1"/>
  <c r="J17" i="3"/>
  <c r="B17" i="9" s="1"/>
  <c r="J18" i="3"/>
  <c r="B18" i="9" s="1"/>
  <c r="J19" i="3"/>
  <c r="B19" i="9" s="1"/>
  <c r="J20" i="3"/>
  <c r="B20" i="9" s="1"/>
  <c r="J21" i="3"/>
  <c r="B21" i="9" s="1"/>
  <c r="B22" i="9"/>
  <c r="J23" i="3"/>
  <c r="B23" i="9" s="1"/>
  <c r="J24" i="3"/>
  <c r="B24" i="9" s="1"/>
  <c r="J25" i="3"/>
  <c r="B25" i="9" s="1"/>
  <c r="B26" i="9"/>
  <c r="J27" i="3"/>
  <c r="B27" i="9" s="1"/>
  <c r="J28" i="3"/>
  <c r="B28" i="9" s="1"/>
  <c r="J29" i="3"/>
  <c r="B29" i="9" s="1"/>
  <c r="J30" i="3"/>
  <c r="B30" i="9" s="1"/>
  <c r="J31" i="3"/>
  <c r="B31" i="9" s="1"/>
  <c r="J32" i="3"/>
  <c r="B32" i="9" s="1"/>
  <c r="B33" i="9"/>
  <c r="J34" i="3"/>
  <c r="B34" i="9" s="1"/>
  <c r="J35" i="3"/>
  <c r="B35" i="9" s="1"/>
  <c r="J36" i="3"/>
  <c r="B36" i="9" s="1"/>
  <c r="J37" i="3"/>
  <c r="J38" i="3"/>
  <c r="J39" i="3"/>
  <c r="J40" i="3"/>
  <c r="J41" i="3"/>
  <c r="J43" i="3"/>
  <c r="J45" i="3"/>
  <c r="J46" i="3"/>
  <c r="J47" i="3"/>
  <c r="J48" i="3"/>
  <c r="J49" i="3"/>
  <c r="J50" i="3"/>
  <c r="J51" i="3"/>
  <c r="J53" i="3"/>
  <c r="J54" i="3"/>
  <c r="J55" i="3"/>
  <c r="J56" i="3"/>
  <c r="J58" i="3"/>
  <c r="J59" i="3"/>
  <c r="J60" i="3"/>
  <c r="J61" i="3"/>
  <c r="J62" i="3"/>
  <c r="J63" i="3"/>
  <c r="J64" i="3"/>
  <c r="J65" i="3"/>
  <c r="J66" i="3"/>
  <c r="J67" i="3"/>
  <c r="J70" i="3"/>
  <c r="J71" i="3"/>
  <c r="J72" i="3"/>
  <c r="J73" i="3"/>
  <c r="J74" i="3"/>
  <c r="J75" i="3"/>
  <c r="J76" i="3"/>
  <c r="J77" i="3"/>
  <c r="J78" i="3"/>
  <c r="J79" i="3"/>
  <c r="J80" i="3"/>
  <c r="J81" i="3"/>
  <c r="J83" i="3"/>
  <c r="J84" i="3"/>
  <c r="J85" i="3"/>
  <c r="J86" i="3"/>
  <c r="J87" i="3"/>
  <c r="J88" i="3"/>
  <c r="J89" i="3"/>
  <c r="J93" i="3"/>
  <c r="J94" i="3"/>
  <c r="J96" i="3"/>
  <c r="J97" i="3"/>
  <c r="J98" i="3"/>
  <c r="J99" i="3"/>
  <c r="J113" i="3"/>
  <c r="J118" i="3"/>
  <c r="J120" i="3"/>
  <c r="J121" i="3"/>
  <c r="J122" i="3"/>
  <c r="J123" i="3"/>
  <c r="J124" i="3"/>
  <c r="J125" i="3"/>
  <c r="J126" i="3"/>
  <c r="J128" i="3"/>
  <c r="J129" i="3"/>
  <c r="J130" i="3"/>
  <c r="J131" i="3"/>
  <c r="J132" i="3"/>
  <c r="J135" i="3"/>
  <c r="J136" i="3"/>
  <c r="J137" i="3"/>
  <c r="J138" i="3"/>
  <c r="J139" i="3"/>
  <c r="J140" i="3"/>
  <c r="J141" i="3"/>
  <c r="J143" i="3"/>
  <c r="J144" i="3"/>
  <c r="J146" i="3"/>
  <c r="J147" i="3"/>
  <c r="J148" i="3"/>
  <c r="J149" i="3"/>
  <c r="J150" i="3"/>
  <c r="J151" i="3"/>
  <c r="J152" i="3"/>
  <c r="J153" i="3"/>
  <c r="J154" i="3"/>
  <c r="J155" i="3"/>
  <c r="J156" i="3"/>
  <c r="J157" i="3"/>
  <c r="J158" i="3"/>
  <c r="J159" i="3"/>
  <c r="J160" i="3"/>
  <c r="J161" i="3"/>
  <c r="J163" i="3"/>
  <c r="J164" i="3"/>
  <c r="J165" i="3"/>
  <c r="J166" i="3"/>
  <c r="J167" i="3"/>
  <c r="J5" i="3"/>
  <c r="B5"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Parpal Servole, Jordi</author>
  </authors>
  <commentList>
    <comment ref="G4" authorId="0" shapeId="0" xr:uid="{00000000-0006-0000-0300-000001000000}">
      <text>
        <r>
          <rPr>
            <b/>
            <sz val="9"/>
            <color indexed="81"/>
            <rFont val="Tahoma"/>
            <family val="2"/>
          </rPr>
          <t>Parpal Servole, Jordi:</t>
        </r>
        <r>
          <rPr>
            <sz val="9"/>
            <color indexed="81"/>
            <rFont val="Tahoma"/>
            <family val="2"/>
          </rPr>
          <t xml:space="preserve">
Els Parcs haurien d'optar per suprimir o modificar els objectius operatius que no es consideren obligats per a tots els Parcs (columna I)</t>
        </r>
      </text>
    </comment>
  </commentList>
</comments>
</file>

<file path=xl/sharedStrings.xml><?xml version="1.0" encoding="utf-8"?>
<sst xmlns="http://schemas.openxmlformats.org/spreadsheetml/2006/main" count="3126" uniqueCount="1562">
  <si>
    <t xml:space="preserve">ESQUEMA CONCEPTUAL PER A LA ELABORACIÓ DEL PLA ESTRATÈGIC EN EL MARC </t>
  </si>
  <si>
    <t>DELS ESTÀNDARDS OBERTS PER A LA GESTIÓ ADAPTATIVA A CATALUNYA</t>
  </si>
  <si>
    <t>PESTANYA DE PRIORITZACIÓ</t>
  </si>
  <si>
    <t>Llistat elements:</t>
  </si>
  <si>
    <t>Tasca 1: Revisar el llistat d'elements prioritzats per tal d'avaluar si cal afegir-ne algun o treure'n algun. A la columna comentaris cal argumentar, breument, el perquè de la decisió.</t>
  </si>
  <si>
    <t>Llistat amenaces:</t>
  </si>
  <si>
    <t>Tasca 2: A partir de la taxonomia d'amenaces que es troba a la pestanya final, cal omplir les tres columnes (E, F i G) amb les tres principals amenaces per a la conservació de l'element. S'afegeixi una darrera columna per si hi ha amenaces que no es troben incloses a la taxonomia.</t>
  </si>
  <si>
    <t>PESTANYA DEL PLA</t>
  </si>
  <si>
    <t>Explicacions:</t>
  </si>
  <si>
    <t>7 Eixos temàtics</t>
  </si>
  <si>
    <t>Els objectius generals estan directament associats als objectius generals dels Plans de Protecció del medi naatural i del paisatge. NO ES PODEN RETOCAR</t>
  </si>
  <si>
    <t>Objectius estratègics: definits en un grup de treball intern de serveis Centrals i dels Parcs durant l'any 2023. NO ES PODEN RETOCAR</t>
  </si>
  <si>
    <t>Objectius operacionals: definits en un grup de treball intern de serveis Centrals i dels Parcs durant l'any 2023</t>
  </si>
  <si>
    <t>Tasques a realitzar:</t>
  </si>
  <si>
    <t>Objectius operacionals:</t>
  </si>
  <si>
    <t xml:space="preserve">El llistat d'objectius operacionals té una columna al costa (columna I) on s'indica si l'objectiu és obligatori de mantenir al Pla estratègic o no. </t>
  </si>
  <si>
    <t>Tasca 1: Columna I. Revisar els que es posa com a obligatoris per veure si són realment aplicables a l'espai o no.</t>
  </si>
  <si>
    <t>Tasca 2: Columna I. Revisar els que posa "Opcional" per identificar els que són aplicables o no a l'espai. O, també, determinar si algun d'ells seria aplicable o es pot concretar millor el redactat de l'objectiu.</t>
  </si>
  <si>
    <t xml:space="preserve">Tasca 3: Columna J. En ambdós casos, cal posar a la columna J, el redactat final de l'objectiu concretat a l'espai. En el cas de que l'objectiu s'elimina, posar "NA". Ara es reprodueix el redactat dels objectius operacionals derivats del grup de treball esmentat </t>
  </si>
  <si>
    <t>Tasca 4: Columna K. Per tots els casos en que hi ha modificació respecte al redactat original de l'objectiu operatiu -i, també, en el cas que es consideri que s'ha d'eliminar-, a la columna K cal redactar molt breument el motiu pel qual es prèn la decisió.</t>
  </si>
  <si>
    <t>Tasca 5: Columna L. Incloure un Si/No avaluant si l'objectiu operatiu podria tenir mesures a incorporar a la programació d'actuacions de l'espai (Si) o, per altra banda, el seu assoliment depèn d'altres òrgans, com l'ACA o altres serveis dins la DGPAMN (No).</t>
  </si>
  <si>
    <t>Tasca 6: Columna M. Definir la prioritat que hauria de tenir l'assoliment de l'objectiu (màxima, si cal assolir en els propers 4 anys, o altrament alta, mitja o baixa). També hi ha l'opció de prioritat a assolir a més llarg termini.</t>
  </si>
  <si>
    <t>Propostes genèriques d'accions:</t>
  </si>
  <si>
    <t xml:space="preserve">Tasca 7: Columna N. En aquest columna cal introduir les accions, de manera genèrica, que caldria aplicar a l'espai per tal d'assolir l'objectiu operatiu. No es tracta d'un llistat d'accions concretes si no, més aviat, accions generals que acabarien concretant-se en la programació anual. PER A INICIAR AMB LA TAULA US PODEU BASAR MOLT EN LA FEINA JA FETA DE PRIORITZACIÓ DE MESURES PEL MAP  </t>
  </si>
  <si>
    <t xml:space="preserve">En el cas dels objectius operatius que s'ha considerat que no són aplicables a l'espai, cal avaluar si podrien tenir alguna acció que sí tindria sentit d'incloure al Pla estratègic tot i que l'objectiu de manera global no hi ´seria d'aplicació. </t>
  </si>
  <si>
    <t>Indicadors:</t>
  </si>
  <si>
    <t>Tasca 8: Columna Q. Posar un indicar SMART per avaluar el compliment de la mesura proposada a la columna N</t>
  </si>
  <si>
    <t>Fites a assolir en 4 anys:</t>
  </si>
  <si>
    <t>Tasca 9: Posar un valor de l'indicador a asolir: valor mínim necessari (columna R) o valor desitjable (columna S).</t>
  </si>
  <si>
    <t>Hores de dedicació:</t>
  </si>
  <si>
    <t xml:space="preserve">Tasca 10: Columna T. Realitzar una aproximació el més acurada que es pugui de les hores del personal de gestió de l'espai que cal destinar per a la realització de l'acció. </t>
  </si>
  <si>
    <t>Àrea responsable:</t>
  </si>
  <si>
    <t>Tasca 11: Columna U. Indicar quina àrea de l'equip de gestió és responsable de coordinar l'execució de l'acció.</t>
  </si>
  <si>
    <t>Persona responsable:</t>
  </si>
  <si>
    <t>Tasca 12: Columna V. Indicar quina persona dins l'àrea seria l'encarregada.</t>
  </si>
  <si>
    <t>PESTANYA DEL VINCLE</t>
  </si>
  <si>
    <t>Definir vincle amenaça vs. Obj. Operatiu</t>
  </si>
  <si>
    <t xml:space="preserve">Tasca 1: Establir / Revisar el vincle entre les amenaces identificades a la pestanya de priorització i els objectius operatius definits a la columna J de la pestanya Pla. La columna B conté el llistat dels objectius operatius tal i com quedaran definits després de la vostra revisió. </t>
  </si>
  <si>
    <t xml:space="preserve">Tasca 2: En cas que es pugui, definir l'amenaça / factor / causa concret a la que atén l'objectiu definit al Pla. Poden ser més d'una. </t>
  </si>
  <si>
    <t xml:space="preserve"> És important que es visualitzi a quina amenaça es dirigeix l'objectiu operatiu que es proposa al Pla, tot i que, no sempre hi ha d'haver un vincle clar. Pot haver algun objectiu sense amenaça vinculada.</t>
  </si>
  <si>
    <t>Llistats corresponent a l'espai de Natura 2000 ES5120002"Capçaleres del Ter i del Freser"</t>
  </si>
  <si>
    <t>LLISTAT D'ELEMENTS PRESENT A L'ESPAI</t>
  </si>
  <si>
    <t>AMENACES PER A CADA ELEMENT</t>
  </si>
  <si>
    <t>Hàbitats d'interès comunitari</t>
  </si>
  <si>
    <t>Prioritzat</t>
  </si>
  <si>
    <t>Puntuació índex rellevància</t>
  </si>
  <si>
    <t>Comentaris en cas de canvi en la priorització</t>
  </si>
  <si>
    <t>Amenaça 1 segons taxonomia</t>
  </si>
  <si>
    <t>Amenaça 2 segons taxonomia</t>
  </si>
  <si>
    <t>Amenaça 3 segons taxonomia</t>
  </si>
  <si>
    <t>Altres amenaces</t>
  </si>
  <si>
    <t>3110 - Aigües estagnants oligotròfiques, molt poc mineralitzades (Littorelletalia uniflorae)</t>
  </si>
  <si>
    <t>Nota: La priorització d'elements actual inclou els Elements Clau que es van determinar en l'instrument de gestió aprovat amb l'Acord de Govern 150/2014 (Annex 6)</t>
  </si>
  <si>
    <t>3130 - Aigües estagnants oligotròfiques o mesotròfiques amb vegetació de Littorelletea uniflorae i/o Isoëto-nanojuncetea</t>
  </si>
  <si>
    <t>Aquest Acord era per les Zones Especials de Conservació, no per les ZEPA i, per tant, no es va fer l'exercici de priorització de les aus.</t>
  </si>
  <si>
    <t>3240 - Rius de tipus alpí amb bosquines de muntanya</t>
  </si>
  <si>
    <t>També inclou el primer quartil de l'exercici de la UIC per prioritzar els elements present a cada espai de Natura 2000, és a dir, el 25% dels</t>
  </si>
  <si>
    <t>4030 - Landes atlàntiques i subatlàntiques seques</t>
  </si>
  <si>
    <t>elements amb major índex de rellevància a l'espai. Veure document metodològic aquí:</t>
  </si>
  <si>
    <t>4060 - Matollars alpins i boreals</t>
  </si>
  <si>
    <t>Si</t>
  </si>
  <si>
    <t>Impactes del canvi climàtic relatius a l'alteració del règim de precipitació i sequera</t>
  </si>
  <si>
    <t>Impactes del canvi climàtic relatius a l'alteració del règim de temperatures</t>
  </si>
  <si>
    <t>https://gencat.sharepoint.com/sites/Informaciiconeixementpatrimoninatural2/Documents%20compartits/Forms/AllItems.aspx?csf=1&amp;web=1&amp;e=3x4ZkK&amp;ovuser=3b9427dc%2Dd30e%2D43bc%2D8c06%2Dff7253676fec%2Cjordiparpal%40gencat%2Ecat&amp;OR=Teams%2DHL&amp;CT=1713942253212&amp;clic</t>
  </si>
  <si>
    <t>4090 - Matollars xerocàntics endèmics oromediterranis</t>
  </si>
  <si>
    <t>No</t>
  </si>
  <si>
    <t>Hàbitat molt poc present al parc</t>
  </si>
  <si>
    <t>El llistat original d'elements prové de les taules del MAP que heu estat treballant amb el SENP</t>
  </si>
  <si>
    <t>5110 - Boixedes xerotermòfiles permanents, dels vessants rocosos</t>
  </si>
  <si>
    <t>5120 - Formacions muntanyenques de bàlec (Genista balansae subsp. europaea = Cytisus purgans)</t>
  </si>
  <si>
    <t>5130 - Formacions de Juniperus communis colonitzadores de landes o de pastures calcícoles</t>
  </si>
  <si>
    <t>Hàbitat en expansió en deteriorament d'altres hàbitats que si que es consideren prioritaris</t>
  </si>
  <si>
    <t>6110p - Prats calcàris o basòfils d'Alysso-Sedion albi (*)</t>
  </si>
  <si>
    <t>6140 - Gespets tancats, silicícoles, dels Pirineus</t>
  </si>
  <si>
    <t>6170 - Prats calcícoles alpins i subalpins</t>
  </si>
  <si>
    <t>Ramaderia</t>
  </si>
  <si>
    <t>6210 - Prats -i fàcies emmatades- medioeuropeus, seminaturals, sobre substrat calcari (Festuco-Brometea)</t>
  </si>
  <si>
    <t>6230p - Prats de pèl caní (Nardus stricta), rics florísticament, dels terrenys silicis de la muntanya mitjana atlàntica o subatlàntica </t>
  </si>
  <si>
    <t>Desaparició d'activitats tradicionals</t>
  </si>
  <si>
    <t>Maneig ramader</t>
  </si>
  <si>
    <t>6410 - Herbassars de Molinia coerulea en sòls calcaris torbosos o argil·lollimosos (Molinion caeruleae)</t>
  </si>
  <si>
    <t>6420 - Jonqueres i herbassars graminoides humits, mediterranis, del Molinio-Holoschoenion</t>
  </si>
  <si>
    <t>6430 - Herbassars higròfils, tant de marges i vorades com de l'alta muntanya</t>
  </si>
  <si>
    <t>6510 - Prats de dall de terra baixa i de la muntanya mitjana (Arrhenatherion)</t>
  </si>
  <si>
    <t>Tot i ser un hàbitat poc present al Parc, es troba en regressió arreu i a més a més és possible conservar-lo amb mesures de gestió activa.</t>
  </si>
  <si>
    <t>6520 - Prats de dall altimontans i subalpins (Triseto-Polygonion bistortae)</t>
  </si>
  <si>
    <t>7110p - Torberes altes actives</t>
  </si>
  <si>
    <t>7220p - Fonts petrificants amb formació de travertí (Cratoneurion commutati)</t>
  </si>
  <si>
    <t>7230 - Molleres alcalines</t>
  </si>
  <si>
    <t>7240p - Formacions pioneres alpines del Caricion bicoloris-atrofuscae</t>
  </si>
  <si>
    <t>8110 - Tarteres silícies medioeuropees i dels indrets freds i humits de l'alta muntanya (Galeopsietalia ladani i Androsacetalia alpinae)</t>
  </si>
  <si>
    <t>8130 - Tarteres de l'Europa meridional amb vegetació poc o molt termòfila</t>
  </si>
  <si>
    <t>Molèsties per activitats recreatives</t>
  </si>
  <si>
    <t>8210 - Costers rocosos calcaris amb vegetació rupícola</t>
  </si>
  <si>
    <t>Dubtós</t>
  </si>
  <si>
    <t>Hàbitat interessant dins el Parc ja que tan sols es troba en alguns sectors específics i acull espècies de flora d'interès. Tot i així, no presenta amenaces clares</t>
  </si>
  <si>
    <t>8220 - Costers rocosos silicis amb vegetació rupícola</t>
  </si>
  <si>
    <t>8230 - Terraprims silicis amb vegetació pionera (Sedo-Scleranthion)</t>
  </si>
  <si>
    <t>8310 - Coves no explotades pel turisme</t>
  </si>
  <si>
    <t>8340 - Glaceres permanents</t>
  </si>
  <si>
    <t>Hàbitat rar a Catalunya, i especialment vulnerable a causa del canvi climàtic. Al Parc el trobem representat per una forma atípica: glaceres rocalloses</t>
  </si>
  <si>
    <t>9120 - Fagedes acidòfiles</t>
  </si>
  <si>
    <t>9130 - Fagedes neutròfiles</t>
  </si>
  <si>
    <t>9180p - Boscos de vessants rostos, tarteres o barrancs, del Tilio-Acerion</t>
  </si>
  <si>
    <t>91E0p - Vernedes i altres boscos de ribera afins (Alno-Padion)</t>
  </si>
  <si>
    <t>9430 - Boscos de pi negre (Pinus uncinata) sobre substrat silici</t>
  </si>
  <si>
    <t>9430p - Boscos de pi negre (Pinus uncinata) sobre substrat calcari</t>
  </si>
  <si>
    <t xml:space="preserve">És un hàbitat escàs al Parc i no es coneixen amenaces clares que puguin condicionar la seva persistència. </t>
  </si>
  <si>
    <t>Espècies d'interès comunitari</t>
  </si>
  <si>
    <t>Accipiter gentilis gentilis</t>
  </si>
  <si>
    <t>Accipiter nisus</t>
  </si>
  <si>
    <t>Aegithalos caudatus</t>
  </si>
  <si>
    <t>Aegolius funereus</t>
  </si>
  <si>
    <t xml:space="preserve">Treballs forestals </t>
  </si>
  <si>
    <t>Alauda arvensis</t>
  </si>
  <si>
    <t>Alytes obstetricans</t>
  </si>
  <si>
    <t>Anas platyrhynchos</t>
  </si>
  <si>
    <t>Anthus campestris</t>
  </si>
  <si>
    <t>Anthus spinoletta</t>
  </si>
  <si>
    <t>Espècie abundant i ben distribuïda al Parc.</t>
  </si>
  <si>
    <t>Anthus trivialis</t>
  </si>
  <si>
    <t>Aquila chrysaetos</t>
  </si>
  <si>
    <t xml:space="preserve">Malgrat ser una espècie en expansió es tracta d'una espècie clau a l'espai, únic gran depredador present actualment. </t>
  </si>
  <si>
    <t>Conduccions</t>
  </si>
  <si>
    <t>Residus sòlids</t>
  </si>
  <si>
    <t>Arnica montana</t>
  </si>
  <si>
    <t>Espècie que era abundant i que actualment s'està rarificant</t>
  </si>
  <si>
    <t>Recol·lecció de vegetals</t>
  </si>
  <si>
    <t>Arvicola sapidus</t>
  </si>
  <si>
    <t xml:space="preserve">Espècie amb presència confirmada dins el Parc que es troba amenaçada i en regressió. </t>
  </si>
  <si>
    <t>Espècies invasores</t>
  </si>
  <si>
    <t>Gestió de l'aigua</t>
  </si>
  <si>
    <t>Asio otus</t>
  </si>
  <si>
    <t>Barbastella barbastellus</t>
  </si>
  <si>
    <t>Espècie catalogada com a vulnerable, present a l'espai</t>
  </si>
  <si>
    <t>Gestió d'hàbitats</t>
  </si>
  <si>
    <t>Bubo bubo</t>
  </si>
  <si>
    <t>Buxbaumia viridis</t>
  </si>
  <si>
    <t>Calotriton asper</t>
  </si>
  <si>
    <t>Espècie endèmica del Pirineu i relativament escassa. Al Parc es troba present només en alguns torrents determinats</t>
  </si>
  <si>
    <t>Polució aquàtica</t>
  </si>
  <si>
    <t>Canis lupus</t>
  </si>
  <si>
    <t>Caça i recol·lecció d'animals</t>
  </si>
  <si>
    <t>Caprimulgus europaeus</t>
  </si>
  <si>
    <t>Carduelis citrinella</t>
  </si>
  <si>
    <t>Certhia brachydactyla all others</t>
  </si>
  <si>
    <t>Charadrius morinellus</t>
  </si>
  <si>
    <t>Espècie amenaçada. S'han constatat diversos intents de nidificació al Pirineu, alguns dels quals a les proximitats del Parc. Aquests individus nidificants es desconeix si són ocasionals o si realment es tracta d'una població desconectada de la resta d'Europa. A més a més, el Pirineu oriental té un paper rellevant durant la migració.</t>
  </si>
  <si>
    <t>Cinclus cinclus</t>
  </si>
  <si>
    <t>Circaetus gallicus</t>
  </si>
  <si>
    <t>Columba palumbus palumbus</t>
  </si>
  <si>
    <t>Corallorhiza trifida</t>
  </si>
  <si>
    <t>Coronella austriaca</t>
  </si>
  <si>
    <t>Espècies desestabilitzades</t>
  </si>
  <si>
    <t>Vials de transport</t>
  </si>
  <si>
    <t>Corvus corax</t>
  </si>
  <si>
    <t>Corvus corone</t>
  </si>
  <si>
    <t>Coturnix coturnix</t>
  </si>
  <si>
    <t>Cuculus canorus</t>
  </si>
  <si>
    <t>Cyanistes caeruleus</t>
  </si>
  <si>
    <t>Daphne alpina</t>
  </si>
  <si>
    <t>Es desconeix la seva presència a l'espai</t>
  </si>
  <si>
    <t>Delichon urbicum</t>
  </si>
  <si>
    <t>Delphinium montanum</t>
  </si>
  <si>
    <t>Espècie que s'ha afegit a la llista ja que es considera una espècie prioritària a l'espai, malgrat no ser d'interès comunitari. És una espècie endèmica del Pirineu Oriental, amb un nombre baix de localitats.</t>
  </si>
  <si>
    <t>Dendrocopos major</t>
  </si>
  <si>
    <t>Dryocopus martius</t>
  </si>
  <si>
    <t>Emberiza cia</t>
  </si>
  <si>
    <t>Malgrat estar en regressió a Catalunya és una espècie poc present al Parc Natural, i la gestió que es faci poc podrà incidir en la conservació d'aquesta espècie. A més a més, al ripollès és una espècie abundant i ben distribuïda a cotes baixes</t>
  </si>
  <si>
    <t>Emberiza citrinella</t>
  </si>
  <si>
    <t xml:space="preserve">Espècie que s'ha afegit a la llista per estar catalogada com a vulnerable al catàleg de fauna amenaçada de Catalunya, i perquè la seva conservació es veu afectada per a la gestió que es dugui a terme. </t>
  </si>
  <si>
    <t>Emberiza hortulana</t>
  </si>
  <si>
    <t>Podria considerar-se prioritari però al Parc Natural l'hàbitat potencial és escàs i es coneix tan sols un sol punt confirmat de nidificació. La gestió poc incidirà en l'espècie</t>
  </si>
  <si>
    <t>Epidalea calamita</t>
  </si>
  <si>
    <t>Eptesicus serotinus</t>
  </si>
  <si>
    <t>Eriogaster catax</t>
  </si>
  <si>
    <t>Es desconeix la seva presència a l'espai.</t>
  </si>
  <si>
    <t>Erithacus rubecula</t>
  </si>
  <si>
    <t>Euphydryas aurinia</t>
  </si>
  <si>
    <t>D'entrada no es considera prioritaria però podria tenir interès la presència de la subespècie pyrenesdebilis.</t>
  </si>
  <si>
    <t>Falco peregrinus</t>
  </si>
  <si>
    <t>Falco tinnunculus</t>
  </si>
  <si>
    <t>Felis silvestris</t>
  </si>
  <si>
    <t>Fringilla coelebs all others</t>
  </si>
  <si>
    <t>Galemys pyrenaicus</t>
  </si>
  <si>
    <t>Garrulus glandarius</t>
  </si>
  <si>
    <t>Gentiana lutea</t>
  </si>
  <si>
    <t>Graellsia isabellae</t>
  </si>
  <si>
    <t>Gypaetus barbatus</t>
  </si>
  <si>
    <t>Espècie amenaçada amb presència recurrent dins l'espai, on ha fet diversos intents de nidificació. El Parc es troba pròxim al límit de distribució actual de la població nidificant, i a més és un espai inclòs dins el pla de recuperació de l'espècie.</t>
  </si>
  <si>
    <t>Gyps fulvus</t>
  </si>
  <si>
    <t>Hieraaetus pennatus</t>
  </si>
  <si>
    <t>Hierophis viridiflavus</t>
  </si>
  <si>
    <t xml:space="preserve">Espècie segurament en regressió, que es veu perjudicada per l'expansió de la serp verda, més termòfila i abundant. </t>
  </si>
  <si>
    <t>Hypsugo savii</t>
  </si>
  <si>
    <t>Lacerta agilis</t>
  </si>
  <si>
    <t>Lacerta bilineata</t>
  </si>
  <si>
    <t>Lagopus muta pyrenaica</t>
  </si>
  <si>
    <t>Lanius collurio</t>
  </si>
  <si>
    <t>Linaria cannabina</t>
  </si>
  <si>
    <t>Lophophanes cristatus</t>
  </si>
  <si>
    <t>Loxia curvirostra</t>
  </si>
  <si>
    <t>Lucanus cervus</t>
  </si>
  <si>
    <t>Lullula arborea</t>
  </si>
  <si>
    <t>Lutra lutra</t>
  </si>
  <si>
    <t>Maculinea alcon</t>
  </si>
  <si>
    <t>Tot i ser poc present a l'espai es considera prioritària al ser una espècie relativament rara, i trobar-se lligada a hàbitats molt puntuals que es veuen influenciats per a la gestió directa</t>
  </si>
  <si>
    <t>Maianthemum bifolium</t>
  </si>
  <si>
    <t>Martes martes</t>
  </si>
  <si>
    <t>Miniopterus schreibersii</t>
  </si>
  <si>
    <t>Monticola saxatilis</t>
  </si>
  <si>
    <t>Motacilla alba</t>
  </si>
  <si>
    <t>Motacilla cinerea</t>
  </si>
  <si>
    <t>Mustela erminea</t>
  </si>
  <si>
    <t>Mustela putorius</t>
  </si>
  <si>
    <t>Espècie que s'ha afegit a la llista, ja que tot i no ser d'interès comunitari és una espècie prioritària a l'espai. Espècie greument amenaçada a Catalunya. El Parc i les seves proximitats és el punt de Catalunya on recentment es detecta l'espècie de forma més recurrent.</t>
  </si>
  <si>
    <t>Myotis bechsteinii</t>
  </si>
  <si>
    <t>Espècie catalogada en perill d'extinció, present a l'espai</t>
  </si>
  <si>
    <t>Myotis blythii</t>
  </si>
  <si>
    <t>Myotis cripticus</t>
  </si>
  <si>
    <t>Myotis emarginatus</t>
  </si>
  <si>
    <t>Myotis mystacinus</t>
  </si>
  <si>
    <t>Neomys milleri</t>
  </si>
  <si>
    <t>Nyctalus leisleri</t>
  </si>
  <si>
    <t>Oenanthe oenanthe</t>
  </si>
  <si>
    <t>Es pot considerar prioritari però manté una població abundant al Parc i altres zones del Pirineu, i per tant no es considera que hagi de tenir una puntuació tan elevada</t>
  </si>
  <si>
    <t>Oncophorus wahlenbergii</t>
  </si>
  <si>
    <t>Parnassius apollo</t>
  </si>
  <si>
    <t>Parnassius mneomosyne</t>
  </si>
  <si>
    <t>Parus major</t>
  </si>
  <si>
    <t>Perdix perdix hispaniensis</t>
  </si>
  <si>
    <t>Periparus ater all others</t>
  </si>
  <si>
    <t>Pernis apivorus</t>
  </si>
  <si>
    <t xml:space="preserve">Espècie en increment. Hàbitat potencial al Parc limitat. </t>
  </si>
  <si>
    <t>Phoenicurus ochruros</t>
  </si>
  <si>
    <t>Phylloscopus bonelli</t>
  </si>
  <si>
    <t>Phylloscopus collybita</t>
  </si>
  <si>
    <t>Picus viridis</t>
  </si>
  <si>
    <t>Pipistrellus kuhlii</t>
  </si>
  <si>
    <t>Pipistrellus pipistrellus</t>
  </si>
  <si>
    <t>Pipistrellus pygmaeus</t>
  </si>
  <si>
    <t>Plecotus auritus</t>
  </si>
  <si>
    <t>Plecotus austriacus</t>
  </si>
  <si>
    <t>Plecotus macrobularis</t>
  </si>
  <si>
    <t>Podarcis muralis</t>
  </si>
  <si>
    <t>Poecile palustris</t>
  </si>
  <si>
    <t>Prunella collaris</t>
  </si>
  <si>
    <t>Prunella modularis</t>
  </si>
  <si>
    <t>Ptyonoprogne rupestris</t>
  </si>
  <si>
    <t>Pyrrhocorax graculus</t>
  </si>
  <si>
    <t xml:space="preserve">Espècie que s'ha afegit a la llista, ja que tot i no ser d'interès comunitari és una espècie prioritària a l'espai. Espècie amb una població reproductora de segurament pocs exemplars que es pot veure afectada per les activitats que es duen a terme dins el Parc si no es du a terme una gestió correcte. A més a més, el Parc es un dels extrems de la població catalana. </t>
  </si>
  <si>
    <t>Pyrrhocorax pyrrhocorax</t>
  </si>
  <si>
    <t>Pyrrhula pyrrhula</t>
  </si>
  <si>
    <t>Espècie de distribució àmplia i abundant a les cotes més baixes. Poc present dins el Parc.</t>
  </si>
  <si>
    <t>Rana perezi</t>
  </si>
  <si>
    <t>Rana temporaria</t>
  </si>
  <si>
    <t>Espècie abundant i de distribució àmplia.</t>
  </si>
  <si>
    <t>Regulus ignicapilla</t>
  </si>
  <si>
    <t>Regulus regulus</t>
  </si>
  <si>
    <t>Espècie abundant i àmpliament distribuïda al Pirineu</t>
  </si>
  <si>
    <t>Rhinolophus ferrumequinum</t>
  </si>
  <si>
    <t>Rhinolophus hipposideros</t>
  </si>
  <si>
    <t>Rosalia alpina</t>
  </si>
  <si>
    <t>Rupicapra rupicapra pyrenaica</t>
  </si>
  <si>
    <t>Saxicola rubetra</t>
  </si>
  <si>
    <t xml:space="preserve">Malgrat que les cites de nidificació dins l'espai són escasses es podria considerar prioritari al tractar-se d'un dels límits de distribució. </t>
  </si>
  <si>
    <t>Saxicola torquatus</t>
  </si>
  <si>
    <t>Scolopax rusticola</t>
  </si>
  <si>
    <t xml:space="preserve">Nidificant escàs al Pirineu, amb una població reproductora molt desconeguda. En declivi al SO d'Europa, i segurament en declivi al Pirineu oriental. </t>
  </si>
  <si>
    <t>Sitta europaea</t>
  </si>
  <si>
    <t>Strix aluco</t>
  </si>
  <si>
    <t>Sylvia atricapilla</t>
  </si>
  <si>
    <t>Sylvia borin</t>
  </si>
  <si>
    <t>Sylvia communis</t>
  </si>
  <si>
    <t>Espècie que es troba en regressió a tot Catalunya. Present als hàbitats arbustrius de les cotes baixes del parc</t>
  </si>
  <si>
    <t>Sylvia undata</t>
  </si>
  <si>
    <t>Tadarida teniotis</t>
  </si>
  <si>
    <t>Tetrao urogallus aquitanicus</t>
  </si>
  <si>
    <t>Molèsties per activitats recreatives; Treballs forestals</t>
  </si>
  <si>
    <t>Tichodroma muraria</t>
  </si>
  <si>
    <t>Troglodytes troglodytes all others</t>
  </si>
  <si>
    <t>Turdus merula</t>
  </si>
  <si>
    <t>Turdus philomelos</t>
  </si>
  <si>
    <t>Turdus torquatus</t>
  </si>
  <si>
    <t>Espècie prou abundant al Parc.</t>
  </si>
  <si>
    <t>Turdus viscivorus</t>
  </si>
  <si>
    <t>Zootoca vivipara</t>
  </si>
  <si>
    <t xml:space="preserve">Espècie que s'ha afegit a la llista, ja que tot i no ser d'interès comunitari es considera una espècie prioritària a l'espai. El Parc és un dels límits de distribució i l'espècie es pot veure afectada per la gestió que es faci a l'espai, així com per el canvi climàtic. </t>
  </si>
  <si>
    <t>MODEL DE PLA ESTRATÈGIC PELS ENP</t>
  </si>
  <si>
    <t>Espai natural protegit:</t>
  </si>
  <si>
    <t>Capçaleres del Ter i del Freser</t>
  </si>
  <si>
    <t>Fita a assolir en 4 anys</t>
  </si>
  <si>
    <t>Gestió interna</t>
  </si>
  <si>
    <t>EIXOS</t>
  </si>
  <si>
    <t>OBJECTIUS Generals (PP)</t>
  </si>
  <si>
    <t>OBJECTIUS Estratègics</t>
  </si>
  <si>
    <t>OBJECTIUS operatius / Línia estratègica</t>
  </si>
  <si>
    <t>Comú / Específic</t>
  </si>
  <si>
    <t>Obligatori / Optatiu</t>
  </si>
  <si>
    <t>Objectiu operatiu concret a l'espai</t>
  </si>
  <si>
    <t>Explicació de la decisió presa en el cas de canvis respecte al llistat inicial (columna G)</t>
  </si>
  <si>
    <t>Objectiu amb mesures incorporables a la planificació anual de la gestió de l'espai?</t>
  </si>
  <si>
    <t>Prioritat</t>
  </si>
  <si>
    <t>Propostes genèriques d'accions</t>
  </si>
  <si>
    <t>Vincles amb d'altres accions</t>
  </si>
  <si>
    <t>MODIFICACIONS PENDENTS</t>
  </si>
  <si>
    <t>Marc de referència</t>
  </si>
  <si>
    <t>Resultats derivats</t>
  </si>
  <si>
    <t>indicadors</t>
  </si>
  <si>
    <t>Mínima</t>
  </si>
  <si>
    <t>Màxim (Desitjable)</t>
  </si>
  <si>
    <t>Hores de dedicació</t>
  </si>
  <si>
    <t>Àrea responsable</t>
  </si>
  <si>
    <t>Persona responsable / Persona a implicar</t>
  </si>
  <si>
    <t>Documentació vinculada</t>
  </si>
  <si>
    <t>Comentaris</t>
  </si>
  <si>
    <t>NATURA</t>
  </si>
  <si>
    <t>CONSERVAR LA NATURA i restaurar els ecosistemes, els processos naturals i seminaturals, la biodiversitat i la geodiversitat associada.</t>
  </si>
  <si>
    <t>01.1</t>
  </si>
  <si>
    <t>Adequar i fer eficient la conservació dels elements objecte de gestió prioritària marcats per la DG a l'ENP</t>
  </si>
  <si>
    <t>01.1.1</t>
  </si>
  <si>
    <t>Implementar i executar plans de gestió específics per a hàbitats i espècies de conservació prioritària dins l'ENP</t>
  </si>
  <si>
    <t>Comú</t>
  </si>
  <si>
    <t xml:space="preserve">Obligatori </t>
  </si>
  <si>
    <t>MÀXIMA</t>
  </si>
  <si>
    <t xml:space="preserve">1) Realització d'accions per a la millora dels elements prioritzats a l'espai:
- Actuacions de millora d'hàbitat per el gall fer
- Recuperació de sistemes de mollera 
- Reducció de l'impacte de la freqüentació en zones d'alta muntanya 
</t>
  </si>
  <si>
    <t>MAP</t>
  </si>
  <si>
    <t>SFF: Elaboració de plans de gestió específics per a espècies de conservació prioritària i directrius de gestió d'hàbitats.
SFF/SENP: Definir a nivell de cluster quins son els que es poden elaborar conjuntament.</t>
  </si>
  <si>
    <r>
      <t>1) Projectes de gestió activa</t>
    </r>
    <r>
      <rPr>
        <sz val="11"/>
        <color theme="9" tint="-0.249977111117893"/>
        <rFont val="Calibri"/>
        <family val="2"/>
        <scheme val="minor"/>
      </rPr>
      <t xml:space="preserve"> i/o adaptatiu lligat a l'objectiu 1.2.1</t>
    </r>
    <r>
      <rPr>
        <sz val="11"/>
        <color theme="1"/>
        <rFont val="Calibri"/>
        <family val="2"/>
        <scheme val="minor"/>
      </rPr>
      <t xml:space="preserve"> duts a terme per a la millora dels elements de conservació prioritària   
2) Nombre de seguiments efectuats per diferents tipologies (sòls, espècies herbàcies, interès farratger i invertebrats) en les 23 parcel·les de seguiment establertes 3) classificació de l'estat eològic de pastures altimontanes i subalpines amb elemètode del transsecte (percentage de bon estat, regular i dolent)</t>
    </r>
  </si>
  <si>
    <r>
      <t>1)</t>
    </r>
    <r>
      <rPr>
        <b/>
        <sz val="11"/>
        <color rgb="FF00B050"/>
        <rFont val="Calibri"/>
        <family val="2"/>
        <scheme val="minor"/>
      </rPr>
      <t xml:space="preserve"> 5  </t>
    </r>
    <r>
      <rPr>
        <sz val="11"/>
        <color theme="1"/>
        <rFont val="Calibri"/>
        <family val="2"/>
        <scheme val="minor"/>
      </rPr>
      <t xml:space="preserve">                      2) 4                       3) avaluar-ne 30 (&gt;50% bon estat)</t>
    </r>
  </si>
  <si>
    <r>
      <t xml:space="preserve">1)  </t>
    </r>
    <r>
      <rPr>
        <b/>
        <sz val="11"/>
        <color rgb="FF00B050"/>
        <rFont val="Calibri"/>
        <family val="2"/>
        <scheme val="minor"/>
      </rPr>
      <t xml:space="preserve">5  </t>
    </r>
    <r>
      <rPr>
        <sz val="11"/>
        <color theme="1"/>
        <rFont val="Calibri"/>
        <family val="2"/>
        <scheme val="minor"/>
      </rPr>
      <t xml:space="preserve">                             2) 8                         3) avaluar-ne 50 (&gt; 80% bon estat)</t>
    </r>
  </si>
  <si>
    <t>Patrimoni natural/Sistemes agropastorals</t>
  </si>
  <si>
    <t>Anna Planella/Bernat Perramon</t>
  </si>
  <si>
    <t>Posar només projectes de seguiment (POCTEFA Redbio) i recuperació espais oberts???</t>
  </si>
  <si>
    <t>Fusionar-lo amb el 6.1.1.</t>
  </si>
  <si>
    <t>01.1.2</t>
  </si>
  <si>
    <t>Adaptar i executar plans de gestió específics per a elements geològics de conservació prioritària dins l'ENP</t>
  </si>
  <si>
    <t>ALTA</t>
  </si>
  <si>
    <t>1) Accions de conservació i protecció dels elements geològics:
- Retirada d'elements que afecten el patrimoni geològic (creus, làpides...)
- Retirada de les construccions de pedres (tipus vivac) i accions de difusió per limitar-les.
- Protecció d'elements considerats d'interès (per exemple, protecció del dipòsit morrènic de Queralbs)
- Dur a terme una gestió preventiva sobre els usos i activitats que poden afectar la conservació del patrimoni geològic
- Divulgació i sensibilització del patrimoni geològic</t>
  </si>
  <si>
    <t>1) Percentatge d'elements geològics detectats en mal estat de conservació durant l'inventariat geològic, en els que s'ha actuat
2) Percentatge d'elements geològics que presenten un risc, que disposen d'elements de senyalització. 
3) Nombre d'elements que afecten el patrimoni geològic retirats</t>
  </si>
  <si>
    <t>1) 75%
2) 50%
3) 10</t>
  </si>
  <si>
    <t>1) 100%
2) 100%
3) 20</t>
  </si>
  <si>
    <t>Patrimoni natural</t>
  </si>
  <si>
    <t>Anna Planella</t>
  </si>
  <si>
    <t>01.2</t>
  </si>
  <si>
    <t>Executar les mesures de gestió directa previstes en els intruments de planificació per la conservació i la gestió adaptativa dels elements clau de l'ENP</t>
  </si>
  <si>
    <t>01.2.1</t>
  </si>
  <si>
    <t>Implementar la metodologia de gestió adaptativa (Estàndards Oberts de Gestió Adaptativa a Catalunya) en tots els processos de l'ENP</t>
  </si>
  <si>
    <t>Obligatori</t>
  </si>
  <si>
    <t>1) Definició d'un protocol per tal d'incorporar la metodologia dels Estàndards Oberts pels processos més rellevants per a la conservació a l'espai
2) Creació d'un sistema de seguiment de les accions de gestió de l'espai i un adequat mecanisme de gestió adaptativa de les mateixes</t>
  </si>
  <si>
    <t>ESNATURA</t>
  </si>
  <si>
    <t>SENP: Elaboració d'un manual per la implementació dels OSAM</t>
  </si>
  <si>
    <t>1) Percentatge de projectes transversals que incorporin la metodologia d'Estàndards Oberts
2) Percentatge d'accions dutes a terme a l'espai que disposen d'un sistema de seguiment i un adequat mecanisme de gestió adaptativa</t>
  </si>
  <si>
    <t>Transversal</t>
  </si>
  <si>
    <t>Tots/es</t>
  </si>
  <si>
    <t>01.2.2</t>
  </si>
  <si>
    <t>Executar les mesures previstes en els plans de conservació o recuperació d'espècies amenaçades de forma coordinada amb el Servei de Flora i Fauna en l'àmbit de l'ENP</t>
  </si>
  <si>
    <t xml:space="preserve">1) Execució de les accions dins els plans que pertoquin a cada espai (incorporar totes les mesures que surten als plans ja aprovats que tenen incidència a l'espai)
2) Implicació i participació en la redacció dels plans de conservació /recuperació d'espècies amenaçades 
3) Col.laboració en l'obtenció de la informació necessària dins els espais per al desenvolupament dels Plans </t>
  </si>
  <si>
    <t>MAP
Catàlegs</t>
  </si>
  <si>
    <t>SFF: Elaboració de plans de conservació o recuperació d'espècies protegides</t>
  </si>
  <si>
    <t xml:space="preserve">1) Percentatge d'accions executades incloses dins de plans de recuperació/conservació d'espècies amenaçades presents a l'espai
2) Nombre de plans de recuperació/conservació d'espècies amenaçades presents a l'espai en els que s'ha participat de forma activa en la seva redacció
</t>
  </si>
  <si>
    <t>1) 25%
2) 2</t>
  </si>
  <si>
    <t>1) 50%
2) 4</t>
  </si>
  <si>
    <t>01.2.3</t>
  </si>
  <si>
    <t>Executar les mesures de gestió previstes en els plans de control i erradicació d'espècies exòtiques de forma coordinada amb el Servei de Flora i Fauna en l'àmbit de l'ENP</t>
  </si>
  <si>
    <t xml:space="preserve">1) Implementació anual dels plans de control i erradicació d'espècies de fauna exòtiques invasores. 
2) Implementació anual dels plans de control i erradicació d'espècies de flora exòtiques invasores. 
3) Establir seguiment de col·lonització del seneci en diferents escencaris com en les zones de recuperació de pastures 
4) Elaborar pautes de maneig ramader per reduir la col·lonització de seneci en prats de manera preventiva                       5) eliminació flora exòtica invasora de zones sensibles
</t>
  </si>
  <si>
    <t>ESNATURA
MAP</t>
  </si>
  <si>
    <t>SFF: Elaboració de plans de control i erradicació d'espècies exòtiques</t>
  </si>
  <si>
    <t>1) Campanyes de control de fauna exòtica invasora fluvial dutes a terme
2) Nombre d'espècies de fauna exòtica invasora (visó americà, coipú,...) detectada dins el Parc Natural. 
3) Seguiments específics per estudiar comportament espècies exòtiques invasores
4)  Elaboració d'un pla de control del seneci del cap, orientat a la identificació de zones conflictives per la seva presència (zones amb espècies sensibles, zones d'especial interés per a la ramaderia, etc.)                                      5) actuacions elliminació flora exòtica invasora</t>
  </si>
  <si>
    <t xml:space="preserve">1) 4 (1/any)
2) 0
3) 1
4) pautes generals            5) suport en actuacions PNCTF (exemple_recuperació espais oberts)
</t>
  </si>
  <si>
    <t>1) 8 (2/any)
2) 0
3) 2
4) pautes desglossades per hàbitats i gestió associada 5)actuacions específiques d'eliminació</t>
  </si>
  <si>
    <t xml:space="preserve">1 i 2) 30h + equip exòtiques SFF
3) 100h + serveis externs
4) 50h      5) brigades + voluntariat (no es comptabilitzen les h)
</t>
  </si>
  <si>
    <t>Patrimoni natural / Sistemes agropastorals</t>
  </si>
  <si>
    <t>Anna Planella / Bernat Parramon</t>
  </si>
  <si>
    <t>01.2.4</t>
  </si>
  <si>
    <t xml:space="preserve">Desplegar els objectius i tasques recollits en els instruments de referència i compromisos internacionals  </t>
  </si>
  <si>
    <t>Específic</t>
  </si>
  <si>
    <t xml:space="preserve">Optatiu </t>
  </si>
  <si>
    <t>MITJANA</t>
  </si>
  <si>
    <r>
      <t xml:space="preserve">1) Participació en l'execució de projectes transfronterers                           </t>
    </r>
    <r>
      <rPr>
        <sz val="11"/>
        <color theme="5" tint="-0.249977111117893"/>
        <rFont val="Calibri"/>
        <family val="2"/>
        <scheme val="minor"/>
      </rPr>
      <t xml:space="preserve">   2) Establir mecanismes de col·laboració transfronterera en diferents formats (jornades de treball, jornades de divulgació, reunions conjuntes, etc.). Article 3 punts 2b i 2c del Decret 211/2015</t>
    </r>
  </si>
  <si>
    <r>
      <t xml:space="preserve">1)Nombre de projectes transfronterers en els que s'ha participat (POCTEFA Red-BIO, POCTEFA Floralab+ i POCTEFA Transmuntanya)                                        </t>
    </r>
    <r>
      <rPr>
        <sz val="11"/>
        <color rgb="FFFF0000"/>
        <rFont val="Calibri"/>
        <family val="2"/>
        <scheme val="minor"/>
      </rPr>
      <t xml:space="preserve">      2) Nombre de reunions, activitats, etc/any</t>
    </r>
  </si>
  <si>
    <t>Patrimoni natural/Sistemes agropastorals/Millora rural/Direcció/Administració</t>
  </si>
  <si>
    <t>Anna Planella/Bernat Perramon/Gerard Vila/Santi Farriol/Fàtima</t>
  </si>
  <si>
    <t>01.3</t>
  </si>
  <si>
    <t>Crear ecosistemes complexes, resilients, i d'alta biodiversitat per garantir la recuperació dels processos ecosistèmics</t>
  </si>
  <si>
    <t>01.3.1</t>
  </si>
  <si>
    <t>Identificar espais pel foment de la dinàmica natural i l'aprofitament no extractiu</t>
  </si>
  <si>
    <t>Afavorir la creació d'hàbitats per a la conservació d'espècies</t>
  </si>
  <si>
    <t>SENP/SFF: Definir criteris metodològics</t>
  </si>
  <si>
    <t>1) Nombre d'hectàrees gestionades per a la conservació d'espècies (recuperació d'espais oberts, millores forestals, etc.)</t>
  </si>
  <si>
    <t>1) 20</t>
  </si>
  <si>
    <t>1) 50</t>
  </si>
  <si>
    <t>Patrimoni natural, Sistemes agropastorals, Millora rural</t>
  </si>
  <si>
    <t>Anna, Bernat, Gerard</t>
  </si>
  <si>
    <t>01.3.2</t>
  </si>
  <si>
    <t>Afavorir la maduresa dels sistemes forestals</t>
  </si>
  <si>
    <t>Definir criteris per classificació dels boscos madurs
Creació d'un catàleg dels rodals amb bosc madur dins del PN
Participació projecte Life Uncinata
Participació projecte Redbio</t>
  </si>
  <si>
    <t>Número d'actuacions o projectes destinats afavorir la maduresa forestal</t>
  </si>
  <si>
    <t>Millora rural</t>
  </si>
  <si>
    <t>Gerard Vila</t>
  </si>
  <si>
    <t>01.3.3</t>
  </si>
  <si>
    <t>Generar pertorbacions controlades</t>
  </si>
  <si>
    <t>NA</t>
  </si>
  <si>
    <t>No aplica. No es preveu com a mètode per assolir aquests ecosistemes complexes</t>
  </si>
  <si>
    <t>01.3.4</t>
  </si>
  <si>
    <t xml:space="preserve">Restaurar la dinàmica natural dels rius </t>
  </si>
  <si>
    <t xml:space="preserve">No seria una mesura prioritaria dins l'espai natural. Poca superfície de bosc de ribera, de laminació... </t>
  </si>
  <si>
    <t>FORA DEL TERMINI DEL PLA</t>
  </si>
  <si>
    <t>Realització i impuls de la renaturalització de lleres i creació de zones de laminació dins l'ENP en base als criteris metodològics predefinits</t>
  </si>
  <si>
    <t>Superfície (ha) on s'han realitzat actuacions de millora (aclarides, plantacions...)</t>
  </si>
  <si>
    <t>Patrimoni Natural + Millora rural</t>
  </si>
  <si>
    <t>Gerard Vila / Anna Planella</t>
  </si>
  <si>
    <t>01.3.5</t>
  </si>
  <si>
    <t>Fomentar el paisatge en mosaïc</t>
  </si>
  <si>
    <t>Recuperació i manteniment dels espais oberts identificats com a prioritaris segons els estudis previs realitzats des del PN</t>
  </si>
  <si>
    <t>1) Actuacions de recuperació en zones identificades com a prioritaries a mantenir obertes o en en zones que es consideren prioritàries a recuperar (estudi Minuàrtia)
2) Ajuts per manteniment d'hàbitats amb pasturatge</t>
  </si>
  <si>
    <t>1) 1                                2) 10</t>
  </si>
  <si>
    <t>1) 12                               2) 30</t>
  </si>
  <si>
    <t>Sistemes agropastorals / Millora Rural</t>
  </si>
  <si>
    <t>Bernat Perramon / Gerard Vila</t>
  </si>
  <si>
    <t>01.3.6</t>
  </si>
  <si>
    <t>Gestionar i intervenir en la dinàmica de poblacions de fauna que no tenen depredador natural</t>
  </si>
  <si>
    <r>
      <t xml:space="preserve">1) Participació i impuls en el control directe de poblacions de fauna, en fase a criteris metodològics predefinits, que suposin una amenaça per a </t>
    </r>
    <r>
      <rPr>
        <sz val="11"/>
        <color rgb="FFFF0000"/>
        <rFont val="Calibri"/>
        <family val="2"/>
        <scheme val="minor"/>
      </rPr>
      <t>la ramaderia,</t>
    </r>
    <r>
      <rPr>
        <sz val="11"/>
        <rFont val="Calibri"/>
        <family val="2"/>
        <scheme val="minor"/>
      </rPr>
      <t xml:space="preserve"> hàbitats o espècies amenaçats</t>
    </r>
  </si>
  <si>
    <t>1) Hectàrees en les que s'ha dut a terme un control anual de depredadors per a la millora de l'estat de conservació del gall fer o altres espècies amenaçades, segons metodologia predefinida</t>
  </si>
  <si>
    <r>
      <rPr>
        <b/>
        <sz val="11"/>
        <color rgb="FF00B050"/>
        <rFont val="Calibri"/>
        <family val="2"/>
        <scheme val="minor"/>
      </rPr>
      <t>0 a</t>
    </r>
    <r>
      <rPr>
        <sz val="11"/>
        <color theme="1"/>
        <rFont val="Calibri"/>
        <family val="2"/>
        <scheme val="minor"/>
      </rPr>
      <t xml:space="preserve"> 1000</t>
    </r>
  </si>
  <si>
    <t>01.4</t>
  </si>
  <si>
    <t>Alinear l'activitat de propietaris i gestors del territori amb la conservació, millora i restauració dels valors de l'ENP</t>
  </si>
  <si>
    <t>01.4.1</t>
  </si>
  <si>
    <t>Fomentar acords de custòdia en espais d'alt valor dins l'ENP per a la gestió dels elements prioritaris</t>
  </si>
  <si>
    <t>BAIXA</t>
  </si>
  <si>
    <t>Realització d'acords de custòdia aplicant el model d'acord elaborat per Serveis Centrals</t>
  </si>
  <si>
    <t>SENP/SENP: Dissenyar el protocol i elaborar un model d'acord</t>
  </si>
  <si>
    <t>Número d'acords de custòdia duts a terme</t>
  </si>
  <si>
    <t>Patrimoni Natural</t>
  </si>
  <si>
    <t xml:space="preserve"> Anna Planella</t>
  </si>
  <si>
    <t>01.4.2</t>
  </si>
  <si>
    <t>Fomentar bones pràctiques entre els col·lectius de propietaris i gestors del territori</t>
  </si>
  <si>
    <r>
      <t xml:space="preserve">Elaboració bones pràctiques de maneig ramader </t>
    </r>
    <r>
      <rPr>
        <sz val="11"/>
        <color rgb="FFFF0000"/>
        <rFont val="Calibri"/>
        <family val="2"/>
        <scheme val="minor"/>
      </rPr>
      <t>i fauna cinegètica</t>
    </r>
    <r>
      <rPr>
        <sz val="11"/>
        <rFont val="Calibri"/>
        <family val="2"/>
        <scheme val="minor"/>
      </rPr>
      <t xml:space="preserve"> pel desenvolupament actuacions </t>
    </r>
    <r>
      <rPr>
        <sz val="11"/>
        <color rgb="FFFF0000"/>
        <rFont val="Calibri"/>
        <family val="2"/>
        <scheme val="minor"/>
      </rPr>
      <t>així com participació en projectes conjunts</t>
    </r>
  </si>
  <si>
    <r>
      <t xml:space="preserve">1) Treballs sobre bones pràctiques   2) actuacions per fomentar bones pràctiques   </t>
    </r>
    <r>
      <rPr>
        <sz val="11"/>
        <color rgb="FFFF0000"/>
        <rFont val="Calibri"/>
        <family val="2"/>
        <scheme val="minor"/>
      </rPr>
      <t xml:space="preserve"> 3) Coordinació en la gestió                                    4) Organització de jornades conjuntes                      5) Participacií en projectes conjunts</t>
    </r>
  </si>
  <si>
    <r>
      <t xml:space="preserve">1) 1                           2) 2                       </t>
    </r>
    <r>
      <rPr>
        <sz val="11"/>
        <color rgb="FFFF0000"/>
        <rFont val="Calibri"/>
        <family val="2"/>
        <scheme val="minor"/>
      </rPr>
      <t>3) 2                       4) 1                5) 1</t>
    </r>
  </si>
  <si>
    <r>
      <t xml:space="preserve">1) 2                              2) 4                    </t>
    </r>
    <r>
      <rPr>
        <sz val="11"/>
        <color rgb="FFFF0000"/>
        <rFont val="Calibri"/>
        <family val="2"/>
        <scheme val="minor"/>
      </rPr>
      <t>3) 4                   4) 2                  5) 2</t>
    </r>
  </si>
  <si>
    <t>Sistemes agropastorals</t>
  </si>
  <si>
    <t>Bernat Perramon</t>
  </si>
  <si>
    <t>01.4.3</t>
  </si>
  <si>
    <t>Impulsar la coordinació amb els ens locals en la gestió finques públiques situades dins d’ENP</t>
  </si>
  <si>
    <t>Realització de projectes de forma col·laborativa amb els ens locals per a la gestió de boscos comunals i lleres i boscos de ribera</t>
  </si>
  <si>
    <t>Nombre de projectes col·laboratius CEINR X PNCTF X GENCAT</t>
  </si>
  <si>
    <t>Gerard Vila / Anna Planella/Bernat Perramon/Santi Farriol</t>
  </si>
  <si>
    <t>ADAPTAR ELS ECOSISTEMES AL CANVI CLIMÀTIC i millorar-ne la resiliència en front dels riscos associats.</t>
  </si>
  <si>
    <t>02.1</t>
  </si>
  <si>
    <t>Planificar l'adaptació dels sistemes naturals al canvi climàtic</t>
  </si>
  <si>
    <t>02.1.1</t>
  </si>
  <si>
    <t>Adaptar i implementar el Pla d'adaptació de l'ENP al canvi climàtic</t>
  </si>
  <si>
    <t>No hi ha perspectiva de fer un pla específic per temes de canvi climàtic. Les actuacions ja estan recollides dins dels objectius de fomentar el paisatge en mosaic i l'objectiu de prevenció d'incendis</t>
  </si>
  <si>
    <t xml:space="preserve">OCCC/SENP: Elaboració del model de Pla d'adaptació dels ENP al canvi climàtic </t>
  </si>
  <si>
    <t>02.1.2</t>
  </si>
  <si>
    <t>Gestionar i planificar els recursos hídrics de l'ENP</t>
  </si>
  <si>
    <t>Creació de la cartografia dels recursos hídrics de l'ENP i les seves amenaces (per exemple captacions d'aigua)</t>
  </si>
  <si>
    <t>Cartografia creada que cobreixi tot l'ENP sobre els recursos hídrics existents i les seves amenaces</t>
  </si>
  <si>
    <t>1 (cartografia)</t>
  </si>
  <si>
    <t>02.1.3</t>
  </si>
  <si>
    <t>Participar en la redacció i execució dels instruments d'ordenació forestal sostenible i per la conservació en finques públiques</t>
  </si>
  <si>
    <t>Aportació ramaders i proietaris així combsector conservacionista</t>
  </si>
  <si>
    <r>
      <t xml:space="preserve">Participació en la redacció d'IOF de finques públiques
Realització de tractaments silvícoles i tallades selectives
Promoció de boscos mixtes i de la biodiversitat                 </t>
    </r>
    <r>
      <rPr>
        <sz val="11"/>
        <color rgb="FFFF0000"/>
        <rFont val="Calibri"/>
        <family val="2"/>
        <scheme val="minor"/>
      </rPr>
      <t xml:space="preserve">    Foment de la fusta de baixa qualitat per a l'aprofitamet de biomassa                                                                                                Incloure conceptes d'evolució lliure i del manual 11 d'Europarc</t>
    </r>
    <r>
      <rPr>
        <sz val="11"/>
        <rFont val="Calibri"/>
        <family val="2"/>
        <scheme val="minor"/>
      </rPr>
      <t xml:space="preserve">
</t>
    </r>
  </si>
  <si>
    <t>DGEFMN: Redacció d'IOF en finques públiques</t>
  </si>
  <si>
    <t xml:space="preserve">
% d'actuacions forestals (finca pública i dins PN) en les que s'ha participat de forma activa des del PN</t>
  </si>
  <si>
    <t>Gerard Vila/Anna Planella/Bernat Perramon</t>
  </si>
  <si>
    <t>02.1.4</t>
  </si>
  <si>
    <t>Promoure la redacció d'instruments d'ordenació forestal per reduir la sensibilitat i vulnerabilitat dels boscos al canvi climàtic en finques privades</t>
  </si>
  <si>
    <t>Optatiu</t>
  </si>
  <si>
    <t>* Realització d'accions per donar a conèixer subvencions entre propietaris</t>
  </si>
  <si>
    <t xml:space="preserve">% de superfície de finques privades amb IOF dins del PN
</t>
  </si>
  <si>
    <t>02.2</t>
  </si>
  <si>
    <t xml:space="preserve">Planificar la prevenció i extinció d’incendis forestals i la gestió del foc de forma coordinada amb els diferents agents del territori </t>
  </si>
  <si>
    <t>02.2.1</t>
  </si>
  <si>
    <t xml:space="preserve">Redactar i implementar el Pla de Prevenció d'Incendis </t>
  </si>
  <si>
    <t>*Elaboració del Pla de Prevenció d'Incendis 
*Definició de: xarxa estratègica i complementària de vials forestals, xarxa estratègica i complementària de punts d’aigua, tractaments de vegetació, punts estratègics de gestió</t>
  </si>
  <si>
    <t>Equip de PPI: Disseny del protocol de treball</t>
  </si>
  <si>
    <t>Aprovació del PPIFF del PNCTF</t>
  </si>
  <si>
    <t>02.2.2</t>
  </si>
  <si>
    <t>Definir i planificar la gestió del foc per a la millora de l'ENP</t>
  </si>
  <si>
    <t>Integració de criteris sobre zones sensibles al foc i zones no sensibles pels valors naturals que hi alberguen</t>
  </si>
  <si>
    <t>SPEN: Elaboració d'un model de pla de gestió</t>
  </si>
  <si>
    <t>% de cartografia compartida amb els diferents departaments per tal de determinar en quines zones cal actuar si hi ha un incendi i en quines no</t>
  </si>
  <si>
    <t>02.2.3</t>
  </si>
  <si>
    <t>Treballar per a la prevenció d'incendis juntament amb els propietaris, ajuntaments, protecció civil, ADF i bombers.</t>
  </si>
  <si>
    <r>
      <t xml:space="preserve">Treballar per a la prevenció d'incendis juntament amb els propietaris, ajuntaments, protecció civil, ADF i bombers. </t>
    </r>
    <r>
      <rPr>
        <sz val="11"/>
        <color rgb="FFFF0000"/>
        <rFont val="Calibri"/>
        <family val="2"/>
        <scheme val="minor"/>
      </rPr>
      <t>També amb ramaders i empreses del sector forestal</t>
    </r>
  </si>
  <si>
    <t>Aportació sector ranmader i propietat privada</t>
  </si>
  <si>
    <t>Execució de les actuacions recollides dins del PNCTF / Integrar la variable prevenció d'incendis en la recuperació i manteniment d'espais oberts</t>
  </si>
  <si>
    <t>Número d'actuacions d'interès per la prevenció IIFF</t>
  </si>
  <si>
    <t>PROTEGIR LA BIODIVERSITAT, i especialment els elements fràgils i amenaçats, d’interès comunitari o de major interès natural.</t>
  </si>
  <si>
    <t>03.1</t>
  </si>
  <si>
    <t>Prevenir, minimitzar i compensar els impactes ambientals dels usos i activitats que es desenvolupin en l'àmbit de l'ENP</t>
  </si>
  <si>
    <t>03.1.1</t>
  </si>
  <si>
    <t>Participar en les consultes dels procesos d'Avaluació Ambiental que afectin directament o indirectament l’espai del ENP</t>
  </si>
  <si>
    <t>Participació a les taules d'avaluació</t>
  </si>
  <si>
    <t>% de participació sobre els processos d'avaluació ambiental</t>
  </si>
  <si>
    <t>Gerard Vila/ Anna Planella</t>
  </si>
  <si>
    <t>03.1.2</t>
  </si>
  <si>
    <t>Exercir un seguiment efectiu de les obres al Parc juntament amb les Oficines Territorials d'Acció i Avaluació Ambiental als efectes d'assegurar la correcta translació de la tutela administrativa.</t>
  </si>
  <si>
    <t>Seguiment amb les obres que afectent i es realitzen dins dels límits del PNCTF</t>
  </si>
  <si>
    <t>% de participació sobre les obres executades</t>
  </si>
  <si>
    <t>03.1.3</t>
  </si>
  <si>
    <t>Participar en la compensació d'impactes residuals durant els processos d'avaluació ambiental mitjançant la identificació de necessitats d'actuació prioritària dins i fora dels límits de l’ENP</t>
  </si>
  <si>
    <t>*Catàleg de possibles actuacions compensatories
*Catàleg de sectors amb necessitats d'intervenció (incloent també zones fora dels límits de l'ENP que es considerin importants per al manteniment de la connectivitat ecològica dels espais)</t>
  </si>
  <si>
    <t>1) Creació d'un catàleg d'actuacions futures i compensatòries
2) Nombre d'actuacions compensatories realitzades dins del PN</t>
  </si>
  <si>
    <t>1) 1
2) 2</t>
  </si>
  <si>
    <t>1) 1
2) 4</t>
  </si>
  <si>
    <t>Anna Planella / Tbernat Perramon/Gerard Vila</t>
  </si>
  <si>
    <t>03.2</t>
  </si>
  <si>
    <t>Garantir el compliment dels objectius de conservació dotant l'ENP de la planificació adequada segons estableix la normativa vigent (Pla de Protecció, PRUG, plans específics...)</t>
  </si>
  <si>
    <t>03.2.1</t>
  </si>
  <si>
    <t>Participar en l'elaboració dels instruments de planificació de l'ENP</t>
  </si>
  <si>
    <t>Que s'implementi l'actuació no depèn directament de l'espai</t>
  </si>
  <si>
    <t>SPEN: Elaboració del Pla rector d'usos i gestió.
SPEN: Elaboració del Pla rector d'usos i gestió</t>
  </si>
  <si>
    <t>03.3</t>
  </si>
  <si>
    <t>Vetllar pel manteniment dels cabals ecològics i la bona qualitat dels cursos fluvials de l'ENP de forma coordinada amb l'administració competent</t>
  </si>
  <si>
    <t>03.3.1</t>
  </si>
  <si>
    <t>Vetllar pel manteniment del cabal ecològic dels rius definit al Pla sectorial corresponent</t>
  </si>
  <si>
    <t>1) Establiment d'una xarxa de control del cabal en els trams de riu dins del Parc
2) Realització d'un inventari de les activitats que poden modificar la llera i el cabal
3) Revisió de les concessions actuals</t>
  </si>
  <si>
    <t>Revisar les actuacions. L'establiment de punts de control depèn de l'ACA. Es pot incloure la revisió de les concessions, les reunions amb l'ACA,...
Afegir indicadors i fites</t>
  </si>
  <si>
    <t>ACA/CHE: Determinar els cabals ecològics en espais naturals protegits</t>
  </si>
  <si>
    <t>1) Nombre d'estacions de control de cabal
2) Reunions anuals amb l'ACA
3) Inventari de les activitats que modifiquen la llera i el cabal dels principals rius de l'espai i pla de millora</t>
  </si>
  <si>
    <t>1) 2
2) 1
3) 1</t>
  </si>
  <si>
    <t>1) 4
2) 2
3) 1</t>
  </si>
  <si>
    <t>03.3.2</t>
  </si>
  <si>
    <t>Vetllar per la regulació dels dragatges, canalitzacions o implantació d'activitats extractives que puguin modificar la llera i el cabal dels rius</t>
  </si>
  <si>
    <t>Actuacions incloses en l'objectiu 3.3.1</t>
  </si>
  <si>
    <t>03.3.3</t>
  </si>
  <si>
    <t>Avaluar i controlar les actuacions que produeixin drenatges, captacions o que puguin impedir l’arribada d’aigua tant superficial com freàtica</t>
  </si>
  <si>
    <t>03.3.4</t>
  </si>
  <si>
    <t>Vetllar pel compliment de la normativa de depuració dels efluents agroramaders, urbans i industrials que s'aboquen als cursos fluvials</t>
  </si>
  <si>
    <t>1) Establiment d'una xarxa de control de qualitat de l'aigua</t>
  </si>
  <si>
    <t xml:space="preserve">Revisar. Igual que l'anterior potser és competència de l'ACA? </t>
  </si>
  <si>
    <t>1) Nombre d'estacions de control de la qualitat</t>
  </si>
  <si>
    <t>03.4</t>
  </si>
  <si>
    <t>Incrementar el patrimoni públic destinat a la conservació i millora del patrimoni natural</t>
  </si>
  <si>
    <t>03.4.1</t>
  </si>
  <si>
    <t xml:space="preserve">Identificar espais prioritaris per a la compra de terrenys de més valor dins l'ENP </t>
  </si>
  <si>
    <t>Vetllar per l'adquisició des del PN o d'altres òrgans públics de finques privades d'interès</t>
  </si>
  <si>
    <t>SENP/SPEN: Facilitar els criteris a seguir</t>
  </si>
  <si>
    <t>1) Llistat de finques potencials classificades per interes 
2) Adquisicó de finques d'alt interès</t>
  </si>
  <si>
    <t>1) 1 
2) 1</t>
  </si>
  <si>
    <t>1) 1 
2) 2</t>
  </si>
  <si>
    <t>Anna Planella/Gerard Vila/Santi Farriol</t>
  </si>
  <si>
    <t>03.4.2</t>
  </si>
  <si>
    <t>Identificar espais prioritaris per a la gestió directa</t>
  </si>
  <si>
    <t>Identificació d'espais prioritaris per a la gestió activa</t>
  </si>
  <si>
    <t>1) Llistat d'espais prioritaris per a gestió activa, ordenats per l'interès 
2) Nombre d'actuacions executades</t>
  </si>
  <si>
    <t>1) 1 
2) 5</t>
  </si>
  <si>
    <t>Patrimoni natural / Millora rural</t>
  </si>
  <si>
    <t>Anna Planella i Gerard Vila</t>
  </si>
  <si>
    <t xml:space="preserve"> CULTURA</t>
  </si>
  <si>
    <t>CONSERVAR ELS ELEMENTS CULTURALS materials i immaterials vinculats a la natura</t>
  </si>
  <si>
    <t>04.1</t>
  </si>
  <si>
    <t>Millorar el coneixement disponible sobre el patrimoni arquitectònic i cultural (material i immaterial) vinculat al patrimoni natural, el seu estat de conservació i els estils propis dels territoris de l'ENP</t>
  </si>
  <si>
    <t>04.1.1</t>
  </si>
  <si>
    <t>Elaborar l'inventari i cartografia de patrimoni cultural de l'ENP, que també inclogui el patrimoni etnològic i immaterial</t>
  </si>
  <si>
    <t>*Redacció d'un full de ruta conjunt amb el Museu Etnogràfic de Ripoll per al desenvolupament d'aquest inventari
*Recopilació de la informació dels catàlegs dels ajuntaments de l'ENP i fer diagnosi
*Inventari de patrimoni cultural material (arquitectònic /arqueològic / ramader...)
*Inventari de patrimoni cultural immaterial (etnològic / espiritual...) (metodologia de l'inventari de la unesco)
*Elaboració d'un mapa de tranquil·litat.                                             *Creuar dades amb altres inventaris ja existents (Carta del paisatge, etc.)</t>
  </si>
  <si>
    <t>Nombre d'inventaris o mapes desenvolupats, juntament amb la cartografia de patrimoni cultural del PNCTF, que també incloguin el patrimoni etnològic i immaterial</t>
  </si>
  <si>
    <t>Us public</t>
  </si>
  <si>
    <t>Xavier Grivé</t>
  </si>
  <si>
    <t>04.1.2</t>
  </si>
  <si>
    <t>Elaborar el catàleg lingüístic (localismes) de patrimoni natural, geografia popular, festes i activitats tradicionals de l'ENP</t>
  </si>
  <si>
    <t>*Redacció d'un full de ruta conjunt amb el Museu Etnogràfic de Ripoll per al desenvolupament d'aquest inventari
*Detecció de les persones i entitats locals de referència en la matèria
*Catàleg lingüístic (localismes) de patrimoni natural del PNCTF
*Catàleg lingüístic (localismes) de geografia popular, festes i activitats tradicionals del PNCTF                                                *Creuar dades amb altres inventaris ja existents (Carta del paisatge, etc.)</t>
  </si>
  <si>
    <t>Nombre de catàlegs lingüístics (localismes) desenvolupats de patrimoni natural i de geografia popular, festes i activitats tradicionals del PNCTF</t>
  </si>
  <si>
    <t>Us public / Patrimoni natural</t>
  </si>
  <si>
    <t>Xavier Grivé / Anna Planella</t>
  </si>
  <si>
    <t>04.1.3</t>
  </si>
  <si>
    <t>Elaborar la cartografia de la xarxa de camins ramaders i senders tradicionals de l'ENP</t>
  </si>
  <si>
    <r>
      <t xml:space="preserve">*Redacció d'un full de ruta conjunt amb el Museu Etnogràfic de Ripoll i la xarxa de senders Itinerànnia per al desenvolupament d'aquesta cartografia.
*Cartografia de la xarxa de camins ramaders i senders tradicionals de l'ENP                                                                * </t>
    </r>
    <r>
      <rPr>
        <sz val="11"/>
        <color rgb="FFFF0000"/>
        <rFont val="Calibri"/>
        <family val="2"/>
        <scheme val="minor"/>
      </rPr>
      <t>Consensuar amb la propietat (pública o privada) quins senders s'inclouran i, si escau, signatura de convenis</t>
    </r>
  </si>
  <si>
    <t>Nombre de mapes desenvolupats de camins ramaders i senders tradicionals</t>
  </si>
  <si>
    <t>Ús públic / Sistemes agropastorals</t>
  </si>
  <si>
    <t>Xavier Grivé / Bernat Perramon</t>
  </si>
  <si>
    <t>04.2</t>
  </si>
  <si>
    <t>Conservar i gestionar el patrimoni cultural de l'ENP de forma coordinada amb els agents responsables i entitats de referència</t>
  </si>
  <si>
    <t>04.2.1</t>
  </si>
  <si>
    <t>Identificar els ens de referència en patrimoni cultural (entitats, associacions, museus i ecomuseus, etc.) en l'àmbit de l'ENP</t>
  </si>
  <si>
    <t>*Elaboració d'un mapa d'entitats, associacions, museus, ecomuseus, OPEI (Observatori del Patrimoni Etnològic i Immaterial), etc.                                                                                                   *Creuar dades amb altres inventaris ja existents (Carta del paisatge, etc.)</t>
  </si>
  <si>
    <t>Nombre de mapes desenvolupats d'entitats, associacions, museus, ecomuseus, OPEI (Observatori del Patrimoni Etnològic i Immaterial), etc.</t>
  </si>
  <si>
    <t>Ús públic</t>
  </si>
  <si>
    <t>Xavier Grivé i Rai</t>
  </si>
  <si>
    <t>04.2.2</t>
  </si>
  <si>
    <t>Articular treballs conjunts entre l'ENP i representants, gestors o custodis del patrimoni cultural per a la seva protecció i millora</t>
  </si>
  <si>
    <t>*Projecte parcs i museus
*Impuls dels convenis de col·laboració amb la xarxa de museus i altres equipaments i entitats de referència
*Foment de la cooperació tècnica dels gestors de l'ENP amb els representants o custodis del patrimoni cultural, i coordinar-ne l'ús compartit dels recursos</t>
  </si>
  <si>
    <t>Nombre de convenis de col·laboració posats en marxa entre el PNCTF i altres entitats culturals de referència del territori</t>
  </si>
  <si>
    <t>04.2.3</t>
  </si>
  <si>
    <t>Coordinar i participar dels treballs de restauració arquitectònica i del patrimoni cultural</t>
  </si>
  <si>
    <t>Impulsar i/o participar dels treballs de restauració arquitectònica, arqueològica i del patrimoni cultural</t>
  </si>
  <si>
    <t>CANVI DE REDACTAT OP DE LA DG</t>
  </si>
  <si>
    <t>*Coordinació de l'equip tècnic (propi) amb els responsables dels treballs de restauració arquitectònica i del patrimoni cultural
Participació quan els treballs estan vinculats a l’àrea d’ús públic de l’ENP                                                                                                        *Creuar dades amb altres inventaris ja existents (Carta del paisatge, etc.)</t>
  </si>
  <si>
    <t>Nombre d'elements de patrimoni arquitectònic o cultural restaurats</t>
  </si>
  <si>
    <t>04.2.4</t>
  </si>
  <si>
    <r>
      <t xml:space="preserve">Disposar de personal </t>
    </r>
    <r>
      <rPr>
        <sz val="11"/>
        <color theme="9" tint="-0.249977111117893"/>
        <rFont val="Calibri"/>
        <family val="2"/>
        <scheme val="minor"/>
      </rPr>
      <t>que tingui coneixements tècnics sobre patrimoni natural</t>
    </r>
  </si>
  <si>
    <t>*Formació del personal tècnic de l'ENP en la gestió i conservació dels valors culturals de l'ENP</t>
  </si>
  <si>
    <t>Nombre de formacions rebudes per part del personal tècnic de l'ENP en la gestió i conservació dels valors culturals de l'ENP</t>
  </si>
  <si>
    <t>04.3</t>
  </si>
  <si>
    <t>Potenciar la conservació i recuperació del patrimoni cultural material i immaterial de l'ENP</t>
  </si>
  <si>
    <t>04.3.1</t>
  </si>
  <si>
    <t xml:space="preserve">Recuperar i conservar el patrimoni cultural rural immaterial associat a les activitats i aprofitaments tradicionals </t>
  </si>
  <si>
    <t>Recuperar i conservar el patrimoni cultural immaterial (associat a les activitats i aprofitaments rurals tradicionals) i els valors espirituals</t>
  </si>
  <si>
    <t>*Redacció d'un full de ruta conjunt amb el Museu Etnogràfic de Ripoll per a la recuperació i conservació del patrimoni cultural rural immaterial associat a les activitats i aprofitaments tradicionals
*Inventariar els elements concrets del patrimoni rural immaterial associat a les activitats i aprofitaments tradicionals.
*Desenvolupament d'accions de conservació d'elements concrets del patrimoni rural immaterial associat a les activitats i aprofitaments tradicionals.</t>
  </si>
  <si>
    <t>Nombre d'accions de conservació desenvolupades d'elements concrets del patrimoni rural immaterial associat a les activitats i aprofitaments tradicionals.</t>
  </si>
  <si>
    <t>CONSERVAR EL PATRIMONI CULTURAL material i immaterial</t>
  </si>
  <si>
    <t>04.3.2</t>
  </si>
  <si>
    <t>Recuperar i conservar el patrimoni cultural rural vinculat específicament a construccions de pedra en sec</t>
  </si>
  <si>
    <t xml:space="preserve">* Redacció d'un pla de recuperació dels murs de pedra seca i barraques de pastor dins del PNCTF 
* Implicar la taula de Voluntariat Ambiental del Pirineu Oriental                                                                                                               *Creuar dades amb altres inventaris ja existents (Carta del paisatge, etc.)
</t>
  </si>
  <si>
    <t>1) Número d'actuacions de restauració de pedra seca             2) Actuacions de voluntariat</t>
  </si>
  <si>
    <t xml:space="preserve"> 1) 3                             2) 1</t>
  </si>
  <si>
    <t>1) 6                           2) 2</t>
  </si>
  <si>
    <t>Gerard Vila / Xavier Grivé</t>
  </si>
  <si>
    <t>04.3.3</t>
  </si>
  <si>
    <t xml:space="preserve">Fomentar la recuperació i conservació de l'arquitectura tradicional d'interès de les edificacions i construccions </t>
  </si>
  <si>
    <t>Redacció del catàleg d'elements d'arquitectura dins del PNCTF</t>
  </si>
  <si>
    <t>Redacció del Pla d'elements arquitectònics de l'Alt Ripollès.</t>
  </si>
  <si>
    <t>04.3.4</t>
  </si>
  <si>
    <t>Identificar i conservar la diversitat domesticada de varietats agrícoles i ramaderes locals</t>
  </si>
  <si>
    <t>Diversitat espècies hàbitats de pastura</t>
  </si>
  <si>
    <t>1) Seguiment dels principals hàbitats de pastura per assegurar que no hi ha una pèrdua de diversitat associada (número de seguiments portats a terme)</t>
  </si>
  <si>
    <t>1) 1</t>
  </si>
  <si>
    <t>1) 4</t>
  </si>
  <si>
    <t>04.4</t>
  </si>
  <si>
    <t xml:space="preserve">Donar a conèixer els elements culturals com a valors del paisatge de l'ENP en les activitats d'ús públic </t>
  </si>
  <si>
    <t>04.4.1</t>
  </si>
  <si>
    <t>Integrar el patrimoni cultural als itineraris i cartelleria de l'ENP.</t>
  </si>
  <si>
    <t>*Redacció d'un full de ruta conjunt amb el Museu Etnogràfic de Ripoll i la xarxa de senders Itinerànnia per a la integració del patrimoni cultural als itineraris i cartelleria del PNCTF
*Elaborar un projecte que incorpori els elements de patrimoni cultural a les banderoles de senderisme del PNCTF així com a les altres eines de comunicació del senderisme al PNCTF
*Incorporar els elements de patrimoni cultural a les banderoles de senderisme així com a les altres eines de comunicació del senderisme al PNCTF</t>
  </si>
  <si>
    <t>Nombre d'elements de patrimoni cultural incorporats a les banderoles de senderisme així com a les altres eines de comunicació del senderisme al PNCTF</t>
  </si>
  <si>
    <t>04.4.2</t>
  </si>
  <si>
    <t>Incorporar el patrimoni cultural en els plans d’ús públic i educació ambiental per fomentar-ne la seva conservació i divulgació.</t>
  </si>
  <si>
    <t>* Incorporar el patrimoni cultural en el Pla Estratègic d'Educació i Voluntariat Ambiental del PNCTF desenvolupat a partir de processos participatius al Ripollès
* Incorporar el patrimoni cultural en el Projecte Pedagògic del PNCTF desenvolupat conjuntament amb les escoles del Ripollès
*Executar una formació anual</t>
  </si>
  <si>
    <t>Nombre de plans d'ús públic i educació ambiental en què s'ha incorporat el patrimoni cultural</t>
  </si>
  <si>
    <t>04.4.3</t>
  </si>
  <si>
    <t>Formar el personal dels punts d’informació en els valors culturals de l'ENP</t>
  </si>
  <si>
    <r>
      <t xml:space="preserve">*Incorporar els valors culturals del PNCTF als documents formatius adreçats als treballadors dels centres d'Informació
*Incorporar els valors culturals del PNCTF al programa del Curs d'Informadors del PNCTF adreçat a establiments turístics                                                                                                          </t>
    </r>
    <r>
      <rPr>
        <sz val="11"/>
        <color rgb="FFFF0000"/>
        <rFont val="Calibri"/>
        <family val="2"/>
        <scheme val="minor"/>
      </rPr>
      <t xml:space="preserve"> *Fer una formació específica a les empreses acreditades a la CETS sobre aquests valors.</t>
    </r>
  </si>
  <si>
    <t>Nombre de documents formatius / programes en què s'ha incorporat els valors culturals del PNCTF</t>
  </si>
  <si>
    <t>PROTEGIR EL PAISATGE i la qualitat de l'ambient visual, sonor i lumínic.</t>
  </si>
  <si>
    <t>05.1</t>
  </si>
  <si>
    <t>Identificar els elements d'interès paisatgístic de l'espai</t>
  </si>
  <si>
    <t>05.1.1</t>
  </si>
  <si>
    <t xml:space="preserve">Elaborar un inventari d'elements d'interès paisatgístic de l'ENP d'acord amb el Catàleg de paisatge de la zona </t>
  </si>
  <si>
    <t>Creació del catàleg de paisatge del PN</t>
  </si>
  <si>
    <t>Elaboració del catàleg i caracterització dels paisatges del PN</t>
  </si>
  <si>
    <t>05.2</t>
  </si>
  <si>
    <t>Millorar la qualitat paisatgística</t>
  </si>
  <si>
    <t>05.2.1</t>
  </si>
  <si>
    <t>Desplegar actuacions de restauració dels elements d'interès paisatgístic degradats</t>
  </si>
  <si>
    <t>De moment no aplica a l'espai, no hi ha elements d'interès paisatgístics degradats importants</t>
  </si>
  <si>
    <t>05.2.2</t>
  </si>
  <si>
    <t>Gestionar l'abandonament d'infraestructures i instal·lacions amb impactes sobre els valors de l'espai</t>
  </si>
  <si>
    <r>
      <t xml:space="preserve">Pla d'identificació i retirada d'elements abandonats o en mal estat (per exemple elements dels cims, pistes d'esquí en desús...)
</t>
    </r>
    <r>
      <rPr>
        <sz val="11"/>
        <color rgb="FFFF0000"/>
        <rFont val="Calibri"/>
        <family val="2"/>
        <scheme val="minor"/>
      </rPr>
      <t xml:space="preserve">
</t>
    </r>
  </si>
  <si>
    <t xml:space="preserve">1) % de superficie prospectada pel mapeig de totes les infraestructures abandonades dins del PN.  2) Percentatge d'elements extrets sobre els elements identificats </t>
  </si>
  <si>
    <t>1) 50 2) 10</t>
  </si>
  <si>
    <t>1) 100 2) 15</t>
  </si>
  <si>
    <t>05.2.3</t>
  </si>
  <si>
    <t>Minimitzar la brutícia, deixalles, vandalisme i males praxis dins l'ENP</t>
  </si>
  <si>
    <t>*Control gràfic i inventari dels punts amb més deixalles
*Impulsar campanya comunicativa amb informadors i altres mitjans
*Implicació de la Taula de Voluntariat Ambiental del Pirineu Oriental</t>
  </si>
  <si>
    <t xml:space="preserve">1) Nombre de punts identificats. 2) % de punts tractats. </t>
  </si>
  <si>
    <r>
      <rPr>
        <b/>
        <sz val="11"/>
        <color rgb="FF00B050"/>
        <rFont val="Calibri"/>
        <family val="2"/>
        <scheme val="minor"/>
      </rPr>
      <t>1)  10</t>
    </r>
    <r>
      <rPr>
        <sz val="11"/>
        <color theme="1"/>
        <rFont val="Calibri"/>
        <family val="2"/>
        <scheme val="minor"/>
      </rPr>
      <t xml:space="preserve"> 2) 50 </t>
    </r>
  </si>
  <si>
    <t xml:space="preserve">1) tots els existents  2) 100 </t>
  </si>
  <si>
    <t>Eliminem indicador 3 (nombre de punts amb més deixalles)</t>
  </si>
  <si>
    <t>05.3</t>
  </si>
  <si>
    <t>Protegir la qualitat acústica i lumínica de l'ENP</t>
  </si>
  <si>
    <t>05.3.1</t>
  </si>
  <si>
    <t>Promoure la certificació de qualitat del cel nocturn</t>
  </si>
  <si>
    <t>Dotar l'espai d'una figura de protecció del cel nocturn</t>
  </si>
  <si>
    <t>Figures de protecció otorgades al Parc en relació a la qualitat del cel nocturn</t>
  </si>
  <si>
    <t>Tots</t>
  </si>
  <si>
    <t>05.3.2</t>
  </si>
  <si>
    <t>Promoure la certificació de zones d'especial protecció de la qualitat acústica</t>
  </si>
  <si>
    <t>Dotar l'espai d'una figura de protecció de la qualitat acústica</t>
  </si>
  <si>
    <t>Figures de protecció otorgades al Parc en relació a la qualitat acústica</t>
  </si>
  <si>
    <t xml:space="preserve">CONEIXEMENT </t>
  </si>
  <si>
    <t>MILLORAR EL CONEIXEMENT DE L'ENTORN, del patrimoni natural, cultural i social.</t>
  </si>
  <si>
    <t>06.1</t>
  </si>
  <si>
    <t>Identificar els objectes de gestió prioritària de l'ENP en el marc dels objectius de govern</t>
  </si>
  <si>
    <t>06.1.1</t>
  </si>
  <si>
    <t>Identificar i prioritzar els elements clau i d'interès per la gestió de la biodiversitat i geodiversitat de Catalunya es troben dins l'ENP (especies amenaçades, espècies exòtiques invasores,.. )</t>
  </si>
  <si>
    <t>Identificar i prioritzar els elements clau i d'interès per la gestió de la biodiversitat i geodiversitat de Catalunya es troben dins l'ENP (especies amenaçades, espècies exòtiques invasores,.. ) i obtenció de coneixement sobre pràctiques de maneig ramader sobre l'estat de conservació i interès farratger dels prats</t>
  </si>
  <si>
    <r>
      <t>un 60% de la superfície del PN es ramadera i cal incrementar el coneixement sobre aquests espais en concret</t>
    </r>
    <r>
      <rPr>
        <b/>
        <sz val="11"/>
        <color rgb="FF00B050"/>
        <rFont val="Calibri"/>
        <family val="2"/>
        <scheme val="minor"/>
      </rPr>
      <t xml:space="preserve"> </t>
    </r>
    <r>
      <rPr>
        <b/>
        <sz val="11"/>
        <color rgb="FFFF0000"/>
        <rFont val="Calibri"/>
        <family val="2"/>
        <scheme val="minor"/>
      </rPr>
      <t>tal i com diu el decret 211/2015 de creació del Parc natural. El Decret conclou que hi ha d'haver un tècnic específic en ramaderia, per tant no estem parlant d'un tema menor.</t>
    </r>
  </si>
  <si>
    <r>
      <t xml:space="preserve">1) Elaboració d'una base de dades amb els objectes de conservació prioritaris dins l'espai i de la cartografia de les seves localitats
2) Elaboració de l'inventari d'espais d'interès geològic </t>
    </r>
    <r>
      <rPr>
        <sz val="11"/>
        <color rgb="FFFF0000"/>
        <rFont val="Calibri"/>
        <family val="2"/>
        <scheme val="minor"/>
      </rPr>
      <t xml:space="preserve">i prioritzar geosites i geomorfosites i quin poder ser o no visitables       </t>
    </r>
    <r>
      <rPr>
        <sz val="11"/>
        <rFont val="Calibri"/>
        <family val="2"/>
        <scheme val="minor"/>
      </rPr>
      <t xml:space="preserve">                                                                                                                                     3) Seguiments associats a diferents casuístiques de maneig agrari i ramader per definir sistemes de maneig interessants                                                                                                           4) Seguiments associats a la recuperació d'espais oberts per definir sistemes de maneig interessants i determinar possibles impactes associats
5) Seguiments transversals en els principals hàbitats de prats del PN per seguir-ne l'evolució i conèixer el grau de conservació a mig-llarg termini</t>
    </r>
  </si>
  <si>
    <t>Directriva Habitats
Carta emplaçament
ESNATURA
Catàlegs</t>
  </si>
  <si>
    <t>UIC/SFF/SPEN: Definir criteris d'identificació d'elements interès.
UIC/SFF/SPEN: Definició dels objectes de conservació clau comuns a nivell de Xarxa d'ENP o clúster territorial</t>
  </si>
  <si>
    <r>
      <t xml:space="preserve">1) Base de dades dels objectes de conservació (hàbitats, espècies, processos i elements d'interès geològic) claus dins l'espai i cartografia de les seves localitats </t>
    </r>
    <r>
      <rPr>
        <sz val="11"/>
        <color theme="9" tint="-0.249977111117893"/>
        <rFont val="Calibri"/>
        <family val="2"/>
        <scheme val="minor"/>
      </rPr>
      <t>lligat al SINATCAT</t>
    </r>
    <r>
      <rPr>
        <sz val="11"/>
        <color theme="1"/>
        <rFont val="Calibri"/>
        <family val="2"/>
        <scheme val="minor"/>
      </rPr>
      <t xml:space="preserve">
2) Nombre d'elements d'interès geològics identificats
3) Percentatge d'elements d'interès cartografiats entrats a la BDD
4) Seguiments implementats per a la millora de la gestió ramadera
5) seguiments implementats per a la recuperació d'espais oberts</t>
    </r>
  </si>
  <si>
    <t>1) 1
2) 30
3) 75%                     4) 2                            5) 2</t>
  </si>
  <si>
    <t>1) 1
2) 50
3) 100%                    4) 4                            5) 4</t>
  </si>
  <si>
    <t>Anna Planella / Bernat Perramon</t>
  </si>
  <si>
    <t>06.1.2</t>
  </si>
  <si>
    <t>Definir espais fràgils i zones d'especial atenció</t>
  </si>
  <si>
    <r>
      <t xml:space="preserve">1) Creació de zones d'especial atenció: "zones de prioritat per la conservació" 
2) Creació de </t>
    </r>
    <r>
      <rPr>
        <sz val="11"/>
        <color rgb="FFFF0000"/>
        <rFont val="Calibri"/>
        <family val="2"/>
        <scheme val="minor"/>
      </rPr>
      <t>"zones de tranquil·litat"</t>
    </r>
    <r>
      <rPr>
        <sz val="11"/>
        <rFont val="Calibri"/>
        <family val="2"/>
        <scheme val="minor"/>
      </rPr>
      <t xml:space="preserve"> per a la conservació de fauna amenaçada en època hivernal (també a la part d'ús públic)</t>
    </r>
  </si>
  <si>
    <t>SPEN: Inventari i cartografia d'espais fràgils i zones d'especial atenció</t>
  </si>
  <si>
    <t>1) Nombre de zones de Prioritat per la Conservació creades 
2) Nombre de zones de tranquil·litat creades
3) Superfície (ha) de zones de tranquil·litat</t>
  </si>
  <si>
    <t>1) 1
2) 1
3) 30</t>
  </si>
  <si>
    <t>1) 4
2) 4
3) 150</t>
  </si>
  <si>
    <t>06.2</t>
  </si>
  <si>
    <t>Conèixer l'estat de conservació i la seva tendència dels hàbitats, les espècies els elements de la gea i els processos ecològics com a eina per avaluar i optimitzar la gestió</t>
  </si>
  <si>
    <t>06.2.1</t>
  </si>
  <si>
    <t>Participar en l'elaboració de la cartografia que elabora la UIC</t>
  </si>
  <si>
    <t>Elaboració de la cartografia de la distribució dels elements d'interès del Parc (hàbitats, flora, fauna, geologia...) i aportació a la UIC</t>
  </si>
  <si>
    <t>UIC: Coordinar i contractar l'elaboració de la cartografia</t>
  </si>
  <si>
    <t>1) Percentatge d'aportació de la informació sol·licitada des de la UIC
2) Percentatge d'elements d'interès identificats que disposen de cartografia</t>
  </si>
  <si>
    <t>1) 100%
2) 75%</t>
  </si>
  <si>
    <t>1) 100%
2) 100%</t>
  </si>
  <si>
    <t>06.2.2</t>
  </si>
  <si>
    <t>Conèixer i estudiar els processos naturals propis de l’espai, la seva funcionalitat, i ecologia en referència als ecosistemes</t>
  </si>
  <si>
    <t xml:space="preserve">1) Implementació del protocol de fluxos d'informació i coneixement de biodiversitat
2) Foment i coordinació dels estudis sobre el règim hidrològic, la pol·linització, la tipificació i funcionament de les cadenes tròfiques pròpies de l’espai, la dinàmica de la neu i les allaus
</t>
  </si>
  <si>
    <t>1) Percentatge d'estudis elaborats des del Parc aportats anualment a la UIC
2) Nombre d'estudis potenciats des del Parc relacionats amb els processos naturals que es donen a l'espai</t>
  </si>
  <si>
    <t>1) 80
2) 4</t>
  </si>
  <si>
    <t>1) 100
2) 6</t>
  </si>
  <si>
    <t>06.2.3</t>
  </si>
  <si>
    <t>Conèixer els usos i factors de canvi rellevants en l'evolució dels elements de conservació, i avaluar els efectes que generen en l’espai (pressions i amenaces)</t>
  </si>
  <si>
    <t>1) Avaluació de l'impacte del canvi climàtic en l'ENP i la seva capacitat d'adaptació i resiliència.
2) Avaluació dels resultats de les estratègies de gestió aplicades en l'ENP
3) Foment de l'estudi de l'afectació de determinats processos naturals o activitats antròpiques en l'ENP (per exemple conèixer l'impacte de l'activitat ramadera sobre la biodiversitat - diferents pautes de maneig i tractaments com l'ivermectina - , la freqüentació humana sobre algunes espècies prioritàries com la perdiu blanca, etc.)</t>
  </si>
  <si>
    <t xml:space="preserve">SENP/UIC: Elaborar la classificació i cartografia de les pressions o factors de canvi sobre el medi natural </t>
  </si>
  <si>
    <t>1) Nombre d'estudis o projectes  relacionats amb l'impacte del canvi climàtic en l'ENP (per exemple, impacte sobre els hàbitats de congestera, molleres, espècies prioritaries com perdiu blanca...)
2) Percentatges d'actuacions de gestió directe en les quals es du a terme un seguiment i avaluació per tal de mesurar l'eficàcia de les intervencions
3) Projectes duts a terme que avaluin l'afectació de processos i activitats sobre l'ENP</t>
  </si>
  <si>
    <t>1) 3
2) 75
3) 2</t>
  </si>
  <si>
    <t>1) 6
2) 100
3) 4</t>
  </si>
  <si>
    <t xml:space="preserve"> Tots</t>
  </si>
  <si>
    <t>06.2.4</t>
  </si>
  <si>
    <t>Conèixer l'impacte de les gestió de l'aigua, sobre la biodiversitat.</t>
  </si>
  <si>
    <t>Implementació d'un programa de seguiment de l’estat hidrològic de les masses d’aigua</t>
  </si>
  <si>
    <t>Accions vinculades als OP 3.3.1 i OP 3.3.4</t>
  </si>
  <si>
    <t>1) Instal·lació de punts de control automàtics</t>
  </si>
  <si>
    <t>06.2.5</t>
  </si>
  <si>
    <t>Participar en el coneixement de la tendència d'espècies plaga amb afectacions sobre ecosistemes o activitats econòmiques dins l'ENP</t>
  </si>
  <si>
    <t>Participació en dels estudis de les autoritats competents</t>
  </si>
  <si>
    <t>Nombre d'estudis sobre espècies plaga en els que s'ha participat des del Parc</t>
  </si>
  <si>
    <t>06.2.6</t>
  </si>
  <si>
    <t>Conèixer la tendència d'espècies exòtiques invasores amb afectacions sobre ecosistemes o activitats econòmiques dins l'ENP</t>
  </si>
  <si>
    <t>Realització i foment d'estudis de forma coordinada amb el SFF: avaluació de la tendència del seneci del cap dins del Parc, xarxa de seguiment d'espècies aquàtiques de fauna exòtica com el coipú o el visó americà</t>
  </si>
  <si>
    <t>Estudis relacionats amb l'estat de les espècies exòtiques invasores (principalment seneci del cap, visó americà i coipú)</t>
  </si>
  <si>
    <t>06.2.7</t>
  </si>
  <si>
    <t>Coneixer com millorar la connectivitat de forma coordinada amb altres ENP</t>
  </si>
  <si>
    <t>Elaboració d'una cartografia detallada i actualitzada de connectors ecològics</t>
  </si>
  <si>
    <t>Cartografia elaborada que cobreixi tot l'espai</t>
  </si>
  <si>
    <t>06.3</t>
  </si>
  <si>
    <t xml:space="preserve">Estandaritzar els seguiments periòdics dels grups clau </t>
  </si>
  <si>
    <t>06.3.1</t>
  </si>
  <si>
    <t>Participar en la definició del sistema estàndard de seguiment de flora, fauna i hàbitats de la DG</t>
  </si>
  <si>
    <t xml:space="preserve">Suport a la UIC en la definició dels sistemes de seguiment </t>
  </si>
  <si>
    <t>UIC/SFF/SENP: Crear espais de participació
UIC/SFF: Definir el sistema estàndard de seguiment i el protocol d'aplicació</t>
  </si>
  <si>
    <r>
      <t xml:space="preserve">1) % d'assistència a les convocatories de la UIC per la definició d'un sistema estandard de seguiment dels elements dels ENP                             </t>
    </r>
    <r>
      <rPr>
        <sz val="11"/>
        <color theme="9" tint="-0.249977111117893"/>
        <rFont val="Calibri"/>
        <family val="2"/>
        <scheme val="minor"/>
      </rPr>
      <t xml:space="preserve">       2)% de metodologies de seguiments estandaritzats que apliquen a l'espai</t>
    </r>
  </si>
  <si>
    <t>06.3.2</t>
  </si>
  <si>
    <t>Adequar i executar el sistema de seguiment periòdic dels grups clau de l'ENP al sistema estàndard de seguiment</t>
  </si>
  <si>
    <t>1) Contractació d’especialistes per dur a terme el seguiment periòdic dels grups clau de l'ENP
2) Col.laboració amb l'Observatori per aportar els coneixements generats a l'ENP.
3) Seguiment de les directius del sistema de seguiment establerts segons la versió més recent aportada per la UIC
4) Aplicació del protocol establert de compartir informació per al seguiment global d’indicadors de l’estat de la natura, el seguiment dels pol·linitzadors silvestres, o el seguiment dels pol·linitzadors silvestres .</t>
  </si>
  <si>
    <t>UIC/SFF: Definir el sistema estàndard de seguiment i el protocol d'aplicació
UIC: Elaborar el protocol d'informació i coneixement</t>
  </si>
  <si>
    <t>1) Nombre d'encarrecs anuals a especialistes per dur a terme el seguiment dels grups clau de l'espai. Nombre d'encarrecs per grup: coleopters, ortopters, pol·linitzadors, ocells, mamífers, peixos, amfibis, rèptils, flora...
2) Compliment de les peticions de dades efectuades des de l'observatori
3) Percentatge de seguiments efectuats seguint les directrius del sistema de seguiment de la UIC
4) Percentatge dels estudis realitzats en els que s'ha aplicat el protocol de compartir informació per el seguiment flobal d'indicadors</t>
  </si>
  <si>
    <t>1) 1
2) 100
3) 80
4) 50</t>
  </si>
  <si>
    <t>1) 3
2) 100
3) 100
4) 75</t>
  </si>
  <si>
    <t>06.3.3</t>
  </si>
  <si>
    <t xml:space="preserve">Mantenir una base de dades de seguiment de patrimoni natural de l'ENP actualitzada i ordenada </t>
  </si>
  <si>
    <r>
      <t xml:space="preserve">Mantenir una base de dades de seguiment de patrimoni natural de l'ENP actualitzada i ordenada i </t>
    </r>
    <r>
      <rPr>
        <sz val="11"/>
        <color theme="9" tint="-0.249977111117893"/>
        <rFont val="Calibri"/>
        <family val="2"/>
        <scheme val="minor"/>
      </rPr>
      <t>lligada al SINATCAT</t>
    </r>
  </si>
  <si>
    <t>Manteniment i actualització anual de la base de dades corresponent al Pla de Seguiment de l'ENP</t>
  </si>
  <si>
    <t>1) Base de dades corresponent al pla de seguiment de l'ENP, actualitzada anualment
2) Percentatge de seguiments anuals entrats durant la mateixa anualitat a la base de dades de l'ENP</t>
  </si>
  <si>
    <t>1) 1
2) 100%</t>
  </si>
  <si>
    <t>06.3.4</t>
  </si>
  <si>
    <t>Participar en el grups de treball per a la definició i organització del SINATCAT</t>
  </si>
  <si>
    <t>Participar en la definició, organització i bolcatge de dades del SINATCAT</t>
  </si>
  <si>
    <t>Participació en el desplegament del SINATCAT</t>
  </si>
  <si>
    <t>UIC/SENP: Crear i coordinar una metodologia participativa per a la definició del SINATCAT</t>
  </si>
  <si>
    <t>Percentatge d'assistència als grups de treball i jornades de formació que es convoquin per el desplegament del SINATCAT</t>
  </si>
  <si>
    <t>06.4</t>
  </si>
  <si>
    <t>Incrementar el coneixement de qualitat mitjançant l’establiment de marcs de col·laboració, assessorament i suport amb centres de recerca, museus i entitats naturalistes per al desenvolupament de part de la seva activitat en l’ENP</t>
  </si>
  <si>
    <t>06.4.1</t>
  </si>
  <si>
    <t>Crear sinèrgies i col·laborar amb museus i equipaments de referència per definir línies d'actuació conjunta entre patrimoni cultural i natural</t>
  </si>
  <si>
    <t>*Signatura d'un conveni de col·laboració entre el Museu Etnogràfic de Ripoll i el PNCTF
*Detecció d'altres organismes amb qui traçar línies de col·laboració per definir línies d'actuació conjunta entre patrimoni natural i cultural</t>
  </si>
  <si>
    <t>SENP: Elaborar un mapa d'agents de referència</t>
  </si>
  <si>
    <t>Nombre d'organismes implicats amb el PNCTF per a la definició de línies d'actuació conjunta entre patrimoni cultural i natural</t>
  </si>
  <si>
    <t>06.4.2</t>
  </si>
  <si>
    <t>Establir acords amb les institucions de recerca i naturalistes per al desenvolupament d'estudis i inventaris dins l'ENP en el marc de les seves línies de recerca</t>
  </si>
  <si>
    <t>Manteniment i estabilment de nous acords amb institucions de recerca per el desenvolupament d'estudis dins de l'ENP</t>
  </si>
  <si>
    <t>SENP: Elaborar un mapa d'agents de referècia</t>
  </si>
  <si>
    <t>Nombre d'acords (col·laboracions, contractes, etc.) actius amb institucions de recerca: UdG, UB, CREAF...</t>
  </si>
  <si>
    <t>06.4.3</t>
  </si>
  <si>
    <t xml:space="preserve">Potenciar la ciència ciutadana en l’ENP com a eina per generar coneixement </t>
  </si>
  <si>
    <t>Proposta sector conservacionista</t>
  </si>
  <si>
    <r>
      <t xml:space="preserve">1) Realització de projectes de ciència ciutadana dins de l'ENP per tal de generar dades.
2) Suport i estabilització de la xarxa de voluntariat per a determinats seguiments de biodiversitat                                            </t>
    </r>
    <r>
      <rPr>
        <sz val="11"/>
        <color rgb="FFFF0000"/>
        <rFont val="Calibri"/>
        <family val="2"/>
        <scheme val="minor"/>
      </rPr>
      <t xml:space="preserve">  3) Potenciar que, en cas de manca de voluntariat es facin els seguiments igualment (contractes menorsconvenis, etc.)</t>
    </r>
  </si>
  <si>
    <t>Nombre d'estacions de seguiments estandaritzats duts a terme mitjançant programes de ciencia ciutadana: 
1) SOCC
2) CBMS
3) SEMICE
4) Quirohàbitats
5) Projecte Rius
6) SACC
7) Percentatge d'aquests programes de seguiments que es du a terme a través de la xarxa de voluntariat</t>
  </si>
  <si>
    <t>1) 7
2) 1
3) 1
4) 5
5) 2
6) 10
7) 50</t>
  </si>
  <si>
    <t>1) 10
2) 2
3) 2
4) 10
5) 4
6) 15
7) 75</t>
  </si>
  <si>
    <t>06.4.4</t>
  </si>
  <si>
    <t xml:space="preserve">Crear i desenvolupar jornades de recerca de l'ENP de forma anual on els diferents centres mostrin els estudis realizats en l'ENP </t>
  </si>
  <si>
    <t>Realització de les jornades d'estudiosos del Parc Natural.</t>
  </si>
  <si>
    <t>SENP: Suport en l'organització de les jornades</t>
  </si>
  <si>
    <t>Nombre de jornades dutes a terme</t>
  </si>
  <si>
    <t>06.4.5</t>
  </si>
  <si>
    <t>Posar a disposició de la recerca, equipaments i serveis de l'ENP</t>
  </si>
  <si>
    <t>1) Adaptació d'espais per acollir investigadors i estudiants en pràctiques
2) Suport i col·laboració del personal tècnic i de la brigada en els estudis que es desenvolupin a l'espai</t>
  </si>
  <si>
    <t>1) Nombre d'espais adaptats, a disposició d'estudiants o investigadors
2) Percentatge d'estudis que es desenvolupen a l'espai en els que es col·labora mitjançant personal tècnic o de la brigada</t>
  </si>
  <si>
    <t>1) 1
2) 30%</t>
  </si>
  <si>
    <t>1) 1
2) 60%</t>
  </si>
  <si>
    <t>06.4.6</t>
  </si>
  <si>
    <t xml:space="preserve">Crear l'Observatori de recerca de l'ENP vinculat a l'Observatori del Patrimoni natural i la biodiversitat </t>
  </si>
  <si>
    <t>Creació de l'Observatori de recerca de l'ENP en col·laboració amb la UIC</t>
  </si>
  <si>
    <t>UIC: Suport en la creació de l'Observatori de reserca</t>
  </si>
  <si>
    <r>
      <t>1) Existència de l'Observatori de la Recerca al Parc
2) Projectes de recerca als quals s'ha donat suport des de l'Observatori de la Recerca</t>
    </r>
    <r>
      <rPr>
        <sz val="11"/>
        <color theme="9" tint="-0.249977111117893"/>
        <rFont val="Calibri"/>
        <family val="2"/>
        <scheme val="minor"/>
      </rPr>
      <t xml:space="preserve"> (buscar sinèrgies entre ENPE)</t>
    </r>
  </si>
  <si>
    <t>1) 1
2) 5</t>
  </si>
  <si>
    <t>1) 1
2) 10</t>
  </si>
  <si>
    <t>06.5</t>
  </si>
  <si>
    <t>Millorar el coneixement global de les dinàmiques d'usos antròpics de l’ENP</t>
  </si>
  <si>
    <t>06.5.1</t>
  </si>
  <si>
    <t>Participar en la definició del sistema estándard de seguiment de l'ús públic amb el SENP</t>
  </si>
  <si>
    <t>*Col·laborar amb el SENP en la definició del Sistema Estàndard de Seguiment de l'Ús Públic</t>
  </si>
  <si>
    <t>SENP: Crear espais de participació. Definició del sistema estándard de seguiment de l'ús públic</t>
  </si>
  <si>
    <t>Nombre de reunions amb el SENP en què s'ha participat en la definició del Sistema Estàndard de Seguiment de l'Ús Públic</t>
  </si>
  <si>
    <t>06.5.2</t>
  </si>
  <si>
    <t xml:space="preserve">Disposar de dades de freqüentació i perfil d'usuari en l'ENP i en especial en equipaments i en zones d'alta freqüentació segons el model de DG </t>
  </si>
  <si>
    <t>1) Implementació del sistema estandaritzat de presa de dades i seguiment de la freqüentació en ENP del SENP
2) Gestió i seguiment mensual dels eco-comptadors de vehicles i persones d'entrada al PNCTF
3) Anàlisi estadístic anual del perfil de visitants als Centres d'Informació del PNCTF
4) Estudi de Freqüentació i Caracterització de Visitants del PNCTF: revisions periòdiques
5) Estudis de Capacitat de Càrrega del PNCTF: aplicació a diferents punts del Parc
6) Establiment de models de freqüentació que serveixin per gestionar l'ús públic en l'ENP conjuntament amb la UIC</t>
  </si>
  <si>
    <t>SENP: Disseny i elaboració del sistema estandaritzat de presa de dades i seguiment de la freqüentació en ENP</t>
  </si>
  <si>
    <t>1) Disposició d'un sistema homogeni de recollida de dades i seguiment de l'ús públic als ENP liderat pel SENP
2) Quantitat de descàrregues de dades per eco-comptador</t>
  </si>
  <si>
    <t>1) 1
2) 24
3) 4
4) 1
5) 1
6) 1</t>
  </si>
  <si>
    <t>1) 1
2) 48
3) 4
4) 2
5) 2
6) 1</t>
  </si>
  <si>
    <t>06.5.3</t>
  </si>
  <si>
    <t>Identificar les activitats i actors de l’espai.</t>
  </si>
  <si>
    <t>*Inventariar les activitats no organitzades que es desenvolupen al PNCTF
*Inventariar les activitats organitzades que s'organitzen al PNCTF sense afany de lucre
*Inventariar les activitats organitzades que es comercialitzen al PNCTF, així com les empreses implicades</t>
  </si>
  <si>
    <t>Nombre d'inventaris desenvolupats per detectar les activitats i actors del PNCTF</t>
  </si>
  <si>
    <t>06.5.4</t>
  </si>
  <si>
    <t>Identificar en cartografia les males praxis i punts de massificació</t>
  </si>
  <si>
    <t>Queda recollit a l'OP 06.5.6.</t>
  </si>
  <si>
    <t>06.5.5</t>
  </si>
  <si>
    <t>Adaptar i mantenir un registre d'activitats, actors i inciències en ús públic (curses, conflictes, queixes, etc)</t>
  </si>
  <si>
    <t>*Dur a terme un registre d'activitats, actors i incidències en ús públic que s'actualitzi periòdicament</t>
  </si>
  <si>
    <t>UIC: Disseny d'un model de registre d'activitats, actors i inciències en ús públic</t>
  </si>
  <si>
    <t>Nombre d'actualitzacions anuals del registre d'activitats, actors i incidències en ús públic</t>
  </si>
  <si>
    <t>06.5.6</t>
  </si>
  <si>
    <t>Identificar els impactes (positius i negatius) que generen les activitats d'ús públic dins l'ENP</t>
  </si>
  <si>
    <t>1) Llistar els impactes (positius i negatius) que generen les activitats d'ús públic al PNCTF
2) Cartografiar els impactes mitjançant l'elaboració d'una cartografia de punts de males praxis i massificació
3) Analitzar anualment les activitats que generin massa impacte negatiu per buscar la manera de reduir-lo
4) Prendre mesures per a reduir els impactes negatius de les activitats</t>
  </si>
  <si>
    <t>1) Nombre d'impactes (positius i negatius) que generen les activitats d'ús públic al PNCTF.
2) Nombre d'activitats d'ús públic amb un impacte negatiu.
3) Cartografia elaborada.
4) Anàlisi anual de les activitats que generin massa impacte negatiu per buscar la manera de reduir-lo feta.
5) % d'activitats gestionades amb mesures de reducció d'impacte.</t>
  </si>
  <si>
    <t>1) 1
2) 1
3) 0
4) 1
5) 25</t>
  </si>
  <si>
    <t>1) 10
2) 10
3) 1
4) 4
5) 100</t>
  </si>
  <si>
    <t>Fusionar 6.5.4 i 6.5.6</t>
  </si>
  <si>
    <t xml:space="preserve">DESENVOLUPAMENT LOCAL </t>
  </si>
  <si>
    <t>FIXAR LA POBLACIÓ AL TERRITORI d'acord amb les oportunitats que generen els objectius de l'espai.</t>
  </si>
  <si>
    <t>07.1</t>
  </si>
  <si>
    <t xml:space="preserve">Fomentar i donar suport tècnic als Plans de desenvolupament socioecòmonic local sostenible dels municipis </t>
  </si>
  <si>
    <t>07.1.1</t>
  </si>
  <si>
    <t xml:space="preserve">Promoure i col·laborar en l'aplicació de Plans de Desenvolupament Local Sostenible </t>
  </si>
  <si>
    <t xml:space="preserve">Promoure i/o col·laborar en l'aplicació de Plans de Desenvolupament Local Sostenible </t>
  </si>
  <si>
    <t>*Participació en l'aplicació dels Plans de Desenvolupament Local Sostenible</t>
  </si>
  <si>
    <t>Nombre de reunions en què el tècnic del PNCTF assisteix destinades a l'aplicació dels Plans de Desenvolupament Local Sostenible</t>
  </si>
  <si>
    <t xml:space="preserve">APROFITAR ELS RECURSOS NATURALS DE FORMA SOSTENIBLE mitjançant desenvolupament dels aprofitaments tradicionals de forma compatible amb la conservació de l'espai </t>
  </si>
  <si>
    <t>08.1</t>
  </si>
  <si>
    <t>Impulsar models productius agraris i forestals per tal d'afavorir la conservació dels hàbitats i els paisatges modelats per aquestes, i contribuir a la millora socioeconòmica de les persones que la fan possible</t>
  </si>
  <si>
    <t>08.1.1</t>
  </si>
  <si>
    <t xml:space="preserve">Acompanyar i assessorar els productors agraris per millorar les tècniques productives agràries i afavorir la conservació dels hàbitats i paisatges </t>
  </si>
  <si>
    <t>*Manual tècnic de bones pràctiques en ramaderia extensiva *Jornades ramaderia i gestió de pastures</t>
  </si>
  <si>
    <r>
      <t xml:space="preserve">1) treballs amb recomacions de maneig                                                         2) jornades de divulgació                                            </t>
    </r>
    <r>
      <rPr>
        <sz val="11"/>
        <color rgb="FFFF0000"/>
        <rFont val="Calibri"/>
        <family val="2"/>
        <scheme val="minor"/>
      </rPr>
      <t xml:space="preserve">     3) Proves pilot de gestió de pastures</t>
    </r>
  </si>
  <si>
    <r>
      <t xml:space="preserve">1) 2                               2) 1                      </t>
    </r>
    <r>
      <rPr>
        <sz val="11"/>
        <color rgb="FFFF0000"/>
        <rFont val="Calibri"/>
        <family val="2"/>
        <scheme val="minor"/>
      </rPr>
      <t>3)1</t>
    </r>
  </si>
  <si>
    <r>
      <t xml:space="preserve">1) 4                                2) 2                  </t>
    </r>
    <r>
      <rPr>
        <sz val="11"/>
        <color rgb="FFFF0000"/>
        <rFont val="Calibri"/>
        <family val="2"/>
        <scheme val="minor"/>
      </rPr>
      <t xml:space="preserve"> 3)2</t>
    </r>
  </si>
  <si>
    <t>08.1.2</t>
  </si>
  <si>
    <t xml:space="preserve">Oferir formació als productors agraris per millorar el seu coneixement sobre tècniques eficients i respectuoses amb la conservació del patrimoni natural i cultural </t>
  </si>
  <si>
    <t>Inclòs a l'OP 8.1.1</t>
  </si>
  <si>
    <t>Marca fet al Parc lligat amb Porducte del Ripollès</t>
  </si>
  <si>
    <t>Fusionar 8.1.1 i 8.1.2</t>
  </si>
  <si>
    <t>08.1.3</t>
  </si>
  <si>
    <t>Promoure la recuperació i conservació de marges i punts d'aigua associats a la ramaderia i l'agricultura i d'interès per la biodiversitat</t>
  </si>
  <si>
    <t>Recuperació de punts d'aigua associats a la ramaderia d'interès per a la biodiversitat (basses de Fontlletera, estanyet de Fontalba, etc.) i instal·lació d'abeuradors alternatius</t>
  </si>
  <si>
    <t>Nombre de punts d'aigua recuperats</t>
  </si>
  <si>
    <t>Patrimoni natural i sistemes agropastorals</t>
  </si>
  <si>
    <t>Anna Planella i Bernat Perramon</t>
  </si>
  <si>
    <t>08.2</t>
  </si>
  <si>
    <t>Promoure la coordinació amb els agents socioeconòmics del territori pel foment del desenvolupament sostenible de l'espai (sector primari i secundari)</t>
  </si>
  <si>
    <t>08.2.1</t>
  </si>
  <si>
    <t>Establir una relació contínua amb agents socioeconòmics del territori, i si s'escau, crear una Taula de desenvolupament local</t>
  </si>
  <si>
    <t xml:space="preserve">*Consolidar el Grup de Treball de la Carta Europea de Turisme Sostenible del Ripollès
*Elaboració i actualització periòdica del mapa d’agents socioeconòmics de l’ENP (sector primari i secundari)
*Establiment de canals de comunicació i coordinació amb els agents socioeconòmics clau del territori.
*Estudi de la idoneïtat de crear una Taula de desenvolupament local, en els ENP que encara no ho tinguin (per ENP o agrupacions d’ENP).
*Convocar les taules de desenvolupament local ja constituïdes de cada ENP (o agrupacions d’ENP).
*Promoció i enfortiment de la participació dels agents clau a les taules de desenvolupament local ja constituïdes.
*Participació en la definició i desplegament dels plans de treball de la taula de desenvolupament local. </t>
  </si>
  <si>
    <t>Revisar si algunes de les accions es poden descartar i treure-ho. Si aquestes accions van totalment vinculades a la CETS valorar incorporar-ho dins l'objectiu específic que hi ha de la CETS i mantenir només el que NO quedi inclòs dins la carta dins aquest objectiu. A la columna vincles posar els objectius de la CETS.
Revisar indicadors i fites</t>
  </si>
  <si>
    <t>Nombre de reunions de les taules de desenvolupament local del Ripollès liderades pel Parc</t>
  </si>
  <si>
    <t>08.3</t>
  </si>
  <si>
    <t>Millorar la valorització i comercialització dels productes generats a l'ENP que contribueixen al desenvolupament socioeconòmic i la conservació del patrimoni de l'ENP</t>
  </si>
  <si>
    <t>08.3.1</t>
  </si>
  <si>
    <t>Implantar un distintiu de qualitat i compatibilitat amb la conservació dels productes de la Xarxa d'ENP o criteris de qualitat propis de l'ENP</t>
  </si>
  <si>
    <t>1) Participació en les reunions amb els Serveis Centrals per la generació d'un segell comú.
En quant al segell propi de la comarca: 
- 2) Assistència a les reunions del segell del Productes del Ripollès
- 3) Incidir en la millora del segell de Productes del Ripollès pel què fa al vincle amb el territori: treballar per què tingui un valor afegit el producte que prové d'una matèria prima que es produeix a la mateixa comarca i que, per tant, té una incidència sobre els hàbitats de l'espai.</t>
  </si>
  <si>
    <t>SENP: Crear una marca que identifiqui els productes agroalimentaris generats en els ENP</t>
  </si>
  <si>
    <t>1) Nombre de reunions amb els serveis centrals per a la generació d'un segell comú en què s'ha participat
2) Nombre de reunions del segell del Productes del Ripollès en què s'ha participat
3) Nombre de propostes de millora del segell de Productes del Ripollès</t>
  </si>
  <si>
    <t>1) 1
2) 1
3) 1</t>
  </si>
  <si>
    <t>1) 4
2) 4
3) 4</t>
  </si>
  <si>
    <t>Xavier Grivé i Rai / Bernat Perramon</t>
  </si>
  <si>
    <t>08.3.2</t>
  </si>
  <si>
    <t>Integrar els productes i activitats locals de qualitat en l'oferta d'activitats d'informació i turístiques de l'ENP</t>
  </si>
  <si>
    <t>*Elaboració d'un catàleg de ramaders amb producte final
*Inclusió de visites a productors o artesans en el catàleg d'activitats de l'ENP
*Incorporació de l'Associació Productes del Ripollès en la presa de decisions d'aquesta línia de treball</t>
  </si>
  <si>
    <t>ESNATURA
CETS</t>
  </si>
  <si>
    <t>Actuacions amb ramaders amb producte final dirigides a donar un valor afegit en el seu producte vinculat a una bona gestió ramadera</t>
  </si>
  <si>
    <t>2) 4</t>
  </si>
  <si>
    <t>08.3.3</t>
  </si>
  <si>
    <t>Promoure fires d'artesania i productes locals de l'ENP</t>
  </si>
  <si>
    <t>*Donar suport a l'Associació de Productes del Ripollès en la tasca promocional dels productes locals</t>
  </si>
  <si>
    <t>Nombre de tasques de promoció de l'Ass. Productes del Ripollès en què el PNCTF ha donat suport</t>
  </si>
  <si>
    <t>08.3.4</t>
  </si>
  <si>
    <t xml:space="preserve">Generar aliances entre el sector primari, el turisme, la restauració i altres per fomentar la gastronomia local </t>
  </si>
  <si>
    <r>
      <t xml:space="preserve">Generar aliances entre el sector primari, el turisme, la restauració i altres per fomentar la gastronomia i </t>
    </r>
    <r>
      <rPr>
        <sz val="11"/>
        <color rgb="FFFF0000"/>
        <rFont val="Calibri"/>
        <family val="2"/>
        <scheme val="minor"/>
      </rPr>
      <t xml:space="preserve">el comerç </t>
    </r>
    <r>
      <rPr>
        <sz val="11"/>
        <rFont val="Calibri"/>
        <family val="2"/>
        <scheme val="minor"/>
      </rPr>
      <t xml:space="preserve">local </t>
    </r>
  </si>
  <si>
    <t>Aportació ramaders i propietaris</t>
  </si>
  <si>
    <t>1) Analitzar el Pla de treball de l'Associació Productes del Ripollès per valorar a quines actuacions el Parc pot donar suport i impuls.
2) Suport i participació en les iniciatives de la marca Productes del Ripollès i de l'Agència de Desenvolupament del Ripollès per a incentivar la interacció entre sectors primari i terciari: divulgació i comunicació, formació i assessorament tècnic, comercialització, treball en xarxa, suport a la gestió de l’activitat.
3) Suport i participació per tenir infraestructura comuna (obrador comunitari).</t>
  </si>
  <si>
    <t>1) Nombre d'actuacions del Pla de treball de l'Associació Productes del Ripollès en què el Parc ha donat suport i impuls.
2) Nombre d'iniciatives de la marca Productes del Ripollès i de l'Agència de Desenvolupament del Ripollès per a incentivar la interacció entre sectors primari i terciari en què el Parc s'ha implicat i/o ha participat.
3) Obtenció d'una infraestructura comuna (obrador comunitari).</t>
  </si>
  <si>
    <t>1) 4
2) 4
3) 0</t>
  </si>
  <si>
    <t>1) 12
2) 12
3) 1</t>
  </si>
  <si>
    <t>08.3.5</t>
  </si>
  <si>
    <t>Elaborar una diagnosi del teixit productiu local i un pla d’acció amb línies de treball i actuacions concretes per donar-li suport</t>
  </si>
  <si>
    <r>
      <rPr>
        <sz val="11"/>
        <color rgb="FFFF0000"/>
        <rFont val="Calibri"/>
        <family val="2"/>
        <scheme val="minor"/>
      </rPr>
      <t>Participar</t>
    </r>
    <r>
      <rPr>
        <sz val="11"/>
        <rFont val="Calibri"/>
        <family val="2"/>
        <scheme val="minor"/>
      </rPr>
      <t xml:space="preserve"> en una diagnosi del teixit productiu local i un pla d'acció amb línies de treball i actuacions concretes per a donar-li suport</t>
    </r>
  </si>
  <si>
    <t>Participar en la diagnosi del teixit productiu local que es dugui a terme des de l'Associació Productes del Ripollès i l'Agència de Desenvolupament del Ripollès.</t>
  </si>
  <si>
    <t>Nombre d'hores dedicades a la diagnosi</t>
  </si>
  <si>
    <t>08.3.6</t>
  </si>
  <si>
    <t>Elaborar una guia per promocionar els agents del territori que potencien i difonen els productes alimentaris locals i de qualitat (allotjaments, restaurants, cellers, establiments, elaboradors i productors)</t>
  </si>
  <si>
    <t>No aplica actualment. Producte del Ripollès són els que tiren endavant la pròpia marca i ja tenen una guia per promoure els principal productors, per tant aquest objectiu no és competència de l'espai.</t>
  </si>
  <si>
    <t>08.4</t>
  </si>
  <si>
    <t>Contribuir a una correcta planificació i gestió dels recursos cinegètics i piscícoles de forma compatible amb els valors de l'ENP</t>
  </si>
  <si>
    <t>08.4.1</t>
  </si>
  <si>
    <t>Treballar amb l'autoritat competent per garantir objectius de conservació d’espècies i hàbitats en la revisió dels Plans de Gestió Cinegètica</t>
  </si>
  <si>
    <r>
      <t xml:space="preserve">1) Foment d'acords amb les Societats de Caçadors per a incorporar objectius de conservació d’espècies i hàbitats en la revisió dels Plans de Gestió Cinegètica
2) Establiment de mecanismes de col·laboració amb la Reserva Nacional de Caça </t>
    </r>
    <r>
      <rPr>
        <sz val="11"/>
        <color rgb="FFFF0000"/>
        <rFont val="Calibri"/>
        <family val="2"/>
        <scheme val="minor"/>
      </rPr>
      <t>i les APC</t>
    </r>
  </si>
  <si>
    <t>1) Nombre d'acords amb Societats de Caçadors
2) Nombre de reunions anuals amb la RNC</t>
  </si>
  <si>
    <t>1) 4
2) 4</t>
  </si>
  <si>
    <t>08.4.2</t>
  </si>
  <si>
    <t>Col·laborar en la regulació i ordenació de la caça i la pesca en zones sensibles o amb risc d'afectació d'elements clau objecte de conservació</t>
  </si>
  <si>
    <t>Impuls a la declaració de refugis de caça i pesca</t>
  </si>
  <si>
    <t>1) Nombre de refugis de caça declarats dins l'espai
2) Nombre de refugis de pesca declarats dins l'espai</t>
  </si>
  <si>
    <t>1) 1
2) 1</t>
  </si>
  <si>
    <t>1) 2
2) 2</t>
  </si>
  <si>
    <t>08.4.3</t>
  </si>
  <si>
    <t>Donar suport en la gestió de poblacions que generen danys a les activitats econòmiques de l'ENP</t>
  </si>
  <si>
    <t>No aplica. Gestió de la RNC i poc aplicable dins l'espai (sense conreus, poques carreteres...)</t>
  </si>
  <si>
    <t xml:space="preserve">FOMENTAR UN TURISME SOSTENIBLE compatible amb la conservació de l'espai </t>
  </si>
  <si>
    <t>09.1</t>
  </si>
  <si>
    <t xml:space="preserve">Fomentar un model de turisme que promogui els valors dels espais naturals protegits d'acord amb els agents turístics del territori </t>
  </si>
  <si>
    <t>09.1.1</t>
  </si>
  <si>
    <t>Desplegar la Carta Europea de Turisme Sostenible (CETS)</t>
  </si>
  <si>
    <r>
      <t xml:space="preserve">1) Continuar amb el desplegament de la CETS del Ripollès:
   Fase I: execució del Programa d'Actuacions 2024-2028, meòries anuals i seguiment d'indicadors
   Fase II: adhesió d'empreses turístiques a la CETS del Ripollès
   Fase III: adhesió d'agències de viatges
2) Coordinar les tasques i contractació de la secretaria tècnica que acompanya el projecte                                                                                                            </t>
    </r>
    <r>
      <rPr>
        <sz val="11"/>
        <color rgb="FFFF0000"/>
        <rFont val="Calibri"/>
        <family val="2"/>
        <scheme val="minor"/>
      </rPr>
      <t xml:space="preserve">  3) Promoure el grup motor i el Fòrum permanent com a ijmpulsors de la CETS</t>
    </r>
    <r>
      <rPr>
        <sz val="11"/>
        <rFont val="Calibri"/>
        <family val="2"/>
        <scheme val="minor"/>
      </rPr>
      <t xml:space="preserve">
4) Coordinació amb el grup CETSCAT de Parcs Naturals de Catalunya que desenvolupen la CETS
5) Fora del que és estrictament CETS, però dins d'aquest objectiu operatiu, desplegar les accions del Pla de Foment del Turisme de Natura al PNCTF
*Fora del que és estrictament CETS, però dins d'aquest objectiu operatiu, desplegar les accions del Pla de Foment del Turisme de Natura al PNCTF</t>
    </r>
  </si>
  <si>
    <t>1) Nombre de noves empreses turístiques adherides.
2) Disposar de secretaria tècnica de la CETS.
3) Nombre de reunions amb el grup CETSCAT.
4) Nombre d'accions del Pla de Foment del Turisme de Natura desplegades al PNCTF</t>
  </si>
  <si>
    <t>1) 10
2) 0
3) 4
4) 0</t>
  </si>
  <si>
    <t>1) 40
2) 1
3) 16
4) 10</t>
  </si>
  <si>
    <t>09.1.2</t>
  </si>
  <si>
    <t>Tramitar la certificació Biosphere</t>
  </si>
  <si>
    <t>*Iniciar i analitzar el procés de tramitació de la certificació Biosphere</t>
  </si>
  <si>
    <t>Nombre de certificacions Biosphere del PNCTF</t>
  </si>
  <si>
    <t>09.2</t>
  </si>
  <si>
    <t>Promoure la coordinació amb els agents turístics del territori (empreses, industries, administració).</t>
  </si>
  <si>
    <t>09.2.1</t>
  </si>
  <si>
    <t xml:space="preserve">Treballar amb les empreses turístiques per trobar eines de canvi cap a un model de turisme sostenible i de qualitat </t>
  </si>
  <si>
    <r>
      <t xml:space="preserve">1) </t>
    </r>
    <r>
      <rPr>
        <sz val="11"/>
        <color rgb="FFFF0000"/>
        <rFont val="Calibri"/>
        <family val="2"/>
        <scheme val="minor"/>
      </rPr>
      <t>Dinamitzar</t>
    </r>
    <r>
      <rPr>
        <sz val="11"/>
        <rFont val="Calibri"/>
        <family val="2"/>
        <scheme val="minor"/>
      </rPr>
      <t xml:space="preserve"> el grup d'empreses adherides a la CETS del Ripollès per a liderar plegats la recerca d'eines de canvi cap a un model de turisme més sostenible.
2) Aconseguir l'adhesió de més </t>
    </r>
    <r>
      <rPr>
        <sz val="11"/>
        <color rgb="FFFF0000"/>
        <rFont val="Calibri"/>
        <family val="2"/>
        <scheme val="minor"/>
      </rPr>
      <t>empreses compromeses amb</t>
    </r>
    <r>
      <rPr>
        <sz val="11"/>
        <rFont val="Calibri"/>
        <family val="2"/>
        <scheme val="minor"/>
      </rPr>
      <t xml:space="preserve"> la CETS del Ripollès.</t>
    </r>
  </si>
  <si>
    <t>1) Existència del Grup d'Empreses de la CETS del PNCTF
2) Nombre d'empreses adherides a la CETS del Ripollès</t>
  </si>
  <si>
    <t>1) 0
2) 1
3) 20</t>
  </si>
  <si>
    <t>1) 1
2) 2
3) 50</t>
  </si>
  <si>
    <t>09.2.2</t>
  </si>
  <si>
    <t>Crear productes i paquets turístics amb associacions d’empreses turístiques i operadors turístics</t>
  </si>
  <si>
    <r>
      <t xml:space="preserve">1) Entrar a la fase III de la CETS del Ripollès, </t>
    </r>
    <r>
      <rPr>
        <sz val="11"/>
        <color rgb="FFFF0000"/>
        <rFont val="Calibri"/>
        <family val="2"/>
        <scheme val="minor"/>
      </rPr>
      <t>amb empreses que incentivin i facilitin la comercialització</t>
    </r>
    <r>
      <rPr>
        <sz val="11"/>
        <rFont val="Calibri"/>
        <family val="2"/>
        <scheme val="minor"/>
      </rPr>
      <t>, des de la qual liderar la creació de paquets turístics sostenibles.
2) Adherir AAVV a la CETS.
3) Incentivar la creació de paquets turístics sostenibles al Ripollès.</t>
    </r>
  </si>
  <si>
    <t>1) Entrada a la fase III de la CETS del Ripollès
2) Nombre d'AAVV adherides a la CETS.
3) Paquets turístics sostenibles creats al Ripollès.</t>
  </si>
  <si>
    <t>1) 0
2) 1
3) 1</t>
  </si>
  <si>
    <t>1) 1
2) 4
3) 16</t>
  </si>
  <si>
    <t>ÚS PÚBLIC I SOCIAL</t>
  </si>
  <si>
    <t>ORDENAR ELS USOS I APROFITAMENTS per garantir l'equilibri de les activitats humanes amb la conservació de la biodiversitat</t>
  </si>
  <si>
    <t>10.1</t>
  </si>
  <si>
    <t>Estandarditzar de regulació d'usos i aprofitaments  en base al model de Pla de protecció</t>
  </si>
  <si>
    <t>10.1.1</t>
  </si>
  <si>
    <t>Establir un model de construcció a l'ENP en base al model de Pla de protecció</t>
  </si>
  <si>
    <t>No aplica, pràcticament no hi ha construccions dins l'espai</t>
  </si>
  <si>
    <t>SPEN: Elaborar model</t>
  </si>
  <si>
    <t>ORDENAR L'ÚS PÚBLIC I SOCIAL per a la protecció dels hàbitats, espècies i elements geològics</t>
  </si>
  <si>
    <t>11.1</t>
  </si>
  <si>
    <t>Estandaritzar regulació de l’ús públic i social en base al model acordat per govern</t>
  </si>
  <si>
    <t>11.1.1</t>
  </si>
  <si>
    <t>Regular l'acampada i pernoctació  en base al model de Pla de protecció</t>
  </si>
  <si>
    <t>Regulació de l'acampada i pernoctació</t>
  </si>
  <si>
    <t>No hi ha pla de protecció aprovat. No existeix un Pla de Protecció, per tant ens hem de basar en ordenances municipals</t>
  </si>
  <si>
    <t>1) Creació de la normativa de regulació de l'acampada i pernoctació en base a ordenances municipals. Tenir en compte els acords actuals que ja puguin haver-hi i desenvolupar, si s'escau, procesos participatius amb els agents implicats.
2) Divulgació de la normativa de regulació
3) Implementació de la normativa de regulació</t>
  </si>
  <si>
    <t>1) Nombre de reunions per treballar les ordenances de regulació amb els Ajuntaments
2) Constitució de taula de treball amb els elements implicats</t>
  </si>
  <si>
    <t>1) 1
2) 1
3) 4</t>
  </si>
  <si>
    <t>1) 7
2) 10
3) 40</t>
  </si>
  <si>
    <t>11.1.2</t>
  </si>
  <si>
    <t>Regular la circulació rodada no motoritzada en base al model de Pla de protecció</t>
  </si>
  <si>
    <t>Regulació la circulació rodado no motorització</t>
  </si>
  <si>
    <t>1) Creació de la normativa de regulació de la circulació rodada no motoritzada en base a ordenances municipals. Tenir en compte els acords actuals que ja puguin haver-hi i desenvolupar, si s'escau, procesos participatius amb els agents implicats.
2) Divulgació de la normativa de regulació
3) Implementació de la normativa de regulació</t>
  </si>
  <si>
    <t>11.1.3</t>
  </si>
  <si>
    <t>Regular l'escalada i alpinisme, barranquisme, i espeleologia  en base al model de Pla de protecció</t>
  </si>
  <si>
    <t>Regular l'escalada i alpinisme, barranquisme, i espeleologia</t>
  </si>
  <si>
    <t>1) Creació de la normativa de regulació de l'escalada, alpinisme, barranquisme, i espeleologia en base a ordenances municipals. Tenir en compte els acords actuals que ja puguin haver-hi i desenvolupar, si s'escau, procesos participatius amb els agents implicats.
2) Divulgació de la normativa de regulació
3) Implementació de la normativa de regulació</t>
  </si>
  <si>
    <t>11.1.4</t>
  </si>
  <si>
    <t>Regular les curses i altres activitats esportives organitzades en base al model de Pla de protecció</t>
  </si>
  <si>
    <t>Ordenar les curses i altres activitats esportives organitzades en base a un model estàndard de Pla de protecció</t>
  </si>
  <si>
    <t>1) Creació de la normativa de regulació de curses i altres activitats esportives organitzades en base a ordenances municipals. Tenir en compte els acords actuals que ja puguin haver-hi i desenvolupar, si s'escau, procesos participatius amb els agents implicats.
2) Divulgació de la normativa de regulació
3) Implementació de la normativa de regulació</t>
  </si>
  <si>
    <t>11.1.5</t>
  </si>
  <si>
    <t>Regular els enregistraments i l'observació de fauna i natura en base al model de Pla de protecció</t>
  </si>
  <si>
    <t>Ordenar els enregistraments i l'observació de fauna i natura en base a un model estàndard de Pla de protecció</t>
  </si>
  <si>
    <t>1) Creació de la normativa de regulació d'enregistraments i observació de fauna i natura en base a ordenances municipals. Tenir en compte els acords actuals que ja puguin haver-hi i desenvolupar, si s'escau, procesos participatius amb els agents implicats.
2) Divulgació de la normativa de regulació
3) Implementació de la normativa de regulació</t>
  </si>
  <si>
    <t>11.1.6</t>
  </si>
  <si>
    <t>Regular les activitats científiques en base al model de Pla de protecció</t>
  </si>
  <si>
    <t>Ordenar les activitats científiques en base a un model estàndard de Pla de protecció</t>
  </si>
  <si>
    <t>1) Creació de la normativa de regulació d'activitats científiques en base a ordenances municipals. Tenir en compte els acords actuals que ja puguin haver-hi i desenvolupar, si s'escau, procesos participatius amb els agents implicats.
2) Divulgació de la normativa de regulació
3) Implementació de la normativa de regulació</t>
  </si>
  <si>
    <t>11.1.7</t>
  </si>
  <si>
    <t>Regular les zones de bany</t>
  </si>
  <si>
    <t>Ordenar les zones de bany</t>
  </si>
  <si>
    <t>1) Creació de la normativa de regulació de zones de bany en base a ordenances municipals. Tenir en compte els acords actuals que ja puguin haver-hi i desenvolupar, si s'escau, procesos participatius amb els agents implicats.
2) Divulgació de la normativa de regulació
3) Implementació de la normativa de regulació</t>
  </si>
  <si>
    <t>11.1.8</t>
  </si>
  <si>
    <t>Regular l'enlairament i aterratge sense motor</t>
  </si>
  <si>
    <t>Ordenar l'enlairament i aterratge sense motor</t>
  </si>
  <si>
    <t>1) Creació de la normativa de regulació d'enlairament i aterratge sense motor en base a ordenances municipals. Tenir en compte els acords actuals que ja puguin haver-hi i desenvolupar, si s'escau, procesos participatius amb els agents implicats.
2) Divulgació de la normativa de regulació
3) Implementació de la normativa de regulació</t>
  </si>
  <si>
    <t>11.1.9</t>
  </si>
  <si>
    <t>Regular el submarinisme i l'snorkel</t>
  </si>
  <si>
    <t>No aplica</t>
  </si>
  <si>
    <t>Xavier Grivé / Tots</t>
  </si>
  <si>
    <t>11.1.10</t>
  </si>
  <si>
    <t>Regular les activitats aquàtiques i nàutiques i zones de fondeig</t>
  </si>
  <si>
    <t>11.1.11</t>
  </si>
  <si>
    <t>Regular la presència d'animals de companyia</t>
  </si>
  <si>
    <t>Ordenar la presència d'animals de companyia</t>
  </si>
  <si>
    <r>
      <t xml:space="preserve">1) Creació de la normativa d'animals de companyia en base a ordenances municipals. Tenir en compte els acords actuals que ja puguin haver-hi i desenvolupar, si s'escau, procesos participatius amb els agents implicats.
2) Divulgació de la normativa de regulació </t>
    </r>
    <r>
      <rPr>
        <sz val="11"/>
        <color rgb="FFFF0000"/>
        <rFont val="Calibri"/>
        <family val="2"/>
        <scheme val="minor"/>
      </rPr>
      <t>(Llei 7/2023, de 28 de març, de ptotecció dels drets i el benestar dels animals)</t>
    </r>
    <r>
      <rPr>
        <sz val="11"/>
        <rFont val="Calibri"/>
        <family val="2"/>
        <scheme val="minor"/>
      </rPr>
      <t xml:space="preserve">
3) Implementació de la normativa de regulació</t>
    </r>
  </si>
  <si>
    <t>11.1.12</t>
  </si>
  <si>
    <t>Regular lels activitats d'educació ambiental i el lleure educatiu</t>
  </si>
  <si>
    <t>Ordenar les activitats d'educació ambiental i el lleure educatiu</t>
  </si>
  <si>
    <t>1) Creació de la normativa d'educació ambiental i lleure educatiu en base a ordenances municipals. Tenir en compte els acords actuals que ja puguin haver-hi i desenvolupar, si s'escau, procesos participatius amb els agents implicats.
2) Divulgació de la normativa de regulació
3) Implementació de la normativa de regulació</t>
  </si>
  <si>
    <t>11.2</t>
  </si>
  <si>
    <t>Disposar de la xarxa viària i itineraris oficials de l'ENP</t>
  </si>
  <si>
    <t>11.2.1</t>
  </si>
  <si>
    <t xml:space="preserve">Identificar i classificar la xarxa viària bàsica, secundària, senders i itineraris senyalitzats d'acord amb els ajuntaments </t>
  </si>
  <si>
    <t>1) Implicació de la Comissió d'Accés Motoritzat al Medi Natural.
2) Implicació de la xarxa de senders Itinerànnia.
3) Definició d'una xarxa d'itineraris oficial i categoritzada per tipus d'ús per on es poden realitzar activitats (curses a peu, en bicicleta, etc.) d'acord amb els criteris de serveis centrals.</t>
  </si>
  <si>
    <t>Persones i natura: concretar criteris</t>
  </si>
  <si>
    <t>1) Nombre de reunions amb la Comissió d'Accés Motoritzat al Medi Natural.
2) Nombre de reunions amb la xarxa de senders Itinerànnia.
3) Km d'itineraris a peu oficials
4) Km d'itineraris en bicicleta oficials
5) Km d'itineraris accessibles en cadira de rodes oficials
6) Km d'itineraris adaptats oficials</t>
  </si>
  <si>
    <t>1) 1
2) 1
3) 300
4) 10
5) 10
6) 1</t>
  </si>
  <si>
    <t>1) 8
2) 8
3) 600
4) 100
5) 100
6) 10</t>
  </si>
  <si>
    <t>11.2.2</t>
  </si>
  <si>
    <t>Treballar conjuntament amb els principals canals d’informació de rutes  per prioritzar itineraris oficials dins l’ENP</t>
  </si>
  <si>
    <r>
      <t xml:space="preserve">Treballar conjuntament amb els principals canals d’informació de rutes  per prioritzar itineraris oficials dins l’ENP </t>
    </r>
    <r>
      <rPr>
        <sz val="11"/>
        <color rgb="FFFF0000"/>
        <rFont val="Calibri"/>
        <family val="2"/>
        <scheme val="minor"/>
      </rPr>
      <t>tenint en compte la propietat i drets i servituds de pas així com entitats excursionistes</t>
    </r>
  </si>
  <si>
    <t>Aportació sector ramader i proietat privada</t>
  </si>
  <si>
    <t>*Incorporació de les tecnologies de Wikiloc o Google Maps
*Interactuar amb aquestes plataformes digitals per tal de reduir els danys que poden ocasionar al PNCTF</t>
  </si>
  <si>
    <t>Persones i natura: Coordinació</t>
  </si>
  <si>
    <t>Nombre d'interaccions amb Wikiloc i Google Maps adreçats a reduir els danys que poden ocasionar al PNCTF</t>
  </si>
  <si>
    <t xml:space="preserve">Us public   </t>
  </si>
  <si>
    <t>11.3</t>
  </si>
  <si>
    <t>Implementar el protocol estandarditzat basat en el pla per la regulació al accés, circulació i ús de la xarxa viària</t>
  </si>
  <si>
    <t>11.3.1</t>
  </si>
  <si>
    <t>Regular l'accés i la circulació</t>
  </si>
  <si>
    <t>Ordenar l'accés i la circulació</t>
  </si>
  <si>
    <t>*Adaptació i implementació el protocol de regulació de l'accés i circulació
*Continuar la regulació de l'accés motoritzat a les pistes de Fontalba i Daió (Queralbs)
*Analitzar la regulació a altres indrets del PNCTF</t>
  </si>
  <si>
    <t>Nombre de vials en què el PNCTF ha promogut la regulació de l'accés i la crculació</t>
  </si>
  <si>
    <t xml:space="preserve">Xavier Grivé </t>
  </si>
  <si>
    <t>11.3.2</t>
  </si>
  <si>
    <t>Regular la xarxa viària principal, secundària i restringida</t>
  </si>
  <si>
    <t>Ordenar la xarxa viària principal, secundària i restringida</t>
  </si>
  <si>
    <t>Adaptació i implementació el protocol de regulació de la xarxa viària principal, secundària i restringida</t>
  </si>
  <si>
    <t>1) Creació d'una cartografia unica sobre l'estat i accessibilitat viària, segons classificació bombers</t>
  </si>
  <si>
    <t>11.3.3</t>
  </si>
  <si>
    <t>Regular l'ús de drons, l'enlairament i l'aterratge</t>
  </si>
  <si>
    <t>Ordenar l'ús de drons, l'enlairament i l'aterratge</t>
  </si>
  <si>
    <t>1) Creació de la normativa de drons, d'enlairament i aterratge, en base a ordenances municipals. Tenir en compte els acords actuals que ja puguin haver-hi i desenvolupar, si s'escau, procesos participatius amb els agents implicats.
2) Divulgació de la normativa de regulació
3) Implementació de la normativa de regulació</t>
  </si>
  <si>
    <t>1) Nombre d'ordenances municipals que regulin els drons, d'enlairament i aterratge als municipis del Parc.
2) Nombre d'elements de comunicació en què es divulga la normativa de regulació
3) Nombre de sancions aplicades arran de la normativa de regulació</t>
  </si>
  <si>
    <t>11.3.4</t>
  </si>
  <si>
    <t>Aplicar limitacions temporals d'accés o circulació</t>
  </si>
  <si>
    <t>1) Adaptació i implementació del protocol de limitacions temporals d'accés o circulació
2) Instal·lació de barreres i cartells en zones on cal limitar l'accés temporalment
3) Coordinació amb el CAR la vinculació amb el Pla Alfa</t>
  </si>
  <si>
    <t>1) Quantitat de vegades en què s'ha usat el protocol de limitacions temporals d'accés o circulació
2) Quantitat de camins en què s'ha limitat l'accés temporalment
3) Quantitat de vegades en què s'ha coordinat amb el CAR la vinculació amb el Pla Alfa</t>
  </si>
  <si>
    <t>1) 1
2) 1
3) 0</t>
  </si>
  <si>
    <t>1) 12
2) 12
3) 4</t>
  </si>
  <si>
    <t>11.3.5</t>
  </si>
  <si>
    <t>Regular l'aparcament de vehícles</t>
  </si>
  <si>
    <t>Ordenar l'aparcament de vehicles</t>
  </si>
  <si>
    <t>*Adaptació i implementació el protocol de regulació d'aparcament de vehicles</t>
  </si>
  <si>
    <t>Nombre d'aparcaments executats dins del projecte de regulació dels 8 aparcaments dins de PN</t>
  </si>
  <si>
    <t>Us public / Millora rural</t>
  </si>
  <si>
    <t>Xavier Grivé i Gerard Vila</t>
  </si>
  <si>
    <t>11.4</t>
  </si>
  <si>
    <t>Enfortir la col·laboració i coordinació amb els agents d'ús públic (empreses, entitats i ajuntaments)</t>
  </si>
  <si>
    <t>11.4.1</t>
  </si>
  <si>
    <t>Implementar l'ordenació de l'ús públic en col·laboració amb els agents del territori</t>
  </si>
  <si>
    <t>1) Detecció dels agents del territori amb qui ordenar l'ús públic del PNCTF
2) Creació i dinamització de l'espai de Treball corresponent per fer el seguiment i millores en el desplegament de la gestió de l'UP
3) Detectar altres problemàtiques d'ús públic no contemplades en les actuacions anteriors, i gestionar-les, tals com:
3.2) Incentivar el respecte a la propietat privada, cartografiar-la i cercar consensos
3.3) Divulgar la normativa envers el foc i la recol·lecció</t>
  </si>
  <si>
    <t>Objectiu vinculat amb totes les actuacions de l'Objectiu Estratègic 11.1: Estandaritzar regulació de l’ús públic i social en base al model acordat per govern, i amb l'Objectiu operatiu 11.3.3.</t>
  </si>
  <si>
    <t>1) Nombre d'agents del territori amb qui es col·labora per a la ordenació de l'ús públic del PNCTF
2) Nombre d'espais de treball creats
2.2) Nombre de reunions fetes amb cada espai de treball
3) Nombre d'altres problemàtiques d'ús públic detectades
3.2) Mesures de gestió envers el respecte a la propietat privada
3.3) Mesures de divulgació de la normativa envers el foc i la recol·lecció</t>
  </si>
  <si>
    <t>1) 5
2) 2
2.2) 1
3) 1
3.2) 1
3.3) 1</t>
  </si>
  <si>
    <t>1) 20
2) 8
2.2) 8
3) 10
3.2) 4
3.3) 4</t>
  </si>
  <si>
    <t>11.4.2</t>
  </si>
  <si>
    <t>Promoció i acompanyament en l'ordenació de l'ús públic de l'ENP des de l'àmbit municipal</t>
  </si>
  <si>
    <t>*Detecció de les persones de referència a cada consistori del PNCTF amb qui treballar conjuntament l'ordenació de l'ús públic de cada municipi
*Aplicació del Manual jurídic d'UP i model d'ordenança municipal</t>
  </si>
  <si>
    <t>Nombre de cosnistoris amb qui s'ha fet ordenació de l'ús públic</t>
  </si>
  <si>
    <t>11.5</t>
  </si>
  <si>
    <t>Mantenir i millorar la senyalització de l'ENP</t>
  </si>
  <si>
    <t>11.5.1</t>
  </si>
  <si>
    <t>Realitzar l'inventari de senyalètica de l'ENP</t>
  </si>
  <si>
    <t>*Actualitzar l'aplicatiu de senyals i infraestructures mensualment</t>
  </si>
  <si>
    <t>% minim de senyals identificats a substutir i reparar</t>
  </si>
  <si>
    <t>11.5.2</t>
  </si>
  <si>
    <t xml:space="preserve">Implantar el programa de senyalització i manteniment </t>
  </si>
  <si>
    <t>*Programa de senyalització
*Revisió i actualització de la senyalització en base al manual de senyalització vigent</t>
  </si>
  <si>
    <t>Persones i natura: Revisió del manual de senyalització</t>
  </si>
  <si>
    <t>% de senyals substituits d'acord amb el nou manual</t>
  </si>
  <si>
    <t>11.6</t>
  </si>
  <si>
    <t>Prevenir i gestionar els impactes derivats de la sobrefreqüentació</t>
  </si>
  <si>
    <t>11.6.1</t>
  </si>
  <si>
    <t xml:space="preserve">Potenciar la visita a espais alternatius dins de l'àmbit d'influència de l'espai natural per reduir la pressió en zones sensibles </t>
  </si>
  <si>
    <t>*Coordinació amb els altres agents turístics de la comarca
*Divulgació dels recursos turístics de l'entorn del PNCTF a través dels canals de comunicació del Parc</t>
  </si>
  <si>
    <t>Zones sensibles del PNCTF a les quals s'intenta alliberar de pressió</t>
  </si>
  <si>
    <t>11.6.2</t>
  </si>
  <si>
    <t xml:space="preserve">Implementar les mesures extraordinàries de regulació de l'ús públic </t>
  </si>
  <si>
    <t>1) Detectar i dissenyar mesures extraordinàries de regulació de l'ús públic 
2) Implementar mesures extraordinàries de regulació de l'ús públic</t>
  </si>
  <si>
    <t>1) Nombre de mesures extraordinàries de regulació de l'ús públic detectades i dissenyades
2) Nombre de mesures extraordinàries de regulació de l'ús públic implementades</t>
  </si>
  <si>
    <t>1) 8
2) 8</t>
  </si>
  <si>
    <t>Us public / Patrimoni Natural</t>
  </si>
  <si>
    <t>Xavier Grivé i Rai / Anna Planella</t>
  </si>
  <si>
    <t>11.7</t>
  </si>
  <si>
    <t>Ordenar i estandaritzar els espais d'acollida de visitants i equipaments d'ús públic, i garantir un correcte servei d'atenció i acollida dels visitants</t>
  </si>
  <si>
    <t>11.7.1</t>
  </si>
  <si>
    <t>Adequar els principals accessos, aparcaments i centres d'interès amb un ús elevat</t>
  </si>
  <si>
    <t>1. Manteniment i millora dels accessos, aparcaments i centres d'interès
2. Manteniment dels espais: àrees de lleure, de prenoctació, autocarvanes, etc.
3. Millora i neteja de la xarxa principal de camins i senders (interpretatius, arqueològics, geològics, etc.)</t>
  </si>
  <si>
    <t xml:space="preserve">1. % sol·licituds de manteniment ateses
2. % espais mantinguts
3. % camins i senders principals mantinguts. </t>
  </si>
  <si>
    <t>1. 40
2. 40
3. 40</t>
  </si>
  <si>
    <t>1. 100
2. 100
3. 100</t>
  </si>
  <si>
    <t>11.7.2</t>
  </si>
  <si>
    <t>Disposar dels equipaments i infraestructures necessàries i accessibles per acollir, informar, facilitar la visita i garantir la seguretat dels visitants i la protecció de l'entorn</t>
  </si>
  <si>
    <t>Disposar i mantenir els serveis, equipaments i infraestructures necessàries i accessibles per acollir, informar, facilitar la visita i garantir la seguretat dels visitants i la protecció de l'entorn</t>
  </si>
  <si>
    <r>
      <t xml:space="preserve">1) Manteniment dels espais i infraestructures existents (neteja, calefacció, proveïment de serveis, etc.)
2) Establiment dels acords necessaris amb la propietat (convenis de cessió dels Centres d'Informació, etc.)
3) Adaptació dels equipaments i infraestructures a persones amb diversitat funcional: centres d'informació, itineraris, etc.
4) Desenvolupament de contingut informatiu i interpretatiu adreçat als visitants
5) Creació d'una xarxa de centres i àrees d’informació del Parc, amb una imatge comuna i, informació descentralitzada i complementària
6) Inventari d'equipaments aliens al Parc, però d'interès: palanques, aparcaments, barreres, cartelleres alienes, miraddors, allotjaments, restaurants </t>
    </r>
    <r>
      <rPr>
        <sz val="11"/>
        <color rgb="FFFF0000"/>
        <rFont val="Calibri"/>
        <family val="2"/>
        <scheme val="minor"/>
      </rPr>
      <t>i oficines de turoisme de la comarca</t>
    </r>
  </si>
  <si>
    <t>1) Nombnre d'accions de manteniment dutes a terme en infraestructures existents
2) Nombre d'acords signmats amb la propietat
3) Nombre de mesures d'adaptació dels equipaments i infraestructures a persones amb diversitat funcional
4) Nombre d'equipaments en què s'ha desenvolupat contingut informatiu i interpretatiu adreçat als visitants
5) Existència de la xarxa centres i àrees d'informació del PN
6) Nombre d'equipaments aliens al Parc inventariats</t>
  </si>
  <si>
    <t>1) 5 
2) 1 
3) 1 
4) 1 
5) 0
6) 1</t>
  </si>
  <si>
    <t>1) 20 
2) 5 
3) 5 
4) 5 
5) 1
6) 30</t>
  </si>
  <si>
    <t>11.7.3</t>
  </si>
  <si>
    <t>Desenvolupar el Pla d'acollida als visitants en base al model de la DG</t>
  </si>
  <si>
    <r>
      <t xml:space="preserve">*Desenvolupar el Pla d'Acollida als Visitants </t>
    </r>
    <r>
      <rPr>
        <sz val="11"/>
        <color rgb="FFFF0000"/>
        <rFont val="Calibri"/>
        <family val="2"/>
        <scheme val="minor"/>
      </rPr>
      <t>coherent amb la CETS i la resta d'agents turístics estratègics del territori</t>
    </r>
    <r>
      <rPr>
        <sz val="11"/>
        <rFont val="Calibri"/>
        <family val="2"/>
        <scheme val="minor"/>
      </rPr>
      <t xml:space="preserve">
*Proveir i estocar tot el material de difusió i venda adreçat als visitants
*Planificar calendaris d'obertura dels Centres d'Informació
*Coordinar els equips d'informadors del PNCTF
*Dinamitzar els Centres d'Informació amb activitats, exposicions, etc.
*Planificar l'atenció telemàtica als visitants: XXSS, telèfon, correu. etc.</t>
    </r>
  </si>
  <si>
    <t>Persones i natura: model de protocol d'acollida</t>
  </si>
  <si>
    <t>Nombre d'accions del Pla d'Acollida als Visitants desenvolpades</t>
  </si>
  <si>
    <t>11.7.4</t>
  </si>
  <si>
    <t>Adaptar els missatges a donar des d'oficines d’informació, pròpies i alienes, d'acord amb el model de la DG</t>
  </si>
  <si>
    <r>
      <t xml:space="preserve">*Revisió dels espais existents i necessitats d'inversió
*Revisió dels missatges donats des dels equipaments informatius del PNCTF conjuntament amb els serveis d'Informació del PNCTF
*Actualització dels protocols </t>
    </r>
    <r>
      <rPr>
        <sz val="11"/>
        <color rgb="FFFF0000"/>
        <rFont val="Calibri"/>
        <family val="2"/>
        <scheme val="minor"/>
      </rPr>
      <t>i que siguin coherents amb la xarxa d'oficines de Turisme de Catalunya i donar compliment als paràmetres de las oficines CETS adherides</t>
    </r>
  </si>
  <si>
    <t>Persones i natura: Unifica missatges que s'incorporen en el model de protocol d'acollida</t>
  </si>
  <si>
    <t>Nombre de protocols dels Centres d'Informació del PNCTF revisats anualment</t>
  </si>
  <si>
    <t>11.8</t>
  </si>
  <si>
    <t>Garantir el compliment de la normativa dins els ENP, especialment en l'accés motoritzat, zones amb hiperfrequentació i elements amb aprofitament comercial</t>
  </si>
  <si>
    <t>11.8.1</t>
  </si>
  <si>
    <t>Elaborar i executar el Pla de vigilància de l’espai d'acord amb els cossos d’inspecció i seguretat</t>
  </si>
  <si>
    <t>*Pla de vigilància de l’espai d'acord amb els cossos d’inspecció i seguretat
*Identificació dels punts clau de vigilància, el calendari i els recursos necessaris</t>
  </si>
  <si>
    <t xml:space="preserve">
Fusionar 11.8.1 i 11.8.2. --&gt; Aquí entraria sobretot les reunions periòdiques de coordinació i detecció d'espais que requereixin vigilància, i vincular-ho amb la implementació de mesures extraordinàries</t>
  </si>
  <si>
    <t>Número de reunions anuals realitzades amb el CAR. Mossos i Guardes rurals de camp</t>
  </si>
  <si>
    <t xml:space="preserve">Direcció </t>
  </si>
  <si>
    <t>Santi Farriol</t>
  </si>
  <si>
    <t>11.8.2</t>
  </si>
  <si>
    <t>Millorar la coordinació amb els cossos de seguretat per efectuar accions de control i vigilància</t>
  </si>
  <si>
    <t>Reunions periódiques per controlar compliment del Pla  de vigilància</t>
  </si>
  <si>
    <t>Afegir mesures/indrets concrets que necessitin de vigilancia específica? (punts de cria, llocs sensibles...)</t>
  </si>
  <si>
    <t>Número de reunions</t>
  </si>
  <si>
    <t>1/any</t>
  </si>
  <si>
    <t>4/any</t>
  </si>
  <si>
    <t>11.8.3</t>
  </si>
  <si>
    <t>Vetllar pel compliment d'informes i la vigilància tècnica de l'espai</t>
  </si>
  <si>
    <t>Realització de reunions periòdiques amb els agents rurals per tal d'assegurar el compliment dels informes emesos des del Parc</t>
  </si>
  <si>
    <t>1)Numero de reunions amb cos AARR</t>
  </si>
  <si>
    <t>Patrimoni Natural i millora rural</t>
  </si>
  <si>
    <t xml:space="preserve">Gerard Vila i Anna Planella </t>
  </si>
  <si>
    <t>GESTIONAR ELS RISCOS NATURALS per a l'autoprotecció de la població local</t>
  </si>
  <si>
    <t>12.1</t>
  </si>
  <si>
    <t>Col·laborar amb les autoritats competents per a la gestió de riscos dins l’ENP</t>
  </si>
  <si>
    <t>12.1.1</t>
  </si>
  <si>
    <t>Ordenar el pla d’emergències</t>
  </si>
  <si>
    <t>No aplica. No és competència de l'espai</t>
  </si>
  <si>
    <t>12.1.2</t>
  </si>
  <si>
    <t>Contribuir a la protecció dels assentaments humans respecte dels riscos naturals</t>
  </si>
  <si>
    <t xml:space="preserve">EDUCACIÓ, VOLUNTARIAT I COMUNICACIÓ </t>
  </si>
  <si>
    <t>FORMAR I SENSIBILITZAR la població incrementant la valoració i estima social de l'ENP</t>
  </si>
  <si>
    <t>13.1</t>
  </si>
  <si>
    <t xml:space="preserve">Afavorir la vinculació entre la comunitat educativa de l'entorn i l'ENP </t>
  </si>
  <si>
    <t>13.1.1</t>
  </si>
  <si>
    <t>Definir el model de Xarxa d'Escoles de l'Espai Natural (XEEN) a l'ENP amb els agents educatius del territori</t>
  </si>
  <si>
    <t>1) Pla Estratègic d'Educació i Voluntariat Ambiental del PNCTF: seguiment, revisió i actualització
2) Redactar el Projecte Educatiu del Parc, que inclogui, almenys:
   2.1) Elaboració d'un mapa d'agents col·laboradors: cercar entitats i institucions locals que col·laborin amb la Xarxa (CRPs, administració local, entitats ambientals i educatives...). 
   2.2) Procés participatiu amb els agents educatius del territori.
3) Crear la Xarxa d'Escoles del PNCTF.</t>
  </si>
  <si>
    <t>L'acció 1 és vàlida per a tot l'eix d'Educació, Voluntariat i Comunicació.</t>
  </si>
  <si>
    <t>PEEVA
ESNATURA</t>
  </si>
  <si>
    <t>1) Nombre de revisions del Pla Estratègic d'EVA
2) Nombre de projectes educatius del Parc desenvolupats
3) Nombre de Xarxes d'Escoles del PN creades</t>
  </si>
  <si>
    <t>1) 0
2) 0
3) 0</t>
  </si>
  <si>
    <t>Us públic</t>
  </si>
  <si>
    <t>13.1.2</t>
  </si>
  <si>
    <t>Desplegar el model de Xarxa d'Escoles de l'Espai Natural (XEEN) a l'ENP d'acord amb el model general</t>
  </si>
  <si>
    <t>Aportació Sector administració local</t>
  </si>
  <si>
    <r>
      <t xml:space="preserve">1) Elaboració d'un mapa de centres educatius.
2) Constitució i dinamització d'uns espais de treball conjunt amb els agents col·laboradors de la XEEN.
3) Organització de grups de treball entre docents i ENP. 
4) Cercar entitats i institucions locals que col·laborin amb la Xarxa (CRPs, administració local, entitats ambientals i educatives...).
5) Disseny i execució d'activitats de descoberta del PNCTF, </t>
    </r>
    <r>
      <rPr>
        <sz val="11"/>
        <color rgb="FFFF0000"/>
        <rFont val="Calibri"/>
        <family val="2"/>
      </rPr>
      <t>amb la participació de l'alumnat de les escoles del Ripollès</t>
    </r>
    <r>
      <rPr>
        <sz val="11"/>
        <rFont val="Calibri"/>
        <family val="2"/>
      </rPr>
      <t xml:space="preserve">
6) Disseny i desenvolupament de projectes compartits.  
7) Organització de trobades d'intercanvi amb alumnat.
8) Avaluació de les accions de la Xarxa.
9) Fomentar la creació d'obres relacionades amb el PNCTF (art, estudi, difusió, ciència, recerca...)
10) Introduir la conservació de la natura com a servei comunitari als centres docents.</t>
    </r>
  </si>
  <si>
    <t>SEA: Elabora model de xarxa</t>
  </si>
  <si>
    <t>1) % de centres educatius que formen part de la XEEN respecte els centres totals del territori.
2) Nombre de convocatòries de l'espai de treball conjunt amb els agents col·laboradors de la XEEN.
3) Nombre de convocatòries del grup de treball entre docents i ENP. 
4) Nombre d'entitats i institucions locals que col·laboren amb la Xarxa (CRPs, administració local, entitats ambientals i educatives...).
5) Nombre d'activitats de descoberta del PNCTF, tant dins com fora de l'aula, dissenyades i executades.
6) Nombre de projectes compartits dissenyats i desenvolupats.
7) Nombre de trobades d'intercanvi amb alumnat dutes a terme.
8) Nombre d'avaluacions de les accions de la Xarxa dutes a terme.
9) Nombre d'obres relacionades amb el PNCTF (art, estudi, difusió, ciència, recerca...) creades.
10) Quantitat d'accions de servei comunitari introduïdes als centres docents.</t>
  </si>
  <si>
    <t>1) 50
2) 4
3) 4
4) 2
5) 2
6) 2
7) 1
8) 4
9) 4
10) 4</t>
  </si>
  <si>
    <t>1) 100
2) 8
3) 8
4) 10
5) 8
6) 8
7) 4
8) 4
9) 16
10) 12</t>
  </si>
  <si>
    <t>13.1.3</t>
  </si>
  <si>
    <t xml:space="preserve">Formar i capacitar al professorat de la XEEN </t>
  </si>
  <si>
    <t>*Coordinació amb els Centres de Rercursos Pedagògics (CRP) perquè les formacions estiguin reconegudes  pel Departament d'Educació
*Realització de formacions pel professorat sobre els valors del PNCTF (seminaris i sortides de formació)</t>
  </si>
  <si>
    <t>Nombre de formació adreçades als professors dutes a terme</t>
  </si>
  <si>
    <t>13.2</t>
  </si>
  <si>
    <t>Promoure una oferta pedagògica basada en metodologies innovadores i actives que estiguin alineades amb el currículum educatiu del Departament d'Educació</t>
  </si>
  <si>
    <t>13.2.1</t>
  </si>
  <si>
    <t>Adaptar i millorar l'oferta pedagògica de l'ENP generant situacions d'aprenentatge i treballs per projecte</t>
  </si>
  <si>
    <t>*Implicació i capacitació del professorat per implicar-los en el disseny del projecte educatiu
*Incorporació a cada curs escolar X situacions d'aprenentatge</t>
  </si>
  <si>
    <t>SEA: Comparteix models de situcions d'aprenentatge i de projects.</t>
  </si>
  <si>
    <t>Nombre de situacions d'aprenentatge creades</t>
  </si>
  <si>
    <t>13.2.2</t>
  </si>
  <si>
    <t>Dissenyar projectes d'ApS ambiental i Ciència ciutadana i projectes compartits amb entitats del territori que s'incloguin dins de l'oferta pedagògica.</t>
  </si>
  <si>
    <t>*Cerca d'entitats del territori i centres de recerca amb qui elaborar projectes de ciència ciutadana o d'ApS que donin resposta a les necessitats de l'EN. 
*Dinamització de la realització d'aquests projectes.</t>
  </si>
  <si>
    <t>Nombre de projectes de ciència ciutadana en què el PNCTF ha participat</t>
  </si>
  <si>
    <t>13.2.3</t>
  </si>
  <si>
    <t>Elaborar recursos educatius sobre l’espai (que tinguin en compte les problemàtiques singulars del seu espai) i posar-los a disposició dels centres educatius</t>
  </si>
  <si>
    <t>*Elaboració de recursos educatius que quedin disponibles al Centre de Documentació del Parc.</t>
  </si>
  <si>
    <t>Nombre de recursos educatius creats</t>
  </si>
  <si>
    <t>13.2.4</t>
  </si>
  <si>
    <t>Oferir projectes de recerca vinculats a l'espai natural per a l'alumnat universitari i de la XEEN</t>
  </si>
  <si>
    <t>*Elaboració d'una proposta de posibles temàtiques per oferir als centres educatius de projectes vinculats a l'espai natural (treball de recerca, crèdit de síntesi, servei comunitari, pràctiques, etc.).
*Acompanyament de l'alumnat en la relació dels projectes.</t>
  </si>
  <si>
    <t>Projectes de recerca que el PNCTF acompanya</t>
  </si>
  <si>
    <t>13.3</t>
  </si>
  <si>
    <t>Establir mecanismes estables de formació, treball i coordinació amb els col·lectius implicats en la sensibilització i l'educació dins el ENP</t>
  </si>
  <si>
    <t>13.3.1</t>
  </si>
  <si>
    <t>Establir un model de coordinació territorial amb agents clau de l'educació ambiental</t>
  </si>
  <si>
    <t xml:space="preserve"> No aplica. Queda recollit a l'objectiu 13.3.2. Ja hi ha creada una taula de Voluntariat Ambiental que està composta per els mateixos agents</t>
  </si>
  <si>
    <t>13.3.2</t>
  </si>
  <si>
    <t>Cercar i establir col·laboracions i projectes conjunts amb agents clau del territori</t>
  </si>
  <si>
    <t>*Detectar els agents clau al territori en matèria de sensibilització i educació ambiental
*Establir col·laboracions amb aquests agents clau</t>
  </si>
  <si>
    <t>Nombre d'agents clau en EA amb qui s'estableixen col·laboracions</t>
  </si>
  <si>
    <t>13.3.3</t>
  </si>
  <si>
    <t>Elaborar formacions dirigides als informadors, educadors i altres prescriptors del territori</t>
  </si>
  <si>
    <r>
      <t xml:space="preserve">*Curs del bon coneixedor </t>
    </r>
    <r>
      <rPr>
        <sz val="11"/>
        <color rgb="FFFF0000"/>
        <rFont val="Calibri"/>
        <family val="2"/>
        <scheme val="minor"/>
      </rPr>
      <t xml:space="preserve">i curs d'Informador </t>
    </r>
    <r>
      <rPr>
        <sz val="11"/>
        <rFont val="Calibri"/>
        <family val="2"/>
        <scheme val="minor"/>
      </rPr>
      <t>de l'ENP 
*Formacions continuades en el marc del contracte del servei d'informació i educació ambiental.
*Formació dels actors implicats en la gestió dels ENP en aspectes vinculats a la conservació dels elements d'interès comunitari</t>
    </r>
  </si>
  <si>
    <t>SEA: Elabora propostes MODEL de programes de formació</t>
  </si>
  <si>
    <t>Nombre de formacions executades dirigides als prescriptors</t>
  </si>
  <si>
    <t>13.4</t>
  </si>
  <si>
    <t>Desplegar un programa de divulgació i sensibilització per a visitants</t>
  </si>
  <si>
    <t>13.4.1</t>
  </si>
  <si>
    <t>Desplegar en el territori les campanyes de sensibilització i bones pràctiques que s'impulsin des de la DG</t>
  </si>
  <si>
    <r>
      <t>Desplegar en el territori les campanyes de sensibilització i bones pràctiques,</t>
    </r>
    <r>
      <rPr>
        <sz val="11"/>
        <color rgb="FFFF0000"/>
        <rFont val="Calibri"/>
        <family val="2"/>
        <scheme val="minor"/>
      </rPr>
      <t xml:space="preserve"> incloent el respecte al sector primari i els diferents règims de propietat</t>
    </r>
  </si>
  <si>
    <t>Aportació sector ramader, propietat privada i administració local</t>
  </si>
  <si>
    <r>
      <t xml:space="preserve">*Participació en la concreció dels missatges i peces creatives de la campanya de la DG.  
*Difusió de la campanya aprofitant les eines i equipaments de l'ENP. 
*Establiment d'acords amb entitats i institucions locals per a la difusió local de la campanya.                                                            *Difusió de la ramaderia extensiva desenvolupada a L'ENPE i definir pràctiques  respectuoses envers aquesta activitat                                                                                                            </t>
    </r>
    <r>
      <rPr>
        <sz val="11"/>
        <color rgb="FFFF0000"/>
        <rFont val="Calibri"/>
        <family val="2"/>
        <scheme val="minor"/>
      </rPr>
      <t xml:space="preserve">  *fer arribar la oferta (fulletons, calendari activitats, etc.) a Ajuntaments, oficines de turisme, etc.</t>
    </r>
  </si>
  <si>
    <t>SEA: Elabora un document marc per unificar missatges i coordinar la difusió</t>
  </si>
  <si>
    <r>
      <t xml:space="preserve">1) Nombre de campanyes impulsades des de la DG desplegades al territori                        </t>
    </r>
    <r>
      <rPr>
        <sz val="11"/>
        <color rgb="FFFF0000"/>
        <rFont val="Calibri"/>
        <family val="2"/>
        <scheme val="minor"/>
      </rPr>
      <t>2) Nombre de fulletons editats</t>
    </r>
  </si>
  <si>
    <t>13.4.2</t>
  </si>
  <si>
    <t xml:space="preserve">Adaptar el programa de divulgació i sensibilització de l'ENP perquè incorpori una oferta d’activitats adequada per a famílies </t>
  </si>
  <si>
    <t>1) Disseny d'una oferta d’activitats d’educació ambiental de caire lúdic adreçada a famílies, amb un calendari anual que inclogui itineraris guiats, conferències, activitats de temàtica especialitzada, commemoració d'efemèrides, gimcanes, etc.
2) Organitzar específicament activitats de salut i natura.</t>
  </si>
  <si>
    <t>1) Nombre d'activitats adreçades a famílies organitzades.
2) Nombre d'activitats específicament de salut i natura organitzades.</t>
  </si>
  <si>
    <t>1)40
2)4</t>
  </si>
  <si>
    <t>1)160
2)16</t>
  </si>
  <si>
    <t>13.4.3</t>
  </si>
  <si>
    <t xml:space="preserve">Adaptar el programa de divulgació i sensibilització de l'ENP perquè incorpori una oferta d’activitats adequada per a altres perfils </t>
  </si>
  <si>
    <t xml:space="preserve">1) Detecció de grups especialitzats a l'entorn del PN a qui poder oferir activitats de sensibilització.
2) Detecció de les activitats més adequades per a grups especialitzats.
3) Definició d'un calendari anual d’activitats a la carta per a grups especialitzats (empreses, entitats esportives o excursionistes, gent gran...) que inclogui itineraris guiats, conferències, activitats de temàtica especialitzada, commemoració d'efemèrides, etc.
 </t>
  </si>
  <si>
    <t>1) Nombre de grups especialitzats a l'entorn del PN a qui poder oferir activitats de sensibilització detectats.
2) Nombre d'activitats més adequades per a grups especialitzats detectades.
3) Nombre d’activitats a la carta per a grups especialitzats (empreses, entitats esportives o excursionistes, gent gran...) organitzades.</t>
  </si>
  <si>
    <t>1) 16
2) 16
3) 16</t>
  </si>
  <si>
    <t>13.4.4</t>
  </si>
  <si>
    <t xml:space="preserve">Adaptar el programa de divulgació i sensibilització de l'ENP perquè incorpori una oferta d’activitats dirigida al lleure educatiu </t>
  </si>
  <si>
    <t>Entendre els campaments i estades com un públic prioritari i definir quin és el seu objectiu en aquest àmbit: 
1) Promoció de campaments i estades. 
2) Establiment de vincles entre els campaments i estades que ja es realitzen al parc i l’activitat d’EiVA del parc.</t>
  </si>
  <si>
    <t>1) % d'increment del nombre de campaments i estades al PN
2) Empreses d'organització de campaments amb qui s'estableix vincle</t>
  </si>
  <si>
    <t>1) 10
2) 1</t>
  </si>
  <si>
    <t>1) 50
2) 6</t>
  </si>
  <si>
    <t>13.5</t>
  </si>
  <si>
    <t>Desplegar un programa de sensibilització i formació per als col·lectius del territori estratègics en la conservació de la natura</t>
  </si>
  <si>
    <t>13.5.1</t>
  </si>
  <si>
    <t>Identificar col·lectius estratègics implicats en la gestió i l'ús del territori</t>
  </si>
  <si>
    <t>1) Detecció dels col·lectius estratègics
2) Planificar com incidir en aquests col·lectius estratègics
3) Fer especial èmfasi en la població local, desenvolupant-los un programa d'activitat específic per a aquest col·lectiu</t>
  </si>
  <si>
    <t>1) Nombre de col·lectius estratègics detectats
2) Existència de document de planificació per a incidir als col·lectius estratègics
3) Nombre d'activitats organitzades per a la població local</t>
  </si>
  <si>
    <t>1) 3
2) 0
3) 20</t>
  </si>
  <si>
    <t>1) 10
2) 1
3) 80</t>
  </si>
  <si>
    <t>13.5.2</t>
  </si>
  <si>
    <t>Executar els projectes de sensibilització i formació dirigits al sector turístic, esportiu i de lleure</t>
  </si>
  <si>
    <t>Disseny d'activitats adreçades als agents turístics locals i/o en col·laboració amb ells per promoure el seu paper com a prescriptors de la conservació de la natura (oficines de turisme, agències receptives, allotjaments, empreses d'activitats esportives / recreatives, restaurants...).
1) Organitzar el curs d'informador del PN.
2) Organitzar el curs de Bon Coneixedor del PN.
3) Detectar la conveniència d'altres activitats a la carta per aquest perfil d'empresa.</t>
  </si>
  <si>
    <t>UNIFICAR AMB OP DE LA CETS</t>
  </si>
  <si>
    <t>1) Nombre d'alumnes que han cursat el curs d'informador del PN.
2) Nombre d'alumnes que han cursat el curs de Bon Coneixedor del PN.
3) Nombre d'altres activitats a la carta organitzades per aquest perfil d'empresa.</t>
  </si>
  <si>
    <t>1) 20
2) 20
3) 5</t>
  </si>
  <si>
    <t>1) 80
2) 80
3) 20</t>
  </si>
  <si>
    <t>13.5.3</t>
  </si>
  <si>
    <t xml:space="preserve">Executar els projectes de sensibilització i formació dirigits als agents de lleure educatiu </t>
  </si>
  <si>
    <t>1) Detecció d'accions de manteniment dels espais del parc a proposar a les empreses de lleure educatiu (activitats extraescolars, casals d’estiu, caus i esplais...).
2) Proposar als campaments de fer petites accions de manteniment dels espais del parc.</t>
  </si>
  <si>
    <t>ES POT UNIFICAR AMB 13.4.4.</t>
  </si>
  <si>
    <t>1) Nombre d'accions de manteniment dels espais del parc a proposar a les empreses de lleure educatiu detectades.
2) Nombre de campaments on en fan petites accions de manteniment dels espais del parc.</t>
  </si>
  <si>
    <t>1) 4
2) 8</t>
  </si>
  <si>
    <t>1) 8
2) 24</t>
  </si>
  <si>
    <t>13.5.4</t>
  </si>
  <si>
    <t xml:space="preserve">Executar els projectes de sensibilització i formació dirigits als agents del sector primari </t>
  </si>
  <si>
    <r>
      <t xml:space="preserve">1) Detecció dels agents del sector primari
2) Taula de treball amb aquests agents a fi de detectar les seves necessitats formatives envers el PNCTF i la sostenibilitat
3) Execució de formacions adreçades al sector primari                                              </t>
    </r>
    <r>
      <rPr>
        <sz val="11"/>
        <color rgb="FFFF0000"/>
        <rFont val="Calibri"/>
        <family val="2"/>
        <scheme val="minor"/>
      </rPr>
      <t>4) Potenciar i participar a les fires ramaderes de la comarca</t>
    </r>
  </si>
  <si>
    <t>ES POT UNIFICAR 13.5.1.</t>
  </si>
  <si>
    <r>
      <t xml:space="preserve">1) Nombre d'agents del sector primari detectats.
2) Nombre de taules de treball dutes a terme amb aquests agents a fi de detectar les seves necessitats formatives envers el PNCTF i la sostenibilitat.
3) Nombre de formacions adreçades al sector primari executades.                                        </t>
    </r>
    <r>
      <rPr>
        <sz val="11"/>
        <color rgb="FFFF0000"/>
        <rFont val="Calibri"/>
        <family val="2"/>
        <scheme val="minor"/>
      </rPr>
      <t xml:space="preserve">      4) Nombre de fires en les que s'ha participat</t>
    </r>
  </si>
  <si>
    <t>1) 10-30
2) 1-2
3) 4-16</t>
  </si>
  <si>
    <t>13.5.5</t>
  </si>
  <si>
    <t>Elaborar i renovar periòdicament un programa d’educació ambiental adreçat a la població local que contribueixi a fomentar el sentiment de pertinença i la implicació en la conservació de l'ENP.</t>
  </si>
  <si>
    <t>*Estudi de percepció local
*Renovació del programa educatiu de forma adaptativa
*Detecció dels agents aglutinadors d ela població local: entitats
*Taula de treball amb aquestes entitats a fi de detectar les seves necessitats formatives envers el sentiment de pertinença, el PNCTF i la sostenibilitat
*Execució de formacions adreçades a la població local</t>
  </si>
  <si>
    <t>Nombre de formacions adreçades a la població local executades</t>
  </si>
  <si>
    <t>13.6</t>
  </si>
  <si>
    <t xml:space="preserve">Fomentar accions de voluntariat per conservar el patrimoni natural i cultural </t>
  </si>
  <si>
    <t>13.6.1</t>
  </si>
  <si>
    <t>Identificar els programes, projectes i accions en marxa o previstos a l’ENP que poden rebre el suport del voluntariat</t>
  </si>
  <si>
    <t>*Llistar els programes, projectes o accions del PN que poden rebre el suport del voluntariat ambiental
*Detectar quin perfil de voluntaris requereix cada acció
*Detectar les entitats que poden oferir aquests voluntaris</t>
  </si>
  <si>
    <t>Quantitat de programes, projectes o accions que poden rebre el suport del voluntariat ambiental al PNCTF</t>
  </si>
  <si>
    <t>13.6.2</t>
  </si>
  <si>
    <t>Establir un model de coordinació territorial amb agents clau del voluntariat ambiental</t>
  </si>
  <si>
    <t>1) Elaboració i actualització periòdica del mapa d’agents de voluntariat que actuen a l’ENP, incloent entitats ambientals i altres entitats que participen en activitats de voluntariat ambiental.
2) Establiment d'acords i col·laboracions i projectes conjunts de voluntariat ambiental amb els agents clau del territori.
3) Consolidar el funcionament de la Taula de Voluntariat Ambiental del Pirineu Oriental.
4) Enfortiment i promoció de la participació de noves entitats a les taules de voluntariat ja constituïdes.
5) Participació en la definició i desplegament dels plans de treball de la taula de voluntariat ambiental. 
6) Fer una formació anual per a les entitats de voluntariat ambiental.</t>
  </si>
  <si>
    <t>ESNATURA
PEEVA</t>
  </si>
  <si>
    <t xml:space="preserve">SEA: Elabora Model de Taula de Voluntariat Ambiental </t>
  </si>
  <si>
    <t>1) % d'increment del nombre d’agents de voluntariat que actuen a l’ENP
2) Nombre d'acords, col·laboracions o projectes conjunts de voluntariat ambiental amb els agents clau del territori.
3) Nombre d'accions de voluntariat aixoplugades des de la TVAPO
4) % d'increment del nombre d'entitats de voluntariat que actuen a l’ENP
5) % de desplegament del pla de treball de la TVAPO
6) Nombre de formacions organitzades per a les entitats de voluntariat ambiental</t>
  </si>
  <si>
    <t>1) 0
2) 4
3) 4
4) 0
5) 40
6) 4</t>
  </si>
  <si>
    <t>1) 50
2) 12
3) 12
4) 50
5) 80
6) 8</t>
  </si>
  <si>
    <t>13.7</t>
  </si>
  <si>
    <t xml:space="preserve">Treballar per a la universalitat de les accions d’educació, sensibilització i voluntariat ambiental </t>
  </si>
  <si>
    <t>13.7.1</t>
  </si>
  <si>
    <t>Dissenyar i adaptar activitats inclusives per a persones amb necessitats específiques</t>
  </si>
  <si>
    <t>1) Detectar els millors equipaments a l'entorn del PNCTF per a dur a terme activitats inclusives
2) Fer un catàleg d'itineraris accessibles del PN
3) Adaptar itineraris inclusius
4) Crear un estoc d'activitats inclusives a l'entorn del PNCTF
5) Treballar en l'adaptació d'activitats ja existents al PNCTF per a diferents perfils inclusius</t>
  </si>
  <si>
    <t>1) Nombre d'equipaments a l'entorn del PNCTF per a dur a terme activitats inclusives
2) Nombre d'itineraris accessibles del PN
3) % d'increment del nombre d'itineraris accessibles al PN
4) Nombre d'activitats inclusives a l'entorn del PNCTF detectades
5) % d'increment del nombre d'activitats ja existents al PNCTF adaptades per a diferents perfils inclusius</t>
  </si>
  <si>
    <t>1) 2
2) 2
3) 20
4) 4
5) 10</t>
  </si>
  <si>
    <t>1) 10
2) 10
3) 100
4) 20
5) 100</t>
  </si>
  <si>
    <t>13.7.2</t>
  </si>
  <si>
    <t>Formar el personal de l'ENP (informadors i personal que treballa de cara al públic) en accessibilitat, diversitat funcional i diversitat de gènere</t>
  </si>
  <si>
    <t>*Buscar les formacions més adequades per als informadors en accessibilitat, diversitat funcional i diversitat de gènere
*Apuntar els informadors a aquestes formacions</t>
  </si>
  <si>
    <t>Nombre de formacions dutes a terme pels informadors del PNCTF</t>
  </si>
  <si>
    <t>13.7.3</t>
  </si>
  <si>
    <t>Incorporar la perspectiva de gènere als continguts i activitats de l'ENP</t>
  </si>
  <si>
    <t>*Detectar on manca la perpectiva de gènere en els continguts i activitats de l'ENP
*Aplicar aquesta perspectiva</t>
  </si>
  <si>
    <t>Nombre d'activitats i continguts del PNCTF en què s'ha aplicat perspectiva de gènere</t>
  </si>
  <si>
    <t>13.8</t>
  </si>
  <si>
    <t>Desplegar i adaptar el programa Salut i Natura de la DG en l'àmbit de l'ENP</t>
  </si>
  <si>
    <t>13.8.1</t>
  </si>
  <si>
    <t>Dissenyar, implementar i fomentar itineraris saludables dins dels itineraris oficials dels ENP i en la zona d'influència</t>
  </si>
  <si>
    <t xml:space="preserve">* Promoure itineraris saludables,                                                                                                                                                                                                                            * Incorporació i promoció de guiatges terapèutics en aquests itineraris </t>
  </si>
  <si>
    <t>Nombre d'itineraris saludables promoguts</t>
  </si>
  <si>
    <t>13.8.2</t>
  </si>
  <si>
    <t>Identificar els agents clau i els àmbits de col·laboració per implementar el binomi salut i natura</t>
  </si>
  <si>
    <t>1) Proposta d'espais per a la integració d'equipaments assistencials dins l'ENP
2) Desplegament, de forma coordinada amb els CAPs, activitats i programes adreçats a col·lectius diana dins l'ENP (Ex: prescripció de natura (recepta verda i blava).
3) Facilitar projectes pilot de recerca sobre els beneficis del contacte amb la natura per la salut, per a la població en general o perfils específics.
4) Detecció dels agents clau per al  desplegament del binomi salut i natura al Ripollès</t>
  </si>
  <si>
    <t>1) Nombre d'equipaments assistencials dins l'ENP que s'utilitzen per al binomi salut i natura
2) Nombre d'activitats i programes dels CAPs adreçats a col·lectius diana dins l'ENP amb els que es col·labora
3) Nombre de projectes pilot de recerca sobre els beneficis del contacte amb la natura per la salut que es faciliten
4) Nombre d'agents clau del territori amb qui es col·labora per a implementar el binomi salut i natura</t>
  </si>
  <si>
    <t>1) 1
2) 1
3) 1
4) 1</t>
  </si>
  <si>
    <t>1) 4
2) 4
3) 4
4) 4</t>
  </si>
  <si>
    <t>13.8.3</t>
  </si>
  <si>
    <t xml:space="preserve">Incloure el concepte de salut i natura en els missatges educatius i comunicatius de l'ENP </t>
  </si>
  <si>
    <t>1) Inclusió en el pla d'acció de la CETS, o la seva renovació, de l'Eix Salut i Natura
2) Inclusió del concepte de Salut i Natura en els missatges comunicatius de conservació i sensibilització, activitats i formacions del Parc.
3) Oferir i donar a conèixer els recursos que es generin en relació a aquesta temàtica a la Xarxa d'Escoles del parc, entitats i altres agents del territori.</t>
  </si>
  <si>
    <t>1) Actuacions del pla d'acció de la CETS en què s'ha inclòs l'Eix Salut i Natura
2) Nombre de missatges comunicatius de conservació i sensibilització, activitats i formacions del Parc en què es difonen missatges de salut i natura.
3) Nombre de recursos d'aquesta temàtica oferts a la Xarxa d'Escoles del parc, entitats i altres agents del territori.</t>
  </si>
  <si>
    <t>1) 1
2) 4
3) 1</t>
  </si>
  <si>
    <t>1) 4
2) 16
3) 4</t>
  </si>
  <si>
    <t>13.8.4</t>
  </si>
  <si>
    <t>Participar a les Taules territorials de Salut i Natura</t>
  </si>
  <si>
    <t>Desplegar i/o participar a les Taules territorials de Salut i Natura</t>
  </si>
  <si>
    <t>*Participació a les taules territorials de salut i natura</t>
  </si>
  <si>
    <t>Nombre de taules territorials de salut i natura en què el PNCTF ha participat</t>
  </si>
  <si>
    <t>COMUNICAR I DIFONDRE ELS VALORS DE L'ENP, contribuint a l'educació ambiental de la societat</t>
  </si>
  <si>
    <t>14.1</t>
  </si>
  <si>
    <t>Augmentar el coneixement de l'ENP entre la població</t>
  </si>
  <si>
    <t>14.1.1</t>
  </si>
  <si>
    <t>Informar periòdicament sobre les tasques, projectes i actuacions que duu a terme l'ENP a la població</t>
  </si>
  <si>
    <t>1) Elaborar els productes comunicatius que es determinin conjuntament amb Serveis Centrals : ex.un telegrama mensual, butlletí , agenda activitats trimestral, fulletó informatiu vinculats amb ús públic, etc.
2) Donar a conèixer l'equip del Parc a través dels diferents canals comunicatius.
3) Creació d'un banc d’imatges, vídeos, vídeos amb vols de dron
4) Posar a disposició de la societat els estudis i informes que s'han fet del Parc (realització de jornades, infografies etc) a través del repositori del Centre de Documentació del Parc.
5) Generació d'un servei geogràfic d'oferta de senders oficials i equipaments</t>
  </si>
  <si>
    <t>Pla de comunicació</t>
  </si>
  <si>
    <t>SENP: Elaborar els productes comunicatius</t>
  </si>
  <si>
    <t>1) Nombre de productes comunicatius elaborats conjuntament amb Serveis Centrals.
2) Nombre de canals comunicatius a través dels quals s'ha donat a conèixer l'equip del Parc.
3) Nombre de bancs d'imatges del Parc existents.
4) Operativitat del Centre de Documentació del Parc.
5) Existència d'un servei geogràfic d'oferta de senders oficials i equipaments</t>
  </si>
  <si>
    <t>1) 1
2) 1
3) 0
4) 0
5) 0</t>
  </si>
  <si>
    <t>1) 4
2) 4
3) 1
4) 1
5) 1</t>
  </si>
  <si>
    <t>14.1.2</t>
  </si>
  <si>
    <t>Garantir l'accessibilitat i gestió del coneixement disponible sobre l'ENP</t>
  </si>
  <si>
    <t>*Oferir diferents versions idiomàtiques dels materials de difusió
*Ús d'un llenguatge planer quan ens adrecem a la ciutadania
*Crear un nou espai al web de Preguntes freqüents</t>
  </si>
  <si>
    <t>Nombre d'idiomes amb què es divulguen els materials de difusió (Catlà, castellà, anglès i francès)</t>
  </si>
  <si>
    <t>14.2</t>
  </si>
  <si>
    <t>Conscienciar sobre els valors de l'ENP als diferents públics objectiu</t>
  </si>
  <si>
    <t>14.2.1</t>
  </si>
  <si>
    <t>Sensibilitzar als diferents agents sobre els valors de l'ENP</t>
  </si>
  <si>
    <r>
      <t xml:space="preserve">1) Programar periòdicament el curs de Bon Coneixedor del PNCTF </t>
    </r>
    <r>
      <rPr>
        <sz val="11"/>
        <color rgb="FFFF0000"/>
        <rFont val="Calibri"/>
        <family val="2"/>
        <scheme val="minor"/>
      </rPr>
      <t xml:space="preserve">i també de reciclatge dels participants en edicions anteriors, </t>
    </r>
    <r>
      <rPr>
        <sz val="11"/>
        <rFont val="Calibri"/>
        <family val="2"/>
        <scheme val="minor"/>
      </rPr>
      <t>adreçat a guies i educadors que treballen al Parc, i el curs d'Informador del PNCTF adreçat a establiments turístics de l'entorn del PNCTF
2) Dur a terme accions de comunicació específica envers la convivència i el respecte cap a les activitats tradicionals, especialment la ramaderia. Precedir-ho d'un treball estret amb el col·lectiu ramader.</t>
    </r>
  </si>
  <si>
    <t>SEA: Crear material divulgatiu</t>
  </si>
  <si>
    <t>1) Nombre d'edicionns del curs de Bon Coneixedor i el curs d'Informador del PNCTF realitzades.
2) Nombre d'accions de comunicació específica envers la convivència i el respecte cap a les activitats tradicionals realitzades.</t>
  </si>
  <si>
    <t>14.3</t>
  </si>
  <si>
    <t xml:space="preserve">Disposar d'una comunicació ordenada efectiva, positiva i coordinada que arribi a la ciutadania i aquesta pugui reconèixer fàcilment </t>
  </si>
  <si>
    <t>14.3.1</t>
  </si>
  <si>
    <t>Optimitzar els canals de comunicació</t>
  </si>
  <si>
    <t>1) Actualització del web segons el format i estàndards establerts des de Serveis Centrals.
2) Tenir un responsable/equip de comunicació amb formació tècnica.
3) Estudiar la necessitat i viabilitat d'obrir nous canals comunicatius (butlletí, xxss, revistes etc.) conjuntament amb Serveis Centrals.</t>
  </si>
  <si>
    <t>1) Quantitat de novetats publicades als diversos canals de comunicació del PNCTF
2) Nombre de treballadors de l'equip de comunicació amb formació tècnica.
3) Obertura de nous canals comunicatius</t>
  </si>
  <si>
    <t>1) 12
2) 0
3) 1</t>
  </si>
  <si>
    <t>1) 40
2) 1
3) 4</t>
  </si>
  <si>
    <t>14.3.2</t>
  </si>
  <si>
    <t>Garantir l'harmonització de la comunicació com a Parc, Xarxa i Generalitat.</t>
  </si>
  <si>
    <t>*Planificació i disseny de la comunicació de cada Parc conjuntament amb els Serveis Centrals, per garantir-ne la imatge corporativa i la coherència com a xarxa (publicacions, xxss, web, NP, merxandatge etc.)
*Aplicació dels manuals existents i vigents en quan a comunicació corporativa
*Elaboració i aplicació del Pla de comunicació de l'ENP
*Participació en els espais d'intercanvi d'informació entre ENP
*Aplicació del protocol comunicatiu específic per a Juntes Rectores d'ENP</t>
  </si>
  <si>
    <t>Quantitat d'interaccions entre els serveis centrals i el tècnic del PNCTF per a coordinar una comunicació harmonitzada</t>
  </si>
  <si>
    <t>GESTIÓ I ADMINISTRACIÓ</t>
  </si>
  <si>
    <t>ESTABLIR EL MARC PER A LA GOVERNANÇA i la gestió eficient de l'espai i la xarxa d'ENP</t>
  </si>
  <si>
    <t>15.1</t>
  </si>
  <si>
    <t>Disposar d'espais per a la participació de personal expert i agents del territori en la governança de l'ENP</t>
  </si>
  <si>
    <t>15.1.1</t>
  </si>
  <si>
    <t>Crear una taula de treball amb els agents prioritaris per a la gestió de l'ENP i els grups de treball temàtics necessaris</t>
  </si>
  <si>
    <t>*Aprofitar les taules de treball ja existents (Junta Rectora, Comissions JR, Coordinares RAE)</t>
  </si>
  <si>
    <t>Nombre de reunions per any de cada taula de treball</t>
  </si>
  <si>
    <t>3/any</t>
  </si>
  <si>
    <t>6/any</t>
  </si>
  <si>
    <t>15.1.2</t>
  </si>
  <si>
    <t>Disposar d'assessorament científic en l'ENP</t>
  </si>
  <si>
    <t>*Aplicació del decret 211/2015 de creació del PNCTF i del reglament del comitè científic aprovat per Junta Rectora</t>
  </si>
  <si>
    <t>% peticions ateses a les consultes</t>
  </si>
  <si>
    <t>2/any</t>
  </si>
  <si>
    <t>Juntament amb l'àrea de Patrimoni Natural</t>
  </si>
  <si>
    <t>15.1.3</t>
  </si>
  <si>
    <t>Incloure entitats i organismes científics i culturals de referència en els mecanismes de presa de decisions de l'ENP</t>
  </si>
  <si>
    <t xml:space="preserve"> </t>
  </si>
  <si>
    <t>*Inclusió de personal expert extern en els òrgans gestors dels ENP / Inclusió d'entitats i organismes científics i culturals a les reunions de la junta rectora de l'ENP</t>
  </si>
  <si>
    <t xml:space="preserve">Nombre de persones representants d'entitats </t>
  </si>
  <si>
    <t>A la JR ja hi ha representant de diferents experteses</t>
  </si>
  <si>
    <t>15.1.4</t>
  </si>
  <si>
    <t>Adaptar i desplegar el model de governança dels espais naturals protegits</t>
  </si>
  <si>
    <t>*Presentació de la proposta de PE a junta amb un pressupost associat per validar-lo. Possibles aportacions al consell de participació</t>
  </si>
  <si>
    <t>SENP: Elaborar una proposta de model de governança dels espais naturals protegits</t>
  </si>
  <si>
    <t>Inici del procés</t>
  </si>
  <si>
    <t>Columnes R i S indiquen data d'inici redacció PE</t>
  </si>
  <si>
    <t>MILLORAR L'EFICIÈNCIA de la gestió administrativa</t>
  </si>
  <si>
    <t>16.1</t>
  </si>
  <si>
    <t>Optimitzar l'aplicació pressupostaria</t>
  </si>
  <si>
    <t>16.1.1</t>
  </si>
  <si>
    <t>Millorar el sistema de control de l'execució del pressupost, d'acord amb les indicacions de Serveis Centrals</t>
  </si>
  <si>
    <t xml:space="preserve">Gestionar i millorar administrativament els pressupostos anuals d'entrades i despeses </t>
  </si>
  <si>
    <t>*Aplicació del nou sistema de seguiment pressupostari conjunt per a tots els ENP per al control de les despeses (quan entri en funcionament).
*Aplicació del manual per al règim de gestió econòmica als ENP per traspassar dades al RAE.
*Participació dels espais de coordinació entre ENP per identificar les despeses comunes tramitables a càrrec del pressupost de la DG.</t>
  </si>
  <si>
    <t xml:space="preserve">Com que la competència és de serveis centrals com a actuació posar la participació en les reunions de coordinació sobre el seguiment pressupostari i com a indicador el percentatge de participació. </t>
  </si>
  <si>
    <r>
      <t xml:space="preserve">UGA: Dissenyar i desplegar el nou sistema de seguiment pressupostari conjunt per a tots els ENP.
</t>
    </r>
    <r>
      <rPr>
        <sz val="11"/>
        <rFont val="Calibri"/>
        <family val="2"/>
        <scheme val="minor"/>
      </rPr>
      <t>SENP:  Crear espais de coordinació entre ENP per identificar les despeses comunes</t>
    </r>
  </si>
  <si>
    <t>Percentatge de participació en les reunions convocades per Serveis Centrals</t>
  </si>
  <si>
    <t>Administració i Direcció</t>
  </si>
  <si>
    <t>Fàtima Rebollo i Santi Farriol</t>
  </si>
  <si>
    <t>16.2</t>
  </si>
  <si>
    <t>Planificar i optimitzar els processos de contractació, concessió d'ajuts, i les col·laboracions amb ens públics i privats</t>
  </si>
  <si>
    <t>16.2.1</t>
  </si>
  <si>
    <t>Planificar i detectar les necessitats de contractació del l'ENP per a l'optimització dels contractes a nivell de Xarxa</t>
  </si>
  <si>
    <t>Planificar, detectar les necessitats de contractació de l'ENP per a l'optimització dels contractes a nivell de Xarxa i gestionar els contractes</t>
  </si>
  <si>
    <t>CANVI DE REDACTAT OP</t>
  </si>
  <si>
    <t>SENP: Crear espais de coordinació entre ENP per detectar necessitats conjuntes.</t>
  </si>
  <si>
    <t>16.2.2</t>
  </si>
  <si>
    <t>Planificar i detectar les tasques de convocatòries d'ajuts de l'ENP</t>
  </si>
  <si>
    <t>Planificar i gestionar els ajuts</t>
  </si>
  <si>
    <t>*Preveure amb una antelació mínima de 6 mesos les convocatòries d'ajuts per augmentar l'eficiència de la tramitació i disposar de marge de maniobra davant qualsevol eventualitat.
*Implementació de gestor d'expedients
*Treballar amb SSCC per adaptar les convocatòries d'ajuts a les necessitats de l'ENP</t>
  </si>
  <si>
    <r>
      <t xml:space="preserve">1) Nombre d'expedients gestionats per línia d'ajut                                                                                  </t>
    </r>
    <r>
      <rPr>
        <sz val="11"/>
        <color theme="9" tint="-0.249977111117893"/>
        <rFont val="Calibri"/>
        <family val="2"/>
        <scheme val="minor"/>
      </rPr>
      <t xml:space="preserve">                       2) % expedients aprovats versus nombre de sol·licituds rebudes</t>
    </r>
  </si>
  <si>
    <t>Direcció  i Administració</t>
  </si>
  <si>
    <t xml:space="preserve"> Fàtima Rebollo i Santi Farriol</t>
  </si>
  <si>
    <t>Comptant dues convocatòries en dos anys</t>
  </si>
  <si>
    <t>16.2.3</t>
  </si>
  <si>
    <t>Establir i renovar en temps i forma convenis de col·laboració, convenis marc, acords, protocols i altres instruments de col·laboració.</t>
  </si>
  <si>
    <t xml:space="preserve">Depèn de Serveis Centrals. </t>
  </si>
  <si>
    <t>UGA: Coordinar l'elaboració dels catàlegs col·lectius amb ENP, universitats i centres documentació</t>
  </si>
  <si>
    <t>16.3</t>
  </si>
  <si>
    <t>Agilitzar, incrementar l'eficiència  i incrementar l’assoliment dels procediments administratius</t>
  </si>
  <si>
    <t>16.3.1</t>
  </si>
  <si>
    <t>Optimitzar l'elaboració d'informes</t>
  </si>
  <si>
    <t>16.3.2</t>
  </si>
  <si>
    <t>Adequar i actualitzar els procediments i tramitacions realitzats des de l'ENP als nous processos i eines conjuntes proposades des de Serveis Centrals</t>
  </si>
  <si>
    <t xml:space="preserve">A l'espera de tenir-ho. Depèn de Serveis Centrals. </t>
  </si>
  <si>
    <t>UGA: Simplificació i optimització de formularis. Tipificació de peticions (tràmits específics)</t>
  </si>
  <si>
    <t>16.3.3</t>
  </si>
  <si>
    <t>Augmentar el coneixement de l'equip de treball en matèria de procediment administratiu</t>
  </si>
  <si>
    <t>*Participació de les formacions ofertades des del Centre de formació i estudis agrorurals per al personal administratiu.
*Respondre a la demanda activa de formacions quan es planifica el Pla anual de formació ofertat des del Centre de formació i estudis agrorurals.
*Formació interna de l'equip administratiu de l'ENP per adquirir coneixements bàsics en temes prioritaris (comptabilitat, contractació, tramitació electrònica, accessibilitat i transparència, propietat intel·lectual) i processos de tramitació (CQS, peticions informació genèrica, solicituds accés informació ambiental)</t>
  </si>
  <si>
    <t xml:space="preserve">Reduir accions i definir com a accions les formacions específiques internes i com a indicadors l'assistència a aquestes. </t>
  </si>
  <si>
    <t>% de participació del PN a les formacions internes</t>
  </si>
  <si>
    <t>Administració</t>
  </si>
  <si>
    <t>Fàtima Rebollo</t>
  </si>
  <si>
    <t>16.3.4</t>
  </si>
  <si>
    <t>Garantir la transparència administrativa</t>
  </si>
  <si>
    <t>*Difondre o permetre l'accés a la informació pública
*Atendre les sol·licituds d'informació</t>
  </si>
  <si>
    <r>
      <t xml:space="preserve">Valorar si aplica. Revisar quines accions són competència del PN o si són competència de Serveis Centrals, i adequar els indicadors i fites. </t>
    </r>
    <r>
      <rPr>
        <sz val="11"/>
        <color rgb="FF00B0F0"/>
        <rFont val="Calibri"/>
        <family val="2"/>
        <scheme val="minor"/>
      </rPr>
      <t>Jo crec que s'ha de tenir en compte, doncs es penja tota la informació als portals pertinents</t>
    </r>
  </si>
  <si>
    <t>Disposar d'una persona que gestioni aquest servei</t>
  </si>
  <si>
    <t>A mitja jornada</t>
  </si>
  <si>
    <t>16.3.5</t>
  </si>
  <si>
    <t>Millorar i mantenir el material i infraestructures de gestió</t>
  </si>
  <si>
    <t>Millorar i mantenir el material, infraestructures i equipaments de gestió de l'espai</t>
  </si>
  <si>
    <t>*Millora del material i els serveis informàtics i connexió a la xarxa de la Generalitat
*Compra de material d'oficina</t>
  </si>
  <si>
    <t>Valorar si aplica. Revisar quines accions són competència del PN o si són competència de Serveis Centrals, i adequar els indicadors i fites</t>
  </si>
  <si>
    <t>Disposar d'aquest servei</t>
  </si>
  <si>
    <t xml:space="preserve">Administració </t>
  </si>
  <si>
    <t>16.4</t>
  </si>
  <si>
    <t>Ordenar l'estat dels béns patrimonials</t>
  </si>
  <si>
    <t>16.4.1</t>
  </si>
  <si>
    <t>Revisar l’estat dels béns patrimonials i la situació administrativa-legal dels equipaments del parc</t>
  </si>
  <si>
    <t xml:space="preserve">*Revisió de tota la documentació relativa als béns patrimonials de l'ENP
*Traspàs de tota la informació del béns patrimonials i col·laborar amb el Servei de Contractació i Patrimoni per tramitar els expedients de cessió de titularitat, declaracions d'obra nova, compra, lloguer...             </t>
  </si>
  <si>
    <t>Valorar si aplica. Revisar quines accions són competència del PN o si són competència de Serveis Centrals, i adequar els indicadors i fites. Jo crec que s'ha de tenir en compte, doncs els equipaments ciom miradors, abeuradors, tancats, senyalització etc, és e  parc qui té la informació</t>
  </si>
  <si>
    <t>UGA: tramitar els expedients de cessió de titularitat, declaracions d'obra nova, compra, lloguer, etc.</t>
  </si>
  <si>
    <t>Disposar d'un inventari</t>
  </si>
  <si>
    <t>16.4.2</t>
  </si>
  <si>
    <t>Tenir cobertes les pèrdues o danys materials del patrimoni de la Direcció General que hi ha a l'àmbit territorial del Parc, com a conseqüència de la materialització de qualsevol dels riscs emparats en el plec de prescripcions tècniques de la pòlissa.</t>
  </si>
  <si>
    <t>*Revisió que tots els equipaments del parc estiguin correctament assegurats dins la pòlissa d'assegurança de danys materials (número 86-5034332) de la Generalitat, en col·laboració amb  serveis centrals i d'acord amb les seves directrius.
*Col·laboració amb el Servei de Contractació i Patrimoni per tramitar les assegurances dels béns patrimonials.</t>
  </si>
  <si>
    <r>
      <t xml:space="preserve">Valorar si aplica. Revisar quines accions són competència del PN o si són competència de Serveis Centrals, i adequar els indicadors i fites. </t>
    </r>
    <r>
      <rPr>
        <sz val="11"/>
        <color rgb="FF00B0F0"/>
        <rFont val="Calibri"/>
        <family val="2"/>
        <scheme val="minor"/>
      </rPr>
      <t>El parc ha de passar la informació a SSCC</t>
    </r>
  </si>
  <si>
    <t>UGA: Tramitar les assegurances dels béns patrimonials.</t>
  </si>
  <si>
    <t>Disposar de la pòlissa d'assegurança</t>
  </si>
  <si>
    <t>16.5</t>
  </si>
  <si>
    <t>Estructurar la gestió documental</t>
  </si>
  <si>
    <t>16.5.1</t>
  </si>
  <si>
    <t>Millorar l'accessibilitat i la gestió documental del centre o punt de documentació de l'ENP</t>
  </si>
  <si>
    <t>Millorar l'accessibilitat i de la gestió documental i digital de l'ENP</t>
  </si>
  <si>
    <t xml:space="preserve">*Desenvolupament del repositori digital, recollint, preservant i difonent la informació generada.
*Catalogar i digitalitzar el fons documental.
*Millora de l'accessibilitat documental al web.
* Implementació de gestor d'expedients
</t>
  </si>
  <si>
    <t>Indicador complementari: % de documents digitalitzats</t>
  </si>
  <si>
    <t>SENP: Disseny d'una metodologia de treball conjunta</t>
  </si>
  <si>
    <t>Tenir un responsable del punt de documentació coordinat amb el responsable del Centre de documentació del PNZVG</t>
  </si>
  <si>
    <t>16.6</t>
  </si>
  <si>
    <t>Gestionar recursos humans</t>
  </si>
  <si>
    <t>16.6.1</t>
  </si>
  <si>
    <t>Gestió de la brigada de manteniment</t>
  </si>
  <si>
    <t>Personal propi que gestioni les brigades</t>
  </si>
  <si>
    <r>
      <t xml:space="preserve">Valorar si aplica. Revisar quines accions són competència del PN o si són competència de Serveis Centrals, i adequar els indicadors i fites. </t>
    </r>
    <r>
      <rPr>
        <sz val="11"/>
        <color rgb="FF00B0F0"/>
        <rFont val="Calibri"/>
        <family val="2"/>
        <scheme val="minor"/>
      </rPr>
      <t>És competència de SSCC però el dimensionament de RRHH del parc és la direcció qui té la informació. Potser es pot ajuntar amb la següent acció</t>
    </r>
  </si>
  <si>
    <t>Disposar de persona/es formada per a la gestió de la brigada</t>
  </si>
  <si>
    <t>16.6.2</t>
  </si>
  <si>
    <t>Gestió de personal</t>
  </si>
  <si>
    <t>Gestionar, enfortir i consolidar l'equip de gestió del parc</t>
  </si>
  <si>
    <t>Dotació de dues persones per àrea en l'organigrama del parc natural</t>
  </si>
  <si>
    <t>Nombre de persones estructurals a l'equip de gestió</t>
  </si>
  <si>
    <t>TAULA DE VINCLE ENTRE LES AMENACES I ELS OBJECTIUS OPERATIUS DE L'EIX DEL PATRIMONI NATURAL</t>
  </si>
  <si>
    <t>Eix 1. Natura</t>
  </si>
  <si>
    <t>Codi</t>
  </si>
  <si>
    <t>Objectius operatius</t>
  </si>
  <si>
    <t>Tipologia amenaça</t>
  </si>
  <si>
    <t>Amenaça concreta</t>
  </si>
  <si>
    <t>No especificada</t>
  </si>
  <si>
    <t>Espècies invasores i patògens</t>
  </si>
  <si>
    <t>Gestió i modificació de sistemes naturals</t>
  </si>
  <si>
    <t>Canvi global i/o climàtic</t>
  </si>
  <si>
    <t>Extracció de recursos naturals</t>
  </si>
  <si>
    <t>Producció primària</t>
  </si>
  <si>
    <t>Grans pertorbacions naturals</t>
  </si>
  <si>
    <t>Infrastructures de transport i serveis</t>
  </si>
  <si>
    <t>Polució</t>
  </si>
  <si>
    <t xml:space="preserve">Taxonomia d'Amenaces  - Xarxa d'ENP Catalunya </t>
  </si>
  <si>
    <t>Versió 1_revisada pels equips del PNAT Cap de Creus, PNAT Montgrí-Medes, PNAT els Ports, PNIN Poblet, PNAT Delta de l'Ebre, PNAT Alt Pirineu i PNAT Capçaleres del Ter i Freser</t>
  </si>
  <si>
    <r>
      <t xml:space="preserve">Font de dades 1: </t>
    </r>
    <r>
      <rPr>
        <u/>
        <sz val="10"/>
        <color rgb="FF1155CC"/>
        <rFont val="Arial"/>
        <family val="2"/>
      </rPr>
      <t xml:space="preserve">List of pressures and threats for reporting 2019-2024 v1.1 </t>
    </r>
    <r>
      <rPr>
        <sz val="10"/>
        <color rgb="FF000000"/>
        <rFont val="Calibri"/>
        <family val="2"/>
        <scheme val="minor"/>
      </rPr>
      <t>(Comissió Europea)</t>
    </r>
  </si>
  <si>
    <t>Font de dades 2: Llistat de pressions i amenaces del Pla de Protecció del Cadí-Moixeró, inspirat en el llistat de la Comissió Europea</t>
  </si>
  <si>
    <r>
      <t xml:space="preserve">Font de dades 3: </t>
    </r>
    <r>
      <rPr>
        <u/>
        <sz val="10"/>
        <color rgb="FF1155CC"/>
        <rFont val="Arial"/>
        <family val="2"/>
      </rPr>
      <t>IUCN/CMP Threats Classification v 3.3 (2016)</t>
    </r>
    <r>
      <rPr>
        <sz val="10"/>
        <color rgb="FF000000"/>
        <rFont val="Calibri"/>
        <family val="2"/>
        <scheme val="minor"/>
      </rPr>
      <t xml:space="preserve"> i v4.0 draft (2023)</t>
    </r>
  </si>
  <si>
    <t>Codi Amenaça</t>
  </si>
  <si>
    <t>Tipologia d'amenaça</t>
  </si>
  <si>
    <t>Nom Amenaça</t>
  </si>
  <si>
    <t>Exemples i descripció del grup</t>
  </si>
  <si>
    <t>Urbanització i edificació</t>
  </si>
  <si>
    <t>Urbanització residencial</t>
  </si>
  <si>
    <t>Construccions relacionades amb àrees residencials. Tot i que la normativa no permet noves construccions, existeixen edificacions fóra d'ordenació. També casos de remodelacions, reconstruccions o ampliacions d'edificis rurals per usos agrícoles, forestals, ramaders, recreatius, residencials, etc). Restauracions de cabanes i bordes que no deixen forats per ratpenats. cases forestals. Bordes que es canvien d'ús per hosteleria</t>
  </si>
  <si>
    <t>Urbanització comercial o industrial</t>
  </si>
  <si>
    <t>Àrees recretives i turístiques</t>
  </si>
  <si>
    <t>Refugis de muntanya que es remodelen, impacten etc</t>
  </si>
  <si>
    <t>Activitat agrícola</t>
  </si>
  <si>
    <t>Cultius annuals i perennes. Canvis de tipus de cultiu, secà a regadiu o al revés. Canvi d'usos del sòl com cultius de vinya a muntanya, Inclosos el cultiu de l'arròs amb substàncies biocides. Inclòs el cultiu de marihuana</t>
  </si>
  <si>
    <t>Plantacions forestals</t>
  </si>
  <si>
    <t>Ramaderia tan intensiva com extensiva i semi-intensiva (pastura de dia i nit en corral)</t>
  </si>
  <si>
    <t>Aqüicultura</t>
  </si>
  <si>
    <t>Aquicultura marina i d'aigua dolça, a l'interior o als voltants del parc</t>
  </si>
  <si>
    <t>Producció d'energia i mineria</t>
  </si>
  <si>
    <t xml:space="preserve">Activitats de la mineria </t>
  </si>
  <si>
    <t>Mineria de qualsevol tipus (a cel obert, marina, al·luvial com extracció d'àrids i còdols, subterrània), a l'interior o als voltants del parc. Extracció de torba i salines. Si aplica, extracció d'hidrocarburs terrestres o marins</t>
  </si>
  <si>
    <t>Producció d'energia renovable</t>
  </si>
  <si>
    <t>Centrals de producció d'energia renovable (molins eòlics terrestres o marins, instal·lacions solars, hidroelèctriques, geotèrmia inclosos els impactes de fauna contra les instal·lacions). A dins del parc o afectant connectors entre parcs</t>
  </si>
  <si>
    <t>Carreteres, pistes forestals, línies fèrries i cremalleres</t>
  </si>
  <si>
    <t>Conduccions elèctriques, aqueductes, canals de rec, estacions de bombament, conduccions d'aigua o gas</t>
  </si>
  <si>
    <t>Infrastructures marines</t>
  </si>
  <si>
    <t>Rutes marines, canals, impactes de vaixells sobre balenes i infrastructura associada. Ports, pantalans, etc</t>
  </si>
  <si>
    <t>Tancaments i vallats</t>
  </si>
  <si>
    <t>Tancaments, valles perimetrals i parets de tota mena, en carreteres, per bestiar, estètiques, etc</t>
  </si>
  <si>
    <t>Caça i recolecció d'animals, ous, mel silvestre, etc ja sigui per subsistència, esport, tradició, comerç o de forma accidental</t>
  </si>
  <si>
    <t>Recolecció de plantes, bolets, resines, líquens, etc</t>
  </si>
  <si>
    <t>Treball forestals de tota mena (arreu, selectiva, carboneig, aclarides, etc)</t>
  </si>
  <si>
    <t>Pesca i semblants</t>
  </si>
  <si>
    <t>Pesca i recollida de recursos aquàtics de tota mena i amb qualsevol tècnica (artesanal, xarxa, marisqueig, recollida de corall, pesca accidental, recreativa, etc)</t>
  </si>
  <si>
    <t>Molèsties</t>
  </si>
  <si>
    <t>Per activitats recreatives al medi natural de qualsevol tipus (excursionisme, bicicleta, cavall, vehicles a motor, escalada, esquí de muntanya, acampada temporal, pernoctació, ornitòlegs, fotografs, esports nàutics, pesca turisme, àrees recreatives, drons, globus, parapents, buggy-kite, sobrevol amb helicòpters, amb ultralleugers, motos de neu, etc) i tan sigui esporàdica com recurrent</t>
  </si>
  <si>
    <t>Molèsties per activitats militars</t>
  </si>
  <si>
    <t>Activitats militars de qualsevol mena (camps militars, assajos amb artilleria, etc)</t>
  </si>
  <si>
    <t>Altres tipus de molèsties</t>
  </si>
  <si>
    <t>Qualsevol altra molèstia (per bany en rius i tolles, passeig de gossos, peregrinatges, aplecs, recerca sobre espècies, extraccions arqueològiques, vandalisme, tràfic de drogues, etc)</t>
  </si>
  <si>
    <t>Molèsties per activitats multitudinàries</t>
  </si>
  <si>
    <t>Activitats organitzades i multitudinàries, per exemple curses de muntanya, festivals, esdeveniments, filmacions, fins i tot enterraments</t>
  </si>
  <si>
    <t>Foc</t>
  </si>
  <si>
    <t>Foc, grans incendis forestals i supressió del foc, incloses activitats de restauració post-foc</t>
  </si>
  <si>
    <t xml:space="preserve">Construcció i utilització de preses, canals, captacions, pous, dics, etc de qualsevol mena. Extracció / captacions d'aigua per rec, etc.  Construcció de basses per fer neu artificial. Dessaladores, potabilitzadores, depuradores, conduccions, trasvassaments, emissaris de salmorres, alteració de cabals, gestió de cabals en rius  </t>
  </si>
  <si>
    <t>Moviments de terres i sediments</t>
  </si>
  <si>
    <t>Gestió i estabilització de terrenys i sediments (estabilització de dunes, construccions en litorals, remediació de sòls, restauració de mines, dragatges, moviments de sorres, etc)</t>
  </si>
  <si>
    <t>Modificació del clima</t>
  </si>
  <si>
    <t>Activitats per modificar el clima o processos naturals (prevenció de gelades, fertilització amb ferro a l'oceà, captura de carboni, etc)</t>
  </si>
  <si>
    <t>Gestió d'hàbitats: gestió d'aigua dolça de rec i arrossars (que pot afectar a llacunes, etc), retirada de fustes en rius, desbrossades, creació d'esculls artificials, alimentació d'ocells, tancament de coves, barreres elèctriques</t>
  </si>
  <si>
    <t>Desaparició de pràctiques tradicionals com pastura extensiva, canvi en el maneig de la pastura, la tipologia de bestiar, caça per control de predadors, etc</t>
  </si>
  <si>
    <t>Espècies invasores com rates en illes, animals domèstics assilvestrats, musclo zebra, bambú, peixos introduïts com Phoxinus en estanys d'alta muntanya, etc</t>
  </si>
  <si>
    <t>Espècies natives desestabilitzades com superpoblació de cèrvids, porcs senglars, manca de carnívors, blooms d'algues, plagues d'insectes, o amb impactes puntuals com predadors sobre espècies sensibles com colònies d'ocells, gall fer, etc</t>
  </si>
  <si>
    <t>Introducció de genotips aliens</t>
  </si>
  <si>
    <t>Material genètic introduït com cultius resistents a plagues, creuament de gat domèstic amb gat fer, restauracions d'hàbitats fetes amb varietats alienes, arbres o instectes modificats genèticament, aquicultura amb espècies no natives, etc</t>
  </si>
  <si>
    <t>Plagues i patògens</t>
  </si>
  <si>
    <t>Malalties que afecten conills, grip aviar, botulisme, castanyers, oliveres, cítrics, amfibis, etc</t>
  </si>
  <si>
    <t xml:space="preserve">Polució dissolta en aigua (aigües sèptiques, efluents industrials, pesticides, fertilitzants, efluents de la mineria, excès de nutrients en activitats de l'aquicultura, purins, potasses per desfer la neu en pistes i carreteres, etc </t>
  </si>
  <si>
    <t>Residus sòlids de qualsevol orígen i en medi terrestre o marí, inclosos de la caça, pesca, agricultura, aqüicultura, del turisme, construcció, transport, xarxes fantasma i elements abandonats al medi</t>
  </si>
  <si>
    <t>Polució aèria</t>
  </si>
  <si>
    <t>Residus en medi aeri com partícules, gasos, o partícules radioactives</t>
  </si>
  <si>
    <t>Contaminació acústica, llumínica o per radiació</t>
  </si>
  <si>
    <t>Contaminació lumínica, tèrmica com efluents de centrals elèctriques en rius, acústica com soroll en aeroports o zones industrials o per escoles de formació de pilots d'helicòpters al Pirineu, camps electromagnètics en cables, sonars submarins, soroll i onades causades per embarcacions recreatives,  llums de les maquinàries a pistes d'esquí, il·luminació nocturna en estacions d'esquí, il·luminació de monuments, etc</t>
  </si>
  <si>
    <t>Pertorbacions d'origen geològic</t>
  </si>
  <si>
    <t>De tipus geològic com terratrèmols, esllavissades, allaus, erupcions volcàniques</t>
  </si>
  <si>
    <t>Pertorbacions d'origen metereològic</t>
  </si>
  <si>
    <t>Per fenòmens extrems com inundacions, temporals, pedregades, etc</t>
  </si>
  <si>
    <t>Impactes del canvi climàtic en sistemes físics i químics</t>
  </si>
  <si>
    <t>Canvis en sistemes físics i químics com acidificació d'oceans, augment del CO2 atmosfèric, pèrdua de sediments, colmatació de basses i llacunes, canvis en corrents marins, regressió de la línia de costa, subsidència del Delta, canvis en la cobertura de núvols, etc</t>
  </si>
  <si>
    <t>Canvis en règims de temperatures: onades de calor o de fred, canvis en la temperatura del mar, fusió de glaceres, etc</t>
  </si>
  <si>
    <t>Canvis en règims de precipitació i règims hidrològics com patrons de pluja, d'innivació, generant sequeres, increment de la severitat d'inundacions, reducció de la superfície de llacs i estanys, etc</t>
  </si>
  <si>
    <t>Pujada del nivell del mar</t>
  </si>
  <si>
    <t>Llista d'amenaces OS</t>
  </si>
  <si>
    <t>Si/No</t>
  </si>
  <si>
    <t>Pel POA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</si>
</sst>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Calibri"/>
      <family val="2"/>
      <scheme val="minor"/>
    </font>
    <font>
      <sz val="11"/>
      <color rgb="FFFF0000"/>
      <name val="Calibri"/>
      <family val="2"/>
      <scheme val="minor"/>
    </font>
    <font>
      <sz val="8"/>
      <name val="Calibri"/>
      <family val="2"/>
      <scheme val="minor"/>
    </font>
    <font>
      <sz val="11"/>
      <name val="Calibri"/>
      <family val="2"/>
      <scheme val="minor"/>
    </font>
    <font>
      <b/>
      <sz val="11"/>
      <color theme="1"/>
      <name val="Calibri"/>
      <family val="2"/>
      <scheme val="minor"/>
    </font>
    <font>
      <b/>
      <sz val="11"/>
      <name val="Calibri"/>
      <family val="2"/>
      <scheme val="minor"/>
    </font>
    <font>
      <sz val="11"/>
      <color rgb="FF000000"/>
      <name val="Calibri"/>
      <family val="2"/>
      <scheme val="minor"/>
    </font>
    <font>
      <b/>
      <sz val="11"/>
      <color rgb="FF000000"/>
      <name val="Calibri"/>
      <family val="2"/>
      <scheme val="minor"/>
    </font>
    <font>
      <strike/>
      <sz val="11"/>
      <color theme="1"/>
      <name val="Calibri"/>
      <family val="2"/>
      <scheme val="minor"/>
    </font>
    <font>
      <sz val="11"/>
      <name val="Calibri"/>
      <family val="2"/>
    </font>
    <font>
      <sz val="11"/>
      <color rgb="FF000000"/>
      <name val="Calibri"/>
      <family val="2"/>
    </font>
    <font>
      <sz val="9"/>
      <color indexed="81"/>
      <name val="Tahoma"/>
      <family val="2"/>
    </font>
    <font>
      <b/>
      <sz val="9"/>
      <color indexed="81"/>
      <name val="Tahoma"/>
      <family val="2"/>
    </font>
    <font>
      <b/>
      <sz val="12"/>
      <color theme="1"/>
      <name val="Calibri"/>
      <family val="2"/>
      <scheme val="minor"/>
    </font>
    <font>
      <b/>
      <sz val="14"/>
      <color theme="1"/>
      <name val="Calibri"/>
      <family val="2"/>
      <scheme val="minor"/>
    </font>
    <font>
      <b/>
      <sz val="14"/>
      <name val="Calibri"/>
      <family val="2"/>
      <scheme val="minor"/>
    </font>
    <font>
      <sz val="14"/>
      <name val="Calibri"/>
      <family val="2"/>
      <scheme val="minor"/>
    </font>
    <font>
      <b/>
      <sz val="11"/>
      <color rgb="FFFF0000"/>
      <name val="Calibri"/>
      <family val="2"/>
      <scheme val="minor"/>
    </font>
    <font>
      <sz val="20"/>
      <color theme="1"/>
      <name val="Calibri"/>
      <family val="2"/>
      <scheme val="minor"/>
    </font>
    <font>
      <sz val="10"/>
      <color rgb="FF000000"/>
      <name val="Calibri"/>
      <family val="2"/>
      <scheme val="minor"/>
    </font>
    <font>
      <b/>
      <sz val="17"/>
      <color theme="1"/>
      <name val="Calibri"/>
      <family val="2"/>
      <scheme val="minor"/>
    </font>
    <font>
      <sz val="10"/>
      <color theme="1"/>
      <name val="Calibri"/>
      <family val="2"/>
      <scheme val="minor"/>
    </font>
    <font>
      <sz val="10"/>
      <color rgb="FF0000FF"/>
      <name val="Arial"/>
      <family val="2"/>
    </font>
    <font>
      <u/>
      <sz val="10"/>
      <color rgb="FF1155CC"/>
      <name val="Arial"/>
      <family val="2"/>
    </font>
    <font>
      <u/>
      <sz val="10"/>
      <color rgb="FF0000FF"/>
      <name val="Arial"/>
      <family val="2"/>
    </font>
    <font>
      <sz val="10"/>
      <color rgb="FF000000"/>
      <name val="Arial"/>
      <family val="2"/>
    </font>
    <font>
      <sz val="9"/>
      <color rgb="FF1F1F1F"/>
      <name val="&quot;Google Sans&quot;"/>
    </font>
    <font>
      <u/>
      <sz val="11"/>
      <color theme="10"/>
      <name val="Calibri"/>
      <family val="2"/>
      <scheme val="minor"/>
    </font>
    <font>
      <sz val="11"/>
      <color rgb="FFFF0000"/>
      <name val="Calibri"/>
      <family val="2"/>
    </font>
    <font>
      <sz val="11"/>
      <color theme="5" tint="-0.499984740745262"/>
      <name val="Calibri"/>
      <family val="2"/>
      <scheme val="minor"/>
    </font>
    <font>
      <sz val="11"/>
      <color rgb="FF00B0F0"/>
      <name val="Calibri"/>
      <family val="2"/>
      <scheme val="minor"/>
    </font>
    <font>
      <sz val="11"/>
      <color rgb="FF242424"/>
      <name val="Aptos Narrow"/>
      <family val="2"/>
    </font>
    <font>
      <b/>
      <sz val="11"/>
      <color rgb="FF00B050"/>
      <name val="Calibri"/>
      <family val="2"/>
      <scheme val="minor"/>
    </font>
    <font>
      <sz val="11"/>
      <color theme="5" tint="-0.249977111117893"/>
      <name val="Calibri"/>
      <family val="2"/>
      <scheme val="minor"/>
    </font>
    <font>
      <sz val="11"/>
      <color theme="9" tint="-0.249977111117893"/>
      <name val="Calibri"/>
      <family val="2"/>
      <scheme val="minor"/>
    </font>
  </fonts>
  <fills count="35">
    <fill>
      <patternFill patternType="none"/>
    </fill>
    <fill>
      <patternFill patternType="gray125"/>
    </fill>
    <fill>
      <patternFill patternType="solid">
        <fgColor rgb="FF3D9B35"/>
        <bgColor indexed="64"/>
      </patternFill>
    </fill>
    <fill>
      <patternFill patternType="solid">
        <fgColor rgb="FFBCBF00"/>
        <bgColor indexed="64"/>
      </patternFill>
    </fill>
    <fill>
      <patternFill patternType="solid">
        <fgColor rgb="FF00ABD4"/>
        <bgColor indexed="64"/>
      </patternFill>
    </fill>
    <fill>
      <patternFill patternType="solid">
        <fgColor rgb="FFF85C26"/>
        <bgColor indexed="64"/>
      </patternFill>
    </fill>
    <fill>
      <patternFill patternType="solid">
        <fgColor rgb="FFFABC20"/>
        <bgColor indexed="64"/>
      </patternFill>
    </fill>
    <fill>
      <patternFill patternType="solid">
        <fgColor theme="5"/>
        <bgColor indexed="64"/>
      </patternFill>
    </fill>
    <fill>
      <patternFill patternType="solid">
        <fgColor theme="4"/>
        <bgColor indexed="64"/>
      </patternFill>
    </fill>
    <fill>
      <patternFill patternType="solid">
        <fgColor theme="9"/>
        <bgColor indexed="64"/>
      </patternFill>
    </fill>
    <fill>
      <patternFill patternType="solid">
        <fgColor rgb="FF8094AE"/>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ACB9CA"/>
        <bgColor rgb="FF000000"/>
      </patternFill>
    </fill>
    <fill>
      <patternFill patternType="solid">
        <fgColor rgb="FFD6DCE4"/>
        <bgColor rgb="FF000000"/>
      </patternFill>
    </fill>
    <fill>
      <patternFill patternType="solid">
        <fgColor theme="9" tint="0.39997558519241921"/>
        <bgColor indexed="64"/>
      </patternFill>
    </fill>
    <fill>
      <patternFill patternType="solid">
        <fgColor rgb="FFF4CCCC"/>
        <bgColor rgb="FFF4CCCC"/>
      </patternFill>
    </fill>
    <fill>
      <patternFill patternType="solid">
        <fgColor rgb="FFFFFFFF"/>
        <bgColor rgb="FFFFFFFF"/>
      </patternFill>
    </fill>
    <fill>
      <patternFill patternType="solid">
        <fgColor rgb="FFFFFF00"/>
        <bgColor indexed="64"/>
      </patternFill>
    </fill>
    <fill>
      <patternFill patternType="solid">
        <fgColor theme="0"/>
        <bgColor indexed="64"/>
      </patternFill>
    </fill>
    <fill>
      <patternFill patternType="solid">
        <fgColor rgb="FFFFCCFF"/>
        <bgColor indexed="64"/>
      </patternFill>
    </fill>
    <fill>
      <patternFill patternType="solid">
        <fgColor theme="5" tint="0.39997558519241921"/>
        <bgColor indexed="64"/>
      </patternFill>
    </fill>
    <fill>
      <patternFill patternType="solid">
        <fgColor rgb="FF00B0F0"/>
        <bgColor indexed="64"/>
      </patternFill>
    </fill>
    <fill>
      <patternFill patternType="solid">
        <fgColor theme="6" tint="0.39997558519241921"/>
        <bgColor indexed="64"/>
      </patternFill>
    </fill>
  </fills>
  <borders count="97">
    <border>
      <left/>
      <right/>
      <top/>
      <bottom/>
      <diagonal/>
    </border>
    <border>
      <left style="thin">
        <color theme="5"/>
      </left>
      <right style="thin">
        <color theme="5"/>
      </right>
      <top style="thin">
        <color theme="5"/>
      </top>
      <bottom style="thin">
        <color theme="5"/>
      </bottom>
      <diagonal/>
    </border>
    <border>
      <left style="thin">
        <color theme="5"/>
      </left>
      <right/>
      <top style="thin">
        <color theme="5"/>
      </top>
      <bottom style="thin">
        <color theme="5"/>
      </bottom>
      <diagonal/>
    </border>
    <border>
      <left/>
      <right style="thin">
        <color theme="5"/>
      </right>
      <top style="thin">
        <color theme="5"/>
      </top>
      <bottom/>
      <diagonal/>
    </border>
    <border>
      <left/>
      <right style="thin">
        <color theme="5"/>
      </right>
      <top/>
      <bottom/>
      <diagonal/>
    </border>
    <border>
      <left/>
      <right style="thin">
        <color theme="5"/>
      </right>
      <top/>
      <bottom style="thin">
        <color theme="5"/>
      </bottom>
      <diagonal/>
    </border>
    <border>
      <left style="thin">
        <color theme="5"/>
      </left>
      <right/>
      <top style="thin">
        <color theme="5"/>
      </top>
      <bottom/>
      <diagonal/>
    </border>
    <border>
      <left style="thin">
        <color theme="5"/>
      </left>
      <right/>
      <top/>
      <bottom/>
      <diagonal/>
    </border>
    <border>
      <left style="thin">
        <color theme="5"/>
      </left>
      <right/>
      <top/>
      <bottom style="thin">
        <color theme="5"/>
      </bottom>
      <diagonal/>
    </border>
    <border>
      <left/>
      <right/>
      <top style="thin">
        <color theme="5"/>
      </top>
      <bottom style="thin">
        <color theme="5"/>
      </bottom>
      <diagonal/>
    </border>
    <border>
      <left style="thin">
        <color theme="6"/>
      </left>
      <right/>
      <top/>
      <bottom/>
      <diagonal/>
    </border>
    <border>
      <left/>
      <right style="thin">
        <color theme="6"/>
      </right>
      <top/>
      <bottom/>
      <diagonal/>
    </border>
    <border>
      <left style="thin">
        <color theme="6"/>
      </left>
      <right/>
      <top style="thin">
        <color theme="6"/>
      </top>
      <bottom/>
      <diagonal/>
    </border>
    <border>
      <left style="thin">
        <color theme="6"/>
      </left>
      <right/>
      <top style="thin">
        <color theme="6"/>
      </top>
      <bottom style="thin">
        <color theme="6"/>
      </bottom>
      <diagonal/>
    </border>
    <border>
      <left/>
      <right/>
      <top style="thin">
        <color theme="6"/>
      </top>
      <bottom style="thin">
        <color theme="6"/>
      </bottom>
      <diagonal/>
    </border>
    <border>
      <left style="thin">
        <color rgb="FF00B0F0"/>
      </left>
      <right/>
      <top style="thin">
        <color rgb="FF00B0F0"/>
      </top>
      <bottom/>
      <diagonal/>
    </border>
    <border>
      <left/>
      <right style="thin">
        <color rgb="FF00B0F0"/>
      </right>
      <top style="thin">
        <color rgb="FF00B0F0"/>
      </top>
      <bottom/>
      <diagonal/>
    </border>
    <border>
      <left style="thin">
        <color rgb="FF00B0F0"/>
      </left>
      <right/>
      <top/>
      <bottom/>
      <diagonal/>
    </border>
    <border>
      <left/>
      <right style="thin">
        <color rgb="FF00B0F0"/>
      </right>
      <top/>
      <bottom/>
      <diagonal/>
    </border>
    <border>
      <left style="thin">
        <color rgb="FF00B0F0"/>
      </left>
      <right/>
      <top/>
      <bottom style="thin">
        <color rgb="FF00B0F0"/>
      </bottom>
      <diagonal/>
    </border>
    <border>
      <left/>
      <right style="thin">
        <color rgb="FF00B0F0"/>
      </right>
      <top/>
      <bottom style="thin">
        <color rgb="FF00B0F0"/>
      </bottom>
      <diagonal/>
    </border>
    <border>
      <left style="thin">
        <color rgb="FF00B0F0"/>
      </left>
      <right/>
      <top style="thin">
        <color rgb="FF00B0F0"/>
      </top>
      <bottom style="thin">
        <color rgb="FF00B0F0"/>
      </bottom>
      <diagonal/>
    </border>
    <border>
      <left/>
      <right/>
      <top style="thin">
        <color theme="6"/>
      </top>
      <bottom/>
      <diagonal/>
    </border>
    <border>
      <left/>
      <right/>
      <top style="thin">
        <color rgb="FF00B0F0"/>
      </top>
      <bottom style="thin">
        <color rgb="FF00B0F0"/>
      </bottom>
      <diagonal/>
    </border>
    <border>
      <left style="thin">
        <color theme="8"/>
      </left>
      <right/>
      <top style="thin">
        <color rgb="FF00B0F0"/>
      </top>
      <bottom/>
      <diagonal/>
    </border>
    <border>
      <left/>
      <right style="thin">
        <color theme="8"/>
      </right>
      <top style="thin">
        <color rgb="FF00B0F0"/>
      </top>
      <bottom/>
      <diagonal/>
    </border>
    <border>
      <left style="thin">
        <color theme="8"/>
      </left>
      <right/>
      <top/>
      <bottom/>
      <diagonal/>
    </border>
    <border>
      <left/>
      <right style="thin">
        <color theme="8"/>
      </right>
      <top/>
      <bottom/>
      <diagonal/>
    </border>
    <border>
      <left style="thin">
        <color theme="8"/>
      </left>
      <right/>
      <top/>
      <bottom style="thin">
        <color theme="8"/>
      </bottom>
      <diagonal/>
    </border>
    <border>
      <left style="thin">
        <color theme="8"/>
      </left>
      <right/>
      <top style="thin">
        <color theme="8"/>
      </top>
      <bottom/>
      <diagonal/>
    </border>
    <border>
      <left/>
      <right/>
      <top style="thin">
        <color theme="8"/>
      </top>
      <bottom/>
      <diagonal/>
    </border>
    <border>
      <left/>
      <right style="thin">
        <color theme="8"/>
      </right>
      <top style="thin">
        <color theme="8"/>
      </top>
      <bottom/>
      <diagonal/>
    </border>
    <border>
      <left style="thin">
        <color theme="9"/>
      </left>
      <right/>
      <top style="thin">
        <color theme="9"/>
      </top>
      <bottom/>
      <diagonal/>
    </border>
    <border>
      <left style="thin">
        <color theme="9"/>
      </left>
      <right/>
      <top/>
      <bottom/>
      <diagonal/>
    </border>
    <border>
      <left/>
      <right style="thin">
        <color theme="9"/>
      </right>
      <top/>
      <bottom/>
      <diagonal/>
    </border>
    <border>
      <left style="thin">
        <color theme="9"/>
      </left>
      <right/>
      <top/>
      <bottom style="thin">
        <color theme="9"/>
      </bottom>
      <diagonal/>
    </border>
    <border>
      <left/>
      <right style="thin">
        <color theme="9"/>
      </right>
      <top/>
      <bottom style="thin">
        <color theme="9"/>
      </bottom>
      <diagonal/>
    </border>
    <border>
      <left style="thin">
        <color theme="9"/>
      </left>
      <right/>
      <top style="thin">
        <color theme="9"/>
      </top>
      <bottom style="thin">
        <color theme="9"/>
      </bottom>
      <diagonal/>
    </border>
    <border>
      <left/>
      <right style="thin">
        <color theme="9"/>
      </right>
      <top style="thin">
        <color theme="9"/>
      </top>
      <bottom style="thin">
        <color theme="9"/>
      </bottom>
      <diagonal/>
    </border>
    <border>
      <left/>
      <right/>
      <top style="thin">
        <color theme="9"/>
      </top>
      <bottom style="thin">
        <color theme="9"/>
      </bottom>
      <diagonal/>
    </border>
    <border>
      <left/>
      <right/>
      <top style="thin">
        <color theme="4"/>
      </top>
      <bottom style="thin">
        <color theme="4"/>
      </bottom>
      <diagonal/>
    </border>
    <border>
      <left/>
      <right style="thin">
        <color rgb="FF8497B0"/>
      </right>
      <top/>
      <bottom/>
      <diagonal/>
    </border>
    <border>
      <left style="thin">
        <color rgb="FF8497B0"/>
      </left>
      <right/>
      <top style="thin">
        <color rgb="FF8497B0"/>
      </top>
      <bottom/>
      <diagonal/>
    </border>
    <border>
      <left style="thin">
        <color rgb="FF8497B0"/>
      </left>
      <right/>
      <top/>
      <bottom/>
      <diagonal/>
    </border>
    <border>
      <left style="thin">
        <color rgb="FF8497B0"/>
      </left>
      <right/>
      <top style="thin">
        <color rgb="FF8497B0"/>
      </top>
      <bottom style="thin">
        <color rgb="FF8497B0"/>
      </bottom>
      <diagonal/>
    </border>
    <border>
      <left/>
      <right style="thin">
        <color rgb="FF8497B0"/>
      </right>
      <top style="thin">
        <color theme="3" tint="0.39994506668294322"/>
      </top>
      <bottom/>
      <diagonal/>
    </border>
    <border>
      <left style="thin">
        <color rgb="FF8497B0"/>
      </left>
      <right/>
      <top style="thin">
        <color theme="3" tint="0.39994506668294322"/>
      </top>
      <bottom/>
      <diagonal/>
    </border>
    <border>
      <left/>
      <right/>
      <top style="thin">
        <color theme="3" tint="0.39994506668294322"/>
      </top>
      <bottom/>
      <diagonal/>
    </border>
    <border>
      <left style="thin">
        <color rgb="FF8497B0"/>
      </left>
      <right/>
      <top/>
      <bottom style="thin">
        <color theme="3" tint="0.39994506668294322"/>
      </bottom>
      <diagonal/>
    </border>
    <border>
      <left/>
      <right style="thin">
        <color theme="4"/>
      </right>
      <top style="thin">
        <color theme="5"/>
      </top>
      <bottom/>
      <diagonal/>
    </border>
    <border>
      <left/>
      <right style="thin">
        <color theme="4"/>
      </right>
      <top/>
      <bottom/>
      <diagonal/>
    </border>
    <border>
      <left/>
      <right style="thin">
        <color theme="4"/>
      </right>
      <top/>
      <bottom style="thin">
        <color theme="4"/>
      </bottom>
      <diagonal/>
    </border>
    <border>
      <left style="thin">
        <color theme="4"/>
      </left>
      <right/>
      <top style="thin">
        <color theme="5"/>
      </top>
      <bottom/>
      <diagonal/>
    </border>
    <border>
      <left style="thin">
        <color theme="4"/>
      </left>
      <right/>
      <top/>
      <bottom/>
      <diagonal/>
    </border>
    <border>
      <left style="thin">
        <color theme="4"/>
      </left>
      <right/>
      <top/>
      <bottom style="thin">
        <color theme="4"/>
      </bottom>
      <diagonal/>
    </border>
    <border>
      <left/>
      <right/>
      <top/>
      <bottom style="thin">
        <color theme="4"/>
      </bottom>
      <diagonal/>
    </border>
    <border>
      <left/>
      <right style="thin">
        <color theme="4"/>
      </right>
      <top style="thin">
        <color theme="4"/>
      </top>
      <bottom/>
      <diagonal/>
    </border>
    <border>
      <left/>
      <right/>
      <top style="thin">
        <color theme="4"/>
      </top>
      <bottom/>
      <diagonal/>
    </border>
    <border>
      <left/>
      <right/>
      <top/>
      <bottom style="thin">
        <color theme="6"/>
      </bottom>
      <diagonal/>
    </border>
    <border>
      <left style="thin">
        <color theme="4"/>
      </left>
      <right/>
      <top style="thin">
        <color theme="4"/>
      </top>
      <bottom style="thin">
        <color theme="4"/>
      </bottom>
      <diagonal/>
    </border>
    <border>
      <left style="thin">
        <color theme="4"/>
      </left>
      <right/>
      <top style="thin">
        <color theme="5"/>
      </top>
      <bottom style="thin">
        <color theme="4"/>
      </bottom>
      <diagonal/>
    </border>
    <border>
      <left style="thin">
        <color theme="8" tint="-0.24994659260841701"/>
      </left>
      <right/>
      <top style="thin">
        <color theme="8" tint="-0.24994659260841701"/>
      </top>
      <bottom/>
      <diagonal/>
    </border>
    <border>
      <left/>
      <right style="thin">
        <color theme="8"/>
      </right>
      <top style="thin">
        <color theme="8" tint="-0.24994659260841701"/>
      </top>
      <bottom/>
      <diagonal/>
    </border>
    <border>
      <left style="thin">
        <color theme="8" tint="-0.24994659260841701"/>
      </left>
      <right/>
      <top/>
      <bottom style="thin">
        <color theme="8" tint="-0.24994659260841701"/>
      </bottom>
      <diagonal/>
    </border>
    <border>
      <left/>
      <right style="thin">
        <color theme="8"/>
      </right>
      <top/>
      <bottom style="thin">
        <color theme="8" tint="-0.24994659260841701"/>
      </bottom>
      <diagonal/>
    </border>
    <border>
      <left/>
      <right/>
      <top/>
      <bottom style="thin">
        <color theme="9"/>
      </bottom>
      <diagonal/>
    </border>
    <border>
      <left style="thin">
        <color rgb="FF8497B0"/>
      </left>
      <right/>
      <top/>
      <bottom style="thin">
        <color rgb="FF8497B0"/>
      </bottom>
      <diagonal/>
    </border>
    <border>
      <left style="thin">
        <color indexed="64"/>
      </left>
      <right style="thin">
        <color indexed="64"/>
      </right>
      <top style="thin">
        <color indexed="64"/>
      </top>
      <bottom style="thin">
        <color indexed="64"/>
      </bottom>
      <diagonal/>
    </border>
    <border>
      <left/>
      <right/>
      <top style="thin">
        <color theme="5"/>
      </top>
      <bottom/>
      <diagonal/>
    </border>
    <border>
      <left/>
      <right/>
      <top/>
      <bottom style="thin">
        <color theme="5"/>
      </bottom>
      <diagonal/>
    </border>
    <border>
      <left/>
      <right/>
      <top style="thin">
        <color rgb="FF00B0F0"/>
      </top>
      <bottom/>
      <diagonal/>
    </border>
    <border>
      <left/>
      <right/>
      <top/>
      <bottom style="thin">
        <color rgb="FF00B0F0"/>
      </bottom>
      <diagonal/>
    </border>
    <border>
      <left/>
      <right/>
      <top/>
      <bottom style="thin">
        <color theme="8"/>
      </bottom>
      <diagonal/>
    </border>
    <border>
      <left/>
      <right/>
      <top style="thin">
        <color theme="9"/>
      </top>
      <bottom/>
      <diagonal/>
    </border>
    <border>
      <left/>
      <right/>
      <top/>
      <bottom style="thin">
        <color theme="3" tint="0.39994506668294322"/>
      </bottom>
      <diagonal/>
    </border>
    <border>
      <left/>
      <right/>
      <top style="thin">
        <color rgb="FF8497B0"/>
      </top>
      <bottom/>
      <diagonal/>
    </border>
    <border>
      <left/>
      <right/>
      <top style="thin">
        <color rgb="FF8497B0"/>
      </top>
      <bottom style="thin">
        <color rgb="FF8497B0"/>
      </bottom>
      <diagonal/>
    </border>
    <border>
      <left/>
      <right/>
      <top/>
      <bottom style="thin">
        <color rgb="FF8497B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0" fontId="19" fillId="0" borderId="0"/>
    <xf numFmtId="0" fontId="27" fillId="0" borderId="0" applyNumberFormat="0" applyFill="0" applyBorder="0" applyAlignment="0" applyProtection="0"/>
  </cellStyleXfs>
  <cellXfs count="350">
    <xf numFmtId="0" fontId="0" fillId="0" borderId="0" xfId="0"/>
    <xf numFmtId="0" fontId="0" fillId="0" borderId="0" xfId="0" applyAlignment="1">
      <alignment vertical="top" wrapText="1"/>
    </xf>
    <xf numFmtId="0" fontId="4"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3" fillId="0" borderId="0" xfId="0" applyFont="1" applyAlignment="1">
      <alignment vertical="top"/>
    </xf>
    <xf numFmtId="0" fontId="3" fillId="0" borderId="0" xfId="0" applyFont="1" applyAlignment="1">
      <alignment vertical="top"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49" fontId="3" fillId="0" borderId="0" xfId="0" applyNumberFormat="1" applyFont="1" applyAlignment="1">
      <alignment horizontal="center" vertical="center" wrapText="1"/>
    </xf>
    <xf numFmtId="49" fontId="3" fillId="12" borderId="2" xfId="0" applyNumberFormat="1" applyFont="1" applyFill="1" applyBorder="1" applyAlignment="1">
      <alignment horizontal="center" vertical="center" wrapText="1"/>
    </xf>
    <xf numFmtId="49" fontId="4" fillId="8" borderId="0" xfId="0" applyNumberFormat="1" applyFont="1" applyFill="1" applyAlignment="1">
      <alignment horizontal="center" vertical="top" wrapText="1"/>
    </xf>
    <xf numFmtId="49" fontId="4" fillId="2" borderId="1" xfId="0" applyNumberFormat="1" applyFont="1" applyFill="1" applyBorder="1" applyAlignment="1">
      <alignment horizontal="center" vertical="top" wrapText="1"/>
    </xf>
    <xf numFmtId="49" fontId="3" fillId="15" borderId="21" xfId="0" applyNumberFormat="1" applyFont="1" applyFill="1" applyBorder="1" applyAlignment="1">
      <alignment horizontal="center" vertical="center" wrapText="1"/>
    </xf>
    <xf numFmtId="49" fontId="3" fillId="19" borderId="37" xfId="0" applyNumberFormat="1" applyFont="1" applyFill="1" applyBorder="1" applyAlignment="1">
      <alignment horizontal="center" vertical="center" wrapText="1"/>
    </xf>
    <xf numFmtId="0" fontId="0" fillId="0" borderId="0" xfId="0" applyAlignment="1">
      <alignment horizontal="center" vertical="center"/>
    </xf>
    <xf numFmtId="0" fontId="4" fillId="0" borderId="0" xfId="0" applyFont="1" applyAlignment="1">
      <alignment horizontal="center" vertical="center"/>
    </xf>
    <xf numFmtId="0" fontId="3" fillId="23" borderId="40" xfId="0" applyFont="1" applyFill="1" applyBorder="1" applyAlignment="1">
      <alignment vertical="center" wrapText="1"/>
    </xf>
    <xf numFmtId="49" fontId="3" fillId="23" borderId="40" xfId="0" applyNumberFormat="1" applyFont="1" applyFill="1" applyBorder="1" applyAlignment="1">
      <alignment horizontal="center" vertical="center" wrapText="1"/>
    </xf>
    <xf numFmtId="0" fontId="3" fillId="25" borderId="46" xfId="0" applyFont="1" applyFill="1" applyBorder="1" applyAlignment="1">
      <alignment horizontal="center" vertical="center" wrapText="1"/>
    </xf>
    <xf numFmtId="0" fontId="3" fillId="25" borderId="44" xfId="0" applyFont="1" applyFill="1" applyBorder="1" applyAlignment="1">
      <alignment horizontal="center" vertical="center" wrapText="1"/>
    </xf>
    <xf numFmtId="0" fontId="7" fillId="10" borderId="0" xfId="0" applyFont="1" applyFill="1" applyAlignment="1">
      <alignment horizontal="center" vertical="top" wrapText="1"/>
    </xf>
    <xf numFmtId="49" fontId="4" fillId="0" borderId="0" xfId="0" applyNumberFormat="1" applyFont="1" applyAlignment="1">
      <alignment horizontal="center" vertical="top" wrapText="1"/>
    </xf>
    <xf numFmtId="49" fontId="4" fillId="7" borderId="1" xfId="0" applyNumberFormat="1" applyFont="1" applyFill="1" applyBorder="1" applyAlignment="1">
      <alignment horizontal="center" vertical="top" wrapText="1"/>
    </xf>
    <xf numFmtId="49" fontId="4" fillId="3" borderId="0" xfId="0" applyNumberFormat="1" applyFont="1" applyFill="1" applyAlignment="1">
      <alignment horizontal="center" vertical="top" wrapText="1"/>
    </xf>
    <xf numFmtId="49" fontId="4" fillId="4" borderId="0" xfId="0" applyNumberFormat="1" applyFont="1" applyFill="1" applyAlignment="1">
      <alignment horizontal="center" vertical="top" wrapText="1"/>
    </xf>
    <xf numFmtId="49" fontId="4" fillId="5" borderId="0" xfId="0" applyNumberFormat="1" applyFont="1" applyFill="1" applyAlignment="1">
      <alignment horizontal="center" vertical="top" wrapText="1"/>
    </xf>
    <xf numFmtId="49" fontId="4" fillId="6" borderId="0" xfId="0" applyNumberFormat="1" applyFont="1" applyFill="1" applyAlignment="1">
      <alignment horizontal="center" vertical="top" wrapText="1"/>
    </xf>
    <xf numFmtId="49" fontId="4" fillId="9" borderId="0" xfId="0" applyNumberFormat="1" applyFont="1" applyFill="1" applyAlignment="1">
      <alignment horizontal="center" vertical="top" wrapText="1"/>
    </xf>
    <xf numFmtId="0" fontId="3" fillId="17" borderId="27" xfId="0" applyFont="1" applyFill="1" applyBorder="1" applyAlignment="1">
      <alignment horizontal="center" vertical="top" wrapText="1"/>
    </xf>
    <xf numFmtId="0" fontId="3" fillId="17" borderId="29" xfId="0" applyFont="1" applyFill="1" applyBorder="1" applyAlignment="1">
      <alignment horizontal="center" vertical="top"/>
    </xf>
    <xf numFmtId="0" fontId="3" fillId="17" borderId="26" xfId="0" applyFont="1" applyFill="1" applyBorder="1" applyAlignment="1">
      <alignment horizontal="center" vertical="top"/>
    </xf>
    <xf numFmtId="0" fontId="3" fillId="11" borderId="6" xfId="0" applyFont="1" applyFill="1" applyBorder="1" applyAlignment="1">
      <alignment horizontal="center" vertical="top"/>
    </xf>
    <xf numFmtId="0" fontId="3" fillId="11" borderId="7" xfId="0" applyFont="1" applyFill="1" applyBorder="1" applyAlignment="1">
      <alignment horizontal="center" vertical="top"/>
    </xf>
    <xf numFmtId="0" fontId="3" fillId="11" borderId="8" xfId="0" applyFont="1" applyFill="1" applyBorder="1" applyAlignment="1">
      <alignment horizontal="center" vertical="top"/>
    </xf>
    <xf numFmtId="0" fontId="3" fillId="16" borderId="15" xfId="0" applyFont="1" applyFill="1" applyBorder="1" applyAlignment="1">
      <alignment horizontal="center" vertical="top"/>
    </xf>
    <xf numFmtId="0" fontId="3" fillId="16" borderId="16" xfId="0" applyFont="1" applyFill="1" applyBorder="1" applyAlignment="1">
      <alignment horizontal="left" vertical="top" wrapText="1"/>
    </xf>
    <xf numFmtId="0" fontId="3" fillId="13" borderId="11" xfId="0" applyFont="1" applyFill="1" applyBorder="1" applyAlignment="1">
      <alignment horizontal="left" vertical="top" wrapText="1"/>
    </xf>
    <xf numFmtId="0" fontId="3" fillId="13" borderId="12" xfId="0" applyFont="1" applyFill="1" applyBorder="1" applyAlignment="1">
      <alignment horizontal="center" vertical="top"/>
    </xf>
    <xf numFmtId="0" fontId="3" fillId="25" borderId="43" xfId="0" applyFont="1" applyFill="1" applyBorder="1" applyAlignment="1">
      <alignment horizontal="center" vertical="center" wrapText="1"/>
    </xf>
    <xf numFmtId="0" fontId="9" fillId="11" borderId="3" xfId="0" applyFont="1" applyFill="1" applyBorder="1" applyAlignment="1">
      <alignment vertical="top" wrapText="1"/>
    </xf>
    <xf numFmtId="0" fontId="3" fillId="11" borderId="4" xfId="0" applyFont="1" applyFill="1" applyBorder="1" applyAlignment="1">
      <alignment vertical="top" wrapText="1"/>
    </xf>
    <xf numFmtId="0" fontId="3" fillId="11" borderId="5" xfId="0" applyFont="1" applyFill="1" applyBorder="1" applyAlignment="1">
      <alignment vertical="top" wrapText="1"/>
    </xf>
    <xf numFmtId="49" fontId="4" fillId="8" borderId="55" xfId="0" applyNumberFormat="1" applyFont="1" applyFill="1" applyBorder="1" applyAlignment="1">
      <alignment horizontal="center" vertical="top" wrapText="1"/>
    </xf>
    <xf numFmtId="0" fontId="3" fillId="16" borderId="15" xfId="0" applyFont="1" applyFill="1" applyBorder="1" applyAlignment="1">
      <alignment vertical="top"/>
    </xf>
    <xf numFmtId="0" fontId="3" fillId="16" borderId="17" xfId="0" applyFont="1" applyFill="1" applyBorder="1" applyAlignment="1">
      <alignment vertical="top"/>
    </xf>
    <xf numFmtId="49" fontId="4" fillId="4" borderId="0" xfId="0" applyNumberFormat="1" applyFont="1" applyFill="1" applyAlignment="1">
      <alignment vertical="top" wrapText="1"/>
    </xf>
    <xf numFmtId="0" fontId="3" fillId="17" borderId="27" xfId="0" applyFont="1" applyFill="1" applyBorder="1" applyAlignment="1">
      <alignment vertical="top" wrapText="1"/>
    </xf>
    <xf numFmtId="0" fontId="3" fillId="17" borderId="26" xfId="0" applyFont="1" applyFill="1" applyBorder="1" applyAlignment="1">
      <alignment vertical="top"/>
    </xf>
    <xf numFmtId="0" fontId="3" fillId="17" borderId="28" xfId="0" applyFont="1" applyFill="1" applyBorder="1" applyAlignment="1">
      <alignment vertical="top"/>
    </xf>
    <xf numFmtId="49" fontId="3" fillId="18" borderId="24" xfId="0" applyNumberFormat="1" applyFont="1" applyFill="1" applyBorder="1" applyAlignment="1">
      <alignment horizontal="center" vertical="center" wrapText="1"/>
    </xf>
    <xf numFmtId="0" fontId="3" fillId="16" borderId="16" xfId="0" applyFont="1" applyFill="1" applyBorder="1" applyAlignment="1">
      <alignment vertical="top" wrapText="1"/>
    </xf>
    <xf numFmtId="0" fontId="3" fillId="16" borderId="18" xfId="0" applyFont="1" applyFill="1" applyBorder="1" applyAlignment="1">
      <alignment vertical="top" wrapText="1"/>
    </xf>
    <xf numFmtId="0" fontId="3" fillId="13" borderId="11" xfId="0" applyFont="1" applyFill="1" applyBorder="1" applyAlignment="1">
      <alignment vertical="top" wrapText="1"/>
    </xf>
    <xf numFmtId="0" fontId="3" fillId="13" borderId="10" xfId="0" applyFont="1" applyFill="1" applyBorder="1" applyAlignment="1">
      <alignment vertical="top"/>
    </xf>
    <xf numFmtId="49" fontId="4" fillId="3" borderId="0" xfId="0" applyNumberFormat="1" applyFont="1" applyFill="1" applyAlignment="1">
      <alignment vertical="top" wrapText="1"/>
    </xf>
    <xf numFmtId="0" fontId="3" fillId="17" borderId="25" xfId="0" applyFont="1" applyFill="1" applyBorder="1" applyAlignment="1">
      <alignment vertical="top" wrapText="1"/>
    </xf>
    <xf numFmtId="0" fontId="3" fillId="22" borderId="49" xfId="0" applyFont="1" applyFill="1" applyBorder="1" applyAlignment="1">
      <alignment vertical="top" wrapText="1"/>
    </xf>
    <xf numFmtId="0" fontId="3" fillId="22" borderId="50" xfId="0" applyFont="1" applyFill="1" applyBorder="1" applyAlignment="1">
      <alignment vertical="top" wrapText="1"/>
    </xf>
    <xf numFmtId="0" fontId="3" fillId="22" borderId="52" xfId="0" applyFont="1" applyFill="1" applyBorder="1" applyAlignment="1">
      <alignment vertical="top"/>
    </xf>
    <xf numFmtId="0" fontId="3" fillId="22" borderId="53" xfId="0" applyFont="1" applyFill="1" applyBorder="1" applyAlignment="1">
      <alignment vertical="top"/>
    </xf>
    <xf numFmtId="0" fontId="3" fillId="17" borderId="61" xfId="0" applyFont="1" applyFill="1" applyBorder="1" applyAlignment="1">
      <alignment horizontal="center" vertical="top" wrapText="1"/>
    </xf>
    <xf numFmtId="0" fontId="3" fillId="17" borderId="62" xfId="0" applyFont="1" applyFill="1" applyBorder="1" applyAlignment="1">
      <alignment horizontal="center" vertical="top" wrapText="1"/>
    </xf>
    <xf numFmtId="0" fontId="3" fillId="17" borderId="63" xfId="0" applyFont="1" applyFill="1" applyBorder="1" applyAlignment="1">
      <alignment horizontal="center" vertical="top" wrapText="1"/>
    </xf>
    <xf numFmtId="0" fontId="3" fillId="17" borderId="64" xfId="0" applyFont="1" applyFill="1" applyBorder="1" applyAlignment="1">
      <alignment horizontal="center" vertical="top" wrapText="1"/>
    </xf>
    <xf numFmtId="0" fontId="3" fillId="25" borderId="42" xfId="0" applyFont="1" applyFill="1" applyBorder="1" applyAlignment="1">
      <alignment vertical="center" wrapText="1"/>
    </xf>
    <xf numFmtId="0" fontId="3" fillId="25" borderId="43" xfId="0" applyFont="1" applyFill="1" applyBorder="1" applyAlignment="1">
      <alignment vertical="center" wrapText="1"/>
    </xf>
    <xf numFmtId="0" fontId="3" fillId="24" borderId="45" xfId="0" applyFont="1" applyFill="1" applyBorder="1" applyAlignment="1">
      <alignment vertical="top" wrapText="1"/>
    </xf>
    <xf numFmtId="0" fontId="3" fillId="24" borderId="41" xfId="0" applyFont="1" applyFill="1" applyBorder="1" applyAlignment="1">
      <alignment vertical="top" wrapText="1"/>
    </xf>
    <xf numFmtId="0" fontId="7" fillId="10" borderId="0" xfId="0" applyFont="1" applyFill="1" applyAlignment="1">
      <alignment vertical="top" wrapText="1"/>
    </xf>
    <xf numFmtId="0" fontId="3" fillId="21" borderId="47" xfId="0" applyFont="1" applyFill="1" applyBorder="1" applyAlignment="1">
      <alignment vertical="top"/>
    </xf>
    <xf numFmtId="0" fontId="3" fillId="21" borderId="0" xfId="0" applyFont="1" applyFill="1" applyAlignment="1">
      <alignment vertical="top"/>
    </xf>
    <xf numFmtId="0" fontId="0" fillId="0" borderId="0" xfId="0" applyAlignment="1">
      <alignment wrapText="1"/>
    </xf>
    <xf numFmtId="0" fontId="3" fillId="0" borderId="67" xfId="0" applyFont="1" applyBorder="1" applyAlignment="1">
      <alignment vertical="top" wrapText="1"/>
    </xf>
    <xf numFmtId="49" fontId="14" fillId="0" borderId="0" xfId="0" applyNumberFormat="1" applyFont="1" applyAlignment="1">
      <alignment horizontal="left" vertical="top"/>
    </xf>
    <xf numFmtId="0" fontId="15" fillId="0" borderId="0" xfId="0" applyFont="1" applyAlignment="1">
      <alignment vertical="top"/>
    </xf>
    <xf numFmtId="0" fontId="15" fillId="0" borderId="0" xfId="0" applyFont="1" applyAlignment="1">
      <alignment vertical="top" wrapText="1"/>
    </xf>
    <xf numFmtId="49" fontId="14" fillId="0" borderId="0" xfId="0" applyNumberFormat="1" applyFont="1" applyAlignment="1">
      <alignment horizontal="center" vertical="top" wrapText="1"/>
    </xf>
    <xf numFmtId="49" fontId="14" fillId="0" borderId="0" xfId="0" applyNumberFormat="1" applyFont="1" applyAlignment="1">
      <alignment horizontal="right" vertical="top"/>
    </xf>
    <xf numFmtId="0" fontId="4" fillId="20" borderId="0" xfId="0" applyFont="1" applyFill="1" applyAlignment="1">
      <alignment horizontal="center" vertical="center" wrapText="1"/>
    </xf>
    <xf numFmtId="0" fontId="5" fillId="20" borderId="0" xfId="0" applyFont="1" applyFill="1" applyAlignment="1">
      <alignment horizontal="center" vertical="center" wrapText="1"/>
    </xf>
    <xf numFmtId="0" fontId="5" fillId="20" borderId="0" xfId="0" applyFont="1" applyFill="1" applyAlignment="1">
      <alignment horizontal="center" vertical="center"/>
    </xf>
    <xf numFmtId="49" fontId="5" fillId="20" borderId="0" xfId="0" applyNumberFormat="1" applyFont="1" applyFill="1" applyAlignment="1">
      <alignment horizontal="center" vertical="center" wrapText="1"/>
    </xf>
    <xf numFmtId="0" fontId="16" fillId="0" borderId="0" xfId="0" applyFont="1" applyAlignment="1">
      <alignment vertical="top" wrapText="1"/>
    </xf>
    <xf numFmtId="0" fontId="13" fillId="0" borderId="0" xfId="0" applyFont="1" applyAlignment="1">
      <alignment wrapText="1"/>
    </xf>
    <xf numFmtId="0" fontId="4" fillId="0" borderId="0" xfId="0" applyFont="1" applyAlignment="1">
      <alignment wrapText="1"/>
    </xf>
    <xf numFmtId="0" fontId="3" fillId="12" borderId="9" xfId="0" applyFont="1" applyFill="1" applyBorder="1" applyAlignment="1">
      <alignment vertical="center" wrapText="1"/>
    </xf>
    <xf numFmtId="0" fontId="3" fillId="15" borderId="23" xfId="0" applyFont="1" applyFill="1" applyBorder="1" applyAlignment="1">
      <alignment vertical="center" wrapText="1"/>
    </xf>
    <xf numFmtId="0" fontId="6" fillId="18" borderId="70" xfId="0" applyFont="1" applyFill="1" applyBorder="1" applyAlignment="1">
      <alignment vertical="center" wrapText="1"/>
    </xf>
    <xf numFmtId="0" fontId="3" fillId="19" borderId="39" xfId="0" applyFont="1" applyFill="1" applyBorder="1" applyAlignment="1">
      <alignment horizontal="left" vertical="center" wrapText="1"/>
    </xf>
    <xf numFmtId="0" fontId="3" fillId="25" borderId="47" xfId="0" applyFont="1" applyFill="1" applyBorder="1" applyAlignment="1">
      <alignment horizontal="left" vertical="center" wrapText="1"/>
    </xf>
    <xf numFmtId="0" fontId="3" fillId="25" borderId="75" xfId="0" applyFont="1" applyFill="1" applyBorder="1" applyAlignment="1">
      <alignment vertical="center" wrapText="1"/>
    </xf>
    <xf numFmtId="0" fontId="3" fillId="25" borderId="0" xfId="0" applyFont="1" applyFill="1" applyAlignment="1">
      <alignment vertical="center" wrapText="1"/>
    </xf>
    <xf numFmtId="0" fontId="3" fillId="25" borderId="0" xfId="0" applyFont="1" applyFill="1" applyAlignment="1">
      <alignment horizontal="left" vertical="center" wrapText="1"/>
    </xf>
    <xf numFmtId="0" fontId="3" fillId="25" borderId="76" xfId="0" applyFont="1" applyFill="1" applyBorder="1" applyAlignment="1">
      <alignment vertical="center" wrapText="1"/>
    </xf>
    <xf numFmtId="0" fontId="5" fillId="20" borderId="67" xfId="0" applyFont="1" applyFill="1" applyBorder="1" applyAlignment="1">
      <alignment horizontal="center" vertical="center" wrapText="1"/>
    </xf>
    <xf numFmtId="0" fontId="5" fillId="20" borderId="67" xfId="0" applyFont="1" applyFill="1" applyBorder="1" applyAlignment="1">
      <alignment horizontal="center" vertical="center"/>
    </xf>
    <xf numFmtId="0" fontId="5" fillId="0" borderId="67" xfId="0" applyFont="1" applyBorder="1" applyAlignment="1">
      <alignment horizontal="left" vertical="center" wrapText="1"/>
    </xf>
    <xf numFmtId="0" fontId="5" fillId="0" borderId="67" xfId="0" applyFont="1" applyBorder="1" applyAlignment="1">
      <alignment horizontal="center" vertical="center" wrapText="1"/>
    </xf>
    <xf numFmtId="0" fontId="4" fillId="0" borderId="67" xfId="0" applyFont="1" applyBorder="1" applyAlignment="1">
      <alignment horizontal="center" vertical="center"/>
    </xf>
    <xf numFmtId="0" fontId="3" fillId="20" borderId="67" xfId="0" applyFont="1" applyFill="1" applyBorder="1" applyAlignment="1">
      <alignment horizontal="center" vertical="center" wrapText="1"/>
    </xf>
    <xf numFmtId="0" fontId="3" fillId="20" borderId="67" xfId="0" applyFont="1" applyFill="1" applyBorder="1" applyAlignment="1">
      <alignment horizontal="left" vertical="center" wrapText="1"/>
    </xf>
    <xf numFmtId="0" fontId="3" fillId="20" borderId="67" xfId="0" applyFont="1" applyFill="1" applyBorder="1" applyAlignment="1">
      <alignment horizontal="center" vertical="center"/>
    </xf>
    <xf numFmtId="0" fontId="3" fillId="0" borderId="67" xfId="0" applyFont="1" applyBorder="1" applyAlignment="1">
      <alignment horizontal="left" vertical="center" wrapText="1"/>
    </xf>
    <xf numFmtId="0" fontId="3" fillId="0" borderId="67" xfId="0" applyFont="1" applyBorder="1" applyAlignment="1">
      <alignment horizontal="center" vertical="center"/>
    </xf>
    <xf numFmtId="0" fontId="0" fillId="0" borderId="67" xfId="0" applyBorder="1" applyAlignment="1">
      <alignment horizontal="center" vertical="center"/>
    </xf>
    <xf numFmtId="0" fontId="0" fillId="20" borderId="67" xfId="0" applyFill="1" applyBorder="1" applyAlignment="1">
      <alignment horizontal="center" vertical="center"/>
    </xf>
    <xf numFmtId="0" fontId="0" fillId="0" borderId="67" xfId="0" applyBorder="1" applyAlignment="1">
      <alignment vertical="top"/>
    </xf>
    <xf numFmtId="0" fontId="3" fillId="0" borderId="67" xfId="0" applyFont="1" applyBorder="1" applyAlignment="1">
      <alignment vertical="top"/>
    </xf>
    <xf numFmtId="0" fontId="3" fillId="0" borderId="67" xfId="0" applyFont="1" applyBorder="1" applyAlignment="1">
      <alignment horizontal="center" vertical="center" wrapText="1"/>
    </xf>
    <xf numFmtId="0" fontId="9" fillId="20" borderId="67" xfId="0" applyFont="1" applyFill="1" applyBorder="1" applyAlignment="1">
      <alignment horizontal="left" vertical="center" wrapText="1"/>
    </xf>
    <xf numFmtId="0" fontId="3" fillId="0" borderId="67" xfId="0" applyFont="1" applyBorder="1" applyAlignment="1">
      <alignment horizontal="left" vertical="top" wrapText="1"/>
    </xf>
    <xf numFmtId="0" fontId="3" fillId="0" borderId="67" xfId="0" quotePrefix="1" applyFont="1" applyBorder="1" applyAlignment="1">
      <alignment vertical="top" wrapText="1"/>
    </xf>
    <xf numFmtId="0" fontId="9" fillId="20" borderId="67" xfId="0" applyFont="1" applyFill="1" applyBorder="1" applyAlignment="1">
      <alignment horizontal="center" vertical="center" wrapText="1"/>
    </xf>
    <xf numFmtId="0" fontId="9" fillId="0" borderId="67" xfId="0" applyFont="1" applyBorder="1" applyAlignment="1">
      <alignment vertical="top" wrapText="1"/>
    </xf>
    <xf numFmtId="0" fontId="9" fillId="20" borderId="67" xfId="0" applyFont="1" applyFill="1" applyBorder="1" applyAlignment="1">
      <alignment horizontal="center" vertical="center"/>
    </xf>
    <xf numFmtId="0" fontId="6" fillId="20" borderId="67" xfId="0" applyFont="1" applyFill="1" applyBorder="1" applyAlignment="1">
      <alignment horizontal="left" vertical="center" wrapText="1"/>
    </xf>
    <xf numFmtId="0" fontId="0" fillId="0" borderId="67" xfId="0" applyBorder="1" applyAlignment="1">
      <alignment vertical="top" wrapText="1"/>
    </xf>
    <xf numFmtId="0" fontId="4" fillId="0" borderId="67" xfId="0" applyFont="1" applyBorder="1" applyAlignment="1">
      <alignment horizontal="center" vertical="center" wrapText="1"/>
    </xf>
    <xf numFmtId="0" fontId="4" fillId="26" borderId="0" xfId="0" applyFont="1" applyFill="1" applyAlignment="1">
      <alignment wrapText="1"/>
    </xf>
    <xf numFmtId="0" fontId="0" fillId="26" borderId="0" xfId="0" applyFill="1" applyAlignment="1">
      <alignment wrapText="1"/>
    </xf>
    <xf numFmtId="0" fontId="4" fillId="26" borderId="0" xfId="0" applyFont="1" applyFill="1"/>
    <xf numFmtId="0" fontId="18" fillId="0" borderId="0" xfId="0" applyFont="1"/>
    <xf numFmtId="0" fontId="4" fillId="0" borderId="0" xfId="0" applyFont="1"/>
    <xf numFmtId="0" fontId="13" fillId="0" borderId="0" xfId="0" applyFont="1"/>
    <xf numFmtId="0" fontId="0" fillId="0" borderId="67" xfId="0" applyBorder="1"/>
    <xf numFmtId="0" fontId="0" fillId="0" borderId="81" xfId="0" applyBorder="1"/>
    <xf numFmtId="0" fontId="13" fillId="0" borderId="82" xfId="0" applyFont="1" applyBorder="1" applyAlignment="1">
      <alignment horizontal="center"/>
    </xf>
    <xf numFmtId="0" fontId="13" fillId="0" borderId="83" xfId="0" applyFont="1" applyBorder="1" applyAlignment="1">
      <alignment horizontal="center"/>
    </xf>
    <xf numFmtId="0" fontId="13" fillId="0" borderId="84" xfId="0" applyFont="1" applyBorder="1" applyAlignment="1">
      <alignment horizontal="center" wrapText="1"/>
    </xf>
    <xf numFmtId="0" fontId="20" fillId="0" borderId="0" xfId="1" applyFont="1" applyAlignment="1">
      <alignment vertical="center"/>
    </xf>
    <xf numFmtId="0" fontId="21" fillId="0" borderId="0" xfId="1" applyFont="1" applyAlignment="1">
      <alignment horizontal="left" vertical="center"/>
    </xf>
    <xf numFmtId="0" fontId="21" fillId="0" borderId="0" xfId="1" applyFont="1" applyAlignment="1">
      <alignment vertical="center"/>
    </xf>
    <xf numFmtId="0" fontId="21" fillId="0" borderId="0" xfId="1" applyFont="1" applyAlignment="1">
      <alignment vertical="center" wrapText="1"/>
    </xf>
    <xf numFmtId="0" fontId="19" fillId="0" borderId="0" xfId="1"/>
    <xf numFmtId="0" fontId="22" fillId="0" borderId="0" xfId="1" applyFont="1" applyAlignment="1">
      <alignment horizontal="left" vertical="center"/>
    </xf>
    <xf numFmtId="0" fontId="24" fillId="0" borderId="0" xfId="1" applyFont="1" applyAlignment="1">
      <alignment horizontal="left" vertical="center"/>
    </xf>
    <xf numFmtId="0" fontId="7" fillId="27" borderId="0" xfId="1" applyFont="1" applyFill="1" applyAlignment="1">
      <alignment horizontal="center" vertical="top" wrapText="1"/>
    </xf>
    <xf numFmtId="0" fontId="7" fillId="27" borderId="0" xfId="1" applyFont="1" applyFill="1" applyAlignment="1">
      <alignment horizontal="left" vertical="top" wrapText="1"/>
    </xf>
    <xf numFmtId="0" fontId="7" fillId="27" borderId="0" xfId="1" applyFont="1" applyFill="1" applyAlignment="1">
      <alignment vertical="top" wrapText="1"/>
    </xf>
    <xf numFmtId="0" fontId="21" fillId="0" borderId="0" xfId="1" applyFont="1" applyAlignment="1">
      <alignment horizontal="center" vertical="top" wrapText="1"/>
    </xf>
    <xf numFmtId="0" fontId="21" fillId="0" borderId="0" xfId="1" applyFont="1" applyAlignment="1">
      <alignment vertical="top" wrapText="1"/>
    </xf>
    <xf numFmtId="0" fontId="21" fillId="0" borderId="0" xfId="1" applyFont="1" applyAlignment="1">
      <alignment vertical="top"/>
    </xf>
    <xf numFmtId="0" fontId="25" fillId="28" borderId="0" xfId="1" applyFont="1" applyFill="1" applyAlignment="1">
      <alignment horizontal="center" vertical="top" wrapText="1"/>
    </xf>
    <xf numFmtId="0" fontId="21" fillId="0" borderId="0" xfId="1" applyFont="1" applyAlignment="1">
      <alignment horizontal="left" vertical="top" wrapText="1"/>
    </xf>
    <xf numFmtId="0" fontId="21" fillId="0" borderId="0" xfId="1" applyFont="1" applyAlignment="1">
      <alignment horizontal="center" vertical="center"/>
    </xf>
    <xf numFmtId="0" fontId="21" fillId="0" borderId="0" xfId="1" applyFont="1" applyAlignment="1">
      <alignment horizontal="left" vertical="center" wrapText="1"/>
    </xf>
    <xf numFmtId="0" fontId="21" fillId="0" borderId="0" xfId="1" applyFont="1" applyAlignment="1">
      <alignment horizontal="center" vertical="center" wrapText="1"/>
    </xf>
    <xf numFmtId="0" fontId="26" fillId="28" borderId="0" xfId="1" applyFont="1" applyFill="1" applyAlignment="1">
      <alignment horizontal="center" vertical="center" wrapText="1"/>
    </xf>
    <xf numFmtId="0" fontId="0" fillId="0" borderId="81" xfId="0" applyBorder="1" applyAlignment="1">
      <alignment wrapText="1"/>
    </xf>
    <xf numFmtId="0" fontId="13" fillId="0" borderId="83" xfId="0" applyFont="1" applyBorder="1" applyAlignment="1">
      <alignment horizontal="center" wrapText="1"/>
    </xf>
    <xf numFmtId="0" fontId="3" fillId="0" borderId="0" xfId="0" applyFont="1" applyAlignment="1">
      <alignment wrapText="1"/>
    </xf>
    <xf numFmtId="0" fontId="5" fillId="0" borderId="0" xfId="0" applyFont="1" applyAlignment="1">
      <alignment wrapText="1"/>
    </xf>
    <xf numFmtId="0" fontId="0" fillId="0" borderId="86" xfId="0" applyBorder="1"/>
    <xf numFmtId="0" fontId="0" fillId="0" borderId="87" xfId="0" applyBorder="1"/>
    <xf numFmtId="0" fontId="4" fillId="18" borderId="91" xfId="0" applyFont="1" applyFill="1" applyBorder="1"/>
    <xf numFmtId="0" fontId="4" fillId="18" borderId="92" xfId="0" applyFont="1" applyFill="1" applyBorder="1"/>
    <xf numFmtId="0" fontId="0" fillId="0" borderId="93" xfId="0" applyBorder="1"/>
    <xf numFmtId="0" fontId="0" fillId="0" borderId="95" xfId="0" applyBorder="1"/>
    <xf numFmtId="0" fontId="0" fillId="0" borderId="96" xfId="0" applyBorder="1"/>
    <xf numFmtId="0" fontId="27" fillId="0" borderId="0" xfId="2"/>
    <xf numFmtId="0" fontId="16" fillId="20" borderId="67" xfId="0" applyFont="1" applyFill="1" applyBorder="1" applyAlignment="1">
      <alignment vertical="top" wrapText="1"/>
    </xf>
    <xf numFmtId="0" fontId="0" fillId="11" borderId="67" xfId="0" applyFill="1" applyBorder="1" applyAlignment="1">
      <alignment vertical="top" wrapText="1"/>
    </xf>
    <xf numFmtId="0" fontId="0" fillId="11" borderId="67" xfId="0" applyFill="1" applyBorder="1" applyAlignment="1">
      <alignment vertical="top"/>
    </xf>
    <xf numFmtId="0" fontId="0" fillId="29" borderId="67" xfId="0" applyFill="1" applyBorder="1"/>
    <xf numFmtId="0" fontId="0" fillId="29" borderId="0" xfId="0" applyFill="1"/>
    <xf numFmtId="0" fontId="0" fillId="23" borderId="67" xfId="0" applyFill="1" applyBorder="1" applyAlignment="1">
      <alignment vertical="top" wrapText="1"/>
    </xf>
    <xf numFmtId="0" fontId="0" fillId="23" borderId="67" xfId="0" applyFill="1" applyBorder="1" applyAlignment="1">
      <alignment vertical="top"/>
    </xf>
    <xf numFmtId="9" fontId="0" fillId="0" borderId="67" xfId="0" applyNumberFormat="1" applyBorder="1" applyAlignment="1">
      <alignment vertical="top"/>
    </xf>
    <xf numFmtId="0" fontId="0" fillId="0" borderId="67" xfId="0" applyBorder="1" applyAlignment="1">
      <alignment horizontal="center" vertical="top" wrapText="1"/>
    </xf>
    <xf numFmtId="0" fontId="1" fillId="0" borderId="67" xfId="0" applyFont="1" applyBorder="1" applyAlignment="1">
      <alignment horizontal="left" vertical="center" wrapText="1"/>
    </xf>
    <xf numFmtId="0" fontId="0" fillId="0" borderId="80" xfId="0" applyBorder="1" applyAlignment="1">
      <alignment vertical="top"/>
    </xf>
    <xf numFmtId="0" fontId="0" fillId="0" borderId="0" xfId="0" applyAlignment="1">
      <alignment horizontal="left"/>
    </xf>
    <xf numFmtId="0" fontId="17" fillId="0" borderId="0" xfId="0" applyFont="1" applyAlignment="1">
      <alignment horizontal="left"/>
    </xf>
    <xf numFmtId="0" fontId="4" fillId="0" borderId="85" xfId="0" applyFont="1" applyBorder="1" applyAlignment="1">
      <alignment horizontal="left"/>
    </xf>
    <xf numFmtId="0" fontId="4" fillId="18" borderId="90" xfId="0" applyFont="1" applyFill="1" applyBorder="1" applyAlignment="1">
      <alignment horizontal="left"/>
    </xf>
    <xf numFmtId="0" fontId="10" fillId="0" borderId="67" xfId="0" applyFont="1" applyBorder="1" applyAlignment="1">
      <alignment horizontal="left"/>
    </xf>
    <xf numFmtId="0" fontId="0" fillId="0" borderId="94" xfId="0" applyBorder="1" applyAlignment="1">
      <alignment horizontal="left"/>
    </xf>
    <xf numFmtId="1" fontId="0" fillId="0" borderId="67" xfId="0" applyNumberFormat="1" applyBorder="1" applyAlignment="1">
      <alignment horizontal="left"/>
    </xf>
    <xf numFmtId="0" fontId="0" fillId="0" borderId="67" xfId="0" applyBorder="1" applyAlignment="1">
      <alignment horizontal="left"/>
    </xf>
    <xf numFmtId="0" fontId="3" fillId="30" borderId="67" xfId="0" applyFont="1" applyFill="1" applyBorder="1" applyAlignment="1">
      <alignment horizontal="left" vertical="center" wrapText="1"/>
    </xf>
    <xf numFmtId="0" fontId="3" fillId="30" borderId="67" xfId="0" applyFont="1" applyFill="1" applyBorder="1" applyAlignment="1">
      <alignment horizontal="center" vertical="center"/>
    </xf>
    <xf numFmtId="0" fontId="3" fillId="30" borderId="67" xfId="0" applyFont="1" applyFill="1" applyBorder="1" applyAlignment="1">
      <alignment horizontal="center" vertical="center" wrapText="1"/>
    </xf>
    <xf numFmtId="0" fontId="0" fillId="30" borderId="67" xfId="0" applyFill="1" applyBorder="1" applyAlignment="1">
      <alignment horizontal="center" vertical="center"/>
    </xf>
    <xf numFmtId="0" fontId="3" fillId="30" borderId="67" xfId="0" applyFont="1" applyFill="1" applyBorder="1" applyAlignment="1">
      <alignment vertical="top" wrapText="1"/>
    </xf>
    <xf numFmtId="0" fontId="0" fillId="30" borderId="67" xfId="0" applyFill="1" applyBorder="1" applyAlignment="1">
      <alignment vertical="center" wrapText="1"/>
    </xf>
    <xf numFmtId="0" fontId="1" fillId="0" borderId="0" xfId="0" applyFont="1" applyAlignment="1">
      <alignment vertical="top" wrapText="1"/>
    </xf>
    <xf numFmtId="0" fontId="17" fillId="0" borderId="67" xfId="0" applyFont="1" applyBorder="1" applyAlignment="1">
      <alignment horizontal="center" vertical="center" wrapText="1"/>
    </xf>
    <xf numFmtId="0" fontId="1" fillId="0" borderId="67" xfId="0" applyFont="1" applyBorder="1" applyAlignment="1">
      <alignment vertical="top" wrapText="1"/>
    </xf>
    <xf numFmtId="0" fontId="1" fillId="0" borderId="67" xfId="0" quotePrefix="1" applyFont="1" applyBorder="1" applyAlignment="1">
      <alignment vertical="top" wrapText="1"/>
    </xf>
    <xf numFmtId="0" fontId="0" fillId="0" borderId="67" xfId="0" applyBorder="1" applyAlignment="1">
      <alignment horizontal="left" vertical="center" wrapText="1"/>
    </xf>
    <xf numFmtId="49" fontId="4" fillId="0" borderId="0" xfId="0" applyNumberFormat="1" applyFont="1" applyAlignment="1">
      <alignment vertical="top" wrapText="1"/>
    </xf>
    <xf numFmtId="0" fontId="3" fillId="0" borderId="10" xfId="0" applyFont="1" applyBorder="1" applyAlignment="1">
      <alignment vertical="top"/>
    </xf>
    <xf numFmtId="0" fontId="3" fillId="0" borderId="11" xfId="0" applyFont="1" applyBorder="1" applyAlignment="1">
      <alignment vertical="top" wrapText="1"/>
    </xf>
    <xf numFmtId="0" fontId="0" fillId="0" borderId="0" xfId="0" applyAlignment="1">
      <alignment horizontal="left" vertical="center" wrapText="1"/>
    </xf>
    <xf numFmtId="0" fontId="0" fillId="0" borderId="67" xfId="0" applyBorder="1" applyAlignment="1">
      <alignment horizontal="center" vertical="center" wrapText="1"/>
    </xf>
    <xf numFmtId="0" fontId="9" fillId="0" borderId="67" xfId="0" applyFont="1" applyBorder="1" applyAlignment="1">
      <alignment horizontal="center" vertical="center" wrapText="1"/>
    </xf>
    <xf numFmtId="0" fontId="8" fillId="0" borderId="67" xfId="0" applyFont="1" applyBorder="1" applyAlignment="1">
      <alignment horizontal="left" vertical="center" wrapText="1"/>
    </xf>
    <xf numFmtId="0" fontId="4" fillId="0" borderId="0" xfId="0" applyFont="1" applyAlignment="1">
      <alignment horizontal="center" vertical="top"/>
    </xf>
    <xf numFmtId="0" fontId="0" fillId="0" borderId="67" xfId="0" applyBorder="1" applyAlignment="1">
      <alignment vertical="center"/>
    </xf>
    <xf numFmtId="0" fontId="0" fillId="0" borderId="67" xfId="0" applyBorder="1" applyAlignment="1">
      <alignment horizontal="center" vertical="top"/>
    </xf>
    <xf numFmtId="0" fontId="0" fillId="0" borderId="67" xfId="0" applyBorder="1" applyAlignment="1">
      <alignment vertical="center" wrapText="1"/>
    </xf>
    <xf numFmtId="0" fontId="6" fillId="0" borderId="67" xfId="0" applyFont="1" applyBorder="1" applyAlignment="1">
      <alignment vertical="top" wrapText="1"/>
    </xf>
    <xf numFmtId="0" fontId="1" fillId="0" borderId="67" xfId="0" applyFont="1" applyBorder="1" applyAlignment="1">
      <alignment horizontal="left" vertical="top" wrapText="1"/>
    </xf>
    <xf numFmtId="0" fontId="29" fillId="0" borderId="67" xfId="0" applyFont="1" applyBorder="1" applyAlignment="1">
      <alignment vertical="top" wrapText="1"/>
    </xf>
    <xf numFmtId="0" fontId="28" fillId="0" borderId="67" xfId="0" applyFont="1" applyBorder="1" applyAlignment="1">
      <alignment vertical="top" wrapText="1"/>
    </xf>
    <xf numFmtId="0" fontId="0" fillId="0" borderId="67" xfId="0" applyBorder="1" applyAlignment="1">
      <alignment horizontal="left" vertical="top" wrapText="1"/>
    </xf>
    <xf numFmtId="9" fontId="0" fillId="0" borderId="67" xfId="0" applyNumberFormat="1" applyBorder="1" applyAlignment="1">
      <alignment vertical="top" wrapText="1"/>
    </xf>
    <xf numFmtId="0" fontId="0" fillId="31" borderId="67" xfId="0" applyFill="1" applyBorder="1" applyAlignment="1">
      <alignment vertical="top"/>
    </xf>
    <xf numFmtId="0" fontId="0" fillId="31" borderId="67" xfId="0" applyFill="1" applyBorder="1" applyAlignment="1">
      <alignment horizontal="center" vertical="center" wrapText="1"/>
    </xf>
    <xf numFmtId="0" fontId="0" fillId="32" borderId="67" xfId="0" applyFill="1" applyBorder="1" applyAlignment="1">
      <alignment vertical="top"/>
    </xf>
    <xf numFmtId="0" fontId="0" fillId="32" borderId="67" xfId="0" applyFill="1" applyBorder="1" applyAlignment="1">
      <alignment vertical="top" wrapText="1"/>
    </xf>
    <xf numFmtId="0" fontId="0" fillId="32" borderId="67" xfId="0" applyFill="1" applyBorder="1" applyAlignment="1">
      <alignment horizontal="right" vertical="top" wrapText="1"/>
    </xf>
    <xf numFmtId="0" fontId="0" fillId="32" borderId="67" xfId="0" applyFill="1" applyBorder="1" applyAlignment="1">
      <alignment vertical="center"/>
    </xf>
    <xf numFmtId="0" fontId="0" fillId="32" borderId="67" xfId="0" applyFill="1" applyBorder="1" applyAlignment="1">
      <alignment vertical="center" wrapText="1"/>
    </xf>
    <xf numFmtId="0" fontId="31" fillId="0" borderId="0" xfId="0" applyFont="1"/>
    <xf numFmtId="0" fontId="32" fillId="0" borderId="67" xfId="0" applyFont="1" applyBorder="1" applyAlignment="1">
      <alignment horizontal="center" vertical="center"/>
    </xf>
    <xf numFmtId="0" fontId="32" fillId="0" borderId="67" xfId="0" applyFont="1" applyBorder="1" applyAlignment="1">
      <alignment horizontal="center" vertical="center" wrapText="1"/>
    </xf>
    <xf numFmtId="0" fontId="32" fillId="0" borderId="67" xfId="0" applyFont="1" applyBorder="1" applyAlignment="1">
      <alignment vertical="top"/>
    </xf>
    <xf numFmtId="0" fontId="32" fillId="0" borderId="67" xfId="0" applyFont="1" applyBorder="1" applyAlignment="1">
      <alignment vertical="top" wrapText="1"/>
    </xf>
    <xf numFmtId="0" fontId="30" fillId="0" borderId="67" xfId="0" applyFont="1" applyBorder="1" applyAlignment="1">
      <alignment vertical="top" wrapText="1"/>
    </xf>
    <xf numFmtId="0" fontId="6" fillId="0" borderId="67" xfId="0" applyFont="1" applyBorder="1" applyAlignment="1">
      <alignment horizontal="left" vertical="center" wrapText="1"/>
    </xf>
    <xf numFmtId="0" fontId="0" fillId="33" borderId="67" xfId="0" applyFill="1" applyBorder="1" applyAlignment="1">
      <alignment horizontal="center" vertical="top" wrapText="1"/>
    </xf>
    <xf numFmtId="0" fontId="0" fillId="33" borderId="67" xfId="0" applyFill="1" applyBorder="1" applyAlignment="1">
      <alignment vertical="top"/>
    </xf>
    <xf numFmtId="0" fontId="0" fillId="33" borderId="67" xfId="0" applyFill="1" applyBorder="1" applyAlignment="1">
      <alignment vertical="top" wrapText="1"/>
    </xf>
    <xf numFmtId="0" fontId="3" fillId="34" borderId="67" xfId="0" applyFont="1" applyFill="1" applyBorder="1" applyAlignment="1">
      <alignment horizontal="left" vertical="center" wrapText="1"/>
    </xf>
    <xf numFmtId="0" fontId="33" fillId="0" borderId="67" xfId="0" applyFont="1" applyBorder="1" applyAlignment="1">
      <alignment vertical="top" wrapText="1"/>
    </xf>
    <xf numFmtId="0" fontId="3" fillId="29" borderId="67" xfId="0" applyFont="1" applyFill="1" applyBorder="1" applyAlignment="1">
      <alignment horizontal="left" vertical="center" wrapText="1"/>
    </xf>
    <xf numFmtId="0" fontId="3" fillId="11" borderId="67" xfId="0" applyFont="1" applyFill="1" applyBorder="1" applyAlignment="1">
      <alignment horizontal="left" vertical="center" wrapText="1"/>
    </xf>
    <xf numFmtId="0" fontId="3" fillId="32" borderId="67" xfId="0" applyFont="1" applyFill="1" applyBorder="1" applyAlignment="1">
      <alignment horizontal="left" vertical="center" wrapText="1"/>
    </xf>
    <xf numFmtId="0" fontId="3" fillId="11" borderId="67" xfId="0" applyFont="1" applyFill="1" applyBorder="1" applyAlignment="1">
      <alignment horizontal="center" vertical="center" wrapText="1"/>
    </xf>
    <xf numFmtId="0" fontId="3" fillId="11" borderId="67" xfId="0" applyFont="1" applyFill="1" applyBorder="1" applyAlignment="1">
      <alignment horizontal="center" vertical="center"/>
    </xf>
    <xf numFmtId="0" fontId="3" fillId="32" borderId="67" xfId="0" applyFont="1" applyFill="1" applyBorder="1" applyAlignment="1">
      <alignment horizontal="center" vertical="center" wrapText="1"/>
    </xf>
    <xf numFmtId="0" fontId="1" fillId="0" borderId="67" xfId="0" applyFont="1" applyBorder="1" applyAlignment="1">
      <alignment horizontal="center" vertical="center" wrapText="1"/>
    </xf>
    <xf numFmtId="0" fontId="34" fillId="0" borderId="67" xfId="0" applyFont="1" applyBorder="1" applyAlignment="1">
      <alignment vertical="center" wrapText="1"/>
    </xf>
    <xf numFmtId="0" fontId="34" fillId="0" borderId="67" xfId="0" applyFont="1" applyBorder="1" applyAlignment="1">
      <alignment vertical="center"/>
    </xf>
    <xf numFmtId="0" fontId="34" fillId="0" borderId="67" xfId="0" applyFont="1" applyBorder="1" applyAlignment="1">
      <alignment vertical="top" wrapText="1"/>
    </xf>
    <xf numFmtId="0" fontId="4" fillId="0" borderId="85" xfId="0" applyFont="1" applyBorder="1" applyAlignment="1">
      <alignment horizontal="center"/>
    </xf>
    <xf numFmtId="0" fontId="4" fillId="0" borderId="88" xfId="0" applyFont="1" applyBorder="1" applyAlignment="1">
      <alignment horizontal="center"/>
    </xf>
    <xf numFmtId="0" fontId="4" fillId="0" borderId="89" xfId="0" applyFont="1" applyBorder="1" applyAlignment="1">
      <alignment horizontal="center"/>
    </xf>
    <xf numFmtId="0" fontId="3" fillId="25" borderId="46" xfId="0" applyFont="1" applyFill="1" applyBorder="1" applyAlignment="1">
      <alignment horizontal="center" vertical="center" wrapText="1"/>
    </xf>
    <xf numFmtId="0" fontId="3" fillId="25" borderId="43" xfId="0" applyFont="1" applyFill="1" applyBorder="1" applyAlignment="1">
      <alignment horizontal="center" vertical="center" wrapText="1"/>
    </xf>
    <xf numFmtId="0" fontId="3" fillId="25" borderId="47" xfId="0" applyFont="1" applyFill="1" applyBorder="1" applyAlignment="1">
      <alignment horizontal="left" vertical="center" wrapText="1"/>
    </xf>
    <xf numFmtId="0" fontId="3" fillId="25" borderId="0" xfId="0" applyFont="1" applyFill="1" applyAlignment="1">
      <alignment horizontal="left" vertical="center" wrapText="1"/>
    </xf>
    <xf numFmtId="0" fontId="3" fillId="18" borderId="30" xfId="0" applyFont="1" applyFill="1" applyBorder="1" applyAlignment="1">
      <alignment horizontal="left" vertical="center" wrapText="1"/>
    </xf>
    <xf numFmtId="0" fontId="3" fillId="18" borderId="0" xfId="0" applyFont="1" applyFill="1" applyAlignment="1">
      <alignment horizontal="left" vertical="center" wrapText="1"/>
    </xf>
    <xf numFmtId="0" fontId="3" fillId="18" borderId="72" xfId="0" applyFont="1" applyFill="1" applyBorder="1" applyAlignment="1">
      <alignment horizontal="left" vertical="center" wrapText="1"/>
    </xf>
    <xf numFmtId="49" fontId="3" fillId="18" borderId="29" xfId="0" applyNumberFormat="1" applyFont="1" applyFill="1" applyBorder="1" applyAlignment="1">
      <alignment horizontal="center" vertical="center" wrapText="1"/>
    </xf>
    <xf numFmtId="49" fontId="3" fillId="18" borderId="26" xfId="0" applyNumberFormat="1" applyFont="1" applyFill="1" applyBorder="1" applyAlignment="1">
      <alignment horizontal="center" vertical="center" wrapText="1"/>
    </xf>
    <xf numFmtId="49" fontId="3" fillId="18" borderId="28" xfId="0" applyNumberFormat="1" applyFont="1" applyFill="1" applyBorder="1" applyAlignment="1">
      <alignment horizontal="center" vertical="center" wrapText="1"/>
    </xf>
    <xf numFmtId="0" fontId="3" fillId="18" borderId="30" xfId="0" applyFont="1" applyFill="1" applyBorder="1" applyAlignment="1">
      <alignment horizontal="center" vertical="center"/>
    </xf>
    <xf numFmtId="0" fontId="3" fillId="18" borderId="72" xfId="0" applyFont="1" applyFill="1" applyBorder="1" applyAlignment="1">
      <alignment horizontal="center" vertical="center"/>
    </xf>
    <xf numFmtId="49" fontId="3" fillId="23" borderId="53" xfId="0" applyNumberFormat="1" applyFont="1" applyFill="1" applyBorder="1" applyAlignment="1">
      <alignment horizontal="center" vertical="center" wrapText="1"/>
    </xf>
    <xf numFmtId="49" fontId="3" fillId="23" borderId="54" xfId="0" applyNumberFormat="1" applyFont="1" applyFill="1" applyBorder="1" applyAlignment="1">
      <alignment horizontal="center" vertical="center" wrapText="1"/>
    </xf>
    <xf numFmtId="0" fontId="3" fillId="23" borderId="40" xfId="0" applyFont="1" applyFill="1" applyBorder="1" applyAlignment="1">
      <alignment horizontal="center" vertical="center"/>
    </xf>
    <xf numFmtId="0" fontId="3" fillId="19" borderId="73" xfId="0" applyFont="1" applyFill="1" applyBorder="1" applyAlignment="1">
      <alignment horizontal="left" vertical="center" wrapText="1"/>
    </xf>
    <xf numFmtId="0" fontId="3" fillId="19" borderId="0" xfId="0" applyFont="1" applyFill="1" applyAlignment="1">
      <alignment horizontal="left" vertical="center" wrapText="1"/>
    </xf>
    <xf numFmtId="0" fontId="3" fillId="19" borderId="65" xfId="0" applyFont="1" applyFill="1" applyBorder="1" applyAlignment="1">
      <alignment horizontal="left" vertical="center" wrapText="1"/>
    </xf>
    <xf numFmtId="49" fontId="3" fillId="19" borderId="32" xfId="0" applyNumberFormat="1" applyFont="1" applyFill="1" applyBorder="1" applyAlignment="1">
      <alignment horizontal="center" vertical="center" wrapText="1"/>
    </xf>
    <xf numFmtId="49" fontId="3" fillId="19" borderId="33" xfId="0" applyNumberFormat="1" applyFont="1" applyFill="1" applyBorder="1" applyAlignment="1">
      <alignment horizontal="center" vertical="center" wrapText="1"/>
    </xf>
    <xf numFmtId="49" fontId="3" fillId="19" borderId="35" xfId="0" applyNumberFormat="1" applyFont="1" applyFill="1" applyBorder="1" applyAlignment="1">
      <alignment horizontal="center" vertical="center" wrapText="1"/>
    </xf>
    <xf numFmtId="0" fontId="3" fillId="22" borderId="57" xfId="0" applyFont="1" applyFill="1" applyBorder="1" applyAlignment="1">
      <alignment horizontal="center" vertical="top"/>
    </xf>
    <xf numFmtId="0" fontId="3" fillId="22" borderId="0" xfId="0" applyFont="1" applyFill="1" applyAlignment="1">
      <alignment horizontal="center" vertical="top"/>
    </xf>
    <xf numFmtId="0" fontId="3" fillId="22" borderId="58" xfId="0" applyFont="1" applyFill="1" applyBorder="1" applyAlignment="1">
      <alignment horizontal="center" vertical="top"/>
    </xf>
    <xf numFmtId="0" fontId="3" fillId="22" borderId="56" xfId="0" applyFont="1" applyFill="1" applyBorder="1" applyAlignment="1">
      <alignment horizontal="left" vertical="top" wrapText="1"/>
    </xf>
    <xf numFmtId="0" fontId="3" fillId="22" borderId="50" xfId="0" applyFont="1" applyFill="1" applyBorder="1" applyAlignment="1">
      <alignment horizontal="left" vertical="top" wrapText="1"/>
    </xf>
    <xf numFmtId="0" fontId="3" fillId="22" borderId="51" xfId="0" applyFont="1" applyFill="1" applyBorder="1" applyAlignment="1">
      <alignment horizontal="left" vertical="top" wrapText="1"/>
    </xf>
    <xf numFmtId="49" fontId="3" fillId="23" borderId="22" xfId="0" applyNumberFormat="1" applyFont="1" applyFill="1" applyBorder="1" applyAlignment="1">
      <alignment horizontal="center" vertical="center" wrapText="1"/>
    </xf>
    <xf numFmtId="49" fontId="3" fillId="23" borderId="58" xfId="0" applyNumberFormat="1" applyFont="1" applyFill="1" applyBorder="1" applyAlignment="1">
      <alignment horizontal="center" vertical="center" wrapText="1"/>
    </xf>
    <xf numFmtId="0" fontId="3" fillId="23" borderId="57" xfId="0" applyFont="1" applyFill="1" applyBorder="1" applyAlignment="1">
      <alignment horizontal="left" vertical="center" wrapText="1"/>
    </xf>
    <xf numFmtId="0" fontId="3" fillId="23" borderId="0" xfId="0" applyFont="1" applyFill="1" applyAlignment="1">
      <alignment horizontal="left" vertical="center" wrapText="1"/>
    </xf>
    <xf numFmtId="0" fontId="3" fillId="15" borderId="70" xfId="0" applyFont="1" applyFill="1" applyBorder="1" applyAlignment="1">
      <alignment horizontal="left" vertical="center" wrapText="1"/>
    </xf>
    <xf numFmtId="0" fontId="3" fillId="15" borderId="71" xfId="0" applyFont="1" applyFill="1" applyBorder="1" applyAlignment="1">
      <alignment horizontal="left" vertical="center" wrapText="1"/>
    </xf>
    <xf numFmtId="49" fontId="3" fillId="15" borderId="15" xfId="0" applyNumberFormat="1" applyFont="1" applyFill="1" applyBorder="1" applyAlignment="1">
      <alignment horizontal="center" vertical="center" wrapText="1"/>
    </xf>
    <xf numFmtId="49" fontId="3" fillId="15" borderId="19" xfId="0" applyNumberFormat="1" applyFont="1" applyFill="1" applyBorder="1" applyAlignment="1">
      <alignment horizontal="center" vertical="center" wrapText="1"/>
    </xf>
    <xf numFmtId="0" fontId="3" fillId="25" borderId="42" xfId="0" applyFont="1" applyFill="1" applyBorder="1" applyAlignment="1">
      <alignment horizontal="center" vertical="center" wrapText="1"/>
    </xf>
    <xf numFmtId="0" fontId="3" fillId="25" borderId="75" xfId="0" applyFont="1" applyFill="1" applyBorder="1" applyAlignment="1">
      <alignment horizontal="left" vertical="center" wrapText="1"/>
    </xf>
    <xf numFmtId="0" fontId="3" fillId="21" borderId="47" xfId="0" applyFont="1" applyFill="1" applyBorder="1" applyAlignment="1">
      <alignment horizontal="center" vertical="top"/>
    </xf>
    <xf numFmtId="0" fontId="3" fillId="21" borderId="0" xfId="0" applyFont="1" applyFill="1" applyAlignment="1">
      <alignment horizontal="center" vertical="top"/>
    </xf>
    <xf numFmtId="0" fontId="3" fillId="20" borderId="37" xfId="0" applyFont="1" applyFill="1" applyBorder="1" applyAlignment="1">
      <alignment horizontal="center" vertical="top"/>
    </xf>
    <xf numFmtId="0" fontId="3" fillId="20" borderId="33" xfId="0" applyFont="1" applyFill="1" applyBorder="1" applyAlignment="1">
      <alignment horizontal="center" vertical="top"/>
    </xf>
    <xf numFmtId="0" fontId="3" fillId="20" borderId="35" xfId="0" applyFont="1" applyFill="1" applyBorder="1" applyAlignment="1">
      <alignment horizontal="center" vertical="top"/>
    </xf>
    <xf numFmtId="49" fontId="3" fillId="19" borderId="37" xfId="0" applyNumberFormat="1" applyFont="1" applyFill="1" applyBorder="1" applyAlignment="1">
      <alignment horizontal="center" vertical="center" wrapText="1"/>
    </xf>
    <xf numFmtId="0" fontId="3" fillId="25" borderId="48" xfId="0" applyFont="1" applyFill="1" applyBorder="1" applyAlignment="1">
      <alignment horizontal="center" vertical="center" wrapText="1"/>
    </xf>
    <xf numFmtId="0" fontId="3" fillId="21" borderId="47" xfId="0" applyFont="1" applyFill="1" applyBorder="1" applyAlignment="1">
      <alignment horizontal="left" vertical="top" wrapText="1"/>
    </xf>
    <xf numFmtId="0" fontId="3" fillId="21" borderId="0" xfId="0" applyFont="1" applyFill="1" applyAlignment="1">
      <alignment horizontal="left" vertical="top" wrapText="1"/>
    </xf>
    <xf numFmtId="0" fontId="3" fillId="23" borderId="58" xfId="0" applyFont="1" applyFill="1" applyBorder="1" applyAlignment="1">
      <alignment horizontal="left" vertical="center" wrapText="1"/>
    </xf>
    <xf numFmtId="0" fontId="3" fillId="17" borderId="31" xfId="0" applyFont="1" applyFill="1" applyBorder="1" applyAlignment="1">
      <alignment horizontal="left" vertical="top" wrapText="1"/>
    </xf>
    <xf numFmtId="0" fontId="3" fillId="17" borderId="27" xfId="0" applyFont="1" applyFill="1" applyBorder="1" applyAlignment="1">
      <alignment horizontal="left" vertical="top" wrapText="1"/>
    </xf>
    <xf numFmtId="0" fontId="3" fillId="25" borderId="74" xfId="0" applyFont="1" applyFill="1" applyBorder="1" applyAlignment="1">
      <alignment horizontal="left" vertical="center" wrapText="1"/>
    </xf>
    <xf numFmtId="0" fontId="9" fillId="19" borderId="73" xfId="0" applyFont="1" applyFill="1" applyBorder="1" applyAlignment="1">
      <alignment horizontal="left" vertical="center" wrapText="1"/>
    </xf>
    <xf numFmtId="0" fontId="3" fillId="20" borderId="38" xfId="0" applyFont="1" applyFill="1" applyBorder="1" applyAlignment="1">
      <alignment horizontal="left" vertical="top" wrapText="1"/>
    </xf>
    <xf numFmtId="0" fontId="3" fillId="11" borderId="3" xfId="0" applyFont="1" applyFill="1" applyBorder="1" applyAlignment="1">
      <alignment horizontal="left" vertical="top" wrapText="1"/>
    </xf>
    <xf numFmtId="0" fontId="3" fillId="11" borderId="4" xfId="0" applyFont="1" applyFill="1" applyBorder="1" applyAlignment="1">
      <alignment horizontal="left" vertical="top" wrapText="1"/>
    </xf>
    <xf numFmtId="0" fontId="3" fillId="11" borderId="5" xfId="0" applyFont="1" applyFill="1" applyBorder="1" applyAlignment="1">
      <alignment horizontal="left" vertical="top" wrapText="1"/>
    </xf>
    <xf numFmtId="0" fontId="3" fillId="23" borderId="40" xfId="0" applyFont="1" applyFill="1" applyBorder="1" applyAlignment="1">
      <alignment vertical="center" wrapText="1"/>
    </xf>
    <xf numFmtId="0" fontId="3" fillId="12" borderId="9" xfId="0" applyFont="1" applyFill="1" applyBorder="1" applyAlignment="1">
      <alignment horizontal="left" vertical="center" wrapText="1"/>
    </xf>
    <xf numFmtId="49" fontId="3" fillId="12" borderId="2" xfId="0" applyNumberFormat="1" applyFont="1" applyFill="1" applyBorder="1" applyAlignment="1">
      <alignment horizontal="center" vertical="center" wrapText="1"/>
    </xf>
    <xf numFmtId="0" fontId="3" fillId="16" borderId="16" xfId="0" applyFont="1" applyFill="1" applyBorder="1" applyAlignment="1">
      <alignment horizontal="left" vertical="top" wrapText="1"/>
    </xf>
    <xf numFmtId="0" fontId="3" fillId="16" borderId="18" xfId="0" applyFont="1" applyFill="1" applyBorder="1" applyAlignment="1">
      <alignment horizontal="left" vertical="top" wrapText="1"/>
    </xf>
    <xf numFmtId="0" fontId="3" fillId="16" borderId="20" xfId="0" applyFont="1" applyFill="1" applyBorder="1" applyAlignment="1">
      <alignment horizontal="left" vertical="top" wrapText="1"/>
    </xf>
    <xf numFmtId="49" fontId="3" fillId="23" borderId="57" xfId="0" applyNumberFormat="1" applyFont="1" applyFill="1" applyBorder="1" applyAlignment="1">
      <alignment horizontal="center" vertical="center" wrapText="1"/>
    </xf>
    <xf numFmtId="49" fontId="3" fillId="23" borderId="0" xfId="0" applyNumberFormat="1" applyFont="1" applyFill="1" applyAlignment="1">
      <alignment horizontal="center" vertical="center" wrapText="1"/>
    </xf>
    <xf numFmtId="49" fontId="3" fillId="14" borderId="13" xfId="0" applyNumberFormat="1" applyFont="1" applyFill="1" applyBorder="1" applyAlignment="1">
      <alignment horizontal="center" vertical="center" wrapText="1"/>
    </xf>
    <xf numFmtId="0" fontId="3" fillId="14" borderId="14" xfId="0" applyFont="1" applyFill="1" applyBorder="1" applyAlignment="1">
      <alignment vertical="center" wrapText="1"/>
    </xf>
    <xf numFmtId="0" fontId="6" fillId="19" borderId="73" xfId="0" applyFont="1" applyFill="1" applyBorder="1" applyAlignment="1">
      <alignment horizontal="left" vertical="center" wrapText="1"/>
    </xf>
    <xf numFmtId="0" fontId="3" fillId="19" borderId="39" xfId="0" applyFont="1" applyFill="1" applyBorder="1" applyAlignment="1">
      <alignment horizontal="left" vertical="center" wrapText="1"/>
    </xf>
    <xf numFmtId="0" fontId="3" fillId="12" borderId="68" xfId="0" applyFont="1" applyFill="1" applyBorder="1" applyAlignment="1">
      <alignment horizontal="left" vertical="center" wrapText="1"/>
    </xf>
    <xf numFmtId="0" fontId="3" fillId="12" borderId="0" xfId="0" applyFont="1" applyFill="1" applyAlignment="1">
      <alignment horizontal="left" vertical="center" wrapText="1"/>
    </xf>
    <xf numFmtId="0" fontId="3" fillId="12" borderId="69" xfId="0" applyFont="1" applyFill="1" applyBorder="1" applyAlignment="1">
      <alignment horizontal="left" vertical="center" wrapText="1"/>
    </xf>
    <xf numFmtId="49" fontId="3" fillId="12" borderId="6" xfId="0" applyNumberFormat="1" applyFont="1" applyFill="1" applyBorder="1" applyAlignment="1">
      <alignment horizontal="center" vertical="center" wrapText="1"/>
    </xf>
    <xf numFmtId="49" fontId="3" fillId="12" borderId="7" xfId="0" applyNumberFormat="1" applyFont="1" applyFill="1" applyBorder="1" applyAlignment="1">
      <alignment horizontal="center" vertical="center" wrapText="1"/>
    </xf>
    <xf numFmtId="49" fontId="3" fillId="12" borderId="8" xfId="0" applyNumberFormat="1" applyFont="1" applyFill="1" applyBorder="1" applyAlignment="1">
      <alignment horizontal="center" vertical="center" wrapText="1"/>
    </xf>
    <xf numFmtId="0" fontId="3" fillId="19" borderId="32" xfId="0" applyFont="1" applyFill="1" applyBorder="1" applyAlignment="1">
      <alignment horizontal="center" vertical="center"/>
    </xf>
    <xf numFmtId="0" fontId="3" fillId="19" borderId="33" xfId="0" applyFont="1" applyFill="1" applyBorder="1" applyAlignment="1">
      <alignment horizontal="center" vertical="center"/>
    </xf>
    <xf numFmtId="0" fontId="3" fillId="19" borderId="35" xfId="0" applyFont="1" applyFill="1" applyBorder="1" applyAlignment="1">
      <alignment horizontal="center" vertical="center"/>
    </xf>
    <xf numFmtId="0" fontId="10" fillId="19" borderId="73" xfId="0" applyFont="1" applyFill="1" applyBorder="1" applyAlignment="1">
      <alignment horizontal="left" vertical="center" wrapText="1"/>
    </xf>
    <xf numFmtId="0" fontId="3" fillId="0" borderId="14" xfId="0" applyFont="1" applyBorder="1" applyAlignment="1">
      <alignment vertical="center" wrapText="1"/>
    </xf>
    <xf numFmtId="0" fontId="3" fillId="23" borderId="60" xfId="0" applyFont="1" applyFill="1" applyBorder="1" applyAlignment="1">
      <alignment horizontal="center" vertical="center"/>
    </xf>
    <xf numFmtId="0" fontId="3" fillId="23" borderId="59" xfId="0" applyFont="1" applyFill="1" applyBorder="1" applyAlignment="1">
      <alignment horizontal="center" vertical="center"/>
    </xf>
    <xf numFmtId="0" fontId="3" fillId="23" borderId="68" xfId="0" applyFont="1" applyFill="1" applyBorder="1" applyAlignment="1">
      <alignment vertical="center" wrapText="1"/>
    </xf>
    <xf numFmtId="0" fontId="3" fillId="23" borderId="0" xfId="0" applyFont="1" applyFill="1" applyAlignment="1">
      <alignment vertical="center" wrapText="1"/>
    </xf>
    <xf numFmtId="0" fontId="3" fillId="23" borderId="55" xfId="0" applyFont="1" applyFill="1" applyBorder="1" applyAlignment="1">
      <alignment vertical="center" wrapText="1"/>
    </xf>
    <xf numFmtId="49" fontId="4" fillId="4" borderId="0" xfId="0" applyNumberFormat="1" applyFont="1" applyFill="1" applyAlignment="1">
      <alignment horizontal="center" vertical="top" wrapText="1"/>
    </xf>
    <xf numFmtId="0" fontId="3" fillId="15" borderId="0" xfId="0" applyFont="1" applyFill="1" applyAlignment="1">
      <alignment horizontal="left" vertical="center" wrapText="1"/>
    </xf>
    <xf numFmtId="49" fontId="3" fillId="0" borderId="13" xfId="0" applyNumberFormat="1" applyFont="1" applyBorder="1" applyAlignment="1">
      <alignment horizontal="center" vertical="center" wrapText="1"/>
    </xf>
    <xf numFmtId="0" fontId="3" fillId="16" borderId="15" xfId="0" applyFont="1" applyFill="1" applyBorder="1" applyAlignment="1">
      <alignment horizontal="center" vertical="top"/>
    </xf>
    <xf numFmtId="0" fontId="3" fillId="16" borderId="17" xfId="0" applyFont="1" applyFill="1" applyBorder="1" applyAlignment="1">
      <alignment horizontal="center" vertical="top"/>
    </xf>
    <xf numFmtId="0" fontId="3" fillId="16" borderId="19" xfId="0" applyFont="1" applyFill="1" applyBorder="1" applyAlignment="1">
      <alignment horizontal="center" vertical="top"/>
    </xf>
    <xf numFmtId="49" fontId="3" fillId="15" borderId="17" xfId="0" applyNumberFormat="1" applyFont="1" applyFill="1" applyBorder="1" applyAlignment="1">
      <alignment horizontal="center" vertical="center" wrapText="1"/>
    </xf>
    <xf numFmtId="0" fontId="3" fillId="15" borderId="23" xfId="0" applyFont="1" applyFill="1" applyBorder="1" applyAlignment="1">
      <alignment vertical="center" wrapText="1"/>
    </xf>
    <xf numFmtId="49" fontId="3" fillId="15" borderId="21" xfId="0" applyNumberFormat="1" applyFont="1" applyFill="1" applyBorder="1" applyAlignment="1">
      <alignment horizontal="center" vertical="center" wrapText="1"/>
    </xf>
    <xf numFmtId="0" fontId="3" fillId="15" borderId="23" xfId="0" applyFont="1" applyFill="1" applyBorder="1" applyAlignment="1">
      <alignment horizontal="left" vertical="center" wrapText="1"/>
    </xf>
    <xf numFmtId="0" fontId="4" fillId="0" borderId="78" xfId="0" applyFont="1" applyBorder="1" applyAlignment="1">
      <alignment horizontal="center" vertical="top"/>
    </xf>
    <xf numFmtId="0" fontId="4" fillId="0" borderId="80" xfId="0" applyFont="1" applyBorder="1" applyAlignment="1">
      <alignment horizontal="center" vertical="top"/>
    </xf>
    <xf numFmtId="0" fontId="4" fillId="0" borderId="79" xfId="0" applyFont="1" applyBorder="1" applyAlignment="1">
      <alignment horizontal="center" vertical="top"/>
    </xf>
    <xf numFmtId="0" fontId="3" fillId="25" borderId="66" xfId="0" applyFont="1" applyFill="1" applyBorder="1" applyAlignment="1">
      <alignment horizontal="center" vertical="center" wrapText="1"/>
    </xf>
    <xf numFmtId="0" fontId="3" fillId="25" borderId="77" xfId="0" applyFont="1" applyFill="1" applyBorder="1" applyAlignment="1">
      <alignment horizontal="left" vertical="center" wrapText="1"/>
    </xf>
    <xf numFmtId="0" fontId="3" fillId="11" borderId="6" xfId="0" applyFont="1" applyFill="1" applyBorder="1" applyAlignment="1">
      <alignment horizontal="center" vertical="top"/>
    </xf>
    <xf numFmtId="0" fontId="3" fillId="11" borderId="7" xfId="0" applyFont="1" applyFill="1" applyBorder="1" applyAlignment="1">
      <alignment horizontal="center" vertical="top"/>
    </xf>
    <xf numFmtId="0" fontId="3" fillId="11" borderId="8" xfId="0" applyFont="1" applyFill="1" applyBorder="1" applyAlignment="1">
      <alignment horizontal="center" vertical="top"/>
    </xf>
    <xf numFmtId="0" fontId="3" fillId="12" borderId="9" xfId="0" applyFont="1" applyFill="1" applyBorder="1" applyAlignment="1">
      <alignment vertical="center" wrapText="1"/>
    </xf>
    <xf numFmtId="0" fontId="3" fillId="23" borderId="55" xfId="0" applyFont="1" applyFill="1" applyBorder="1" applyAlignment="1">
      <alignment horizontal="left" vertical="center" wrapText="1"/>
    </xf>
    <xf numFmtId="0" fontId="3" fillId="20" borderId="34" xfId="0" applyFont="1" applyFill="1" applyBorder="1" applyAlignment="1">
      <alignment horizontal="left" vertical="top" wrapText="1"/>
    </xf>
    <xf numFmtId="0" fontId="3" fillId="20" borderId="36" xfId="0" applyFont="1" applyFill="1" applyBorder="1" applyAlignment="1">
      <alignment horizontal="left" vertical="top" wrapText="1"/>
    </xf>
    <xf numFmtId="0" fontId="21" fillId="0" borderId="0" xfId="1" applyFont="1" applyAlignment="1">
      <alignment horizontal="center" vertical="top"/>
    </xf>
    <xf numFmtId="0" fontId="21" fillId="0" borderId="0" xfId="1" applyFont="1" applyAlignment="1">
      <alignment horizontal="left" vertical="top" wrapText="1"/>
    </xf>
    <xf numFmtId="0" fontId="19" fillId="0" borderId="0" xfId="1" applyAlignment="1"/>
  </cellXfs>
  <cellStyles count="3">
    <cellStyle name="Enllaç" xfId="2" builtinId="8"/>
    <cellStyle name="Normal" xfId="0" builtinId="0"/>
    <cellStyle name="Normal 2" xfId="1" xr:uid="{00000000-0005-0000-0000-000002000000}"/>
  </cellStyles>
  <dxfs count="4">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colors>
    <mruColors>
      <color rgb="FF071D49"/>
      <color rgb="FFFFCCFF"/>
      <color rgb="FFFF99FF"/>
      <color rgb="FFAE8055"/>
      <color rgb="FFF85C26"/>
      <color rgb="FFDCC8B6"/>
      <color rgb="FFC5A385"/>
      <color rgb="FF3D9B35"/>
      <color rgb="FFFABC20"/>
      <color rgb="FF00AB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14</xdr:col>
      <xdr:colOff>20159</xdr:colOff>
      <xdr:row>34</xdr:row>
      <xdr:rowOff>45176</xdr:rowOff>
    </xdr:to>
    <xdr:pic>
      <xdr:nvPicPr>
        <xdr:cNvPr id="2" name="Imatg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09600" y="1104900"/>
          <a:ext cx="7944959" cy="5201376"/>
        </a:xfrm>
        <a:prstGeom prst="rect">
          <a:avLst/>
        </a:prstGeom>
      </xdr:spPr>
    </xdr:pic>
    <xdr:clientData/>
  </xdr:twoCellAnchor>
</xdr:wsDr>
</file>

<file path=xl/theme/theme1.xml><?xml version="1.0" encoding="utf-8"?>
<a:theme xmlns:a="http://schemas.openxmlformats.org/drawingml/2006/main" name="Office Theme">
  <a:themeElements>
    <a:clrScheme name="Generalitat">
      <a:dk1>
        <a:sysClr val="windowText" lastClr="000000"/>
      </a:dk1>
      <a:lt1>
        <a:sysClr val="window" lastClr="FFFFFF"/>
      </a:lt1>
      <a:dk2>
        <a:srgbClr val="44546A"/>
      </a:dk2>
      <a:lt2>
        <a:srgbClr val="E7E6E6"/>
      </a:lt2>
      <a:accent1>
        <a:srgbClr val="A8CB33"/>
      </a:accent1>
      <a:accent2>
        <a:srgbClr val="3D9B35"/>
      </a:accent2>
      <a:accent3>
        <a:srgbClr val="BCBF00"/>
      </a:accent3>
      <a:accent4>
        <a:srgbClr val="60A9D1"/>
      </a:accent4>
      <a:accent5>
        <a:srgbClr val="F85C26"/>
      </a:accent5>
      <a:accent6>
        <a:srgbClr val="FABC20"/>
      </a:accent6>
      <a:hlink>
        <a:srgbClr val="AE8055"/>
      </a:hlink>
      <a:folHlink>
        <a:srgbClr val="C0CECE"/>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gencat.sharepoint.com/sites/Informaciiconeixementpatrimoninatural2/Documents%20compartits/Forms/AllItems.aspx?csf=1&amp;web=1&amp;e=3x4ZkK&amp;ovuser=3b9427dc%2Dd30e%2D43bc%2D8c06%2Dff7253676fec%2Cjordiparpal%40gencat%2Ecat&amp;OR=Teams%2DHL&amp;CT=1713942253212&amp;clic"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hyperlink" Target="https://conservationstandards.org/library-item/threats-and-actions-taxonomies/" TargetMode="External"/><Relationship Id="rId1" Type="http://schemas.openxmlformats.org/officeDocument/2006/relationships/hyperlink" Target="https://cdr.eionet.europa.eu/help/habitats_art17/Reporting2025/List%20of%20pressures%20and%20threats%20for%20reporting%202019-2024%20v1.1.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C4"/>
  <sheetViews>
    <sheetView workbookViewId="0">
      <selection activeCell="A30" sqref="A30"/>
    </sheetView>
  </sheetViews>
  <sheetFormatPr defaultColWidth="8.5703125" defaultRowHeight="15"/>
  <sheetData>
    <row r="3" spans="3:3" ht="26.25">
      <c r="C3" s="124" t="s">
        <v>0</v>
      </c>
    </row>
    <row r="4" spans="3:3" ht="26.25">
      <c r="C4" s="124" t="s">
        <v>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3"/>
  <sheetViews>
    <sheetView topLeftCell="A4" workbookViewId="0">
      <selection activeCell="B19" sqref="B19"/>
    </sheetView>
  </sheetViews>
  <sheetFormatPr defaultColWidth="8.5703125" defaultRowHeight="15"/>
  <cols>
    <col min="1" max="1" width="23.42578125" style="74" customWidth="1"/>
    <col min="2" max="2" width="95.140625" style="74" customWidth="1"/>
  </cols>
  <sheetData>
    <row r="1" spans="1:2">
      <c r="A1" s="123" t="s">
        <v>2</v>
      </c>
      <c r="B1" s="122"/>
    </row>
    <row r="2" spans="1:2" ht="30">
      <c r="A2" s="154" t="s">
        <v>3</v>
      </c>
      <c r="B2" s="153" t="s">
        <v>4</v>
      </c>
    </row>
    <row r="3" spans="1:2">
      <c r="A3" s="153"/>
      <c r="B3" s="153"/>
    </row>
    <row r="4" spans="1:2" ht="45">
      <c r="A4" s="154" t="s">
        <v>5</v>
      </c>
      <c r="B4" s="153" t="s">
        <v>6</v>
      </c>
    </row>
    <row r="5" spans="1:2">
      <c r="A5" s="153"/>
      <c r="B5" s="153"/>
    </row>
    <row r="6" spans="1:2">
      <c r="A6" s="121" t="s">
        <v>7</v>
      </c>
      <c r="B6" s="122"/>
    </row>
    <row r="7" spans="1:2" ht="15.75">
      <c r="A7" s="86" t="s">
        <v>8</v>
      </c>
    </row>
    <row r="8" spans="1:2">
      <c r="B8" s="74" t="s">
        <v>9</v>
      </c>
    </row>
    <row r="9" spans="1:2" ht="30">
      <c r="B9" s="74" t="s">
        <v>10</v>
      </c>
    </row>
    <row r="10" spans="1:2" ht="30">
      <c r="B10" s="74" t="s">
        <v>11</v>
      </c>
    </row>
    <row r="11" spans="1:2" ht="30">
      <c r="B11" s="74" t="s">
        <v>12</v>
      </c>
    </row>
    <row r="14" spans="1:2" ht="15.75">
      <c r="A14" s="86" t="s">
        <v>13</v>
      </c>
    </row>
    <row r="15" spans="1:2" ht="30">
      <c r="A15" s="87" t="s">
        <v>14</v>
      </c>
      <c r="B15" s="74" t="s">
        <v>15</v>
      </c>
    </row>
    <row r="16" spans="1:2" ht="30">
      <c r="B16" s="74" t="s">
        <v>16</v>
      </c>
    </row>
    <row r="17" spans="1:2" ht="30">
      <c r="B17" s="74" t="s">
        <v>17</v>
      </c>
    </row>
    <row r="18" spans="1:2" ht="45">
      <c r="B18" s="74" t="s">
        <v>18</v>
      </c>
    </row>
    <row r="19" spans="1:2" ht="45">
      <c r="B19" s="74" t="s">
        <v>19</v>
      </c>
    </row>
    <row r="20" spans="1:2" ht="45">
      <c r="B20" s="74" t="s">
        <v>20</v>
      </c>
    </row>
    <row r="21" spans="1:2" ht="45">
      <c r="B21" s="74" t="s">
        <v>21</v>
      </c>
    </row>
    <row r="22" spans="1:2" ht="60">
      <c r="A22" s="87" t="s">
        <v>22</v>
      </c>
      <c r="B22" s="74" t="s">
        <v>23</v>
      </c>
    </row>
    <row r="23" spans="1:2" ht="45">
      <c r="B23" s="74" t="s">
        <v>24</v>
      </c>
    </row>
    <row r="24" spans="1:2" ht="47.45" customHeight="1">
      <c r="A24" s="87" t="s">
        <v>25</v>
      </c>
      <c r="B24" s="74" t="s">
        <v>26</v>
      </c>
    </row>
    <row r="25" spans="1:2" ht="30">
      <c r="A25" s="87" t="s">
        <v>27</v>
      </c>
      <c r="B25" s="74" t="s">
        <v>28</v>
      </c>
    </row>
    <row r="26" spans="1:2" ht="30">
      <c r="A26" s="87" t="s">
        <v>29</v>
      </c>
      <c r="B26" s="74" t="s">
        <v>30</v>
      </c>
    </row>
    <row r="27" spans="1:2" ht="30">
      <c r="A27" s="87" t="s">
        <v>31</v>
      </c>
      <c r="B27" s="74" t="s">
        <v>32</v>
      </c>
    </row>
    <row r="28" spans="1:2">
      <c r="A28" s="87" t="s">
        <v>33</v>
      </c>
      <c r="B28" s="74" t="s">
        <v>34</v>
      </c>
    </row>
    <row r="30" spans="1:2">
      <c r="A30" s="121" t="s">
        <v>35</v>
      </c>
      <c r="B30" s="122"/>
    </row>
    <row r="31" spans="1:2" ht="45">
      <c r="A31" s="74" t="s">
        <v>36</v>
      </c>
      <c r="B31" s="74" t="s">
        <v>37</v>
      </c>
    </row>
    <row r="32" spans="1:2" ht="30">
      <c r="B32" s="74" t="s">
        <v>38</v>
      </c>
    </row>
    <row r="33" spans="2:2" ht="30">
      <c r="B33" s="74" t="s">
        <v>39</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79"/>
  <sheetViews>
    <sheetView workbookViewId="0">
      <pane ySplit="4" topLeftCell="A5" activePane="bottomLeft" state="frozen"/>
      <selection pane="bottomLeft"/>
    </sheetView>
  </sheetViews>
  <sheetFormatPr defaultColWidth="8.5703125" defaultRowHeight="15.6" customHeight="1"/>
  <cols>
    <col min="1" max="1" width="100.28515625" style="174" customWidth="1"/>
    <col min="2" max="2" width="14.42578125" customWidth="1"/>
    <col min="3" max="3" width="12.140625" customWidth="1"/>
    <col min="4" max="4" width="30.42578125" customWidth="1"/>
    <col min="5" max="5" width="57.42578125" customWidth="1"/>
    <col min="6" max="6" width="50.140625" customWidth="1"/>
    <col min="7" max="7" width="47.5703125" customWidth="1"/>
    <col min="8" max="8" width="18.85546875" customWidth="1"/>
  </cols>
  <sheetData>
    <row r="1" spans="1:10" ht="15.6" customHeight="1">
      <c r="A1" s="175"/>
    </row>
    <row r="2" spans="1:10" ht="15.6" customHeight="1" thickBot="1">
      <c r="A2" s="174" t="s">
        <v>40</v>
      </c>
    </row>
    <row r="3" spans="1:10" ht="15.6" customHeight="1" thickBot="1">
      <c r="A3" s="176" t="s">
        <v>41</v>
      </c>
      <c r="B3" s="155"/>
      <c r="C3" s="155"/>
      <c r="D3" s="156"/>
      <c r="E3" s="239" t="s">
        <v>42</v>
      </c>
      <c r="F3" s="240"/>
      <c r="G3" s="240"/>
      <c r="H3" s="241"/>
    </row>
    <row r="4" spans="1:10" ht="15.6" customHeight="1">
      <c r="A4" s="177" t="s">
        <v>43</v>
      </c>
      <c r="B4" s="157" t="s">
        <v>44</v>
      </c>
      <c r="C4" s="157" t="s">
        <v>45</v>
      </c>
      <c r="D4" s="157" t="s">
        <v>46</v>
      </c>
      <c r="E4" s="157" t="s">
        <v>47</v>
      </c>
      <c r="F4" s="157" t="s">
        <v>48</v>
      </c>
      <c r="G4" s="157" t="s">
        <v>49</v>
      </c>
      <c r="H4" s="158" t="s">
        <v>50</v>
      </c>
    </row>
    <row r="5" spans="1:10" ht="15.6" customHeight="1">
      <c r="A5" s="178" t="s">
        <v>51</v>
      </c>
      <c r="B5" s="127"/>
      <c r="C5" s="127"/>
      <c r="D5" s="127"/>
      <c r="E5" s="127"/>
      <c r="F5" s="127"/>
      <c r="G5" s="127"/>
      <c r="H5" s="159"/>
      <c r="J5" t="s">
        <v>52</v>
      </c>
    </row>
    <row r="6" spans="1:10" ht="15.6" customHeight="1">
      <c r="A6" s="178" t="s">
        <v>53</v>
      </c>
      <c r="B6" s="127"/>
      <c r="C6" s="127"/>
      <c r="D6" s="127"/>
      <c r="E6" s="127"/>
      <c r="F6" s="127"/>
      <c r="G6" s="127"/>
      <c r="H6" s="159"/>
      <c r="J6" t="s">
        <v>54</v>
      </c>
    </row>
    <row r="7" spans="1:10" ht="15.6" customHeight="1">
      <c r="A7" s="178" t="s">
        <v>55</v>
      </c>
      <c r="B7" s="127"/>
      <c r="C7" s="127"/>
      <c r="D7" s="127"/>
      <c r="E7" s="127"/>
      <c r="F7" s="127"/>
      <c r="G7" s="127"/>
      <c r="H7" s="159"/>
      <c r="J7" t="s">
        <v>56</v>
      </c>
    </row>
    <row r="8" spans="1:10" ht="15.6" customHeight="1">
      <c r="A8" s="178" t="s">
        <v>57</v>
      </c>
      <c r="B8" s="127"/>
      <c r="C8" s="127"/>
      <c r="D8" s="127"/>
      <c r="E8" s="127"/>
      <c r="F8" s="127"/>
      <c r="G8" s="127"/>
      <c r="H8" s="159"/>
      <c r="J8" t="s">
        <v>58</v>
      </c>
    </row>
    <row r="9" spans="1:10" ht="15.6" customHeight="1">
      <c r="A9" s="178" t="s">
        <v>59</v>
      </c>
      <c r="B9" s="127" t="s">
        <v>60</v>
      </c>
      <c r="C9" s="127">
        <v>2.625</v>
      </c>
      <c r="D9" s="127"/>
      <c r="E9" s="127" t="s">
        <v>61</v>
      </c>
      <c r="F9" s="127" t="s">
        <v>62</v>
      </c>
      <c r="G9" s="127"/>
      <c r="H9" s="159"/>
      <c r="J9" s="162" t="s">
        <v>63</v>
      </c>
    </row>
    <row r="10" spans="1:10" ht="15.6" customHeight="1">
      <c r="A10" s="178" t="s">
        <v>64</v>
      </c>
      <c r="B10" s="127" t="s">
        <v>65</v>
      </c>
      <c r="C10" s="127"/>
      <c r="D10" s="127" t="s">
        <v>66</v>
      </c>
      <c r="E10" s="127"/>
      <c r="F10" s="127"/>
      <c r="G10" s="127"/>
      <c r="H10" s="159"/>
      <c r="J10" t="s">
        <v>67</v>
      </c>
    </row>
    <row r="11" spans="1:10" ht="15.6" customHeight="1">
      <c r="A11" s="178" t="s">
        <v>68</v>
      </c>
      <c r="B11" s="127"/>
      <c r="C11" s="127"/>
      <c r="D11" s="127"/>
      <c r="E11" s="127"/>
      <c r="F11" s="127"/>
      <c r="G11" s="127"/>
      <c r="H11" s="159"/>
    </row>
    <row r="12" spans="1:10" ht="15.6" customHeight="1">
      <c r="A12" s="178" t="s">
        <v>69</v>
      </c>
      <c r="B12" s="127"/>
      <c r="C12" s="127"/>
      <c r="D12" s="127"/>
      <c r="E12" s="127"/>
      <c r="F12" s="127"/>
      <c r="G12" s="127"/>
      <c r="H12" s="159"/>
    </row>
    <row r="13" spans="1:10" ht="15.6" customHeight="1">
      <c r="A13" s="178" t="s">
        <v>70</v>
      </c>
      <c r="B13" s="127" t="s">
        <v>65</v>
      </c>
      <c r="C13" s="127">
        <v>3.625</v>
      </c>
      <c r="D13" s="127" t="s">
        <v>71</v>
      </c>
      <c r="E13" s="127"/>
      <c r="F13" s="127"/>
      <c r="G13" s="127"/>
      <c r="H13" s="159"/>
    </row>
    <row r="14" spans="1:10" ht="15.6" customHeight="1">
      <c r="A14" s="178" t="s">
        <v>72</v>
      </c>
      <c r="B14" s="127"/>
      <c r="C14" s="127"/>
      <c r="D14" s="127"/>
      <c r="E14" s="127"/>
      <c r="F14" s="127"/>
      <c r="G14" s="127"/>
      <c r="H14" s="159"/>
    </row>
    <row r="15" spans="1:10" ht="15.6" customHeight="1">
      <c r="A15" s="178" t="s">
        <v>73</v>
      </c>
      <c r="B15" s="127"/>
      <c r="C15" s="127"/>
      <c r="D15" s="127"/>
      <c r="E15" s="127"/>
      <c r="F15" s="127"/>
      <c r="G15" s="127"/>
      <c r="H15" s="159"/>
    </row>
    <row r="16" spans="1:10" ht="15.6" customHeight="1">
      <c r="A16" s="178" t="s">
        <v>74</v>
      </c>
      <c r="B16" s="127" t="s">
        <v>60</v>
      </c>
      <c r="C16" s="127">
        <v>2.625</v>
      </c>
      <c r="D16" s="127"/>
      <c r="E16" s="127" t="s">
        <v>61</v>
      </c>
      <c r="F16" s="127" t="s">
        <v>62</v>
      </c>
      <c r="G16" s="127" t="s">
        <v>75</v>
      </c>
      <c r="H16" s="159"/>
    </row>
    <row r="17" spans="1:8" ht="15.6" customHeight="1">
      <c r="A17" s="178" t="s">
        <v>76</v>
      </c>
      <c r="B17" s="127"/>
      <c r="C17" s="127"/>
      <c r="D17" s="127"/>
      <c r="E17" s="127"/>
      <c r="F17" s="127"/>
      <c r="G17" s="127"/>
      <c r="H17" s="159"/>
    </row>
    <row r="18" spans="1:8" ht="15.6" customHeight="1">
      <c r="A18" s="178" t="s">
        <v>77</v>
      </c>
      <c r="B18" s="127" t="s">
        <v>60</v>
      </c>
      <c r="C18" s="127"/>
      <c r="D18" s="127"/>
      <c r="E18" s="127" t="s">
        <v>78</v>
      </c>
      <c r="F18" s="127" t="s">
        <v>61</v>
      </c>
      <c r="G18" s="127" t="s">
        <v>62</v>
      </c>
      <c r="H18" s="159" t="s">
        <v>79</v>
      </c>
    </row>
    <row r="19" spans="1:8" ht="15.6" customHeight="1">
      <c r="A19" s="178" t="s">
        <v>80</v>
      </c>
      <c r="B19" s="127" t="s">
        <v>65</v>
      </c>
      <c r="C19" s="127">
        <v>2.625</v>
      </c>
      <c r="D19" s="127" t="s">
        <v>66</v>
      </c>
      <c r="E19" s="127"/>
      <c r="F19" s="127"/>
      <c r="G19" s="127"/>
      <c r="H19" s="159"/>
    </row>
    <row r="20" spans="1:8" ht="15.6" customHeight="1">
      <c r="A20" s="178" t="s">
        <v>81</v>
      </c>
      <c r="B20" s="127"/>
      <c r="C20" s="127"/>
      <c r="D20" s="127"/>
      <c r="E20" s="127"/>
      <c r="F20" s="127"/>
      <c r="G20" s="127"/>
      <c r="H20" s="159"/>
    </row>
    <row r="21" spans="1:8" ht="15.6" customHeight="1">
      <c r="A21" s="178" t="s">
        <v>82</v>
      </c>
      <c r="B21" s="127" t="s">
        <v>60</v>
      </c>
      <c r="C21" s="127">
        <v>5.125</v>
      </c>
      <c r="D21" s="127"/>
      <c r="E21" s="127" t="s">
        <v>61</v>
      </c>
      <c r="F21" s="127" t="s">
        <v>62</v>
      </c>
      <c r="G21" s="127" t="s">
        <v>78</v>
      </c>
      <c r="H21" s="159"/>
    </row>
    <row r="22" spans="1:8" ht="15.6" customHeight="1">
      <c r="A22" s="178" t="s">
        <v>83</v>
      </c>
      <c r="B22" s="127" t="s">
        <v>60</v>
      </c>
      <c r="C22" s="127"/>
      <c r="D22" s="127" t="s">
        <v>84</v>
      </c>
      <c r="E22" s="127" t="s">
        <v>78</v>
      </c>
      <c r="F22" s="127"/>
      <c r="G22" s="127"/>
      <c r="H22" s="159"/>
    </row>
    <row r="23" spans="1:8" ht="15.6" customHeight="1">
      <c r="A23" s="178" t="s">
        <v>85</v>
      </c>
      <c r="B23" s="127" t="s">
        <v>60</v>
      </c>
      <c r="C23" s="127">
        <v>2.625</v>
      </c>
      <c r="D23" s="127"/>
      <c r="E23" s="127" t="s">
        <v>78</v>
      </c>
      <c r="F23" s="127"/>
      <c r="G23" s="127"/>
      <c r="H23" s="159"/>
    </row>
    <row r="24" spans="1:8" ht="15.6" customHeight="1">
      <c r="A24" s="178" t="s">
        <v>86</v>
      </c>
      <c r="B24" s="127"/>
      <c r="C24" s="127"/>
      <c r="D24" s="127"/>
      <c r="E24" s="127"/>
      <c r="F24" s="127"/>
      <c r="G24" s="127"/>
      <c r="H24" s="159"/>
    </row>
    <row r="25" spans="1:8" ht="15.6" customHeight="1">
      <c r="A25" s="178" t="s">
        <v>87</v>
      </c>
      <c r="B25" s="127" t="s">
        <v>65</v>
      </c>
      <c r="C25" s="127">
        <v>2.75</v>
      </c>
      <c r="D25" s="127" t="s">
        <v>66</v>
      </c>
      <c r="E25" s="127"/>
      <c r="F25" s="127"/>
      <c r="G25" s="127"/>
      <c r="H25" s="159"/>
    </row>
    <row r="26" spans="1:8" ht="15.6" customHeight="1">
      <c r="A26" s="178" t="s">
        <v>88</v>
      </c>
      <c r="B26" s="127" t="s">
        <v>60</v>
      </c>
      <c r="C26" s="127">
        <v>2.875</v>
      </c>
      <c r="D26" s="127"/>
      <c r="E26" s="127" t="s">
        <v>75</v>
      </c>
      <c r="F26" s="127" t="s">
        <v>61</v>
      </c>
      <c r="G26" s="127" t="s">
        <v>62</v>
      </c>
      <c r="H26" s="159"/>
    </row>
    <row r="27" spans="1:8" ht="15.6" customHeight="1">
      <c r="A27" s="178" t="s">
        <v>89</v>
      </c>
      <c r="B27" s="127"/>
      <c r="C27" s="127"/>
      <c r="D27" s="127"/>
      <c r="E27" s="127"/>
      <c r="F27" s="127"/>
      <c r="G27" s="127"/>
      <c r="H27" s="159"/>
    </row>
    <row r="28" spans="1:8" ht="15.6" customHeight="1">
      <c r="A28" s="178" t="s">
        <v>90</v>
      </c>
      <c r="B28" s="127"/>
      <c r="C28" s="127"/>
      <c r="D28" s="127"/>
      <c r="E28" s="127"/>
      <c r="F28" s="127"/>
      <c r="G28" s="127"/>
      <c r="H28" s="159"/>
    </row>
    <row r="29" spans="1:8" ht="15.6" customHeight="1">
      <c r="A29" s="178" t="s">
        <v>91</v>
      </c>
      <c r="B29" s="127" t="s">
        <v>60</v>
      </c>
      <c r="C29" s="127"/>
      <c r="D29" s="127"/>
      <c r="E29" s="127" t="s">
        <v>92</v>
      </c>
      <c r="F29" s="127"/>
      <c r="G29" s="127"/>
      <c r="H29" s="159"/>
    </row>
    <row r="30" spans="1:8" ht="15.6" customHeight="1">
      <c r="A30" s="178" t="s">
        <v>93</v>
      </c>
      <c r="B30" s="127" t="s">
        <v>94</v>
      </c>
      <c r="C30" s="127"/>
      <c r="D30" s="127" t="s">
        <v>95</v>
      </c>
      <c r="E30" s="127"/>
      <c r="F30" s="127"/>
      <c r="G30" s="127"/>
      <c r="H30" s="159"/>
    </row>
    <row r="31" spans="1:8" ht="15.6" customHeight="1">
      <c r="A31" s="178" t="s">
        <v>96</v>
      </c>
      <c r="B31" s="127"/>
      <c r="C31" s="127"/>
      <c r="E31" s="127"/>
      <c r="F31" s="127"/>
      <c r="G31" s="127"/>
      <c r="H31" s="159"/>
    </row>
    <row r="32" spans="1:8" ht="15.6" customHeight="1">
      <c r="A32" s="178" t="s">
        <v>97</v>
      </c>
      <c r="B32" s="127"/>
      <c r="C32" s="127"/>
      <c r="D32" s="127"/>
      <c r="E32" s="127"/>
      <c r="F32" s="127"/>
      <c r="G32" s="127"/>
      <c r="H32" s="159"/>
    </row>
    <row r="33" spans="1:8" ht="15.6" customHeight="1">
      <c r="A33" s="178" t="s">
        <v>98</v>
      </c>
      <c r="B33" s="127" t="s">
        <v>60</v>
      </c>
      <c r="C33" s="127"/>
      <c r="D33" s="127"/>
      <c r="E33" s="127" t="s">
        <v>92</v>
      </c>
      <c r="F33" s="127"/>
      <c r="G33" s="127"/>
      <c r="H33" s="159"/>
    </row>
    <row r="34" spans="1:8" ht="15.6" customHeight="1">
      <c r="A34" s="178" t="s">
        <v>99</v>
      </c>
      <c r="B34" s="127" t="s">
        <v>94</v>
      </c>
      <c r="C34" s="127"/>
      <c r="D34" s="127" t="s">
        <v>100</v>
      </c>
      <c r="E34" s="127"/>
      <c r="F34" s="127"/>
      <c r="G34" s="127"/>
      <c r="H34" s="159"/>
    </row>
    <row r="35" spans="1:8" ht="15.6" customHeight="1">
      <c r="A35" s="178" t="s">
        <v>101</v>
      </c>
      <c r="B35" s="127"/>
      <c r="C35" s="127"/>
      <c r="D35" s="127"/>
      <c r="E35" s="127"/>
      <c r="F35" s="127"/>
      <c r="G35" s="127"/>
      <c r="H35" s="159"/>
    </row>
    <row r="36" spans="1:8" ht="15.6" customHeight="1">
      <c r="A36" s="178" t="s">
        <v>102</v>
      </c>
      <c r="B36" s="127"/>
      <c r="C36" s="127"/>
      <c r="D36" s="127"/>
      <c r="E36" s="127"/>
      <c r="F36" s="127"/>
      <c r="G36" s="127"/>
      <c r="H36" s="159"/>
    </row>
    <row r="37" spans="1:8" ht="15.6" customHeight="1">
      <c r="A37" s="178" t="s">
        <v>103</v>
      </c>
      <c r="B37" s="127" t="s">
        <v>94</v>
      </c>
      <c r="C37" s="127"/>
      <c r="D37" s="127" t="s">
        <v>66</v>
      </c>
      <c r="E37" s="127"/>
      <c r="F37" s="127"/>
      <c r="G37" s="127"/>
      <c r="H37" s="159"/>
    </row>
    <row r="38" spans="1:8" ht="15.6" customHeight="1">
      <c r="A38" s="178" t="s">
        <v>104</v>
      </c>
      <c r="B38" s="127"/>
      <c r="C38" s="127"/>
      <c r="D38" s="127"/>
      <c r="E38" s="127"/>
      <c r="F38" s="127"/>
      <c r="G38" s="127"/>
      <c r="H38" s="159"/>
    </row>
    <row r="39" spans="1:8" ht="15.6" customHeight="1">
      <c r="A39" s="178" t="s">
        <v>105</v>
      </c>
      <c r="B39" s="127"/>
      <c r="C39" s="127"/>
      <c r="D39" s="127"/>
      <c r="E39" s="127"/>
      <c r="F39" s="127"/>
      <c r="G39" s="127"/>
      <c r="H39" s="159"/>
    </row>
    <row r="40" spans="1:8" ht="15.6" customHeight="1">
      <c r="A40" s="178" t="s">
        <v>106</v>
      </c>
      <c r="B40" s="127" t="s">
        <v>94</v>
      </c>
      <c r="C40" s="127">
        <v>2.875</v>
      </c>
      <c r="D40" s="127" t="s">
        <v>107</v>
      </c>
      <c r="E40" s="127"/>
      <c r="F40" s="127"/>
      <c r="G40" s="127"/>
      <c r="H40" s="159"/>
    </row>
    <row r="41" spans="1:8" ht="15.6" customHeight="1">
      <c r="A41" s="179"/>
      <c r="B41" s="160"/>
      <c r="C41" s="160"/>
      <c r="D41" s="160"/>
      <c r="E41" s="160"/>
      <c r="F41" s="160"/>
      <c r="G41" s="160"/>
      <c r="H41" s="161"/>
    </row>
    <row r="42" spans="1:8" ht="15.6" customHeight="1">
      <c r="A42" s="177" t="s">
        <v>108</v>
      </c>
      <c r="B42" s="157" t="s">
        <v>44</v>
      </c>
      <c r="C42" s="157" t="s">
        <v>45</v>
      </c>
      <c r="D42" s="157" t="s">
        <v>46</v>
      </c>
      <c r="E42" s="157" t="s">
        <v>47</v>
      </c>
      <c r="F42" s="157" t="s">
        <v>48</v>
      </c>
      <c r="G42" s="157" t="s">
        <v>49</v>
      </c>
      <c r="H42" s="158" t="s">
        <v>50</v>
      </c>
    </row>
    <row r="43" spans="1:8" ht="15.6" customHeight="1">
      <c r="A43" s="178" t="s">
        <v>109</v>
      </c>
      <c r="B43" s="127" t="s">
        <v>65</v>
      </c>
      <c r="C43" s="127"/>
      <c r="D43" s="127"/>
      <c r="E43" s="127"/>
      <c r="F43" s="127"/>
      <c r="G43" s="127"/>
      <c r="H43" s="127"/>
    </row>
    <row r="44" spans="1:8" ht="15.6" customHeight="1">
      <c r="A44" s="180" t="s">
        <v>110</v>
      </c>
      <c r="B44" s="127" t="s">
        <v>65</v>
      </c>
      <c r="C44" s="127"/>
      <c r="D44" s="127"/>
      <c r="E44" s="127"/>
      <c r="F44" s="127"/>
      <c r="G44" s="127"/>
      <c r="H44" s="127"/>
    </row>
    <row r="45" spans="1:8" ht="15.6" customHeight="1">
      <c r="A45" s="180" t="s">
        <v>111</v>
      </c>
      <c r="B45" s="127" t="s">
        <v>65</v>
      </c>
      <c r="C45" s="127"/>
      <c r="D45" s="127"/>
      <c r="E45" s="127"/>
      <c r="F45" s="127"/>
      <c r="G45" s="127"/>
      <c r="H45" s="127"/>
    </row>
    <row r="46" spans="1:8" ht="15.6" customHeight="1">
      <c r="A46" s="178" t="s">
        <v>112</v>
      </c>
      <c r="B46" s="127" t="s">
        <v>60</v>
      </c>
      <c r="C46" s="127">
        <v>1.944</v>
      </c>
      <c r="D46" s="127"/>
      <c r="E46" s="127" t="s">
        <v>61</v>
      </c>
      <c r="F46" s="127" t="s">
        <v>113</v>
      </c>
      <c r="G46" s="127" t="s">
        <v>92</v>
      </c>
      <c r="H46" s="127"/>
    </row>
    <row r="47" spans="1:8" ht="15.6" customHeight="1">
      <c r="A47" s="180" t="s">
        <v>114</v>
      </c>
      <c r="B47" s="127" t="s">
        <v>65</v>
      </c>
      <c r="C47" s="127"/>
      <c r="D47" s="127"/>
      <c r="E47" s="127"/>
      <c r="F47" s="127"/>
      <c r="G47" s="127"/>
      <c r="H47" s="127"/>
    </row>
    <row r="48" spans="1:8" ht="15.6" customHeight="1">
      <c r="A48" s="178" t="s">
        <v>115</v>
      </c>
      <c r="B48" s="127" t="s">
        <v>65</v>
      </c>
      <c r="C48" s="127"/>
      <c r="D48" s="127"/>
      <c r="E48" s="127"/>
      <c r="F48" s="127"/>
      <c r="G48" s="127"/>
      <c r="H48" s="127"/>
    </row>
    <row r="49" spans="1:8" ht="15.6" customHeight="1">
      <c r="A49" s="178" t="s">
        <v>116</v>
      </c>
      <c r="B49" s="127" t="s">
        <v>65</v>
      </c>
      <c r="C49" s="127"/>
      <c r="D49" s="127"/>
      <c r="E49" s="127"/>
      <c r="F49" s="127"/>
      <c r="G49" s="127"/>
      <c r="H49" s="127"/>
    </row>
    <row r="50" spans="1:8" ht="15.6" customHeight="1">
      <c r="A50" s="178" t="s">
        <v>117</v>
      </c>
      <c r="B50" s="127" t="s">
        <v>65</v>
      </c>
      <c r="C50" s="127"/>
      <c r="D50" s="127"/>
      <c r="E50" s="127"/>
      <c r="F50" s="127"/>
      <c r="G50" s="127"/>
      <c r="H50" s="127"/>
    </row>
    <row r="51" spans="1:8" ht="15.6" customHeight="1">
      <c r="A51" s="178" t="s">
        <v>118</v>
      </c>
      <c r="B51" s="127" t="s">
        <v>94</v>
      </c>
      <c r="C51" s="127">
        <v>1.556</v>
      </c>
      <c r="D51" s="127" t="s">
        <v>119</v>
      </c>
      <c r="E51" s="127"/>
      <c r="F51" s="127"/>
      <c r="G51" s="127"/>
      <c r="H51" s="127"/>
    </row>
    <row r="52" spans="1:8" ht="15.6" customHeight="1">
      <c r="A52" s="180" t="s">
        <v>120</v>
      </c>
      <c r="B52" s="127" t="s">
        <v>65</v>
      </c>
      <c r="C52" s="127"/>
      <c r="D52" s="127"/>
      <c r="E52" s="127"/>
      <c r="F52" s="127"/>
      <c r="G52" s="127"/>
      <c r="H52" s="127"/>
    </row>
    <row r="53" spans="1:8" ht="15.6" customHeight="1">
      <c r="A53" s="178" t="s">
        <v>121</v>
      </c>
      <c r="B53" s="127" t="s">
        <v>94</v>
      </c>
      <c r="C53" s="127"/>
      <c r="D53" s="127" t="s">
        <v>122</v>
      </c>
      <c r="E53" s="127" t="s">
        <v>92</v>
      </c>
      <c r="F53" s="127" t="s">
        <v>123</v>
      </c>
      <c r="G53" s="127" t="s">
        <v>124</v>
      </c>
      <c r="H53" s="127"/>
    </row>
    <row r="54" spans="1:8" ht="15.6" customHeight="1">
      <c r="A54" s="180" t="s">
        <v>125</v>
      </c>
      <c r="B54" s="127" t="s">
        <v>94</v>
      </c>
      <c r="C54" s="127"/>
      <c r="D54" s="127" t="s">
        <v>126</v>
      </c>
      <c r="E54" s="127" t="s">
        <v>127</v>
      </c>
      <c r="F54" s="127" t="s">
        <v>75</v>
      </c>
      <c r="G54" s="127"/>
      <c r="H54" s="127"/>
    </row>
    <row r="55" spans="1:8" ht="15.6" customHeight="1">
      <c r="A55" s="181" t="s">
        <v>128</v>
      </c>
      <c r="B55" s="127" t="s">
        <v>60</v>
      </c>
      <c r="C55" s="127"/>
      <c r="D55" s="127" t="s">
        <v>129</v>
      </c>
      <c r="E55" s="127" t="s">
        <v>130</v>
      </c>
      <c r="F55" s="127" t="s">
        <v>131</v>
      </c>
      <c r="G55" s="127"/>
      <c r="H55" s="127"/>
    </row>
    <row r="56" spans="1:8" ht="15.6" customHeight="1">
      <c r="A56" s="180" t="s">
        <v>132</v>
      </c>
      <c r="B56" s="127" t="s">
        <v>65</v>
      </c>
      <c r="C56" s="127"/>
      <c r="D56" s="127"/>
      <c r="E56" s="127"/>
      <c r="F56" s="127"/>
      <c r="G56" s="127"/>
      <c r="H56" s="127"/>
    </row>
    <row r="57" spans="1:8" ht="15.6" customHeight="1">
      <c r="A57" s="180" t="s">
        <v>133</v>
      </c>
      <c r="B57" s="127" t="s">
        <v>60</v>
      </c>
      <c r="C57" s="127"/>
      <c r="D57" s="127" t="s">
        <v>134</v>
      </c>
      <c r="E57" s="127" t="s">
        <v>113</v>
      </c>
      <c r="F57" s="127" t="s">
        <v>92</v>
      </c>
      <c r="G57" s="127" t="s">
        <v>135</v>
      </c>
      <c r="H57" s="127" t="s">
        <v>78</v>
      </c>
    </row>
    <row r="58" spans="1:8" ht="15.6" customHeight="1">
      <c r="A58" s="178" t="s">
        <v>136</v>
      </c>
      <c r="B58" s="127" t="s">
        <v>65</v>
      </c>
      <c r="C58" s="127"/>
      <c r="D58" s="127"/>
      <c r="E58" s="127"/>
      <c r="F58" s="127"/>
      <c r="G58" s="127"/>
      <c r="H58" s="127"/>
    </row>
    <row r="59" spans="1:8" ht="15.6" customHeight="1">
      <c r="A59" s="178" t="s">
        <v>137</v>
      </c>
      <c r="B59" s="127" t="s">
        <v>60</v>
      </c>
      <c r="C59" s="127">
        <v>1.833</v>
      </c>
      <c r="D59" s="127"/>
      <c r="E59" s="127" t="s">
        <v>113</v>
      </c>
      <c r="F59" s="127" t="s">
        <v>61</v>
      </c>
      <c r="G59" s="127" t="s">
        <v>62</v>
      </c>
      <c r="H59" s="127"/>
    </row>
    <row r="60" spans="1:8" ht="15.6" customHeight="1">
      <c r="A60" s="180" t="s">
        <v>138</v>
      </c>
      <c r="B60" s="127" t="s">
        <v>60</v>
      </c>
      <c r="C60" s="127"/>
      <c r="D60" s="127" t="s">
        <v>139</v>
      </c>
      <c r="E60" s="127" t="s">
        <v>61</v>
      </c>
      <c r="F60" s="127" t="s">
        <v>131</v>
      </c>
      <c r="G60" s="127" t="s">
        <v>130</v>
      </c>
      <c r="H60" s="127" t="s">
        <v>140</v>
      </c>
    </row>
    <row r="61" spans="1:8" ht="15.6" customHeight="1">
      <c r="A61" s="178" t="s">
        <v>141</v>
      </c>
      <c r="B61" s="127" t="s">
        <v>60</v>
      </c>
      <c r="C61" s="127">
        <v>2.1669999999999998</v>
      </c>
      <c r="D61" s="127"/>
      <c r="E61" s="127" t="s">
        <v>142</v>
      </c>
      <c r="F61" s="127"/>
      <c r="G61" s="127"/>
      <c r="H61" s="127"/>
    </row>
    <row r="62" spans="1:8" ht="15.6" customHeight="1">
      <c r="A62" s="178" t="s">
        <v>143</v>
      </c>
      <c r="B62" s="127" t="s">
        <v>65</v>
      </c>
      <c r="C62" s="127"/>
      <c r="D62" s="127"/>
      <c r="E62" s="127"/>
      <c r="F62" s="127"/>
      <c r="G62" s="127"/>
      <c r="H62" s="127"/>
    </row>
    <row r="63" spans="1:8" ht="15.6" customHeight="1">
      <c r="A63" s="180" t="s">
        <v>144</v>
      </c>
      <c r="B63" s="127" t="s">
        <v>65</v>
      </c>
      <c r="C63" s="127"/>
      <c r="D63" s="127"/>
      <c r="E63" s="127"/>
      <c r="F63" s="127"/>
      <c r="G63" s="127"/>
      <c r="H63" s="127"/>
    </row>
    <row r="64" spans="1:8" ht="15.6" customHeight="1">
      <c r="A64" s="178" t="s">
        <v>145</v>
      </c>
      <c r="B64" s="127" t="s">
        <v>65</v>
      </c>
      <c r="C64" s="127"/>
      <c r="D64" s="127"/>
      <c r="E64" s="127"/>
      <c r="F64" s="127"/>
      <c r="G64" s="127"/>
      <c r="H64" s="127"/>
    </row>
    <row r="65" spans="1:8" ht="15.6" customHeight="1">
      <c r="A65" s="178" t="s">
        <v>146</v>
      </c>
      <c r="B65" s="127" t="s">
        <v>94</v>
      </c>
      <c r="C65" s="127"/>
      <c r="D65" s="127" t="s">
        <v>147</v>
      </c>
      <c r="E65" s="127" t="s">
        <v>61</v>
      </c>
      <c r="F65" s="127" t="s">
        <v>92</v>
      </c>
      <c r="G65" s="127" t="s">
        <v>75</v>
      </c>
      <c r="H65" s="127"/>
    </row>
    <row r="66" spans="1:8" ht="15.6" customHeight="1">
      <c r="A66" s="178" t="s">
        <v>148</v>
      </c>
      <c r="B66" s="127" t="s">
        <v>65</v>
      </c>
      <c r="C66" s="127"/>
      <c r="D66" s="127"/>
      <c r="E66" s="127"/>
      <c r="F66" s="127"/>
      <c r="G66" s="127"/>
      <c r="H66" s="127"/>
    </row>
    <row r="67" spans="1:8" ht="15.6" customHeight="1">
      <c r="A67" s="178" t="s">
        <v>149</v>
      </c>
      <c r="B67" s="127" t="s">
        <v>65</v>
      </c>
      <c r="C67" s="127"/>
      <c r="D67" s="127"/>
      <c r="E67" s="127"/>
      <c r="F67" s="127"/>
      <c r="G67" s="127"/>
      <c r="H67" s="127"/>
    </row>
    <row r="68" spans="1:8" ht="15.6" customHeight="1">
      <c r="A68" s="178" t="s">
        <v>150</v>
      </c>
      <c r="B68" s="127" t="s">
        <v>65</v>
      </c>
      <c r="C68" s="127"/>
      <c r="D68" s="127"/>
      <c r="E68" s="127"/>
      <c r="F68" s="127"/>
      <c r="G68" s="127"/>
      <c r="H68" s="127"/>
    </row>
    <row r="69" spans="1:8" ht="15.6" customHeight="1">
      <c r="A69" s="178" t="s">
        <v>151</v>
      </c>
      <c r="B69" s="127" t="s">
        <v>60</v>
      </c>
      <c r="C69" s="127"/>
      <c r="D69" s="127"/>
      <c r="E69" s="127" t="s">
        <v>113</v>
      </c>
      <c r="F69" s="127" t="s">
        <v>61</v>
      </c>
      <c r="G69" s="127" t="s">
        <v>62</v>
      </c>
      <c r="H69" s="127"/>
    </row>
    <row r="70" spans="1:8" ht="15.6" customHeight="1">
      <c r="A70" s="180" t="s">
        <v>152</v>
      </c>
      <c r="B70" s="127" t="s">
        <v>60</v>
      </c>
      <c r="C70" s="127">
        <v>1.667</v>
      </c>
      <c r="D70" s="127"/>
      <c r="E70" s="127" t="s">
        <v>62</v>
      </c>
      <c r="F70" s="127" t="s">
        <v>153</v>
      </c>
      <c r="G70" s="127" t="s">
        <v>154</v>
      </c>
      <c r="H70" s="127"/>
    </row>
    <row r="71" spans="1:8" ht="15.6" customHeight="1">
      <c r="A71" s="180" t="s">
        <v>155</v>
      </c>
      <c r="B71" s="127" t="s">
        <v>65</v>
      </c>
      <c r="C71" s="127"/>
      <c r="D71" s="127"/>
      <c r="E71" s="127"/>
      <c r="F71" s="127"/>
      <c r="G71" s="127"/>
      <c r="H71" s="127"/>
    </row>
    <row r="72" spans="1:8" ht="15.6" customHeight="1">
      <c r="A72" s="180" t="s">
        <v>156</v>
      </c>
      <c r="B72" s="127" t="s">
        <v>65</v>
      </c>
      <c r="C72" s="127"/>
      <c r="D72" s="127"/>
      <c r="E72" s="127"/>
      <c r="F72" s="127"/>
      <c r="G72" s="127"/>
      <c r="H72" s="127"/>
    </row>
    <row r="73" spans="1:8" ht="15.6" customHeight="1">
      <c r="A73" s="178" t="s">
        <v>157</v>
      </c>
      <c r="B73" s="127" t="s">
        <v>65</v>
      </c>
      <c r="C73" s="127"/>
      <c r="D73" s="127"/>
      <c r="E73" s="127"/>
      <c r="F73" s="127"/>
      <c r="G73" s="127"/>
      <c r="H73" s="127"/>
    </row>
    <row r="74" spans="1:8" ht="15.6" customHeight="1">
      <c r="A74" s="180" t="s">
        <v>158</v>
      </c>
      <c r="B74" s="127" t="s">
        <v>65</v>
      </c>
      <c r="C74" s="127"/>
      <c r="D74" s="127"/>
      <c r="E74" s="127"/>
      <c r="F74" s="127"/>
      <c r="G74" s="127"/>
      <c r="H74" s="127"/>
    </row>
    <row r="75" spans="1:8" ht="15.6" customHeight="1">
      <c r="A75" s="180" t="s">
        <v>159</v>
      </c>
      <c r="B75" s="127" t="s">
        <v>65</v>
      </c>
      <c r="C75" s="127"/>
      <c r="D75" s="127"/>
      <c r="E75" s="127"/>
      <c r="F75" s="127"/>
      <c r="G75" s="127"/>
      <c r="H75" s="127"/>
    </row>
    <row r="76" spans="1:8" ht="15.6" customHeight="1">
      <c r="A76" s="180" t="s">
        <v>160</v>
      </c>
      <c r="B76" s="127" t="s">
        <v>65</v>
      </c>
      <c r="C76" s="127"/>
      <c r="D76" s="127" t="s">
        <v>161</v>
      </c>
      <c r="E76" s="127"/>
      <c r="F76" s="127"/>
      <c r="G76" s="127"/>
      <c r="H76" s="127"/>
    </row>
    <row r="77" spans="1:8" ht="15.6" customHeight="1">
      <c r="A77" s="180" t="s">
        <v>162</v>
      </c>
      <c r="B77" s="127" t="s">
        <v>65</v>
      </c>
      <c r="C77" s="127"/>
      <c r="D77" s="127"/>
      <c r="E77" s="127"/>
      <c r="F77" s="127"/>
      <c r="G77" s="127"/>
      <c r="H77" s="127"/>
    </row>
    <row r="78" spans="1:8" ht="15.6" customHeight="1">
      <c r="A78" s="181" t="s">
        <v>163</v>
      </c>
      <c r="B78" s="127" t="s">
        <v>60</v>
      </c>
      <c r="C78" s="127"/>
      <c r="D78" s="127" t="s">
        <v>164</v>
      </c>
      <c r="E78" s="127" t="s">
        <v>61</v>
      </c>
      <c r="F78" s="127" t="s">
        <v>62</v>
      </c>
      <c r="G78" s="127" t="s">
        <v>75</v>
      </c>
      <c r="H78" s="127" t="s">
        <v>92</v>
      </c>
    </row>
    <row r="79" spans="1:8" ht="15.6" customHeight="1">
      <c r="A79" s="180" t="s">
        <v>165</v>
      </c>
      <c r="B79" s="127" t="s">
        <v>65</v>
      </c>
      <c r="C79" s="127"/>
      <c r="D79" s="127"/>
      <c r="E79" s="127"/>
      <c r="F79" s="127"/>
      <c r="G79" s="127"/>
      <c r="H79" s="127"/>
    </row>
    <row r="80" spans="1:8" ht="15.6" customHeight="1">
      <c r="A80" s="178" t="s">
        <v>166</v>
      </c>
      <c r="B80" s="127" t="s">
        <v>65</v>
      </c>
      <c r="C80" s="127"/>
      <c r="D80" s="127"/>
      <c r="E80" s="127"/>
      <c r="F80" s="127"/>
      <c r="G80" s="127"/>
      <c r="H80" s="127"/>
    </row>
    <row r="81" spans="1:10" ht="15.6" customHeight="1">
      <c r="A81" s="180" t="s">
        <v>167</v>
      </c>
      <c r="B81" s="127" t="s">
        <v>65</v>
      </c>
      <c r="C81" s="127">
        <v>1.833</v>
      </c>
      <c r="D81" s="127" t="s">
        <v>168</v>
      </c>
      <c r="E81" s="127"/>
      <c r="F81" s="127"/>
      <c r="G81" s="127"/>
      <c r="H81" s="127"/>
    </row>
    <row r="82" spans="1:10" ht="15.6" customHeight="1">
      <c r="A82" s="181" t="s">
        <v>169</v>
      </c>
      <c r="B82" s="127" t="s">
        <v>94</v>
      </c>
      <c r="C82" s="127"/>
      <c r="D82" s="127" t="s">
        <v>170</v>
      </c>
      <c r="E82" s="127" t="s">
        <v>78</v>
      </c>
      <c r="F82" s="127" t="s">
        <v>75</v>
      </c>
      <c r="G82" s="127" t="s">
        <v>62</v>
      </c>
      <c r="H82" s="127"/>
    </row>
    <row r="83" spans="1:10" s="167" customFormat="1" ht="15.6" customHeight="1">
      <c r="A83" s="178" t="s">
        <v>171</v>
      </c>
      <c r="B83" s="127" t="s">
        <v>94</v>
      </c>
      <c r="C83" s="127"/>
      <c r="D83" s="127" t="s">
        <v>172</v>
      </c>
      <c r="E83" s="127" t="s">
        <v>78</v>
      </c>
      <c r="F83" s="127" t="s">
        <v>75</v>
      </c>
      <c r="G83" s="127"/>
      <c r="H83" s="127"/>
      <c r="I83"/>
      <c r="J83"/>
    </row>
    <row r="84" spans="1:10" ht="15.6" customHeight="1">
      <c r="A84" s="180" t="s">
        <v>173</v>
      </c>
      <c r="B84" s="127" t="s">
        <v>65</v>
      </c>
      <c r="C84" s="127"/>
      <c r="D84" s="127"/>
      <c r="E84" s="127"/>
      <c r="F84" s="127"/>
      <c r="G84" s="127"/>
      <c r="H84" s="127"/>
    </row>
    <row r="85" spans="1:10" s="167" customFormat="1" ht="15.6" customHeight="1">
      <c r="A85" s="180" t="s">
        <v>174</v>
      </c>
      <c r="B85" s="127" t="s">
        <v>65</v>
      </c>
      <c r="C85" s="127"/>
      <c r="D85" s="127"/>
      <c r="E85" s="127"/>
      <c r="F85" s="127"/>
      <c r="G85" s="127"/>
      <c r="H85" s="127"/>
      <c r="I85"/>
      <c r="J85"/>
    </row>
    <row r="86" spans="1:10" ht="15.6" customHeight="1">
      <c r="A86" s="178" t="s">
        <v>175</v>
      </c>
      <c r="B86" s="127" t="s">
        <v>94</v>
      </c>
      <c r="C86" s="127"/>
      <c r="D86" s="127" t="s">
        <v>176</v>
      </c>
      <c r="E86" s="127"/>
      <c r="F86" s="127"/>
      <c r="G86" s="127"/>
      <c r="H86" s="127"/>
    </row>
    <row r="87" spans="1:10" ht="15.6" customHeight="1">
      <c r="A87" s="180" t="s">
        <v>177</v>
      </c>
      <c r="B87" s="127" t="s">
        <v>65</v>
      </c>
      <c r="C87" s="127"/>
      <c r="D87" s="127"/>
      <c r="E87" s="127"/>
      <c r="F87" s="127"/>
      <c r="G87" s="127"/>
      <c r="H87" s="127"/>
    </row>
    <row r="88" spans="1:10" ht="15.6" customHeight="1">
      <c r="A88" s="178" t="s">
        <v>178</v>
      </c>
      <c r="B88" s="127" t="s">
        <v>94</v>
      </c>
      <c r="C88" s="127"/>
      <c r="D88" s="127" t="s">
        <v>179</v>
      </c>
      <c r="E88" s="127" t="s">
        <v>75</v>
      </c>
      <c r="F88" s="127"/>
      <c r="G88" s="127"/>
      <c r="H88" s="127"/>
    </row>
    <row r="89" spans="1:10" ht="15.6" customHeight="1">
      <c r="A89" s="178" t="s">
        <v>180</v>
      </c>
      <c r="B89" s="127" t="s">
        <v>65</v>
      </c>
      <c r="C89" s="127"/>
      <c r="D89" s="127"/>
      <c r="E89" s="127"/>
      <c r="F89" s="127"/>
      <c r="G89" s="127"/>
      <c r="H89" s="127"/>
    </row>
    <row r="90" spans="1:10" ht="15.6" customHeight="1">
      <c r="A90" s="178" t="s">
        <v>181</v>
      </c>
      <c r="B90" s="127" t="s">
        <v>65</v>
      </c>
      <c r="C90" s="127"/>
      <c r="D90" s="127"/>
      <c r="E90" s="127"/>
      <c r="F90" s="127"/>
      <c r="G90" s="127"/>
      <c r="H90" s="127"/>
    </row>
    <row r="91" spans="1:10" ht="15.6" customHeight="1">
      <c r="A91" s="180" t="s">
        <v>182</v>
      </c>
      <c r="B91" s="127" t="s">
        <v>65</v>
      </c>
      <c r="C91" s="127"/>
      <c r="D91" s="127"/>
      <c r="E91" s="127"/>
      <c r="F91" s="127"/>
      <c r="G91" s="127"/>
      <c r="H91" s="127"/>
    </row>
    <row r="92" spans="1:10" ht="15.6" customHeight="1">
      <c r="A92" s="178" t="s">
        <v>183</v>
      </c>
      <c r="B92" s="127" t="s">
        <v>65</v>
      </c>
      <c r="C92" s="127"/>
      <c r="D92" s="127"/>
      <c r="E92" s="127"/>
      <c r="F92" s="127"/>
      <c r="G92" s="127"/>
      <c r="H92" s="127"/>
    </row>
    <row r="93" spans="1:10" ht="15.6" customHeight="1">
      <c r="A93" s="178" t="s">
        <v>184</v>
      </c>
      <c r="B93" s="127" t="s">
        <v>60</v>
      </c>
      <c r="C93" s="127"/>
      <c r="D93" s="127"/>
      <c r="E93" s="127" t="s">
        <v>131</v>
      </c>
      <c r="F93" s="127" t="s">
        <v>130</v>
      </c>
      <c r="G93" s="127"/>
      <c r="H93" s="127"/>
    </row>
    <row r="94" spans="1:10" ht="15.6" customHeight="1">
      <c r="A94" s="180" t="s">
        <v>185</v>
      </c>
      <c r="B94" s="127" t="s">
        <v>65</v>
      </c>
      <c r="C94" s="127"/>
      <c r="D94" s="127"/>
      <c r="E94" s="127"/>
      <c r="F94" s="127"/>
      <c r="G94" s="127"/>
      <c r="H94" s="127"/>
    </row>
    <row r="95" spans="1:10" ht="15.6" customHeight="1">
      <c r="A95" s="180" t="s">
        <v>186</v>
      </c>
      <c r="B95" s="127" t="s">
        <v>65</v>
      </c>
      <c r="C95" s="127"/>
      <c r="D95" s="127"/>
      <c r="E95" s="127"/>
      <c r="F95" s="127"/>
      <c r="G95" s="127"/>
      <c r="H95" s="127"/>
    </row>
    <row r="96" spans="1:10" ht="15.6" customHeight="1">
      <c r="A96" s="178" t="s">
        <v>187</v>
      </c>
      <c r="B96" s="127" t="s">
        <v>65</v>
      </c>
      <c r="C96" s="127"/>
      <c r="D96" s="127"/>
      <c r="E96" s="127"/>
      <c r="F96" s="127"/>
      <c r="G96" s="127"/>
      <c r="H96" s="127"/>
    </row>
    <row r="97" spans="1:10" ht="15.6" customHeight="1">
      <c r="A97" s="178" t="s">
        <v>188</v>
      </c>
      <c r="B97" s="127" t="s">
        <v>60</v>
      </c>
      <c r="C97" s="127"/>
      <c r="D97" s="127" t="s">
        <v>189</v>
      </c>
      <c r="E97" s="127" t="s">
        <v>78</v>
      </c>
      <c r="F97" s="127" t="s">
        <v>153</v>
      </c>
      <c r="G97" s="127" t="s">
        <v>92</v>
      </c>
      <c r="H97" s="127"/>
    </row>
    <row r="98" spans="1:10" ht="15.6" customHeight="1">
      <c r="A98" s="180" t="s">
        <v>190</v>
      </c>
      <c r="B98" s="127" t="s">
        <v>65</v>
      </c>
      <c r="C98" s="127"/>
      <c r="D98" s="127"/>
      <c r="E98" s="127"/>
      <c r="F98" s="127"/>
      <c r="G98" s="127"/>
      <c r="H98" s="127"/>
    </row>
    <row r="99" spans="1:10" ht="15.6" customHeight="1">
      <c r="A99" s="178" t="s">
        <v>191</v>
      </c>
      <c r="B99" s="127" t="s">
        <v>65</v>
      </c>
      <c r="C99" s="127"/>
      <c r="D99" s="127"/>
      <c r="E99" s="127"/>
      <c r="F99" s="127"/>
      <c r="G99" s="127"/>
      <c r="H99" s="127"/>
    </row>
    <row r="100" spans="1:10" ht="15.6" customHeight="1">
      <c r="A100" s="180" t="s">
        <v>192</v>
      </c>
      <c r="B100" s="127" t="s">
        <v>94</v>
      </c>
      <c r="C100" s="127"/>
      <c r="D100" s="127" t="s">
        <v>193</v>
      </c>
      <c r="E100" s="127" t="s">
        <v>78</v>
      </c>
      <c r="F100" s="127" t="s">
        <v>62</v>
      </c>
      <c r="G100" s="127" t="s">
        <v>153</v>
      </c>
      <c r="H100" s="127" t="s">
        <v>154</v>
      </c>
    </row>
    <row r="101" spans="1:10" ht="15.6" customHeight="1">
      <c r="A101" s="180" t="s">
        <v>194</v>
      </c>
      <c r="B101" s="127" t="s">
        <v>65</v>
      </c>
      <c r="C101" s="127"/>
      <c r="D101" s="127"/>
      <c r="E101" s="127"/>
      <c r="F101" s="127"/>
      <c r="G101" s="127"/>
      <c r="H101" s="127"/>
    </row>
    <row r="102" spans="1:10" ht="15.6" customHeight="1">
      <c r="A102" s="180" t="s">
        <v>195</v>
      </c>
      <c r="B102" s="127" t="s">
        <v>60</v>
      </c>
      <c r="C102" s="127">
        <v>2.1669999999999998</v>
      </c>
      <c r="D102" s="127"/>
      <c r="E102" s="127" t="s">
        <v>78</v>
      </c>
      <c r="F102" s="127" t="s">
        <v>75</v>
      </c>
      <c r="G102" s="127" t="s">
        <v>61</v>
      </c>
      <c r="H102" s="127" t="s">
        <v>62</v>
      </c>
    </row>
    <row r="103" spans="1:10" ht="15.6" customHeight="1">
      <c r="A103" s="180" t="s">
        <v>196</v>
      </c>
      <c r="B103" s="127" t="s">
        <v>65</v>
      </c>
      <c r="C103" s="127"/>
      <c r="D103" s="127"/>
      <c r="E103" s="127"/>
      <c r="F103" s="127"/>
      <c r="G103" s="127"/>
      <c r="H103" s="127"/>
    </row>
    <row r="104" spans="1:10" ht="15.6" customHeight="1">
      <c r="A104" s="178" t="s">
        <v>197</v>
      </c>
      <c r="B104" s="127" t="s">
        <v>60</v>
      </c>
      <c r="C104" s="127">
        <v>2.444</v>
      </c>
      <c r="D104" s="127"/>
      <c r="E104" s="127" t="s">
        <v>61</v>
      </c>
      <c r="F104" s="127" t="s">
        <v>62</v>
      </c>
      <c r="G104" s="127" t="s">
        <v>92</v>
      </c>
      <c r="H104" s="127"/>
    </row>
    <row r="105" spans="1:10" ht="15.6" customHeight="1">
      <c r="A105" s="178" t="s">
        <v>198</v>
      </c>
      <c r="B105" s="127" t="s">
        <v>65</v>
      </c>
      <c r="C105" s="127"/>
      <c r="D105" s="127"/>
      <c r="E105" s="127"/>
      <c r="F105" s="127"/>
      <c r="G105" s="127"/>
      <c r="H105" s="127"/>
    </row>
    <row r="106" spans="1:10" s="167" customFormat="1" ht="15.6" customHeight="1">
      <c r="A106" s="180" t="s">
        <v>199</v>
      </c>
      <c r="B106" s="127" t="s">
        <v>65</v>
      </c>
      <c r="C106" s="127"/>
      <c r="D106" s="127"/>
      <c r="E106" s="127"/>
      <c r="F106" s="127"/>
      <c r="G106" s="127"/>
      <c r="H106" s="127"/>
      <c r="I106"/>
      <c r="J106"/>
    </row>
    <row r="107" spans="1:10" ht="15.6" customHeight="1">
      <c r="A107" s="180" t="s">
        <v>200</v>
      </c>
      <c r="B107" s="127" t="s">
        <v>65</v>
      </c>
      <c r="C107" s="127"/>
      <c r="D107" s="127"/>
      <c r="E107" s="127"/>
      <c r="F107" s="127"/>
      <c r="G107" s="127"/>
      <c r="H107" s="127"/>
    </row>
    <row r="108" spans="1:10" ht="15.6" customHeight="1">
      <c r="A108" s="178" t="s">
        <v>201</v>
      </c>
      <c r="B108" s="127" t="s">
        <v>65</v>
      </c>
      <c r="C108" s="127"/>
      <c r="D108" s="127"/>
      <c r="E108" s="127"/>
      <c r="F108" s="127"/>
      <c r="G108" s="127"/>
      <c r="H108" s="127"/>
    </row>
    <row r="109" spans="1:10" ht="15.6" customHeight="1">
      <c r="A109" s="178" t="s">
        <v>202</v>
      </c>
      <c r="B109" s="127" t="s">
        <v>94</v>
      </c>
      <c r="C109" s="127"/>
      <c r="D109" s="127" t="s">
        <v>161</v>
      </c>
      <c r="E109" s="127"/>
      <c r="F109" s="127"/>
      <c r="G109" s="127"/>
      <c r="H109" s="127"/>
    </row>
    <row r="110" spans="1:10" ht="15.6" customHeight="1">
      <c r="A110" s="178" t="s">
        <v>203</v>
      </c>
      <c r="B110" s="127" t="s">
        <v>65</v>
      </c>
      <c r="C110" s="127"/>
      <c r="D110" s="127"/>
      <c r="E110" s="127"/>
      <c r="F110" s="127"/>
      <c r="G110" s="127"/>
      <c r="H110" s="127"/>
    </row>
    <row r="111" spans="1:10" ht="15.6" customHeight="1">
      <c r="A111" s="178" t="s">
        <v>204</v>
      </c>
      <c r="B111" s="127" t="s">
        <v>65</v>
      </c>
      <c r="C111" s="127"/>
      <c r="D111" s="127"/>
      <c r="E111" s="127"/>
      <c r="F111" s="127"/>
      <c r="G111" s="127"/>
      <c r="H111" s="127"/>
    </row>
    <row r="112" spans="1:10" ht="15.6" customHeight="1">
      <c r="A112" s="180" t="s">
        <v>205</v>
      </c>
      <c r="B112" s="127" t="s">
        <v>60</v>
      </c>
      <c r="C112" s="127"/>
      <c r="D112" s="127" t="s">
        <v>206</v>
      </c>
      <c r="E112" s="127" t="s">
        <v>78</v>
      </c>
      <c r="F112" s="127" t="s">
        <v>75</v>
      </c>
      <c r="G112" s="127"/>
      <c r="H112" s="127"/>
    </row>
    <row r="113" spans="1:10" ht="15.6" customHeight="1">
      <c r="A113" s="180" t="s">
        <v>207</v>
      </c>
      <c r="B113" s="127" t="s">
        <v>60</v>
      </c>
      <c r="C113" s="127"/>
      <c r="D113" s="127"/>
      <c r="E113" s="127" t="s">
        <v>113</v>
      </c>
      <c r="F113" s="127" t="s">
        <v>61</v>
      </c>
      <c r="G113" s="127" t="s">
        <v>62</v>
      </c>
      <c r="H113" s="127"/>
    </row>
    <row r="114" spans="1:10" ht="15.6" customHeight="1">
      <c r="A114" s="180" t="s">
        <v>208</v>
      </c>
      <c r="B114" s="127" t="s">
        <v>65</v>
      </c>
      <c r="C114" s="127"/>
      <c r="D114" s="127"/>
      <c r="E114" s="127"/>
      <c r="F114" s="127"/>
      <c r="G114" s="127"/>
      <c r="H114" s="127"/>
    </row>
    <row r="115" spans="1:10" ht="15.6" customHeight="1">
      <c r="A115" s="178" t="s">
        <v>209</v>
      </c>
      <c r="B115" s="127" t="s">
        <v>60</v>
      </c>
      <c r="C115" s="127"/>
      <c r="D115" s="127" t="s">
        <v>134</v>
      </c>
      <c r="E115" s="127" t="s">
        <v>92</v>
      </c>
      <c r="F115" s="127" t="s">
        <v>135</v>
      </c>
      <c r="G115" s="127"/>
      <c r="H115" s="127"/>
    </row>
    <row r="116" spans="1:10" ht="15.6" customHeight="1">
      <c r="A116" s="178" t="s">
        <v>210</v>
      </c>
      <c r="B116" s="127" t="s">
        <v>60</v>
      </c>
      <c r="C116" s="127">
        <v>1.833</v>
      </c>
      <c r="D116" s="127"/>
      <c r="E116" s="127" t="s">
        <v>75</v>
      </c>
      <c r="F116" s="127" t="s">
        <v>78</v>
      </c>
      <c r="G116" s="127"/>
      <c r="H116" s="127"/>
    </row>
    <row r="117" spans="1:10" s="167" customFormat="1" ht="15.6" customHeight="1">
      <c r="A117" s="180" t="s">
        <v>211</v>
      </c>
      <c r="B117" s="127" t="s">
        <v>65</v>
      </c>
      <c r="C117" s="127"/>
      <c r="D117" s="127"/>
      <c r="E117" s="127"/>
      <c r="F117" s="127"/>
      <c r="G117" s="127"/>
      <c r="H117" s="127"/>
      <c r="I117"/>
      <c r="J117"/>
    </row>
    <row r="118" spans="1:10" s="167" customFormat="1" ht="15.6" customHeight="1">
      <c r="A118" s="180" t="s">
        <v>212</v>
      </c>
      <c r="B118" s="127" t="s">
        <v>65</v>
      </c>
      <c r="C118" s="127"/>
      <c r="D118" s="127"/>
      <c r="E118" s="127"/>
      <c r="F118" s="127"/>
      <c r="G118" s="127"/>
      <c r="H118" s="127"/>
      <c r="I118"/>
      <c r="J118"/>
    </row>
    <row r="119" spans="1:10" s="167" customFormat="1" ht="15.6" customHeight="1">
      <c r="A119" s="180" t="s">
        <v>213</v>
      </c>
      <c r="B119" s="127" t="s">
        <v>60</v>
      </c>
      <c r="C119" s="127"/>
      <c r="D119" s="127"/>
      <c r="E119" s="127" t="s">
        <v>61</v>
      </c>
      <c r="F119" s="127" t="s">
        <v>62</v>
      </c>
      <c r="G119" s="127"/>
      <c r="H119" s="127"/>
      <c r="I119"/>
      <c r="J119"/>
    </row>
    <row r="120" spans="1:10" ht="15.6" customHeight="1">
      <c r="A120" s="181" t="s">
        <v>214</v>
      </c>
      <c r="B120" s="127" t="s">
        <v>60</v>
      </c>
      <c r="C120" s="127"/>
      <c r="D120" s="127" t="s">
        <v>215</v>
      </c>
      <c r="E120" s="127" t="s">
        <v>130</v>
      </c>
      <c r="F120" s="127" t="s">
        <v>153</v>
      </c>
      <c r="G120" s="127"/>
      <c r="H120" s="127"/>
    </row>
    <row r="121" spans="1:10" ht="15.6" customHeight="1">
      <c r="A121" s="178" t="s">
        <v>216</v>
      </c>
      <c r="B121" s="127" t="s">
        <v>60</v>
      </c>
      <c r="C121" s="127"/>
      <c r="D121" s="127" t="s">
        <v>217</v>
      </c>
      <c r="E121" s="127" t="s">
        <v>113</v>
      </c>
      <c r="F121" s="127"/>
      <c r="G121" s="127"/>
      <c r="H121" s="127"/>
    </row>
    <row r="122" spans="1:10" ht="15.6" customHeight="1">
      <c r="A122" s="178" t="s">
        <v>218</v>
      </c>
      <c r="B122" s="127" t="s">
        <v>65</v>
      </c>
      <c r="C122" s="127"/>
      <c r="D122" s="127"/>
      <c r="E122" s="127"/>
      <c r="F122" s="127"/>
      <c r="G122" s="127"/>
      <c r="H122" s="127"/>
    </row>
    <row r="123" spans="1:10" ht="15.6" customHeight="1">
      <c r="A123" s="180" t="s">
        <v>219</v>
      </c>
      <c r="B123" s="127" t="s">
        <v>65</v>
      </c>
      <c r="C123" s="127"/>
      <c r="D123" s="127"/>
      <c r="E123" s="127"/>
      <c r="F123" s="127"/>
      <c r="G123" s="127"/>
      <c r="H123" s="127"/>
    </row>
    <row r="124" spans="1:10" ht="15.6" customHeight="1">
      <c r="A124" s="178" t="s">
        <v>220</v>
      </c>
      <c r="B124" s="127" t="s">
        <v>60</v>
      </c>
      <c r="C124" s="127"/>
      <c r="D124" s="127" t="s">
        <v>134</v>
      </c>
      <c r="E124" s="127" t="s">
        <v>92</v>
      </c>
      <c r="F124" s="127" t="s">
        <v>135</v>
      </c>
      <c r="G124" s="127" t="s">
        <v>78</v>
      </c>
      <c r="H124" s="127"/>
    </row>
    <row r="125" spans="1:10" ht="15.6" customHeight="1">
      <c r="A125" s="180" t="s">
        <v>221</v>
      </c>
      <c r="B125" s="127" t="s">
        <v>60</v>
      </c>
      <c r="C125" s="127"/>
      <c r="D125" s="127" t="s">
        <v>134</v>
      </c>
      <c r="E125" s="127" t="s">
        <v>135</v>
      </c>
      <c r="F125" s="127" t="s">
        <v>78</v>
      </c>
      <c r="G125" s="127"/>
      <c r="H125" s="127"/>
    </row>
    <row r="126" spans="1:10" ht="15.6" customHeight="1">
      <c r="A126" s="180" t="s">
        <v>222</v>
      </c>
      <c r="B126" s="127" t="s">
        <v>60</v>
      </c>
      <c r="C126" s="127"/>
      <c r="D126" s="127"/>
      <c r="E126" s="127" t="s">
        <v>131</v>
      </c>
      <c r="F126" s="127" t="s">
        <v>130</v>
      </c>
      <c r="G126" s="127"/>
      <c r="H126" s="127"/>
    </row>
    <row r="127" spans="1:10" ht="15.6" customHeight="1">
      <c r="A127" s="180" t="s">
        <v>223</v>
      </c>
      <c r="B127" s="127" t="s">
        <v>65</v>
      </c>
      <c r="C127" s="127"/>
      <c r="D127" s="127"/>
      <c r="E127" s="127"/>
      <c r="F127" s="127"/>
      <c r="G127" s="127"/>
      <c r="H127" s="127"/>
    </row>
    <row r="128" spans="1:10" ht="15.6" customHeight="1">
      <c r="A128" s="178" t="s">
        <v>224</v>
      </c>
      <c r="B128" s="127" t="s">
        <v>94</v>
      </c>
      <c r="C128" s="127">
        <v>2.1110000000000002</v>
      </c>
      <c r="D128" s="127" t="s">
        <v>225</v>
      </c>
      <c r="E128" s="127" t="s">
        <v>62</v>
      </c>
      <c r="F128" s="127" t="s">
        <v>78</v>
      </c>
      <c r="G128" s="127" t="s">
        <v>153</v>
      </c>
      <c r="H128" s="127" t="s">
        <v>75</v>
      </c>
    </row>
    <row r="129" spans="1:10" ht="15.6" customHeight="1">
      <c r="A129" s="178" t="s">
        <v>226</v>
      </c>
      <c r="B129" s="127" t="s">
        <v>60</v>
      </c>
      <c r="C129" s="127"/>
      <c r="D129" s="127"/>
      <c r="E129" s="127" t="s">
        <v>75</v>
      </c>
      <c r="F129" s="127" t="s">
        <v>131</v>
      </c>
      <c r="G129" s="127" t="s">
        <v>61</v>
      </c>
      <c r="H129" s="127"/>
    </row>
    <row r="130" spans="1:10" ht="15.6" customHeight="1">
      <c r="A130" s="180" t="s">
        <v>227</v>
      </c>
      <c r="B130" s="127" t="s">
        <v>65</v>
      </c>
      <c r="C130" s="127"/>
      <c r="D130" s="127"/>
      <c r="E130" s="127"/>
      <c r="F130" s="127"/>
      <c r="G130" s="127"/>
      <c r="H130" s="127"/>
    </row>
    <row r="131" spans="1:10" ht="15.6" customHeight="1">
      <c r="A131" s="180" t="s">
        <v>228</v>
      </c>
      <c r="B131" s="127" t="s">
        <v>60</v>
      </c>
      <c r="C131" s="127">
        <v>1.75</v>
      </c>
      <c r="D131" s="127"/>
      <c r="E131" s="127" t="s">
        <v>61</v>
      </c>
      <c r="F131" s="127" t="s">
        <v>62</v>
      </c>
      <c r="G131" s="127" t="s">
        <v>75</v>
      </c>
      <c r="H131" s="127"/>
    </row>
    <row r="132" spans="1:10" ht="15.6" customHeight="1">
      <c r="A132" s="180" t="s">
        <v>229</v>
      </c>
      <c r="B132" s="127" t="s">
        <v>65</v>
      </c>
      <c r="C132" s="127"/>
      <c r="D132" s="127"/>
      <c r="E132" s="127"/>
      <c r="F132" s="127"/>
      <c r="G132" s="127"/>
      <c r="H132" s="127"/>
    </row>
    <row r="133" spans="1:10" ht="15.6" customHeight="1">
      <c r="A133" s="178" t="s">
        <v>230</v>
      </c>
      <c r="B133" s="127" t="s">
        <v>60</v>
      </c>
      <c r="C133" s="127">
        <v>2.056</v>
      </c>
      <c r="D133" s="127"/>
      <c r="E133" s="127" t="s">
        <v>78</v>
      </c>
      <c r="F133" s="127" t="s">
        <v>142</v>
      </c>
      <c r="G133" s="127" t="s">
        <v>153</v>
      </c>
      <c r="H133" s="127"/>
    </row>
    <row r="134" spans="1:10" ht="15.6" customHeight="1">
      <c r="A134" s="178" t="s">
        <v>231</v>
      </c>
      <c r="B134" s="127" t="s">
        <v>65</v>
      </c>
      <c r="C134" s="127"/>
      <c r="D134" s="127"/>
      <c r="E134" s="127"/>
      <c r="F134" s="127"/>
      <c r="G134" s="127"/>
      <c r="H134" s="127"/>
    </row>
    <row r="135" spans="1:10" ht="15.6" customHeight="1">
      <c r="A135" s="178" t="s">
        <v>232</v>
      </c>
      <c r="B135" s="127" t="s">
        <v>94</v>
      </c>
      <c r="C135" s="127">
        <v>1.611</v>
      </c>
      <c r="D135" s="127" t="s">
        <v>233</v>
      </c>
      <c r="E135" s="127" t="s">
        <v>113</v>
      </c>
      <c r="F135" s="127"/>
      <c r="G135" s="127"/>
      <c r="H135" s="127"/>
    </row>
    <row r="136" spans="1:10" ht="15.6" customHeight="1">
      <c r="A136" s="180" t="s">
        <v>234</v>
      </c>
      <c r="B136" s="127" t="s">
        <v>65</v>
      </c>
      <c r="C136" s="127"/>
      <c r="D136" s="127"/>
      <c r="E136" s="127"/>
      <c r="F136" s="127"/>
      <c r="G136" s="127"/>
      <c r="H136" s="127"/>
    </row>
    <row r="137" spans="1:10" ht="15.6" customHeight="1">
      <c r="A137" s="180" t="s">
        <v>235</v>
      </c>
      <c r="B137" s="127" t="s">
        <v>65</v>
      </c>
      <c r="C137" s="127"/>
      <c r="D137" s="127"/>
      <c r="E137" s="127"/>
      <c r="F137" s="127"/>
      <c r="G137" s="127"/>
      <c r="H137" s="127"/>
    </row>
    <row r="138" spans="1:10" ht="15.6" customHeight="1">
      <c r="A138" s="180" t="s">
        <v>236</v>
      </c>
      <c r="B138" s="127" t="s">
        <v>65</v>
      </c>
      <c r="C138" s="127"/>
      <c r="D138" s="127"/>
      <c r="E138" s="127"/>
      <c r="F138" s="127"/>
      <c r="G138" s="127"/>
      <c r="H138" s="127"/>
    </row>
    <row r="139" spans="1:10" s="167" customFormat="1" ht="15.6" customHeight="1">
      <c r="A139" s="180" t="s">
        <v>237</v>
      </c>
      <c r="B139" s="127" t="s">
        <v>65</v>
      </c>
      <c r="C139" s="127"/>
      <c r="D139" s="127"/>
      <c r="E139" s="127"/>
      <c r="F139" s="127"/>
      <c r="G139" s="127"/>
      <c r="H139" s="127"/>
      <c r="I139"/>
      <c r="J139"/>
    </row>
    <row r="140" spans="1:10" ht="15.6" customHeight="1">
      <c r="A140" s="180" t="s">
        <v>238</v>
      </c>
      <c r="B140" s="127" t="s">
        <v>65</v>
      </c>
      <c r="C140" s="127"/>
      <c r="D140" s="127"/>
      <c r="E140" s="127"/>
      <c r="F140" s="127"/>
      <c r="G140" s="127"/>
      <c r="H140" s="127"/>
    </row>
    <row r="141" spans="1:10" ht="15.6" customHeight="1">
      <c r="A141" s="180" t="s">
        <v>239</v>
      </c>
      <c r="B141" s="127" t="s">
        <v>65</v>
      </c>
      <c r="C141" s="127"/>
      <c r="D141" s="127"/>
      <c r="E141" s="127"/>
      <c r="F141" s="127"/>
      <c r="G141" s="127"/>
      <c r="H141" s="127"/>
    </row>
    <row r="142" spans="1:10" ht="15.6" customHeight="1">
      <c r="A142" s="180" t="s">
        <v>240</v>
      </c>
      <c r="B142" s="127" t="s">
        <v>65</v>
      </c>
      <c r="C142" s="127"/>
      <c r="D142" s="127"/>
      <c r="E142" s="127"/>
      <c r="F142" s="127"/>
      <c r="G142" s="127"/>
      <c r="H142" s="127"/>
    </row>
    <row r="143" spans="1:10" ht="15.6" customHeight="1">
      <c r="A143" s="180" t="s">
        <v>241</v>
      </c>
      <c r="B143" s="127" t="s">
        <v>60</v>
      </c>
      <c r="C143" s="127">
        <v>1.833</v>
      </c>
      <c r="D143" s="127"/>
      <c r="E143" s="127" t="s">
        <v>113</v>
      </c>
      <c r="F143" s="127"/>
      <c r="G143" s="127"/>
      <c r="H143" s="127"/>
    </row>
    <row r="144" spans="1:10" ht="15.6" customHeight="1">
      <c r="A144" s="180" t="s">
        <v>242</v>
      </c>
      <c r="B144" s="127" t="s">
        <v>65</v>
      </c>
      <c r="C144" s="127"/>
      <c r="D144" s="127"/>
      <c r="E144" s="127"/>
      <c r="F144" s="127"/>
      <c r="G144" s="127"/>
      <c r="H144" s="127"/>
    </row>
    <row r="145" spans="1:10" ht="15.6" customHeight="1">
      <c r="A145" s="180" t="s">
        <v>243</v>
      </c>
      <c r="B145" s="127" t="s">
        <v>60</v>
      </c>
      <c r="C145" s="127">
        <v>1.75</v>
      </c>
      <c r="D145" s="127"/>
      <c r="E145" s="127" t="s">
        <v>62</v>
      </c>
      <c r="F145" s="127" t="s">
        <v>61</v>
      </c>
      <c r="G145" s="127" t="s">
        <v>135</v>
      </c>
      <c r="H145" s="127"/>
    </row>
    <row r="146" spans="1:10" ht="15.6" customHeight="1">
      <c r="A146" s="180" t="s">
        <v>244</v>
      </c>
      <c r="B146" s="127" t="s">
        <v>65</v>
      </c>
      <c r="C146" s="127"/>
      <c r="D146" s="127"/>
      <c r="E146" s="127"/>
      <c r="F146" s="127"/>
      <c r="G146" s="127"/>
      <c r="H146" s="127"/>
    </row>
    <row r="147" spans="1:10" ht="15.6" customHeight="1">
      <c r="A147" s="180" t="s">
        <v>245</v>
      </c>
      <c r="B147" s="127" t="s">
        <v>65</v>
      </c>
      <c r="C147" s="127"/>
      <c r="D147" s="127"/>
      <c r="E147" s="127"/>
      <c r="F147" s="127"/>
      <c r="G147" s="127"/>
      <c r="H147" s="127"/>
    </row>
    <row r="148" spans="1:10" ht="15.6" customHeight="1">
      <c r="A148" s="178" t="s">
        <v>246</v>
      </c>
      <c r="B148" s="127" t="s">
        <v>60</v>
      </c>
      <c r="C148" s="127">
        <v>1.944</v>
      </c>
      <c r="D148" s="127"/>
      <c r="E148" s="127" t="s">
        <v>62</v>
      </c>
      <c r="F148" s="127" t="s">
        <v>61</v>
      </c>
      <c r="G148" s="127"/>
      <c r="H148" s="127"/>
    </row>
    <row r="149" spans="1:10" ht="15.6" customHeight="1">
      <c r="A149" s="180" t="s">
        <v>247</v>
      </c>
      <c r="B149" s="127" t="s">
        <v>65</v>
      </c>
      <c r="C149" s="127"/>
      <c r="D149" s="127"/>
      <c r="E149" s="127"/>
      <c r="F149" s="127"/>
      <c r="G149" s="127"/>
      <c r="H149" s="127"/>
    </row>
    <row r="150" spans="1:10" ht="15.6" customHeight="1">
      <c r="A150" s="180" t="s">
        <v>248</v>
      </c>
      <c r="B150" s="127" t="s">
        <v>65</v>
      </c>
      <c r="C150" s="127"/>
      <c r="D150" s="127"/>
      <c r="E150" s="127"/>
      <c r="F150" s="127"/>
      <c r="G150" s="127"/>
      <c r="H150" s="127"/>
    </row>
    <row r="151" spans="1:10" ht="15.6" customHeight="1">
      <c r="A151" s="181" t="s">
        <v>249</v>
      </c>
      <c r="B151" s="127" t="s">
        <v>60</v>
      </c>
      <c r="C151" s="127"/>
      <c r="D151" s="127" t="s">
        <v>250</v>
      </c>
      <c r="E151" s="127" t="s">
        <v>75</v>
      </c>
      <c r="F151" s="127" t="s">
        <v>78</v>
      </c>
      <c r="G151" s="127" t="s">
        <v>92</v>
      </c>
      <c r="H151" s="127"/>
    </row>
    <row r="152" spans="1:10" ht="15.6" customHeight="1">
      <c r="A152" s="181" t="s">
        <v>251</v>
      </c>
      <c r="B152" s="127" t="s">
        <v>60</v>
      </c>
      <c r="C152" s="127">
        <v>1.611</v>
      </c>
      <c r="D152" s="127"/>
      <c r="E152" s="127" t="s">
        <v>75</v>
      </c>
      <c r="F152" s="127" t="s">
        <v>78</v>
      </c>
      <c r="G152" s="127" t="s">
        <v>92</v>
      </c>
      <c r="H152" s="127"/>
    </row>
    <row r="153" spans="1:10" ht="15.6" customHeight="1">
      <c r="A153" s="180" t="s">
        <v>252</v>
      </c>
      <c r="B153" s="127" t="s">
        <v>65</v>
      </c>
      <c r="C153" s="127">
        <v>1.833</v>
      </c>
      <c r="D153" s="127" t="s">
        <v>253</v>
      </c>
      <c r="E153" s="127"/>
      <c r="F153" s="127"/>
      <c r="G153" s="127"/>
      <c r="H153" s="127"/>
    </row>
    <row r="154" spans="1:10" ht="15.6" customHeight="1">
      <c r="A154" s="180" t="s">
        <v>254</v>
      </c>
      <c r="B154" s="127" t="s">
        <v>65</v>
      </c>
      <c r="C154" s="127"/>
      <c r="D154" s="127"/>
      <c r="E154" s="127"/>
      <c r="F154" s="127"/>
      <c r="G154" s="127"/>
      <c r="H154" s="127"/>
    </row>
    <row r="155" spans="1:10" s="167" customFormat="1" ht="15.6" customHeight="1">
      <c r="A155" s="180" t="s">
        <v>255</v>
      </c>
      <c r="B155" s="127" t="s">
        <v>65</v>
      </c>
      <c r="C155" s="127">
        <v>1.667</v>
      </c>
      <c r="D155" s="127" t="s">
        <v>256</v>
      </c>
      <c r="E155" s="127"/>
      <c r="F155" s="127"/>
      <c r="G155" s="127"/>
      <c r="H155" s="127"/>
      <c r="I155"/>
      <c r="J155"/>
    </row>
    <row r="156" spans="1:10" ht="15.6" customHeight="1">
      <c r="A156" s="180" t="s">
        <v>257</v>
      </c>
      <c r="B156" s="127" t="s">
        <v>65</v>
      </c>
      <c r="C156" s="127"/>
      <c r="D156" s="127"/>
      <c r="E156" s="127"/>
      <c r="F156" s="127"/>
      <c r="G156" s="127"/>
      <c r="H156" s="127"/>
    </row>
    <row r="157" spans="1:10" ht="15.6" customHeight="1">
      <c r="A157" s="180" t="s">
        <v>258</v>
      </c>
      <c r="B157" s="127" t="s">
        <v>65</v>
      </c>
      <c r="C157" s="127">
        <v>2</v>
      </c>
      <c r="D157" s="127" t="s">
        <v>259</v>
      </c>
      <c r="E157" s="127"/>
      <c r="F157" s="127"/>
      <c r="G157" s="127"/>
      <c r="H157" s="127"/>
    </row>
    <row r="158" spans="1:10" ht="15.6" customHeight="1">
      <c r="A158" s="180" t="s">
        <v>260</v>
      </c>
      <c r="B158" s="127" t="s">
        <v>60</v>
      </c>
      <c r="C158" s="127"/>
      <c r="D158" s="127" t="s">
        <v>134</v>
      </c>
      <c r="E158" s="127" t="s">
        <v>92</v>
      </c>
      <c r="F158" s="127" t="s">
        <v>135</v>
      </c>
      <c r="G158" s="127" t="s">
        <v>78</v>
      </c>
      <c r="H158" s="127"/>
    </row>
    <row r="159" spans="1:10" ht="15.6" customHeight="1">
      <c r="A159" s="181" t="s">
        <v>261</v>
      </c>
      <c r="B159" s="127" t="s">
        <v>65</v>
      </c>
      <c r="C159" s="127"/>
      <c r="D159" s="127"/>
      <c r="E159" s="127"/>
      <c r="F159" s="127"/>
      <c r="G159" s="127"/>
      <c r="H159" s="127"/>
    </row>
    <row r="160" spans="1:10" ht="15.6" customHeight="1">
      <c r="A160" s="181" t="s">
        <v>262</v>
      </c>
      <c r="B160" s="127" t="s">
        <v>94</v>
      </c>
      <c r="C160" s="127">
        <v>2</v>
      </c>
      <c r="D160" s="127" t="s">
        <v>161</v>
      </c>
      <c r="E160" s="127"/>
      <c r="F160" s="127"/>
      <c r="G160" s="127"/>
      <c r="H160" s="127"/>
    </row>
    <row r="161" spans="1:10" ht="15.6" customHeight="1">
      <c r="A161" s="180" t="s">
        <v>263</v>
      </c>
      <c r="B161" s="127" t="s">
        <v>65</v>
      </c>
      <c r="C161" s="127"/>
      <c r="D161" s="127"/>
      <c r="E161" s="127"/>
      <c r="F161" s="127"/>
      <c r="G161" s="127"/>
      <c r="H161" s="127"/>
    </row>
    <row r="162" spans="1:10" ht="15.6" customHeight="1">
      <c r="A162" s="181" t="s">
        <v>264</v>
      </c>
      <c r="B162" s="127" t="s">
        <v>94</v>
      </c>
      <c r="C162" s="127"/>
      <c r="D162" s="127" t="s">
        <v>265</v>
      </c>
      <c r="E162" s="127" t="s">
        <v>78</v>
      </c>
      <c r="F162" s="127" t="s">
        <v>75</v>
      </c>
      <c r="G162" s="127"/>
      <c r="H162" s="127"/>
    </row>
    <row r="163" spans="1:10" ht="15.6" customHeight="1">
      <c r="A163" s="181" t="s">
        <v>266</v>
      </c>
      <c r="B163" s="127" t="s">
        <v>65</v>
      </c>
      <c r="C163" s="127"/>
      <c r="D163" s="127"/>
      <c r="E163" s="127"/>
      <c r="F163" s="127"/>
      <c r="G163" s="127"/>
      <c r="H163" s="127"/>
    </row>
    <row r="164" spans="1:10" ht="15.6" customHeight="1">
      <c r="A164" s="181" t="s">
        <v>267</v>
      </c>
      <c r="B164" s="127" t="s">
        <v>60</v>
      </c>
      <c r="C164" s="127"/>
      <c r="D164" s="127" t="s">
        <v>268</v>
      </c>
      <c r="E164" s="127" t="s">
        <v>142</v>
      </c>
      <c r="F164" s="127" t="s">
        <v>61</v>
      </c>
      <c r="G164" s="127" t="s">
        <v>153</v>
      </c>
      <c r="H164" s="127"/>
    </row>
    <row r="165" spans="1:10" ht="15.6" customHeight="1">
      <c r="A165" s="180" t="s">
        <v>269</v>
      </c>
      <c r="B165" s="127" t="s">
        <v>65</v>
      </c>
      <c r="C165" s="127"/>
      <c r="D165" s="127"/>
      <c r="E165" s="127"/>
      <c r="F165" s="127"/>
      <c r="G165" s="127"/>
      <c r="H165" s="127"/>
    </row>
    <row r="166" spans="1:10" ht="15.6" customHeight="1">
      <c r="A166" s="180" t="s">
        <v>270</v>
      </c>
      <c r="B166" s="127" t="s">
        <v>65</v>
      </c>
      <c r="C166" s="127"/>
      <c r="D166" s="127"/>
      <c r="E166" s="127"/>
      <c r="F166" s="127"/>
      <c r="G166" s="127"/>
      <c r="H166" s="127"/>
    </row>
    <row r="167" spans="1:10" ht="15.6" customHeight="1">
      <c r="A167" s="180" t="s">
        <v>271</v>
      </c>
      <c r="B167" s="127" t="s">
        <v>65</v>
      </c>
      <c r="C167" s="127"/>
      <c r="D167" s="127"/>
      <c r="E167" s="127"/>
      <c r="F167" s="127"/>
      <c r="G167" s="127"/>
      <c r="H167" s="127"/>
    </row>
    <row r="168" spans="1:10" ht="15.6" customHeight="1">
      <c r="A168" s="180" t="s">
        <v>272</v>
      </c>
      <c r="B168" s="127" t="s">
        <v>65</v>
      </c>
      <c r="C168" s="127"/>
      <c r="D168" s="127"/>
      <c r="E168" s="127"/>
      <c r="F168" s="127"/>
      <c r="G168" s="127"/>
      <c r="H168" s="127"/>
    </row>
    <row r="169" spans="1:10" ht="15.6" customHeight="1">
      <c r="A169" s="180" t="s">
        <v>273</v>
      </c>
      <c r="B169" s="127" t="s">
        <v>94</v>
      </c>
      <c r="C169" s="127"/>
      <c r="D169" s="127" t="s">
        <v>274</v>
      </c>
      <c r="E169" s="127" t="s">
        <v>78</v>
      </c>
      <c r="F169" s="127"/>
      <c r="G169" s="127"/>
      <c r="H169" s="127"/>
    </row>
    <row r="170" spans="1:10" ht="15.6" customHeight="1">
      <c r="A170" s="181" t="s">
        <v>275</v>
      </c>
      <c r="B170" s="127" t="s">
        <v>65</v>
      </c>
      <c r="C170" s="127"/>
      <c r="D170" s="127"/>
      <c r="E170" s="127"/>
      <c r="F170" s="127"/>
      <c r="G170" s="127"/>
      <c r="H170" s="127"/>
    </row>
    <row r="171" spans="1:10" ht="15.6" customHeight="1">
      <c r="A171" s="180" t="s">
        <v>276</v>
      </c>
      <c r="B171" s="127" t="s">
        <v>65</v>
      </c>
      <c r="C171" s="127"/>
      <c r="D171" s="127"/>
      <c r="E171" s="127"/>
      <c r="F171" s="127"/>
      <c r="G171" s="127"/>
      <c r="H171" s="127"/>
    </row>
    <row r="172" spans="1:10" ht="15.6" customHeight="1">
      <c r="A172" s="181" t="s">
        <v>277</v>
      </c>
      <c r="B172" s="127" t="s">
        <v>60</v>
      </c>
      <c r="C172" s="127">
        <v>2.444</v>
      </c>
      <c r="D172" s="127"/>
      <c r="E172" s="127" t="s">
        <v>62</v>
      </c>
      <c r="F172" s="127" t="s">
        <v>153</v>
      </c>
      <c r="G172" s="127" t="s">
        <v>61</v>
      </c>
      <c r="H172" s="127" t="s">
        <v>278</v>
      </c>
    </row>
    <row r="173" spans="1:10" ht="15.6" customHeight="1">
      <c r="A173" s="181" t="s">
        <v>279</v>
      </c>
      <c r="B173" s="127" t="s">
        <v>60</v>
      </c>
      <c r="C173" s="127">
        <v>2.056</v>
      </c>
      <c r="D173" s="127"/>
      <c r="E173" s="127" t="s">
        <v>92</v>
      </c>
      <c r="F173" s="166" t="s">
        <v>61</v>
      </c>
      <c r="G173" s="127"/>
      <c r="H173" s="127"/>
    </row>
    <row r="174" spans="1:10" s="167" customFormat="1" ht="15.6" customHeight="1">
      <c r="A174" s="181" t="s">
        <v>280</v>
      </c>
      <c r="B174" s="127" t="s">
        <v>65</v>
      </c>
      <c r="C174" s="127"/>
      <c r="D174" s="127"/>
      <c r="E174" s="127"/>
      <c r="F174" s="127"/>
      <c r="G174" s="127"/>
      <c r="H174" s="127"/>
      <c r="I174"/>
      <c r="J174"/>
    </row>
    <row r="175" spans="1:10" s="167" customFormat="1" ht="15.6" customHeight="1">
      <c r="A175" s="180" t="s">
        <v>281</v>
      </c>
      <c r="B175" s="127" t="s">
        <v>65</v>
      </c>
      <c r="C175" s="127"/>
      <c r="D175" s="127"/>
      <c r="E175" s="127"/>
      <c r="F175" s="127"/>
      <c r="G175" s="127"/>
      <c r="H175" s="127"/>
      <c r="I175"/>
      <c r="J175"/>
    </row>
    <row r="176" spans="1:10" s="167" customFormat="1" ht="15.6" customHeight="1">
      <c r="A176" s="180" t="s">
        <v>282</v>
      </c>
      <c r="B176" s="127" t="s">
        <v>65</v>
      </c>
      <c r="C176" s="127"/>
      <c r="D176" s="127"/>
      <c r="E176" s="127"/>
      <c r="F176" s="127"/>
      <c r="G176" s="127"/>
      <c r="H176" s="127"/>
      <c r="I176"/>
      <c r="J176"/>
    </row>
    <row r="177" spans="1:10" s="167" customFormat="1" ht="15.6" customHeight="1">
      <c r="A177" s="181" t="s">
        <v>283</v>
      </c>
      <c r="B177" s="127" t="s">
        <v>94</v>
      </c>
      <c r="C177" s="127">
        <v>1.611</v>
      </c>
      <c r="D177" s="127" t="s">
        <v>284</v>
      </c>
      <c r="E177" s="127" t="s">
        <v>75</v>
      </c>
      <c r="F177" s="127"/>
      <c r="G177" s="127"/>
      <c r="H177" s="127"/>
      <c r="I177"/>
      <c r="J177"/>
    </row>
    <row r="178" spans="1:10" s="167" customFormat="1" ht="15.6" customHeight="1">
      <c r="A178" s="180" t="s">
        <v>285</v>
      </c>
      <c r="B178" s="127" t="s">
        <v>65</v>
      </c>
      <c r="C178" s="127"/>
      <c r="D178" s="127"/>
      <c r="E178" s="127"/>
      <c r="F178" s="127"/>
      <c r="G178" s="127"/>
      <c r="H178" s="127"/>
      <c r="I178"/>
      <c r="J178"/>
    </row>
    <row r="179" spans="1:10" ht="15.6" customHeight="1">
      <c r="A179" s="181" t="s">
        <v>286</v>
      </c>
      <c r="B179" s="127" t="s">
        <v>60</v>
      </c>
      <c r="C179" s="127"/>
      <c r="D179" s="127" t="s">
        <v>287</v>
      </c>
      <c r="E179" s="127" t="s">
        <v>75</v>
      </c>
      <c r="F179" s="127" t="s">
        <v>61</v>
      </c>
      <c r="G179" s="127"/>
      <c r="H179" s="127"/>
    </row>
  </sheetData>
  <autoFilter ref="A42:J179" xr:uid="{00000000-0009-0000-0000-000002000000}"/>
  <sortState xmlns:xlrd2="http://schemas.microsoft.com/office/spreadsheetml/2017/richdata2" ref="A43:J179">
    <sortCondition ref="A43:A179"/>
  </sortState>
  <mergeCells count="1">
    <mergeCell ref="E3:H3"/>
  </mergeCells>
  <conditionalFormatting sqref="B1:B1048576">
    <cfRule type="cellIs" dxfId="3" priority="1" operator="equal">
      <formula>"Dubtós"</formula>
    </cfRule>
    <cfRule type="cellIs" dxfId="2" priority="2" operator="equal">
      <formula>"No"</formula>
    </cfRule>
    <cfRule type="cellIs" dxfId="1" priority="3" operator="equal">
      <formula>"Si"</formula>
    </cfRule>
  </conditionalFormatting>
  <dataValidations count="1">
    <dataValidation type="list" allowBlank="1" showInputMessage="1" showErrorMessage="1" sqref="E85:G85 E41:G41 H46 G58 B106" xr:uid="{00000000-0002-0000-0200-000000000000}"/>
  </dataValidations>
  <hyperlinks>
    <hyperlink ref="J9" r:id="rId1" xr:uid="{00000000-0004-0000-0200-000000000000}"/>
  </hyperlinks>
  <pageMargins left="0.7" right="0.7" top="0.75" bottom="0.75" header="0.3" footer="0.3"/>
  <pageSetup paperSize="9" orientation="portrait" horizontalDpi="200" verticalDpi="200"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1000000}">
          <x14:formula1>
            <xm:f>Llistes!$H$2:$H$43</xm:f>
          </x14:formula1>
          <xm:sqref>E58:F59 F57:H57 E5:G40 G59 H99:H100 E60:G84 H60 H78 G145:H145 E43:E57 F43:G56 E86:F179 G86:G144 G146:G179 J15:J20</xm:sqref>
        </x14:dataValidation>
        <x14:dataValidation type="list" allowBlank="1" showInputMessage="1" showErrorMessage="1" xr:uid="{00000000-0002-0000-0200-000002000000}">
          <x14:formula1>
            <xm:f>Llistes!$D$2:$D$4</xm:f>
          </x14:formula1>
          <xm:sqref>B107:B179 B43:B105 B5:B40</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pageSetUpPr fitToPage="1"/>
  </sheetPr>
  <dimension ref="A1:AD186"/>
  <sheetViews>
    <sheetView showGridLines="0" tabSelected="1" zoomScale="70" zoomScaleNormal="70" workbookViewId="0">
      <pane ySplit="4" topLeftCell="A43" activePane="bottomLeft" state="frozen"/>
      <selection pane="bottomLeft" activeCell="G45" sqref="G45"/>
    </sheetView>
  </sheetViews>
  <sheetFormatPr defaultColWidth="8.5703125" defaultRowHeight="15"/>
  <cols>
    <col min="1" max="1" width="22.85546875" style="24" customWidth="1"/>
    <col min="2" max="2" width="4" style="5" customWidth="1"/>
    <col min="3" max="3" width="34.140625" style="6" customWidth="1"/>
    <col min="4" max="4" width="7.42578125" style="11" customWidth="1"/>
    <col min="5" max="5" width="50" style="7" customWidth="1"/>
    <col min="6" max="6" width="7.85546875" style="9" customWidth="1"/>
    <col min="7" max="7" width="54.85546875" style="8" customWidth="1"/>
    <col min="8" max="8" width="9.42578125" style="10" customWidth="1"/>
    <col min="9" max="9" width="20" style="10" customWidth="1"/>
    <col min="10" max="10" width="48.5703125" style="8" customWidth="1"/>
    <col min="11" max="11" width="24.85546875" style="10" customWidth="1"/>
    <col min="12" max="12" width="10.85546875" style="5" customWidth="1"/>
    <col min="13" max="13" width="25.140625" style="17" customWidth="1"/>
    <col min="14" max="15" width="55.5703125" style="6" customWidth="1"/>
    <col min="16" max="16" width="44.140625" style="188" customWidth="1"/>
    <col min="17" max="17" width="24.5703125" style="17" customWidth="1"/>
    <col min="18" max="18" width="47.5703125" style="196" customWidth="1"/>
    <col min="19" max="19" width="44.42578125" style="1" customWidth="1"/>
    <col min="20" max="20" width="14.140625" style="3" customWidth="1"/>
    <col min="21" max="21" width="15.42578125" style="3" customWidth="1"/>
    <col min="22" max="22" width="9.42578125" style="3" customWidth="1"/>
    <col min="23" max="23" width="18.5703125" style="3" customWidth="1"/>
    <col min="24" max="25" width="18.140625" style="1" customWidth="1"/>
    <col min="26" max="29" width="8.5703125" style="3"/>
    <col min="30" max="30" width="23.42578125" style="3" customWidth="1"/>
    <col min="31" max="16384" width="8.5703125" style="3"/>
  </cols>
  <sheetData>
    <row r="1" spans="1:30" ht="18.75">
      <c r="A1" s="76" t="s">
        <v>288</v>
      </c>
      <c r="B1" s="77"/>
      <c r="C1" s="78"/>
    </row>
    <row r="2" spans="1:30" ht="37.5">
      <c r="A2" s="79"/>
      <c r="B2" s="80" t="s">
        <v>289</v>
      </c>
      <c r="C2" s="163" t="s">
        <v>290</v>
      </c>
    </row>
    <row r="3" spans="1:30" ht="18.75">
      <c r="A3" s="79"/>
      <c r="B3" s="80"/>
      <c r="C3" s="85"/>
      <c r="T3" s="335" t="s">
        <v>291</v>
      </c>
      <c r="U3" s="336"/>
      <c r="V3" s="335" t="s">
        <v>292</v>
      </c>
      <c r="W3" s="337"/>
      <c r="X3" s="336"/>
      <c r="Y3" s="200"/>
    </row>
    <row r="4" spans="1:30" s="18" customFormat="1" ht="117" customHeight="1">
      <c r="A4" s="81" t="s">
        <v>293</v>
      </c>
      <c r="B4" s="83"/>
      <c r="C4" s="82" t="s">
        <v>294</v>
      </c>
      <c r="D4" s="84"/>
      <c r="E4" s="82" t="s">
        <v>295</v>
      </c>
      <c r="F4" s="97"/>
      <c r="G4" s="97" t="s">
        <v>296</v>
      </c>
      <c r="H4" s="97" t="s">
        <v>297</v>
      </c>
      <c r="I4" s="98" t="s">
        <v>298</v>
      </c>
      <c r="J4" s="99" t="s">
        <v>299</v>
      </c>
      <c r="K4" s="100" t="s">
        <v>300</v>
      </c>
      <c r="L4" s="100" t="s">
        <v>301</v>
      </c>
      <c r="M4" s="101" t="s">
        <v>302</v>
      </c>
      <c r="N4" s="100" t="s">
        <v>303</v>
      </c>
      <c r="O4" s="100" t="s">
        <v>304</v>
      </c>
      <c r="P4" s="189" t="s">
        <v>305</v>
      </c>
      <c r="Q4" s="101" t="s">
        <v>306</v>
      </c>
      <c r="R4" s="120" t="s">
        <v>307</v>
      </c>
      <c r="S4" s="120" t="s">
        <v>308</v>
      </c>
      <c r="T4" s="120" t="s">
        <v>309</v>
      </c>
      <c r="U4" s="120" t="s">
        <v>310</v>
      </c>
      <c r="V4" s="120" t="s">
        <v>311</v>
      </c>
      <c r="W4" s="120" t="s">
        <v>312</v>
      </c>
      <c r="X4" s="120" t="s">
        <v>313</v>
      </c>
      <c r="Y4" s="120" t="s">
        <v>314</v>
      </c>
      <c r="Z4" s="101">
        <v>2025</v>
      </c>
      <c r="AA4" s="101">
        <v>2026</v>
      </c>
      <c r="AB4" s="101">
        <v>2027</v>
      </c>
      <c r="AC4" s="101">
        <v>2028</v>
      </c>
      <c r="AD4" s="101" t="s">
        <v>315</v>
      </c>
    </row>
    <row r="5" spans="1:30" ht="227.45" customHeight="1">
      <c r="A5" s="14" t="s">
        <v>316</v>
      </c>
      <c r="B5" s="34">
        <v>1</v>
      </c>
      <c r="C5" s="42" t="s">
        <v>317</v>
      </c>
      <c r="D5" s="299" t="s">
        <v>318</v>
      </c>
      <c r="E5" s="343" t="s">
        <v>319</v>
      </c>
      <c r="F5" s="102" t="s">
        <v>320</v>
      </c>
      <c r="G5" s="103" t="s">
        <v>321</v>
      </c>
      <c r="H5" s="104" t="s">
        <v>322</v>
      </c>
      <c r="I5" s="104" t="s">
        <v>323</v>
      </c>
      <c r="J5" s="105" t="str">
        <f>G5</f>
        <v>Implementar i executar plans de gestió específics per a hàbitats i espècies de conservació prioritària dins l'ENP</v>
      </c>
      <c r="K5" s="106"/>
      <c r="L5" s="75" t="s">
        <v>60</v>
      </c>
      <c r="M5" s="107" t="s">
        <v>324</v>
      </c>
      <c r="N5" s="75" t="s">
        <v>325</v>
      </c>
      <c r="O5" s="75"/>
      <c r="P5" s="190"/>
      <c r="Q5" s="107" t="s">
        <v>326</v>
      </c>
      <c r="R5" s="192" t="s">
        <v>327</v>
      </c>
      <c r="S5" s="119" t="s">
        <v>328</v>
      </c>
      <c r="T5" s="119" t="s">
        <v>329</v>
      </c>
      <c r="U5" s="119" t="s">
        <v>330</v>
      </c>
      <c r="V5" s="212">
        <f>200+200</f>
        <v>400</v>
      </c>
      <c r="W5" s="224" t="s">
        <v>331</v>
      </c>
      <c r="X5" s="119" t="s">
        <v>332</v>
      </c>
      <c r="Y5" s="119" t="s">
        <v>333</v>
      </c>
      <c r="Z5" s="109"/>
      <c r="AA5" s="109"/>
      <c r="AB5" s="109"/>
      <c r="AC5" s="109"/>
      <c r="AD5" s="221" t="s">
        <v>334</v>
      </c>
    </row>
    <row r="6" spans="1:30" ht="180">
      <c r="A6" s="25"/>
      <c r="B6" s="35"/>
      <c r="C6" s="43"/>
      <c r="D6" s="299"/>
      <c r="E6" s="343"/>
      <c r="F6" s="102" t="s">
        <v>335</v>
      </c>
      <c r="G6" s="103" t="s">
        <v>336</v>
      </c>
      <c r="H6" s="104" t="s">
        <v>322</v>
      </c>
      <c r="I6" s="104" t="s">
        <v>323</v>
      </c>
      <c r="J6" s="105" t="str">
        <f t="shared" ref="J6:J67" si="0">G6</f>
        <v>Adaptar i executar plans de gestió específics per a elements geològics de conservació prioritària dins l'ENP</v>
      </c>
      <c r="K6" s="106"/>
      <c r="L6" s="110" t="s">
        <v>60</v>
      </c>
      <c r="M6" s="107" t="s">
        <v>337</v>
      </c>
      <c r="N6" s="75" t="s">
        <v>338</v>
      </c>
      <c r="O6" s="75"/>
      <c r="P6" s="190"/>
      <c r="Q6" s="107"/>
      <c r="R6" s="172"/>
      <c r="S6" s="119" t="s">
        <v>339</v>
      </c>
      <c r="T6" s="119" t="s">
        <v>340</v>
      </c>
      <c r="U6" s="119" t="s">
        <v>341</v>
      </c>
      <c r="V6" s="212">
        <v>160</v>
      </c>
      <c r="W6" s="224" t="s">
        <v>342</v>
      </c>
      <c r="X6" s="119" t="s">
        <v>343</v>
      </c>
      <c r="Y6" s="119"/>
      <c r="Z6" s="109"/>
      <c r="AA6" s="109"/>
      <c r="AB6" s="109"/>
      <c r="AC6" s="109"/>
      <c r="AD6" s="109"/>
    </row>
    <row r="7" spans="1:30" ht="90">
      <c r="A7" s="25"/>
      <c r="B7" s="35"/>
      <c r="C7" s="43"/>
      <c r="D7" s="312" t="s">
        <v>344</v>
      </c>
      <c r="E7" s="309" t="s">
        <v>345</v>
      </c>
      <c r="F7" s="104" t="s">
        <v>346</v>
      </c>
      <c r="G7" s="103" t="s">
        <v>347</v>
      </c>
      <c r="H7" s="104" t="s">
        <v>322</v>
      </c>
      <c r="I7" s="104" t="s">
        <v>348</v>
      </c>
      <c r="J7" s="105" t="str">
        <f t="shared" si="0"/>
        <v>Implementar la metodologia de gestió adaptativa (Estàndards Oberts de Gestió Adaptativa a Catalunya) en tots els processos de l'ENP</v>
      </c>
      <c r="K7" s="106"/>
      <c r="L7" s="110" t="s">
        <v>60</v>
      </c>
      <c r="M7" s="107" t="s">
        <v>337</v>
      </c>
      <c r="N7" s="75" t="s">
        <v>349</v>
      </c>
      <c r="O7" s="75"/>
      <c r="P7" s="190"/>
      <c r="Q7" s="107" t="s">
        <v>350</v>
      </c>
      <c r="R7" s="192" t="s">
        <v>351</v>
      </c>
      <c r="S7" s="119" t="s">
        <v>352</v>
      </c>
      <c r="T7" s="170">
        <v>0.75</v>
      </c>
      <c r="U7" s="170">
        <v>1</v>
      </c>
      <c r="V7" s="212">
        <f>50*6+100</f>
        <v>400</v>
      </c>
      <c r="W7" s="225" t="s">
        <v>353</v>
      </c>
      <c r="X7" s="119" t="s">
        <v>354</v>
      </c>
      <c r="Y7" s="119"/>
      <c r="Z7" s="109"/>
      <c r="AA7" s="109"/>
      <c r="AB7" s="109"/>
      <c r="AC7" s="109"/>
      <c r="AD7" s="109"/>
    </row>
    <row r="8" spans="1:30" ht="120">
      <c r="A8" s="25"/>
      <c r="B8" s="35"/>
      <c r="C8" s="43"/>
      <c r="D8" s="313"/>
      <c r="E8" s="310"/>
      <c r="F8" s="104" t="s">
        <v>355</v>
      </c>
      <c r="G8" s="103" t="s">
        <v>356</v>
      </c>
      <c r="H8" s="104" t="s">
        <v>322</v>
      </c>
      <c r="I8" s="104" t="s">
        <v>323</v>
      </c>
      <c r="J8" s="105" t="str">
        <f t="shared" si="0"/>
        <v>Executar les mesures previstes en els plans de conservació o recuperació d'espècies amenaçades de forma coordinada amb el Servei de Flora i Fauna en l'àmbit de l'ENP</v>
      </c>
      <c r="K8" s="106"/>
      <c r="L8" s="75" t="s">
        <v>60</v>
      </c>
      <c r="M8" s="107" t="s">
        <v>324</v>
      </c>
      <c r="N8" s="75" t="s">
        <v>357</v>
      </c>
      <c r="O8" s="75"/>
      <c r="P8" s="190"/>
      <c r="Q8" s="197" t="s">
        <v>358</v>
      </c>
      <c r="R8" s="192" t="s">
        <v>359</v>
      </c>
      <c r="S8" s="119" t="s">
        <v>360</v>
      </c>
      <c r="T8" s="119" t="s">
        <v>361</v>
      </c>
      <c r="U8" s="119" t="s">
        <v>362</v>
      </c>
      <c r="V8" s="213">
        <v>150</v>
      </c>
      <c r="W8" s="226" t="s">
        <v>342</v>
      </c>
      <c r="X8" s="119" t="s">
        <v>343</v>
      </c>
      <c r="Y8" s="119"/>
      <c r="Z8" s="109"/>
      <c r="AA8" s="109"/>
      <c r="AB8" s="109"/>
      <c r="AC8" s="109"/>
      <c r="AD8" s="109"/>
    </row>
    <row r="9" spans="1:30" ht="255">
      <c r="A9" s="25"/>
      <c r="B9" s="35"/>
      <c r="C9" s="43"/>
      <c r="D9" s="313"/>
      <c r="E9" s="310"/>
      <c r="F9" s="104" t="s">
        <v>363</v>
      </c>
      <c r="G9" s="103" t="s">
        <v>364</v>
      </c>
      <c r="H9" s="104" t="s">
        <v>322</v>
      </c>
      <c r="I9" s="104" t="s">
        <v>323</v>
      </c>
      <c r="J9" s="105" t="str">
        <f t="shared" si="0"/>
        <v>Executar les mesures de gestió previstes en els plans de control i erradicació d'espècies exòtiques de forma coordinada amb el Servei de Flora i Fauna en l'àmbit de l'ENP</v>
      </c>
      <c r="K9" s="106"/>
      <c r="L9" s="75" t="s">
        <v>60</v>
      </c>
      <c r="M9" s="107" t="s">
        <v>324</v>
      </c>
      <c r="N9" s="75" t="s">
        <v>365</v>
      </c>
      <c r="O9" s="75"/>
      <c r="P9" s="190"/>
      <c r="Q9" s="197" t="s">
        <v>366</v>
      </c>
      <c r="R9" s="192" t="s">
        <v>367</v>
      </c>
      <c r="S9" s="119" t="s">
        <v>368</v>
      </c>
      <c r="T9" s="119" t="s">
        <v>369</v>
      </c>
      <c r="U9" s="119" t="s">
        <v>370</v>
      </c>
      <c r="V9" s="213" t="s">
        <v>371</v>
      </c>
      <c r="W9" s="226" t="s">
        <v>372</v>
      </c>
      <c r="X9" s="119" t="s">
        <v>373</v>
      </c>
      <c r="Y9" s="119"/>
      <c r="Z9" s="109"/>
      <c r="AA9" s="109"/>
      <c r="AB9" s="109"/>
      <c r="AC9" s="109"/>
      <c r="AD9" s="109"/>
    </row>
    <row r="10" spans="1:30" ht="90">
      <c r="A10" s="25"/>
      <c r="B10" s="35"/>
      <c r="C10" s="43"/>
      <c r="D10" s="314"/>
      <c r="E10" s="311"/>
      <c r="F10" s="104" t="s">
        <v>374</v>
      </c>
      <c r="G10" s="229" t="s">
        <v>375</v>
      </c>
      <c r="H10" s="104" t="s">
        <v>376</v>
      </c>
      <c r="I10" s="104" t="s">
        <v>377</v>
      </c>
      <c r="J10" s="105" t="str">
        <f t="shared" si="0"/>
        <v xml:space="preserve">Desplegar els objectius i tasques recollits en els instruments de referència i compromisos internacionals  </v>
      </c>
      <c r="K10" s="106"/>
      <c r="L10" s="75" t="s">
        <v>60</v>
      </c>
      <c r="M10" s="107" t="s">
        <v>378</v>
      </c>
      <c r="N10" s="204" t="s">
        <v>379</v>
      </c>
      <c r="O10" s="204"/>
      <c r="P10" s="190"/>
      <c r="Q10" s="197"/>
      <c r="R10" s="192"/>
      <c r="S10" s="119" t="s">
        <v>380</v>
      </c>
      <c r="T10" s="109">
        <v>3</v>
      </c>
      <c r="U10" s="109">
        <v>6</v>
      </c>
      <c r="V10" s="212">
        <v>460</v>
      </c>
      <c r="W10" s="226" t="s">
        <v>381</v>
      </c>
      <c r="X10" s="119" t="s">
        <v>382</v>
      </c>
      <c r="Y10" s="119"/>
      <c r="Z10" s="109"/>
      <c r="AA10" s="109"/>
      <c r="AB10" s="109"/>
      <c r="AC10" s="109"/>
      <c r="AD10" s="109"/>
    </row>
    <row r="11" spans="1:30" ht="60">
      <c r="A11" s="25"/>
      <c r="B11" s="35"/>
      <c r="C11" s="43"/>
      <c r="D11" s="299" t="s">
        <v>383</v>
      </c>
      <c r="E11" s="343" t="s">
        <v>384</v>
      </c>
      <c r="F11" s="102" t="s">
        <v>385</v>
      </c>
      <c r="G11" s="103" t="s">
        <v>386</v>
      </c>
      <c r="H11" s="104" t="s">
        <v>322</v>
      </c>
      <c r="I11" s="104" t="s">
        <v>323</v>
      </c>
      <c r="J11" s="105" t="str">
        <f t="shared" si="0"/>
        <v>Identificar espais pel foment de la dinàmica natural i l'aprofitament no extractiu</v>
      </c>
      <c r="K11" s="106"/>
      <c r="L11" s="75" t="s">
        <v>60</v>
      </c>
      <c r="M11" s="107" t="s">
        <v>337</v>
      </c>
      <c r="N11" s="75" t="s">
        <v>387</v>
      </c>
      <c r="O11" s="75"/>
      <c r="P11" s="190"/>
      <c r="Q11" s="107" t="s">
        <v>350</v>
      </c>
      <c r="R11" s="192" t="s">
        <v>388</v>
      </c>
      <c r="S11" s="119" t="s">
        <v>389</v>
      </c>
      <c r="T11" s="119" t="s">
        <v>390</v>
      </c>
      <c r="U11" s="119" t="s">
        <v>391</v>
      </c>
      <c r="V11" s="213">
        <f>(80*2)+50</f>
        <v>210</v>
      </c>
      <c r="W11" s="226" t="s">
        <v>392</v>
      </c>
      <c r="X11" s="119" t="s">
        <v>393</v>
      </c>
      <c r="Y11" s="119"/>
      <c r="Z11" s="109"/>
      <c r="AA11" s="109"/>
      <c r="AB11" s="109"/>
      <c r="AC11" s="109"/>
      <c r="AD11" s="109"/>
    </row>
    <row r="12" spans="1:30" ht="60">
      <c r="A12" s="25"/>
      <c r="B12" s="35"/>
      <c r="C12" s="43"/>
      <c r="D12" s="299"/>
      <c r="E12" s="343"/>
      <c r="F12" s="102" t="s">
        <v>394</v>
      </c>
      <c r="G12" s="103" t="s">
        <v>395</v>
      </c>
      <c r="H12" s="104" t="s">
        <v>376</v>
      </c>
      <c r="I12" s="104" t="s">
        <v>377</v>
      </c>
      <c r="J12" s="105" t="str">
        <f t="shared" si="0"/>
        <v>Afavorir la maduresa dels sistemes forestals</v>
      </c>
      <c r="K12" s="106"/>
      <c r="L12" s="75" t="s">
        <v>60</v>
      </c>
      <c r="M12" s="107" t="s">
        <v>337</v>
      </c>
      <c r="N12" s="75" t="s">
        <v>396</v>
      </c>
      <c r="O12" s="75"/>
      <c r="P12" s="206"/>
      <c r="Q12" s="107" t="s">
        <v>326</v>
      </c>
      <c r="R12" s="192" t="s">
        <v>388</v>
      </c>
      <c r="S12" s="119" t="s">
        <v>397</v>
      </c>
      <c r="T12" s="109">
        <v>2</v>
      </c>
      <c r="U12" s="109">
        <v>4</v>
      </c>
      <c r="V12" s="212">
        <v>240</v>
      </c>
      <c r="W12" s="109" t="s">
        <v>398</v>
      </c>
      <c r="X12" s="119" t="s">
        <v>399</v>
      </c>
      <c r="Y12" s="119"/>
      <c r="Z12" s="109"/>
      <c r="AA12" s="109"/>
      <c r="AB12" s="109"/>
      <c r="AC12" s="109"/>
      <c r="AD12" s="109"/>
    </row>
    <row r="13" spans="1:30" ht="60">
      <c r="A13" s="25"/>
      <c r="B13" s="35"/>
      <c r="C13" s="43"/>
      <c r="D13" s="299"/>
      <c r="E13" s="343"/>
      <c r="F13" s="102" t="s">
        <v>400</v>
      </c>
      <c r="G13" s="103" t="s">
        <v>401</v>
      </c>
      <c r="H13" s="104" t="s">
        <v>376</v>
      </c>
      <c r="I13" s="104" t="s">
        <v>377</v>
      </c>
      <c r="J13" s="105" t="s">
        <v>402</v>
      </c>
      <c r="K13" s="219" t="s">
        <v>403</v>
      </c>
      <c r="L13" s="75"/>
      <c r="M13" s="107"/>
      <c r="N13" s="186"/>
      <c r="O13" s="75"/>
      <c r="P13" s="206"/>
      <c r="Q13" s="107" t="s">
        <v>326</v>
      </c>
      <c r="R13" s="192" t="s">
        <v>388</v>
      </c>
      <c r="S13" s="119"/>
      <c r="T13" s="109"/>
      <c r="U13" s="109"/>
      <c r="V13" s="109"/>
      <c r="W13" s="119"/>
      <c r="X13" s="119"/>
      <c r="Y13" s="119"/>
      <c r="Z13" s="109"/>
      <c r="AA13" s="109"/>
      <c r="AB13" s="109"/>
      <c r="AC13" s="109"/>
      <c r="AD13" s="109"/>
    </row>
    <row r="14" spans="1:30" ht="83.1" customHeight="1">
      <c r="A14" s="25"/>
      <c r="B14" s="35"/>
      <c r="C14" s="43"/>
      <c r="D14" s="299"/>
      <c r="E14" s="343"/>
      <c r="F14" s="102" t="s">
        <v>404</v>
      </c>
      <c r="G14" s="103" t="s">
        <v>405</v>
      </c>
      <c r="H14" s="104" t="s">
        <v>376</v>
      </c>
      <c r="I14" s="104" t="s">
        <v>377</v>
      </c>
      <c r="J14" s="105" t="s">
        <v>402</v>
      </c>
      <c r="K14" s="111" t="s">
        <v>406</v>
      </c>
      <c r="L14" s="75"/>
      <c r="M14" s="107" t="s">
        <v>407</v>
      </c>
      <c r="N14" s="75" t="s">
        <v>408</v>
      </c>
      <c r="O14" s="75"/>
      <c r="P14" s="190"/>
      <c r="Q14" s="107" t="s">
        <v>326</v>
      </c>
      <c r="R14" s="192" t="s">
        <v>388</v>
      </c>
      <c r="S14" s="119" t="s">
        <v>409</v>
      </c>
      <c r="T14" s="119">
        <v>20</v>
      </c>
      <c r="U14" s="119">
        <v>80</v>
      </c>
      <c r="V14" s="213">
        <f>80*2*4</f>
        <v>640</v>
      </c>
      <c r="W14" s="226" t="s">
        <v>410</v>
      </c>
      <c r="X14" s="119" t="s">
        <v>411</v>
      </c>
      <c r="Y14" s="119"/>
      <c r="Z14" s="109"/>
      <c r="AA14" s="109"/>
      <c r="AB14" s="109"/>
      <c r="AC14" s="109"/>
      <c r="AD14" s="109"/>
    </row>
    <row r="15" spans="1:30" ht="172.7" customHeight="1">
      <c r="A15" s="25"/>
      <c r="B15" s="35"/>
      <c r="C15" s="43"/>
      <c r="D15" s="299"/>
      <c r="E15" s="343"/>
      <c r="F15" s="102" t="s">
        <v>412</v>
      </c>
      <c r="G15" s="231" t="s">
        <v>413</v>
      </c>
      <c r="H15" s="104" t="s">
        <v>376</v>
      </c>
      <c r="I15" s="104" t="s">
        <v>377</v>
      </c>
      <c r="J15" s="105" t="str">
        <f t="shared" si="0"/>
        <v>Fomentar el paisatge en mosaïc</v>
      </c>
      <c r="K15" s="106"/>
      <c r="L15" s="75" t="s">
        <v>60</v>
      </c>
      <c r="M15" s="107" t="s">
        <v>337</v>
      </c>
      <c r="N15" s="75" t="s">
        <v>414</v>
      </c>
      <c r="O15" s="75"/>
      <c r="P15" s="190"/>
      <c r="Q15" s="107" t="s">
        <v>350</v>
      </c>
      <c r="R15" s="192" t="s">
        <v>388</v>
      </c>
      <c r="S15" s="119" t="s">
        <v>415</v>
      </c>
      <c r="T15" s="119" t="s">
        <v>416</v>
      </c>
      <c r="U15" s="119" t="s">
        <v>417</v>
      </c>
      <c r="V15" s="213">
        <f>60+60</f>
        <v>120</v>
      </c>
      <c r="W15" s="164" t="s">
        <v>418</v>
      </c>
      <c r="X15" s="119" t="s">
        <v>419</v>
      </c>
      <c r="Y15" s="119"/>
      <c r="Z15" s="109"/>
      <c r="AA15" s="109"/>
      <c r="AB15" s="109"/>
      <c r="AC15" s="109"/>
      <c r="AD15" s="109"/>
    </row>
    <row r="16" spans="1:30" ht="75">
      <c r="A16" s="25"/>
      <c r="B16" s="35"/>
      <c r="C16" s="43"/>
      <c r="D16" s="299"/>
      <c r="E16" s="343"/>
      <c r="F16" s="102" t="s">
        <v>420</v>
      </c>
      <c r="G16" s="231" t="s">
        <v>421</v>
      </c>
      <c r="H16" s="104" t="s">
        <v>376</v>
      </c>
      <c r="I16" s="104" t="s">
        <v>377</v>
      </c>
      <c r="J16" s="105" t="str">
        <f t="shared" si="0"/>
        <v>Gestionar i intervenir en la dinàmica de poblacions de fauna que no tenen depredador natural</v>
      </c>
      <c r="K16" s="106"/>
      <c r="L16" s="75" t="s">
        <v>60</v>
      </c>
      <c r="M16" s="107" t="s">
        <v>337</v>
      </c>
      <c r="N16" s="75" t="s">
        <v>422</v>
      </c>
      <c r="O16" s="75"/>
      <c r="P16" s="190"/>
      <c r="Q16" s="107"/>
      <c r="R16" s="192" t="s">
        <v>388</v>
      </c>
      <c r="S16" s="119" t="s">
        <v>423</v>
      </c>
      <c r="T16" s="109" t="s">
        <v>424</v>
      </c>
      <c r="U16" s="109">
        <v>4000</v>
      </c>
      <c r="V16" s="212">
        <v>180</v>
      </c>
      <c r="W16" s="226" t="s">
        <v>342</v>
      </c>
      <c r="X16" s="119" t="s">
        <v>343</v>
      </c>
      <c r="Y16" s="119"/>
      <c r="Z16" s="109"/>
      <c r="AA16" s="109"/>
      <c r="AB16" s="109"/>
      <c r="AC16" s="109"/>
      <c r="AD16" s="109"/>
    </row>
    <row r="17" spans="1:30" ht="30">
      <c r="A17" s="25"/>
      <c r="B17" s="35"/>
      <c r="C17" s="43"/>
      <c r="D17" s="299" t="s">
        <v>425</v>
      </c>
      <c r="E17" s="343" t="s">
        <v>426</v>
      </c>
      <c r="F17" s="102" t="s">
        <v>427</v>
      </c>
      <c r="G17" s="103" t="s">
        <v>428</v>
      </c>
      <c r="H17" s="104" t="s">
        <v>322</v>
      </c>
      <c r="I17" s="104" t="s">
        <v>377</v>
      </c>
      <c r="J17" s="105" t="str">
        <f t="shared" si="0"/>
        <v>Fomentar acords de custòdia en espais d'alt valor dins l'ENP per a la gestió dels elements prioritaris</v>
      </c>
      <c r="K17" s="106"/>
      <c r="L17" s="75" t="s">
        <v>60</v>
      </c>
      <c r="M17" s="107" t="s">
        <v>429</v>
      </c>
      <c r="N17" s="75" t="s">
        <v>430</v>
      </c>
      <c r="O17" s="75"/>
      <c r="P17" s="190"/>
      <c r="Q17" s="107" t="s">
        <v>326</v>
      </c>
      <c r="R17" s="192" t="s">
        <v>431</v>
      </c>
      <c r="S17" s="119" t="s">
        <v>432</v>
      </c>
      <c r="T17" s="109">
        <v>1</v>
      </c>
      <c r="U17" s="109">
        <v>2</v>
      </c>
      <c r="V17" s="212">
        <v>60</v>
      </c>
      <c r="W17" s="225" t="s">
        <v>433</v>
      </c>
      <c r="X17" s="119" t="s">
        <v>434</v>
      </c>
      <c r="Y17" s="119"/>
      <c r="Z17" s="109"/>
      <c r="AA17" s="109"/>
      <c r="AB17" s="109"/>
      <c r="AC17" s="109"/>
      <c r="AD17" s="109"/>
    </row>
    <row r="18" spans="1:30" ht="75">
      <c r="A18" s="25"/>
      <c r="B18" s="35"/>
      <c r="C18" s="43"/>
      <c r="D18" s="299"/>
      <c r="E18" s="343"/>
      <c r="F18" s="102" t="s">
        <v>435</v>
      </c>
      <c r="G18" s="231" t="s">
        <v>436</v>
      </c>
      <c r="H18" s="104" t="s">
        <v>322</v>
      </c>
      <c r="I18" s="104" t="s">
        <v>377</v>
      </c>
      <c r="J18" s="105" t="str">
        <f t="shared" si="0"/>
        <v>Fomentar bones pràctiques entre els col·lectius de propietaris i gestors del territori</v>
      </c>
      <c r="K18" s="106"/>
      <c r="L18" s="75" t="s">
        <v>60</v>
      </c>
      <c r="M18" s="107" t="s">
        <v>337</v>
      </c>
      <c r="N18" s="75" t="s">
        <v>437</v>
      </c>
      <c r="O18" s="75"/>
      <c r="P18" s="190"/>
      <c r="Q18" s="107"/>
      <c r="R18" s="192"/>
      <c r="S18" s="119" t="s">
        <v>438</v>
      </c>
      <c r="T18" s="208" t="s">
        <v>439</v>
      </c>
      <c r="U18" s="208" t="s">
        <v>440</v>
      </c>
      <c r="V18" s="212">
        <v>60</v>
      </c>
      <c r="W18" s="164" t="s">
        <v>441</v>
      </c>
      <c r="X18" s="119" t="s">
        <v>442</v>
      </c>
      <c r="Y18" s="119"/>
      <c r="Z18" s="109"/>
      <c r="AA18" s="109"/>
      <c r="AB18" s="109"/>
      <c r="AC18" s="109"/>
      <c r="AD18" s="109"/>
    </row>
    <row r="19" spans="1:30" ht="60">
      <c r="A19" s="25"/>
      <c r="B19" s="36"/>
      <c r="C19" s="44"/>
      <c r="D19" s="299"/>
      <c r="E19" s="343"/>
      <c r="F19" s="102" t="s">
        <v>443</v>
      </c>
      <c r="G19" s="103" t="s">
        <v>444</v>
      </c>
      <c r="H19" s="104" t="s">
        <v>376</v>
      </c>
      <c r="I19" s="104" t="s">
        <v>377</v>
      </c>
      <c r="J19" s="105" t="str">
        <f t="shared" si="0"/>
        <v>Impulsar la coordinació amb els ens locals en la gestió finques públiques situades dins d’ENP</v>
      </c>
      <c r="K19" s="106"/>
      <c r="L19" s="75" t="s">
        <v>60</v>
      </c>
      <c r="M19" s="107" t="s">
        <v>324</v>
      </c>
      <c r="N19" s="75" t="s">
        <v>445</v>
      </c>
      <c r="O19" s="75"/>
      <c r="P19" s="190"/>
      <c r="Q19" s="107" t="s">
        <v>350</v>
      </c>
      <c r="R19" s="192"/>
      <c r="S19" s="119" t="s">
        <v>446</v>
      </c>
      <c r="T19" s="109">
        <v>3</v>
      </c>
      <c r="U19" s="109">
        <v>6</v>
      </c>
      <c r="V19" s="212">
        <f>20+40+100+100</f>
        <v>260</v>
      </c>
      <c r="W19" s="225" t="s">
        <v>353</v>
      </c>
      <c r="X19" s="119" t="s">
        <v>447</v>
      </c>
      <c r="Y19" s="119"/>
      <c r="Z19" s="109"/>
      <c r="AA19" s="109"/>
      <c r="AB19" s="109"/>
      <c r="AC19" s="109"/>
      <c r="AD19" s="109"/>
    </row>
    <row r="20" spans="1:30" ht="30">
      <c r="A20" s="25"/>
      <c r="B20" s="340">
        <v>2</v>
      </c>
      <c r="C20" s="294" t="s">
        <v>448</v>
      </c>
      <c r="D20" s="312" t="s">
        <v>449</v>
      </c>
      <c r="E20" s="309" t="s">
        <v>450</v>
      </c>
      <c r="F20" s="102" t="s">
        <v>451</v>
      </c>
      <c r="G20" s="103" t="s">
        <v>452</v>
      </c>
      <c r="H20" s="104" t="s">
        <v>322</v>
      </c>
      <c r="I20" s="104" t="s">
        <v>323</v>
      </c>
      <c r="J20" s="105" t="str">
        <f t="shared" si="0"/>
        <v>Adaptar i implementar el Pla d'adaptació de l'ENP al canvi climàtic</v>
      </c>
      <c r="K20" s="106" t="s">
        <v>453</v>
      </c>
      <c r="L20" s="75"/>
      <c r="M20" s="107" t="s">
        <v>407</v>
      </c>
      <c r="N20" s="75"/>
      <c r="O20" s="75"/>
      <c r="P20" s="190"/>
      <c r="Q20" s="107"/>
      <c r="R20" s="192" t="s">
        <v>454</v>
      </c>
      <c r="S20" s="119"/>
      <c r="T20" s="119"/>
      <c r="U20" s="119"/>
      <c r="V20" s="109"/>
      <c r="W20" s="119"/>
      <c r="X20" s="119"/>
      <c r="Y20" s="119"/>
      <c r="Z20" s="109"/>
      <c r="AA20" s="109"/>
      <c r="AB20" s="109"/>
      <c r="AC20" s="109"/>
      <c r="AD20" s="109"/>
    </row>
    <row r="21" spans="1:30" ht="45">
      <c r="A21" s="25"/>
      <c r="B21" s="341"/>
      <c r="C21" s="295"/>
      <c r="D21" s="313"/>
      <c r="E21" s="310"/>
      <c r="F21" s="102" t="s">
        <v>455</v>
      </c>
      <c r="G21" s="103" t="s">
        <v>456</v>
      </c>
      <c r="H21" s="104" t="s">
        <v>322</v>
      </c>
      <c r="I21" s="104" t="s">
        <v>348</v>
      </c>
      <c r="J21" s="105" t="str">
        <f t="shared" si="0"/>
        <v>Gestionar i planificar els recursos hídrics de l'ENP</v>
      </c>
      <c r="K21" s="106"/>
      <c r="L21" s="75" t="s">
        <v>60</v>
      </c>
      <c r="M21" s="107" t="s">
        <v>337</v>
      </c>
      <c r="N21" s="75" t="s">
        <v>457</v>
      </c>
      <c r="O21" s="75"/>
      <c r="P21" s="190"/>
      <c r="Q21" s="107"/>
      <c r="R21" s="192"/>
      <c r="S21" s="119" t="s">
        <v>458</v>
      </c>
      <c r="T21" s="119" t="s">
        <v>459</v>
      </c>
      <c r="U21" s="119" t="s">
        <v>459</v>
      </c>
      <c r="V21" s="212">
        <f>40+40</f>
        <v>80</v>
      </c>
      <c r="W21" s="109" t="s">
        <v>398</v>
      </c>
      <c r="X21" s="119" t="s">
        <v>411</v>
      </c>
      <c r="Y21" s="119"/>
      <c r="Z21" s="109"/>
      <c r="AA21" s="109"/>
      <c r="AB21" s="109"/>
      <c r="AC21" s="109"/>
      <c r="AD21" s="109"/>
    </row>
    <row r="22" spans="1:30" ht="135">
      <c r="A22" s="25"/>
      <c r="B22" s="341"/>
      <c r="C22" s="295"/>
      <c r="D22" s="313"/>
      <c r="E22" s="310"/>
      <c r="F22" s="102" t="s">
        <v>460</v>
      </c>
      <c r="G22" s="103" t="s">
        <v>461</v>
      </c>
      <c r="H22" s="104" t="s">
        <v>376</v>
      </c>
      <c r="I22" s="104" t="s">
        <v>377</v>
      </c>
      <c r="J22" s="105" t="str">
        <f>G22</f>
        <v>Participar en la redacció i execució dels instruments d'ordenació forestal sostenible i per la conservació en finques públiques</v>
      </c>
      <c r="K22" s="235" t="s">
        <v>462</v>
      </c>
      <c r="L22" s="75" t="s">
        <v>60</v>
      </c>
      <c r="M22" s="107" t="s">
        <v>378</v>
      </c>
      <c r="N22" s="75" t="s">
        <v>463</v>
      </c>
      <c r="O22" s="75"/>
      <c r="P22" s="190"/>
      <c r="Q22" s="107"/>
      <c r="R22" s="192" t="s">
        <v>464</v>
      </c>
      <c r="S22" s="75" t="s">
        <v>465</v>
      </c>
      <c r="T22" s="109">
        <v>50</v>
      </c>
      <c r="U22" s="109">
        <v>100</v>
      </c>
      <c r="V22" s="212">
        <f>20+200+200</f>
        <v>420</v>
      </c>
      <c r="W22" s="165" t="s">
        <v>398</v>
      </c>
      <c r="X22" s="119" t="s">
        <v>466</v>
      </c>
      <c r="Y22" s="119"/>
      <c r="Z22" s="109"/>
      <c r="AA22" s="109"/>
      <c r="AB22" s="109"/>
      <c r="AC22" s="109"/>
      <c r="AD22" s="109"/>
    </row>
    <row r="23" spans="1:30" ht="45">
      <c r="A23" s="25"/>
      <c r="B23" s="341"/>
      <c r="C23" s="295"/>
      <c r="D23" s="314"/>
      <c r="E23" s="311"/>
      <c r="F23" s="102" t="s">
        <v>467</v>
      </c>
      <c r="G23" s="103" t="s">
        <v>468</v>
      </c>
      <c r="H23" s="104" t="s">
        <v>376</v>
      </c>
      <c r="I23" s="104" t="s">
        <v>469</v>
      </c>
      <c r="J23" s="105" t="str">
        <f t="shared" si="0"/>
        <v>Promoure la redacció d'instruments d'ordenació forestal per reduir la sensibilitat i vulnerabilitat dels boscos al canvi climàtic en finques privades</v>
      </c>
      <c r="K23" s="106"/>
      <c r="L23" s="75" t="s">
        <v>60</v>
      </c>
      <c r="M23" s="107" t="s">
        <v>378</v>
      </c>
      <c r="N23" s="75" t="s">
        <v>470</v>
      </c>
      <c r="O23" s="75"/>
      <c r="P23" s="190"/>
      <c r="Q23" s="107"/>
      <c r="R23" s="192"/>
      <c r="S23" s="119" t="s">
        <v>471</v>
      </c>
      <c r="T23" s="109">
        <v>60</v>
      </c>
      <c r="U23" s="109">
        <v>100</v>
      </c>
      <c r="V23" s="212">
        <v>200</v>
      </c>
      <c r="W23" s="165" t="s">
        <v>398</v>
      </c>
      <c r="X23" s="119" t="s">
        <v>399</v>
      </c>
      <c r="Y23" s="119"/>
      <c r="Z23" s="109"/>
      <c r="AA23" s="109"/>
      <c r="AB23" s="109"/>
      <c r="AC23" s="109"/>
      <c r="AD23" s="109"/>
    </row>
    <row r="24" spans="1:30" ht="75">
      <c r="A24" s="25"/>
      <c r="B24" s="341"/>
      <c r="C24" s="295"/>
      <c r="D24" s="299" t="s">
        <v>472</v>
      </c>
      <c r="E24" s="343" t="s">
        <v>473</v>
      </c>
      <c r="F24" s="102" t="s">
        <v>474</v>
      </c>
      <c r="G24" s="103" t="s">
        <v>475</v>
      </c>
      <c r="H24" s="104" t="s">
        <v>322</v>
      </c>
      <c r="I24" s="104" t="s">
        <v>323</v>
      </c>
      <c r="J24" s="105" t="str">
        <f t="shared" si="0"/>
        <v xml:space="preserve">Redactar i implementar el Pla de Prevenció d'Incendis </v>
      </c>
      <c r="K24" s="106"/>
      <c r="L24" s="75" t="s">
        <v>60</v>
      </c>
      <c r="M24" s="107" t="s">
        <v>324</v>
      </c>
      <c r="N24" s="75" t="s">
        <v>476</v>
      </c>
      <c r="O24" s="75"/>
      <c r="P24" s="190"/>
      <c r="Q24" s="107" t="s">
        <v>350</v>
      </c>
      <c r="R24" s="192" t="s">
        <v>477</v>
      </c>
      <c r="S24" s="119" t="s">
        <v>478</v>
      </c>
      <c r="T24" s="109">
        <v>1</v>
      </c>
      <c r="U24" s="109">
        <v>1</v>
      </c>
      <c r="V24" s="212">
        <f>80*4</f>
        <v>320</v>
      </c>
      <c r="W24" s="165" t="s">
        <v>398</v>
      </c>
      <c r="X24" s="119" t="s">
        <v>399</v>
      </c>
      <c r="Y24" s="119"/>
      <c r="Z24" s="109"/>
      <c r="AA24" s="109"/>
      <c r="AB24" s="109"/>
      <c r="AC24" s="109"/>
      <c r="AD24" s="109"/>
    </row>
    <row r="25" spans="1:30" ht="60">
      <c r="A25" s="25"/>
      <c r="B25" s="341"/>
      <c r="C25" s="295"/>
      <c r="D25" s="299"/>
      <c r="E25" s="343"/>
      <c r="F25" s="102" t="s">
        <v>479</v>
      </c>
      <c r="G25" s="103" t="s">
        <v>480</v>
      </c>
      <c r="H25" s="104" t="s">
        <v>376</v>
      </c>
      <c r="I25" s="104" t="s">
        <v>377</v>
      </c>
      <c r="J25" s="105" t="str">
        <f t="shared" si="0"/>
        <v>Definir i planificar la gestió del foc per a la millora de l'ENP</v>
      </c>
      <c r="K25" s="106"/>
      <c r="L25" s="75" t="s">
        <v>60</v>
      </c>
      <c r="M25" s="107" t="s">
        <v>337</v>
      </c>
      <c r="N25" s="75" t="s">
        <v>481</v>
      </c>
      <c r="O25" s="75"/>
      <c r="P25" s="190"/>
      <c r="Q25" s="107"/>
      <c r="R25" s="192" t="s">
        <v>482</v>
      </c>
      <c r="S25" s="119" t="s">
        <v>483</v>
      </c>
      <c r="T25" s="109">
        <v>60</v>
      </c>
      <c r="U25" s="109">
        <v>100</v>
      </c>
      <c r="V25" s="212">
        <v>200</v>
      </c>
      <c r="W25" s="165" t="s">
        <v>398</v>
      </c>
      <c r="X25" s="119" t="s">
        <v>399</v>
      </c>
      <c r="Y25" s="119"/>
      <c r="Z25" s="109"/>
      <c r="AA25" s="109"/>
      <c r="AB25" s="109"/>
      <c r="AC25" s="109"/>
      <c r="AD25" s="109"/>
    </row>
    <row r="26" spans="1:30" ht="60">
      <c r="A26" s="25"/>
      <c r="B26" s="341"/>
      <c r="C26" s="295"/>
      <c r="D26" s="299"/>
      <c r="E26" s="343"/>
      <c r="F26" s="102" t="s">
        <v>484</v>
      </c>
      <c r="G26" s="103" t="s">
        <v>485</v>
      </c>
      <c r="H26" s="104" t="s">
        <v>322</v>
      </c>
      <c r="I26" s="104" t="s">
        <v>323</v>
      </c>
      <c r="J26" s="182" t="s">
        <v>486</v>
      </c>
      <c r="K26" s="235" t="s">
        <v>487</v>
      </c>
      <c r="L26" s="75" t="s">
        <v>60</v>
      </c>
      <c r="M26" s="107" t="s">
        <v>378</v>
      </c>
      <c r="N26" s="75" t="s">
        <v>488</v>
      </c>
      <c r="O26" s="75"/>
      <c r="P26" s="190"/>
      <c r="Q26" s="107"/>
      <c r="R26" s="192"/>
      <c r="S26" s="119" t="s">
        <v>489</v>
      </c>
      <c r="T26" s="109">
        <v>2</v>
      </c>
      <c r="U26" s="109">
        <v>8</v>
      </c>
      <c r="V26" s="212">
        <v>200</v>
      </c>
      <c r="W26" s="165" t="s">
        <v>398</v>
      </c>
      <c r="X26" s="119" t="s">
        <v>399</v>
      </c>
      <c r="Y26" s="119"/>
      <c r="Z26" s="109"/>
      <c r="AA26" s="109"/>
      <c r="AB26" s="109"/>
      <c r="AC26" s="109"/>
      <c r="AD26" s="109"/>
    </row>
    <row r="27" spans="1:30" ht="45">
      <c r="A27" s="25"/>
      <c r="B27" s="340">
        <v>3</v>
      </c>
      <c r="C27" s="294" t="s">
        <v>490</v>
      </c>
      <c r="D27" s="299" t="s">
        <v>491</v>
      </c>
      <c r="E27" s="298" t="s">
        <v>492</v>
      </c>
      <c r="F27" s="102" t="s">
        <v>493</v>
      </c>
      <c r="G27" s="103" t="s">
        <v>494</v>
      </c>
      <c r="H27" s="104" t="s">
        <v>322</v>
      </c>
      <c r="I27" s="104" t="s">
        <v>348</v>
      </c>
      <c r="J27" s="105" t="str">
        <f t="shared" si="0"/>
        <v>Participar en les consultes dels procesos d'Avaluació Ambiental que afectin directament o indirectament l’espai del ENP</v>
      </c>
      <c r="K27" s="106"/>
      <c r="L27" s="75" t="s">
        <v>60</v>
      </c>
      <c r="M27" s="107" t="s">
        <v>378</v>
      </c>
      <c r="N27" s="75" t="s">
        <v>495</v>
      </c>
      <c r="O27" s="75"/>
      <c r="P27" s="190"/>
      <c r="Q27" s="107"/>
      <c r="R27" s="192"/>
      <c r="S27" s="119" t="s">
        <v>496</v>
      </c>
      <c r="T27" s="109">
        <v>50</v>
      </c>
      <c r="U27" s="109">
        <v>100</v>
      </c>
      <c r="V27" s="212">
        <f>30*4</f>
        <v>120</v>
      </c>
      <c r="W27" s="109" t="s">
        <v>398</v>
      </c>
      <c r="X27" s="119" t="s">
        <v>497</v>
      </c>
      <c r="Y27" s="119"/>
      <c r="Z27" s="109"/>
      <c r="AA27" s="109"/>
      <c r="AB27" s="109"/>
      <c r="AC27" s="109"/>
      <c r="AD27" s="109"/>
    </row>
    <row r="28" spans="1:30" ht="60">
      <c r="A28" s="25"/>
      <c r="B28" s="341"/>
      <c r="C28" s="295"/>
      <c r="D28" s="299"/>
      <c r="E28" s="298"/>
      <c r="F28" s="102" t="s">
        <v>498</v>
      </c>
      <c r="G28" s="103" t="s">
        <v>499</v>
      </c>
      <c r="H28" s="104" t="s">
        <v>322</v>
      </c>
      <c r="I28" s="104" t="s">
        <v>348</v>
      </c>
      <c r="J28" s="105" t="str">
        <f t="shared" si="0"/>
        <v>Exercir un seguiment efectiu de les obres al Parc juntament amb les Oficines Territorials d'Acció i Avaluació Ambiental als efectes d'assegurar la correcta translació de la tutela administrativa.</v>
      </c>
      <c r="K28" s="106"/>
      <c r="L28" s="75" t="s">
        <v>60</v>
      </c>
      <c r="M28" s="107" t="s">
        <v>378</v>
      </c>
      <c r="N28" s="75" t="s">
        <v>500</v>
      </c>
      <c r="O28" s="75"/>
      <c r="P28" s="190"/>
      <c r="Q28" s="107"/>
      <c r="R28" s="192"/>
      <c r="S28" s="119" t="s">
        <v>501</v>
      </c>
      <c r="T28" s="109">
        <v>50</v>
      </c>
      <c r="U28" s="109">
        <v>100</v>
      </c>
      <c r="V28" s="212">
        <v>300</v>
      </c>
      <c r="W28" s="109" t="s">
        <v>398</v>
      </c>
      <c r="X28" s="119" t="s">
        <v>399</v>
      </c>
      <c r="Y28" s="119"/>
      <c r="Z28" s="109"/>
      <c r="AA28" s="109"/>
      <c r="AB28" s="109"/>
      <c r="AC28" s="109"/>
      <c r="AD28" s="109"/>
    </row>
    <row r="29" spans="1:30" ht="75">
      <c r="A29" s="25"/>
      <c r="B29" s="341"/>
      <c r="C29" s="295"/>
      <c r="D29" s="299"/>
      <c r="E29" s="298"/>
      <c r="F29" s="102" t="s">
        <v>502</v>
      </c>
      <c r="G29" s="103" t="s">
        <v>503</v>
      </c>
      <c r="H29" s="104" t="s">
        <v>322</v>
      </c>
      <c r="I29" s="104" t="s">
        <v>377</v>
      </c>
      <c r="J29" s="105" t="str">
        <f t="shared" si="0"/>
        <v>Participar en la compensació d'impactes residuals durant els processos d'avaluació ambiental mitjançant la identificació de necessitats d'actuació prioritària dins i fora dels límits de l’ENP</v>
      </c>
      <c r="K29" s="106"/>
      <c r="L29" s="75" t="s">
        <v>60</v>
      </c>
      <c r="M29" s="107" t="s">
        <v>378</v>
      </c>
      <c r="N29" s="75" t="s">
        <v>504</v>
      </c>
      <c r="O29" s="75"/>
      <c r="P29" s="190"/>
      <c r="Q29" s="107"/>
      <c r="R29" s="192"/>
      <c r="S29" s="119" t="s">
        <v>505</v>
      </c>
      <c r="T29" s="119" t="s">
        <v>506</v>
      </c>
      <c r="U29" s="119" t="s">
        <v>507</v>
      </c>
      <c r="V29" s="212">
        <f>50+50+(80*4)</f>
        <v>420</v>
      </c>
      <c r="W29" s="225" t="s">
        <v>353</v>
      </c>
      <c r="X29" s="119" t="s">
        <v>508</v>
      </c>
      <c r="Y29" s="119"/>
      <c r="Z29" s="109"/>
      <c r="AA29" s="109"/>
      <c r="AB29" s="109"/>
      <c r="AC29" s="109"/>
      <c r="AD29" s="109"/>
    </row>
    <row r="30" spans="1:30" ht="60">
      <c r="A30" s="25"/>
      <c r="B30" s="341"/>
      <c r="C30" s="295"/>
      <c r="D30" s="12" t="s">
        <v>509</v>
      </c>
      <c r="E30" s="88" t="s">
        <v>510</v>
      </c>
      <c r="F30" s="102" t="s">
        <v>511</v>
      </c>
      <c r="G30" s="103" t="s">
        <v>512</v>
      </c>
      <c r="H30" s="104" t="s">
        <v>322</v>
      </c>
      <c r="I30" s="102" t="s">
        <v>348</v>
      </c>
      <c r="J30" s="105" t="str">
        <f t="shared" si="0"/>
        <v>Participar en l'elaboració dels instruments de planificació de l'ENP</v>
      </c>
      <c r="K30" s="111" t="s">
        <v>513</v>
      </c>
      <c r="L30" s="75" t="s">
        <v>65</v>
      </c>
      <c r="M30" s="107"/>
      <c r="N30" s="75"/>
      <c r="O30" s="75"/>
      <c r="P30" s="190"/>
      <c r="Q30" s="107"/>
      <c r="R30" s="192" t="s">
        <v>514</v>
      </c>
      <c r="S30" s="119"/>
      <c r="T30" s="109"/>
      <c r="U30" s="109"/>
      <c r="V30" s="109"/>
      <c r="W30" s="109" t="s">
        <v>353</v>
      </c>
      <c r="X30" s="119" t="s">
        <v>354</v>
      </c>
      <c r="Y30" s="119"/>
      <c r="Z30" s="109"/>
      <c r="AA30" s="109"/>
      <c r="AB30" s="109"/>
      <c r="AC30" s="109"/>
      <c r="AD30" s="109"/>
    </row>
    <row r="31" spans="1:30" ht="75">
      <c r="A31" s="25"/>
      <c r="B31" s="341"/>
      <c r="C31" s="295"/>
      <c r="D31" s="299" t="s">
        <v>515</v>
      </c>
      <c r="E31" s="343" t="s">
        <v>516</v>
      </c>
      <c r="F31" s="102" t="s">
        <v>517</v>
      </c>
      <c r="G31" s="103" t="s">
        <v>518</v>
      </c>
      <c r="H31" s="104" t="s">
        <v>376</v>
      </c>
      <c r="I31" s="104" t="s">
        <v>469</v>
      </c>
      <c r="J31" s="105" t="str">
        <f t="shared" si="0"/>
        <v>Vetllar pel manteniment del cabal ecològic dels rius definit al Pla sectorial corresponent</v>
      </c>
      <c r="K31" s="106"/>
      <c r="L31" s="75" t="s">
        <v>60</v>
      </c>
      <c r="M31" s="107" t="s">
        <v>337</v>
      </c>
      <c r="N31" s="75" t="s">
        <v>519</v>
      </c>
      <c r="O31" s="75"/>
      <c r="P31" s="190" t="s">
        <v>520</v>
      </c>
      <c r="Q31" s="107" t="s">
        <v>350</v>
      </c>
      <c r="R31" s="192" t="s">
        <v>521</v>
      </c>
      <c r="S31" s="119" t="s">
        <v>522</v>
      </c>
      <c r="T31" s="119" t="s">
        <v>523</v>
      </c>
      <c r="U31" s="119" t="s">
        <v>524</v>
      </c>
      <c r="V31" s="212">
        <f>20*4</f>
        <v>80</v>
      </c>
      <c r="W31" s="225" t="s">
        <v>342</v>
      </c>
      <c r="X31" s="119" t="s">
        <v>343</v>
      </c>
      <c r="Y31" s="119"/>
      <c r="Z31" s="109"/>
      <c r="AA31" s="109"/>
      <c r="AB31" s="109"/>
      <c r="AC31" s="109"/>
      <c r="AD31" s="109"/>
    </row>
    <row r="32" spans="1:30" ht="45">
      <c r="A32" s="25"/>
      <c r="B32" s="341"/>
      <c r="C32" s="295"/>
      <c r="D32" s="299"/>
      <c r="E32" s="343"/>
      <c r="F32" s="102" t="s">
        <v>525</v>
      </c>
      <c r="G32" s="103" t="s">
        <v>526</v>
      </c>
      <c r="H32" s="104" t="s">
        <v>376</v>
      </c>
      <c r="I32" s="104" t="s">
        <v>377</v>
      </c>
      <c r="J32" s="105" t="str">
        <f t="shared" si="0"/>
        <v>Vetllar per la regulació dels dragatges, canalitzacions o implantació d'activitats extractives que puguin modificar la llera i el cabal dels rius</v>
      </c>
      <c r="K32" s="106"/>
      <c r="L32" s="75" t="s">
        <v>60</v>
      </c>
      <c r="M32" s="107" t="s">
        <v>337</v>
      </c>
      <c r="N32" s="106" t="s">
        <v>527</v>
      </c>
      <c r="O32" s="75"/>
      <c r="P32" s="190"/>
      <c r="Q32" s="107"/>
      <c r="R32" s="192"/>
      <c r="S32" s="119"/>
      <c r="T32" s="119"/>
      <c r="U32" s="119"/>
      <c r="V32" s="109"/>
      <c r="W32" s="109"/>
      <c r="X32" s="119"/>
      <c r="Y32" s="119"/>
      <c r="Z32" s="109"/>
      <c r="AA32" s="109"/>
      <c r="AB32" s="109"/>
      <c r="AC32" s="109"/>
      <c r="AD32" s="109"/>
    </row>
    <row r="33" spans="1:30" ht="45">
      <c r="A33" s="25"/>
      <c r="B33" s="341"/>
      <c r="C33" s="295"/>
      <c r="D33" s="299"/>
      <c r="E33" s="343"/>
      <c r="F33" s="102" t="s">
        <v>528</v>
      </c>
      <c r="G33" s="103" t="s">
        <v>529</v>
      </c>
      <c r="H33" s="104" t="s">
        <v>376</v>
      </c>
      <c r="I33" s="104" t="s">
        <v>377</v>
      </c>
      <c r="J33" s="105" t="str">
        <f>G33</f>
        <v>Avaluar i controlar les actuacions que produeixin drenatges, captacions o que puguin impedir l’arribada d’aigua tant superficial com freàtica</v>
      </c>
      <c r="K33" s="106"/>
      <c r="L33" s="75" t="s">
        <v>60</v>
      </c>
      <c r="M33" s="107" t="s">
        <v>337</v>
      </c>
      <c r="N33" s="106" t="s">
        <v>527</v>
      </c>
      <c r="O33" s="105"/>
      <c r="P33" s="190"/>
      <c r="Q33" s="107"/>
      <c r="R33" s="192"/>
      <c r="S33" s="75"/>
      <c r="T33" s="173"/>
      <c r="U33" s="109"/>
      <c r="V33" s="109"/>
      <c r="W33" s="173"/>
      <c r="X33" s="119"/>
      <c r="Y33" s="119"/>
      <c r="Z33" s="109"/>
      <c r="AA33" s="109"/>
      <c r="AB33" s="109"/>
      <c r="AC33" s="109"/>
      <c r="AD33" s="109"/>
    </row>
    <row r="34" spans="1:30" ht="45">
      <c r="A34" s="25"/>
      <c r="B34" s="341"/>
      <c r="C34" s="295"/>
      <c r="D34" s="299"/>
      <c r="E34" s="343"/>
      <c r="F34" s="102" t="s">
        <v>530</v>
      </c>
      <c r="G34" s="103" t="s">
        <v>531</v>
      </c>
      <c r="H34" s="104" t="s">
        <v>376</v>
      </c>
      <c r="I34" s="104" t="s">
        <v>377</v>
      </c>
      <c r="J34" s="105" t="str">
        <f t="shared" si="0"/>
        <v>Vetllar pel compliment de la normativa de depuració dels efluents agroramaders, urbans i industrials que s'aboquen als cursos fluvials</v>
      </c>
      <c r="K34" s="106"/>
      <c r="L34" s="75" t="s">
        <v>60</v>
      </c>
      <c r="M34" s="107" t="s">
        <v>337</v>
      </c>
      <c r="N34" s="75" t="s">
        <v>532</v>
      </c>
      <c r="O34" s="75"/>
      <c r="P34" s="190" t="s">
        <v>533</v>
      </c>
      <c r="Q34" s="107"/>
      <c r="R34" s="192"/>
      <c r="S34" s="119" t="s">
        <v>534</v>
      </c>
      <c r="T34" s="109">
        <v>2</v>
      </c>
      <c r="U34" s="109">
        <v>4</v>
      </c>
      <c r="V34" s="212">
        <f>10*4</f>
        <v>40</v>
      </c>
      <c r="W34" s="225" t="s">
        <v>342</v>
      </c>
      <c r="X34" s="119" t="s">
        <v>343</v>
      </c>
      <c r="Y34" s="119"/>
      <c r="Z34" s="109"/>
      <c r="AA34" s="109"/>
      <c r="AB34" s="109"/>
      <c r="AC34" s="109"/>
      <c r="AD34" s="109"/>
    </row>
    <row r="35" spans="1:30" ht="45">
      <c r="A35" s="25"/>
      <c r="B35" s="341"/>
      <c r="C35" s="295"/>
      <c r="D35" s="299" t="s">
        <v>535</v>
      </c>
      <c r="E35" s="343" t="s">
        <v>536</v>
      </c>
      <c r="F35" s="102" t="s">
        <v>537</v>
      </c>
      <c r="G35" s="103" t="s">
        <v>538</v>
      </c>
      <c r="H35" s="104" t="s">
        <v>322</v>
      </c>
      <c r="I35" s="104" t="s">
        <v>377</v>
      </c>
      <c r="J35" s="105" t="str">
        <f t="shared" si="0"/>
        <v xml:space="preserve">Identificar espais prioritaris per a la compra de terrenys de més valor dins l'ENP </v>
      </c>
      <c r="K35" s="106"/>
      <c r="L35" s="75" t="s">
        <v>60</v>
      </c>
      <c r="M35" s="107" t="s">
        <v>337</v>
      </c>
      <c r="N35" s="75" t="s">
        <v>539</v>
      </c>
      <c r="O35" s="75"/>
      <c r="P35" s="190"/>
      <c r="Q35" s="107"/>
      <c r="R35" s="192" t="s">
        <v>540</v>
      </c>
      <c r="S35" s="119" t="s">
        <v>541</v>
      </c>
      <c r="T35" s="119" t="s">
        <v>542</v>
      </c>
      <c r="U35" s="119" t="s">
        <v>543</v>
      </c>
      <c r="V35" s="212">
        <v>140</v>
      </c>
      <c r="W35" s="109" t="s">
        <v>353</v>
      </c>
      <c r="X35" s="119" t="s">
        <v>544</v>
      </c>
      <c r="Y35" s="119"/>
      <c r="Z35" s="109"/>
      <c r="AA35" s="109"/>
      <c r="AB35" s="109"/>
      <c r="AC35" s="109"/>
      <c r="AD35" s="109"/>
    </row>
    <row r="36" spans="1:30" ht="45">
      <c r="A36" s="25"/>
      <c r="B36" s="342"/>
      <c r="C36" s="296"/>
      <c r="D36" s="299"/>
      <c r="E36" s="343"/>
      <c r="F36" s="102" t="s">
        <v>545</v>
      </c>
      <c r="G36" s="103" t="s">
        <v>546</v>
      </c>
      <c r="H36" s="104" t="s">
        <v>322</v>
      </c>
      <c r="I36" s="104" t="s">
        <v>469</v>
      </c>
      <c r="J36" s="105" t="str">
        <f t="shared" si="0"/>
        <v>Identificar espais prioritaris per a la gestió directa</v>
      </c>
      <c r="K36" s="106"/>
      <c r="L36" s="75" t="s">
        <v>60</v>
      </c>
      <c r="M36" s="107" t="s">
        <v>337</v>
      </c>
      <c r="N36" s="75" t="s">
        <v>547</v>
      </c>
      <c r="O36" s="75"/>
      <c r="P36" s="190"/>
      <c r="Q36" s="107"/>
      <c r="R36" s="192" t="s">
        <v>540</v>
      </c>
      <c r="S36" s="119" t="s">
        <v>548</v>
      </c>
      <c r="T36" s="119" t="s">
        <v>543</v>
      </c>
      <c r="U36" s="119" t="s">
        <v>549</v>
      </c>
      <c r="V36" s="212">
        <f>(50*4)*2</f>
        <v>400</v>
      </c>
      <c r="W36" s="226" t="s">
        <v>550</v>
      </c>
      <c r="X36" s="119" t="s">
        <v>551</v>
      </c>
      <c r="Y36" s="119"/>
      <c r="Z36" s="109"/>
      <c r="AA36" s="109"/>
      <c r="AB36" s="109"/>
      <c r="AC36" s="109"/>
      <c r="AD36" s="109"/>
    </row>
    <row r="37" spans="1:30" ht="165">
      <c r="A37" s="13" t="s">
        <v>552</v>
      </c>
      <c r="B37" s="61">
        <v>4</v>
      </c>
      <c r="C37" s="59" t="s">
        <v>553</v>
      </c>
      <c r="D37" s="320" t="s">
        <v>554</v>
      </c>
      <c r="E37" s="322" t="s">
        <v>555</v>
      </c>
      <c r="F37" s="102" t="s">
        <v>556</v>
      </c>
      <c r="G37" s="103" t="s">
        <v>557</v>
      </c>
      <c r="H37" s="104" t="s">
        <v>322</v>
      </c>
      <c r="I37" s="104" t="s">
        <v>469</v>
      </c>
      <c r="J37" s="105" t="str">
        <f t="shared" si="0"/>
        <v>Elaborar l'inventari i cartografia de patrimoni cultural de l'ENP, que també inclogui el patrimoni etnològic i immaterial</v>
      </c>
      <c r="K37" s="106"/>
      <c r="L37" s="75" t="s">
        <v>60</v>
      </c>
      <c r="M37" s="107" t="s">
        <v>378</v>
      </c>
      <c r="N37" s="75" t="s">
        <v>558</v>
      </c>
      <c r="O37" s="75"/>
      <c r="P37" s="190"/>
      <c r="Q37" s="107"/>
      <c r="R37" s="192"/>
      <c r="S37" s="119" t="s">
        <v>559</v>
      </c>
      <c r="T37" s="109">
        <v>1</v>
      </c>
      <c r="U37" s="109">
        <v>3</v>
      </c>
      <c r="V37" s="212">
        <v>50</v>
      </c>
      <c r="W37" s="119" t="s">
        <v>560</v>
      </c>
      <c r="X37" s="119" t="s">
        <v>561</v>
      </c>
      <c r="Y37" s="119"/>
      <c r="Z37" s="109"/>
      <c r="AA37" s="109"/>
      <c r="AB37" s="109"/>
      <c r="AC37" s="109"/>
      <c r="AD37" s="109"/>
    </row>
    <row r="38" spans="1:30" ht="150">
      <c r="A38" s="13"/>
      <c r="B38" s="62"/>
      <c r="C38" s="60"/>
      <c r="D38" s="321"/>
      <c r="E38" s="323"/>
      <c r="F38" s="102" t="s">
        <v>562</v>
      </c>
      <c r="G38" s="103" t="s">
        <v>563</v>
      </c>
      <c r="H38" s="104" t="s">
        <v>322</v>
      </c>
      <c r="I38" s="104" t="s">
        <v>469</v>
      </c>
      <c r="J38" s="105" t="str">
        <f t="shared" si="0"/>
        <v>Elaborar el catàleg lingüístic (localismes) de patrimoni natural, geografia popular, festes i activitats tradicionals de l'ENP</v>
      </c>
      <c r="K38" s="106"/>
      <c r="L38" s="75" t="s">
        <v>60</v>
      </c>
      <c r="M38" s="107" t="s">
        <v>378</v>
      </c>
      <c r="N38" s="75" t="s">
        <v>564</v>
      </c>
      <c r="O38" s="75"/>
      <c r="P38" s="190"/>
      <c r="Q38" s="107"/>
      <c r="R38" s="192"/>
      <c r="S38" s="119" t="s">
        <v>565</v>
      </c>
      <c r="T38" s="109">
        <v>1</v>
      </c>
      <c r="U38" s="109">
        <v>2</v>
      </c>
      <c r="V38" s="212">
        <v>50</v>
      </c>
      <c r="W38" s="226" t="s">
        <v>566</v>
      </c>
      <c r="X38" s="119" t="s">
        <v>567</v>
      </c>
      <c r="Y38" s="119"/>
      <c r="Z38" s="109"/>
      <c r="AA38" s="109"/>
      <c r="AB38" s="109"/>
      <c r="AC38" s="109"/>
      <c r="AD38" s="109"/>
    </row>
    <row r="39" spans="1:30" ht="105">
      <c r="A39" s="13"/>
      <c r="B39" s="62"/>
      <c r="C39" s="60"/>
      <c r="D39" s="321"/>
      <c r="E39" s="324"/>
      <c r="F39" s="102" t="s">
        <v>568</v>
      </c>
      <c r="G39" s="103" t="s">
        <v>569</v>
      </c>
      <c r="H39" s="104" t="s">
        <v>322</v>
      </c>
      <c r="I39" s="104" t="s">
        <v>469</v>
      </c>
      <c r="J39" s="105" t="str">
        <f t="shared" si="0"/>
        <v>Elaborar la cartografia de la xarxa de camins ramaders i senders tradicionals de l'ENP</v>
      </c>
      <c r="K39" s="106"/>
      <c r="L39" s="75" t="s">
        <v>60</v>
      </c>
      <c r="M39" s="107" t="s">
        <v>378</v>
      </c>
      <c r="N39" s="75" t="s">
        <v>570</v>
      </c>
      <c r="O39" s="75"/>
      <c r="P39" s="190"/>
      <c r="Q39" s="107"/>
      <c r="R39" s="192"/>
      <c r="S39" s="119" t="s">
        <v>571</v>
      </c>
      <c r="T39" s="109">
        <v>1</v>
      </c>
      <c r="U39" s="109">
        <v>1</v>
      </c>
      <c r="V39" s="212">
        <v>50</v>
      </c>
      <c r="W39" s="164" t="s">
        <v>572</v>
      </c>
      <c r="X39" s="119" t="s">
        <v>573</v>
      </c>
      <c r="Y39" s="119"/>
      <c r="Z39" s="109"/>
      <c r="AA39" s="109"/>
      <c r="AB39" s="109"/>
      <c r="AC39" s="109"/>
      <c r="AD39" s="109"/>
    </row>
    <row r="40" spans="1:30" ht="75">
      <c r="A40" s="13"/>
      <c r="B40" s="62"/>
      <c r="C40" s="60"/>
      <c r="D40" s="254" t="s">
        <v>574</v>
      </c>
      <c r="E40" s="272" t="s">
        <v>575</v>
      </c>
      <c r="F40" s="102" t="s">
        <v>576</v>
      </c>
      <c r="G40" s="103" t="s">
        <v>577</v>
      </c>
      <c r="H40" s="104" t="s">
        <v>322</v>
      </c>
      <c r="I40" s="104" t="s">
        <v>348</v>
      </c>
      <c r="J40" s="105" t="str">
        <f t="shared" si="0"/>
        <v>Identificar els ens de referència en patrimoni cultural (entitats, associacions, museus i ecomuseus, etc.) en l'àmbit de l'ENP</v>
      </c>
      <c r="K40" s="106"/>
      <c r="L40" s="75" t="s">
        <v>60</v>
      </c>
      <c r="M40" s="107" t="s">
        <v>378</v>
      </c>
      <c r="N40" s="75" t="s">
        <v>578</v>
      </c>
      <c r="O40" s="75"/>
      <c r="P40" s="190"/>
      <c r="Q40" s="107"/>
      <c r="R40" s="192"/>
      <c r="S40" s="119" t="s">
        <v>579</v>
      </c>
      <c r="T40" s="109">
        <v>1</v>
      </c>
      <c r="U40" s="109">
        <v>1</v>
      </c>
      <c r="V40" s="212">
        <v>24</v>
      </c>
      <c r="W40" s="109" t="s">
        <v>580</v>
      </c>
      <c r="X40" s="119" t="s">
        <v>581</v>
      </c>
      <c r="Y40" s="119"/>
      <c r="Z40" s="109"/>
      <c r="AA40" s="109"/>
      <c r="AB40" s="109"/>
      <c r="AC40" s="109"/>
      <c r="AD40" s="109"/>
    </row>
    <row r="41" spans="1:30" ht="90">
      <c r="A41" s="45"/>
      <c r="B41" s="62"/>
      <c r="C41" s="60"/>
      <c r="D41" s="254"/>
      <c r="E41" s="272"/>
      <c r="F41" s="102" t="s">
        <v>582</v>
      </c>
      <c r="G41" s="103" t="s">
        <v>583</v>
      </c>
      <c r="H41" s="104" t="s">
        <v>322</v>
      </c>
      <c r="I41" s="104" t="s">
        <v>469</v>
      </c>
      <c r="J41" s="105" t="str">
        <f t="shared" si="0"/>
        <v>Articular treballs conjunts entre l'ENP i representants, gestors o custodis del patrimoni cultural per a la seva protecció i millora</v>
      </c>
      <c r="K41" s="106"/>
      <c r="L41" s="75" t="s">
        <v>60</v>
      </c>
      <c r="M41" s="107" t="s">
        <v>378</v>
      </c>
      <c r="N41" s="75" t="s">
        <v>584</v>
      </c>
      <c r="O41" s="75"/>
      <c r="P41" s="190"/>
      <c r="Q41" s="107"/>
      <c r="R41" s="192"/>
      <c r="S41" s="119" t="s">
        <v>585</v>
      </c>
      <c r="T41" s="109">
        <v>1</v>
      </c>
      <c r="U41" s="109">
        <v>1</v>
      </c>
      <c r="V41" s="212">
        <v>50</v>
      </c>
      <c r="W41" s="109" t="s">
        <v>580</v>
      </c>
      <c r="X41" s="119" t="s">
        <v>581</v>
      </c>
      <c r="Y41" s="119"/>
      <c r="Z41" s="109"/>
      <c r="AA41" s="109"/>
      <c r="AB41" s="109"/>
      <c r="AC41" s="109"/>
      <c r="AD41" s="109"/>
    </row>
    <row r="42" spans="1:30" ht="103.5" customHeight="1">
      <c r="A42" s="45"/>
      <c r="B42" s="62"/>
      <c r="C42" s="60"/>
      <c r="D42" s="254"/>
      <c r="E42" s="272"/>
      <c r="F42" s="102" t="s">
        <v>586</v>
      </c>
      <c r="G42" s="103" t="s">
        <v>587</v>
      </c>
      <c r="H42" s="104" t="s">
        <v>322</v>
      </c>
      <c r="I42" s="104" t="s">
        <v>469</v>
      </c>
      <c r="J42" s="105" t="s">
        <v>588</v>
      </c>
      <c r="K42" s="111" t="s">
        <v>589</v>
      </c>
      <c r="L42" s="75" t="s">
        <v>60</v>
      </c>
      <c r="M42" s="107" t="s">
        <v>378</v>
      </c>
      <c r="N42" s="75" t="s">
        <v>590</v>
      </c>
      <c r="O42" s="75"/>
      <c r="P42" s="190"/>
      <c r="Q42" s="107"/>
      <c r="R42" s="192"/>
      <c r="S42" s="119" t="s">
        <v>591</v>
      </c>
      <c r="T42" s="109">
        <v>1</v>
      </c>
      <c r="U42" s="109">
        <v>4</v>
      </c>
      <c r="V42" s="212">
        <v>50</v>
      </c>
      <c r="W42" s="109" t="s">
        <v>580</v>
      </c>
      <c r="X42" s="119" t="s">
        <v>581</v>
      </c>
      <c r="Y42" s="119"/>
      <c r="Z42" s="109"/>
      <c r="AA42" s="109"/>
      <c r="AB42" s="109"/>
      <c r="AC42" s="109"/>
      <c r="AD42" s="109"/>
    </row>
    <row r="43" spans="1:30" ht="45">
      <c r="A43" s="13"/>
      <c r="B43" s="62"/>
      <c r="C43" s="60"/>
      <c r="D43" s="255"/>
      <c r="E43" s="344"/>
      <c r="F43" s="102" t="s">
        <v>592</v>
      </c>
      <c r="G43" s="103" t="s">
        <v>593</v>
      </c>
      <c r="H43" s="104" t="s">
        <v>322</v>
      </c>
      <c r="I43" s="104" t="s">
        <v>323</v>
      </c>
      <c r="J43" s="105" t="str">
        <f t="shared" si="0"/>
        <v>Disposar de personal que tingui coneixements tècnics sobre patrimoni natural</v>
      </c>
      <c r="K43" s="106"/>
      <c r="L43" s="75" t="s">
        <v>60</v>
      </c>
      <c r="M43" s="107" t="s">
        <v>378</v>
      </c>
      <c r="N43" s="75" t="s">
        <v>594</v>
      </c>
      <c r="O43" s="75"/>
      <c r="P43" s="190"/>
      <c r="Q43" s="107"/>
      <c r="R43" s="192"/>
      <c r="S43" s="119" t="s">
        <v>595</v>
      </c>
      <c r="T43" s="109">
        <v>1</v>
      </c>
      <c r="U43" s="109">
        <v>4</v>
      </c>
      <c r="V43" s="212">
        <v>25</v>
      </c>
      <c r="W43" s="109" t="s">
        <v>580</v>
      </c>
      <c r="X43" s="119" t="s">
        <v>581</v>
      </c>
      <c r="Y43" s="119"/>
      <c r="Z43" s="109"/>
      <c r="AA43" s="109"/>
      <c r="AB43" s="109"/>
      <c r="AC43" s="109"/>
      <c r="AD43" s="109"/>
    </row>
    <row r="44" spans="1:30" ht="150">
      <c r="A44" s="13"/>
      <c r="B44" s="62"/>
      <c r="C44" s="60"/>
      <c r="D44" s="256" t="s">
        <v>596</v>
      </c>
      <c r="E44" s="297" t="s">
        <v>597</v>
      </c>
      <c r="F44" s="102" t="s">
        <v>598</v>
      </c>
      <c r="G44" s="103" t="s">
        <v>599</v>
      </c>
      <c r="H44" s="104" t="s">
        <v>322</v>
      </c>
      <c r="I44" s="104" t="s">
        <v>323</v>
      </c>
      <c r="J44" s="105" t="s">
        <v>600</v>
      </c>
      <c r="K44" s="111" t="s">
        <v>589</v>
      </c>
      <c r="L44" s="75" t="s">
        <v>60</v>
      </c>
      <c r="M44" s="107" t="s">
        <v>378</v>
      </c>
      <c r="N44" s="75" t="s">
        <v>601</v>
      </c>
      <c r="O44" s="75"/>
      <c r="P44" s="190"/>
      <c r="Q44" s="107" t="s">
        <v>326</v>
      </c>
      <c r="R44" s="192"/>
      <c r="S44" s="119" t="s">
        <v>602</v>
      </c>
      <c r="T44" s="109">
        <v>1</v>
      </c>
      <c r="U44" s="109">
        <v>4</v>
      </c>
      <c r="V44" s="212">
        <v>25</v>
      </c>
      <c r="W44" s="109" t="s">
        <v>580</v>
      </c>
      <c r="X44" s="119" t="s">
        <v>581</v>
      </c>
      <c r="Y44" s="119"/>
      <c r="Z44" s="109"/>
      <c r="AA44" s="109"/>
      <c r="AB44" s="109"/>
      <c r="AC44" s="109"/>
      <c r="AD44" s="109"/>
    </row>
    <row r="45" spans="1:30" ht="120">
      <c r="A45" s="13"/>
      <c r="B45" s="62">
        <v>4</v>
      </c>
      <c r="C45" s="60" t="s">
        <v>603</v>
      </c>
      <c r="D45" s="256"/>
      <c r="E45" s="297"/>
      <c r="F45" s="102" t="s">
        <v>604</v>
      </c>
      <c r="G45" s="103" t="s">
        <v>605</v>
      </c>
      <c r="H45" s="104" t="s">
        <v>376</v>
      </c>
      <c r="I45" s="104" t="s">
        <v>323</v>
      </c>
      <c r="J45" s="105" t="str">
        <f t="shared" si="0"/>
        <v>Recuperar i conservar el patrimoni cultural rural vinculat específicament a construccions de pedra en sec</v>
      </c>
      <c r="K45" s="106"/>
      <c r="L45" s="75" t="s">
        <v>60</v>
      </c>
      <c r="M45" s="107" t="s">
        <v>378</v>
      </c>
      <c r="N45" s="75" t="s">
        <v>606</v>
      </c>
      <c r="O45" s="75"/>
      <c r="P45" s="190"/>
      <c r="Q45" s="107" t="s">
        <v>326</v>
      </c>
      <c r="R45" s="192"/>
      <c r="S45" s="119" t="s">
        <v>607</v>
      </c>
      <c r="T45" s="171" t="s">
        <v>608</v>
      </c>
      <c r="U45" s="171" t="s">
        <v>609</v>
      </c>
      <c r="V45" s="212">
        <v>225</v>
      </c>
      <c r="W45" s="109" t="s">
        <v>398</v>
      </c>
      <c r="X45" s="119" t="s">
        <v>610</v>
      </c>
      <c r="Y45" s="119"/>
      <c r="Z45" s="109"/>
      <c r="AA45" s="109"/>
      <c r="AB45" s="109"/>
      <c r="AC45" s="109"/>
      <c r="AD45" s="109"/>
    </row>
    <row r="46" spans="1:30" ht="45">
      <c r="A46" s="13"/>
      <c r="B46" s="62"/>
      <c r="C46" s="60"/>
      <c r="D46" s="256"/>
      <c r="E46" s="297"/>
      <c r="F46" s="102" t="s">
        <v>611</v>
      </c>
      <c r="G46" s="103" t="s">
        <v>612</v>
      </c>
      <c r="H46" s="104" t="s">
        <v>322</v>
      </c>
      <c r="I46" s="104" t="s">
        <v>377</v>
      </c>
      <c r="J46" s="105" t="str">
        <f t="shared" si="0"/>
        <v xml:space="preserve">Fomentar la recuperació i conservació de l'arquitectura tradicional d'interès de les edificacions i construccions </v>
      </c>
      <c r="K46" s="106"/>
      <c r="L46" s="75" t="s">
        <v>60</v>
      </c>
      <c r="M46" s="107" t="s">
        <v>337</v>
      </c>
      <c r="N46" s="75" t="s">
        <v>613</v>
      </c>
      <c r="O46" s="75"/>
      <c r="P46" s="190"/>
      <c r="Q46" s="107"/>
      <c r="R46" s="192"/>
      <c r="S46" s="119" t="s">
        <v>614</v>
      </c>
      <c r="T46" s="109">
        <v>1</v>
      </c>
      <c r="U46" s="109">
        <v>1</v>
      </c>
      <c r="V46" s="214">
        <v>250</v>
      </c>
      <c r="W46" s="109" t="s">
        <v>398</v>
      </c>
      <c r="X46" s="119" t="s">
        <v>399</v>
      </c>
      <c r="Y46" s="119"/>
      <c r="Z46" s="109"/>
      <c r="AA46" s="109"/>
      <c r="AB46" s="109"/>
      <c r="AC46" s="109"/>
      <c r="AD46" s="109"/>
    </row>
    <row r="47" spans="1:30" ht="76.349999999999994" customHeight="1">
      <c r="A47" s="13"/>
      <c r="B47" s="62"/>
      <c r="C47" s="60"/>
      <c r="D47" s="256"/>
      <c r="E47" s="297"/>
      <c r="F47" s="102" t="s">
        <v>615</v>
      </c>
      <c r="G47" s="103" t="s">
        <v>616</v>
      </c>
      <c r="H47" s="104" t="s">
        <v>322</v>
      </c>
      <c r="I47" s="104" t="s">
        <v>348</v>
      </c>
      <c r="J47" s="105" t="str">
        <f t="shared" si="0"/>
        <v>Identificar i conservar la diversitat domesticada de varietats agrícoles i ramaderes locals</v>
      </c>
      <c r="K47" s="106"/>
      <c r="L47" s="75" t="s">
        <v>60</v>
      </c>
      <c r="M47" s="107" t="s">
        <v>378</v>
      </c>
      <c r="N47" s="119" t="s">
        <v>617</v>
      </c>
      <c r="O47" s="119"/>
      <c r="P47" s="119"/>
      <c r="Q47" s="107" t="s">
        <v>350</v>
      </c>
      <c r="R47" s="192"/>
      <c r="S47" s="119" t="s">
        <v>618</v>
      </c>
      <c r="T47" s="119" t="s">
        <v>619</v>
      </c>
      <c r="U47" s="119" t="s">
        <v>620</v>
      </c>
      <c r="V47" s="213">
        <f>10*4</f>
        <v>40</v>
      </c>
      <c r="W47" s="165" t="s">
        <v>441</v>
      </c>
      <c r="X47" s="119" t="s">
        <v>442</v>
      </c>
      <c r="Y47" s="119"/>
      <c r="Z47" s="109"/>
      <c r="AA47" s="109"/>
      <c r="AB47" s="109"/>
      <c r="AC47" s="109"/>
      <c r="AD47" s="109"/>
    </row>
    <row r="48" spans="1:30" ht="150">
      <c r="A48" s="13"/>
      <c r="B48" s="62"/>
      <c r="C48" s="60"/>
      <c r="D48" s="256" t="s">
        <v>621</v>
      </c>
      <c r="E48" s="297" t="s">
        <v>622</v>
      </c>
      <c r="F48" s="104" t="s">
        <v>623</v>
      </c>
      <c r="G48" s="103" t="s">
        <v>624</v>
      </c>
      <c r="H48" s="104" t="s">
        <v>322</v>
      </c>
      <c r="I48" s="104" t="s">
        <v>323</v>
      </c>
      <c r="J48" s="105" t="str">
        <f t="shared" si="0"/>
        <v>Integrar el patrimoni cultural als itineraris i cartelleria de l'ENP.</v>
      </c>
      <c r="K48" s="106"/>
      <c r="L48" s="75" t="s">
        <v>60</v>
      </c>
      <c r="M48" s="107" t="s">
        <v>378</v>
      </c>
      <c r="N48" s="75" t="s">
        <v>625</v>
      </c>
      <c r="O48" s="75"/>
      <c r="P48" s="190"/>
      <c r="Q48" s="107"/>
      <c r="R48" s="192"/>
      <c r="S48" s="119" t="s">
        <v>626</v>
      </c>
      <c r="T48" s="109">
        <v>4</v>
      </c>
      <c r="U48" s="109">
        <v>20</v>
      </c>
      <c r="V48" s="212">
        <f>10*4</f>
        <v>40</v>
      </c>
      <c r="W48" s="109" t="s">
        <v>580</v>
      </c>
      <c r="X48" s="119" t="s">
        <v>581</v>
      </c>
      <c r="Y48" s="119"/>
      <c r="Z48" s="109"/>
      <c r="AA48" s="109"/>
      <c r="AB48" s="109"/>
      <c r="AC48" s="109"/>
      <c r="AD48" s="109"/>
    </row>
    <row r="49" spans="1:30" ht="105">
      <c r="A49" s="13"/>
      <c r="B49" s="62"/>
      <c r="C49" s="60"/>
      <c r="D49" s="256"/>
      <c r="E49" s="297"/>
      <c r="F49" s="104" t="s">
        <v>627</v>
      </c>
      <c r="G49" s="103" t="s">
        <v>628</v>
      </c>
      <c r="H49" s="104" t="s">
        <v>322</v>
      </c>
      <c r="I49" s="104" t="s">
        <v>323</v>
      </c>
      <c r="J49" s="105" t="str">
        <f t="shared" si="0"/>
        <v>Incorporar el patrimoni cultural en els plans d’ús públic i educació ambiental per fomentar-ne la seva conservació i divulgació.</v>
      </c>
      <c r="K49" s="106"/>
      <c r="L49" s="75" t="s">
        <v>60</v>
      </c>
      <c r="M49" s="107" t="s">
        <v>378</v>
      </c>
      <c r="N49" s="75" t="s">
        <v>629</v>
      </c>
      <c r="O49" s="75"/>
      <c r="P49" s="190"/>
      <c r="Q49" s="107"/>
      <c r="R49" s="192"/>
      <c r="S49" s="119" t="s">
        <v>630</v>
      </c>
      <c r="T49" s="109">
        <v>1</v>
      </c>
      <c r="U49" s="109">
        <v>2</v>
      </c>
      <c r="V49" s="212">
        <f>10+5+5+5</f>
        <v>25</v>
      </c>
      <c r="W49" s="109" t="s">
        <v>580</v>
      </c>
      <c r="X49" s="119" t="s">
        <v>581</v>
      </c>
      <c r="Y49" s="119"/>
      <c r="Z49" s="109"/>
      <c r="AA49" s="109"/>
      <c r="AB49" s="109"/>
      <c r="AC49" s="109"/>
      <c r="AD49" s="109"/>
    </row>
    <row r="50" spans="1:30" ht="120">
      <c r="A50" s="13"/>
      <c r="B50" s="62"/>
      <c r="C50" s="60"/>
      <c r="D50" s="256"/>
      <c r="E50" s="297"/>
      <c r="F50" s="104" t="s">
        <v>631</v>
      </c>
      <c r="G50" s="103" t="s">
        <v>632</v>
      </c>
      <c r="H50" s="104" t="s">
        <v>322</v>
      </c>
      <c r="I50" s="104" t="s">
        <v>323</v>
      </c>
      <c r="J50" s="105" t="str">
        <f t="shared" si="0"/>
        <v>Formar el personal dels punts d’informació en els valors culturals de l'ENP</v>
      </c>
      <c r="K50" s="106"/>
      <c r="L50" s="75" t="s">
        <v>60</v>
      </c>
      <c r="M50" s="107" t="s">
        <v>378</v>
      </c>
      <c r="N50" s="75" t="s">
        <v>633</v>
      </c>
      <c r="O50" s="75"/>
      <c r="P50" s="190"/>
      <c r="Q50" s="107"/>
      <c r="R50" s="192"/>
      <c r="S50" s="119" t="s">
        <v>634</v>
      </c>
      <c r="T50" s="109">
        <v>1</v>
      </c>
      <c r="U50" s="109">
        <v>2</v>
      </c>
      <c r="V50" s="212">
        <v>25</v>
      </c>
      <c r="W50" s="109" t="s">
        <v>580</v>
      </c>
      <c r="X50" s="119" t="s">
        <v>581</v>
      </c>
      <c r="Y50" s="119"/>
      <c r="Z50" s="109"/>
      <c r="AA50" s="109"/>
      <c r="AB50" s="109"/>
      <c r="AC50" s="109"/>
      <c r="AD50" s="109"/>
    </row>
    <row r="51" spans="1:30" ht="51" customHeight="1">
      <c r="A51" s="13"/>
      <c r="B51" s="263">
        <v>5</v>
      </c>
      <c r="C51" s="266" t="s">
        <v>635</v>
      </c>
      <c r="D51" s="20" t="s">
        <v>636</v>
      </c>
      <c r="E51" s="19" t="s">
        <v>637</v>
      </c>
      <c r="F51" s="104" t="s">
        <v>638</v>
      </c>
      <c r="G51" s="103" t="s">
        <v>639</v>
      </c>
      <c r="H51" s="104" t="s">
        <v>322</v>
      </c>
      <c r="I51" s="104" t="s">
        <v>469</v>
      </c>
      <c r="J51" s="105" t="str">
        <f t="shared" si="0"/>
        <v xml:space="preserve">Elaborar un inventari d'elements d'interès paisatgístic de l'ENP d'acord amb el Catàleg de paisatge de la zona </v>
      </c>
      <c r="K51" s="106"/>
      <c r="L51" s="75" t="s">
        <v>60</v>
      </c>
      <c r="M51" s="107" t="s">
        <v>378</v>
      </c>
      <c r="N51" s="75" t="s">
        <v>640</v>
      </c>
      <c r="O51" s="75"/>
      <c r="P51" s="190"/>
      <c r="Q51" s="107"/>
      <c r="R51" s="192"/>
      <c r="S51" s="119" t="s">
        <v>641</v>
      </c>
      <c r="T51" s="109">
        <v>1</v>
      </c>
      <c r="U51" s="109">
        <v>1</v>
      </c>
      <c r="V51" s="212">
        <v>150</v>
      </c>
      <c r="W51" s="109" t="s">
        <v>398</v>
      </c>
      <c r="X51" s="119" t="s">
        <v>399</v>
      </c>
      <c r="Y51" s="119"/>
      <c r="Z51" s="109"/>
      <c r="AA51" s="109"/>
      <c r="AB51" s="109"/>
      <c r="AC51" s="109"/>
      <c r="AD51" s="109"/>
    </row>
    <row r="52" spans="1:30" ht="30">
      <c r="A52" s="13"/>
      <c r="B52" s="264"/>
      <c r="C52" s="267"/>
      <c r="D52" s="303" t="s">
        <v>642</v>
      </c>
      <c r="E52" s="271" t="s">
        <v>643</v>
      </c>
      <c r="F52" s="102" t="s">
        <v>644</v>
      </c>
      <c r="G52" s="103" t="s">
        <v>645</v>
      </c>
      <c r="H52" s="104" t="s">
        <v>322</v>
      </c>
      <c r="I52" s="104" t="s">
        <v>469</v>
      </c>
      <c r="J52" s="105" t="s">
        <v>402</v>
      </c>
      <c r="K52" s="106" t="s">
        <v>646</v>
      </c>
      <c r="L52" s="75"/>
      <c r="M52" s="107"/>
      <c r="N52" s="75"/>
      <c r="O52" s="75"/>
      <c r="P52" s="190"/>
      <c r="Q52" s="107"/>
      <c r="R52" s="192"/>
      <c r="S52" s="119"/>
      <c r="T52" s="109"/>
      <c r="U52" s="109"/>
      <c r="V52" s="109"/>
      <c r="W52" s="109"/>
      <c r="X52" s="119"/>
      <c r="Y52" s="119"/>
      <c r="Z52" s="109"/>
      <c r="AA52" s="109"/>
      <c r="AB52" s="109"/>
      <c r="AC52" s="109"/>
      <c r="AD52" s="109"/>
    </row>
    <row r="53" spans="1:30" ht="75">
      <c r="A53" s="13"/>
      <c r="B53" s="264"/>
      <c r="C53" s="267"/>
      <c r="D53" s="304"/>
      <c r="E53" s="272"/>
      <c r="F53" s="102" t="s">
        <v>647</v>
      </c>
      <c r="G53" s="103" t="s">
        <v>648</v>
      </c>
      <c r="H53" s="104"/>
      <c r="I53" s="104"/>
      <c r="J53" s="105" t="str">
        <f t="shared" si="0"/>
        <v>Gestionar l'abandonament d'infraestructures i instal·lacions amb impactes sobre els valors de l'espai</v>
      </c>
      <c r="K53" s="106"/>
      <c r="L53" s="75" t="s">
        <v>60</v>
      </c>
      <c r="M53" s="107" t="s">
        <v>324</v>
      </c>
      <c r="N53" s="75" t="s">
        <v>649</v>
      </c>
      <c r="O53" s="75"/>
      <c r="P53" s="190"/>
      <c r="Q53" s="107"/>
      <c r="R53" s="192"/>
      <c r="S53" s="119" t="s">
        <v>650</v>
      </c>
      <c r="T53" s="109" t="s">
        <v>651</v>
      </c>
      <c r="U53" s="109" t="s">
        <v>652</v>
      </c>
      <c r="V53" s="212">
        <v>150</v>
      </c>
      <c r="W53" s="109" t="s">
        <v>398</v>
      </c>
      <c r="X53" s="119" t="s">
        <v>399</v>
      </c>
      <c r="Y53" s="119"/>
      <c r="Z53" s="109"/>
      <c r="AA53" s="109"/>
      <c r="AB53" s="109"/>
      <c r="AC53" s="109"/>
      <c r="AD53" s="109"/>
    </row>
    <row r="54" spans="1:30" ht="75">
      <c r="A54" s="13"/>
      <c r="B54" s="264"/>
      <c r="C54" s="267"/>
      <c r="D54" s="270"/>
      <c r="E54" s="288"/>
      <c r="F54" s="102" t="s">
        <v>653</v>
      </c>
      <c r="G54" s="103" t="s">
        <v>654</v>
      </c>
      <c r="H54" s="104" t="s">
        <v>322</v>
      </c>
      <c r="I54" s="104" t="s">
        <v>348</v>
      </c>
      <c r="J54" s="105" t="str">
        <f t="shared" si="0"/>
        <v>Minimitzar la brutícia, deixalles, vandalisme i males praxis dins l'ENP</v>
      </c>
      <c r="K54" s="106"/>
      <c r="L54" s="75" t="s">
        <v>60</v>
      </c>
      <c r="M54" s="107" t="s">
        <v>378</v>
      </c>
      <c r="N54" s="75" t="s">
        <v>655</v>
      </c>
      <c r="O54" s="75"/>
      <c r="P54" s="190"/>
      <c r="Q54" s="107"/>
      <c r="R54" s="192"/>
      <c r="S54" s="119" t="s">
        <v>656</v>
      </c>
      <c r="T54" s="109" t="s">
        <v>657</v>
      </c>
      <c r="U54" s="221" t="s">
        <v>658</v>
      </c>
      <c r="V54" s="212">
        <f>20*6</f>
        <v>120</v>
      </c>
      <c r="W54" s="109" t="s">
        <v>580</v>
      </c>
      <c r="X54" s="119" t="s">
        <v>581</v>
      </c>
      <c r="Y54" s="119"/>
      <c r="Z54" s="109"/>
      <c r="AA54" s="109"/>
      <c r="AB54" s="109"/>
      <c r="AC54" s="109"/>
      <c r="AD54" s="221" t="s">
        <v>659</v>
      </c>
    </row>
    <row r="55" spans="1:30" ht="30">
      <c r="A55" s="13"/>
      <c r="B55" s="264"/>
      <c r="C55" s="267"/>
      <c r="D55" s="269" t="s">
        <v>660</v>
      </c>
      <c r="E55" s="271" t="s">
        <v>661</v>
      </c>
      <c r="F55" s="102" t="s">
        <v>662</v>
      </c>
      <c r="G55" s="103" t="s">
        <v>663</v>
      </c>
      <c r="H55" s="104" t="s">
        <v>376</v>
      </c>
      <c r="I55" s="104" t="s">
        <v>469</v>
      </c>
      <c r="J55" s="105" t="str">
        <f t="shared" si="0"/>
        <v>Promoure la certificació de qualitat del cel nocturn</v>
      </c>
      <c r="K55" s="106"/>
      <c r="L55" s="75" t="s">
        <v>60</v>
      </c>
      <c r="M55" s="107" t="s">
        <v>429</v>
      </c>
      <c r="N55" s="75" t="s">
        <v>664</v>
      </c>
      <c r="O55" s="75"/>
      <c r="P55" s="190"/>
      <c r="Q55" s="107" t="s">
        <v>350</v>
      </c>
      <c r="R55" s="192"/>
      <c r="S55" s="119" t="s">
        <v>665</v>
      </c>
      <c r="T55" s="109">
        <v>1</v>
      </c>
      <c r="U55" s="109">
        <v>1</v>
      </c>
      <c r="V55" s="212">
        <v>150</v>
      </c>
      <c r="W55" s="109" t="s">
        <v>353</v>
      </c>
      <c r="X55" s="119" t="s">
        <v>666</v>
      </c>
      <c r="Y55" s="119"/>
      <c r="Z55" s="109"/>
      <c r="AA55" s="109"/>
      <c r="AB55" s="109"/>
      <c r="AC55" s="109"/>
      <c r="AD55" s="109"/>
    </row>
    <row r="56" spans="1:30" ht="30">
      <c r="A56" s="13"/>
      <c r="B56" s="265"/>
      <c r="C56" s="268"/>
      <c r="D56" s="270"/>
      <c r="E56" s="272"/>
      <c r="F56" s="102" t="s">
        <v>667</v>
      </c>
      <c r="G56" s="103" t="s">
        <v>668</v>
      </c>
      <c r="H56" s="104" t="s">
        <v>376</v>
      </c>
      <c r="I56" s="104" t="s">
        <v>469</v>
      </c>
      <c r="J56" s="105" t="str">
        <f t="shared" si="0"/>
        <v>Promoure la certificació de zones d'especial protecció de la qualitat acústica</v>
      </c>
      <c r="K56" s="106"/>
      <c r="L56" s="75" t="s">
        <v>60</v>
      </c>
      <c r="M56" s="107" t="s">
        <v>429</v>
      </c>
      <c r="N56" s="75" t="s">
        <v>669</v>
      </c>
      <c r="O56" s="75"/>
      <c r="P56" s="190"/>
      <c r="Q56" s="107" t="s">
        <v>350</v>
      </c>
      <c r="R56" s="192"/>
      <c r="S56" s="119" t="s">
        <v>670</v>
      </c>
      <c r="T56" s="109">
        <v>1</v>
      </c>
      <c r="U56" s="109">
        <v>1</v>
      </c>
      <c r="V56" s="212">
        <v>150</v>
      </c>
      <c r="W56" s="109" t="s">
        <v>353</v>
      </c>
      <c r="X56" s="119" t="s">
        <v>666</v>
      </c>
      <c r="Y56" s="119"/>
      <c r="Z56" s="109"/>
      <c r="AA56" s="109"/>
      <c r="AB56" s="109"/>
      <c r="AC56" s="109"/>
      <c r="AD56" s="109"/>
    </row>
    <row r="57" spans="1:30" ht="210">
      <c r="A57" s="26" t="s">
        <v>671</v>
      </c>
      <c r="B57" s="40">
        <v>6</v>
      </c>
      <c r="C57" s="39" t="s">
        <v>672</v>
      </c>
      <c r="D57" s="305" t="s">
        <v>673</v>
      </c>
      <c r="E57" s="306" t="s">
        <v>674</v>
      </c>
      <c r="F57" s="102" t="s">
        <v>675</v>
      </c>
      <c r="G57" s="112" t="s">
        <v>676</v>
      </c>
      <c r="H57" s="104" t="s">
        <v>322</v>
      </c>
      <c r="I57" s="104" t="s">
        <v>348</v>
      </c>
      <c r="J57" s="105" t="s">
        <v>677</v>
      </c>
      <c r="K57" s="111" t="s">
        <v>678</v>
      </c>
      <c r="L57" s="75" t="s">
        <v>60</v>
      </c>
      <c r="M57" s="107" t="s">
        <v>324</v>
      </c>
      <c r="N57" s="113" t="s">
        <v>679</v>
      </c>
      <c r="O57" s="113"/>
      <c r="P57" s="205"/>
      <c r="Q57" s="197" t="s">
        <v>680</v>
      </c>
      <c r="R57" s="192" t="s">
        <v>681</v>
      </c>
      <c r="S57" s="119" t="s">
        <v>682</v>
      </c>
      <c r="T57" s="119" t="s">
        <v>683</v>
      </c>
      <c r="U57" s="119" t="s">
        <v>684</v>
      </c>
      <c r="V57" s="213">
        <f>50+200</f>
        <v>250</v>
      </c>
      <c r="W57" s="226" t="s">
        <v>331</v>
      </c>
      <c r="X57" s="119" t="s">
        <v>685</v>
      </c>
      <c r="Y57" s="119"/>
      <c r="Z57" s="109"/>
      <c r="AA57" s="109"/>
      <c r="AB57" s="109"/>
      <c r="AC57" s="109"/>
      <c r="AD57" s="109"/>
    </row>
    <row r="58" spans="1:30" ht="75">
      <c r="A58" s="26"/>
      <c r="B58" s="56"/>
      <c r="C58" s="39"/>
      <c r="D58" s="305"/>
      <c r="E58" s="306"/>
      <c r="F58" s="102" t="s">
        <v>686</v>
      </c>
      <c r="G58" s="103" t="s">
        <v>687</v>
      </c>
      <c r="H58" s="104" t="s">
        <v>322</v>
      </c>
      <c r="I58" s="104" t="s">
        <v>348</v>
      </c>
      <c r="J58" s="105" t="str">
        <f t="shared" si="0"/>
        <v>Definir espais fràgils i zones d'especial atenció</v>
      </c>
      <c r="K58" s="106"/>
      <c r="L58" s="75" t="s">
        <v>60</v>
      </c>
      <c r="M58" s="107" t="s">
        <v>324</v>
      </c>
      <c r="N58" s="75" t="s">
        <v>688</v>
      </c>
      <c r="O58" s="75"/>
      <c r="P58" s="205"/>
      <c r="Q58" s="107"/>
      <c r="R58" s="192" t="s">
        <v>689</v>
      </c>
      <c r="S58" s="119" t="s">
        <v>690</v>
      </c>
      <c r="T58" s="119" t="s">
        <v>691</v>
      </c>
      <c r="U58" s="119" t="s">
        <v>692</v>
      </c>
      <c r="V58" s="212">
        <v>180</v>
      </c>
      <c r="W58" s="225" t="s">
        <v>342</v>
      </c>
      <c r="X58" s="119" t="s">
        <v>343</v>
      </c>
      <c r="Y58" s="119"/>
      <c r="Z58" s="109"/>
      <c r="AA58" s="109"/>
      <c r="AB58" s="109"/>
      <c r="AC58" s="109"/>
      <c r="AD58" s="109"/>
    </row>
    <row r="59" spans="1:30" ht="60">
      <c r="A59" s="26"/>
      <c r="B59" s="56"/>
      <c r="C59" s="55"/>
      <c r="D59" s="305" t="s">
        <v>693</v>
      </c>
      <c r="E59" s="306" t="s">
        <v>694</v>
      </c>
      <c r="F59" s="102" t="s">
        <v>695</v>
      </c>
      <c r="G59" s="103" t="s">
        <v>696</v>
      </c>
      <c r="H59" s="104" t="s">
        <v>322</v>
      </c>
      <c r="I59" s="104" t="s">
        <v>348</v>
      </c>
      <c r="J59" s="105" t="str">
        <f t="shared" si="0"/>
        <v>Participar en l'elaboració de la cartografia que elabora la UIC</v>
      </c>
      <c r="K59" s="106"/>
      <c r="L59" s="75" t="s">
        <v>60</v>
      </c>
      <c r="M59" s="107" t="s">
        <v>337</v>
      </c>
      <c r="N59" s="75" t="s">
        <v>697</v>
      </c>
      <c r="O59" s="75"/>
      <c r="P59" s="190"/>
      <c r="Q59" s="107" t="s">
        <v>350</v>
      </c>
      <c r="R59" s="192" t="s">
        <v>698</v>
      </c>
      <c r="S59" s="119" t="s">
        <v>699</v>
      </c>
      <c r="T59" s="209" t="s">
        <v>700</v>
      </c>
      <c r="U59" s="209" t="s">
        <v>701</v>
      </c>
      <c r="V59" s="212">
        <v>400</v>
      </c>
      <c r="W59" s="225" t="s">
        <v>342</v>
      </c>
      <c r="X59" s="119" t="s">
        <v>343</v>
      </c>
      <c r="Y59" s="119"/>
      <c r="Z59" s="109"/>
      <c r="AA59" s="109"/>
      <c r="AB59" s="109"/>
      <c r="AC59" s="109"/>
      <c r="AD59" s="109"/>
    </row>
    <row r="60" spans="1:30" ht="105">
      <c r="A60" s="57"/>
      <c r="B60" s="56"/>
      <c r="C60" s="55"/>
      <c r="D60" s="305"/>
      <c r="E60" s="306"/>
      <c r="F60" s="102" t="s">
        <v>702</v>
      </c>
      <c r="G60" s="103" t="s">
        <v>703</v>
      </c>
      <c r="H60" s="104" t="s">
        <v>322</v>
      </c>
      <c r="I60" s="104" t="s">
        <v>348</v>
      </c>
      <c r="J60" s="105" t="str">
        <f t="shared" si="0"/>
        <v>Conèixer i estudiar els processos naturals propis de l’espai, la seva funcionalitat, i ecologia en referència als ecosistemes</v>
      </c>
      <c r="K60" s="106"/>
      <c r="L60" s="75" t="s">
        <v>60</v>
      </c>
      <c r="M60" s="107" t="s">
        <v>378</v>
      </c>
      <c r="N60" s="75" t="s">
        <v>704</v>
      </c>
      <c r="O60" s="75"/>
      <c r="P60" s="190"/>
      <c r="Q60" s="107"/>
      <c r="R60" s="192"/>
      <c r="S60" s="119" t="s">
        <v>705</v>
      </c>
      <c r="T60" s="119" t="s">
        <v>706</v>
      </c>
      <c r="U60" s="119" t="s">
        <v>707</v>
      </c>
      <c r="V60" s="212">
        <v>400</v>
      </c>
      <c r="W60" s="225" t="s">
        <v>342</v>
      </c>
      <c r="X60" s="119" t="s">
        <v>343</v>
      </c>
      <c r="Y60" s="119"/>
      <c r="Z60" s="109"/>
      <c r="AA60" s="109"/>
      <c r="AB60" s="109"/>
      <c r="AC60" s="109"/>
      <c r="AD60" s="109"/>
    </row>
    <row r="61" spans="1:30" ht="222.75" customHeight="1">
      <c r="A61" s="57"/>
      <c r="B61" s="56"/>
      <c r="C61" s="55"/>
      <c r="D61" s="305"/>
      <c r="E61" s="306"/>
      <c r="F61" s="102" t="s">
        <v>708</v>
      </c>
      <c r="G61" s="103" t="s">
        <v>709</v>
      </c>
      <c r="H61" s="104" t="s">
        <v>322</v>
      </c>
      <c r="I61" s="104" t="s">
        <v>348</v>
      </c>
      <c r="J61" s="105" t="str">
        <f t="shared" si="0"/>
        <v>Conèixer els usos i factors de canvi rellevants en l'evolució dels elements de conservació, i avaluar els efectes que generen en l’espai (pressions i amenaces)</v>
      </c>
      <c r="K61" s="106"/>
      <c r="L61" s="75" t="s">
        <v>60</v>
      </c>
      <c r="M61" s="107" t="s">
        <v>337</v>
      </c>
      <c r="N61" s="75" t="s">
        <v>710</v>
      </c>
      <c r="O61" s="75"/>
      <c r="P61" s="190"/>
      <c r="Q61" s="107" t="s">
        <v>350</v>
      </c>
      <c r="R61" s="192" t="s">
        <v>711</v>
      </c>
      <c r="S61" s="119" t="s">
        <v>712</v>
      </c>
      <c r="T61" s="119" t="s">
        <v>713</v>
      </c>
      <c r="U61" s="119" t="s">
        <v>714</v>
      </c>
      <c r="V61" s="212">
        <f>40*5</f>
        <v>200</v>
      </c>
      <c r="W61" s="225" t="s">
        <v>353</v>
      </c>
      <c r="X61" s="119" t="s">
        <v>715</v>
      </c>
      <c r="Y61" s="119"/>
      <c r="Z61" s="109"/>
      <c r="AA61" s="109"/>
      <c r="AB61" s="109"/>
      <c r="AC61" s="109"/>
      <c r="AD61" s="109"/>
    </row>
    <row r="62" spans="1:30" ht="30">
      <c r="A62" s="57"/>
      <c r="B62" s="56"/>
      <c r="C62" s="55"/>
      <c r="D62" s="305"/>
      <c r="E62" s="306"/>
      <c r="F62" s="102" t="s">
        <v>716</v>
      </c>
      <c r="G62" s="103" t="s">
        <v>717</v>
      </c>
      <c r="H62" s="104" t="s">
        <v>322</v>
      </c>
      <c r="I62" s="104" t="s">
        <v>469</v>
      </c>
      <c r="J62" s="105" t="str">
        <f t="shared" si="0"/>
        <v>Conèixer l'impacte de les gestió de l'aigua, sobre la biodiversitat.</v>
      </c>
      <c r="K62" s="106"/>
      <c r="L62" s="75" t="s">
        <v>60</v>
      </c>
      <c r="M62" s="107" t="s">
        <v>337</v>
      </c>
      <c r="N62" s="75" t="s">
        <v>718</v>
      </c>
      <c r="O62" s="75" t="s">
        <v>719</v>
      </c>
      <c r="P62" s="190"/>
      <c r="Q62" s="107"/>
      <c r="R62" s="192"/>
      <c r="S62" s="119" t="s">
        <v>720</v>
      </c>
      <c r="T62" s="109">
        <v>2</v>
      </c>
      <c r="U62" s="109">
        <v>4</v>
      </c>
      <c r="V62" s="212">
        <v>80</v>
      </c>
      <c r="W62" s="225" t="s">
        <v>342</v>
      </c>
      <c r="X62" s="119" t="s">
        <v>343</v>
      </c>
      <c r="Y62" s="119"/>
      <c r="Z62" s="109"/>
      <c r="AA62" s="109"/>
      <c r="AB62" s="109"/>
      <c r="AC62" s="109"/>
      <c r="AD62" s="109"/>
    </row>
    <row r="63" spans="1:30" ht="45">
      <c r="A63" s="57"/>
      <c r="B63" s="56"/>
      <c r="C63" s="55"/>
      <c r="D63" s="305"/>
      <c r="E63" s="306"/>
      <c r="F63" s="102" t="s">
        <v>721</v>
      </c>
      <c r="G63" s="103" t="s">
        <v>722</v>
      </c>
      <c r="H63" s="104" t="s">
        <v>322</v>
      </c>
      <c r="I63" s="104" t="s">
        <v>469</v>
      </c>
      <c r="J63" s="105" t="str">
        <f t="shared" si="0"/>
        <v>Participar en el coneixement de la tendència d'espècies plaga amb afectacions sobre ecosistemes o activitats econòmiques dins l'ENP</v>
      </c>
      <c r="K63" s="106"/>
      <c r="L63" s="75" t="s">
        <v>60</v>
      </c>
      <c r="M63" s="107" t="s">
        <v>429</v>
      </c>
      <c r="N63" s="75" t="s">
        <v>723</v>
      </c>
      <c r="O63" s="75"/>
      <c r="P63" s="190"/>
      <c r="Q63" s="107"/>
      <c r="R63" s="192"/>
      <c r="S63" s="119" t="s">
        <v>724</v>
      </c>
      <c r="T63" s="109">
        <v>1</v>
      </c>
      <c r="U63" s="109">
        <v>1</v>
      </c>
      <c r="V63" s="212">
        <v>80</v>
      </c>
      <c r="W63" s="225" t="s">
        <v>342</v>
      </c>
      <c r="X63" s="119" t="s">
        <v>343</v>
      </c>
      <c r="Y63" s="119"/>
      <c r="Z63" s="109"/>
      <c r="AA63" s="109"/>
      <c r="AB63" s="109"/>
      <c r="AC63" s="109"/>
      <c r="AD63" s="109"/>
    </row>
    <row r="64" spans="1:30" ht="60">
      <c r="A64" s="57"/>
      <c r="B64" s="56"/>
      <c r="C64" s="55"/>
      <c r="D64" s="305"/>
      <c r="E64" s="306"/>
      <c r="F64" s="234" t="s">
        <v>725</v>
      </c>
      <c r="G64" s="103" t="s">
        <v>726</v>
      </c>
      <c r="H64" s="104" t="s">
        <v>322</v>
      </c>
      <c r="I64" s="104" t="s">
        <v>348</v>
      </c>
      <c r="J64" s="105" t="str">
        <f t="shared" si="0"/>
        <v>Conèixer la tendència d'espècies exòtiques invasores amb afectacions sobre ecosistemes o activitats econòmiques dins l'ENP</v>
      </c>
      <c r="K64" s="106"/>
      <c r="L64" s="75" t="s">
        <v>60</v>
      </c>
      <c r="M64" s="107" t="s">
        <v>337</v>
      </c>
      <c r="N64" s="75" t="s">
        <v>727</v>
      </c>
      <c r="O64" s="75"/>
      <c r="P64" s="190"/>
      <c r="Q64" s="107" t="s">
        <v>350</v>
      </c>
      <c r="R64" s="192"/>
      <c r="S64" s="119" t="s">
        <v>728</v>
      </c>
      <c r="T64" s="109">
        <v>1</v>
      </c>
      <c r="U64" s="109">
        <v>3</v>
      </c>
      <c r="V64" s="212">
        <v>180</v>
      </c>
      <c r="W64" s="225" t="s">
        <v>342</v>
      </c>
      <c r="X64" s="119" t="s">
        <v>343</v>
      </c>
      <c r="Y64" s="119"/>
      <c r="Z64" s="109"/>
      <c r="AA64" s="109"/>
      <c r="AB64" s="109"/>
      <c r="AC64" s="109"/>
      <c r="AD64" s="109"/>
    </row>
    <row r="65" spans="1:30" ht="30">
      <c r="A65" s="57"/>
      <c r="B65" s="56"/>
      <c r="C65" s="55"/>
      <c r="D65" s="305"/>
      <c r="E65" s="306"/>
      <c r="F65" s="234" t="s">
        <v>729</v>
      </c>
      <c r="G65" s="103" t="s">
        <v>730</v>
      </c>
      <c r="H65" s="104" t="s">
        <v>322</v>
      </c>
      <c r="I65" s="104" t="s">
        <v>469</v>
      </c>
      <c r="J65" s="105" t="str">
        <f t="shared" si="0"/>
        <v>Coneixer com millorar la connectivitat de forma coordinada amb altres ENP</v>
      </c>
      <c r="K65" s="106"/>
      <c r="L65" s="75" t="s">
        <v>60</v>
      </c>
      <c r="M65" s="107" t="s">
        <v>378</v>
      </c>
      <c r="N65" s="75" t="s">
        <v>731</v>
      </c>
      <c r="O65" s="75"/>
      <c r="P65" s="190"/>
      <c r="Q65" s="107" t="s">
        <v>350</v>
      </c>
      <c r="R65" s="192"/>
      <c r="S65" s="119" t="s">
        <v>732</v>
      </c>
      <c r="T65" s="109">
        <v>1</v>
      </c>
      <c r="U65" s="109">
        <v>1</v>
      </c>
      <c r="V65" s="212">
        <f>20*4</f>
        <v>80</v>
      </c>
      <c r="W65" s="225" t="s">
        <v>342</v>
      </c>
      <c r="X65" s="119" t="s">
        <v>343</v>
      </c>
      <c r="Y65" s="119"/>
      <c r="Z65" s="109"/>
      <c r="AA65" s="109"/>
      <c r="AB65" s="109"/>
      <c r="AC65" s="109"/>
      <c r="AD65" s="109"/>
    </row>
    <row r="66" spans="1:30" ht="75">
      <c r="A66" s="57"/>
      <c r="B66" s="56"/>
      <c r="C66" s="55"/>
      <c r="D66" s="305" t="s">
        <v>733</v>
      </c>
      <c r="E66" s="306" t="s">
        <v>734</v>
      </c>
      <c r="F66" s="102" t="s">
        <v>735</v>
      </c>
      <c r="G66" s="103" t="s">
        <v>736</v>
      </c>
      <c r="H66" s="104" t="s">
        <v>322</v>
      </c>
      <c r="I66" s="104" t="s">
        <v>348</v>
      </c>
      <c r="J66" s="105" t="str">
        <f t="shared" si="0"/>
        <v>Participar en la definició del sistema estàndard de seguiment de flora, fauna i hàbitats de la DG</v>
      </c>
      <c r="K66" s="106"/>
      <c r="L66" s="75" t="s">
        <v>60</v>
      </c>
      <c r="M66" s="107" t="s">
        <v>337</v>
      </c>
      <c r="N66" s="75" t="s">
        <v>737</v>
      </c>
      <c r="O66" s="75"/>
      <c r="P66" s="190"/>
      <c r="Q66" s="107" t="s">
        <v>350</v>
      </c>
      <c r="R66" s="192" t="s">
        <v>738</v>
      </c>
      <c r="S66" s="119" t="s">
        <v>739</v>
      </c>
      <c r="T66" s="109">
        <v>80</v>
      </c>
      <c r="U66" s="109">
        <v>100</v>
      </c>
      <c r="V66" s="212">
        <v>180</v>
      </c>
      <c r="W66" s="225" t="s">
        <v>342</v>
      </c>
      <c r="X66" s="119" t="s">
        <v>343</v>
      </c>
      <c r="Y66" s="119"/>
      <c r="Z66" s="109"/>
      <c r="AA66" s="109"/>
      <c r="AB66" s="109"/>
      <c r="AC66" s="109"/>
      <c r="AD66" s="109"/>
    </row>
    <row r="67" spans="1:30" ht="195">
      <c r="A67" s="193"/>
      <c r="B67" s="194"/>
      <c r="C67" s="195"/>
      <c r="D67" s="327"/>
      <c r="E67" s="319"/>
      <c r="F67" s="102" t="s">
        <v>740</v>
      </c>
      <c r="G67" s="103" t="s">
        <v>741</v>
      </c>
      <c r="H67" s="104" t="s">
        <v>322</v>
      </c>
      <c r="I67" s="104" t="s">
        <v>348</v>
      </c>
      <c r="J67" s="105" t="str">
        <f t="shared" si="0"/>
        <v>Adequar i executar el sistema de seguiment periòdic dels grups clau de l'ENP al sistema estàndard de seguiment</v>
      </c>
      <c r="K67" s="106"/>
      <c r="L67" s="75" t="s">
        <v>60</v>
      </c>
      <c r="M67" s="107" t="s">
        <v>337</v>
      </c>
      <c r="N67" s="75" t="s">
        <v>742</v>
      </c>
      <c r="O67" s="75"/>
      <c r="P67" s="190"/>
      <c r="Q67" s="107" t="s">
        <v>350</v>
      </c>
      <c r="R67" s="192" t="s">
        <v>743</v>
      </c>
      <c r="S67" s="119" t="s">
        <v>744</v>
      </c>
      <c r="T67" s="119" t="s">
        <v>745</v>
      </c>
      <c r="U67" s="119" t="s">
        <v>746</v>
      </c>
      <c r="V67" s="212">
        <f>30*4</f>
        <v>120</v>
      </c>
      <c r="W67" s="225" t="s">
        <v>342</v>
      </c>
      <c r="X67" s="119" t="s">
        <v>343</v>
      </c>
      <c r="Y67" s="119"/>
      <c r="Z67" s="109"/>
      <c r="AA67" s="109"/>
      <c r="AB67" s="109"/>
      <c r="AC67" s="109"/>
      <c r="AD67" s="109"/>
    </row>
    <row r="68" spans="1:30" ht="75">
      <c r="A68" s="57"/>
      <c r="B68" s="56"/>
      <c r="C68" s="55"/>
      <c r="D68" s="305"/>
      <c r="E68" s="306"/>
      <c r="F68" s="102" t="s">
        <v>747</v>
      </c>
      <c r="G68" s="103" t="s">
        <v>748</v>
      </c>
      <c r="H68" s="104" t="s">
        <v>322</v>
      </c>
      <c r="I68" s="104" t="s">
        <v>348</v>
      </c>
      <c r="J68" s="105" t="s">
        <v>749</v>
      </c>
      <c r="K68" s="106"/>
      <c r="L68" s="75" t="s">
        <v>60</v>
      </c>
      <c r="M68" s="107" t="s">
        <v>337</v>
      </c>
      <c r="N68" s="75" t="s">
        <v>750</v>
      </c>
      <c r="O68" s="75"/>
      <c r="P68" s="190"/>
      <c r="Q68" s="107"/>
      <c r="R68" s="192"/>
      <c r="S68" s="119" t="s">
        <v>751</v>
      </c>
      <c r="T68" s="119" t="s">
        <v>752</v>
      </c>
      <c r="U68" s="119" t="s">
        <v>752</v>
      </c>
      <c r="V68" s="212">
        <f>50*4</f>
        <v>200</v>
      </c>
      <c r="W68" s="225" t="s">
        <v>342</v>
      </c>
      <c r="X68" s="119" t="s">
        <v>343</v>
      </c>
      <c r="Y68" s="119"/>
      <c r="Z68" s="109"/>
      <c r="AA68" s="109"/>
      <c r="AB68" s="109"/>
      <c r="AC68" s="109"/>
      <c r="AD68" s="109"/>
    </row>
    <row r="69" spans="1:30" ht="45">
      <c r="A69" s="57"/>
      <c r="B69" s="56"/>
      <c r="C69" s="55"/>
      <c r="D69" s="305"/>
      <c r="E69" s="306"/>
      <c r="F69" s="102" t="s">
        <v>753</v>
      </c>
      <c r="G69" s="103" t="s">
        <v>754</v>
      </c>
      <c r="H69" s="104" t="s">
        <v>322</v>
      </c>
      <c r="I69" s="104" t="s">
        <v>348</v>
      </c>
      <c r="J69" s="105" t="s">
        <v>755</v>
      </c>
      <c r="K69" s="111" t="s">
        <v>589</v>
      </c>
      <c r="L69" s="75" t="s">
        <v>60</v>
      </c>
      <c r="M69" s="107" t="s">
        <v>337</v>
      </c>
      <c r="N69" s="75" t="s">
        <v>756</v>
      </c>
      <c r="O69" s="75"/>
      <c r="P69" s="190"/>
      <c r="Q69" s="107"/>
      <c r="R69" s="192" t="s">
        <v>757</v>
      </c>
      <c r="S69" s="119" t="s">
        <v>758</v>
      </c>
      <c r="T69" s="170">
        <v>1</v>
      </c>
      <c r="U69" s="170">
        <v>1</v>
      </c>
      <c r="V69" s="212">
        <v>180</v>
      </c>
      <c r="W69" s="225" t="s">
        <v>342</v>
      </c>
      <c r="X69" s="119" t="s">
        <v>343</v>
      </c>
      <c r="Y69" s="119"/>
      <c r="Z69" s="109"/>
      <c r="AA69" s="109"/>
      <c r="AB69" s="109"/>
      <c r="AC69" s="109"/>
      <c r="AD69" s="109"/>
    </row>
    <row r="70" spans="1:30" ht="75">
      <c r="A70" s="57"/>
      <c r="B70" s="56"/>
      <c r="C70" s="55"/>
      <c r="D70" s="305" t="s">
        <v>759</v>
      </c>
      <c r="E70" s="306" t="s">
        <v>760</v>
      </c>
      <c r="F70" s="102" t="s">
        <v>761</v>
      </c>
      <c r="G70" s="103" t="s">
        <v>762</v>
      </c>
      <c r="H70" s="104" t="s">
        <v>322</v>
      </c>
      <c r="I70" s="104" t="s">
        <v>469</v>
      </c>
      <c r="J70" s="105" t="str">
        <f t="shared" ref="J70:J132" si="1">G70</f>
        <v>Crear sinèrgies i col·laborar amb museus i equipaments de referència per definir línies d'actuació conjunta entre patrimoni cultural i natural</v>
      </c>
      <c r="K70" s="106"/>
      <c r="L70" s="75" t="s">
        <v>60</v>
      </c>
      <c r="M70" s="107" t="s">
        <v>378</v>
      </c>
      <c r="N70" s="75" t="s">
        <v>763</v>
      </c>
      <c r="O70" s="75"/>
      <c r="P70" s="190"/>
      <c r="Q70" s="107"/>
      <c r="R70" s="192" t="s">
        <v>764</v>
      </c>
      <c r="S70" s="164" t="s">
        <v>765</v>
      </c>
      <c r="T70" s="165">
        <v>1</v>
      </c>
      <c r="U70" s="165">
        <v>8</v>
      </c>
      <c r="V70" s="212">
        <f>10*4</f>
        <v>40</v>
      </c>
      <c r="W70" s="109" t="s">
        <v>580</v>
      </c>
      <c r="X70" s="119" t="s">
        <v>581</v>
      </c>
      <c r="Y70" s="119"/>
      <c r="Z70" s="109"/>
      <c r="AA70" s="109"/>
      <c r="AB70" s="109"/>
      <c r="AC70" s="109"/>
      <c r="AD70" s="109"/>
    </row>
    <row r="71" spans="1:30" ht="60">
      <c r="A71" s="57"/>
      <c r="B71" s="56"/>
      <c r="C71" s="55"/>
      <c r="D71" s="305"/>
      <c r="E71" s="306"/>
      <c r="F71" s="102" t="s">
        <v>766</v>
      </c>
      <c r="G71" s="103" t="s">
        <v>767</v>
      </c>
      <c r="H71" s="104" t="s">
        <v>322</v>
      </c>
      <c r="I71" s="104" t="s">
        <v>469</v>
      </c>
      <c r="J71" s="105" t="str">
        <f t="shared" si="1"/>
        <v>Establir acords amb les institucions de recerca i naturalistes per al desenvolupament d'estudis i inventaris dins l'ENP en el marc de les seves línies de recerca</v>
      </c>
      <c r="K71" s="106"/>
      <c r="L71" s="75" t="s">
        <v>60</v>
      </c>
      <c r="M71" s="107" t="s">
        <v>378</v>
      </c>
      <c r="N71" s="75" t="s">
        <v>768</v>
      </c>
      <c r="O71" s="75"/>
      <c r="P71" s="190"/>
      <c r="Q71" s="107"/>
      <c r="R71" s="192" t="s">
        <v>769</v>
      </c>
      <c r="S71" s="168" t="s">
        <v>770</v>
      </c>
      <c r="T71" s="169">
        <v>3</v>
      </c>
      <c r="U71" s="169">
        <v>6</v>
      </c>
      <c r="V71" s="212">
        <f>15*4</f>
        <v>60</v>
      </c>
      <c r="W71" s="225" t="s">
        <v>342</v>
      </c>
      <c r="X71" s="168" t="s">
        <v>343</v>
      </c>
      <c r="Y71" s="168"/>
      <c r="Z71" s="109"/>
      <c r="AA71" s="109"/>
      <c r="AB71" s="109"/>
      <c r="AC71" s="109"/>
      <c r="AD71" s="109"/>
    </row>
    <row r="72" spans="1:30" ht="196.5" customHeight="1">
      <c r="A72" s="57"/>
      <c r="B72" s="56"/>
      <c r="C72" s="55"/>
      <c r="D72" s="305"/>
      <c r="E72" s="306"/>
      <c r="F72" s="102" t="s">
        <v>771</v>
      </c>
      <c r="G72" s="103" t="s">
        <v>772</v>
      </c>
      <c r="H72" s="104" t="s">
        <v>322</v>
      </c>
      <c r="I72" s="104" t="s">
        <v>469</v>
      </c>
      <c r="J72" s="105" t="str">
        <f t="shared" si="1"/>
        <v xml:space="preserve">Potenciar la ciència ciutadana en l’ENP com a eina per generar coneixement </v>
      </c>
      <c r="K72" s="235" t="s">
        <v>773</v>
      </c>
      <c r="L72" s="75" t="s">
        <v>60</v>
      </c>
      <c r="M72" s="107" t="s">
        <v>337</v>
      </c>
      <c r="N72" s="75" t="s">
        <v>774</v>
      </c>
      <c r="O72" s="75"/>
      <c r="P72" s="190"/>
      <c r="Q72" s="107"/>
      <c r="R72" s="192"/>
      <c r="S72" s="119" t="s">
        <v>775</v>
      </c>
      <c r="T72" s="119" t="s">
        <v>776</v>
      </c>
      <c r="U72" s="119" t="s">
        <v>777</v>
      </c>
      <c r="V72" s="212">
        <v>150</v>
      </c>
      <c r="W72" s="225" t="s">
        <v>342</v>
      </c>
      <c r="X72" s="119" t="s">
        <v>343</v>
      </c>
      <c r="Y72" s="119"/>
      <c r="Z72" s="109"/>
      <c r="AA72" s="109"/>
      <c r="AB72" s="109"/>
      <c r="AC72" s="109"/>
      <c r="AD72" s="109"/>
    </row>
    <row r="73" spans="1:30" ht="45">
      <c r="A73" s="57"/>
      <c r="B73" s="56"/>
      <c r="C73" s="55"/>
      <c r="D73" s="305"/>
      <c r="E73" s="306"/>
      <c r="F73" s="102" t="s">
        <v>778</v>
      </c>
      <c r="G73" s="103" t="s">
        <v>779</v>
      </c>
      <c r="H73" s="104" t="s">
        <v>322</v>
      </c>
      <c r="I73" s="104" t="s">
        <v>469</v>
      </c>
      <c r="J73" s="105" t="str">
        <f t="shared" si="1"/>
        <v xml:space="preserve">Crear i desenvolupar jornades de recerca de l'ENP de forma anual on els diferents centres mostrin els estudis realizats en l'ENP </v>
      </c>
      <c r="K73" s="106"/>
      <c r="L73" s="75" t="s">
        <v>60</v>
      </c>
      <c r="M73" s="107" t="s">
        <v>337</v>
      </c>
      <c r="N73" s="75" t="s">
        <v>780</v>
      </c>
      <c r="O73" s="75"/>
      <c r="P73" s="190"/>
      <c r="Q73" s="107"/>
      <c r="R73" s="192" t="s">
        <v>781</v>
      </c>
      <c r="S73" s="119" t="s">
        <v>782</v>
      </c>
      <c r="T73" s="109">
        <v>2</v>
      </c>
      <c r="U73" s="109">
        <v>4</v>
      </c>
      <c r="V73" s="212">
        <f>40*4</f>
        <v>160</v>
      </c>
      <c r="W73" s="225" t="s">
        <v>342</v>
      </c>
      <c r="X73" s="119" t="s">
        <v>343</v>
      </c>
      <c r="Y73" s="119"/>
      <c r="Z73" s="109"/>
      <c r="AA73" s="109"/>
      <c r="AB73" s="109"/>
      <c r="AC73" s="109"/>
      <c r="AD73" s="109"/>
    </row>
    <row r="74" spans="1:30" ht="75">
      <c r="A74" s="57"/>
      <c r="B74" s="56"/>
      <c r="C74" s="55"/>
      <c r="D74" s="305"/>
      <c r="E74" s="306"/>
      <c r="F74" s="102" t="s">
        <v>783</v>
      </c>
      <c r="G74" s="103" t="s">
        <v>784</v>
      </c>
      <c r="H74" s="104" t="s">
        <v>322</v>
      </c>
      <c r="I74" s="104" t="s">
        <v>469</v>
      </c>
      <c r="J74" s="105" t="str">
        <f t="shared" si="1"/>
        <v>Posar a disposició de la recerca, equipaments i serveis de l'ENP</v>
      </c>
      <c r="K74" s="106"/>
      <c r="L74" s="75" t="s">
        <v>60</v>
      </c>
      <c r="M74" s="107" t="s">
        <v>378</v>
      </c>
      <c r="N74" s="75" t="s">
        <v>785</v>
      </c>
      <c r="O74" s="75"/>
      <c r="P74" s="190"/>
      <c r="Q74" s="107" t="s">
        <v>350</v>
      </c>
      <c r="R74" s="192"/>
      <c r="S74" s="119" t="s">
        <v>786</v>
      </c>
      <c r="T74" s="119" t="s">
        <v>787</v>
      </c>
      <c r="U74" s="119" t="s">
        <v>788</v>
      </c>
      <c r="V74" s="212">
        <f>40*4</f>
        <v>160</v>
      </c>
      <c r="W74" s="225" t="s">
        <v>342</v>
      </c>
      <c r="X74" s="119" t="s">
        <v>343</v>
      </c>
      <c r="Y74" s="119"/>
      <c r="Z74" s="109"/>
      <c r="AA74" s="109"/>
      <c r="AB74" s="109"/>
      <c r="AC74" s="109"/>
      <c r="AD74" s="109"/>
    </row>
    <row r="75" spans="1:30" ht="75">
      <c r="A75" s="57"/>
      <c r="B75" s="56"/>
      <c r="C75" s="55"/>
      <c r="D75" s="305"/>
      <c r="E75" s="306"/>
      <c r="F75" s="102" t="s">
        <v>789</v>
      </c>
      <c r="G75" s="103" t="s">
        <v>790</v>
      </c>
      <c r="H75" s="104" t="s">
        <v>322</v>
      </c>
      <c r="I75" s="104" t="s">
        <v>469</v>
      </c>
      <c r="J75" s="105" t="str">
        <f t="shared" si="1"/>
        <v xml:space="preserve">Crear l'Observatori de recerca de l'ENP vinculat a l'Observatori del Patrimoni natural i la biodiversitat </v>
      </c>
      <c r="K75" s="106"/>
      <c r="L75" s="75" t="s">
        <v>60</v>
      </c>
      <c r="M75" s="107" t="s">
        <v>378</v>
      </c>
      <c r="N75" s="75" t="s">
        <v>791</v>
      </c>
      <c r="O75" s="75"/>
      <c r="P75" s="190"/>
      <c r="Q75" s="107"/>
      <c r="R75" s="192" t="s">
        <v>792</v>
      </c>
      <c r="S75" s="119" t="s">
        <v>793</v>
      </c>
      <c r="T75" s="119" t="s">
        <v>794</v>
      </c>
      <c r="U75" s="119" t="s">
        <v>795</v>
      </c>
      <c r="V75" s="212">
        <f>40*4</f>
        <v>160</v>
      </c>
      <c r="W75" s="225" t="s">
        <v>342</v>
      </c>
      <c r="X75" s="119" t="s">
        <v>343</v>
      </c>
      <c r="Y75" s="119"/>
      <c r="Z75" s="109"/>
      <c r="AA75" s="109"/>
      <c r="AB75" s="109"/>
      <c r="AC75" s="109"/>
      <c r="AD75" s="109"/>
    </row>
    <row r="76" spans="1:30" ht="45">
      <c r="A76" s="57"/>
      <c r="B76" s="56"/>
      <c r="C76" s="55"/>
      <c r="D76" s="305" t="s">
        <v>796</v>
      </c>
      <c r="E76" s="306" t="s">
        <v>797</v>
      </c>
      <c r="F76" s="102" t="s">
        <v>798</v>
      </c>
      <c r="G76" s="103" t="s">
        <v>799</v>
      </c>
      <c r="H76" s="104" t="s">
        <v>322</v>
      </c>
      <c r="I76" s="104" t="s">
        <v>348</v>
      </c>
      <c r="J76" s="105" t="str">
        <f t="shared" si="1"/>
        <v>Participar en la definició del sistema estándard de seguiment de l'ús públic amb el SENP</v>
      </c>
      <c r="K76" s="106"/>
      <c r="L76" s="75" t="s">
        <v>60</v>
      </c>
      <c r="M76" s="107" t="s">
        <v>378</v>
      </c>
      <c r="N76" s="75" t="s">
        <v>800</v>
      </c>
      <c r="O76" s="75"/>
      <c r="P76" s="190"/>
      <c r="Q76" s="107"/>
      <c r="R76" s="192" t="s">
        <v>801</v>
      </c>
      <c r="S76" s="119" t="s">
        <v>802</v>
      </c>
      <c r="T76" s="109">
        <v>1</v>
      </c>
      <c r="U76" s="109">
        <v>12</v>
      </c>
      <c r="V76" s="212">
        <f>10*4</f>
        <v>40</v>
      </c>
      <c r="W76" s="109" t="s">
        <v>580</v>
      </c>
      <c r="X76" s="119" t="s">
        <v>581</v>
      </c>
      <c r="Y76" s="119"/>
      <c r="Z76" s="109"/>
      <c r="AA76" s="109"/>
      <c r="AB76" s="109"/>
      <c r="AC76" s="109"/>
      <c r="AD76" s="109"/>
    </row>
    <row r="77" spans="1:30" ht="180">
      <c r="A77" s="57"/>
      <c r="B77" s="56"/>
      <c r="C77" s="55"/>
      <c r="D77" s="305"/>
      <c r="E77" s="306"/>
      <c r="F77" s="102" t="s">
        <v>803</v>
      </c>
      <c r="G77" s="103" t="s">
        <v>804</v>
      </c>
      <c r="H77" s="104" t="s">
        <v>322</v>
      </c>
      <c r="I77" s="104" t="s">
        <v>348</v>
      </c>
      <c r="J77" s="105" t="str">
        <f t="shared" si="1"/>
        <v xml:space="preserve">Disposar de dades de freqüentació i perfil d'usuari en l'ENP i en especial en equipaments i en zones d'alta freqüentació segons el model de DG </v>
      </c>
      <c r="K77" s="106"/>
      <c r="L77" s="75" t="s">
        <v>60</v>
      </c>
      <c r="M77" s="107" t="s">
        <v>324</v>
      </c>
      <c r="N77" s="75" t="s">
        <v>805</v>
      </c>
      <c r="O77" s="75"/>
      <c r="P77" s="190"/>
      <c r="Q77" s="107"/>
      <c r="R77" s="192" t="s">
        <v>806</v>
      </c>
      <c r="S77" s="119" t="s">
        <v>807</v>
      </c>
      <c r="T77" s="119" t="s">
        <v>808</v>
      </c>
      <c r="U77" s="119" t="s">
        <v>809</v>
      </c>
      <c r="V77" s="212">
        <f>20*4</f>
        <v>80</v>
      </c>
      <c r="W77" s="109" t="s">
        <v>580</v>
      </c>
      <c r="X77" s="119" t="s">
        <v>581</v>
      </c>
      <c r="Y77" s="119"/>
      <c r="Z77" s="109"/>
      <c r="AA77" s="109"/>
      <c r="AB77" s="109"/>
      <c r="AC77" s="109"/>
      <c r="AD77" s="109"/>
    </row>
    <row r="78" spans="1:30" ht="90">
      <c r="A78" s="57"/>
      <c r="B78" s="56"/>
      <c r="C78" s="55"/>
      <c r="D78" s="305"/>
      <c r="E78" s="306"/>
      <c r="F78" s="102" t="s">
        <v>810</v>
      </c>
      <c r="G78" s="103" t="s">
        <v>811</v>
      </c>
      <c r="H78" s="104" t="s">
        <v>322</v>
      </c>
      <c r="I78" s="104" t="s">
        <v>348</v>
      </c>
      <c r="J78" s="105" t="str">
        <f t="shared" si="1"/>
        <v>Identificar les activitats i actors de l’espai.</v>
      </c>
      <c r="K78" s="106"/>
      <c r="L78" s="75" t="s">
        <v>60</v>
      </c>
      <c r="M78" s="107" t="s">
        <v>378</v>
      </c>
      <c r="N78" s="75" t="s">
        <v>812</v>
      </c>
      <c r="O78" s="75"/>
      <c r="P78" s="190"/>
      <c r="Q78" s="107"/>
      <c r="R78" s="192"/>
      <c r="S78" s="119" t="s">
        <v>813</v>
      </c>
      <c r="T78" s="109">
        <v>1</v>
      </c>
      <c r="U78" s="109">
        <v>3</v>
      </c>
      <c r="V78" s="212">
        <f>20*4</f>
        <v>80</v>
      </c>
      <c r="W78" s="109" t="s">
        <v>580</v>
      </c>
      <c r="X78" s="119" t="s">
        <v>581</v>
      </c>
      <c r="Y78" s="119"/>
      <c r="Z78" s="109"/>
      <c r="AA78" s="109"/>
      <c r="AB78" s="109"/>
      <c r="AC78" s="109"/>
      <c r="AD78" s="109"/>
    </row>
    <row r="79" spans="1:30" ht="30">
      <c r="A79" s="57"/>
      <c r="B79" s="56"/>
      <c r="C79" s="55"/>
      <c r="D79" s="305"/>
      <c r="E79" s="306"/>
      <c r="F79" s="102" t="s">
        <v>814</v>
      </c>
      <c r="G79" s="103" t="s">
        <v>815</v>
      </c>
      <c r="H79" s="104"/>
      <c r="I79" s="104"/>
      <c r="J79" s="105" t="str">
        <f t="shared" si="1"/>
        <v>Identificar en cartografia les males praxis i punts de massificació</v>
      </c>
      <c r="K79" s="106"/>
      <c r="L79" s="75" t="s">
        <v>60</v>
      </c>
      <c r="M79" s="218" t="s">
        <v>337</v>
      </c>
      <c r="N79" s="106" t="s">
        <v>816</v>
      </c>
      <c r="O79" s="75"/>
      <c r="P79" s="190"/>
      <c r="Q79" s="107"/>
      <c r="R79" s="192"/>
      <c r="S79" s="119"/>
      <c r="T79" s="109"/>
      <c r="U79" s="109"/>
      <c r="V79" s="210"/>
      <c r="W79" s="109" t="s">
        <v>580</v>
      </c>
      <c r="X79" s="119" t="s">
        <v>581</v>
      </c>
      <c r="Y79" s="119"/>
      <c r="Z79" s="109"/>
      <c r="AA79" s="109"/>
      <c r="AB79" s="109"/>
      <c r="AC79" s="109"/>
      <c r="AD79" s="109"/>
    </row>
    <row r="80" spans="1:30" ht="45">
      <c r="A80" s="57"/>
      <c r="B80" s="56"/>
      <c r="C80" s="55"/>
      <c r="D80" s="305"/>
      <c r="E80" s="306"/>
      <c r="F80" s="102" t="s">
        <v>817</v>
      </c>
      <c r="G80" s="103" t="s">
        <v>818</v>
      </c>
      <c r="H80" s="104" t="s">
        <v>322</v>
      </c>
      <c r="I80" s="104" t="s">
        <v>348</v>
      </c>
      <c r="J80" s="105" t="str">
        <f t="shared" si="1"/>
        <v>Adaptar i mantenir un registre d'activitats, actors i inciències en ús públic (curses, conflictes, queixes, etc)</v>
      </c>
      <c r="K80" s="106"/>
      <c r="L80" s="75" t="s">
        <v>60</v>
      </c>
      <c r="M80" s="107" t="s">
        <v>378</v>
      </c>
      <c r="N80" s="75" t="s">
        <v>819</v>
      </c>
      <c r="O80" s="75"/>
      <c r="P80" s="190"/>
      <c r="Q80" s="107"/>
      <c r="R80" s="192" t="s">
        <v>820</v>
      </c>
      <c r="S80" s="119" t="s">
        <v>821</v>
      </c>
      <c r="T80" s="109">
        <v>1</v>
      </c>
      <c r="U80" s="109">
        <v>4</v>
      </c>
      <c r="V80" s="212">
        <f>15*4</f>
        <v>60</v>
      </c>
      <c r="W80" s="109" t="s">
        <v>580</v>
      </c>
      <c r="X80" s="119" t="s">
        <v>581</v>
      </c>
      <c r="Y80" s="119"/>
      <c r="Z80" s="109"/>
      <c r="AA80" s="109"/>
      <c r="AB80" s="109"/>
      <c r="AC80" s="109"/>
      <c r="AD80" s="109"/>
    </row>
    <row r="81" spans="1:30" ht="150">
      <c r="A81" s="57"/>
      <c r="B81" s="56"/>
      <c r="C81" s="55"/>
      <c r="D81" s="305"/>
      <c r="E81" s="306"/>
      <c r="F81" s="102" t="s">
        <v>822</v>
      </c>
      <c r="G81" s="103" t="s">
        <v>823</v>
      </c>
      <c r="H81" s="104" t="s">
        <v>322</v>
      </c>
      <c r="I81" s="104" t="s">
        <v>348</v>
      </c>
      <c r="J81" s="105" t="str">
        <f t="shared" si="1"/>
        <v>Identificar els impactes (positius i negatius) que generen les activitats d'ús públic dins l'ENP</v>
      </c>
      <c r="K81" s="106"/>
      <c r="L81" s="75" t="s">
        <v>60</v>
      </c>
      <c r="M81" s="107" t="s">
        <v>337</v>
      </c>
      <c r="N81" s="75" t="s">
        <v>824</v>
      </c>
      <c r="O81" s="75"/>
      <c r="P81" s="190"/>
      <c r="Q81" s="107" t="s">
        <v>350</v>
      </c>
      <c r="R81" s="192"/>
      <c r="S81" s="119" t="s">
        <v>825</v>
      </c>
      <c r="T81" s="119" t="s">
        <v>826</v>
      </c>
      <c r="U81" s="119" t="s">
        <v>827</v>
      </c>
      <c r="V81" s="212">
        <f>20*4</f>
        <v>80</v>
      </c>
      <c r="W81" s="109" t="s">
        <v>580</v>
      </c>
      <c r="X81" s="119" t="s">
        <v>581</v>
      </c>
      <c r="Y81" s="119"/>
      <c r="Z81" s="109"/>
      <c r="AA81" s="109"/>
      <c r="AB81" s="109"/>
      <c r="AC81" s="109"/>
      <c r="AD81" s="220" t="s">
        <v>828</v>
      </c>
    </row>
    <row r="82" spans="1:30" ht="45">
      <c r="A82" s="27" t="s">
        <v>829</v>
      </c>
      <c r="B82" s="37">
        <v>7</v>
      </c>
      <c r="C82" s="38" t="s">
        <v>830</v>
      </c>
      <c r="D82" s="15" t="s">
        <v>831</v>
      </c>
      <c r="E82" s="89" t="s">
        <v>832</v>
      </c>
      <c r="F82" s="102" t="s">
        <v>833</v>
      </c>
      <c r="G82" s="103" t="s">
        <v>834</v>
      </c>
      <c r="H82" s="104" t="s">
        <v>322</v>
      </c>
      <c r="I82" s="104" t="s">
        <v>323</v>
      </c>
      <c r="J82" s="105" t="s">
        <v>835</v>
      </c>
      <c r="K82" s="111" t="s">
        <v>589</v>
      </c>
      <c r="L82" s="75" t="s">
        <v>60</v>
      </c>
      <c r="M82" s="107" t="s">
        <v>378</v>
      </c>
      <c r="N82" s="75" t="s">
        <v>836</v>
      </c>
      <c r="O82" s="75"/>
      <c r="P82" s="190"/>
      <c r="Q82" s="107"/>
      <c r="R82" s="192"/>
      <c r="S82" s="119" t="s">
        <v>837</v>
      </c>
      <c r="T82" s="109">
        <v>1</v>
      </c>
      <c r="U82" s="109">
        <v>4</v>
      </c>
      <c r="V82" s="212">
        <f>10*4</f>
        <v>40</v>
      </c>
      <c r="W82" s="109" t="s">
        <v>580</v>
      </c>
      <c r="X82" s="119" t="s">
        <v>581</v>
      </c>
      <c r="Y82" s="119"/>
      <c r="Z82" s="109"/>
      <c r="AA82" s="109"/>
      <c r="AB82" s="109"/>
      <c r="AC82" s="109"/>
      <c r="AD82" s="109"/>
    </row>
    <row r="83" spans="1:30" ht="45">
      <c r="A83" s="27"/>
      <c r="B83" s="328">
        <v>8</v>
      </c>
      <c r="C83" s="300" t="s">
        <v>838</v>
      </c>
      <c r="D83" s="275" t="s">
        <v>839</v>
      </c>
      <c r="E83" s="273" t="s">
        <v>840</v>
      </c>
      <c r="F83" s="234" t="s">
        <v>841</v>
      </c>
      <c r="G83" s="103" t="s">
        <v>842</v>
      </c>
      <c r="H83" s="104" t="s">
        <v>322</v>
      </c>
      <c r="I83" s="104" t="s">
        <v>323</v>
      </c>
      <c r="J83" s="105" t="str">
        <f t="shared" si="1"/>
        <v xml:space="preserve">Acompanyar i assessorar els productors agraris per millorar les tècniques productives agràries i afavorir la conservació dels hàbitats i paisatges </v>
      </c>
      <c r="K83" s="106"/>
      <c r="L83" s="75" t="s">
        <v>60</v>
      </c>
      <c r="M83" s="107" t="s">
        <v>378</v>
      </c>
      <c r="N83" s="75" t="s">
        <v>843</v>
      </c>
      <c r="O83" s="75"/>
      <c r="P83" s="190"/>
      <c r="Q83" s="107"/>
      <c r="R83" s="192"/>
      <c r="S83" s="119" t="s">
        <v>844</v>
      </c>
      <c r="T83" s="119" t="s">
        <v>845</v>
      </c>
      <c r="U83" s="119" t="s">
        <v>846</v>
      </c>
      <c r="V83" s="212">
        <f>10*4</f>
        <v>40</v>
      </c>
      <c r="W83" s="109" t="s">
        <v>441</v>
      </c>
      <c r="X83" s="119" t="s">
        <v>442</v>
      </c>
      <c r="Y83" s="119"/>
      <c r="Z83" s="109"/>
      <c r="AA83" s="109"/>
      <c r="AB83" s="109"/>
      <c r="AC83" s="109"/>
      <c r="AD83" s="109"/>
    </row>
    <row r="84" spans="1:30" ht="60">
      <c r="A84" s="27"/>
      <c r="B84" s="329"/>
      <c r="C84" s="301"/>
      <c r="D84" s="331"/>
      <c r="E84" s="326"/>
      <c r="F84" s="102" t="s">
        <v>847</v>
      </c>
      <c r="G84" s="103" t="s">
        <v>848</v>
      </c>
      <c r="H84" s="104" t="s">
        <v>322</v>
      </c>
      <c r="I84" s="104" t="s">
        <v>323</v>
      </c>
      <c r="J84" s="105" t="str">
        <f t="shared" si="1"/>
        <v xml:space="preserve">Oferir formació als productors agraris per millorar el seu coneixement sobre tècniques eficients i respectuoses amb la conservació del patrimoni natural i cultural </v>
      </c>
      <c r="K84" s="106"/>
      <c r="L84" s="75" t="s">
        <v>60</v>
      </c>
      <c r="M84" s="218" t="s">
        <v>378</v>
      </c>
      <c r="N84" s="217" t="s">
        <v>849</v>
      </c>
      <c r="O84" s="75"/>
      <c r="P84" s="190"/>
      <c r="Q84" s="107"/>
      <c r="R84" s="192"/>
      <c r="S84" s="238" t="s">
        <v>850</v>
      </c>
      <c r="T84" s="109"/>
      <c r="U84" s="109"/>
      <c r="V84" s="210"/>
      <c r="W84" s="119"/>
      <c r="X84" s="119" t="s">
        <v>442</v>
      </c>
      <c r="Y84" s="119"/>
      <c r="Z84" s="109"/>
      <c r="AA84" s="109"/>
      <c r="AB84" s="109"/>
      <c r="AC84" s="109"/>
      <c r="AD84" s="220" t="s">
        <v>851</v>
      </c>
    </row>
    <row r="85" spans="1:30" ht="60">
      <c r="A85" s="27"/>
      <c r="B85" s="329"/>
      <c r="C85" s="301"/>
      <c r="D85" s="276"/>
      <c r="E85" s="274"/>
      <c r="F85" s="102" t="s">
        <v>852</v>
      </c>
      <c r="G85" s="230" t="s">
        <v>853</v>
      </c>
      <c r="H85" s="104" t="s">
        <v>376</v>
      </c>
      <c r="I85" s="104" t="s">
        <v>469</v>
      </c>
      <c r="J85" s="105" t="str">
        <f t="shared" si="1"/>
        <v>Promoure la recuperació i conservació de marges i punts d'aigua associats a la ramaderia i l'agricultura i d'interès per la biodiversitat</v>
      </c>
      <c r="K85" s="106"/>
      <c r="L85" s="75" t="s">
        <v>60</v>
      </c>
      <c r="M85" s="107" t="s">
        <v>378</v>
      </c>
      <c r="N85" s="75" t="s">
        <v>854</v>
      </c>
      <c r="O85" s="75"/>
      <c r="P85" s="75"/>
      <c r="Q85" s="107"/>
      <c r="R85" s="192"/>
      <c r="S85" s="119" t="s">
        <v>855</v>
      </c>
      <c r="T85" s="109">
        <v>2</v>
      </c>
      <c r="U85" s="109">
        <v>4</v>
      </c>
      <c r="V85" s="212">
        <v>25</v>
      </c>
      <c r="W85" s="119" t="s">
        <v>856</v>
      </c>
      <c r="X85" s="119" t="s">
        <v>857</v>
      </c>
      <c r="Y85" s="119"/>
      <c r="Z85" s="109"/>
      <c r="AA85" s="109"/>
      <c r="AB85" s="109"/>
      <c r="AC85" s="109"/>
      <c r="AD85" s="109"/>
    </row>
    <row r="86" spans="1:30" ht="225">
      <c r="A86" s="325"/>
      <c r="B86" s="329"/>
      <c r="C86" s="301"/>
      <c r="D86" s="15" t="s">
        <v>858</v>
      </c>
      <c r="E86" s="89" t="s">
        <v>859</v>
      </c>
      <c r="F86" s="233" t="s">
        <v>860</v>
      </c>
      <c r="G86" s="103" t="s">
        <v>861</v>
      </c>
      <c r="H86" s="108"/>
      <c r="I86" s="108"/>
      <c r="J86" s="105" t="str">
        <f t="shared" si="1"/>
        <v>Establir una relació contínua amb agents socioeconòmics del territori, i si s'escau, crear una Taula de desenvolupament local</v>
      </c>
      <c r="K86" s="107"/>
      <c r="L86" s="75" t="s">
        <v>60</v>
      </c>
      <c r="M86" s="107" t="s">
        <v>337</v>
      </c>
      <c r="N86" s="75" t="s">
        <v>862</v>
      </c>
      <c r="O86" s="75"/>
      <c r="P86" s="190" t="s">
        <v>863</v>
      </c>
      <c r="Q86" s="107" t="s">
        <v>350</v>
      </c>
      <c r="R86" s="192"/>
      <c r="S86" s="119" t="s">
        <v>864</v>
      </c>
      <c r="T86" s="109">
        <v>10</v>
      </c>
      <c r="U86" s="109">
        <v>20</v>
      </c>
      <c r="V86" s="212">
        <f>40*4</f>
        <v>160</v>
      </c>
      <c r="W86" s="109" t="s">
        <v>580</v>
      </c>
      <c r="X86" s="119" t="s">
        <v>581</v>
      </c>
      <c r="Y86" s="119"/>
      <c r="Z86" s="109"/>
      <c r="AA86" s="109"/>
      <c r="AB86" s="109"/>
      <c r="AC86" s="109"/>
      <c r="AD86" s="109"/>
    </row>
    <row r="87" spans="1:30" ht="150">
      <c r="A87" s="325"/>
      <c r="B87" s="329"/>
      <c r="C87" s="301"/>
      <c r="D87" s="333" t="s">
        <v>865</v>
      </c>
      <c r="E87" s="332" t="s">
        <v>866</v>
      </c>
      <c r="F87" s="102" t="s">
        <v>867</v>
      </c>
      <c r="G87" s="103" t="s">
        <v>868</v>
      </c>
      <c r="H87" s="104" t="s">
        <v>322</v>
      </c>
      <c r="I87" s="104" t="s">
        <v>469</v>
      </c>
      <c r="J87" s="105" t="str">
        <f t="shared" si="1"/>
        <v>Implantar un distintiu de qualitat i compatibilitat amb la conservació dels productes de la Xarxa d'ENP o criteris de qualitat propis de l'ENP</v>
      </c>
      <c r="K87" s="106"/>
      <c r="L87" s="75" t="s">
        <v>60</v>
      </c>
      <c r="M87" s="107" t="s">
        <v>378</v>
      </c>
      <c r="N87" s="75" t="s">
        <v>869</v>
      </c>
      <c r="O87" s="75"/>
      <c r="P87" s="190"/>
      <c r="Q87" s="107" t="s">
        <v>350</v>
      </c>
      <c r="R87" s="192" t="s">
        <v>870</v>
      </c>
      <c r="S87" s="75" t="s">
        <v>871</v>
      </c>
      <c r="T87" s="119" t="s">
        <v>872</v>
      </c>
      <c r="U87" s="119" t="s">
        <v>873</v>
      </c>
      <c r="V87" s="212">
        <f>12*4</f>
        <v>48</v>
      </c>
      <c r="W87" s="109" t="s">
        <v>572</v>
      </c>
      <c r="X87" s="119" t="s">
        <v>874</v>
      </c>
      <c r="Y87" s="119"/>
      <c r="Z87" s="109"/>
      <c r="AA87" s="109"/>
      <c r="AB87" s="109"/>
      <c r="AC87" s="109"/>
      <c r="AD87" s="109"/>
    </row>
    <row r="88" spans="1:30" ht="75">
      <c r="A88" s="325"/>
      <c r="B88" s="329"/>
      <c r="C88" s="301"/>
      <c r="D88" s="333"/>
      <c r="E88" s="332"/>
      <c r="F88" s="102" t="s">
        <v>875</v>
      </c>
      <c r="G88" s="103" t="s">
        <v>876</v>
      </c>
      <c r="H88" s="104" t="s">
        <v>322</v>
      </c>
      <c r="I88" s="104" t="s">
        <v>348</v>
      </c>
      <c r="J88" s="105" t="str">
        <f t="shared" si="1"/>
        <v>Integrar els productes i activitats locals de qualitat en l'oferta d'activitats d'informació i turístiques de l'ENP</v>
      </c>
      <c r="K88" s="106"/>
      <c r="L88" s="75" t="s">
        <v>60</v>
      </c>
      <c r="M88" s="107" t="s">
        <v>378</v>
      </c>
      <c r="N88" s="75" t="s">
        <v>877</v>
      </c>
      <c r="O88" s="75"/>
      <c r="P88" s="190"/>
      <c r="Q88" s="197" t="s">
        <v>878</v>
      </c>
      <c r="R88" s="192"/>
      <c r="S88" s="119" t="s">
        <v>879</v>
      </c>
      <c r="T88" s="109" t="s">
        <v>619</v>
      </c>
      <c r="U88" s="109" t="s">
        <v>880</v>
      </c>
      <c r="V88" s="212">
        <f>10*4</f>
        <v>40</v>
      </c>
      <c r="W88" s="109" t="s">
        <v>580</v>
      </c>
      <c r="X88" s="119" t="s">
        <v>874</v>
      </c>
      <c r="Y88" s="119"/>
      <c r="Z88" s="109"/>
      <c r="AA88" s="109"/>
      <c r="AB88" s="109"/>
      <c r="AC88" s="109"/>
      <c r="AD88" s="109"/>
    </row>
    <row r="89" spans="1:30" ht="45">
      <c r="A89" s="325"/>
      <c r="B89" s="329"/>
      <c r="C89" s="301"/>
      <c r="D89" s="333"/>
      <c r="E89" s="332"/>
      <c r="F89" s="102" t="s">
        <v>881</v>
      </c>
      <c r="G89" s="103" t="s">
        <v>882</v>
      </c>
      <c r="H89" s="104" t="s">
        <v>322</v>
      </c>
      <c r="I89" s="104" t="s">
        <v>469</v>
      </c>
      <c r="J89" s="105" t="str">
        <f t="shared" si="1"/>
        <v>Promoure fires d'artesania i productes locals de l'ENP</v>
      </c>
      <c r="K89" s="106"/>
      <c r="L89" s="75" t="s">
        <v>60</v>
      </c>
      <c r="M89" s="107" t="s">
        <v>429</v>
      </c>
      <c r="N89" s="75" t="s">
        <v>883</v>
      </c>
      <c r="O89" s="75"/>
      <c r="P89" s="190"/>
      <c r="Q89" s="107"/>
      <c r="R89" s="192"/>
      <c r="S89" s="119" t="s">
        <v>884</v>
      </c>
      <c r="T89" s="109">
        <v>1</v>
      </c>
      <c r="U89" s="109">
        <v>12</v>
      </c>
      <c r="V89" s="212">
        <f>10*4</f>
        <v>40</v>
      </c>
      <c r="W89" s="109" t="s">
        <v>580</v>
      </c>
      <c r="X89" s="119" t="s">
        <v>581</v>
      </c>
      <c r="Y89" s="119"/>
      <c r="Z89" s="109"/>
      <c r="AA89" s="109"/>
      <c r="AB89" s="109"/>
      <c r="AC89" s="109"/>
      <c r="AD89" s="109"/>
    </row>
    <row r="90" spans="1:30" ht="165">
      <c r="A90" s="325"/>
      <c r="B90" s="329"/>
      <c r="C90" s="301"/>
      <c r="D90" s="333"/>
      <c r="E90" s="332"/>
      <c r="F90" s="102" t="s">
        <v>885</v>
      </c>
      <c r="G90" s="227" t="s">
        <v>886</v>
      </c>
      <c r="H90" s="104" t="s">
        <v>322</v>
      </c>
      <c r="I90" s="104" t="s">
        <v>469</v>
      </c>
      <c r="J90" s="227" t="s">
        <v>887</v>
      </c>
      <c r="K90" s="235" t="s">
        <v>888</v>
      </c>
      <c r="L90" s="75" t="s">
        <v>60</v>
      </c>
      <c r="M90" s="107" t="s">
        <v>378</v>
      </c>
      <c r="N90" s="75" t="s">
        <v>889</v>
      </c>
      <c r="O90" s="75"/>
      <c r="P90" s="190"/>
      <c r="Q90" s="197" t="s">
        <v>878</v>
      </c>
      <c r="R90" s="192"/>
      <c r="S90" s="119" t="s">
        <v>890</v>
      </c>
      <c r="T90" s="119" t="s">
        <v>891</v>
      </c>
      <c r="U90" s="119" t="s">
        <v>892</v>
      </c>
      <c r="V90" s="212">
        <f>20*4</f>
        <v>80</v>
      </c>
      <c r="W90" s="109" t="s">
        <v>580</v>
      </c>
      <c r="X90" s="119" t="s">
        <v>581</v>
      </c>
      <c r="Y90" s="119"/>
      <c r="Z90" s="109"/>
      <c r="AA90" s="109"/>
      <c r="AB90" s="109"/>
      <c r="AC90" s="109"/>
      <c r="AD90" s="109"/>
    </row>
    <row r="91" spans="1:30" ht="111.6" customHeight="1">
      <c r="A91" s="325"/>
      <c r="B91" s="329"/>
      <c r="C91" s="301"/>
      <c r="D91" s="333"/>
      <c r="E91" s="332"/>
      <c r="F91" s="102" t="s">
        <v>893</v>
      </c>
      <c r="G91" s="103" t="s">
        <v>894</v>
      </c>
      <c r="H91" s="104" t="s">
        <v>322</v>
      </c>
      <c r="I91" s="104" t="s">
        <v>469</v>
      </c>
      <c r="J91" s="105" t="s">
        <v>895</v>
      </c>
      <c r="K91" s="106"/>
      <c r="L91" s="75" t="s">
        <v>60</v>
      </c>
      <c r="M91" s="107" t="s">
        <v>378</v>
      </c>
      <c r="N91" s="75" t="s">
        <v>896</v>
      </c>
      <c r="O91" s="75"/>
      <c r="P91" s="190"/>
      <c r="Q91" s="197" t="s">
        <v>350</v>
      </c>
      <c r="R91" s="192"/>
      <c r="S91" s="119" t="s">
        <v>897</v>
      </c>
      <c r="T91" s="109">
        <v>4</v>
      </c>
      <c r="U91" s="109">
        <v>32</v>
      </c>
      <c r="V91" s="212">
        <v>32</v>
      </c>
      <c r="W91" s="109" t="s">
        <v>580</v>
      </c>
      <c r="X91" s="119" t="s">
        <v>581</v>
      </c>
      <c r="Y91" s="119"/>
      <c r="Z91" s="109"/>
      <c r="AA91" s="109"/>
      <c r="AB91" s="109"/>
      <c r="AC91" s="109"/>
      <c r="AD91" s="109"/>
    </row>
    <row r="92" spans="1:30" ht="78.599999999999994" customHeight="1">
      <c r="A92" s="325"/>
      <c r="B92" s="329"/>
      <c r="C92" s="301"/>
      <c r="D92" s="333"/>
      <c r="E92" s="332"/>
      <c r="F92" s="102" t="s">
        <v>898</v>
      </c>
      <c r="G92" s="103" t="s">
        <v>899</v>
      </c>
      <c r="H92" s="104" t="s">
        <v>322</v>
      </c>
      <c r="I92" s="104" t="s">
        <v>469</v>
      </c>
      <c r="J92" s="105" t="s">
        <v>402</v>
      </c>
      <c r="K92" s="111" t="s">
        <v>900</v>
      </c>
      <c r="L92" s="110"/>
      <c r="M92" s="107"/>
      <c r="N92" s="75"/>
      <c r="O92" s="75"/>
      <c r="P92" s="190"/>
      <c r="Q92" s="107"/>
      <c r="R92" s="192"/>
      <c r="S92" s="119"/>
      <c r="T92" s="109"/>
      <c r="U92" s="109"/>
      <c r="V92" s="109"/>
      <c r="W92" s="109"/>
      <c r="X92" s="119"/>
      <c r="Y92" s="119"/>
      <c r="Z92" s="109"/>
      <c r="AA92" s="109"/>
      <c r="AB92" s="109"/>
      <c r="AC92" s="109"/>
      <c r="AD92" s="109"/>
    </row>
    <row r="93" spans="1:30" ht="75">
      <c r="A93" s="325"/>
      <c r="B93" s="329"/>
      <c r="C93" s="301"/>
      <c r="D93" s="333" t="s">
        <v>901</v>
      </c>
      <c r="E93" s="334" t="s">
        <v>902</v>
      </c>
      <c r="F93" s="232" t="s">
        <v>903</v>
      </c>
      <c r="G93" s="103" t="s">
        <v>904</v>
      </c>
      <c r="H93" s="104" t="s">
        <v>322</v>
      </c>
      <c r="I93" s="104" t="s">
        <v>348</v>
      </c>
      <c r="J93" s="105" t="str">
        <f t="shared" si="1"/>
        <v>Treballar amb l'autoritat competent per garantir objectius de conservació d’espècies i hàbitats en la revisió dels Plans de Gestió Cinegètica</v>
      </c>
      <c r="K93" s="106"/>
      <c r="L93" s="75" t="s">
        <v>60</v>
      </c>
      <c r="M93" s="107" t="s">
        <v>378</v>
      </c>
      <c r="N93" s="75" t="s">
        <v>905</v>
      </c>
      <c r="O93" s="75"/>
      <c r="P93" s="190"/>
      <c r="Q93" s="107" t="s">
        <v>326</v>
      </c>
      <c r="R93" s="192"/>
      <c r="S93" s="119" t="s">
        <v>906</v>
      </c>
      <c r="T93" s="221" t="s">
        <v>506</v>
      </c>
      <c r="U93" s="221" t="s">
        <v>907</v>
      </c>
      <c r="V93" s="212">
        <f>30*4</f>
        <v>120</v>
      </c>
      <c r="W93" s="225" t="s">
        <v>342</v>
      </c>
      <c r="X93" s="119" t="s">
        <v>343</v>
      </c>
      <c r="Y93" s="119"/>
      <c r="Z93" s="109"/>
      <c r="AA93" s="109"/>
      <c r="AB93" s="109"/>
      <c r="AC93" s="109"/>
      <c r="AD93" s="109"/>
    </row>
    <row r="94" spans="1:30" ht="60">
      <c r="A94" s="325"/>
      <c r="B94" s="329"/>
      <c r="C94" s="301"/>
      <c r="D94" s="333"/>
      <c r="E94" s="334"/>
      <c r="F94" s="232" t="s">
        <v>908</v>
      </c>
      <c r="G94" s="103" t="s">
        <v>909</v>
      </c>
      <c r="H94" s="104" t="s">
        <v>322</v>
      </c>
      <c r="I94" s="104" t="s">
        <v>348</v>
      </c>
      <c r="J94" s="105" t="str">
        <f t="shared" si="1"/>
        <v>Col·laborar en la regulació i ordenació de la caça i la pesca en zones sensibles o amb risc d'afectació d'elements clau objecte de conservació</v>
      </c>
      <c r="K94" s="106"/>
      <c r="L94" s="75" t="s">
        <v>60</v>
      </c>
      <c r="M94" s="107" t="s">
        <v>429</v>
      </c>
      <c r="N94" s="75" t="s">
        <v>910</v>
      </c>
      <c r="O94" s="75"/>
      <c r="P94" s="190"/>
      <c r="Q94" s="107" t="s">
        <v>326</v>
      </c>
      <c r="R94" s="192"/>
      <c r="S94" s="119" t="s">
        <v>911</v>
      </c>
      <c r="T94" s="119" t="s">
        <v>912</v>
      </c>
      <c r="U94" s="119" t="s">
        <v>913</v>
      </c>
      <c r="V94" s="212">
        <v>10</v>
      </c>
      <c r="W94" s="225" t="s">
        <v>342</v>
      </c>
      <c r="X94" s="119" t="s">
        <v>343</v>
      </c>
      <c r="Y94" s="119"/>
      <c r="Z94" s="109"/>
      <c r="AA94" s="109"/>
      <c r="AB94" s="109"/>
      <c r="AC94" s="109"/>
      <c r="AD94" s="109"/>
    </row>
    <row r="95" spans="1:30" ht="60">
      <c r="A95" s="325"/>
      <c r="B95" s="330"/>
      <c r="C95" s="302"/>
      <c r="D95" s="333"/>
      <c r="E95" s="334"/>
      <c r="F95" s="102" t="s">
        <v>914</v>
      </c>
      <c r="G95" s="231" t="s">
        <v>915</v>
      </c>
      <c r="H95" s="104" t="s">
        <v>322</v>
      </c>
      <c r="I95" s="104" t="s">
        <v>348</v>
      </c>
      <c r="J95" s="105" t="s">
        <v>402</v>
      </c>
      <c r="K95" s="111" t="s">
        <v>916</v>
      </c>
      <c r="L95" s="75"/>
      <c r="M95" s="107"/>
      <c r="N95" s="75"/>
      <c r="O95" s="75"/>
      <c r="P95" s="190"/>
      <c r="Q95" s="107"/>
      <c r="R95" s="192"/>
      <c r="S95" s="119"/>
      <c r="T95" s="109"/>
      <c r="U95" s="109"/>
      <c r="V95" s="109"/>
      <c r="W95" s="109"/>
      <c r="X95" s="119"/>
      <c r="Y95" s="119"/>
      <c r="Z95" s="109"/>
      <c r="AA95" s="109"/>
      <c r="AB95" s="109"/>
      <c r="AC95" s="109"/>
      <c r="AD95" s="109"/>
    </row>
    <row r="96" spans="1:30" ht="270">
      <c r="A96" s="27"/>
      <c r="B96" s="46">
        <v>9</v>
      </c>
      <c r="C96" s="53" t="s">
        <v>917</v>
      </c>
      <c r="D96" s="275" t="s">
        <v>918</v>
      </c>
      <c r="E96" s="273" t="s">
        <v>919</v>
      </c>
      <c r="F96" s="102" t="s">
        <v>920</v>
      </c>
      <c r="G96" s="103" t="s">
        <v>921</v>
      </c>
      <c r="H96" s="104" t="s">
        <v>322</v>
      </c>
      <c r="I96" s="104" t="s">
        <v>469</v>
      </c>
      <c r="J96" s="105" t="str">
        <f t="shared" si="1"/>
        <v>Desplegar la Carta Europea de Turisme Sostenible (CETS)</v>
      </c>
      <c r="K96" s="106"/>
      <c r="L96" s="75" t="s">
        <v>60</v>
      </c>
      <c r="M96" s="107" t="s">
        <v>337</v>
      </c>
      <c r="N96" s="75" t="s">
        <v>922</v>
      </c>
      <c r="O96" s="75"/>
      <c r="P96" s="190"/>
      <c r="Q96" s="107" t="s">
        <v>350</v>
      </c>
      <c r="R96" s="192"/>
      <c r="S96" s="119" t="s">
        <v>923</v>
      </c>
      <c r="T96" s="119" t="s">
        <v>924</v>
      </c>
      <c r="U96" s="119" t="s">
        <v>925</v>
      </c>
      <c r="V96" s="212">
        <f>80*4</f>
        <v>320</v>
      </c>
      <c r="W96" s="109" t="s">
        <v>580</v>
      </c>
      <c r="X96" s="119" t="s">
        <v>581</v>
      </c>
      <c r="Y96" s="119"/>
      <c r="Z96" s="109"/>
      <c r="AA96" s="109"/>
      <c r="AB96" s="109"/>
      <c r="AC96" s="109"/>
      <c r="AD96" s="109"/>
    </row>
    <row r="97" spans="1:30" ht="30">
      <c r="A97" s="27"/>
      <c r="B97" s="47"/>
      <c r="C97" s="54"/>
      <c r="D97" s="276"/>
      <c r="E97" s="274"/>
      <c r="F97" s="102" t="s">
        <v>926</v>
      </c>
      <c r="G97" s="103" t="s">
        <v>927</v>
      </c>
      <c r="H97" s="104" t="s">
        <v>322</v>
      </c>
      <c r="I97" s="104" t="s">
        <v>469</v>
      </c>
      <c r="J97" s="105" t="str">
        <f t="shared" si="1"/>
        <v>Tramitar la certificació Biosphere</v>
      </c>
      <c r="K97" s="106"/>
      <c r="L97" s="75"/>
      <c r="M97" s="107" t="s">
        <v>407</v>
      </c>
      <c r="N97" s="75" t="s">
        <v>928</v>
      </c>
      <c r="O97" s="75"/>
      <c r="P97" s="190"/>
      <c r="Q97" s="107"/>
      <c r="R97" s="192"/>
      <c r="S97" s="119" t="s">
        <v>929</v>
      </c>
      <c r="T97" s="109">
        <v>0</v>
      </c>
      <c r="U97" s="109">
        <v>1</v>
      </c>
      <c r="V97" s="212">
        <f>20*4</f>
        <v>80</v>
      </c>
      <c r="W97" s="109" t="s">
        <v>580</v>
      </c>
      <c r="X97" s="119" t="s">
        <v>581</v>
      </c>
      <c r="Y97" s="119"/>
      <c r="Z97" s="109"/>
      <c r="AA97" s="109"/>
      <c r="AB97" s="109"/>
      <c r="AC97" s="109"/>
      <c r="AD97" s="109"/>
    </row>
    <row r="98" spans="1:30" ht="75">
      <c r="A98" s="48"/>
      <c r="B98" s="47"/>
      <c r="C98" s="54"/>
      <c r="D98" s="275" t="s">
        <v>930</v>
      </c>
      <c r="E98" s="273" t="s">
        <v>931</v>
      </c>
      <c r="F98" s="102" t="s">
        <v>932</v>
      </c>
      <c r="G98" s="103" t="s">
        <v>933</v>
      </c>
      <c r="H98" s="104" t="s">
        <v>322</v>
      </c>
      <c r="I98" s="104" t="s">
        <v>469</v>
      </c>
      <c r="J98" s="105" t="str">
        <f t="shared" si="1"/>
        <v xml:space="preserve">Treballar amb les empreses turístiques per trobar eines de canvi cap a un model de turisme sostenible i de qualitat </v>
      </c>
      <c r="K98" s="106"/>
      <c r="L98" s="75" t="s">
        <v>60</v>
      </c>
      <c r="M98" s="107" t="s">
        <v>378</v>
      </c>
      <c r="N98" s="75" t="s">
        <v>934</v>
      </c>
      <c r="O98" s="75"/>
      <c r="P98" s="190"/>
      <c r="Q98" s="107" t="s">
        <v>350</v>
      </c>
      <c r="R98" s="192"/>
      <c r="S98" s="119" t="s">
        <v>935</v>
      </c>
      <c r="T98" s="119" t="s">
        <v>936</v>
      </c>
      <c r="U98" s="119" t="s">
        <v>937</v>
      </c>
      <c r="V98" s="212">
        <f>20*4</f>
        <v>80</v>
      </c>
      <c r="W98" s="109" t="s">
        <v>580</v>
      </c>
      <c r="X98" s="119" t="s">
        <v>581</v>
      </c>
      <c r="Y98" s="119"/>
      <c r="Z98" s="109"/>
      <c r="AA98" s="109"/>
      <c r="AB98" s="109"/>
      <c r="AC98" s="109"/>
      <c r="AD98" s="109"/>
    </row>
    <row r="99" spans="1:30" ht="90">
      <c r="A99" s="48"/>
      <c r="B99" s="47"/>
      <c r="C99" s="54"/>
      <c r="D99" s="276"/>
      <c r="E99" s="274"/>
      <c r="F99" s="102" t="s">
        <v>938</v>
      </c>
      <c r="G99" s="103" t="s">
        <v>939</v>
      </c>
      <c r="H99" s="104" t="s">
        <v>322</v>
      </c>
      <c r="I99" s="104" t="s">
        <v>469</v>
      </c>
      <c r="J99" s="105" t="str">
        <f t="shared" si="1"/>
        <v>Crear productes i paquets turístics amb associacions d’empreses turístiques i operadors turístics</v>
      </c>
      <c r="K99" s="106"/>
      <c r="L99" s="75" t="s">
        <v>60</v>
      </c>
      <c r="M99" s="107" t="s">
        <v>378</v>
      </c>
      <c r="N99" s="75" t="s">
        <v>940</v>
      </c>
      <c r="O99" s="75"/>
      <c r="P99" s="190"/>
      <c r="Q99" s="107" t="s">
        <v>350</v>
      </c>
      <c r="R99" s="192"/>
      <c r="S99" s="119" t="s">
        <v>941</v>
      </c>
      <c r="T99" s="119" t="s">
        <v>942</v>
      </c>
      <c r="U99" s="119" t="s">
        <v>943</v>
      </c>
      <c r="V99" s="212">
        <v>50</v>
      </c>
      <c r="W99" s="109" t="s">
        <v>580</v>
      </c>
      <c r="X99" s="119" t="s">
        <v>581</v>
      </c>
      <c r="Y99" s="119"/>
      <c r="Z99" s="109"/>
      <c r="AA99" s="109"/>
      <c r="AB99" s="109"/>
      <c r="AC99" s="109"/>
      <c r="AD99" s="109"/>
    </row>
    <row r="100" spans="1:30" ht="75">
      <c r="A100" s="28" t="s">
        <v>944</v>
      </c>
      <c r="B100" s="51">
        <v>10</v>
      </c>
      <c r="C100" s="58" t="s">
        <v>945</v>
      </c>
      <c r="D100" s="52" t="s">
        <v>946</v>
      </c>
      <c r="E100" s="90" t="s">
        <v>947</v>
      </c>
      <c r="F100" s="102" t="s">
        <v>948</v>
      </c>
      <c r="G100" s="103" t="s">
        <v>949</v>
      </c>
      <c r="H100" s="104" t="s">
        <v>322</v>
      </c>
      <c r="I100" s="104" t="s">
        <v>348</v>
      </c>
      <c r="J100" s="105" t="s">
        <v>402</v>
      </c>
      <c r="K100" s="111" t="s">
        <v>950</v>
      </c>
      <c r="L100" s="114"/>
      <c r="M100" s="107"/>
      <c r="N100" s="114"/>
      <c r="O100" s="114"/>
      <c r="P100" s="191"/>
      <c r="Q100" s="107"/>
      <c r="R100" s="192" t="s">
        <v>951</v>
      </c>
      <c r="S100" s="119"/>
      <c r="T100" s="109"/>
      <c r="U100" s="109"/>
      <c r="V100" s="109"/>
      <c r="W100" s="109"/>
      <c r="X100" s="119"/>
      <c r="Y100" s="119"/>
      <c r="Z100" s="109"/>
      <c r="AA100" s="109"/>
      <c r="AB100" s="109"/>
      <c r="AC100" s="109"/>
      <c r="AD100" s="109"/>
    </row>
    <row r="101" spans="1:30" ht="105">
      <c r="A101" s="28"/>
      <c r="B101" s="32">
        <v>11</v>
      </c>
      <c r="C101" s="289" t="s">
        <v>952</v>
      </c>
      <c r="D101" s="249" t="s">
        <v>953</v>
      </c>
      <c r="E101" s="246" t="s">
        <v>954</v>
      </c>
      <c r="F101" s="102" t="s">
        <v>955</v>
      </c>
      <c r="G101" s="103" t="s">
        <v>956</v>
      </c>
      <c r="H101" s="104" t="s">
        <v>322</v>
      </c>
      <c r="I101" s="104" t="s">
        <v>348</v>
      </c>
      <c r="J101" s="105" t="s">
        <v>957</v>
      </c>
      <c r="K101" s="219" t="s">
        <v>958</v>
      </c>
      <c r="L101" s="75" t="s">
        <v>60</v>
      </c>
      <c r="M101" s="107" t="s">
        <v>337</v>
      </c>
      <c r="N101" s="105" t="s">
        <v>959</v>
      </c>
      <c r="O101" s="105"/>
      <c r="P101" s="172"/>
      <c r="Q101" s="107"/>
      <c r="R101" s="192" t="s">
        <v>951</v>
      </c>
      <c r="S101" s="190" t="s">
        <v>960</v>
      </c>
      <c r="T101" s="119" t="s">
        <v>961</v>
      </c>
      <c r="U101" s="119" t="s">
        <v>962</v>
      </c>
      <c r="V101" s="212">
        <v>220</v>
      </c>
      <c r="W101" s="119" t="s">
        <v>353</v>
      </c>
      <c r="X101" s="75" t="s">
        <v>666</v>
      </c>
      <c r="Y101" s="75"/>
      <c r="Z101" s="109"/>
      <c r="AA101" s="109"/>
      <c r="AB101" s="109"/>
      <c r="AC101" s="109"/>
      <c r="AD101" s="109"/>
    </row>
    <row r="102" spans="1:30" ht="105">
      <c r="A102" s="28"/>
      <c r="B102" s="33"/>
      <c r="C102" s="290"/>
      <c r="D102" s="250"/>
      <c r="E102" s="247"/>
      <c r="F102" s="102" t="s">
        <v>963</v>
      </c>
      <c r="G102" s="103" t="s">
        <v>964</v>
      </c>
      <c r="H102" s="104" t="s">
        <v>322</v>
      </c>
      <c r="I102" s="104" t="s">
        <v>348</v>
      </c>
      <c r="J102" s="105" t="s">
        <v>965</v>
      </c>
      <c r="K102" s="219" t="s">
        <v>958</v>
      </c>
      <c r="L102" s="75" t="s">
        <v>60</v>
      </c>
      <c r="M102" s="107" t="s">
        <v>324</v>
      </c>
      <c r="N102" s="105" t="s">
        <v>966</v>
      </c>
      <c r="O102" s="105"/>
      <c r="P102" s="172"/>
      <c r="Q102" s="107"/>
      <c r="R102" s="192" t="s">
        <v>951</v>
      </c>
      <c r="S102" s="190" t="s">
        <v>960</v>
      </c>
      <c r="T102" s="119" t="s">
        <v>961</v>
      </c>
      <c r="U102" s="119" t="s">
        <v>962</v>
      </c>
      <c r="V102" s="212">
        <v>250</v>
      </c>
      <c r="W102" s="119" t="s">
        <v>353</v>
      </c>
      <c r="X102" s="75" t="s">
        <v>666</v>
      </c>
      <c r="Y102" s="75"/>
      <c r="Z102" s="109"/>
      <c r="AA102" s="109"/>
      <c r="AB102" s="109"/>
      <c r="AC102" s="109"/>
      <c r="AD102" s="109"/>
    </row>
    <row r="103" spans="1:30" ht="105">
      <c r="A103" s="28"/>
      <c r="B103" s="33"/>
      <c r="C103" s="290"/>
      <c r="D103" s="250"/>
      <c r="E103" s="247"/>
      <c r="F103" s="102" t="s">
        <v>967</v>
      </c>
      <c r="G103" s="103" t="s">
        <v>968</v>
      </c>
      <c r="H103" s="104" t="s">
        <v>376</v>
      </c>
      <c r="I103" s="104" t="s">
        <v>348</v>
      </c>
      <c r="J103" s="105" t="s">
        <v>969</v>
      </c>
      <c r="K103" s="219" t="s">
        <v>958</v>
      </c>
      <c r="L103" s="75" t="s">
        <v>60</v>
      </c>
      <c r="M103" s="107" t="s">
        <v>324</v>
      </c>
      <c r="N103" s="105" t="s">
        <v>970</v>
      </c>
      <c r="O103" s="105"/>
      <c r="P103" s="172"/>
      <c r="Q103" s="107"/>
      <c r="R103" s="192" t="s">
        <v>951</v>
      </c>
      <c r="S103" s="190" t="s">
        <v>960</v>
      </c>
      <c r="T103" s="119" t="s">
        <v>961</v>
      </c>
      <c r="U103" s="119" t="s">
        <v>962</v>
      </c>
      <c r="V103" s="212">
        <v>400</v>
      </c>
      <c r="W103" s="119" t="s">
        <v>353</v>
      </c>
      <c r="X103" s="75" t="s">
        <v>666</v>
      </c>
      <c r="Y103" s="75"/>
      <c r="Z103" s="109"/>
      <c r="AA103" s="109"/>
      <c r="AB103" s="109"/>
      <c r="AC103" s="109"/>
      <c r="AD103" s="109"/>
    </row>
    <row r="104" spans="1:30" ht="105">
      <c r="A104" s="28"/>
      <c r="B104" s="33"/>
      <c r="C104" s="31"/>
      <c r="D104" s="250"/>
      <c r="E104" s="247"/>
      <c r="F104" s="102" t="s">
        <v>971</v>
      </c>
      <c r="G104" s="103" t="s">
        <v>972</v>
      </c>
      <c r="H104" s="104" t="s">
        <v>322</v>
      </c>
      <c r="I104" s="104" t="s">
        <v>348</v>
      </c>
      <c r="J104" s="105" t="s">
        <v>973</v>
      </c>
      <c r="K104" s="111" t="s">
        <v>589</v>
      </c>
      <c r="L104" s="75" t="s">
        <v>60</v>
      </c>
      <c r="M104" s="107" t="s">
        <v>324</v>
      </c>
      <c r="N104" s="105" t="s">
        <v>974</v>
      </c>
      <c r="O104" s="105"/>
      <c r="P104" s="172"/>
      <c r="Q104" s="107"/>
      <c r="R104" s="192" t="s">
        <v>951</v>
      </c>
      <c r="S104" s="190" t="s">
        <v>960</v>
      </c>
      <c r="T104" s="119" t="s">
        <v>961</v>
      </c>
      <c r="U104" s="119" t="s">
        <v>962</v>
      </c>
      <c r="V104" s="212">
        <v>450</v>
      </c>
      <c r="W104" s="119" t="s">
        <v>353</v>
      </c>
      <c r="X104" s="75" t="s">
        <v>666</v>
      </c>
      <c r="Y104" s="75"/>
      <c r="Z104" s="109"/>
      <c r="AA104" s="109"/>
      <c r="AB104" s="109"/>
      <c r="AC104" s="109"/>
      <c r="AD104" s="109"/>
    </row>
    <row r="105" spans="1:30" ht="105">
      <c r="A105" s="28"/>
      <c r="B105" s="50"/>
      <c r="C105" s="49"/>
      <c r="D105" s="250"/>
      <c r="E105" s="247"/>
      <c r="F105" s="102" t="s">
        <v>975</v>
      </c>
      <c r="G105" s="103" t="s">
        <v>976</v>
      </c>
      <c r="H105" s="104" t="s">
        <v>322</v>
      </c>
      <c r="I105" s="104" t="s">
        <v>348</v>
      </c>
      <c r="J105" s="105" t="s">
        <v>977</v>
      </c>
      <c r="K105" s="111" t="s">
        <v>589</v>
      </c>
      <c r="L105" s="75" t="s">
        <v>60</v>
      </c>
      <c r="M105" s="107" t="s">
        <v>378</v>
      </c>
      <c r="N105" s="105" t="s">
        <v>978</v>
      </c>
      <c r="O105" s="105"/>
      <c r="P105" s="172"/>
      <c r="Q105" s="107"/>
      <c r="R105" s="192" t="s">
        <v>951</v>
      </c>
      <c r="S105" s="190" t="s">
        <v>960</v>
      </c>
      <c r="T105" s="119" t="s">
        <v>961</v>
      </c>
      <c r="U105" s="119" t="s">
        <v>962</v>
      </c>
      <c r="V105" s="212">
        <v>200</v>
      </c>
      <c r="W105" s="119" t="s">
        <v>353</v>
      </c>
      <c r="X105" s="75" t="s">
        <v>666</v>
      </c>
      <c r="Y105" s="75"/>
      <c r="Z105" s="109"/>
      <c r="AA105" s="109"/>
      <c r="AB105" s="109"/>
      <c r="AC105" s="109"/>
      <c r="AD105" s="109"/>
    </row>
    <row r="106" spans="1:30" ht="105">
      <c r="A106" s="28"/>
      <c r="B106" s="50"/>
      <c r="C106" s="49"/>
      <c r="D106" s="250"/>
      <c r="E106" s="247"/>
      <c r="F106" s="102" t="s">
        <v>979</v>
      </c>
      <c r="G106" s="103" t="s">
        <v>980</v>
      </c>
      <c r="H106" s="104" t="s">
        <v>322</v>
      </c>
      <c r="I106" s="104" t="s">
        <v>348</v>
      </c>
      <c r="J106" s="105" t="s">
        <v>981</v>
      </c>
      <c r="K106" s="111" t="s">
        <v>589</v>
      </c>
      <c r="L106" s="75" t="s">
        <v>60</v>
      </c>
      <c r="M106" s="107" t="s">
        <v>378</v>
      </c>
      <c r="N106" s="105" t="s">
        <v>982</v>
      </c>
      <c r="O106" s="105"/>
      <c r="P106" s="172"/>
      <c r="Q106" s="107"/>
      <c r="R106" s="192" t="s">
        <v>951</v>
      </c>
      <c r="S106" s="190" t="s">
        <v>960</v>
      </c>
      <c r="T106" s="119" t="s">
        <v>961</v>
      </c>
      <c r="U106" s="119" t="s">
        <v>962</v>
      </c>
      <c r="V106" s="212">
        <v>300</v>
      </c>
      <c r="W106" s="119" t="s">
        <v>353</v>
      </c>
      <c r="X106" s="75" t="s">
        <v>666</v>
      </c>
      <c r="Y106" s="75"/>
      <c r="Z106" s="109"/>
      <c r="AA106" s="109"/>
      <c r="AB106" s="109"/>
      <c r="AC106" s="109"/>
      <c r="AD106" s="109"/>
    </row>
    <row r="107" spans="1:30" ht="90">
      <c r="A107" s="28"/>
      <c r="B107" s="33"/>
      <c r="C107" s="31"/>
      <c r="D107" s="250"/>
      <c r="E107" s="247"/>
      <c r="F107" s="102" t="s">
        <v>983</v>
      </c>
      <c r="G107" s="103" t="s">
        <v>984</v>
      </c>
      <c r="H107" s="104" t="s">
        <v>376</v>
      </c>
      <c r="I107" s="104" t="s">
        <v>348</v>
      </c>
      <c r="J107" s="105" t="s">
        <v>985</v>
      </c>
      <c r="K107" s="111" t="s">
        <v>589</v>
      </c>
      <c r="L107" s="75" t="s">
        <v>60</v>
      </c>
      <c r="M107" s="107" t="s">
        <v>337</v>
      </c>
      <c r="N107" s="105" t="s">
        <v>986</v>
      </c>
      <c r="O107" s="105"/>
      <c r="P107" s="172"/>
      <c r="Q107" s="107"/>
      <c r="R107" s="192" t="s">
        <v>951</v>
      </c>
      <c r="S107" s="190" t="s">
        <v>960</v>
      </c>
      <c r="T107" s="119" t="s">
        <v>961</v>
      </c>
      <c r="U107" s="119" t="s">
        <v>962</v>
      </c>
      <c r="V107" s="212">
        <v>200</v>
      </c>
      <c r="W107" s="119" t="s">
        <v>353</v>
      </c>
      <c r="X107" s="75" t="s">
        <v>666</v>
      </c>
      <c r="Y107" s="75"/>
      <c r="Z107" s="109"/>
      <c r="AA107" s="109"/>
      <c r="AB107" s="109"/>
      <c r="AC107" s="109"/>
      <c r="AD107" s="109"/>
    </row>
    <row r="108" spans="1:30" ht="105">
      <c r="A108" s="28"/>
      <c r="B108" s="33"/>
      <c r="C108" s="31"/>
      <c r="D108" s="250"/>
      <c r="E108" s="247"/>
      <c r="F108" s="102" t="s">
        <v>987</v>
      </c>
      <c r="G108" s="103" t="s">
        <v>988</v>
      </c>
      <c r="H108" s="104" t="s">
        <v>376</v>
      </c>
      <c r="I108" s="104" t="s">
        <v>348</v>
      </c>
      <c r="J108" s="105" t="s">
        <v>989</v>
      </c>
      <c r="K108" s="111" t="s">
        <v>589</v>
      </c>
      <c r="L108" s="75" t="s">
        <v>60</v>
      </c>
      <c r="M108" s="107" t="s">
        <v>378</v>
      </c>
      <c r="N108" s="105" t="s">
        <v>990</v>
      </c>
      <c r="O108" s="105"/>
      <c r="P108" s="172"/>
      <c r="Q108" s="107"/>
      <c r="R108" s="192" t="s">
        <v>951</v>
      </c>
      <c r="S108" s="190" t="s">
        <v>960</v>
      </c>
      <c r="T108" s="119" t="s">
        <v>961</v>
      </c>
      <c r="U108" s="119" t="s">
        <v>962</v>
      </c>
      <c r="V108" s="212">
        <v>200</v>
      </c>
      <c r="W108" s="119" t="s">
        <v>353</v>
      </c>
      <c r="X108" s="75" t="s">
        <v>666</v>
      </c>
      <c r="Y108" s="75"/>
      <c r="Z108" s="109"/>
      <c r="AA108" s="109"/>
      <c r="AB108" s="109"/>
      <c r="AC108" s="109"/>
      <c r="AD108" s="109"/>
    </row>
    <row r="109" spans="1:30">
      <c r="A109" s="28"/>
      <c r="B109" s="33"/>
      <c r="C109" s="31"/>
      <c r="D109" s="250"/>
      <c r="E109" s="247"/>
      <c r="F109" s="102" t="s">
        <v>991</v>
      </c>
      <c r="G109" s="103" t="s">
        <v>992</v>
      </c>
      <c r="H109" s="104" t="s">
        <v>376</v>
      </c>
      <c r="I109" s="104" t="s">
        <v>348</v>
      </c>
      <c r="J109" s="105" t="s">
        <v>402</v>
      </c>
      <c r="K109" s="106" t="s">
        <v>993</v>
      </c>
      <c r="L109" s="105"/>
      <c r="M109" s="107"/>
      <c r="N109" s="105"/>
      <c r="O109" s="105"/>
      <c r="P109" s="172"/>
      <c r="Q109" s="107"/>
      <c r="R109" s="192" t="s">
        <v>951</v>
      </c>
      <c r="S109" s="119"/>
      <c r="T109" s="109"/>
      <c r="U109" s="109"/>
      <c r="V109" s="202"/>
      <c r="W109" s="119" t="s">
        <v>353</v>
      </c>
      <c r="X109" s="75" t="s">
        <v>994</v>
      </c>
      <c r="Y109" s="75"/>
      <c r="Z109" s="109"/>
      <c r="AA109" s="109"/>
      <c r="AB109" s="109"/>
      <c r="AC109" s="109"/>
      <c r="AD109" s="109"/>
    </row>
    <row r="110" spans="1:30" ht="30">
      <c r="A110" s="28"/>
      <c r="B110" s="33"/>
      <c r="C110" s="31"/>
      <c r="D110" s="250"/>
      <c r="E110" s="247"/>
      <c r="F110" s="102" t="s">
        <v>995</v>
      </c>
      <c r="G110" s="103" t="s">
        <v>996</v>
      </c>
      <c r="H110" s="104" t="s">
        <v>376</v>
      </c>
      <c r="I110" s="104" t="s">
        <v>348</v>
      </c>
      <c r="J110" s="105" t="s">
        <v>402</v>
      </c>
      <c r="K110" s="106" t="s">
        <v>993</v>
      </c>
      <c r="L110" s="105"/>
      <c r="M110" s="107"/>
      <c r="N110" s="105"/>
      <c r="O110" s="105"/>
      <c r="P110" s="172"/>
      <c r="Q110" s="107"/>
      <c r="R110" s="192" t="s">
        <v>951</v>
      </c>
      <c r="S110" s="119"/>
      <c r="T110" s="109"/>
      <c r="U110" s="109"/>
      <c r="V110" s="202"/>
      <c r="W110" s="119" t="s">
        <v>353</v>
      </c>
      <c r="X110" s="75" t="s">
        <v>994</v>
      </c>
      <c r="Y110" s="75"/>
      <c r="Z110" s="109"/>
      <c r="AA110" s="109"/>
      <c r="AB110" s="109"/>
      <c r="AC110" s="109"/>
      <c r="AD110" s="109"/>
    </row>
    <row r="111" spans="1:30" ht="105">
      <c r="A111" s="28"/>
      <c r="B111" s="33"/>
      <c r="C111" s="31"/>
      <c r="D111" s="250"/>
      <c r="E111" s="247"/>
      <c r="F111" s="102" t="s">
        <v>997</v>
      </c>
      <c r="G111" s="103" t="s">
        <v>998</v>
      </c>
      <c r="H111" s="104" t="s">
        <v>322</v>
      </c>
      <c r="I111" s="104" t="s">
        <v>348</v>
      </c>
      <c r="J111" s="105" t="s">
        <v>999</v>
      </c>
      <c r="K111" s="111" t="s">
        <v>589</v>
      </c>
      <c r="L111" s="75" t="s">
        <v>60</v>
      </c>
      <c r="M111" s="107" t="s">
        <v>337</v>
      </c>
      <c r="N111" s="105" t="s">
        <v>1000</v>
      </c>
      <c r="O111" s="105"/>
      <c r="P111" s="172"/>
      <c r="Q111" s="107"/>
      <c r="R111" s="192" t="s">
        <v>951</v>
      </c>
      <c r="S111" s="190" t="s">
        <v>960</v>
      </c>
      <c r="T111" s="119" t="s">
        <v>961</v>
      </c>
      <c r="U111" s="119" t="s">
        <v>962</v>
      </c>
      <c r="V111" s="212">
        <v>150</v>
      </c>
      <c r="W111" s="119" t="s">
        <v>353</v>
      </c>
      <c r="X111" s="75" t="s">
        <v>715</v>
      </c>
      <c r="Y111" s="75"/>
      <c r="Z111" s="109"/>
      <c r="AA111" s="109"/>
      <c r="AB111" s="109"/>
      <c r="AC111" s="109"/>
      <c r="AD111" s="109"/>
    </row>
    <row r="112" spans="1:30" ht="90">
      <c r="A112" s="28"/>
      <c r="B112" s="33"/>
      <c r="C112" s="31"/>
      <c r="D112" s="251"/>
      <c r="E112" s="248"/>
      <c r="F112" s="102" t="s">
        <v>1001</v>
      </c>
      <c r="G112" s="103" t="s">
        <v>1002</v>
      </c>
      <c r="H112" s="104" t="s">
        <v>322</v>
      </c>
      <c r="I112" s="104" t="s">
        <v>348</v>
      </c>
      <c r="J112" s="105" t="s">
        <v>1003</v>
      </c>
      <c r="K112" s="111" t="s">
        <v>589</v>
      </c>
      <c r="L112" s="75" t="s">
        <v>60</v>
      </c>
      <c r="M112" s="107" t="s">
        <v>378</v>
      </c>
      <c r="N112" s="105" t="s">
        <v>1004</v>
      </c>
      <c r="O112" s="105"/>
      <c r="P112" s="172"/>
      <c r="Q112" s="107"/>
      <c r="R112" s="192" t="s">
        <v>951</v>
      </c>
      <c r="S112" s="190" t="s">
        <v>960</v>
      </c>
      <c r="T112" s="119" t="s">
        <v>961</v>
      </c>
      <c r="U112" s="119" t="s">
        <v>962</v>
      </c>
      <c r="V112" s="212">
        <v>150</v>
      </c>
      <c r="W112" s="109" t="s">
        <v>560</v>
      </c>
      <c r="X112" s="75" t="s">
        <v>715</v>
      </c>
      <c r="Y112" s="75"/>
      <c r="Z112" s="109"/>
      <c r="AA112" s="109"/>
      <c r="AB112" s="109"/>
      <c r="AC112" s="109"/>
      <c r="AD112" s="109"/>
    </row>
    <row r="113" spans="1:30" ht="135">
      <c r="A113" s="28"/>
      <c r="B113" s="33"/>
      <c r="C113" s="31"/>
      <c r="D113" s="249" t="s">
        <v>1005</v>
      </c>
      <c r="E113" s="252" t="s">
        <v>1006</v>
      </c>
      <c r="F113" s="104" t="s">
        <v>1007</v>
      </c>
      <c r="G113" s="103" t="s">
        <v>1008</v>
      </c>
      <c r="H113" s="104" t="s">
        <v>322</v>
      </c>
      <c r="I113" s="104" t="s">
        <v>348</v>
      </c>
      <c r="J113" s="105" t="str">
        <f t="shared" si="1"/>
        <v xml:space="preserve">Identificar i classificar la xarxa viària bàsica, secundària, senders i itineraris senyalitzats d'acord amb els ajuntaments </v>
      </c>
      <c r="K113" s="106"/>
      <c r="L113" s="75" t="s">
        <v>60</v>
      </c>
      <c r="M113" s="107" t="s">
        <v>378</v>
      </c>
      <c r="N113" s="75" t="s">
        <v>1009</v>
      </c>
      <c r="O113" s="75"/>
      <c r="P113" s="190"/>
      <c r="Q113" s="107"/>
      <c r="R113" s="105" t="s">
        <v>1010</v>
      </c>
      <c r="S113" s="119" t="s">
        <v>1011</v>
      </c>
      <c r="T113" s="119" t="s">
        <v>1012</v>
      </c>
      <c r="U113" s="119" t="s">
        <v>1013</v>
      </c>
      <c r="V113" s="212">
        <v>250</v>
      </c>
      <c r="W113" s="119" t="s">
        <v>353</v>
      </c>
      <c r="X113" s="75" t="s">
        <v>715</v>
      </c>
      <c r="Y113" s="75"/>
      <c r="Z113" s="109"/>
      <c r="AA113" s="109"/>
      <c r="AB113" s="109"/>
      <c r="AC113" s="109"/>
      <c r="AD113" s="109"/>
    </row>
    <row r="114" spans="1:30" ht="75">
      <c r="A114" s="28"/>
      <c r="B114" s="33"/>
      <c r="C114" s="31"/>
      <c r="D114" s="251"/>
      <c r="E114" s="253"/>
      <c r="F114" s="104" t="s">
        <v>1014</v>
      </c>
      <c r="G114" s="103" t="s">
        <v>1015</v>
      </c>
      <c r="H114" s="104" t="s">
        <v>322</v>
      </c>
      <c r="I114" s="104" t="s">
        <v>348</v>
      </c>
      <c r="J114" s="182" t="s">
        <v>1016</v>
      </c>
      <c r="K114" s="106" t="s">
        <v>1017</v>
      </c>
      <c r="L114" s="75" t="s">
        <v>60</v>
      </c>
      <c r="M114" s="107" t="s">
        <v>337</v>
      </c>
      <c r="N114" s="75" t="s">
        <v>1018</v>
      </c>
      <c r="O114" s="75"/>
      <c r="P114" s="190"/>
      <c r="Q114" s="107"/>
      <c r="R114" s="105" t="s">
        <v>1019</v>
      </c>
      <c r="S114" s="119" t="s">
        <v>1020</v>
      </c>
      <c r="T114" s="109">
        <v>1</v>
      </c>
      <c r="U114" s="109">
        <v>8</v>
      </c>
      <c r="V114" s="212">
        <f>10*4</f>
        <v>40</v>
      </c>
      <c r="W114" s="119" t="s">
        <v>1021</v>
      </c>
      <c r="X114" s="119" t="s">
        <v>581</v>
      </c>
      <c r="Y114" s="119"/>
      <c r="Z114" s="109"/>
      <c r="AA114" s="109"/>
      <c r="AB114" s="109"/>
      <c r="AC114" s="109"/>
      <c r="AD114" s="109"/>
    </row>
    <row r="115" spans="1:30" ht="75">
      <c r="A115" s="28"/>
      <c r="B115" s="33"/>
      <c r="C115" s="31"/>
      <c r="D115" s="249" t="s">
        <v>1022</v>
      </c>
      <c r="E115" s="246" t="s">
        <v>1023</v>
      </c>
      <c r="F115" s="102" t="s">
        <v>1024</v>
      </c>
      <c r="G115" s="103" t="s">
        <v>1025</v>
      </c>
      <c r="H115" s="104" t="s">
        <v>322</v>
      </c>
      <c r="I115" s="104" t="s">
        <v>348</v>
      </c>
      <c r="J115" s="105" t="s">
        <v>1026</v>
      </c>
      <c r="K115" s="111" t="s">
        <v>589</v>
      </c>
      <c r="L115" s="75" t="s">
        <v>60</v>
      </c>
      <c r="M115" s="107" t="s">
        <v>324</v>
      </c>
      <c r="N115" s="105" t="s">
        <v>1027</v>
      </c>
      <c r="O115" s="105"/>
      <c r="P115" s="172"/>
      <c r="Q115" s="107"/>
      <c r="R115" s="192" t="s">
        <v>951</v>
      </c>
      <c r="S115" s="119" t="s">
        <v>1028</v>
      </c>
      <c r="T115" s="109">
        <v>1</v>
      </c>
      <c r="U115" s="109">
        <v>6</v>
      </c>
      <c r="V115" s="212">
        <f>10*4</f>
        <v>40</v>
      </c>
      <c r="W115" s="109" t="s">
        <v>560</v>
      </c>
      <c r="X115" s="119" t="s">
        <v>1029</v>
      </c>
      <c r="Y115" s="119"/>
      <c r="Z115" s="109"/>
      <c r="AA115" s="109"/>
      <c r="AB115" s="109"/>
      <c r="AC115" s="109"/>
      <c r="AD115" s="109"/>
    </row>
    <row r="116" spans="1:30" ht="45">
      <c r="A116" s="28"/>
      <c r="B116" s="33"/>
      <c r="C116" s="31"/>
      <c r="D116" s="250"/>
      <c r="E116" s="247"/>
      <c r="F116" s="102" t="s">
        <v>1030</v>
      </c>
      <c r="G116" s="103" t="s">
        <v>1031</v>
      </c>
      <c r="H116" s="104" t="s">
        <v>322</v>
      </c>
      <c r="I116" s="104" t="s">
        <v>348</v>
      </c>
      <c r="J116" s="105" t="s">
        <v>1032</v>
      </c>
      <c r="K116" s="111" t="s">
        <v>589</v>
      </c>
      <c r="L116" s="75" t="s">
        <v>60</v>
      </c>
      <c r="M116" s="107" t="s">
        <v>378</v>
      </c>
      <c r="N116" s="105" t="s">
        <v>1033</v>
      </c>
      <c r="O116" s="105"/>
      <c r="P116" s="172"/>
      <c r="Q116" s="107"/>
      <c r="R116" s="192" t="s">
        <v>951</v>
      </c>
      <c r="S116" s="119" t="s">
        <v>1034</v>
      </c>
      <c r="T116" s="109">
        <v>1</v>
      </c>
      <c r="U116" s="109">
        <v>1</v>
      </c>
      <c r="V116" s="212">
        <v>180</v>
      </c>
      <c r="W116" s="109" t="s">
        <v>398</v>
      </c>
      <c r="X116" s="119" t="s">
        <v>399</v>
      </c>
      <c r="Y116" s="119"/>
      <c r="Z116" s="109"/>
      <c r="AA116" s="109"/>
      <c r="AB116" s="109"/>
      <c r="AC116" s="109"/>
      <c r="AD116" s="109"/>
    </row>
    <row r="117" spans="1:30" ht="105">
      <c r="A117" s="28"/>
      <c r="B117" s="33"/>
      <c r="C117" s="31"/>
      <c r="D117" s="250"/>
      <c r="E117" s="247"/>
      <c r="F117" s="102" t="s">
        <v>1035</v>
      </c>
      <c r="G117" s="103" t="s">
        <v>1036</v>
      </c>
      <c r="H117" s="104" t="s">
        <v>376</v>
      </c>
      <c r="I117" s="104" t="s">
        <v>348</v>
      </c>
      <c r="J117" s="105" t="s">
        <v>1037</v>
      </c>
      <c r="K117" s="111" t="s">
        <v>589</v>
      </c>
      <c r="L117" s="75" t="s">
        <v>60</v>
      </c>
      <c r="M117" s="107" t="s">
        <v>378</v>
      </c>
      <c r="N117" s="105" t="s">
        <v>1038</v>
      </c>
      <c r="O117" s="105"/>
      <c r="P117" s="172"/>
      <c r="Q117" s="107"/>
      <c r="R117" s="192" t="s">
        <v>951</v>
      </c>
      <c r="S117" s="119" t="s">
        <v>1039</v>
      </c>
      <c r="T117" s="119" t="s">
        <v>961</v>
      </c>
      <c r="U117" s="119" t="s">
        <v>962</v>
      </c>
      <c r="V117" s="212">
        <v>200</v>
      </c>
      <c r="W117" s="119" t="s">
        <v>353</v>
      </c>
      <c r="X117" s="75" t="s">
        <v>715</v>
      </c>
      <c r="Y117" s="75"/>
      <c r="Z117" s="109"/>
      <c r="AA117" s="109"/>
      <c r="AB117" s="109"/>
      <c r="AC117" s="109"/>
      <c r="AD117" s="109"/>
    </row>
    <row r="118" spans="1:30" ht="105">
      <c r="A118" s="28"/>
      <c r="B118" s="33"/>
      <c r="C118" s="31"/>
      <c r="D118" s="250"/>
      <c r="E118" s="247"/>
      <c r="F118" s="102" t="s">
        <v>1040</v>
      </c>
      <c r="G118" s="103" t="s">
        <v>1041</v>
      </c>
      <c r="H118" s="104" t="s">
        <v>322</v>
      </c>
      <c r="I118" s="104" t="s">
        <v>348</v>
      </c>
      <c r="J118" s="105" t="str">
        <f t="shared" si="1"/>
        <v>Aplicar limitacions temporals d'accés o circulació</v>
      </c>
      <c r="K118" s="106"/>
      <c r="L118" s="75" t="s">
        <v>60</v>
      </c>
      <c r="M118" s="107" t="s">
        <v>378</v>
      </c>
      <c r="N118" s="105" t="s">
        <v>1042</v>
      </c>
      <c r="O118" s="105"/>
      <c r="P118" s="172"/>
      <c r="Q118" s="107"/>
      <c r="R118" s="192" t="s">
        <v>951</v>
      </c>
      <c r="S118" s="119" t="s">
        <v>1043</v>
      </c>
      <c r="T118" s="119" t="s">
        <v>1044</v>
      </c>
      <c r="U118" s="119" t="s">
        <v>1045</v>
      </c>
      <c r="V118" s="212">
        <v>150</v>
      </c>
      <c r="W118" s="119" t="s">
        <v>353</v>
      </c>
      <c r="X118" s="75" t="s">
        <v>715</v>
      </c>
      <c r="Y118" s="75"/>
      <c r="Z118" s="109"/>
      <c r="AA118" s="109"/>
      <c r="AB118" s="109"/>
      <c r="AC118" s="109"/>
      <c r="AD118" s="109"/>
    </row>
    <row r="119" spans="1:30" ht="45">
      <c r="A119" s="28"/>
      <c r="B119" s="33"/>
      <c r="C119" s="31"/>
      <c r="D119" s="251"/>
      <c r="E119" s="248"/>
      <c r="F119" s="102" t="s">
        <v>1046</v>
      </c>
      <c r="G119" s="103" t="s">
        <v>1047</v>
      </c>
      <c r="H119" s="104" t="s">
        <v>322</v>
      </c>
      <c r="I119" s="104" t="s">
        <v>348</v>
      </c>
      <c r="J119" s="105" t="s">
        <v>1048</v>
      </c>
      <c r="K119" s="111" t="s">
        <v>589</v>
      </c>
      <c r="L119" s="75" t="s">
        <v>60</v>
      </c>
      <c r="M119" s="107" t="s">
        <v>378</v>
      </c>
      <c r="N119" s="105" t="s">
        <v>1049</v>
      </c>
      <c r="O119" s="105"/>
      <c r="P119" s="172"/>
      <c r="Q119" s="107"/>
      <c r="R119" s="192" t="s">
        <v>951</v>
      </c>
      <c r="S119" s="119" t="s">
        <v>1050</v>
      </c>
      <c r="T119" s="109">
        <v>4</v>
      </c>
      <c r="U119" s="109">
        <v>8</v>
      </c>
      <c r="V119" s="212">
        <v>250</v>
      </c>
      <c r="W119" s="109" t="s">
        <v>1051</v>
      </c>
      <c r="X119" s="119" t="s">
        <v>1052</v>
      </c>
      <c r="Y119" s="119"/>
      <c r="Z119" s="109"/>
      <c r="AA119" s="109"/>
      <c r="AB119" s="109"/>
      <c r="AC119" s="109"/>
      <c r="AD119" s="109"/>
    </row>
    <row r="120" spans="1:30" ht="180">
      <c r="A120" s="28"/>
      <c r="B120" s="33"/>
      <c r="C120" s="31"/>
      <c r="D120" s="249" t="s">
        <v>1053</v>
      </c>
      <c r="E120" s="246" t="s">
        <v>1054</v>
      </c>
      <c r="F120" s="102" t="s">
        <v>1055</v>
      </c>
      <c r="G120" s="103" t="s">
        <v>1056</v>
      </c>
      <c r="H120" s="104" t="s">
        <v>322</v>
      </c>
      <c r="I120" s="104" t="s">
        <v>348</v>
      </c>
      <c r="J120" s="105" t="str">
        <f t="shared" si="1"/>
        <v>Implementar l'ordenació de l'ús públic en col·laboració amb els agents del territori</v>
      </c>
      <c r="K120" s="106"/>
      <c r="L120" s="75" t="s">
        <v>60</v>
      </c>
      <c r="M120" s="107" t="s">
        <v>324</v>
      </c>
      <c r="N120" s="75" t="s">
        <v>1057</v>
      </c>
      <c r="O120" s="75"/>
      <c r="P120" s="75" t="s">
        <v>1058</v>
      </c>
      <c r="Q120" s="107"/>
      <c r="R120" s="192"/>
      <c r="S120" s="119" t="s">
        <v>1059</v>
      </c>
      <c r="T120" s="119" t="s">
        <v>1060</v>
      </c>
      <c r="U120" s="119" t="s">
        <v>1061</v>
      </c>
      <c r="V120" s="212">
        <f>20*4</f>
        <v>80</v>
      </c>
      <c r="W120" s="109" t="s">
        <v>560</v>
      </c>
      <c r="X120" s="119" t="s">
        <v>581</v>
      </c>
      <c r="Y120" s="119"/>
      <c r="Z120" s="109"/>
      <c r="AA120" s="109"/>
      <c r="AB120" s="109"/>
      <c r="AC120" s="109"/>
      <c r="AD120" s="109"/>
    </row>
    <row r="121" spans="1:30" ht="75">
      <c r="A121" s="28"/>
      <c r="B121" s="33"/>
      <c r="C121" s="31"/>
      <c r="D121" s="251"/>
      <c r="E121" s="248"/>
      <c r="F121" s="102" t="s">
        <v>1062</v>
      </c>
      <c r="G121" s="103" t="s">
        <v>1063</v>
      </c>
      <c r="H121" s="104" t="s">
        <v>322</v>
      </c>
      <c r="I121" s="104" t="s">
        <v>348</v>
      </c>
      <c r="J121" s="105" t="str">
        <f t="shared" si="1"/>
        <v>Promoció i acompanyament en l'ordenació de l'ús públic de l'ENP des de l'àmbit municipal</v>
      </c>
      <c r="K121" s="106"/>
      <c r="L121" s="75" t="s">
        <v>60</v>
      </c>
      <c r="M121" s="107" t="s">
        <v>337</v>
      </c>
      <c r="N121" s="204" t="s">
        <v>1064</v>
      </c>
      <c r="O121" s="228" t="s">
        <v>1058</v>
      </c>
      <c r="Q121" s="107"/>
      <c r="R121" s="192"/>
      <c r="S121" s="119" t="s">
        <v>1065</v>
      </c>
      <c r="T121" s="109">
        <v>1</v>
      </c>
      <c r="U121" s="109">
        <v>7</v>
      </c>
      <c r="V121" s="212">
        <f>20*4</f>
        <v>80</v>
      </c>
      <c r="W121" s="109" t="s">
        <v>560</v>
      </c>
      <c r="X121" s="119" t="s">
        <v>581</v>
      </c>
      <c r="Y121" s="119"/>
      <c r="Z121" s="109"/>
      <c r="AA121" s="109"/>
      <c r="AB121" s="109"/>
      <c r="AC121" s="109"/>
      <c r="AD121" s="109"/>
    </row>
    <row r="122" spans="1:30" ht="30">
      <c r="A122" s="28"/>
      <c r="B122" s="33"/>
      <c r="C122" s="31"/>
      <c r="D122" s="249" t="s">
        <v>1066</v>
      </c>
      <c r="E122" s="246" t="s">
        <v>1067</v>
      </c>
      <c r="F122" s="102" t="s">
        <v>1068</v>
      </c>
      <c r="G122" s="103" t="s">
        <v>1069</v>
      </c>
      <c r="H122" s="104" t="s">
        <v>322</v>
      </c>
      <c r="I122" s="104" t="s">
        <v>348</v>
      </c>
      <c r="J122" s="105" t="str">
        <f t="shared" si="1"/>
        <v>Realitzar l'inventari de senyalètica de l'ENP</v>
      </c>
      <c r="K122" s="106"/>
      <c r="L122" s="75" t="s">
        <v>60</v>
      </c>
      <c r="M122" s="107" t="s">
        <v>337</v>
      </c>
      <c r="N122" s="75" t="s">
        <v>1070</v>
      </c>
      <c r="O122" s="75"/>
      <c r="P122" s="190"/>
      <c r="Q122" s="107"/>
      <c r="R122" s="192"/>
      <c r="S122" s="119" t="s">
        <v>1071</v>
      </c>
      <c r="T122" s="109">
        <v>25</v>
      </c>
      <c r="U122" s="109">
        <v>5</v>
      </c>
      <c r="V122" s="212">
        <v>180</v>
      </c>
      <c r="W122" s="109" t="s">
        <v>1051</v>
      </c>
      <c r="X122" s="119" t="s">
        <v>1052</v>
      </c>
      <c r="Y122" s="119"/>
      <c r="Z122" s="109"/>
      <c r="AA122" s="109"/>
      <c r="AB122" s="109"/>
      <c r="AC122" s="109"/>
      <c r="AD122" s="109"/>
    </row>
    <row r="123" spans="1:30" ht="45">
      <c r="A123" s="28"/>
      <c r="B123" s="33"/>
      <c r="C123" s="31"/>
      <c r="D123" s="251"/>
      <c r="E123" s="248"/>
      <c r="F123" s="102" t="s">
        <v>1072</v>
      </c>
      <c r="G123" s="103" t="s">
        <v>1073</v>
      </c>
      <c r="H123" s="104" t="s">
        <v>322</v>
      </c>
      <c r="I123" s="104" t="s">
        <v>348</v>
      </c>
      <c r="J123" s="105" t="str">
        <f t="shared" si="1"/>
        <v xml:space="preserve">Implantar el programa de senyalització i manteniment </v>
      </c>
      <c r="K123" s="106"/>
      <c r="L123" s="75" t="s">
        <v>60</v>
      </c>
      <c r="M123" s="107" t="s">
        <v>378</v>
      </c>
      <c r="N123" s="75" t="s">
        <v>1074</v>
      </c>
      <c r="O123" s="75"/>
      <c r="P123" s="190"/>
      <c r="Q123" s="197" t="s">
        <v>366</v>
      </c>
      <c r="R123" s="105" t="s">
        <v>1075</v>
      </c>
      <c r="S123" s="119" t="s">
        <v>1076</v>
      </c>
      <c r="T123" s="109">
        <v>90</v>
      </c>
      <c r="U123" s="109">
        <v>100</v>
      </c>
      <c r="V123" s="212">
        <v>130</v>
      </c>
      <c r="W123" s="109" t="s">
        <v>1051</v>
      </c>
      <c r="X123" s="119" t="s">
        <v>1052</v>
      </c>
      <c r="Y123" s="119"/>
      <c r="Z123" s="109"/>
      <c r="AA123" s="109"/>
      <c r="AB123" s="109"/>
      <c r="AC123" s="109"/>
      <c r="AD123" s="109"/>
    </row>
    <row r="124" spans="1:30" ht="45">
      <c r="A124" s="28"/>
      <c r="B124" s="33"/>
      <c r="C124" s="31"/>
      <c r="D124" s="249" t="s">
        <v>1077</v>
      </c>
      <c r="E124" s="246" t="s">
        <v>1078</v>
      </c>
      <c r="F124" s="102" t="s">
        <v>1079</v>
      </c>
      <c r="G124" s="103" t="s">
        <v>1080</v>
      </c>
      <c r="H124" s="104" t="s">
        <v>322</v>
      </c>
      <c r="I124" s="104" t="s">
        <v>469</v>
      </c>
      <c r="J124" s="105" t="str">
        <f t="shared" si="1"/>
        <v xml:space="preserve">Potenciar la visita a espais alternatius dins de l'àmbit d'influència de l'espai natural per reduir la pressió en zones sensibles </v>
      </c>
      <c r="K124" s="106"/>
      <c r="L124" s="75" t="s">
        <v>60</v>
      </c>
      <c r="M124" s="107" t="s">
        <v>378</v>
      </c>
      <c r="N124" s="75" t="s">
        <v>1081</v>
      </c>
      <c r="O124" s="75"/>
      <c r="P124" s="190"/>
      <c r="Q124" s="107"/>
      <c r="R124" s="192"/>
      <c r="S124" s="119" t="s">
        <v>1082</v>
      </c>
      <c r="T124" s="109">
        <v>1</v>
      </c>
      <c r="U124" s="109">
        <v>8</v>
      </c>
      <c r="V124" s="212">
        <v>250</v>
      </c>
      <c r="W124" s="109" t="s">
        <v>353</v>
      </c>
      <c r="X124" s="75" t="s">
        <v>666</v>
      </c>
      <c r="Y124" s="75"/>
      <c r="Z124" s="109"/>
      <c r="AA124" s="109"/>
      <c r="AB124" s="109"/>
      <c r="AC124" s="109"/>
      <c r="AD124" s="109"/>
    </row>
    <row r="125" spans="1:30" ht="75">
      <c r="A125" s="28"/>
      <c r="B125" s="33"/>
      <c r="C125" s="31"/>
      <c r="D125" s="251"/>
      <c r="E125" s="248"/>
      <c r="F125" s="102" t="s">
        <v>1083</v>
      </c>
      <c r="G125" s="112" t="s">
        <v>1084</v>
      </c>
      <c r="H125" s="104" t="s">
        <v>322</v>
      </c>
      <c r="I125" s="104" t="s">
        <v>469</v>
      </c>
      <c r="J125" s="105" t="str">
        <f t="shared" si="1"/>
        <v xml:space="preserve">Implementar les mesures extraordinàries de regulació de l'ús públic </v>
      </c>
      <c r="K125" s="106"/>
      <c r="L125" s="75" t="s">
        <v>60</v>
      </c>
      <c r="M125" s="107" t="s">
        <v>324</v>
      </c>
      <c r="N125" s="75" t="s">
        <v>1085</v>
      </c>
      <c r="O125" s="75"/>
      <c r="P125" s="190"/>
      <c r="Q125" s="107"/>
      <c r="R125" s="192"/>
      <c r="S125" s="119" t="s">
        <v>1086</v>
      </c>
      <c r="T125" s="119" t="s">
        <v>912</v>
      </c>
      <c r="U125" s="119" t="s">
        <v>1087</v>
      </c>
      <c r="V125" s="212">
        <v>175</v>
      </c>
      <c r="W125" s="225" t="s">
        <v>1088</v>
      </c>
      <c r="X125" s="119" t="s">
        <v>1089</v>
      </c>
      <c r="Y125" s="119"/>
      <c r="Z125" s="109"/>
      <c r="AA125" s="109"/>
      <c r="AB125" s="109"/>
      <c r="AC125" s="109"/>
      <c r="AD125" s="109"/>
    </row>
    <row r="126" spans="1:30" ht="90">
      <c r="A126" s="28"/>
      <c r="B126" s="33"/>
      <c r="C126" s="31"/>
      <c r="D126" s="249" t="s">
        <v>1090</v>
      </c>
      <c r="E126" s="246" t="s">
        <v>1091</v>
      </c>
      <c r="F126" s="102" t="s">
        <v>1092</v>
      </c>
      <c r="G126" s="103" t="s">
        <v>1093</v>
      </c>
      <c r="H126" s="104" t="s">
        <v>322</v>
      </c>
      <c r="I126" s="104" t="s">
        <v>348</v>
      </c>
      <c r="J126" s="105" t="str">
        <f t="shared" si="1"/>
        <v>Adequar els principals accessos, aparcaments i centres d'interès amb un ús elevat</v>
      </c>
      <c r="K126" s="106"/>
      <c r="L126" s="75" t="s">
        <v>60</v>
      </c>
      <c r="M126" s="107" t="s">
        <v>324</v>
      </c>
      <c r="N126" s="75" t="s">
        <v>1094</v>
      </c>
      <c r="O126" s="75"/>
      <c r="P126" s="190"/>
      <c r="Q126" s="107"/>
      <c r="R126" s="192"/>
      <c r="S126" s="119" t="s">
        <v>1095</v>
      </c>
      <c r="T126" s="119" t="s">
        <v>1096</v>
      </c>
      <c r="U126" s="119" t="s">
        <v>1097</v>
      </c>
      <c r="V126" s="212">
        <v>350</v>
      </c>
      <c r="W126" s="109" t="s">
        <v>1051</v>
      </c>
      <c r="X126" s="119" t="s">
        <v>1052</v>
      </c>
      <c r="Y126" s="119"/>
      <c r="Z126" s="109"/>
      <c r="AA126" s="109"/>
      <c r="AB126" s="109"/>
      <c r="AC126" s="109"/>
      <c r="AD126" s="109"/>
    </row>
    <row r="127" spans="1:30" ht="240">
      <c r="A127" s="28"/>
      <c r="B127" s="33"/>
      <c r="C127" s="31"/>
      <c r="D127" s="250"/>
      <c r="E127" s="247"/>
      <c r="F127" s="102" t="s">
        <v>1098</v>
      </c>
      <c r="G127" s="112" t="s">
        <v>1099</v>
      </c>
      <c r="H127" s="104" t="s">
        <v>322</v>
      </c>
      <c r="I127" s="104" t="s">
        <v>348</v>
      </c>
      <c r="J127" s="105" t="s">
        <v>1100</v>
      </c>
      <c r="K127" s="111" t="s">
        <v>589</v>
      </c>
      <c r="L127" s="75" t="s">
        <v>60</v>
      </c>
      <c r="M127" s="107" t="s">
        <v>337</v>
      </c>
      <c r="N127" s="75" t="s">
        <v>1101</v>
      </c>
      <c r="O127" s="75"/>
      <c r="P127" s="190"/>
      <c r="Q127" s="107"/>
      <c r="R127" s="192"/>
      <c r="S127" s="119" t="s">
        <v>1102</v>
      </c>
      <c r="T127" s="119" t="s">
        <v>1103</v>
      </c>
      <c r="U127" s="119" t="s">
        <v>1104</v>
      </c>
      <c r="V127" s="212">
        <v>320</v>
      </c>
      <c r="W127" s="109" t="s">
        <v>1051</v>
      </c>
      <c r="X127" s="119" t="s">
        <v>1052</v>
      </c>
      <c r="Y127" s="119"/>
      <c r="Z127" s="109"/>
      <c r="AA127" s="109"/>
      <c r="AB127" s="109"/>
      <c r="AC127" s="109"/>
      <c r="AD127" s="109"/>
    </row>
    <row r="128" spans="1:30" ht="150">
      <c r="A128" s="28"/>
      <c r="B128" s="33"/>
      <c r="C128" s="31"/>
      <c r="D128" s="250"/>
      <c r="E128" s="247"/>
      <c r="F128" s="102" t="s">
        <v>1105</v>
      </c>
      <c r="G128" s="112" t="s">
        <v>1106</v>
      </c>
      <c r="H128" s="104" t="s">
        <v>322</v>
      </c>
      <c r="I128" s="104" t="s">
        <v>348</v>
      </c>
      <c r="J128" s="105" t="str">
        <f t="shared" si="1"/>
        <v>Desenvolupar el Pla d'acollida als visitants en base al model de la DG</v>
      </c>
      <c r="K128" s="106"/>
      <c r="L128" s="75" t="s">
        <v>60</v>
      </c>
      <c r="M128" s="107" t="s">
        <v>324</v>
      </c>
      <c r="N128" s="75" t="s">
        <v>1107</v>
      </c>
      <c r="O128" s="75"/>
      <c r="P128" s="190"/>
      <c r="Q128" s="107"/>
      <c r="R128" s="105" t="s">
        <v>1108</v>
      </c>
      <c r="S128" s="119" t="s">
        <v>1109</v>
      </c>
      <c r="T128" s="109">
        <v>1</v>
      </c>
      <c r="U128" s="109">
        <v>10</v>
      </c>
      <c r="V128" s="212">
        <f>10*4</f>
        <v>40</v>
      </c>
      <c r="W128" s="109" t="s">
        <v>560</v>
      </c>
      <c r="X128" s="119" t="s">
        <v>581</v>
      </c>
      <c r="Y128" s="119"/>
      <c r="Z128" s="109"/>
      <c r="AA128" s="109"/>
      <c r="AB128" s="109"/>
      <c r="AC128" s="109"/>
      <c r="AD128" s="109"/>
    </row>
    <row r="129" spans="1:30" ht="105">
      <c r="A129" s="28"/>
      <c r="B129" s="33"/>
      <c r="C129" s="31"/>
      <c r="D129" s="251"/>
      <c r="E129" s="248"/>
      <c r="F129" s="102" t="s">
        <v>1110</v>
      </c>
      <c r="G129" s="112" t="s">
        <v>1111</v>
      </c>
      <c r="H129" s="104" t="s">
        <v>322</v>
      </c>
      <c r="I129" s="104" t="s">
        <v>348</v>
      </c>
      <c r="J129" s="105" t="str">
        <f t="shared" si="1"/>
        <v>Adaptar els missatges a donar des d'oficines d’informació, pròpies i alienes, d'acord amb el model de la DG</v>
      </c>
      <c r="K129" s="106"/>
      <c r="L129" s="75" t="s">
        <v>60</v>
      </c>
      <c r="M129" s="107" t="s">
        <v>337</v>
      </c>
      <c r="N129" s="75" t="s">
        <v>1112</v>
      </c>
      <c r="O129" s="75"/>
      <c r="P129" s="190"/>
      <c r="Q129" s="107" t="s">
        <v>326</v>
      </c>
      <c r="R129" s="105" t="s">
        <v>1113</v>
      </c>
      <c r="S129" s="119" t="s">
        <v>1114</v>
      </c>
      <c r="T129" s="109">
        <v>1</v>
      </c>
      <c r="U129" s="109">
        <v>4</v>
      </c>
      <c r="V129" s="212">
        <f>10*4</f>
        <v>40</v>
      </c>
      <c r="W129" s="109" t="s">
        <v>560</v>
      </c>
      <c r="X129" s="119" t="s">
        <v>581</v>
      </c>
      <c r="Y129" s="119"/>
      <c r="Z129" s="109"/>
      <c r="AA129" s="109"/>
      <c r="AB129" s="109"/>
      <c r="AC129" s="109"/>
      <c r="AD129" s="109"/>
    </row>
    <row r="130" spans="1:30" ht="90">
      <c r="A130" s="28"/>
      <c r="B130" s="33"/>
      <c r="C130" s="31"/>
      <c r="D130" s="249" t="s">
        <v>1115</v>
      </c>
      <c r="E130" s="246" t="s">
        <v>1116</v>
      </c>
      <c r="F130" s="102" t="s">
        <v>1117</v>
      </c>
      <c r="G130" s="103" t="s">
        <v>1118</v>
      </c>
      <c r="H130" s="104" t="s">
        <v>322</v>
      </c>
      <c r="I130" s="104" t="s">
        <v>348</v>
      </c>
      <c r="J130" s="105" t="str">
        <f t="shared" si="1"/>
        <v>Elaborar i executar el Pla de vigilància de l’espai d'acord amb els cossos d’inspecció i seguretat</v>
      </c>
      <c r="K130" s="106"/>
      <c r="L130" s="75" t="s">
        <v>60</v>
      </c>
      <c r="M130" s="107" t="s">
        <v>337</v>
      </c>
      <c r="N130" s="75" t="s">
        <v>1119</v>
      </c>
      <c r="O130" s="75"/>
      <c r="P130" s="190" t="s">
        <v>1120</v>
      </c>
      <c r="Q130" s="107"/>
      <c r="R130" s="192"/>
      <c r="S130" s="119" t="s">
        <v>1121</v>
      </c>
      <c r="T130" s="109">
        <v>10</v>
      </c>
      <c r="U130" s="109">
        <v>40</v>
      </c>
      <c r="V130" s="212">
        <v>250</v>
      </c>
      <c r="W130" s="197" t="s">
        <v>1122</v>
      </c>
      <c r="X130" s="197" t="s">
        <v>1123</v>
      </c>
      <c r="Y130" s="197"/>
      <c r="Z130" s="109"/>
      <c r="AA130" s="109"/>
      <c r="AB130" s="109"/>
      <c r="AC130" s="109"/>
      <c r="AD130" s="109"/>
    </row>
    <row r="131" spans="1:30" ht="45">
      <c r="A131" s="28"/>
      <c r="B131" s="33"/>
      <c r="C131" s="31"/>
      <c r="D131" s="250"/>
      <c r="E131" s="247"/>
      <c r="F131" s="102" t="s">
        <v>1124</v>
      </c>
      <c r="G131" s="103" t="s">
        <v>1125</v>
      </c>
      <c r="H131" s="104" t="s">
        <v>322</v>
      </c>
      <c r="I131" s="104" t="s">
        <v>348</v>
      </c>
      <c r="J131" s="105" t="str">
        <f t="shared" si="1"/>
        <v>Millorar la coordinació amb els cossos de seguretat per efectuar accions de control i vigilància</v>
      </c>
      <c r="K131" s="106"/>
      <c r="L131" s="75" t="s">
        <v>60</v>
      </c>
      <c r="M131" s="107" t="s">
        <v>337</v>
      </c>
      <c r="N131" s="75" t="s">
        <v>1126</v>
      </c>
      <c r="O131" s="75"/>
      <c r="P131" s="190" t="s">
        <v>1127</v>
      </c>
      <c r="Q131" s="107"/>
      <c r="R131" s="192"/>
      <c r="S131" s="119" t="s">
        <v>1128</v>
      </c>
      <c r="T131" s="197" t="s">
        <v>1129</v>
      </c>
      <c r="U131" s="197" t="s">
        <v>1130</v>
      </c>
      <c r="V131" s="211"/>
      <c r="W131" s="197" t="s">
        <v>1122</v>
      </c>
      <c r="X131" s="197" t="s">
        <v>1123</v>
      </c>
      <c r="Y131" s="197"/>
      <c r="Z131" s="109"/>
      <c r="AA131" s="109"/>
      <c r="AB131" s="109"/>
      <c r="AC131" s="109"/>
      <c r="AD131" s="109"/>
    </row>
    <row r="132" spans="1:30" ht="45">
      <c r="A132" s="28"/>
      <c r="B132" s="33"/>
      <c r="C132" s="31"/>
      <c r="D132" s="250"/>
      <c r="E132" s="247"/>
      <c r="F132" s="102" t="s">
        <v>1131</v>
      </c>
      <c r="G132" s="103" t="s">
        <v>1132</v>
      </c>
      <c r="H132" s="104" t="s">
        <v>322</v>
      </c>
      <c r="I132" s="104" t="s">
        <v>348</v>
      </c>
      <c r="J132" s="105" t="str">
        <f t="shared" si="1"/>
        <v>Vetllar pel compliment d'informes i la vigilància tècnica de l'espai</v>
      </c>
      <c r="K132" s="106"/>
      <c r="L132" s="75" t="s">
        <v>60</v>
      </c>
      <c r="M132" s="107" t="s">
        <v>378</v>
      </c>
      <c r="N132" s="75" t="s">
        <v>1133</v>
      </c>
      <c r="O132" s="75"/>
      <c r="P132" s="190"/>
      <c r="Q132" s="107"/>
      <c r="R132" s="192"/>
      <c r="S132" s="119" t="s">
        <v>1134</v>
      </c>
      <c r="T132" s="109">
        <v>1</v>
      </c>
      <c r="U132" s="109">
        <v>4</v>
      </c>
      <c r="V132" s="212">
        <v>220</v>
      </c>
      <c r="W132" s="225" t="s">
        <v>1135</v>
      </c>
      <c r="X132" s="119" t="s">
        <v>1136</v>
      </c>
      <c r="Y132" s="119"/>
      <c r="Z132" s="109"/>
      <c r="AA132" s="109"/>
      <c r="AB132" s="109"/>
      <c r="AC132" s="109"/>
      <c r="AD132" s="109"/>
    </row>
    <row r="133" spans="1:30" ht="45">
      <c r="A133" s="28"/>
      <c r="B133" s="63">
        <v>12</v>
      </c>
      <c r="C133" s="64" t="s">
        <v>1137</v>
      </c>
      <c r="D133" s="249" t="s">
        <v>1138</v>
      </c>
      <c r="E133" s="246" t="s">
        <v>1139</v>
      </c>
      <c r="F133" s="102" t="s">
        <v>1140</v>
      </c>
      <c r="G133" s="103" t="s">
        <v>1141</v>
      </c>
      <c r="H133" s="104" t="s">
        <v>322</v>
      </c>
      <c r="I133" s="104" t="s">
        <v>348</v>
      </c>
      <c r="J133" s="105" t="s">
        <v>402</v>
      </c>
      <c r="K133" s="106" t="s">
        <v>1142</v>
      </c>
      <c r="L133" s="75"/>
      <c r="M133" s="106"/>
      <c r="N133" s="75"/>
      <c r="O133" s="75"/>
      <c r="P133" s="190"/>
      <c r="Q133" s="106"/>
      <c r="R133" s="105"/>
      <c r="S133" s="75"/>
      <c r="T133" s="110"/>
      <c r="U133" s="110"/>
      <c r="V133" s="109"/>
      <c r="W133" s="109"/>
      <c r="X133" s="119"/>
      <c r="Y133" s="119"/>
      <c r="Z133" s="109"/>
      <c r="AA133" s="109"/>
      <c r="AB133" s="109"/>
      <c r="AC133" s="109"/>
      <c r="AD133" s="109"/>
    </row>
    <row r="134" spans="1:30" ht="30">
      <c r="A134" s="28"/>
      <c r="B134" s="65"/>
      <c r="C134" s="66"/>
      <c r="D134" s="251"/>
      <c r="E134" s="248"/>
      <c r="F134" s="102" t="s">
        <v>1143</v>
      </c>
      <c r="G134" s="103" t="s">
        <v>1144</v>
      </c>
      <c r="H134" s="104" t="s">
        <v>322</v>
      </c>
      <c r="I134" s="104" t="s">
        <v>348</v>
      </c>
      <c r="J134" s="105" t="s">
        <v>402</v>
      </c>
      <c r="K134" s="106" t="s">
        <v>1142</v>
      </c>
      <c r="L134" s="75"/>
      <c r="M134" s="107"/>
      <c r="N134" s="75"/>
      <c r="O134" s="75"/>
      <c r="P134" s="190"/>
      <c r="Q134" s="107"/>
      <c r="R134" s="192"/>
      <c r="S134" s="119"/>
      <c r="T134" s="171"/>
      <c r="U134" s="171"/>
      <c r="V134" s="109"/>
      <c r="W134" s="109"/>
      <c r="X134" s="119"/>
      <c r="Y134" s="119"/>
      <c r="Z134" s="109"/>
      <c r="AA134" s="109"/>
      <c r="AB134" s="109"/>
      <c r="AC134" s="109"/>
      <c r="AD134" s="109"/>
    </row>
    <row r="135" spans="1:30" ht="171.95" customHeight="1">
      <c r="A135" s="29" t="s">
        <v>1145</v>
      </c>
      <c r="B135" s="282">
        <v>13</v>
      </c>
      <c r="C135" s="345" t="s">
        <v>1146</v>
      </c>
      <c r="D135" s="261" t="s">
        <v>1147</v>
      </c>
      <c r="E135" s="258" t="s">
        <v>1148</v>
      </c>
      <c r="F135" s="115" t="s">
        <v>1149</v>
      </c>
      <c r="G135" s="103" t="s">
        <v>1150</v>
      </c>
      <c r="H135" s="104" t="s">
        <v>322</v>
      </c>
      <c r="I135" s="104" t="s">
        <v>348</v>
      </c>
      <c r="J135" s="105" t="str">
        <f t="shared" ref="J135:J167" si="2">G135</f>
        <v>Definir el model de Xarxa d'Escoles de l'Espai Natural (XEEN) a l'ENP amb els agents educatius del territori</v>
      </c>
      <c r="K135" s="106"/>
      <c r="L135" s="75" t="s">
        <v>60</v>
      </c>
      <c r="M135" s="107" t="s">
        <v>324</v>
      </c>
      <c r="N135" s="75" t="s">
        <v>1151</v>
      </c>
      <c r="O135" s="75" t="s">
        <v>1152</v>
      </c>
      <c r="P135" s="190"/>
      <c r="Q135" s="198" t="s">
        <v>1153</v>
      </c>
      <c r="R135" s="192"/>
      <c r="S135" s="75" t="s">
        <v>1154</v>
      </c>
      <c r="T135" s="119" t="s">
        <v>1155</v>
      </c>
      <c r="U135" s="119" t="s">
        <v>872</v>
      </c>
      <c r="V135" s="212">
        <f>10*4</f>
        <v>40</v>
      </c>
      <c r="W135" s="109" t="s">
        <v>1156</v>
      </c>
      <c r="X135" s="119" t="s">
        <v>581</v>
      </c>
      <c r="Y135" s="119"/>
      <c r="Z135" s="109"/>
      <c r="AA135" s="109"/>
      <c r="AB135" s="109"/>
      <c r="AC135" s="109"/>
      <c r="AD135" s="109"/>
    </row>
    <row r="136" spans="1:30" ht="347.45" customHeight="1">
      <c r="A136" s="29"/>
      <c r="B136" s="282"/>
      <c r="C136" s="345"/>
      <c r="D136" s="261"/>
      <c r="E136" s="258"/>
      <c r="F136" s="115" t="s">
        <v>1157</v>
      </c>
      <c r="G136" s="112" t="s">
        <v>1158</v>
      </c>
      <c r="H136" s="104" t="s">
        <v>322</v>
      </c>
      <c r="I136" s="104" t="s">
        <v>348</v>
      </c>
      <c r="J136" s="105" t="str">
        <f t="shared" si="2"/>
        <v>Desplegar el model de Xarxa d'Escoles de l'Espai Natural (XEEN) a l'ENP d'acord amb el model general</v>
      </c>
      <c r="K136" s="235" t="s">
        <v>1159</v>
      </c>
      <c r="L136" s="75" t="s">
        <v>60</v>
      </c>
      <c r="M136" s="107" t="s">
        <v>324</v>
      </c>
      <c r="N136" s="116" t="s">
        <v>1160</v>
      </c>
      <c r="O136" s="116"/>
      <c r="P136" s="190"/>
      <c r="Q136" s="198" t="s">
        <v>1153</v>
      </c>
      <c r="R136" s="105" t="s">
        <v>1161</v>
      </c>
      <c r="S136" s="119" t="s">
        <v>1162</v>
      </c>
      <c r="T136" s="119" t="s">
        <v>1163</v>
      </c>
      <c r="U136" s="119" t="s">
        <v>1164</v>
      </c>
      <c r="V136" s="212">
        <f>50*4</f>
        <v>200</v>
      </c>
      <c r="W136" s="109" t="s">
        <v>1156</v>
      </c>
      <c r="X136" s="119" t="s">
        <v>581</v>
      </c>
      <c r="Y136" s="119"/>
      <c r="Z136" s="109"/>
      <c r="AA136" s="109"/>
      <c r="AB136" s="109"/>
      <c r="AC136" s="109"/>
      <c r="AD136" s="109"/>
    </row>
    <row r="137" spans="1:30" ht="75">
      <c r="A137" s="29"/>
      <c r="B137" s="282"/>
      <c r="C137" s="345"/>
      <c r="D137" s="262"/>
      <c r="E137" s="259"/>
      <c r="F137" s="115" t="s">
        <v>1165</v>
      </c>
      <c r="G137" s="103" t="s">
        <v>1166</v>
      </c>
      <c r="H137" s="104" t="s">
        <v>322</v>
      </c>
      <c r="I137" s="104" t="s">
        <v>348</v>
      </c>
      <c r="J137" s="105" t="str">
        <f t="shared" si="2"/>
        <v xml:space="preserve">Formar i capacitar al professorat de la XEEN </v>
      </c>
      <c r="K137" s="106"/>
      <c r="L137" s="75" t="s">
        <v>60</v>
      </c>
      <c r="M137" s="107" t="s">
        <v>324</v>
      </c>
      <c r="N137" s="116" t="s">
        <v>1167</v>
      </c>
      <c r="O137" s="116"/>
      <c r="P137" s="207"/>
      <c r="Q137" s="198" t="s">
        <v>1153</v>
      </c>
      <c r="R137" s="105"/>
      <c r="S137" s="119" t="s">
        <v>1168</v>
      </c>
      <c r="T137" s="109">
        <v>1</v>
      </c>
      <c r="U137" s="109">
        <v>4</v>
      </c>
      <c r="V137" s="212">
        <f>10*4</f>
        <v>40</v>
      </c>
      <c r="W137" s="109" t="s">
        <v>1156</v>
      </c>
      <c r="X137" s="119" t="s">
        <v>581</v>
      </c>
      <c r="Y137" s="119"/>
      <c r="Z137" s="109"/>
      <c r="AA137" s="109"/>
      <c r="AB137" s="109"/>
      <c r="AC137" s="109"/>
      <c r="AD137" s="109"/>
    </row>
    <row r="138" spans="1:30" ht="60">
      <c r="A138" s="29"/>
      <c r="B138" s="282"/>
      <c r="C138" s="345"/>
      <c r="D138" s="260" t="s">
        <v>1169</v>
      </c>
      <c r="E138" s="257" t="s">
        <v>1170</v>
      </c>
      <c r="F138" s="102" t="s">
        <v>1171</v>
      </c>
      <c r="G138" s="103" t="s">
        <v>1172</v>
      </c>
      <c r="H138" s="104" t="s">
        <v>322</v>
      </c>
      <c r="I138" s="104" t="s">
        <v>348</v>
      </c>
      <c r="J138" s="105" t="str">
        <f t="shared" si="2"/>
        <v>Adaptar i millorar l'oferta pedagògica de l'ENP generant situacions d'aprenentatge i treballs per projecte</v>
      </c>
      <c r="K138" s="106"/>
      <c r="L138" s="75" t="s">
        <v>60</v>
      </c>
      <c r="M138" s="107" t="s">
        <v>324</v>
      </c>
      <c r="N138" s="75" t="s">
        <v>1173</v>
      </c>
      <c r="O138" s="75"/>
      <c r="P138" s="190"/>
      <c r="Q138" s="198" t="s">
        <v>1153</v>
      </c>
      <c r="R138" s="105" t="s">
        <v>1174</v>
      </c>
      <c r="S138" s="119" t="s">
        <v>1175</v>
      </c>
      <c r="T138" s="109">
        <v>1</v>
      </c>
      <c r="U138" s="109">
        <v>4</v>
      </c>
      <c r="V138" s="212">
        <f>20+10+10+10</f>
        <v>50</v>
      </c>
      <c r="W138" s="109" t="s">
        <v>1156</v>
      </c>
      <c r="X138" s="119" t="s">
        <v>581</v>
      </c>
      <c r="Y138" s="119"/>
      <c r="Z138" s="109"/>
      <c r="AA138" s="109"/>
      <c r="AB138" s="109"/>
      <c r="AC138" s="109"/>
      <c r="AD138" s="109"/>
    </row>
    <row r="139" spans="1:30" ht="60">
      <c r="A139" s="29"/>
      <c r="B139" s="282"/>
      <c r="C139" s="345"/>
      <c r="D139" s="261"/>
      <c r="E139" s="258"/>
      <c r="F139" s="102" t="s">
        <v>1176</v>
      </c>
      <c r="G139" s="103" t="s">
        <v>1177</v>
      </c>
      <c r="H139" s="104" t="s">
        <v>322</v>
      </c>
      <c r="I139" s="104" t="s">
        <v>469</v>
      </c>
      <c r="J139" s="105" t="str">
        <f t="shared" si="2"/>
        <v>Dissenyar projectes d'ApS ambiental i Ciència ciutadana i projectes compartits amb entitats del territori que s'incloguin dins de l'oferta pedagògica.</v>
      </c>
      <c r="K139" s="106"/>
      <c r="L139" s="75" t="s">
        <v>60</v>
      </c>
      <c r="M139" s="107" t="s">
        <v>337</v>
      </c>
      <c r="N139" s="75" t="s">
        <v>1178</v>
      </c>
      <c r="O139" s="75"/>
      <c r="P139" s="190"/>
      <c r="Q139" s="198" t="s">
        <v>1153</v>
      </c>
      <c r="R139" s="192"/>
      <c r="S139" s="119" t="s">
        <v>1179</v>
      </c>
      <c r="T139" s="109">
        <v>1</v>
      </c>
      <c r="U139" s="109">
        <v>4</v>
      </c>
      <c r="V139" s="212">
        <v>60</v>
      </c>
      <c r="W139" s="109" t="s">
        <v>1156</v>
      </c>
      <c r="X139" s="119" t="s">
        <v>581</v>
      </c>
      <c r="Y139" s="119"/>
      <c r="Z139" s="109"/>
      <c r="AA139" s="109"/>
      <c r="AB139" s="109"/>
      <c r="AC139" s="109"/>
      <c r="AD139" s="109"/>
    </row>
    <row r="140" spans="1:30" ht="60">
      <c r="A140" s="29"/>
      <c r="B140" s="282"/>
      <c r="C140" s="345"/>
      <c r="D140" s="261"/>
      <c r="E140" s="258"/>
      <c r="F140" s="102" t="s">
        <v>1180</v>
      </c>
      <c r="G140" s="103" t="s">
        <v>1181</v>
      </c>
      <c r="H140" s="104" t="s">
        <v>322</v>
      </c>
      <c r="I140" s="104" t="s">
        <v>469</v>
      </c>
      <c r="J140" s="105" t="str">
        <f t="shared" si="2"/>
        <v>Elaborar recursos educatius sobre l’espai (que tinguin en compte les problemàtiques singulars del seu espai) i posar-los a disposició dels centres educatius</v>
      </c>
      <c r="K140" s="106"/>
      <c r="L140" s="75" t="s">
        <v>60</v>
      </c>
      <c r="M140" s="107" t="s">
        <v>337</v>
      </c>
      <c r="N140" s="75" t="s">
        <v>1182</v>
      </c>
      <c r="O140" s="75"/>
      <c r="P140" s="190"/>
      <c r="Q140" s="198" t="s">
        <v>1153</v>
      </c>
      <c r="R140" s="192"/>
      <c r="S140" s="119" t="s">
        <v>1183</v>
      </c>
      <c r="T140" s="109">
        <v>1</v>
      </c>
      <c r="U140" s="109">
        <v>4</v>
      </c>
      <c r="V140" s="212">
        <v>60</v>
      </c>
      <c r="W140" s="109" t="s">
        <v>1156</v>
      </c>
      <c r="X140" s="119" t="s">
        <v>581</v>
      </c>
      <c r="Y140" s="119"/>
      <c r="Z140" s="109"/>
      <c r="AA140" s="109"/>
      <c r="AB140" s="109"/>
      <c r="AC140" s="109"/>
      <c r="AD140" s="109"/>
    </row>
    <row r="141" spans="1:30" ht="75">
      <c r="A141" s="29"/>
      <c r="B141" s="282"/>
      <c r="C141" s="345"/>
      <c r="D141" s="262"/>
      <c r="E141" s="259"/>
      <c r="F141" s="102" t="s">
        <v>1184</v>
      </c>
      <c r="G141" s="103" t="s">
        <v>1185</v>
      </c>
      <c r="H141" s="104" t="s">
        <v>322</v>
      </c>
      <c r="I141" s="104" t="s">
        <v>469</v>
      </c>
      <c r="J141" s="105" t="str">
        <f t="shared" si="2"/>
        <v>Oferir projectes de recerca vinculats a l'espai natural per a l'alumnat universitari i de la XEEN</v>
      </c>
      <c r="K141" s="106"/>
      <c r="L141" s="75" t="s">
        <v>60</v>
      </c>
      <c r="M141" s="107" t="s">
        <v>337</v>
      </c>
      <c r="N141" s="75" t="s">
        <v>1186</v>
      </c>
      <c r="O141" s="75"/>
      <c r="P141" s="190"/>
      <c r="Q141" s="198" t="s">
        <v>1153</v>
      </c>
      <c r="R141" s="192"/>
      <c r="S141" s="119" t="s">
        <v>1187</v>
      </c>
      <c r="T141" s="109">
        <v>1</v>
      </c>
      <c r="U141" s="109">
        <v>4</v>
      </c>
      <c r="V141" s="212">
        <v>60</v>
      </c>
      <c r="W141" s="109" t="s">
        <v>1156</v>
      </c>
      <c r="X141" s="119" t="s">
        <v>581</v>
      </c>
      <c r="Y141" s="119"/>
      <c r="Z141" s="109"/>
      <c r="AA141" s="109"/>
      <c r="AB141" s="109"/>
      <c r="AC141" s="109"/>
      <c r="AD141" s="109"/>
    </row>
    <row r="142" spans="1:30" ht="30">
      <c r="A142" s="29"/>
      <c r="B142" s="282"/>
      <c r="C142" s="345"/>
      <c r="D142" s="260" t="s">
        <v>1188</v>
      </c>
      <c r="E142" s="257" t="s">
        <v>1189</v>
      </c>
      <c r="F142" s="102" t="s">
        <v>1190</v>
      </c>
      <c r="G142" s="103" t="s">
        <v>1191</v>
      </c>
      <c r="H142" s="104" t="s">
        <v>322</v>
      </c>
      <c r="I142" s="104" t="s">
        <v>348</v>
      </c>
      <c r="J142" s="105" t="s">
        <v>402</v>
      </c>
      <c r="K142" s="106" t="s">
        <v>1192</v>
      </c>
      <c r="L142" s="75"/>
      <c r="M142" s="107"/>
      <c r="N142" s="75"/>
      <c r="O142" s="75"/>
      <c r="P142" s="190"/>
      <c r="Q142" s="198" t="s">
        <v>1153</v>
      </c>
      <c r="R142" s="192"/>
      <c r="S142" s="119"/>
      <c r="T142" s="109"/>
      <c r="U142" s="109"/>
      <c r="V142" s="109"/>
      <c r="W142" s="109"/>
      <c r="X142" s="119"/>
      <c r="Y142" s="119"/>
      <c r="Z142" s="109"/>
      <c r="AA142" s="109"/>
      <c r="AB142" s="109"/>
      <c r="AC142" s="109"/>
      <c r="AD142" s="109"/>
    </row>
    <row r="143" spans="1:30" ht="45">
      <c r="A143" s="29"/>
      <c r="B143" s="282"/>
      <c r="C143" s="345"/>
      <c r="D143" s="261"/>
      <c r="E143" s="258"/>
      <c r="F143" s="102" t="s">
        <v>1193</v>
      </c>
      <c r="G143" s="103" t="s">
        <v>1194</v>
      </c>
      <c r="H143" s="104" t="s">
        <v>322</v>
      </c>
      <c r="I143" s="104" t="s">
        <v>348</v>
      </c>
      <c r="J143" s="105" t="str">
        <f t="shared" si="2"/>
        <v>Cercar i establir col·laboracions i projectes conjunts amb agents clau del territori</v>
      </c>
      <c r="K143" s="106"/>
      <c r="L143" s="75" t="s">
        <v>60</v>
      </c>
      <c r="M143" s="107" t="s">
        <v>324</v>
      </c>
      <c r="N143" s="75" t="s">
        <v>1195</v>
      </c>
      <c r="O143" s="75"/>
      <c r="P143" s="190"/>
      <c r="Q143" s="198" t="s">
        <v>1153</v>
      </c>
      <c r="R143" s="192"/>
      <c r="S143" s="119" t="s">
        <v>1196</v>
      </c>
      <c r="T143" s="109">
        <v>1</v>
      </c>
      <c r="U143" s="109">
        <v>10</v>
      </c>
      <c r="V143" s="212">
        <v>60</v>
      </c>
      <c r="W143" s="109" t="s">
        <v>1156</v>
      </c>
      <c r="X143" s="119" t="s">
        <v>581</v>
      </c>
      <c r="Y143" s="119"/>
      <c r="Z143" s="109"/>
      <c r="AA143" s="109"/>
      <c r="AB143" s="109"/>
      <c r="AC143" s="109"/>
      <c r="AD143" s="109"/>
    </row>
    <row r="144" spans="1:30" ht="90">
      <c r="A144" s="29"/>
      <c r="B144" s="282"/>
      <c r="C144" s="345"/>
      <c r="D144" s="262"/>
      <c r="E144" s="259"/>
      <c r="F144" s="102" t="s">
        <v>1197</v>
      </c>
      <c r="G144" s="103" t="s">
        <v>1198</v>
      </c>
      <c r="H144" s="104" t="s">
        <v>322</v>
      </c>
      <c r="I144" s="104" t="s">
        <v>348</v>
      </c>
      <c r="J144" s="105" t="str">
        <f t="shared" si="2"/>
        <v>Elaborar formacions dirigides als informadors, educadors i altres prescriptors del territori</v>
      </c>
      <c r="K144" s="106"/>
      <c r="L144" s="75" t="s">
        <v>60</v>
      </c>
      <c r="M144" s="107" t="s">
        <v>324</v>
      </c>
      <c r="N144" s="75" t="s">
        <v>1199</v>
      </c>
      <c r="O144" s="75"/>
      <c r="P144" s="190"/>
      <c r="Q144" s="198" t="s">
        <v>1153</v>
      </c>
      <c r="R144" s="105" t="s">
        <v>1200</v>
      </c>
      <c r="S144" s="119" t="s">
        <v>1201</v>
      </c>
      <c r="T144" s="109">
        <v>4</v>
      </c>
      <c r="U144" s="109">
        <v>7</v>
      </c>
      <c r="V144" s="212">
        <f>20*4</f>
        <v>80</v>
      </c>
      <c r="W144" s="109" t="s">
        <v>1156</v>
      </c>
      <c r="X144" s="119" t="s">
        <v>581</v>
      </c>
      <c r="Y144" s="119"/>
      <c r="Z144" s="109"/>
      <c r="AA144" s="109"/>
      <c r="AB144" s="109"/>
      <c r="AC144" s="109"/>
      <c r="AD144" s="109"/>
    </row>
    <row r="145" spans="1:30" ht="177.75" customHeight="1">
      <c r="A145" s="29"/>
      <c r="B145" s="282"/>
      <c r="C145" s="345"/>
      <c r="D145" s="260" t="s">
        <v>1202</v>
      </c>
      <c r="E145" s="307" t="s">
        <v>1203</v>
      </c>
      <c r="F145" s="102" t="s">
        <v>1204</v>
      </c>
      <c r="G145" s="103" t="s">
        <v>1205</v>
      </c>
      <c r="H145" s="104" t="s">
        <v>322</v>
      </c>
      <c r="I145" s="104" t="s">
        <v>348</v>
      </c>
      <c r="J145" s="105" t="s">
        <v>1206</v>
      </c>
      <c r="K145" s="235" t="s">
        <v>1207</v>
      </c>
      <c r="L145" s="75" t="s">
        <v>60</v>
      </c>
      <c r="M145" s="107" t="s">
        <v>324</v>
      </c>
      <c r="N145" s="75" t="s">
        <v>1208</v>
      </c>
      <c r="O145" s="75"/>
      <c r="P145" s="190"/>
      <c r="Q145" s="198" t="s">
        <v>1153</v>
      </c>
      <c r="R145" s="105" t="s">
        <v>1209</v>
      </c>
      <c r="S145" s="119" t="s">
        <v>1210</v>
      </c>
      <c r="T145" s="109">
        <v>4</v>
      </c>
      <c r="U145" s="109">
        <v>8</v>
      </c>
      <c r="V145" s="212">
        <v>50</v>
      </c>
      <c r="W145" s="109" t="s">
        <v>1156</v>
      </c>
      <c r="X145" s="119" t="s">
        <v>581</v>
      </c>
      <c r="Y145" s="119"/>
      <c r="Z145" s="109"/>
      <c r="AA145" s="109"/>
      <c r="AB145" s="109"/>
      <c r="AC145" s="109"/>
      <c r="AD145" s="109"/>
    </row>
    <row r="146" spans="1:30" ht="96.95" customHeight="1">
      <c r="A146" s="29"/>
      <c r="B146" s="282"/>
      <c r="C146" s="345"/>
      <c r="D146" s="261"/>
      <c r="E146" s="258"/>
      <c r="F146" s="102" t="s">
        <v>1211</v>
      </c>
      <c r="G146" s="103" t="s">
        <v>1212</v>
      </c>
      <c r="H146" s="104" t="s">
        <v>322</v>
      </c>
      <c r="I146" s="104" t="s">
        <v>469</v>
      </c>
      <c r="J146" s="105" t="str">
        <f t="shared" si="2"/>
        <v xml:space="preserve">Adaptar el programa de divulgació i sensibilització de l'ENP perquè incorpori una oferta d’activitats adequada per a famílies </v>
      </c>
      <c r="K146" s="106"/>
      <c r="L146" s="75" t="s">
        <v>60</v>
      </c>
      <c r="M146" s="107" t="s">
        <v>337</v>
      </c>
      <c r="N146" s="75" t="s">
        <v>1213</v>
      </c>
      <c r="O146" s="75"/>
      <c r="P146" s="190"/>
      <c r="Q146" s="198" t="s">
        <v>1153</v>
      </c>
      <c r="R146" s="199"/>
      <c r="S146" s="119" t="s">
        <v>1214</v>
      </c>
      <c r="T146" s="119" t="s">
        <v>1215</v>
      </c>
      <c r="U146" s="119" t="s">
        <v>1216</v>
      </c>
      <c r="V146" s="212">
        <v>200</v>
      </c>
      <c r="W146" s="109" t="s">
        <v>1156</v>
      </c>
      <c r="X146" s="119" t="s">
        <v>581</v>
      </c>
      <c r="Y146" s="119"/>
      <c r="Z146" s="109"/>
      <c r="AA146" s="109"/>
      <c r="AB146" s="109"/>
      <c r="AC146" s="109"/>
      <c r="AD146" s="109"/>
    </row>
    <row r="147" spans="1:30" ht="150">
      <c r="A147" s="29"/>
      <c r="B147" s="282"/>
      <c r="C147" s="345"/>
      <c r="D147" s="261"/>
      <c r="E147" s="258"/>
      <c r="F147" s="102" t="s">
        <v>1217</v>
      </c>
      <c r="G147" s="112" t="s">
        <v>1218</v>
      </c>
      <c r="H147" s="104" t="s">
        <v>322</v>
      </c>
      <c r="I147" s="104" t="s">
        <v>469</v>
      </c>
      <c r="J147" s="105" t="str">
        <f t="shared" si="2"/>
        <v xml:space="preserve">Adaptar el programa de divulgació i sensibilització de l'ENP perquè incorpori una oferta d’activitats adequada per a altres perfils </v>
      </c>
      <c r="K147" s="106"/>
      <c r="L147" s="75" t="s">
        <v>60</v>
      </c>
      <c r="M147" s="107" t="s">
        <v>337</v>
      </c>
      <c r="N147" s="75" t="s">
        <v>1219</v>
      </c>
      <c r="O147" s="75"/>
      <c r="P147" s="190"/>
      <c r="Q147" s="198" t="s">
        <v>1153</v>
      </c>
      <c r="R147" s="199"/>
      <c r="S147" s="119" t="s">
        <v>1220</v>
      </c>
      <c r="T147" s="119" t="s">
        <v>873</v>
      </c>
      <c r="U147" s="119" t="s">
        <v>1221</v>
      </c>
      <c r="V147" s="212">
        <v>200</v>
      </c>
      <c r="W147" s="109" t="s">
        <v>1156</v>
      </c>
      <c r="X147" s="119" t="s">
        <v>581</v>
      </c>
      <c r="Y147" s="119"/>
      <c r="Z147" s="109"/>
      <c r="AA147" s="109"/>
      <c r="AB147" s="109"/>
      <c r="AC147" s="109"/>
      <c r="AD147" s="109"/>
    </row>
    <row r="148" spans="1:30" ht="75">
      <c r="A148" s="29"/>
      <c r="B148" s="282"/>
      <c r="C148" s="345"/>
      <c r="D148" s="262"/>
      <c r="E148" s="259"/>
      <c r="F148" s="102" t="s">
        <v>1222</v>
      </c>
      <c r="G148" s="103" t="s">
        <v>1223</v>
      </c>
      <c r="H148" s="104" t="s">
        <v>322</v>
      </c>
      <c r="I148" s="104" t="s">
        <v>469</v>
      </c>
      <c r="J148" s="105" t="str">
        <f t="shared" si="2"/>
        <v xml:space="preserve">Adaptar el programa de divulgació i sensibilització de l'ENP perquè incorpori una oferta d’activitats dirigida al lleure educatiu </v>
      </c>
      <c r="K148" s="106"/>
      <c r="L148" s="75" t="s">
        <v>60</v>
      </c>
      <c r="M148" s="107" t="s">
        <v>337</v>
      </c>
      <c r="N148" s="75" t="s">
        <v>1224</v>
      </c>
      <c r="O148" s="75"/>
      <c r="P148" s="190"/>
      <c r="Q148" s="198" t="s">
        <v>1153</v>
      </c>
      <c r="R148" s="199"/>
      <c r="S148" s="119" t="s">
        <v>1225</v>
      </c>
      <c r="T148" s="119" t="s">
        <v>1226</v>
      </c>
      <c r="U148" s="119" t="s">
        <v>1227</v>
      </c>
      <c r="V148" s="212">
        <v>60</v>
      </c>
      <c r="W148" s="109" t="s">
        <v>1156</v>
      </c>
      <c r="X148" s="119" t="s">
        <v>581</v>
      </c>
      <c r="Y148" s="119"/>
      <c r="Z148" s="109"/>
      <c r="AA148" s="109"/>
      <c r="AB148" s="109"/>
      <c r="AC148" s="109"/>
      <c r="AD148" s="109"/>
    </row>
    <row r="149" spans="1:30" ht="75">
      <c r="A149" s="29"/>
      <c r="B149" s="282"/>
      <c r="C149" s="345"/>
      <c r="D149" s="260" t="s">
        <v>1228</v>
      </c>
      <c r="E149" s="257" t="s">
        <v>1229</v>
      </c>
      <c r="F149" s="102" t="s">
        <v>1230</v>
      </c>
      <c r="G149" s="112" t="s">
        <v>1231</v>
      </c>
      <c r="H149" s="104" t="s">
        <v>322</v>
      </c>
      <c r="I149" s="104" t="s">
        <v>348</v>
      </c>
      <c r="J149" s="105" t="str">
        <f t="shared" si="2"/>
        <v>Identificar col·lectius estratègics implicats en la gestió i l'ús del territori</v>
      </c>
      <c r="K149" s="106"/>
      <c r="L149" s="75" t="s">
        <v>60</v>
      </c>
      <c r="M149" s="107" t="s">
        <v>324</v>
      </c>
      <c r="N149" s="75" t="s">
        <v>1232</v>
      </c>
      <c r="O149" s="75"/>
      <c r="P149" s="190"/>
      <c r="Q149" s="198" t="s">
        <v>1153</v>
      </c>
      <c r="R149" s="192"/>
      <c r="S149" s="119" t="s">
        <v>1233</v>
      </c>
      <c r="T149" s="119" t="s">
        <v>1234</v>
      </c>
      <c r="U149" s="119" t="s">
        <v>1235</v>
      </c>
      <c r="V149" s="212">
        <v>60</v>
      </c>
      <c r="W149" s="109" t="s">
        <v>1156</v>
      </c>
      <c r="X149" s="119" t="s">
        <v>581</v>
      </c>
      <c r="Y149" s="119"/>
      <c r="Z149" s="109"/>
      <c r="AA149" s="109"/>
      <c r="AB149" s="109"/>
      <c r="AC149" s="109"/>
      <c r="AD149" s="109"/>
    </row>
    <row r="150" spans="1:30" ht="135">
      <c r="A150" s="29"/>
      <c r="B150" s="282"/>
      <c r="C150" s="345"/>
      <c r="D150" s="261"/>
      <c r="E150" s="258"/>
      <c r="F150" s="102" t="s">
        <v>1236</v>
      </c>
      <c r="G150" s="103" t="s">
        <v>1237</v>
      </c>
      <c r="H150" s="104" t="s">
        <v>322</v>
      </c>
      <c r="I150" s="104" t="s">
        <v>469</v>
      </c>
      <c r="J150" s="105" t="str">
        <f t="shared" si="2"/>
        <v>Executar els projectes de sensibilització i formació dirigits al sector turístic, esportiu i de lleure</v>
      </c>
      <c r="K150" s="106"/>
      <c r="L150" s="75" t="s">
        <v>60</v>
      </c>
      <c r="M150" s="107" t="s">
        <v>337</v>
      </c>
      <c r="N150" s="75" t="s">
        <v>1238</v>
      </c>
      <c r="O150" s="75"/>
      <c r="P150" s="190" t="s">
        <v>1239</v>
      </c>
      <c r="Q150" s="198" t="s">
        <v>1153</v>
      </c>
      <c r="R150" s="199"/>
      <c r="S150" s="119" t="s">
        <v>1240</v>
      </c>
      <c r="T150" s="119" t="s">
        <v>1241</v>
      </c>
      <c r="U150" s="119" t="s">
        <v>1242</v>
      </c>
      <c r="V150" s="212">
        <v>100</v>
      </c>
      <c r="W150" s="109" t="s">
        <v>1156</v>
      </c>
      <c r="X150" s="119" t="s">
        <v>581</v>
      </c>
      <c r="Y150" s="119"/>
      <c r="Z150" s="109"/>
      <c r="AA150" s="109"/>
      <c r="AB150" s="109"/>
      <c r="AC150" s="109"/>
      <c r="AD150" s="109"/>
    </row>
    <row r="151" spans="1:30" ht="75">
      <c r="A151" s="29"/>
      <c r="B151" s="282"/>
      <c r="C151" s="345"/>
      <c r="D151" s="261"/>
      <c r="E151" s="258"/>
      <c r="F151" s="102" t="s">
        <v>1243</v>
      </c>
      <c r="G151" s="103" t="s">
        <v>1244</v>
      </c>
      <c r="H151" s="104" t="s">
        <v>322</v>
      </c>
      <c r="I151" s="104" t="s">
        <v>469</v>
      </c>
      <c r="J151" s="105" t="str">
        <f t="shared" si="2"/>
        <v xml:space="preserve">Executar els projectes de sensibilització i formació dirigits als agents de lleure educatiu </v>
      </c>
      <c r="K151" s="106"/>
      <c r="L151" s="75" t="s">
        <v>60</v>
      </c>
      <c r="M151" s="107" t="s">
        <v>337</v>
      </c>
      <c r="N151" s="75" t="s">
        <v>1245</v>
      </c>
      <c r="O151" s="75"/>
      <c r="P151" s="190" t="s">
        <v>1246</v>
      </c>
      <c r="Q151" s="198" t="s">
        <v>1153</v>
      </c>
      <c r="R151" s="199"/>
      <c r="S151" s="119" t="s">
        <v>1247</v>
      </c>
      <c r="T151" s="119" t="s">
        <v>1248</v>
      </c>
      <c r="U151" s="119" t="s">
        <v>1249</v>
      </c>
      <c r="V151" s="212">
        <v>120</v>
      </c>
      <c r="W151" s="109" t="s">
        <v>1156</v>
      </c>
      <c r="X151" s="119" t="s">
        <v>581</v>
      </c>
      <c r="Y151" s="119"/>
      <c r="Z151" s="109"/>
      <c r="AA151" s="109"/>
      <c r="AB151" s="109"/>
      <c r="AC151" s="109"/>
      <c r="AD151" s="109"/>
    </row>
    <row r="152" spans="1:30" ht="80.45" customHeight="1">
      <c r="A152" s="29"/>
      <c r="B152" s="282"/>
      <c r="C152" s="345"/>
      <c r="D152" s="261"/>
      <c r="E152" s="258"/>
      <c r="F152" s="102" t="s">
        <v>1250</v>
      </c>
      <c r="G152" s="103" t="s">
        <v>1251</v>
      </c>
      <c r="H152" s="104" t="s">
        <v>322</v>
      </c>
      <c r="I152" s="104" t="s">
        <v>469</v>
      </c>
      <c r="J152" s="105" t="str">
        <f t="shared" si="2"/>
        <v xml:space="preserve">Executar els projectes de sensibilització i formació dirigits als agents del sector primari </v>
      </c>
      <c r="K152" s="106"/>
      <c r="L152" s="75" t="s">
        <v>60</v>
      </c>
      <c r="M152" s="107" t="s">
        <v>337</v>
      </c>
      <c r="N152" s="75" t="s">
        <v>1252</v>
      </c>
      <c r="O152" s="75"/>
      <c r="P152" s="190" t="s">
        <v>1253</v>
      </c>
      <c r="Q152" s="198" t="s">
        <v>1153</v>
      </c>
      <c r="R152" s="199"/>
      <c r="S152" s="119" t="s">
        <v>1254</v>
      </c>
      <c r="T152" s="119" t="s">
        <v>1255</v>
      </c>
      <c r="U152" s="119" t="s">
        <v>1255</v>
      </c>
      <c r="V152" s="212">
        <v>100</v>
      </c>
      <c r="W152" s="109" t="s">
        <v>1156</v>
      </c>
      <c r="X152" s="119" t="s">
        <v>581</v>
      </c>
      <c r="Y152" s="119"/>
      <c r="Z152" s="109"/>
      <c r="AA152" s="109"/>
      <c r="AB152" s="109"/>
      <c r="AC152" s="109"/>
      <c r="AD152" s="109"/>
    </row>
    <row r="153" spans="1:30" ht="120">
      <c r="A153" s="29"/>
      <c r="B153" s="282"/>
      <c r="C153" s="345"/>
      <c r="D153" s="262"/>
      <c r="E153" s="259"/>
      <c r="F153" s="102" t="s">
        <v>1256</v>
      </c>
      <c r="G153" s="112" t="s">
        <v>1257</v>
      </c>
      <c r="H153" s="104" t="s">
        <v>322</v>
      </c>
      <c r="I153" s="104" t="s">
        <v>348</v>
      </c>
      <c r="J153" s="105" t="str">
        <f t="shared" si="2"/>
        <v>Elaborar i renovar periòdicament un programa d’educació ambiental adreçat a la població local que contribueixi a fomentar el sentiment de pertinença i la implicació en la conservació de l'ENP.</v>
      </c>
      <c r="K153" s="106"/>
      <c r="L153" s="75" t="s">
        <v>60</v>
      </c>
      <c r="M153" s="107" t="s">
        <v>324</v>
      </c>
      <c r="N153" s="75" t="s">
        <v>1258</v>
      </c>
      <c r="O153" s="75"/>
      <c r="P153" s="190"/>
      <c r="Q153" s="198" t="s">
        <v>1153</v>
      </c>
      <c r="R153" s="192"/>
      <c r="S153" s="119" t="s">
        <v>1259</v>
      </c>
      <c r="T153" s="109">
        <v>4</v>
      </c>
      <c r="U153" s="109">
        <v>16</v>
      </c>
      <c r="V153" s="212">
        <v>100</v>
      </c>
      <c r="W153" s="109" t="s">
        <v>1156</v>
      </c>
      <c r="X153" s="119" t="s">
        <v>581</v>
      </c>
      <c r="Y153" s="119"/>
      <c r="Z153" s="109"/>
      <c r="AA153" s="109"/>
      <c r="AB153" s="109"/>
      <c r="AC153" s="109"/>
      <c r="AD153" s="109"/>
    </row>
    <row r="154" spans="1:30" ht="60">
      <c r="A154" s="29"/>
      <c r="B154" s="282"/>
      <c r="C154" s="345"/>
      <c r="D154" s="260" t="s">
        <v>1260</v>
      </c>
      <c r="E154" s="292" t="s">
        <v>1261</v>
      </c>
      <c r="F154" s="102" t="s">
        <v>1262</v>
      </c>
      <c r="G154" s="103" t="s">
        <v>1263</v>
      </c>
      <c r="H154" s="104" t="s">
        <v>322</v>
      </c>
      <c r="I154" s="104" t="s">
        <v>348</v>
      </c>
      <c r="J154" s="105" t="str">
        <f t="shared" si="2"/>
        <v>Identificar els programes, projectes i accions en marxa o previstos a l’ENP que poden rebre el suport del voluntariat</v>
      </c>
      <c r="K154" s="106"/>
      <c r="L154" s="75" t="s">
        <v>60</v>
      </c>
      <c r="M154" s="107" t="s">
        <v>324</v>
      </c>
      <c r="N154" s="75" t="s">
        <v>1264</v>
      </c>
      <c r="O154" s="75"/>
      <c r="P154" s="190"/>
      <c r="Q154" s="198" t="s">
        <v>1153</v>
      </c>
      <c r="R154" s="192"/>
      <c r="S154" s="119" t="s">
        <v>1265</v>
      </c>
      <c r="T154" s="109">
        <v>4</v>
      </c>
      <c r="U154" s="109">
        <v>16</v>
      </c>
      <c r="V154" s="212">
        <v>40</v>
      </c>
      <c r="W154" s="109" t="s">
        <v>1156</v>
      </c>
      <c r="X154" s="119" t="s">
        <v>581</v>
      </c>
      <c r="Y154" s="119"/>
      <c r="Z154" s="109"/>
      <c r="AA154" s="109"/>
      <c r="AB154" s="109"/>
      <c r="AC154" s="109"/>
      <c r="AD154" s="109"/>
    </row>
    <row r="155" spans="1:30" ht="210">
      <c r="A155" s="29"/>
      <c r="B155" s="282"/>
      <c r="C155" s="345"/>
      <c r="D155" s="262"/>
      <c r="E155" s="259"/>
      <c r="F155" s="102" t="s">
        <v>1266</v>
      </c>
      <c r="G155" s="103" t="s">
        <v>1267</v>
      </c>
      <c r="H155" s="104" t="s">
        <v>322</v>
      </c>
      <c r="I155" s="104" t="s">
        <v>348</v>
      </c>
      <c r="J155" s="105" t="str">
        <f t="shared" si="2"/>
        <v>Establir un model de coordinació territorial amb agents clau del voluntariat ambiental</v>
      </c>
      <c r="K155" s="106"/>
      <c r="L155" s="75" t="s">
        <v>60</v>
      </c>
      <c r="M155" s="107" t="s">
        <v>337</v>
      </c>
      <c r="N155" s="75" t="s">
        <v>1268</v>
      </c>
      <c r="O155" s="75"/>
      <c r="P155" s="190"/>
      <c r="Q155" s="197" t="s">
        <v>1269</v>
      </c>
      <c r="R155" s="192" t="s">
        <v>1270</v>
      </c>
      <c r="S155" s="119" t="s">
        <v>1271</v>
      </c>
      <c r="T155" s="119" t="s">
        <v>1272</v>
      </c>
      <c r="U155" s="119" t="s">
        <v>1273</v>
      </c>
      <c r="V155" s="212">
        <v>80</v>
      </c>
      <c r="W155" s="109" t="s">
        <v>1156</v>
      </c>
      <c r="X155" s="119" t="s">
        <v>581</v>
      </c>
      <c r="Y155" s="119"/>
      <c r="Z155" s="109"/>
      <c r="AA155" s="109"/>
      <c r="AB155" s="109"/>
      <c r="AC155" s="109"/>
      <c r="AD155" s="109"/>
    </row>
    <row r="156" spans="1:30" ht="150">
      <c r="A156" s="29"/>
      <c r="B156" s="282"/>
      <c r="C156" s="345"/>
      <c r="D156" s="315" t="s">
        <v>1274</v>
      </c>
      <c r="E156" s="292" t="s">
        <v>1275</v>
      </c>
      <c r="F156" s="117" t="s">
        <v>1276</v>
      </c>
      <c r="G156" s="103" t="s">
        <v>1277</v>
      </c>
      <c r="H156" s="104" t="s">
        <v>322</v>
      </c>
      <c r="I156" s="104" t="s">
        <v>348</v>
      </c>
      <c r="J156" s="105" t="str">
        <f t="shared" si="2"/>
        <v>Dissenyar i adaptar activitats inclusives per a persones amb necessitats específiques</v>
      </c>
      <c r="K156" s="106"/>
      <c r="L156" s="75" t="s">
        <v>60</v>
      </c>
      <c r="M156" s="107" t="s">
        <v>378</v>
      </c>
      <c r="N156" s="75" t="s">
        <v>1278</v>
      </c>
      <c r="O156" s="75"/>
      <c r="P156" s="190"/>
      <c r="Q156" s="198" t="s">
        <v>1153</v>
      </c>
      <c r="R156" s="199"/>
      <c r="S156" s="119" t="s">
        <v>1279</v>
      </c>
      <c r="T156" s="119" t="s">
        <v>1280</v>
      </c>
      <c r="U156" s="119" t="s">
        <v>1281</v>
      </c>
      <c r="V156" s="212">
        <v>80</v>
      </c>
      <c r="W156" s="109" t="s">
        <v>1156</v>
      </c>
      <c r="X156" s="119" t="s">
        <v>581</v>
      </c>
      <c r="Y156" s="119"/>
      <c r="Z156" s="109"/>
      <c r="AA156" s="109"/>
      <c r="AB156" s="109"/>
      <c r="AC156" s="109"/>
      <c r="AD156" s="109"/>
    </row>
    <row r="157" spans="1:30" ht="45">
      <c r="A157" s="29"/>
      <c r="B157" s="282"/>
      <c r="C157" s="345"/>
      <c r="D157" s="316"/>
      <c r="E157" s="258"/>
      <c r="F157" s="117" t="s">
        <v>1282</v>
      </c>
      <c r="G157" s="103" t="s">
        <v>1283</v>
      </c>
      <c r="H157" s="104" t="s">
        <v>322</v>
      </c>
      <c r="I157" s="104" t="s">
        <v>469</v>
      </c>
      <c r="J157" s="105" t="str">
        <f t="shared" si="2"/>
        <v>Formar el personal de l'ENP (informadors i personal que treballa de cara al públic) en accessibilitat, diversitat funcional i diversitat de gènere</v>
      </c>
      <c r="K157" s="106"/>
      <c r="L157" s="75" t="s">
        <v>60</v>
      </c>
      <c r="M157" s="107" t="s">
        <v>337</v>
      </c>
      <c r="N157" s="75" t="s">
        <v>1284</v>
      </c>
      <c r="O157" s="75"/>
      <c r="P157" s="190"/>
      <c r="Q157" s="198" t="s">
        <v>1153</v>
      </c>
      <c r="R157" s="192"/>
      <c r="S157" s="119" t="s">
        <v>1285</v>
      </c>
      <c r="T157" s="109">
        <v>1</v>
      </c>
      <c r="U157" s="109">
        <v>4</v>
      </c>
      <c r="V157" s="212">
        <v>40</v>
      </c>
      <c r="W157" s="109" t="s">
        <v>1156</v>
      </c>
      <c r="X157" s="119" t="s">
        <v>581</v>
      </c>
      <c r="Y157" s="119"/>
      <c r="Z157" s="109"/>
      <c r="AA157" s="109"/>
      <c r="AB157" s="109"/>
      <c r="AC157" s="109"/>
      <c r="AD157" s="109"/>
    </row>
    <row r="158" spans="1:30" ht="45">
      <c r="A158" s="29"/>
      <c r="B158" s="282"/>
      <c r="C158" s="345"/>
      <c r="D158" s="317"/>
      <c r="E158" s="259"/>
      <c r="F158" s="117" t="s">
        <v>1286</v>
      </c>
      <c r="G158" s="103" t="s">
        <v>1287</v>
      </c>
      <c r="H158" s="104" t="s">
        <v>322</v>
      </c>
      <c r="I158" s="104" t="s">
        <v>348</v>
      </c>
      <c r="J158" s="105" t="str">
        <f t="shared" si="2"/>
        <v>Incorporar la perspectiva de gènere als continguts i activitats de l'ENP</v>
      </c>
      <c r="K158" s="106"/>
      <c r="L158" s="75" t="s">
        <v>60</v>
      </c>
      <c r="M158" s="107" t="s">
        <v>337</v>
      </c>
      <c r="N158" s="75" t="s">
        <v>1288</v>
      </c>
      <c r="O158" s="75"/>
      <c r="P158" s="190"/>
      <c r="Q158" s="198" t="s">
        <v>1153</v>
      </c>
      <c r="R158" s="192"/>
      <c r="S158" s="119" t="s">
        <v>1289</v>
      </c>
      <c r="T158" s="109">
        <v>2</v>
      </c>
      <c r="U158" s="109">
        <v>8</v>
      </c>
      <c r="V158" s="212">
        <v>20</v>
      </c>
      <c r="W158" s="109" t="s">
        <v>1156</v>
      </c>
      <c r="X158" s="119" t="s">
        <v>581</v>
      </c>
      <c r="Y158" s="119"/>
      <c r="Z158" s="109"/>
      <c r="AA158" s="109"/>
      <c r="AB158" s="109"/>
      <c r="AC158" s="109"/>
      <c r="AD158" s="109"/>
    </row>
    <row r="159" spans="1:30" ht="45">
      <c r="A159" s="29"/>
      <c r="B159" s="282"/>
      <c r="C159" s="345"/>
      <c r="D159" s="315" t="s">
        <v>1290</v>
      </c>
      <c r="E159" s="318" t="s">
        <v>1291</v>
      </c>
      <c r="F159" s="117" t="s">
        <v>1292</v>
      </c>
      <c r="G159" s="103" t="s">
        <v>1293</v>
      </c>
      <c r="H159" s="104" t="s">
        <v>322</v>
      </c>
      <c r="I159" s="104" t="s">
        <v>469</v>
      </c>
      <c r="J159" s="105" t="str">
        <f t="shared" si="2"/>
        <v>Dissenyar, implementar i fomentar itineraris saludables dins dels itineraris oficials dels ENP i en la zona d'influència</v>
      </c>
      <c r="K159" s="106"/>
      <c r="L159" s="75" t="s">
        <v>60</v>
      </c>
      <c r="M159" s="107" t="s">
        <v>337</v>
      </c>
      <c r="N159" s="75" t="s">
        <v>1294</v>
      </c>
      <c r="O159" s="75"/>
      <c r="P159" s="190"/>
      <c r="Q159" s="198" t="s">
        <v>1153</v>
      </c>
      <c r="R159" s="192"/>
      <c r="S159" s="119" t="s">
        <v>1295</v>
      </c>
      <c r="T159" s="109">
        <v>2</v>
      </c>
      <c r="U159" s="109">
        <v>8</v>
      </c>
      <c r="V159" s="212">
        <v>50</v>
      </c>
      <c r="W159" s="109" t="s">
        <v>1156</v>
      </c>
      <c r="X159" s="119" t="s">
        <v>581</v>
      </c>
      <c r="Y159" s="119"/>
      <c r="Z159" s="109"/>
      <c r="AA159" s="109"/>
      <c r="AB159" s="109"/>
      <c r="AC159" s="109"/>
      <c r="AD159" s="109"/>
    </row>
    <row r="160" spans="1:30" ht="165">
      <c r="A160" s="29"/>
      <c r="B160" s="282"/>
      <c r="C160" s="345"/>
      <c r="D160" s="316"/>
      <c r="E160" s="258"/>
      <c r="F160" s="117" t="s">
        <v>1296</v>
      </c>
      <c r="G160" s="112" t="s">
        <v>1297</v>
      </c>
      <c r="H160" s="104" t="s">
        <v>322</v>
      </c>
      <c r="I160" s="104" t="s">
        <v>469</v>
      </c>
      <c r="J160" s="105" t="str">
        <f t="shared" si="2"/>
        <v>Identificar els agents clau i els àmbits de col·laboració per implementar el binomi salut i natura</v>
      </c>
      <c r="K160" s="106"/>
      <c r="L160" s="75" t="s">
        <v>60</v>
      </c>
      <c r="M160" s="107" t="s">
        <v>337</v>
      </c>
      <c r="N160" s="116" t="s">
        <v>1298</v>
      </c>
      <c r="O160" s="116"/>
      <c r="P160" s="205"/>
      <c r="Q160" s="198" t="s">
        <v>1153</v>
      </c>
      <c r="R160" s="192"/>
      <c r="S160" s="119" t="s">
        <v>1299</v>
      </c>
      <c r="T160" s="119" t="s">
        <v>1300</v>
      </c>
      <c r="U160" s="119" t="s">
        <v>1301</v>
      </c>
      <c r="V160" s="212">
        <v>80</v>
      </c>
      <c r="W160" s="109" t="s">
        <v>1156</v>
      </c>
      <c r="X160" s="119" t="s">
        <v>581</v>
      </c>
      <c r="Y160" s="119"/>
      <c r="Z160" s="109"/>
      <c r="AA160" s="109"/>
      <c r="AB160" s="109"/>
      <c r="AC160" s="109"/>
      <c r="AD160" s="109"/>
    </row>
    <row r="161" spans="1:30" ht="135">
      <c r="A161" s="29"/>
      <c r="B161" s="282"/>
      <c r="C161" s="345"/>
      <c r="D161" s="316"/>
      <c r="E161" s="258"/>
      <c r="F161" s="117" t="s">
        <v>1302</v>
      </c>
      <c r="G161" s="103" t="s">
        <v>1303</v>
      </c>
      <c r="H161" s="104" t="s">
        <v>322</v>
      </c>
      <c r="I161" s="104" t="s">
        <v>469</v>
      </c>
      <c r="J161" s="105" t="str">
        <f t="shared" si="2"/>
        <v xml:space="preserve">Incloure el concepte de salut i natura en els missatges educatius i comunicatius de l'ENP </v>
      </c>
      <c r="K161" s="106"/>
      <c r="L161" s="75" t="s">
        <v>60</v>
      </c>
      <c r="M161" s="107" t="s">
        <v>337</v>
      </c>
      <c r="N161" s="75" t="s">
        <v>1304</v>
      </c>
      <c r="O161" s="75"/>
      <c r="P161" s="205"/>
      <c r="Q161" s="198" t="s">
        <v>1153</v>
      </c>
      <c r="R161" s="192"/>
      <c r="S161" s="119" t="s">
        <v>1305</v>
      </c>
      <c r="T161" s="119" t="s">
        <v>1306</v>
      </c>
      <c r="U161" s="119" t="s">
        <v>1307</v>
      </c>
      <c r="V161" s="212">
        <v>60</v>
      </c>
      <c r="W161" s="109" t="s">
        <v>1156</v>
      </c>
      <c r="X161" s="119" t="s">
        <v>581</v>
      </c>
      <c r="Y161" s="119"/>
      <c r="Z161" s="109"/>
      <c r="AA161" s="109"/>
      <c r="AB161" s="109"/>
      <c r="AC161" s="109"/>
      <c r="AD161" s="109"/>
    </row>
    <row r="162" spans="1:30" ht="30">
      <c r="A162" s="29"/>
      <c r="B162" s="283"/>
      <c r="C162" s="346"/>
      <c r="D162" s="317"/>
      <c r="E162" s="259"/>
      <c r="F162" s="117" t="s">
        <v>1308</v>
      </c>
      <c r="G162" s="112" t="s">
        <v>1309</v>
      </c>
      <c r="H162" s="104" t="s">
        <v>322</v>
      </c>
      <c r="I162" s="104" t="s">
        <v>469</v>
      </c>
      <c r="J162" s="105" t="s">
        <v>1310</v>
      </c>
      <c r="K162" s="111" t="s">
        <v>589</v>
      </c>
      <c r="L162" s="75" t="s">
        <v>60</v>
      </c>
      <c r="M162" s="107" t="s">
        <v>337</v>
      </c>
      <c r="N162" s="75" t="s">
        <v>1311</v>
      </c>
      <c r="O162" s="75"/>
      <c r="P162" s="190"/>
      <c r="Q162" s="198" t="s">
        <v>1153</v>
      </c>
      <c r="R162" s="192"/>
      <c r="S162" s="119" t="s">
        <v>1312</v>
      </c>
      <c r="T162" s="109">
        <v>4</v>
      </c>
      <c r="U162" s="109">
        <v>8</v>
      </c>
      <c r="V162" s="212">
        <v>60</v>
      </c>
      <c r="W162" s="109" t="s">
        <v>1156</v>
      </c>
      <c r="X162" s="119" t="s">
        <v>581</v>
      </c>
      <c r="Y162" s="119"/>
      <c r="Z162" s="109"/>
      <c r="AA162" s="109"/>
      <c r="AB162" s="109"/>
      <c r="AC162" s="109"/>
      <c r="AD162" s="109"/>
    </row>
    <row r="163" spans="1:30" ht="195">
      <c r="A163" s="30"/>
      <c r="B163" s="281">
        <v>14</v>
      </c>
      <c r="C163" s="293" t="s">
        <v>1313</v>
      </c>
      <c r="D163" s="284" t="s">
        <v>1314</v>
      </c>
      <c r="E163" s="257" t="s">
        <v>1315</v>
      </c>
      <c r="F163" s="102" t="s">
        <v>1316</v>
      </c>
      <c r="G163" s="103" t="s">
        <v>1317</v>
      </c>
      <c r="H163" s="104" t="s">
        <v>322</v>
      </c>
      <c r="I163" s="104" t="s">
        <v>348</v>
      </c>
      <c r="J163" s="105" t="str">
        <f t="shared" si="2"/>
        <v>Informar periòdicament sobre les tasques, projectes i actuacions que duu a terme l'ENP a la població</v>
      </c>
      <c r="K163" s="106"/>
      <c r="L163" s="75" t="s">
        <v>60</v>
      </c>
      <c r="M163" s="107" t="s">
        <v>378</v>
      </c>
      <c r="N163" s="113" t="s">
        <v>1318</v>
      </c>
      <c r="O163" s="113"/>
      <c r="P163" s="205"/>
      <c r="Q163" s="107" t="s">
        <v>1319</v>
      </c>
      <c r="R163" s="192" t="s">
        <v>1320</v>
      </c>
      <c r="S163" s="119" t="s">
        <v>1321</v>
      </c>
      <c r="T163" s="119" t="s">
        <v>1322</v>
      </c>
      <c r="U163" s="119" t="s">
        <v>1323</v>
      </c>
      <c r="V163" s="212">
        <v>350</v>
      </c>
      <c r="W163" s="109" t="s">
        <v>1156</v>
      </c>
      <c r="X163" s="119" t="s">
        <v>581</v>
      </c>
      <c r="Y163" s="119"/>
      <c r="Z163" s="109"/>
      <c r="AA163" s="109"/>
      <c r="AB163" s="109"/>
      <c r="AC163" s="109"/>
      <c r="AD163" s="109"/>
    </row>
    <row r="164" spans="1:30" ht="60">
      <c r="A164" s="30"/>
      <c r="B164" s="281"/>
      <c r="C164" s="293"/>
      <c r="D164" s="284"/>
      <c r="E164" s="259"/>
      <c r="F164" s="102" t="s">
        <v>1324</v>
      </c>
      <c r="G164" s="103" t="s">
        <v>1325</v>
      </c>
      <c r="H164" s="104" t="s">
        <v>322</v>
      </c>
      <c r="I164" s="104" t="s">
        <v>348</v>
      </c>
      <c r="J164" s="105" t="str">
        <f t="shared" si="2"/>
        <v>Garantir l'accessibilitat i gestió del coneixement disponible sobre l'ENP</v>
      </c>
      <c r="K164" s="106"/>
      <c r="L164" s="75" t="s">
        <v>60</v>
      </c>
      <c r="M164" s="107" t="s">
        <v>378</v>
      </c>
      <c r="N164" s="113" t="s">
        <v>1326</v>
      </c>
      <c r="O164" s="113"/>
      <c r="P164" s="205"/>
      <c r="Q164" s="107"/>
      <c r="R164" s="192"/>
      <c r="S164" s="238" t="s">
        <v>1327</v>
      </c>
      <c r="T164" s="109">
        <v>2</v>
      </c>
      <c r="U164" s="109">
        <v>4</v>
      </c>
      <c r="V164" s="212">
        <v>45</v>
      </c>
      <c r="W164" s="109" t="s">
        <v>1156</v>
      </c>
      <c r="X164" s="119" t="s">
        <v>581</v>
      </c>
      <c r="Y164" s="119"/>
      <c r="Z164" s="109"/>
      <c r="AA164" s="109"/>
      <c r="AB164" s="109"/>
      <c r="AC164" s="109"/>
      <c r="AD164" s="109"/>
    </row>
    <row r="165" spans="1:30" ht="135">
      <c r="A165" s="30"/>
      <c r="B165" s="281"/>
      <c r="C165" s="293"/>
      <c r="D165" s="16" t="s">
        <v>1328</v>
      </c>
      <c r="E165" s="91" t="s">
        <v>1329</v>
      </c>
      <c r="F165" s="102" t="s">
        <v>1330</v>
      </c>
      <c r="G165" s="103" t="s">
        <v>1331</v>
      </c>
      <c r="H165" s="104" t="s">
        <v>322</v>
      </c>
      <c r="I165" s="104" t="s">
        <v>348</v>
      </c>
      <c r="J165" s="105" t="str">
        <f t="shared" si="2"/>
        <v>Sensibilitzar als diferents agents sobre els valors de l'ENP</v>
      </c>
      <c r="K165" s="106"/>
      <c r="L165" s="75" t="s">
        <v>60</v>
      </c>
      <c r="M165" s="107" t="s">
        <v>378</v>
      </c>
      <c r="N165" s="113" t="s">
        <v>1332</v>
      </c>
      <c r="O165" s="113"/>
      <c r="P165" s="205"/>
      <c r="Q165" s="107"/>
      <c r="R165" s="192" t="s">
        <v>1333</v>
      </c>
      <c r="S165" s="119" t="s">
        <v>1334</v>
      </c>
      <c r="T165" s="119" t="s">
        <v>506</v>
      </c>
      <c r="U165" s="119" t="s">
        <v>1248</v>
      </c>
      <c r="V165" s="212">
        <v>140</v>
      </c>
      <c r="W165" s="109" t="s">
        <v>1156</v>
      </c>
      <c r="X165" s="119" t="s">
        <v>581</v>
      </c>
      <c r="Y165" s="119"/>
      <c r="Z165" s="109"/>
      <c r="AA165" s="109"/>
      <c r="AB165" s="109"/>
      <c r="AC165" s="109"/>
      <c r="AD165" s="109"/>
    </row>
    <row r="166" spans="1:30" ht="105">
      <c r="A166" s="30"/>
      <c r="B166" s="281"/>
      <c r="C166" s="293"/>
      <c r="D166" s="284" t="s">
        <v>1335</v>
      </c>
      <c r="E166" s="308" t="s">
        <v>1336</v>
      </c>
      <c r="F166" s="102" t="s">
        <v>1337</v>
      </c>
      <c r="G166" s="103" t="s">
        <v>1338</v>
      </c>
      <c r="H166" s="104" t="s">
        <v>322</v>
      </c>
      <c r="I166" s="104" t="s">
        <v>348</v>
      </c>
      <c r="J166" s="105" t="str">
        <f t="shared" si="2"/>
        <v>Optimitzar els canals de comunicació</v>
      </c>
      <c r="K166" s="106"/>
      <c r="L166" s="75" t="s">
        <v>60</v>
      </c>
      <c r="M166" s="107" t="s">
        <v>378</v>
      </c>
      <c r="N166" s="113" t="s">
        <v>1339</v>
      </c>
      <c r="O166" s="113"/>
      <c r="P166" s="205"/>
      <c r="Q166" s="107" t="s">
        <v>1319</v>
      </c>
      <c r="R166" s="192"/>
      <c r="S166" s="119" t="s">
        <v>1340</v>
      </c>
      <c r="T166" s="119" t="s">
        <v>1341</v>
      </c>
      <c r="U166" s="119" t="s">
        <v>1342</v>
      </c>
      <c r="V166" s="212">
        <v>300</v>
      </c>
      <c r="W166" s="109" t="s">
        <v>1156</v>
      </c>
      <c r="X166" s="119" t="s">
        <v>581</v>
      </c>
      <c r="Y166" s="119"/>
      <c r="Z166" s="109"/>
      <c r="AA166" s="109"/>
      <c r="AB166" s="109"/>
      <c r="AC166" s="109"/>
      <c r="AD166" s="109"/>
    </row>
    <row r="167" spans="1:30" ht="165">
      <c r="A167" s="30"/>
      <c r="B167" s="281"/>
      <c r="C167" s="293"/>
      <c r="D167" s="284"/>
      <c r="E167" s="308"/>
      <c r="F167" s="102" t="s">
        <v>1343</v>
      </c>
      <c r="G167" s="103" t="s">
        <v>1344</v>
      </c>
      <c r="H167" s="104" t="s">
        <v>322</v>
      </c>
      <c r="I167" s="104" t="s">
        <v>348</v>
      </c>
      <c r="J167" s="105" t="str">
        <f t="shared" si="2"/>
        <v>Garantir l'harmonització de la comunicació com a Parc, Xarxa i Generalitat.</v>
      </c>
      <c r="K167" s="106"/>
      <c r="L167" s="75" t="s">
        <v>60</v>
      </c>
      <c r="M167" s="107" t="s">
        <v>378</v>
      </c>
      <c r="N167" s="113" t="s">
        <v>1345</v>
      </c>
      <c r="O167" s="113"/>
      <c r="P167" s="205"/>
      <c r="Q167" s="107" t="s">
        <v>1319</v>
      </c>
      <c r="R167" s="192"/>
      <c r="S167" s="119" t="s">
        <v>1346</v>
      </c>
      <c r="T167" s="109">
        <v>12</v>
      </c>
      <c r="U167" s="109">
        <v>48</v>
      </c>
      <c r="V167" s="212">
        <v>300</v>
      </c>
      <c r="W167" s="109" t="s">
        <v>1156</v>
      </c>
      <c r="X167" s="119" t="s">
        <v>581</v>
      </c>
      <c r="Y167" s="119"/>
      <c r="Z167" s="109"/>
      <c r="AA167" s="109"/>
      <c r="AB167" s="109"/>
      <c r="AC167" s="109"/>
      <c r="AD167" s="109"/>
    </row>
    <row r="168" spans="1:30" ht="45">
      <c r="A168" s="23" t="s">
        <v>1347</v>
      </c>
      <c r="B168" s="279">
        <v>15</v>
      </c>
      <c r="C168" s="286" t="s">
        <v>1348</v>
      </c>
      <c r="D168" s="242" t="s">
        <v>1349</v>
      </c>
      <c r="E168" s="244" t="s">
        <v>1350</v>
      </c>
      <c r="F168" s="102" t="s">
        <v>1351</v>
      </c>
      <c r="G168" s="103" t="s">
        <v>1352</v>
      </c>
      <c r="H168" s="104" t="s">
        <v>322</v>
      </c>
      <c r="I168" s="104" t="s">
        <v>469</v>
      </c>
      <c r="J168" s="182" t="s">
        <v>1352</v>
      </c>
      <c r="K168" s="183"/>
      <c r="L168" s="184" t="s">
        <v>60</v>
      </c>
      <c r="M168" s="185" t="s">
        <v>337</v>
      </c>
      <c r="N168" s="113" t="s">
        <v>1353</v>
      </c>
      <c r="O168" s="113"/>
      <c r="P168" s="205"/>
      <c r="Q168" s="107"/>
      <c r="R168" s="172"/>
      <c r="S168" s="203" t="s">
        <v>1354</v>
      </c>
      <c r="T168" s="201" t="s">
        <v>1355</v>
      </c>
      <c r="U168" s="201" t="s">
        <v>1356</v>
      </c>
      <c r="V168" s="215">
        <v>250</v>
      </c>
      <c r="W168" s="201" t="s">
        <v>1122</v>
      </c>
      <c r="X168" s="201" t="s">
        <v>1123</v>
      </c>
      <c r="Y168" s="201"/>
      <c r="Z168" s="109"/>
      <c r="AA168" s="109"/>
      <c r="AB168" s="109"/>
      <c r="AC168" s="109"/>
      <c r="AD168" s="109"/>
    </row>
    <row r="169" spans="1:30" ht="30">
      <c r="A169" s="23"/>
      <c r="B169" s="280"/>
      <c r="C169" s="287"/>
      <c r="D169" s="243"/>
      <c r="E169" s="245"/>
      <c r="F169" s="102" t="s">
        <v>1357</v>
      </c>
      <c r="G169" s="103" t="s">
        <v>1358</v>
      </c>
      <c r="H169" s="104" t="s">
        <v>322</v>
      </c>
      <c r="I169" s="104" t="s">
        <v>469</v>
      </c>
      <c r="J169" s="182" t="s">
        <v>1358</v>
      </c>
      <c r="K169" s="183"/>
      <c r="L169" s="184" t="s">
        <v>60</v>
      </c>
      <c r="M169" s="185" t="s">
        <v>337</v>
      </c>
      <c r="N169" s="113" t="s">
        <v>1359</v>
      </c>
      <c r="O169" s="113"/>
      <c r="P169" s="205"/>
      <c r="Q169" s="107"/>
      <c r="R169" s="172"/>
      <c r="S169" s="237" t="s">
        <v>1360</v>
      </c>
      <c r="T169" s="201" t="s">
        <v>1129</v>
      </c>
      <c r="U169" s="201" t="s">
        <v>1361</v>
      </c>
      <c r="V169" s="215">
        <v>220</v>
      </c>
      <c r="W169" s="201" t="s">
        <v>1122</v>
      </c>
      <c r="X169" s="201" t="s">
        <v>1123</v>
      </c>
      <c r="Y169" s="201"/>
      <c r="Z169" s="109"/>
      <c r="AA169" s="109"/>
      <c r="AB169" s="109"/>
      <c r="AC169" s="109"/>
      <c r="AD169" s="109" t="s">
        <v>1362</v>
      </c>
    </row>
    <row r="170" spans="1:30" ht="45">
      <c r="A170" s="23"/>
      <c r="B170" s="280"/>
      <c r="C170" s="287"/>
      <c r="D170" s="243"/>
      <c r="E170" s="245"/>
      <c r="F170" s="102" t="s">
        <v>1363</v>
      </c>
      <c r="G170" s="103" t="s">
        <v>1364</v>
      </c>
      <c r="H170" s="104" t="s">
        <v>322</v>
      </c>
      <c r="I170" s="104" t="s">
        <v>469</v>
      </c>
      <c r="J170" s="182" t="s">
        <v>1364</v>
      </c>
      <c r="K170" s="183" t="s">
        <v>1365</v>
      </c>
      <c r="L170" s="184" t="s">
        <v>60</v>
      </c>
      <c r="M170" s="185" t="s">
        <v>378</v>
      </c>
      <c r="N170" s="113" t="s">
        <v>1366</v>
      </c>
      <c r="O170" s="113"/>
      <c r="P170" s="205"/>
      <c r="Q170" s="107"/>
      <c r="R170" s="172"/>
      <c r="S170" s="203" t="s">
        <v>1367</v>
      </c>
      <c r="T170" s="201">
        <v>1</v>
      </c>
      <c r="U170" s="201">
        <v>2</v>
      </c>
      <c r="V170" s="215">
        <v>150</v>
      </c>
      <c r="W170" s="201" t="s">
        <v>1122</v>
      </c>
      <c r="X170" s="201" t="s">
        <v>1123</v>
      </c>
      <c r="Y170" s="201"/>
      <c r="Z170" s="109"/>
      <c r="AA170" s="109"/>
      <c r="AB170" s="109"/>
      <c r="AC170" s="109"/>
      <c r="AD170" s="109" t="s">
        <v>1368</v>
      </c>
    </row>
    <row r="171" spans="1:30" ht="45">
      <c r="A171" s="23"/>
      <c r="B171" s="280"/>
      <c r="C171" s="287"/>
      <c r="D171" s="285"/>
      <c r="E171" s="291"/>
      <c r="F171" s="102" t="s">
        <v>1369</v>
      </c>
      <c r="G171" s="103" t="s">
        <v>1370</v>
      </c>
      <c r="H171" s="104" t="s">
        <v>322</v>
      </c>
      <c r="I171" s="104" t="s">
        <v>348</v>
      </c>
      <c r="J171" s="182" t="s">
        <v>1370</v>
      </c>
      <c r="K171" s="183"/>
      <c r="L171" s="184" t="s">
        <v>60</v>
      </c>
      <c r="M171" s="185" t="s">
        <v>324</v>
      </c>
      <c r="N171" s="113" t="s">
        <v>1371</v>
      </c>
      <c r="O171" s="113"/>
      <c r="P171" s="205"/>
      <c r="Q171" s="107"/>
      <c r="R171" s="105" t="s">
        <v>1372</v>
      </c>
      <c r="S171" s="201" t="s">
        <v>1373</v>
      </c>
      <c r="T171" s="201">
        <v>2027</v>
      </c>
      <c r="U171" s="201">
        <v>2025</v>
      </c>
      <c r="V171" s="215">
        <v>500</v>
      </c>
      <c r="W171" s="201" t="s">
        <v>1122</v>
      </c>
      <c r="X171" s="201" t="s">
        <v>1123</v>
      </c>
      <c r="Y171" s="201"/>
      <c r="Z171" s="109"/>
      <c r="AA171" s="109"/>
      <c r="AB171" s="109"/>
      <c r="AC171" s="109"/>
      <c r="AD171" s="109" t="s">
        <v>1374</v>
      </c>
    </row>
    <row r="172" spans="1:30" ht="120">
      <c r="A172" s="23"/>
      <c r="B172" s="72">
        <v>16</v>
      </c>
      <c r="C172" s="69" t="s">
        <v>1375</v>
      </c>
      <c r="D172" s="21" t="s">
        <v>1376</v>
      </c>
      <c r="E172" s="92" t="s">
        <v>1377</v>
      </c>
      <c r="F172" s="102" t="s">
        <v>1378</v>
      </c>
      <c r="G172" s="103" t="s">
        <v>1379</v>
      </c>
      <c r="H172" s="104" t="s">
        <v>322</v>
      </c>
      <c r="I172" s="104" t="s">
        <v>348</v>
      </c>
      <c r="J172" s="105" t="s">
        <v>1380</v>
      </c>
      <c r="K172" s="111" t="s">
        <v>589</v>
      </c>
      <c r="L172" s="184" t="s">
        <v>60</v>
      </c>
      <c r="M172" s="185" t="s">
        <v>337</v>
      </c>
      <c r="N172" s="113" t="s">
        <v>1381</v>
      </c>
      <c r="O172" s="113"/>
      <c r="P172" s="205" t="s">
        <v>1382</v>
      </c>
      <c r="Q172" s="107"/>
      <c r="R172" s="172" t="s">
        <v>1383</v>
      </c>
      <c r="S172" s="201" t="s">
        <v>1384</v>
      </c>
      <c r="T172" s="201">
        <v>100</v>
      </c>
      <c r="U172" s="201">
        <v>100</v>
      </c>
      <c r="V172" s="215">
        <f>1500+2200</f>
        <v>3700</v>
      </c>
      <c r="W172" s="201" t="s">
        <v>1385</v>
      </c>
      <c r="X172" s="201" t="s">
        <v>1386</v>
      </c>
      <c r="Y172" s="201"/>
      <c r="Z172" s="109"/>
      <c r="AA172" s="109"/>
      <c r="AB172" s="109"/>
      <c r="AC172" s="109"/>
      <c r="AD172" s="109"/>
    </row>
    <row r="173" spans="1:30" ht="45">
      <c r="A173" s="71"/>
      <c r="B173" s="73"/>
      <c r="C173" s="70"/>
      <c r="D173" s="277" t="s">
        <v>1387</v>
      </c>
      <c r="E173" s="278" t="s">
        <v>1388</v>
      </c>
      <c r="F173" s="102" t="s">
        <v>1389</v>
      </c>
      <c r="G173" s="103" t="s">
        <v>1390</v>
      </c>
      <c r="H173" s="104" t="s">
        <v>322</v>
      </c>
      <c r="I173" s="104" t="s">
        <v>348</v>
      </c>
      <c r="J173" s="105" t="s">
        <v>1391</v>
      </c>
      <c r="K173" s="183" t="s">
        <v>1392</v>
      </c>
      <c r="L173" s="184" t="s">
        <v>65</v>
      </c>
      <c r="M173" s="185"/>
      <c r="N173" s="113"/>
      <c r="O173" s="113"/>
      <c r="P173" s="205"/>
      <c r="Q173" s="107"/>
      <c r="R173" s="192" t="s">
        <v>1393</v>
      </c>
      <c r="S173" s="203"/>
      <c r="T173" s="201"/>
      <c r="U173" s="201"/>
      <c r="V173" s="201"/>
      <c r="W173" s="201"/>
      <c r="X173" s="201"/>
      <c r="Y173" s="201"/>
      <c r="Z173" s="109"/>
      <c r="AA173" s="109"/>
      <c r="AB173" s="109"/>
      <c r="AC173" s="109"/>
      <c r="AD173" s="109"/>
    </row>
    <row r="174" spans="1:30" ht="105">
      <c r="A174" s="71"/>
      <c r="B174" s="73"/>
      <c r="C174" s="70"/>
      <c r="D174" s="243"/>
      <c r="E174" s="245"/>
      <c r="F174" s="102" t="s">
        <v>1394</v>
      </c>
      <c r="G174" s="118" t="s">
        <v>1395</v>
      </c>
      <c r="H174" s="104" t="s">
        <v>322</v>
      </c>
      <c r="I174" s="104" t="s">
        <v>348</v>
      </c>
      <c r="J174" s="223" t="s">
        <v>1396</v>
      </c>
      <c r="K174" s="111" t="s">
        <v>589</v>
      </c>
      <c r="L174" s="184" t="s">
        <v>60</v>
      </c>
      <c r="M174" s="185" t="s">
        <v>378</v>
      </c>
      <c r="N174" s="105" t="s">
        <v>1397</v>
      </c>
      <c r="O174" s="105"/>
      <c r="P174" s="105"/>
      <c r="Q174" s="107"/>
      <c r="R174" s="192"/>
      <c r="S174" s="203" t="s">
        <v>1398</v>
      </c>
      <c r="T174" s="201">
        <v>40</v>
      </c>
      <c r="U174" s="201">
        <v>100</v>
      </c>
      <c r="V174" s="215">
        <v>1500</v>
      </c>
      <c r="W174" s="201" t="s">
        <v>1399</v>
      </c>
      <c r="X174" s="201" t="s">
        <v>1400</v>
      </c>
      <c r="Y174" s="201"/>
      <c r="Z174" s="201"/>
      <c r="AA174" s="109"/>
      <c r="AB174" s="109"/>
      <c r="AC174" s="109"/>
      <c r="AD174" s="201" t="s">
        <v>1401</v>
      </c>
    </row>
    <row r="175" spans="1:30" ht="45">
      <c r="A175" s="71"/>
      <c r="B175" s="73"/>
      <c r="C175" s="70"/>
      <c r="D175" s="243"/>
      <c r="E175" s="245"/>
      <c r="F175" s="102" t="s">
        <v>1402</v>
      </c>
      <c r="G175" s="118" t="s">
        <v>1403</v>
      </c>
      <c r="H175" s="104" t="s">
        <v>322</v>
      </c>
      <c r="I175" s="104" t="s">
        <v>348</v>
      </c>
      <c r="J175" s="182" t="str">
        <f>G175</f>
        <v>Establir i renovar en temps i forma convenis de col·laboració, convenis marc, acords, protocols i altres instruments de col·laboració.</v>
      </c>
      <c r="K175" s="184" t="s">
        <v>1404</v>
      </c>
      <c r="L175" s="184" t="s">
        <v>65</v>
      </c>
      <c r="M175" s="185"/>
      <c r="N175" s="105"/>
      <c r="O175" s="105"/>
      <c r="P175" s="105"/>
      <c r="Q175" s="107"/>
      <c r="R175" s="172" t="s">
        <v>1405</v>
      </c>
      <c r="S175" s="201"/>
      <c r="T175" s="201"/>
      <c r="U175" s="201"/>
      <c r="V175" s="201"/>
      <c r="W175" s="201"/>
      <c r="X175" s="201"/>
      <c r="Y175" s="201"/>
      <c r="Z175" s="109"/>
      <c r="AA175" s="109"/>
      <c r="AB175" s="109"/>
      <c r="AC175" s="109"/>
      <c r="AD175" s="109"/>
    </row>
    <row r="176" spans="1:30" ht="30">
      <c r="A176" s="71"/>
      <c r="B176" s="73"/>
      <c r="C176" s="70"/>
      <c r="D176" s="67" t="s">
        <v>1406</v>
      </c>
      <c r="E176" s="93" t="s">
        <v>1407</v>
      </c>
      <c r="F176" s="102" t="s">
        <v>1408</v>
      </c>
      <c r="G176" s="118" t="s">
        <v>1409</v>
      </c>
      <c r="H176" s="104" t="s">
        <v>322</v>
      </c>
      <c r="I176" s="104" t="s">
        <v>348</v>
      </c>
      <c r="J176" s="182" t="str">
        <f>G176</f>
        <v>Optimitzar l'elaboració d'informes</v>
      </c>
      <c r="K176" s="184" t="s">
        <v>1404</v>
      </c>
      <c r="L176" s="184" t="s">
        <v>65</v>
      </c>
      <c r="M176" s="185"/>
      <c r="N176" s="105"/>
      <c r="O176" s="105"/>
      <c r="P176" s="172"/>
      <c r="Q176" s="107"/>
      <c r="R176" s="192"/>
      <c r="S176" s="203"/>
      <c r="T176" s="201"/>
      <c r="U176" s="201"/>
      <c r="V176" s="201"/>
      <c r="W176" s="201"/>
      <c r="X176" s="201"/>
      <c r="Y176" s="201"/>
      <c r="Z176" s="109"/>
      <c r="AA176" s="109"/>
      <c r="AB176" s="109"/>
      <c r="AC176" s="109"/>
      <c r="AD176" s="109"/>
    </row>
    <row r="177" spans="1:30" ht="45">
      <c r="A177" s="71"/>
      <c r="B177" s="73"/>
      <c r="C177" s="70"/>
      <c r="D177" s="68"/>
      <c r="E177" s="94"/>
      <c r="F177" s="102" t="s">
        <v>1410</v>
      </c>
      <c r="G177" s="103" t="s">
        <v>1411</v>
      </c>
      <c r="H177" s="104" t="s">
        <v>322</v>
      </c>
      <c r="I177" s="104" t="s">
        <v>348</v>
      </c>
      <c r="J177" s="182" t="s">
        <v>1411</v>
      </c>
      <c r="K177" s="184" t="s">
        <v>1412</v>
      </c>
      <c r="L177" s="184" t="s">
        <v>65</v>
      </c>
      <c r="M177" s="185"/>
      <c r="N177" s="105"/>
      <c r="O177" s="105"/>
      <c r="P177" s="172"/>
      <c r="Q177" s="107"/>
      <c r="R177" s="172" t="s">
        <v>1413</v>
      </c>
      <c r="S177" s="203"/>
      <c r="T177" s="201"/>
      <c r="U177" s="201"/>
      <c r="V177" s="201"/>
      <c r="W177" s="201"/>
      <c r="X177" s="201"/>
      <c r="Y177" s="201"/>
      <c r="Z177" s="109"/>
      <c r="AA177" s="109"/>
      <c r="AB177" s="109"/>
      <c r="AC177" s="109"/>
      <c r="AD177" s="109"/>
    </row>
    <row r="178" spans="1:30" ht="165">
      <c r="A178" s="71"/>
      <c r="B178" s="73"/>
      <c r="C178" s="70"/>
      <c r="D178" s="68"/>
      <c r="E178" s="94"/>
      <c r="F178" s="102" t="s">
        <v>1414</v>
      </c>
      <c r="G178" s="118" t="s">
        <v>1415</v>
      </c>
      <c r="H178" s="104" t="s">
        <v>322</v>
      </c>
      <c r="I178" s="104" t="s">
        <v>348</v>
      </c>
      <c r="J178" s="182" t="s">
        <v>1415</v>
      </c>
      <c r="K178" s="184"/>
      <c r="L178" s="184" t="s">
        <v>60</v>
      </c>
      <c r="M178" s="185" t="s">
        <v>337</v>
      </c>
      <c r="N178" s="113" t="s">
        <v>1416</v>
      </c>
      <c r="O178" s="113"/>
      <c r="P178" s="172" t="s">
        <v>1417</v>
      </c>
      <c r="Q178" s="107"/>
      <c r="R178" s="192"/>
      <c r="S178" s="203" t="s">
        <v>1418</v>
      </c>
      <c r="T178" s="201">
        <v>100</v>
      </c>
      <c r="U178" s="201">
        <v>100</v>
      </c>
      <c r="V178" s="215">
        <v>100</v>
      </c>
      <c r="W178" s="201" t="s">
        <v>1419</v>
      </c>
      <c r="X178" s="201" t="s">
        <v>1420</v>
      </c>
      <c r="Y178" s="201"/>
      <c r="Z178" s="109"/>
      <c r="AA178" s="109"/>
      <c r="AB178" s="109"/>
      <c r="AC178" s="109"/>
      <c r="AD178" s="109"/>
    </row>
    <row r="179" spans="1:30" ht="75">
      <c r="A179" s="71"/>
      <c r="B179" s="73"/>
      <c r="C179" s="70"/>
      <c r="D179" s="68"/>
      <c r="E179" s="94"/>
      <c r="F179" s="102" t="s">
        <v>1421</v>
      </c>
      <c r="G179" s="103" t="s">
        <v>1422</v>
      </c>
      <c r="H179" s="104" t="s">
        <v>376</v>
      </c>
      <c r="I179" s="104" t="s">
        <v>348</v>
      </c>
      <c r="J179" s="182" t="s">
        <v>1422</v>
      </c>
      <c r="K179" s="184"/>
      <c r="L179" s="184" t="s">
        <v>60</v>
      </c>
      <c r="M179" s="185" t="s">
        <v>337</v>
      </c>
      <c r="N179" s="113" t="s">
        <v>1423</v>
      </c>
      <c r="O179" s="113"/>
      <c r="P179" s="205" t="s">
        <v>1424</v>
      </c>
      <c r="Q179" s="107"/>
      <c r="R179" s="192"/>
      <c r="S179" s="203" t="s">
        <v>1425</v>
      </c>
      <c r="T179" s="201">
        <v>1</v>
      </c>
      <c r="U179" s="201">
        <v>1</v>
      </c>
      <c r="V179" s="215">
        <v>500</v>
      </c>
      <c r="W179" s="201" t="s">
        <v>1419</v>
      </c>
      <c r="X179" s="201" t="s">
        <v>1420</v>
      </c>
      <c r="Y179" s="201"/>
      <c r="Z179" s="201"/>
      <c r="AA179" s="109"/>
      <c r="AB179" s="109"/>
      <c r="AC179" s="109"/>
      <c r="AD179" s="201" t="s">
        <v>1426</v>
      </c>
    </row>
    <row r="180" spans="1:30" ht="45">
      <c r="A180" s="71"/>
      <c r="B180" s="73"/>
      <c r="C180" s="70"/>
      <c r="D180" s="41"/>
      <c r="E180" s="95"/>
      <c r="F180" s="102" t="s">
        <v>1427</v>
      </c>
      <c r="G180" s="103" t="s">
        <v>1428</v>
      </c>
      <c r="H180" s="104" t="s">
        <v>322</v>
      </c>
      <c r="I180" s="104" t="s">
        <v>469</v>
      </c>
      <c r="J180" s="182" t="s">
        <v>1429</v>
      </c>
      <c r="K180" s="111" t="s">
        <v>589</v>
      </c>
      <c r="L180" s="184" t="s">
        <v>60</v>
      </c>
      <c r="M180" s="185" t="s">
        <v>378</v>
      </c>
      <c r="N180" s="113" t="s">
        <v>1430</v>
      </c>
      <c r="O180" s="113"/>
      <c r="P180" s="205" t="s">
        <v>1431</v>
      </c>
      <c r="Q180" s="107"/>
      <c r="R180" s="105"/>
      <c r="S180" s="201" t="s">
        <v>1432</v>
      </c>
      <c r="T180" s="201">
        <v>1</v>
      </c>
      <c r="U180" s="201">
        <v>1</v>
      </c>
      <c r="V180" s="215">
        <v>100</v>
      </c>
      <c r="W180" s="201" t="s">
        <v>1433</v>
      </c>
      <c r="X180" s="201" t="s">
        <v>1420</v>
      </c>
      <c r="Y180" s="201"/>
      <c r="Z180" s="109"/>
      <c r="AA180" s="109"/>
      <c r="AB180" s="109"/>
      <c r="AC180" s="109"/>
      <c r="AD180" s="109"/>
    </row>
    <row r="181" spans="1:30" s="1" customFormat="1" ht="105">
      <c r="A181" s="71"/>
      <c r="B181" s="73"/>
      <c r="C181" s="70"/>
      <c r="D181" s="242" t="s">
        <v>1434</v>
      </c>
      <c r="E181" s="244" t="s">
        <v>1435</v>
      </c>
      <c r="F181" s="102" t="s">
        <v>1436</v>
      </c>
      <c r="G181" s="103" t="s">
        <v>1437</v>
      </c>
      <c r="H181" s="104" t="s">
        <v>322</v>
      </c>
      <c r="I181" s="104" t="s">
        <v>348</v>
      </c>
      <c r="J181" s="182" t="s">
        <v>1437</v>
      </c>
      <c r="K181" s="184"/>
      <c r="L181" s="184" t="s">
        <v>60</v>
      </c>
      <c r="M181" s="185" t="s">
        <v>337</v>
      </c>
      <c r="N181" s="113" t="s">
        <v>1438</v>
      </c>
      <c r="O181" s="113"/>
      <c r="P181" s="205" t="s">
        <v>1439</v>
      </c>
      <c r="Q181" s="107"/>
      <c r="R181" s="172" t="s">
        <v>1440</v>
      </c>
      <c r="S181" s="203" t="s">
        <v>1441</v>
      </c>
      <c r="T181" s="203">
        <v>1</v>
      </c>
      <c r="U181" s="203">
        <v>1</v>
      </c>
      <c r="V181" s="216">
        <v>500</v>
      </c>
      <c r="W181" s="201" t="s">
        <v>1419</v>
      </c>
      <c r="X181" s="201" t="s">
        <v>1420</v>
      </c>
      <c r="Y181" s="201"/>
      <c r="Z181" s="119"/>
      <c r="AA181" s="119"/>
      <c r="AB181" s="119"/>
      <c r="AC181" s="119"/>
      <c r="AD181" s="119"/>
    </row>
    <row r="182" spans="1:30" ht="105">
      <c r="A182" s="71"/>
      <c r="B182" s="73"/>
      <c r="C182" s="70"/>
      <c r="D182" s="243"/>
      <c r="E182" s="245"/>
      <c r="F182" s="102" t="s">
        <v>1442</v>
      </c>
      <c r="G182" s="103" t="s">
        <v>1443</v>
      </c>
      <c r="H182" s="104" t="s">
        <v>322</v>
      </c>
      <c r="I182" s="104" t="s">
        <v>348</v>
      </c>
      <c r="J182" s="182" t="s">
        <v>1443</v>
      </c>
      <c r="K182" s="184"/>
      <c r="L182" s="184" t="s">
        <v>60</v>
      </c>
      <c r="M182" s="185" t="s">
        <v>337</v>
      </c>
      <c r="N182" s="113" t="s">
        <v>1444</v>
      </c>
      <c r="O182" s="113"/>
      <c r="P182" s="205" t="s">
        <v>1445</v>
      </c>
      <c r="Q182" s="107"/>
      <c r="R182" s="172" t="s">
        <v>1446</v>
      </c>
      <c r="S182" s="203" t="s">
        <v>1447</v>
      </c>
      <c r="T182" s="201">
        <v>1</v>
      </c>
      <c r="U182" s="201">
        <v>1</v>
      </c>
      <c r="V182" s="215">
        <v>50</v>
      </c>
      <c r="W182" s="201" t="s">
        <v>1419</v>
      </c>
      <c r="X182" s="201" t="s">
        <v>1420</v>
      </c>
      <c r="Y182" s="201"/>
      <c r="Z182" s="109"/>
      <c r="AA182" s="109"/>
      <c r="AB182" s="109"/>
      <c r="AC182" s="109"/>
      <c r="AD182" s="109"/>
    </row>
    <row r="183" spans="1:30" ht="120">
      <c r="A183" s="71"/>
      <c r="B183" s="73"/>
      <c r="C183" s="70"/>
      <c r="D183" s="22" t="s">
        <v>1448</v>
      </c>
      <c r="E183" s="96" t="s">
        <v>1449</v>
      </c>
      <c r="F183" s="102" t="s">
        <v>1450</v>
      </c>
      <c r="G183" s="103" t="s">
        <v>1451</v>
      </c>
      <c r="H183" s="104" t="s">
        <v>322</v>
      </c>
      <c r="I183" s="104" t="s">
        <v>348</v>
      </c>
      <c r="J183" s="182" t="s">
        <v>1452</v>
      </c>
      <c r="K183" s="111" t="s">
        <v>589</v>
      </c>
      <c r="L183" s="184" t="s">
        <v>60</v>
      </c>
      <c r="M183" s="185" t="s">
        <v>337</v>
      </c>
      <c r="N183" s="75" t="s">
        <v>1453</v>
      </c>
      <c r="O183" s="75"/>
      <c r="P183" s="205" t="s">
        <v>1454</v>
      </c>
      <c r="Q183" s="107"/>
      <c r="R183" s="192" t="s">
        <v>1455</v>
      </c>
      <c r="S183" s="203" t="s">
        <v>1456</v>
      </c>
      <c r="T183" s="201">
        <v>1</v>
      </c>
      <c r="U183" s="201">
        <v>1</v>
      </c>
      <c r="V183" s="215">
        <v>1200</v>
      </c>
      <c r="W183" s="201" t="s">
        <v>1419</v>
      </c>
      <c r="X183" s="201" t="s">
        <v>1420</v>
      </c>
      <c r="Y183" s="201"/>
      <c r="Z183" s="201"/>
      <c r="AA183" s="109"/>
      <c r="AB183" s="109"/>
      <c r="AC183" s="109"/>
      <c r="AD183" s="109" t="s">
        <v>1426</v>
      </c>
    </row>
    <row r="184" spans="1:30" ht="62.25" customHeight="1">
      <c r="A184" s="71"/>
      <c r="B184" s="73"/>
      <c r="C184" s="70"/>
      <c r="D184" s="277" t="s">
        <v>1457</v>
      </c>
      <c r="E184" s="278" t="s">
        <v>1458</v>
      </c>
      <c r="F184" s="102" t="s">
        <v>1459</v>
      </c>
      <c r="G184" s="103" t="s">
        <v>1460</v>
      </c>
      <c r="H184" s="104" t="s">
        <v>376</v>
      </c>
      <c r="I184" s="104" t="s">
        <v>348</v>
      </c>
      <c r="J184" s="182" t="str">
        <f>G184</f>
        <v>Gestió de la brigada de manteniment</v>
      </c>
      <c r="K184" s="184"/>
      <c r="L184" s="184" t="s">
        <v>60</v>
      </c>
      <c r="M184" s="185" t="s">
        <v>324</v>
      </c>
      <c r="N184" s="222" t="s">
        <v>1461</v>
      </c>
      <c r="O184" s="75"/>
      <c r="P184" s="205" t="s">
        <v>1462</v>
      </c>
      <c r="Q184" s="107"/>
      <c r="R184" s="192"/>
      <c r="S184" s="236" t="s">
        <v>1463</v>
      </c>
      <c r="T184" s="203">
        <v>1</v>
      </c>
      <c r="U184" s="203">
        <v>2</v>
      </c>
      <c r="V184" s="216">
        <v>240</v>
      </c>
      <c r="W184" s="187" t="s">
        <v>1122</v>
      </c>
      <c r="X184" s="187" t="s">
        <v>1123</v>
      </c>
      <c r="Y184" s="187"/>
      <c r="Z184" s="109"/>
      <c r="AA184" s="109"/>
      <c r="AB184" s="109"/>
      <c r="AC184" s="109"/>
      <c r="AD184" s="109"/>
    </row>
    <row r="185" spans="1:30" ht="45">
      <c r="A185" s="71"/>
      <c r="B185" s="73"/>
      <c r="C185" s="70"/>
      <c r="D185" s="338"/>
      <c r="E185" s="339"/>
      <c r="F185" s="102" t="s">
        <v>1464</v>
      </c>
      <c r="G185" s="103" t="s">
        <v>1465</v>
      </c>
      <c r="H185" s="104" t="s">
        <v>376</v>
      </c>
      <c r="I185" s="104" t="s">
        <v>348</v>
      </c>
      <c r="J185" s="182" t="s">
        <v>1466</v>
      </c>
      <c r="K185" s="111" t="s">
        <v>589</v>
      </c>
      <c r="L185" s="184" t="s">
        <v>60</v>
      </c>
      <c r="M185" s="185" t="s">
        <v>324</v>
      </c>
      <c r="N185" s="75" t="s">
        <v>1467</v>
      </c>
      <c r="O185" s="75"/>
      <c r="P185" s="205" t="s">
        <v>1431</v>
      </c>
      <c r="Q185" s="107"/>
      <c r="R185" s="192"/>
      <c r="S185" s="203" t="s">
        <v>1468</v>
      </c>
      <c r="T185" s="203">
        <v>7</v>
      </c>
      <c r="U185" s="203">
        <v>14</v>
      </c>
      <c r="V185" s="216">
        <v>250</v>
      </c>
      <c r="W185" s="187" t="s">
        <v>1122</v>
      </c>
      <c r="X185" s="187" t="s">
        <v>1123</v>
      </c>
      <c r="Y185" s="187"/>
      <c r="Z185" s="109"/>
      <c r="AA185" s="109"/>
      <c r="AB185" s="109"/>
      <c r="AC185" s="109"/>
      <c r="AD185" s="109"/>
    </row>
    <row r="186" spans="1:30">
      <c r="F186" s="7"/>
    </row>
  </sheetData>
  <autoFilter ref="A4:AD185" xr:uid="{00000000-0009-0000-0000-000003000000}"/>
  <dataConsolidate/>
  <mergeCells count="114">
    <mergeCell ref="T3:U3"/>
    <mergeCell ref="V3:X3"/>
    <mergeCell ref="D184:D185"/>
    <mergeCell ref="E184:E185"/>
    <mergeCell ref="B27:B36"/>
    <mergeCell ref="B20:B26"/>
    <mergeCell ref="D5:D6"/>
    <mergeCell ref="D11:D16"/>
    <mergeCell ref="D17:D19"/>
    <mergeCell ref="D24:D26"/>
    <mergeCell ref="E5:E6"/>
    <mergeCell ref="E11:E16"/>
    <mergeCell ref="E17:E19"/>
    <mergeCell ref="C20:C26"/>
    <mergeCell ref="E24:E26"/>
    <mergeCell ref="D31:D34"/>
    <mergeCell ref="E31:E34"/>
    <mergeCell ref="E35:E36"/>
    <mergeCell ref="E40:E43"/>
    <mergeCell ref="E20:E23"/>
    <mergeCell ref="D20:D23"/>
    <mergeCell ref="C135:C162"/>
    <mergeCell ref="E135:E137"/>
    <mergeCell ref="D135:D137"/>
    <mergeCell ref="A86:A95"/>
    <mergeCell ref="E83:E85"/>
    <mergeCell ref="D59:D65"/>
    <mergeCell ref="D66:D69"/>
    <mergeCell ref="D70:D75"/>
    <mergeCell ref="D76:D81"/>
    <mergeCell ref="B83:B95"/>
    <mergeCell ref="D83:D85"/>
    <mergeCell ref="E87:E92"/>
    <mergeCell ref="D87:D92"/>
    <mergeCell ref="D93:D95"/>
    <mergeCell ref="E93:E95"/>
    <mergeCell ref="E145:E148"/>
    <mergeCell ref="E166:E167"/>
    <mergeCell ref="E163:E164"/>
    <mergeCell ref="E7:E10"/>
    <mergeCell ref="D7:D10"/>
    <mergeCell ref="D156:D158"/>
    <mergeCell ref="E156:E158"/>
    <mergeCell ref="E159:E162"/>
    <mergeCell ref="D159:D162"/>
    <mergeCell ref="D35:D36"/>
    <mergeCell ref="D98:D99"/>
    <mergeCell ref="E98:E99"/>
    <mergeCell ref="E66:E69"/>
    <mergeCell ref="E70:E75"/>
    <mergeCell ref="E76:E81"/>
    <mergeCell ref="E59:E65"/>
    <mergeCell ref="D133:D134"/>
    <mergeCell ref="E133:E134"/>
    <mergeCell ref="D37:D39"/>
    <mergeCell ref="E37:E39"/>
    <mergeCell ref="D138:D141"/>
    <mergeCell ref="C27:C36"/>
    <mergeCell ref="E48:E50"/>
    <mergeCell ref="E44:E47"/>
    <mergeCell ref="E27:E29"/>
    <mergeCell ref="D27:D29"/>
    <mergeCell ref="C83:C95"/>
    <mergeCell ref="D52:D54"/>
    <mergeCell ref="D57:D58"/>
    <mergeCell ref="E57:E58"/>
    <mergeCell ref="B51:B56"/>
    <mergeCell ref="C51:C56"/>
    <mergeCell ref="D55:D56"/>
    <mergeCell ref="E55:E56"/>
    <mergeCell ref="E96:E97"/>
    <mergeCell ref="D96:D97"/>
    <mergeCell ref="D173:D175"/>
    <mergeCell ref="E173:E175"/>
    <mergeCell ref="B168:B171"/>
    <mergeCell ref="B163:B167"/>
    <mergeCell ref="B135:B162"/>
    <mergeCell ref="D166:D167"/>
    <mergeCell ref="D163:D164"/>
    <mergeCell ref="D168:D171"/>
    <mergeCell ref="C168:C171"/>
    <mergeCell ref="E52:E54"/>
    <mergeCell ref="C101:C103"/>
    <mergeCell ref="E168:E171"/>
    <mergeCell ref="D145:D148"/>
    <mergeCell ref="D149:D153"/>
    <mergeCell ref="E149:E153"/>
    <mergeCell ref="E154:E155"/>
    <mergeCell ref="D154:D155"/>
    <mergeCell ref="C163:C167"/>
    <mergeCell ref="D181:D182"/>
    <mergeCell ref="E181:E182"/>
    <mergeCell ref="E115:E119"/>
    <mergeCell ref="D115:D119"/>
    <mergeCell ref="E113:E114"/>
    <mergeCell ref="D113:D114"/>
    <mergeCell ref="D40:D43"/>
    <mergeCell ref="D44:D47"/>
    <mergeCell ref="D48:D50"/>
    <mergeCell ref="E120:E121"/>
    <mergeCell ref="D120:D121"/>
    <mergeCell ref="D122:D123"/>
    <mergeCell ref="D124:D125"/>
    <mergeCell ref="D126:D129"/>
    <mergeCell ref="D130:D132"/>
    <mergeCell ref="E130:E132"/>
    <mergeCell ref="E126:E129"/>
    <mergeCell ref="E124:E125"/>
    <mergeCell ref="E122:E123"/>
    <mergeCell ref="E101:E112"/>
    <mergeCell ref="D101:D112"/>
    <mergeCell ref="E138:E141"/>
    <mergeCell ref="D142:D144"/>
    <mergeCell ref="E142:E144"/>
  </mergeCells>
  <phoneticPr fontId="2" type="noConversion"/>
  <conditionalFormatting sqref="H155:I155 K155">
    <cfRule type="duplicateValues" dxfId="0" priority="1"/>
  </conditionalFormatting>
  <dataValidations count="1">
    <dataValidation type="list" allowBlank="1" showInputMessage="1" showErrorMessage="1" sqref="M168:M184 L184 L173:L179 L168:L171 L181:L182" xr:uid="{00000000-0002-0000-0300-000000000000}"/>
  </dataValidations>
  <pageMargins left="0.7" right="0.7" top="0.75" bottom="0.75" header="0.3" footer="0.3"/>
  <pageSetup paperSize="8" scale="26" fitToHeight="0" orientation="landscape" r:id="rId1"/>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300-000001000000}">
          <x14:formula1>
            <xm:f>Full1!$A$2:$A$3</xm:f>
          </x14:formula1>
          <xm:sqref>H5:H185</xm:sqref>
        </x14:dataValidation>
        <x14:dataValidation type="list" allowBlank="1" showInputMessage="1" showErrorMessage="1" xr:uid="{00000000-0002-0000-0300-000002000000}">
          <x14:formula1>
            <xm:f>Full1!$B$2:$B$3</xm:f>
          </x14:formula1>
          <xm:sqref>I5:I185</xm:sqref>
        </x14:dataValidation>
        <x14:dataValidation type="list" allowBlank="1" showInputMessage="1" showErrorMessage="1" xr:uid="{00000000-0002-0000-0300-000003000000}">
          <x14:formula1>
            <xm:f>Full1!$C$2:$C$6</xm:f>
          </x14:formula1>
          <xm:sqref>M185 M5:M167</xm:sqref>
        </x14:dataValidation>
        <x14:dataValidation type="list" allowBlank="1" showInputMessage="1" showErrorMessage="1" xr:uid="{00000000-0002-0000-0300-000004000000}">
          <x14:formula1>
            <xm:f>Full1!$E$2:$E$3</xm:f>
          </x14:formula1>
          <xm:sqref>L185 L5:L167 L183 L180 L172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97"/>
  <sheetViews>
    <sheetView topLeftCell="A22" workbookViewId="0">
      <selection activeCell="A26" sqref="A26"/>
    </sheetView>
  </sheetViews>
  <sheetFormatPr defaultColWidth="8.5703125" defaultRowHeight="15"/>
  <cols>
    <col min="1" max="1" width="6.42578125" customWidth="1"/>
    <col min="2" max="2" width="57.140625" customWidth="1"/>
    <col min="3" max="3" width="45" customWidth="1"/>
    <col min="4" max="4" width="61" style="74" customWidth="1"/>
    <col min="8" max="8" width="26.42578125" customWidth="1"/>
  </cols>
  <sheetData>
    <row r="1" spans="1:4" ht="15.75">
      <c r="A1" s="126" t="s">
        <v>1469</v>
      </c>
    </row>
    <row r="2" spans="1:4" ht="15.75">
      <c r="A2" s="126"/>
    </row>
    <row r="3" spans="1:4" ht="16.5" thickBot="1">
      <c r="A3" s="126" t="s">
        <v>1470</v>
      </c>
    </row>
    <row r="4" spans="1:4" ht="16.5" thickBot="1">
      <c r="A4" s="129" t="s">
        <v>1471</v>
      </c>
      <c r="B4" s="152" t="s">
        <v>1472</v>
      </c>
      <c r="C4" s="131" t="s">
        <v>1473</v>
      </c>
      <c r="D4" s="130" t="s">
        <v>1474</v>
      </c>
    </row>
    <row r="5" spans="1:4" ht="30">
      <c r="A5" s="111" t="s">
        <v>320</v>
      </c>
      <c r="B5" s="151" t="str">
        <f>PLA!J5</f>
        <v>Implementar i executar plans de gestió específics per a hàbitats i espècies de conservació prioritària dins l'ENP</v>
      </c>
      <c r="C5" s="151" t="s">
        <v>1475</v>
      </c>
      <c r="D5" s="128"/>
    </row>
    <row r="6" spans="1:4" ht="30">
      <c r="A6" s="111" t="s">
        <v>335</v>
      </c>
      <c r="B6" s="151" t="str">
        <f>PLA!J6</f>
        <v>Adaptar i executar plans de gestió específics per a elements geològics de conservació prioritària dins l'ENP</v>
      </c>
      <c r="C6" s="151" t="s">
        <v>1475</v>
      </c>
      <c r="D6" s="127"/>
    </row>
    <row r="7" spans="1:4" ht="45">
      <c r="A7" s="106" t="s">
        <v>346</v>
      </c>
      <c r="B7" s="151" t="str">
        <f>PLA!J7</f>
        <v>Implementar la metodologia de gestió adaptativa (Estàndards Oberts de Gestió Adaptativa a Catalunya) en tots els processos de l'ENP</v>
      </c>
      <c r="C7" s="151" t="s">
        <v>1475</v>
      </c>
      <c r="D7" s="127"/>
    </row>
    <row r="8" spans="1:4" ht="45">
      <c r="A8" s="106" t="s">
        <v>355</v>
      </c>
      <c r="B8" s="151" t="str">
        <f>PLA!J8</f>
        <v>Executar les mesures previstes en els plans de conservació o recuperació d'espècies amenaçades de forma coordinada amb el Servei de Flora i Fauna en l'àmbit de l'ENP</v>
      </c>
      <c r="C8" s="151" t="s">
        <v>1475</v>
      </c>
      <c r="D8" s="127"/>
    </row>
    <row r="9" spans="1:4" ht="45">
      <c r="A9" s="106" t="s">
        <v>363</v>
      </c>
      <c r="B9" s="151" t="str">
        <f>PLA!J9</f>
        <v>Executar les mesures de gestió previstes en els plans de control i erradicació d'espècies exòtiques de forma coordinada amb el Servei de Flora i Fauna en l'àmbit de l'ENP</v>
      </c>
      <c r="C9" s="151" t="s">
        <v>1476</v>
      </c>
      <c r="D9" s="127"/>
    </row>
    <row r="10" spans="1:4" ht="30">
      <c r="A10" s="106" t="s">
        <v>374</v>
      </c>
      <c r="B10" s="151" t="str">
        <f>PLA!J10</f>
        <v xml:space="preserve">Desplegar els objectius i tasques recollits en els instruments de referència i compromisos internacionals  </v>
      </c>
      <c r="C10" s="151" t="s">
        <v>1475</v>
      </c>
      <c r="D10" s="127"/>
    </row>
    <row r="11" spans="1:4" ht="30">
      <c r="A11" s="111" t="s">
        <v>385</v>
      </c>
      <c r="B11" s="151" t="str">
        <f>PLA!J11</f>
        <v>Identificar espais pel foment de la dinàmica natural i l'aprofitament no extractiu</v>
      </c>
      <c r="C11" s="151" t="s">
        <v>1477</v>
      </c>
      <c r="D11" s="127"/>
    </row>
    <row r="12" spans="1:4">
      <c r="A12" s="111" t="s">
        <v>394</v>
      </c>
      <c r="B12" s="151" t="str">
        <f>PLA!J12</f>
        <v>Afavorir la maduresa dels sistemes forestals</v>
      </c>
      <c r="C12" s="151" t="s">
        <v>1477</v>
      </c>
      <c r="D12" s="127"/>
    </row>
    <row r="13" spans="1:4">
      <c r="A13" s="111" t="s">
        <v>400</v>
      </c>
      <c r="B13" s="151" t="str">
        <f>PLA!J13</f>
        <v>NA</v>
      </c>
      <c r="C13" s="151" t="s">
        <v>1477</v>
      </c>
      <c r="D13" s="127"/>
    </row>
    <row r="14" spans="1:4">
      <c r="A14" s="111" t="s">
        <v>404</v>
      </c>
      <c r="B14" s="151" t="str">
        <f>PLA!J14</f>
        <v>NA</v>
      </c>
      <c r="C14" s="151" t="s">
        <v>1477</v>
      </c>
      <c r="D14" s="127"/>
    </row>
    <row r="15" spans="1:4">
      <c r="A15" s="111" t="s">
        <v>412</v>
      </c>
      <c r="B15" s="151" t="str">
        <f>PLA!J15</f>
        <v>Fomentar el paisatge en mosaïc</v>
      </c>
      <c r="C15" s="151" t="s">
        <v>1477</v>
      </c>
      <c r="D15" s="127"/>
    </row>
    <row r="16" spans="1:4" ht="30">
      <c r="A16" s="111" t="s">
        <v>420</v>
      </c>
      <c r="B16" s="151" t="str">
        <f>PLA!J16</f>
        <v>Gestionar i intervenir en la dinàmica de poblacions de fauna que no tenen depredador natural</v>
      </c>
      <c r="C16" s="151" t="s">
        <v>1477</v>
      </c>
      <c r="D16" s="127"/>
    </row>
    <row r="17" spans="1:4" ht="30">
      <c r="A17" s="111" t="s">
        <v>427</v>
      </c>
      <c r="B17" s="151" t="str">
        <f>PLA!J17</f>
        <v>Fomentar acords de custòdia en espais d'alt valor dins l'ENP per a la gestió dels elements prioritaris</v>
      </c>
      <c r="C17" s="151" t="s">
        <v>1475</v>
      </c>
      <c r="D17" s="127"/>
    </row>
    <row r="18" spans="1:4" ht="30">
      <c r="A18" s="111" t="s">
        <v>435</v>
      </c>
      <c r="B18" s="151" t="str">
        <f>PLA!J18</f>
        <v>Fomentar bones pràctiques entre els col·lectius de propietaris i gestors del territori</v>
      </c>
      <c r="C18" s="151" t="s">
        <v>1475</v>
      </c>
      <c r="D18" s="127"/>
    </row>
    <row r="19" spans="1:4" ht="30">
      <c r="A19" s="111" t="s">
        <v>443</v>
      </c>
      <c r="B19" s="151" t="str">
        <f>PLA!J19</f>
        <v>Impulsar la coordinació amb els ens locals en la gestió finques públiques situades dins d’ENP</v>
      </c>
      <c r="C19" s="151" t="s">
        <v>1475</v>
      </c>
      <c r="D19" s="127"/>
    </row>
    <row r="20" spans="1:4" ht="30">
      <c r="A20" s="111" t="s">
        <v>451</v>
      </c>
      <c r="B20" s="151" t="str">
        <f>PLA!J20</f>
        <v>Adaptar i implementar el Pla d'adaptació de l'ENP al canvi climàtic</v>
      </c>
      <c r="C20" s="151" t="s">
        <v>1478</v>
      </c>
      <c r="D20" s="127"/>
    </row>
    <row r="21" spans="1:4">
      <c r="A21" s="111" t="s">
        <v>455</v>
      </c>
      <c r="B21" s="151" t="str">
        <f>PLA!J21</f>
        <v>Gestionar i planificar els recursos hídrics de l'ENP</v>
      </c>
      <c r="C21" s="151" t="s">
        <v>1479</v>
      </c>
      <c r="D21" s="127"/>
    </row>
    <row r="22" spans="1:4" ht="45">
      <c r="A22" s="111" t="s">
        <v>460</v>
      </c>
      <c r="B22" s="151" t="str">
        <f>PLA!J22</f>
        <v>Participar en la redacció i execució dels instruments d'ordenació forestal sostenible i per la conservació en finques públiques</v>
      </c>
      <c r="C22" s="151" t="s">
        <v>1480</v>
      </c>
      <c r="D22" s="127"/>
    </row>
    <row r="23" spans="1:4" ht="45">
      <c r="A23" s="111" t="s">
        <v>467</v>
      </c>
      <c r="B23" s="151" t="str">
        <f>PLA!J23</f>
        <v>Promoure la redacció d'instruments d'ordenació forestal per reduir la sensibilitat i vulnerabilitat dels boscos al canvi climàtic en finques privades</v>
      </c>
      <c r="C23" s="151" t="s">
        <v>1480</v>
      </c>
      <c r="D23" s="127"/>
    </row>
    <row r="24" spans="1:4">
      <c r="A24" s="111" t="s">
        <v>474</v>
      </c>
      <c r="B24" s="151" t="str">
        <f>PLA!J24</f>
        <v xml:space="preserve">Redactar i implementar el Pla de Prevenció d'Incendis </v>
      </c>
      <c r="C24" s="151" t="s">
        <v>1481</v>
      </c>
      <c r="D24" s="127"/>
    </row>
    <row r="25" spans="1:4">
      <c r="A25" s="111" t="s">
        <v>479</v>
      </c>
      <c r="B25" s="151" t="str">
        <f>PLA!J25</f>
        <v>Definir i planificar la gestió del foc per a la millora de l'ENP</v>
      </c>
      <c r="C25" s="151" t="s">
        <v>1481</v>
      </c>
      <c r="D25" s="127"/>
    </row>
    <row r="26" spans="1:4" ht="45">
      <c r="A26" s="111" t="s">
        <v>484</v>
      </c>
      <c r="B26" s="151" t="str">
        <f>PLA!J26</f>
        <v>Treballar per a la prevenció d'incendis juntament amb els propietaris, ajuntaments, protecció civil, ADF i bombers. També amb ramaders i empreses del sector forestal</v>
      </c>
      <c r="C26" s="151" t="s">
        <v>1481</v>
      </c>
      <c r="D26" s="127"/>
    </row>
    <row r="27" spans="1:4" ht="45">
      <c r="A27" s="111" t="s">
        <v>493</v>
      </c>
      <c r="B27" s="151" t="str">
        <f>PLA!J27</f>
        <v>Participar en les consultes dels procesos d'Avaluació Ambiental que afectin directament o indirectament l’espai del ENP</v>
      </c>
      <c r="C27" s="151" t="s">
        <v>1482</v>
      </c>
      <c r="D27" s="127"/>
    </row>
    <row r="28" spans="1:4" ht="60">
      <c r="A28" s="111" t="s">
        <v>498</v>
      </c>
      <c r="B28" s="151" t="str">
        <f>PLA!J28</f>
        <v>Exercir un seguiment efectiu de les obres al Parc juntament amb les Oficines Territorials d'Acció i Avaluació Ambiental als efectes d'assegurar la correcta translació de la tutela administrativa.</v>
      </c>
      <c r="C28" s="151" t="s">
        <v>1475</v>
      </c>
      <c r="D28" s="127"/>
    </row>
    <row r="29" spans="1:4" ht="60">
      <c r="A29" s="111" t="s">
        <v>502</v>
      </c>
      <c r="B29" s="151" t="str">
        <f>PLA!J29</f>
        <v>Participar en la compensació d'impactes residuals durant els processos d'avaluació ambiental mitjançant la identificació de necessitats d'actuació prioritària dins i fora dels límits de l’ENP</v>
      </c>
      <c r="C29" s="151" t="s">
        <v>1482</v>
      </c>
      <c r="D29" s="127"/>
    </row>
    <row r="30" spans="1:4" ht="30">
      <c r="A30" s="111" t="s">
        <v>511</v>
      </c>
      <c r="B30" s="151" t="str">
        <f>PLA!J30</f>
        <v>Participar en l'elaboració dels instruments de planificació de l'ENP</v>
      </c>
      <c r="C30" s="151" t="s">
        <v>1475</v>
      </c>
      <c r="D30" s="127"/>
    </row>
    <row r="31" spans="1:4" ht="30">
      <c r="A31" s="111" t="s">
        <v>517</v>
      </c>
      <c r="B31" s="151" t="str">
        <f>PLA!J31</f>
        <v>Vetllar pel manteniment del cabal ecològic dels rius definit al Pla sectorial corresponent</v>
      </c>
      <c r="C31" s="151" t="s">
        <v>1479</v>
      </c>
      <c r="D31" s="127"/>
    </row>
    <row r="32" spans="1:4" ht="45">
      <c r="A32" s="111" t="s">
        <v>525</v>
      </c>
      <c r="B32" s="151" t="str">
        <f>PLA!J32</f>
        <v>Vetllar per la regulació dels dragatges, canalitzacions o implantació d'activitats extractives que puguin modificar la llera i el cabal dels rius</v>
      </c>
      <c r="C32" s="151" t="s">
        <v>1479</v>
      </c>
      <c r="D32" s="127"/>
    </row>
    <row r="33" spans="1:4" ht="45">
      <c r="A33" s="111" t="s">
        <v>528</v>
      </c>
      <c r="B33" s="151" t="str">
        <f>PLA!J33</f>
        <v>Avaluar i controlar les actuacions que produeixin drenatges, captacions o que puguin impedir l’arribada d’aigua tant superficial com freàtica</v>
      </c>
      <c r="C33" s="151" t="s">
        <v>1479</v>
      </c>
      <c r="D33" s="127"/>
    </row>
    <row r="34" spans="1:4" ht="45">
      <c r="A34" s="111" t="s">
        <v>530</v>
      </c>
      <c r="B34" s="151" t="str">
        <f>PLA!J34</f>
        <v>Vetllar pel compliment de la normativa de depuració dels efluents agroramaders, urbans i industrials que s'aboquen als cursos fluvials</v>
      </c>
      <c r="C34" s="151" t="s">
        <v>1483</v>
      </c>
      <c r="D34" s="127"/>
    </row>
    <row r="35" spans="1:4" ht="30">
      <c r="A35" s="111" t="s">
        <v>537</v>
      </c>
      <c r="B35" s="151" t="str">
        <f>PLA!J35</f>
        <v xml:space="preserve">Identificar espais prioritaris per a la compra de terrenys de més valor dins l'ENP </v>
      </c>
      <c r="C35" s="151" t="s">
        <v>1475</v>
      </c>
      <c r="D35" s="127"/>
    </row>
    <row r="36" spans="1:4">
      <c r="A36" s="111" t="s">
        <v>545</v>
      </c>
      <c r="B36" s="151" t="str">
        <f>PLA!J36</f>
        <v>Identificar espais prioritaris per a la gestió directa</v>
      </c>
      <c r="C36" s="151" t="s">
        <v>1475</v>
      </c>
      <c r="D36" s="127"/>
    </row>
    <row r="37" spans="1:4">
      <c r="B37" s="151"/>
      <c r="C37" s="151"/>
      <c r="D37"/>
    </row>
    <row r="38" spans="1:4">
      <c r="B38" s="151"/>
      <c r="C38" s="151"/>
      <c r="D38"/>
    </row>
    <row r="39" spans="1:4">
      <c r="B39" s="151"/>
      <c r="D39" s="151"/>
    </row>
    <row r="40" spans="1:4">
      <c r="B40" s="151"/>
      <c r="D40" s="151"/>
    </row>
    <row r="41" spans="1:4">
      <c r="B41" s="151"/>
      <c r="D41" s="151"/>
    </row>
    <row r="42" spans="1:4">
      <c r="B42" s="151"/>
      <c r="D42" s="151"/>
    </row>
    <row r="43" spans="1:4">
      <c r="B43" s="151"/>
      <c r="D43" s="151"/>
    </row>
    <row r="44" spans="1:4">
      <c r="B44" s="151"/>
      <c r="D44" s="151"/>
    </row>
    <row r="45" spans="1:4">
      <c r="B45" s="151"/>
      <c r="D45" s="151"/>
    </row>
    <row r="46" spans="1:4">
      <c r="B46" s="151"/>
      <c r="D46" s="151"/>
    </row>
    <row r="47" spans="1:4">
      <c r="B47" s="151"/>
      <c r="D47" s="151"/>
    </row>
    <row r="48" spans="1:4">
      <c r="B48" s="151"/>
      <c r="D48" s="151"/>
    </row>
    <row r="49" spans="2:4">
      <c r="B49" s="151"/>
      <c r="D49" s="151"/>
    </row>
    <row r="50" spans="2:4">
      <c r="B50" s="151"/>
      <c r="D50" s="151"/>
    </row>
    <row r="51" spans="2:4">
      <c r="B51" s="151"/>
      <c r="D51" s="151"/>
    </row>
    <row r="52" spans="2:4">
      <c r="B52" s="151"/>
      <c r="D52" s="151"/>
    </row>
    <row r="53" spans="2:4">
      <c r="B53" s="151"/>
      <c r="D53" s="151"/>
    </row>
    <row r="54" spans="2:4">
      <c r="B54" s="151"/>
      <c r="D54" s="151"/>
    </row>
    <row r="55" spans="2:4">
      <c r="B55" s="151"/>
      <c r="D55" s="151"/>
    </row>
    <row r="56" spans="2:4">
      <c r="B56" s="151"/>
      <c r="D56" s="151"/>
    </row>
    <row r="57" spans="2:4">
      <c r="B57" s="151"/>
      <c r="D57" s="151"/>
    </row>
    <row r="58" spans="2:4">
      <c r="B58" s="151"/>
      <c r="D58" s="151"/>
    </row>
    <row r="59" spans="2:4">
      <c r="B59" s="151"/>
      <c r="D59" s="151"/>
    </row>
    <row r="60" spans="2:4">
      <c r="B60" s="151"/>
      <c r="D60" s="151"/>
    </row>
    <row r="61" spans="2:4">
      <c r="B61" s="151"/>
      <c r="D61" s="151"/>
    </row>
    <row r="62" spans="2:4">
      <c r="B62" s="151"/>
      <c r="D62" s="151"/>
    </row>
    <row r="63" spans="2:4">
      <c r="B63" s="151"/>
      <c r="D63" s="151"/>
    </row>
    <row r="64" spans="2:4">
      <c r="B64" s="151"/>
      <c r="D64" s="151"/>
    </row>
    <row r="65" spans="2:4">
      <c r="B65" s="151"/>
      <c r="D65" s="151"/>
    </row>
    <row r="66" spans="2:4">
      <c r="B66" s="151"/>
      <c r="D66" s="151"/>
    </row>
    <row r="67" spans="2:4">
      <c r="B67" s="151"/>
      <c r="D67" s="151"/>
    </row>
    <row r="68" spans="2:4">
      <c r="B68" s="151"/>
      <c r="D68" s="151"/>
    </row>
    <row r="69" spans="2:4">
      <c r="B69" s="151"/>
      <c r="D69" s="151"/>
    </row>
    <row r="70" spans="2:4">
      <c r="B70" s="151"/>
      <c r="D70" s="151"/>
    </row>
    <row r="71" spans="2:4">
      <c r="B71" s="151"/>
      <c r="D71" s="151"/>
    </row>
    <row r="72" spans="2:4">
      <c r="B72" s="151"/>
      <c r="D72" s="151"/>
    </row>
    <row r="73" spans="2:4">
      <c r="B73" s="151"/>
      <c r="D73" s="151"/>
    </row>
    <row r="74" spans="2:4">
      <c r="B74" s="151"/>
      <c r="D74" s="151"/>
    </row>
    <row r="75" spans="2:4">
      <c r="B75" s="151"/>
      <c r="D75" s="151"/>
    </row>
    <row r="76" spans="2:4">
      <c r="B76" s="151"/>
      <c r="D76" s="151"/>
    </row>
    <row r="77" spans="2:4">
      <c r="B77" s="151"/>
      <c r="D77" s="151"/>
    </row>
    <row r="78" spans="2:4">
      <c r="B78" s="151"/>
      <c r="D78" s="151"/>
    </row>
    <row r="79" spans="2:4">
      <c r="B79" s="151"/>
      <c r="D79" s="151"/>
    </row>
    <row r="80" spans="2:4">
      <c r="B80" s="151"/>
      <c r="D80" s="151"/>
    </row>
    <row r="81" spans="2:4">
      <c r="B81" s="151"/>
      <c r="D81" s="151"/>
    </row>
    <row r="82" spans="2:4">
      <c r="B82" s="151"/>
      <c r="D82" s="151"/>
    </row>
    <row r="83" spans="2:4">
      <c r="B83" s="151"/>
      <c r="D83" s="151"/>
    </row>
    <row r="84" spans="2:4">
      <c r="B84" s="151"/>
      <c r="D84" s="151"/>
    </row>
    <row r="85" spans="2:4">
      <c r="B85" s="151"/>
      <c r="D85" s="151"/>
    </row>
    <row r="86" spans="2:4">
      <c r="B86" s="151"/>
      <c r="D86" s="151"/>
    </row>
    <row r="87" spans="2:4">
      <c r="B87" s="151"/>
      <c r="D87" s="151"/>
    </row>
    <row r="88" spans="2:4">
      <c r="B88" s="151"/>
      <c r="D88" s="151"/>
    </row>
    <row r="89" spans="2:4">
      <c r="B89" s="151"/>
      <c r="D89" s="151"/>
    </row>
    <row r="90" spans="2:4">
      <c r="B90" s="151"/>
      <c r="D90" s="151"/>
    </row>
    <row r="91" spans="2:4">
      <c r="B91" s="151"/>
      <c r="D91" s="151"/>
    </row>
    <row r="92" spans="2:4">
      <c r="B92" s="151"/>
      <c r="D92" s="151"/>
    </row>
    <row r="93" spans="2:4">
      <c r="B93" s="151"/>
      <c r="D93" s="151"/>
    </row>
    <row r="94" spans="2:4">
      <c r="B94" s="151"/>
      <c r="D94" s="151"/>
    </row>
    <row r="95" spans="2:4">
      <c r="B95" s="151"/>
      <c r="D95" s="151"/>
    </row>
    <row r="96" spans="2:4">
      <c r="B96" s="151"/>
      <c r="D96" s="151"/>
    </row>
    <row r="97" spans="2:4">
      <c r="B97" s="151"/>
      <c r="D97" s="151"/>
    </row>
    <row r="98" spans="2:4">
      <c r="B98" s="151"/>
      <c r="D98" s="151"/>
    </row>
    <row r="99" spans="2:4">
      <c r="B99" s="151"/>
      <c r="D99" s="151"/>
    </row>
    <row r="100" spans="2:4">
      <c r="B100" s="151"/>
      <c r="D100" s="151"/>
    </row>
    <row r="101" spans="2:4">
      <c r="B101" s="151"/>
      <c r="D101" s="151"/>
    </row>
    <row r="102" spans="2:4">
      <c r="B102" s="151"/>
      <c r="D102" s="151"/>
    </row>
    <row r="103" spans="2:4">
      <c r="B103" s="151"/>
      <c r="D103" s="151"/>
    </row>
    <row r="104" spans="2:4">
      <c r="B104" s="151"/>
      <c r="D104" s="151"/>
    </row>
    <row r="105" spans="2:4">
      <c r="B105" s="151"/>
      <c r="D105" s="151"/>
    </row>
    <row r="106" spans="2:4">
      <c r="B106" s="151"/>
      <c r="D106" s="151"/>
    </row>
    <row r="107" spans="2:4">
      <c r="B107" s="151"/>
    </row>
    <row r="108" spans="2:4">
      <c r="B108" s="151"/>
    </row>
    <row r="109" spans="2:4">
      <c r="B109" s="151"/>
    </row>
    <row r="110" spans="2:4">
      <c r="B110" s="151"/>
    </row>
    <row r="111" spans="2:4">
      <c r="B111" s="151"/>
    </row>
    <row r="112" spans="2:4">
      <c r="B112" s="151"/>
    </row>
    <row r="113" spans="2:2">
      <c r="B113" s="151"/>
    </row>
    <row r="114" spans="2:2">
      <c r="B114" s="151"/>
    </row>
    <row r="115" spans="2:2">
      <c r="B115" s="151"/>
    </row>
    <row r="116" spans="2:2">
      <c r="B116" s="151"/>
    </row>
    <row r="117" spans="2:2">
      <c r="B117" s="151"/>
    </row>
    <row r="118" spans="2:2">
      <c r="B118" s="151"/>
    </row>
    <row r="119" spans="2:2">
      <c r="B119" s="151"/>
    </row>
    <row r="120" spans="2:2">
      <c r="B120" s="151"/>
    </row>
    <row r="121" spans="2:2">
      <c r="B121" s="151"/>
    </row>
    <row r="122" spans="2:2">
      <c r="B122" s="151"/>
    </row>
    <row r="123" spans="2:2">
      <c r="B123" s="151"/>
    </row>
    <row r="124" spans="2:2">
      <c r="B124" s="151"/>
    </row>
    <row r="125" spans="2:2">
      <c r="B125" s="151"/>
    </row>
    <row r="126" spans="2:2">
      <c r="B126" s="151"/>
    </row>
    <row r="127" spans="2:2">
      <c r="B127" s="151"/>
    </row>
    <row r="128" spans="2:2">
      <c r="B128" s="151"/>
    </row>
    <row r="129" spans="2:2">
      <c r="B129" s="151"/>
    </row>
    <row r="130" spans="2:2">
      <c r="B130" s="151"/>
    </row>
    <row r="131" spans="2:2">
      <c r="B131" s="151"/>
    </row>
    <row r="132" spans="2:2">
      <c r="B132" s="151"/>
    </row>
    <row r="133" spans="2:2">
      <c r="B133" s="151"/>
    </row>
    <row r="134" spans="2:2">
      <c r="B134" s="151"/>
    </row>
    <row r="135" spans="2:2">
      <c r="B135" s="151"/>
    </row>
    <row r="136" spans="2:2">
      <c r="B136" s="151"/>
    </row>
    <row r="137" spans="2:2">
      <c r="B137" s="151"/>
    </row>
    <row r="138" spans="2:2">
      <c r="B138" s="151"/>
    </row>
    <row r="139" spans="2:2">
      <c r="B139" s="151"/>
    </row>
    <row r="140" spans="2:2">
      <c r="B140" s="151"/>
    </row>
    <row r="141" spans="2:2">
      <c r="B141" s="151"/>
    </row>
    <row r="142" spans="2:2">
      <c r="B142" s="151"/>
    </row>
    <row r="143" spans="2:2">
      <c r="B143" s="151"/>
    </row>
    <row r="144" spans="2:2">
      <c r="B144" s="151"/>
    </row>
    <row r="145" spans="2:2">
      <c r="B145" s="151"/>
    </row>
    <row r="146" spans="2:2">
      <c r="B146" s="151"/>
    </row>
    <row r="147" spans="2:2">
      <c r="B147" s="151"/>
    </row>
    <row r="148" spans="2:2">
      <c r="B148" s="151"/>
    </row>
    <row r="149" spans="2:2">
      <c r="B149" s="151"/>
    </row>
    <row r="150" spans="2:2">
      <c r="B150" s="151"/>
    </row>
    <row r="151" spans="2:2">
      <c r="B151" s="151"/>
    </row>
    <row r="152" spans="2:2">
      <c r="B152" s="151"/>
    </row>
    <row r="153" spans="2:2">
      <c r="B153" s="151"/>
    </row>
    <row r="154" spans="2:2">
      <c r="B154" s="151"/>
    </row>
    <row r="155" spans="2:2">
      <c r="B155" s="151"/>
    </row>
    <row r="156" spans="2:2">
      <c r="B156" s="151"/>
    </row>
    <row r="157" spans="2:2">
      <c r="B157" s="151"/>
    </row>
    <row r="158" spans="2:2">
      <c r="B158" s="151"/>
    </row>
    <row r="159" spans="2:2">
      <c r="B159" s="151"/>
    </row>
    <row r="160" spans="2:2">
      <c r="B160" s="151"/>
    </row>
    <row r="161" spans="2:2">
      <c r="B161" s="151"/>
    </row>
    <row r="162" spans="2:2">
      <c r="B162" s="151"/>
    </row>
    <row r="163" spans="2:2">
      <c r="B163" s="151"/>
    </row>
    <row r="164" spans="2:2">
      <c r="B164" s="151"/>
    </row>
    <row r="165" spans="2:2">
      <c r="B165" s="151"/>
    </row>
    <row r="166" spans="2:2">
      <c r="B166" s="151"/>
    </row>
    <row r="167" spans="2:2">
      <c r="B167" s="151"/>
    </row>
    <row r="168" spans="2:2">
      <c r="B168" s="151"/>
    </row>
    <row r="169" spans="2:2">
      <c r="B169" s="151"/>
    </row>
    <row r="170" spans="2:2">
      <c r="B170" s="151"/>
    </row>
    <row r="171" spans="2:2">
      <c r="B171" s="151"/>
    </row>
    <row r="172" spans="2:2">
      <c r="B172" s="151"/>
    </row>
    <row r="173" spans="2:2">
      <c r="B173" s="151"/>
    </row>
    <row r="174" spans="2:2">
      <c r="B174" s="151"/>
    </row>
    <row r="175" spans="2:2">
      <c r="B175" s="151"/>
    </row>
    <row r="176" spans="2:2">
      <c r="B176" s="151"/>
    </row>
    <row r="177" spans="2:2">
      <c r="B177" s="151"/>
    </row>
    <row r="178" spans="2:2">
      <c r="B178" s="151"/>
    </row>
    <row r="179" spans="2:2">
      <c r="B179" s="151"/>
    </row>
    <row r="180" spans="2:2">
      <c r="B180" s="151"/>
    </row>
    <row r="181" spans="2:2">
      <c r="B181" s="151"/>
    </row>
    <row r="182" spans="2:2">
      <c r="B182" s="151"/>
    </row>
    <row r="183" spans="2:2">
      <c r="B183" s="151"/>
    </row>
    <row r="184" spans="2:2">
      <c r="B184" s="151"/>
    </row>
    <row r="185" spans="2:2">
      <c r="B185" s="151"/>
    </row>
    <row r="186" spans="2:2">
      <c r="B186" s="151"/>
    </row>
    <row r="187" spans="2:2">
      <c r="B187" s="151"/>
    </row>
    <row r="188" spans="2:2">
      <c r="B188" s="151"/>
    </row>
    <row r="189" spans="2:2">
      <c r="B189" s="151"/>
    </row>
    <row r="190" spans="2:2">
      <c r="B190" s="151"/>
    </row>
    <row r="191" spans="2:2">
      <c r="B191" s="151"/>
    </row>
    <row r="192" spans="2:2">
      <c r="B192" s="151"/>
    </row>
    <row r="193" spans="2:2">
      <c r="B193" s="151"/>
    </row>
    <row r="194" spans="2:2">
      <c r="B194" s="151"/>
    </row>
    <row r="195" spans="2:2">
      <c r="B195" s="151"/>
    </row>
    <row r="196" spans="2:2">
      <c r="B196" s="151"/>
    </row>
    <row r="197" spans="2:2">
      <c r="B197" s="151"/>
    </row>
  </sheetData>
  <pageMargins left="0.7" right="0.7" top="0.75" bottom="0.75" header="0.3" footer="0.3"/>
  <pageSetup paperSize="9" orientation="portrait" horizontalDpi="200" verticalDpi="2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Llistes!$B$2:$B$12</xm:f>
          </x14:formula1>
          <xm:sqref>D39:D105</xm:sqref>
        </x14:dataValidation>
        <x14:dataValidation type="list" showInputMessage="1" showErrorMessage="1" xr:uid="{00000000-0002-0000-0400-000001000000}">
          <x14:formula1>
            <xm:f>Llistes!$B$2:$B$13</xm:f>
          </x14:formula1>
          <xm:sqref>C5:C77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Y842"/>
  <sheetViews>
    <sheetView workbookViewId="0">
      <pane ySplit="8" topLeftCell="A21" activePane="bottomLeft" state="frozen"/>
      <selection pane="bottomLeft" activeCell="D22" sqref="D22"/>
    </sheetView>
  </sheetViews>
  <sheetFormatPr defaultColWidth="12.5703125" defaultRowHeight="15.75" customHeight="1"/>
  <cols>
    <col min="1" max="1" width="11.5703125" style="136" customWidth="1"/>
    <col min="2" max="2" width="24.85546875" style="136" customWidth="1"/>
    <col min="3" max="3" width="9.85546875" style="136" customWidth="1"/>
    <col min="4" max="4" width="33.42578125" style="136" customWidth="1"/>
    <col min="5" max="5" width="60.42578125" style="136" customWidth="1"/>
    <col min="6" max="16384" width="12.5703125" style="136"/>
  </cols>
  <sheetData>
    <row r="1" spans="1:25" ht="22.5">
      <c r="A1" s="132" t="s">
        <v>1484</v>
      </c>
      <c r="B1" s="133"/>
      <c r="C1" s="134"/>
      <c r="D1" s="135"/>
      <c r="E1" s="134"/>
      <c r="F1" s="134"/>
      <c r="G1" s="134"/>
      <c r="H1" s="134"/>
      <c r="I1" s="134"/>
      <c r="J1" s="134"/>
      <c r="K1" s="134"/>
      <c r="L1" s="134"/>
      <c r="M1" s="134"/>
      <c r="N1" s="134"/>
      <c r="O1" s="134"/>
      <c r="P1" s="134"/>
      <c r="Q1" s="134"/>
      <c r="R1" s="134"/>
      <c r="S1" s="134"/>
      <c r="T1" s="134"/>
      <c r="U1" s="134"/>
      <c r="V1" s="134"/>
      <c r="W1" s="134"/>
      <c r="X1" s="134"/>
      <c r="Y1" s="134"/>
    </row>
    <row r="2" spans="1:25" ht="12.75">
      <c r="A2" s="134" t="s">
        <v>1485</v>
      </c>
      <c r="B2" s="133"/>
      <c r="C2" s="134"/>
      <c r="D2" s="135"/>
      <c r="E2" s="134"/>
      <c r="F2" s="134"/>
      <c r="G2" s="134"/>
      <c r="H2" s="134"/>
      <c r="I2" s="134"/>
      <c r="J2" s="134"/>
      <c r="K2" s="134"/>
      <c r="L2" s="134"/>
      <c r="M2" s="134"/>
      <c r="N2" s="134"/>
      <c r="O2" s="134"/>
      <c r="P2" s="134"/>
      <c r="Q2" s="134"/>
      <c r="R2" s="134"/>
      <c r="S2" s="134"/>
      <c r="T2" s="134"/>
      <c r="U2" s="134"/>
      <c r="V2" s="134"/>
      <c r="W2" s="134"/>
      <c r="X2" s="134"/>
      <c r="Y2" s="134"/>
    </row>
    <row r="3" spans="1:25" ht="12.75">
      <c r="A3" s="137" t="s">
        <v>1486</v>
      </c>
      <c r="B3" s="133"/>
      <c r="C3" s="134"/>
      <c r="D3" s="135"/>
      <c r="E3" s="134"/>
      <c r="F3" s="134"/>
      <c r="G3" s="134"/>
      <c r="H3" s="134"/>
      <c r="I3" s="134"/>
      <c r="J3" s="134"/>
      <c r="K3" s="134"/>
      <c r="L3" s="134"/>
      <c r="M3" s="134"/>
      <c r="N3" s="134"/>
      <c r="O3" s="134"/>
      <c r="P3" s="134"/>
      <c r="Q3" s="134"/>
      <c r="R3" s="134"/>
      <c r="S3" s="134"/>
      <c r="T3" s="134"/>
      <c r="U3" s="134"/>
      <c r="V3" s="134"/>
      <c r="W3" s="134"/>
      <c r="X3" s="134"/>
      <c r="Y3" s="134"/>
    </row>
    <row r="4" spans="1:25" ht="12.75">
      <c r="A4" s="133" t="s">
        <v>1487</v>
      </c>
      <c r="B4" s="133"/>
      <c r="C4" s="134"/>
      <c r="D4" s="135"/>
      <c r="E4" s="134"/>
      <c r="F4" s="134"/>
      <c r="G4" s="134"/>
      <c r="H4" s="134"/>
      <c r="I4" s="134"/>
      <c r="J4" s="134"/>
      <c r="K4" s="134"/>
      <c r="L4" s="134"/>
      <c r="M4" s="134"/>
      <c r="N4" s="134"/>
      <c r="O4" s="134"/>
      <c r="P4" s="134"/>
      <c r="Q4" s="134"/>
      <c r="R4" s="134"/>
      <c r="S4" s="134"/>
      <c r="T4" s="134"/>
      <c r="U4" s="134"/>
      <c r="V4" s="134"/>
      <c r="W4" s="134"/>
      <c r="X4" s="134"/>
      <c r="Y4" s="134"/>
    </row>
    <row r="5" spans="1:25" ht="17.25" customHeight="1">
      <c r="A5" s="138" t="s">
        <v>1488</v>
      </c>
      <c r="B5" s="133"/>
      <c r="C5" s="134"/>
      <c r="D5" s="135"/>
      <c r="E5" s="134"/>
      <c r="F5" s="134"/>
      <c r="G5" s="134"/>
      <c r="H5" s="134"/>
      <c r="I5" s="134"/>
      <c r="J5" s="134"/>
      <c r="K5" s="134"/>
      <c r="L5" s="134"/>
      <c r="M5" s="134"/>
      <c r="N5" s="134"/>
      <c r="O5" s="134"/>
      <c r="P5" s="134"/>
      <c r="Q5" s="134"/>
      <c r="R5" s="134"/>
      <c r="S5" s="134"/>
      <c r="T5" s="134"/>
      <c r="U5" s="134"/>
      <c r="V5" s="134"/>
      <c r="W5" s="134"/>
      <c r="X5" s="134"/>
      <c r="Y5" s="134"/>
    </row>
    <row r="6" spans="1:25" ht="17.25" customHeight="1">
      <c r="A6" s="134"/>
      <c r="B6" s="133"/>
      <c r="C6" s="134"/>
      <c r="D6" s="135"/>
      <c r="E6" s="134"/>
      <c r="F6" s="134"/>
      <c r="G6" s="134"/>
      <c r="H6" s="134"/>
      <c r="I6" s="134"/>
      <c r="J6" s="134"/>
      <c r="K6" s="134"/>
      <c r="L6" s="134"/>
      <c r="M6" s="134"/>
      <c r="N6" s="134"/>
      <c r="O6" s="134"/>
      <c r="P6" s="134"/>
      <c r="Q6" s="134"/>
      <c r="R6" s="134"/>
      <c r="S6" s="134"/>
      <c r="T6" s="134"/>
      <c r="U6" s="134"/>
      <c r="V6" s="134"/>
      <c r="W6" s="134"/>
      <c r="X6" s="134"/>
      <c r="Y6" s="134"/>
    </row>
    <row r="7" spans="1:25" ht="17.25" customHeight="1">
      <c r="A7" s="134"/>
      <c r="B7" s="133"/>
      <c r="C7" s="134"/>
      <c r="D7" s="135"/>
      <c r="E7" s="134"/>
      <c r="F7" s="134"/>
      <c r="G7" s="134"/>
      <c r="H7" s="134"/>
      <c r="I7" s="134"/>
      <c r="J7" s="134"/>
      <c r="K7" s="134"/>
      <c r="L7" s="134"/>
      <c r="M7" s="134"/>
      <c r="N7" s="134"/>
      <c r="O7" s="134"/>
      <c r="P7" s="134"/>
      <c r="Q7" s="134"/>
      <c r="R7" s="134"/>
      <c r="S7" s="134"/>
      <c r="T7" s="134"/>
      <c r="U7" s="134"/>
      <c r="V7" s="134"/>
      <c r="W7" s="134"/>
      <c r="X7" s="134"/>
      <c r="Y7" s="134"/>
    </row>
    <row r="8" spans="1:25" ht="30">
      <c r="A8" s="139" t="s">
        <v>1489</v>
      </c>
      <c r="B8" s="140" t="s">
        <v>1490</v>
      </c>
      <c r="C8" s="139" t="s">
        <v>1489</v>
      </c>
      <c r="D8" s="141" t="s">
        <v>1491</v>
      </c>
      <c r="E8" s="141" t="s">
        <v>1492</v>
      </c>
      <c r="F8" s="134"/>
      <c r="G8" s="134"/>
      <c r="H8" s="134"/>
      <c r="I8" s="134"/>
      <c r="J8" s="134"/>
      <c r="K8" s="134"/>
      <c r="L8" s="134"/>
      <c r="M8" s="134"/>
      <c r="N8" s="134"/>
      <c r="O8" s="134"/>
      <c r="P8" s="134"/>
      <c r="Q8" s="134"/>
      <c r="R8" s="134"/>
      <c r="S8" s="134"/>
      <c r="T8" s="134"/>
      <c r="U8" s="134"/>
      <c r="V8" s="134"/>
      <c r="W8" s="134"/>
      <c r="X8" s="134"/>
      <c r="Y8" s="134"/>
    </row>
    <row r="9" spans="1:25" ht="89.25">
      <c r="A9" s="347">
        <v>1</v>
      </c>
      <c r="B9" s="348" t="s">
        <v>1493</v>
      </c>
      <c r="C9" s="142">
        <v>1.1000000000000001</v>
      </c>
      <c r="D9" s="143" t="s">
        <v>1494</v>
      </c>
      <c r="E9" s="143" t="s">
        <v>1495</v>
      </c>
      <c r="F9" s="134"/>
      <c r="G9" s="134"/>
      <c r="H9" s="134"/>
      <c r="I9" s="134"/>
      <c r="J9" s="134"/>
      <c r="K9" s="134"/>
      <c r="L9" s="134"/>
      <c r="M9" s="134"/>
      <c r="N9" s="134"/>
      <c r="O9" s="134"/>
      <c r="P9" s="134"/>
      <c r="Q9" s="134"/>
      <c r="R9" s="134"/>
      <c r="S9" s="134"/>
      <c r="T9" s="134"/>
      <c r="U9" s="134"/>
      <c r="V9" s="134"/>
      <c r="W9" s="134"/>
      <c r="X9" s="134"/>
      <c r="Y9" s="134"/>
    </row>
    <row r="10" spans="1:25" ht="12.75">
      <c r="A10" s="349"/>
      <c r="B10" s="349"/>
      <c r="C10" s="142">
        <v>1.2</v>
      </c>
      <c r="D10" s="143" t="s">
        <v>1496</v>
      </c>
      <c r="E10" s="144"/>
      <c r="F10" s="134"/>
      <c r="G10" s="134"/>
      <c r="H10" s="134"/>
      <c r="I10" s="134"/>
      <c r="J10" s="134"/>
      <c r="K10" s="134"/>
      <c r="L10" s="134"/>
      <c r="M10" s="134"/>
      <c r="N10" s="134"/>
      <c r="O10" s="134"/>
      <c r="P10" s="134"/>
      <c r="Q10" s="134"/>
      <c r="R10" s="134"/>
      <c r="S10" s="134"/>
      <c r="T10" s="134"/>
      <c r="U10" s="134"/>
      <c r="V10" s="134"/>
      <c r="W10" s="134"/>
      <c r="X10" s="134"/>
      <c r="Y10" s="134"/>
    </row>
    <row r="11" spans="1:25" ht="12.75">
      <c r="A11" s="349"/>
      <c r="B11" s="349"/>
      <c r="C11" s="142">
        <v>1.3</v>
      </c>
      <c r="D11" s="143" t="s">
        <v>1497</v>
      </c>
      <c r="E11" s="143" t="s">
        <v>1498</v>
      </c>
      <c r="F11" s="134"/>
      <c r="G11" s="134"/>
      <c r="H11" s="134"/>
      <c r="I11" s="134"/>
      <c r="J11" s="134"/>
      <c r="K11" s="134"/>
      <c r="L11" s="134"/>
      <c r="M11" s="134"/>
      <c r="N11" s="134"/>
      <c r="O11" s="134"/>
      <c r="P11" s="134"/>
      <c r="Q11" s="134"/>
      <c r="R11" s="134"/>
      <c r="S11" s="134"/>
      <c r="T11" s="134"/>
      <c r="U11" s="134"/>
      <c r="V11" s="134"/>
      <c r="W11" s="134"/>
      <c r="X11" s="134"/>
      <c r="Y11" s="134"/>
    </row>
    <row r="12" spans="1:25" ht="38.25">
      <c r="A12" s="347">
        <v>2</v>
      </c>
      <c r="B12" s="348" t="s">
        <v>1480</v>
      </c>
      <c r="C12" s="142">
        <v>2.1</v>
      </c>
      <c r="D12" s="143" t="s">
        <v>1499</v>
      </c>
      <c r="E12" s="143" t="s">
        <v>1500</v>
      </c>
      <c r="F12" s="134"/>
      <c r="G12" s="134"/>
      <c r="H12" s="134"/>
      <c r="I12" s="134"/>
      <c r="J12" s="134"/>
      <c r="K12" s="134"/>
      <c r="L12" s="134"/>
      <c r="M12" s="134"/>
      <c r="N12" s="134"/>
      <c r="O12" s="134"/>
      <c r="P12" s="134"/>
      <c r="Q12" s="134"/>
      <c r="R12" s="134"/>
      <c r="S12" s="134"/>
      <c r="T12" s="134"/>
      <c r="U12" s="134"/>
      <c r="V12" s="134"/>
      <c r="W12" s="134"/>
      <c r="X12" s="134"/>
      <c r="Y12" s="134"/>
    </row>
    <row r="13" spans="1:25" ht="12.75">
      <c r="A13" s="349"/>
      <c r="B13" s="349"/>
      <c r="C13" s="142">
        <v>2.2000000000000002</v>
      </c>
      <c r="D13" s="143" t="s">
        <v>1501</v>
      </c>
      <c r="E13" s="144"/>
      <c r="F13" s="134"/>
      <c r="G13" s="134"/>
      <c r="H13" s="134"/>
      <c r="I13" s="134"/>
      <c r="J13" s="134"/>
      <c r="K13" s="134"/>
      <c r="L13" s="134"/>
      <c r="M13" s="134"/>
      <c r="N13" s="134"/>
      <c r="O13" s="134"/>
      <c r="P13" s="134"/>
      <c r="Q13" s="134"/>
      <c r="R13" s="134"/>
      <c r="S13" s="134"/>
      <c r="T13" s="134"/>
      <c r="U13" s="134"/>
      <c r="V13" s="134"/>
      <c r="W13" s="134"/>
      <c r="X13" s="134"/>
      <c r="Y13" s="134"/>
    </row>
    <row r="14" spans="1:25" ht="25.5">
      <c r="A14" s="349"/>
      <c r="B14" s="349"/>
      <c r="C14" s="142">
        <v>2.2999999999999998</v>
      </c>
      <c r="D14" s="143" t="s">
        <v>75</v>
      </c>
      <c r="E14" s="143" t="s">
        <v>1502</v>
      </c>
      <c r="F14" s="134"/>
      <c r="G14" s="134"/>
      <c r="H14" s="134"/>
      <c r="I14" s="134"/>
      <c r="J14" s="134"/>
      <c r="K14" s="134"/>
      <c r="L14" s="134"/>
      <c r="M14" s="134"/>
      <c r="N14" s="134"/>
      <c r="O14" s="134"/>
      <c r="P14" s="134"/>
      <c r="Q14" s="134"/>
      <c r="R14" s="134"/>
      <c r="S14" s="134"/>
      <c r="T14" s="134"/>
      <c r="U14" s="134"/>
      <c r="V14" s="134"/>
      <c r="W14" s="134"/>
      <c r="X14" s="134"/>
      <c r="Y14" s="134"/>
    </row>
    <row r="15" spans="1:25" ht="12.75">
      <c r="A15" s="349"/>
      <c r="B15" s="349"/>
      <c r="C15" s="142">
        <v>2.4</v>
      </c>
      <c r="D15" s="143" t="s">
        <v>1503</v>
      </c>
      <c r="E15" s="143" t="s">
        <v>1504</v>
      </c>
      <c r="F15" s="134"/>
      <c r="G15" s="134"/>
      <c r="H15" s="134"/>
      <c r="I15" s="134"/>
      <c r="J15" s="134"/>
      <c r="K15" s="134"/>
      <c r="L15" s="134"/>
      <c r="M15" s="134"/>
      <c r="N15" s="134"/>
      <c r="O15" s="134"/>
      <c r="P15" s="134"/>
      <c r="Q15" s="134"/>
      <c r="R15" s="134"/>
      <c r="S15" s="134"/>
      <c r="T15" s="134"/>
      <c r="U15" s="134"/>
      <c r="V15" s="134"/>
      <c r="W15" s="134"/>
      <c r="X15" s="134"/>
      <c r="Y15" s="134"/>
    </row>
    <row r="16" spans="1:25" ht="51">
      <c r="A16" s="347">
        <v>3</v>
      </c>
      <c r="B16" s="348" t="s">
        <v>1505</v>
      </c>
      <c r="C16" s="142">
        <v>3.1</v>
      </c>
      <c r="D16" s="143" t="s">
        <v>1506</v>
      </c>
      <c r="E16" s="143" t="s">
        <v>1507</v>
      </c>
      <c r="F16" s="134"/>
      <c r="G16" s="134"/>
      <c r="H16" s="134"/>
      <c r="I16" s="134"/>
      <c r="J16" s="134"/>
      <c r="K16" s="134"/>
      <c r="L16" s="134"/>
      <c r="M16" s="134"/>
      <c r="N16" s="134"/>
      <c r="O16" s="134"/>
      <c r="P16" s="134"/>
      <c r="Q16" s="134"/>
      <c r="R16" s="134"/>
      <c r="S16" s="134"/>
      <c r="T16" s="134"/>
      <c r="U16" s="134"/>
      <c r="V16" s="134"/>
      <c r="W16" s="134"/>
      <c r="X16" s="134"/>
      <c r="Y16" s="134"/>
    </row>
    <row r="17" spans="1:25" ht="51">
      <c r="A17" s="349"/>
      <c r="B17" s="349"/>
      <c r="C17" s="142">
        <v>3.2</v>
      </c>
      <c r="D17" s="143" t="s">
        <v>1508</v>
      </c>
      <c r="E17" s="143" t="s">
        <v>1509</v>
      </c>
      <c r="F17" s="134"/>
      <c r="G17" s="134"/>
      <c r="H17" s="134"/>
      <c r="I17" s="134"/>
      <c r="J17" s="134"/>
      <c r="K17" s="134"/>
      <c r="L17" s="134"/>
      <c r="M17" s="134"/>
      <c r="N17" s="134"/>
      <c r="O17" s="134"/>
      <c r="P17" s="134"/>
      <c r="Q17" s="134"/>
      <c r="R17" s="134"/>
      <c r="S17" s="134"/>
      <c r="T17" s="134"/>
      <c r="U17" s="134"/>
      <c r="V17" s="134"/>
      <c r="W17" s="134"/>
      <c r="X17" s="134"/>
      <c r="Y17" s="134"/>
    </row>
    <row r="18" spans="1:25" ht="12.75">
      <c r="A18" s="347">
        <v>4</v>
      </c>
      <c r="B18" s="348" t="s">
        <v>1482</v>
      </c>
      <c r="C18" s="142">
        <v>4.0999999999999996</v>
      </c>
      <c r="D18" s="143" t="s">
        <v>154</v>
      </c>
      <c r="E18" s="143" t="s">
        <v>1510</v>
      </c>
      <c r="F18" s="134"/>
      <c r="G18" s="134"/>
      <c r="H18" s="134"/>
      <c r="I18" s="134"/>
      <c r="J18" s="134"/>
      <c r="K18" s="134"/>
      <c r="L18" s="134"/>
      <c r="M18" s="134"/>
      <c r="N18" s="134"/>
      <c r="O18" s="134"/>
      <c r="P18" s="134"/>
      <c r="Q18" s="134"/>
      <c r="R18" s="134"/>
      <c r="S18" s="134"/>
      <c r="T18" s="134"/>
      <c r="U18" s="134"/>
      <c r="V18" s="134"/>
      <c r="W18" s="134"/>
      <c r="X18" s="134"/>
      <c r="Y18" s="134"/>
    </row>
    <row r="19" spans="1:25" ht="25.5">
      <c r="A19" s="349"/>
      <c r="B19" s="349"/>
      <c r="C19" s="142">
        <v>4.2</v>
      </c>
      <c r="D19" s="143" t="s">
        <v>123</v>
      </c>
      <c r="E19" s="143" t="s">
        <v>1511</v>
      </c>
      <c r="F19" s="134"/>
      <c r="G19" s="134"/>
      <c r="H19" s="134"/>
      <c r="I19" s="134"/>
      <c r="J19" s="134"/>
      <c r="K19" s="134"/>
      <c r="L19" s="134"/>
      <c r="M19" s="134"/>
      <c r="N19" s="134"/>
      <c r="O19" s="134"/>
      <c r="P19" s="134"/>
      <c r="Q19" s="134"/>
      <c r="R19" s="134"/>
      <c r="S19" s="134"/>
      <c r="T19" s="134"/>
      <c r="U19" s="134"/>
      <c r="V19" s="134"/>
      <c r="W19" s="134"/>
      <c r="X19" s="134"/>
      <c r="Y19" s="134"/>
    </row>
    <row r="20" spans="1:25" ht="25.5">
      <c r="A20" s="349"/>
      <c r="B20" s="349"/>
      <c r="C20" s="142">
        <v>4.3</v>
      </c>
      <c r="D20" s="143" t="s">
        <v>1512</v>
      </c>
      <c r="E20" s="143" t="s">
        <v>1513</v>
      </c>
      <c r="F20" s="134"/>
      <c r="G20" s="134"/>
      <c r="H20" s="134"/>
      <c r="I20" s="134"/>
      <c r="J20" s="134"/>
      <c r="K20" s="134"/>
      <c r="L20" s="134"/>
      <c r="M20" s="134"/>
      <c r="N20" s="134"/>
      <c r="O20" s="134"/>
      <c r="P20" s="134"/>
      <c r="Q20" s="134"/>
      <c r="R20" s="134"/>
      <c r="S20" s="134"/>
      <c r="T20" s="134"/>
      <c r="U20" s="134"/>
      <c r="V20" s="134"/>
      <c r="W20" s="134"/>
      <c r="X20" s="134"/>
      <c r="Y20" s="134"/>
    </row>
    <row r="21" spans="1:25" ht="25.5">
      <c r="A21" s="349"/>
      <c r="B21" s="349"/>
      <c r="C21" s="142">
        <v>4.4000000000000004</v>
      </c>
      <c r="D21" s="143" t="s">
        <v>1514</v>
      </c>
      <c r="E21" s="143" t="s">
        <v>1515</v>
      </c>
      <c r="F21" s="134"/>
      <c r="G21" s="134"/>
      <c r="H21" s="134"/>
      <c r="I21" s="134"/>
      <c r="J21" s="134"/>
      <c r="K21" s="134"/>
      <c r="L21" s="134"/>
      <c r="M21" s="134"/>
      <c r="N21" s="134"/>
      <c r="O21" s="134"/>
      <c r="P21" s="134"/>
      <c r="Q21" s="134"/>
      <c r="R21" s="134"/>
      <c r="S21" s="134"/>
      <c r="T21" s="134"/>
      <c r="U21" s="134"/>
      <c r="V21" s="134"/>
      <c r="W21" s="134"/>
      <c r="X21" s="134"/>
      <c r="Y21" s="134"/>
    </row>
    <row r="22" spans="1:25" ht="25.5">
      <c r="A22" s="347">
        <v>5</v>
      </c>
      <c r="B22" s="348" t="s">
        <v>1479</v>
      </c>
      <c r="C22" s="142">
        <v>5.0999999999999996</v>
      </c>
      <c r="D22" s="143" t="s">
        <v>142</v>
      </c>
      <c r="E22" s="143" t="s">
        <v>1516</v>
      </c>
      <c r="F22" s="134"/>
      <c r="G22" s="134"/>
      <c r="H22" s="134"/>
      <c r="I22" s="134"/>
      <c r="J22" s="134"/>
      <c r="K22" s="134"/>
      <c r="L22" s="134"/>
      <c r="M22" s="134"/>
      <c r="N22" s="134"/>
      <c r="O22" s="134"/>
      <c r="P22" s="134"/>
      <c r="Q22" s="134"/>
      <c r="R22" s="134"/>
      <c r="S22" s="134"/>
      <c r="T22" s="134"/>
      <c r="U22" s="134"/>
      <c r="V22" s="134"/>
      <c r="W22" s="134"/>
      <c r="X22" s="134"/>
      <c r="Y22" s="134"/>
    </row>
    <row r="23" spans="1:25" ht="12.75">
      <c r="A23" s="349"/>
      <c r="B23" s="349"/>
      <c r="C23" s="145">
        <v>5.2</v>
      </c>
      <c r="D23" s="143" t="s">
        <v>127</v>
      </c>
      <c r="E23" s="143" t="s">
        <v>1517</v>
      </c>
      <c r="F23" s="134"/>
      <c r="G23" s="134"/>
      <c r="H23" s="134"/>
      <c r="I23" s="134"/>
      <c r="J23" s="134"/>
      <c r="K23" s="134"/>
      <c r="L23" s="134"/>
      <c r="M23" s="134"/>
      <c r="N23" s="134"/>
      <c r="O23" s="134"/>
      <c r="P23" s="134"/>
      <c r="Q23" s="134"/>
      <c r="R23" s="134"/>
      <c r="S23" s="134"/>
      <c r="T23" s="134"/>
      <c r="U23" s="134"/>
      <c r="V23" s="134"/>
      <c r="W23" s="134"/>
      <c r="X23" s="134"/>
      <c r="Y23" s="134"/>
    </row>
    <row r="24" spans="1:25" ht="12.75">
      <c r="A24" s="349"/>
      <c r="B24" s="349"/>
      <c r="C24" s="142">
        <v>5.3</v>
      </c>
      <c r="D24" s="143" t="s">
        <v>113</v>
      </c>
      <c r="E24" s="143" t="s">
        <v>1518</v>
      </c>
      <c r="F24" s="134"/>
      <c r="G24" s="134"/>
      <c r="H24" s="134"/>
      <c r="I24" s="134"/>
      <c r="J24" s="134"/>
      <c r="K24" s="134"/>
      <c r="L24" s="134"/>
      <c r="M24" s="134"/>
      <c r="N24" s="134"/>
      <c r="O24" s="134"/>
      <c r="P24" s="134"/>
      <c r="Q24" s="134"/>
      <c r="R24" s="134"/>
      <c r="S24" s="134"/>
      <c r="T24" s="134"/>
      <c r="U24" s="134"/>
      <c r="V24" s="134"/>
      <c r="W24" s="134"/>
      <c r="X24" s="134"/>
      <c r="Y24" s="134"/>
    </row>
    <row r="25" spans="1:25" ht="38.25">
      <c r="A25" s="349"/>
      <c r="B25" s="349"/>
      <c r="C25" s="142">
        <v>5.4</v>
      </c>
      <c r="D25" s="143" t="s">
        <v>1519</v>
      </c>
      <c r="E25" s="143" t="s">
        <v>1520</v>
      </c>
      <c r="F25" s="134"/>
      <c r="G25" s="134"/>
      <c r="H25" s="134"/>
      <c r="I25" s="134"/>
      <c r="J25" s="134"/>
      <c r="K25" s="134"/>
      <c r="L25" s="134"/>
      <c r="M25" s="134"/>
      <c r="N25" s="134"/>
      <c r="O25" s="134"/>
      <c r="P25" s="134"/>
      <c r="Q25" s="134"/>
      <c r="R25" s="134"/>
      <c r="S25" s="134"/>
      <c r="T25" s="134"/>
      <c r="U25" s="134"/>
      <c r="V25" s="134"/>
      <c r="W25" s="134"/>
      <c r="X25" s="134"/>
      <c r="Y25" s="134"/>
    </row>
    <row r="26" spans="1:25" ht="76.5">
      <c r="A26" s="347">
        <v>6</v>
      </c>
      <c r="B26" s="348" t="s">
        <v>1521</v>
      </c>
      <c r="C26" s="142">
        <v>6.1</v>
      </c>
      <c r="D26" s="143" t="s">
        <v>92</v>
      </c>
      <c r="E26" s="143" t="s">
        <v>1522</v>
      </c>
      <c r="F26" s="134"/>
      <c r="G26" s="134"/>
      <c r="H26" s="134"/>
      <c r="I26" s="134"/>
      <c r="J26" s="134"/>
      <c r="K26" s="134"/>
      <c r="L26" s="134"/>
      <c r="M26" s="134"/>
      <c r="N26" s="134"/>
      <c r="O26" s="134"/>
      <c r="P26" s="134"/>
      <c r="Q26" s="134"/>
      <c r="R26" s="134"/>
      <c r="S26" s="134"/>
      <c r="T26" s="134"/>
      <c r="U26" s="134"/>
      <c r="V26" s="134"/>
      <c r="W26" s="134"/>
      <c r="X26" s="134"/>
      <c r="Y26" s="134"/>
    </row>
    <row r="27" spans="1:25" ht="25.5">
      <c r="A27" s="349"/>
      <c r="B27" s="349"/>
      <c r="C27" s="142">
        <v>6.2</v>
      </c>
      <c r="D27" s="143" t="s">
        <v>1523</v>
      </c>
      <c r="E27" s="143" t="s">
        <v>1524</v>
      </c>
      <c r="F27" s="134"/>
      <c r="G27" s="134"/>
      <c r="H27" s="134"/>
      <c r="I27" s="134"/>
      <c r="J27" s="134"/>
      <c r="K27" s="134"/>
      <c r="L27" s="134"/>
      <c r="M27" s="134"/>
      <c r="N27" s="134"/>
      <c r="O27" s="134"/>
      <c r="P27" s="134"/>
      <c r="Q27" s="134"/>
      <c r="R27" s="134"/>
      <c r="S27" s="134"/>
      <c r="T27" s="134"/>
      <c r="U27" s="134"/>
      <c r="V27" s="134"/>
      <c r="W27" s="134"/>
      <c r="X27" s="134"/>
      <c r="Y27" s="134"/>
    </row>
    <row r="28" spans="1:25" ht="38.25">
      <c r="A28" s="349"/>
      <c r="B28" s="349"/>
      <c r="C28" s="142">
        <v>6.3</v>
      </c>
      <c r="D28" s="143" t="s">
        <v>1525</v>
      </c>
      <c r="E28" s="143" t="s">
        <v>1526</v>
      </c>
      <c r="F28" s="134"/>
      <c r="G28" s="134"/>
      <c r="H28" s="134"/>
      <c r="I28" s="134"/>
      <c r="J28" s="134"/>
      <c r="K28" s="134"/>
      <c r="L28" s="134"/>
      <c r="M28" s="134"/>
      <c r="N28" s="134"/>
      <c r="O28" s="134"/>
      <c r="P28" s="134"/>
      <c r="Q28" s="134"/>
      <c r="R28" s="134"/>
      <c r="S28" s="134"/>
      <c r="T28" s="134"/>
      <c r="U28" s="134"/>
      <c r="V28" s="134"/>
      <c r="W28" s="134"/>
      <c r="X28" s="134"/>
      <c r="Y28" s="134"/>
    </row>
    <row r="29" spans="1:25" ht="25.5">
      <c r="A29" s="349"/>
      <c r="B29" s="349"/>
      <c r="C29" s="142">
        <v>6.4</v>
      </c>
      <c r="D29" s="143" t="s">
        <v>1527</v>
      </c>
      <c r="E29" s="143" t="s">
        <v>1528</v>
      </c>
      <c r="F29" s="134"/>
      <c r="G29" s="134"/>
      <c r="H29" s="134"/>
      <c r="I29" s="134"/>
      <c r="J29" s="134"/>
      <c r="K29" s="134"/>
      <c r="L29" s="134"/>
      <c r="M29" s="134"/>
      <c r="N29" s="134"/>
      <c r="O29" s="134"/>
      <c r="P29" s="134"/>
      <c r="Q29" s="134"/>
      <c r="R29" s="134"/>
      <c r="S29" s="134"/>
      <c r="T29" s="134"/>
      <c r="U29" s="134"/>
      <c r="V29" s="134"/>
      <c r="W29" s="134"/>
      <c r="X29" s="134"/>
      <c r="Y29" s="134"/>
    </row>
    <row r="30" spans="1:25" ht="25.5">
      <c r="A30" s="347">
        <v>7</v>
      </c>
      <c r="B30" s="348" t="s">
        <v>1477</v>
      </c>
      <c r="C30" s="142">
        <v>7.1</v>
      </c>
      <c r="D30" s="143" t="s">
        <v>1529</v>
      </c>
      <c r="E30" s="143" t="s">
        <v>1530</v>
      </c>
      <c r="F30" s="134"/>
      <c r="G30" s="134"/>
      <c r="H30" s="134"/>
      <c r="I30" s="134"/>
      <c r="J30" s="134"/>
      <c r="K30" s="134"/>
      <c r="L30" s="134"/>
      <c r="M30" s="134"/>
      <c r="N30" s="134"/>
      <c r="O30" s="134"/>
      <c r="P30" s="134"/>
      <c r="Q30" s="134"/>
      <c r="R30" s="134"/>
      <c r="S30" s="134"/>
      <c r="T30" s="134"/>
      <c r="U30" s="134"/>
      <c r="V30" s="134"/>
      <c r="W30" s="134"/>
      <c r="X30" s="134"/>
      <c r="Y30" s="134"/>
    </row>
    <row r="31" spans="1:25" ht="63.75">
      <c r="A31" s="349"/>
      <c r="B31" s="349"/>
      <c r="C31" s="142">
        <v>7.2</v>
      </c>
      <c r="D31" s="143" t="s">
        <v>131</v>
      </c>
      <c r="E31" s="143" t="s">
        <v>1531</v>
      </c>
      <c r="F31" s="134"/>
      <c r="G31" s="134"/>
      <c r="H31" s="134"/>
      <c r="I31" s="134"/>
      <c r="J31" s="134"/>
      <c r="K31" s="134"/>
      <c r="L31" s="134"/>
      <c r="M31" s="134"/>
      <c r="N31" s="134"/>
      <c r="O31" s="134"/>
      <c r="P31" s="134"/>
      <c r="Q31" s="134"/>
      <c r="R31" s="134"/>
      <c r="S31" s="134"/>
      <c r="T31" s="134"/>
      <c r="U31" s="134"/>
      <c r="V31" s="134"/>
      <c r="W31" s="134"/>
      <c r="X31" s="134"/>
      <c r="Y31" s="134"/>
    </row>
    <row r="32" spans="1:25" ht="38.25">
      <c r="A32" s="349"/>
      <c r="B32" s="349"/>
      <c r="C32" s="142">
        <v>7.3</v>
      </c>
      <c r="D32" s="143" t="s">
        <v>1532</v>
      </c>
      <c r="E32" s="146" t="s">
        <v>1533</v>
      </c>
      <c r="F32" s="134"/>
      <c r="G32" s="134"/>
      <c r="H32" s="134"/>
      <c r="I32" s="134"/>
      <c r="J32" s="134"/>
      <c r="K32" s="134"/>
      <c r="L32" s="134"/>
      <c r="M32" s="134"/>
      <c r="N32" s="134"/>
      <c r="O32" s="134"/>
      <c r="P32" s="134"/>
      <c r="Q32" s="134"/>
      <c r="R32" s="134"/>
      <c r="S32" s="134"/>
      <c r="T32" s="134"/>
      <c r="U32" s="134"/>
      <c r="V32" s="134"/>
      <c r="W32" s="134"/>
      <c r="X32" s="134"/>
      <c r="Y32" s="134"/>
    </row>
    <row r="33" spans="1:25" ht="25.5">
      <c r="A33" s="349"/>
      <c r="B33" s="349"/>
      <c r="C33" s="142">
        <v>7.4</v>
      </c>
      <c r="D33" s="143" t="s">
        <v>1534</v>
      </c>
      <c r="E33" s="143" t="s">
        <v>1535</v>
      </c>
      <c r="F33" s="134"/>
      <c r="G33" s="134"/>
      <c r="H33" s="134"/>
      <c r="I33" s="134"/>
      <c r="J33" s="134"/>
      <c r="K33" s="134"/>
      <c r="L33" s="134"/>
      <c r="M33" s="134"/>
      <c r="N33" s="134"/>
      <c r="O33" s="134"/>
      <c r="P33" s="134"/>
      <c r="Q33" s="134"/>
      <c r="R33" s="134"/>
      <c r="S33" s="134"/>
      <c r="T33" s="134"/>
      <c r="U33" s="134"/>
      <c r="V33" s="134"/>
      <c r="W33" s="134"/>
      <c r="X33" s="134"/>
      <c r="Y33" s="134"/>
    </row>
    <row r="34" spans="1:25" ht="51">
      <c r="A34" s="349"/>
      <c r="B34" s="349"/>
      <c r="C34" s="142">
        <v>7.5</v>
      </c>
      <c r="D34" s="143" t="s">
        <v>135</v>
      </c>
      <c r="E34" s="143" t="s">
        <v>1536</v>
      </c>
      <c r="F34" s="134"/>
      <c r="G34" s="134"/>
      <c r="H34" s="134"/>
      <c r="I34" s="134"/>
      <c r="J34" s="134"/>
      <c r="K34" s="134"/>
      <c r="L34" s="134"/>
      <c r="M34" s="134"/>
      <c r="N34" s="134"/>
      <c r="O34" s="134"/>
      <c r="P34" s="134"/>
      <c r="Q34" s="134"/>
      <c r="R34" s="134"/>
      <c r="S34" s="134"/>
      <c r="T34" s="134"/>
      <c r="U34" s="134"/>
      <c r="V34" s="134"/>
      <c r="W34" s="134"/>
      <c r="X34" s="134"/>
      <c r="Y34" s="134"/>
    </row>
    <row r="35" spans="1:25" ht="38.25">
      <c r="A35" s="349"/>
      <c r="B35" s="349"/>
      <c r="C35" s="142">
        <v>7.6</v>
      </c>
      <c r="D35" s="143" t="s">
        <v>78</v>
      </c>
      <c r="E35" s="143" t="s">
        <v>1537</v>
      </c>
      <c r="F35" s="134"/>
      <c r="G35" s="134"/>
      <c r="H35" s="134"/>
      <c r="I35" s="134"/>
      <c r="J35" s="134"/>
      <c r="K35" s="134"/>
      <c r="L35" s="134"/>
      <c r="M35" s="134"/>
      <c r="N35" s="134"/>
      <c r="O35" s="134"/>
      <c r="P35" s="134"/>
      <c r="Q35" s="134"/>
      <c r="R35" s="134"/>
      <c r="S35" s="134"/>
      <c r="T35" s="134"/>
      <c r="U35" s="134"/>
      <c r="V35" s="134"/>
      <c r="W35" s="134"/>
      <c r="X35" s="134"/>
      <c r="Y35" s="134"/>
    </row>
    <row r="36" spans="1:25" ht="38.25">
      <c r="A36" s="347">
        <v>8</v>
      </c>
      <c r="B36" s="348" t="s">
        <v>1476</v>
      </c>
      <c r="C36" s="142">
        <v>8.1</v>
      </c>
      <c r="D36" s="143" t="s">
        <v>130</v>
      </c>
      <c r="E36" s="143" t="s">
        <v>1538</v>
      </c>
      <c r="F36" s="134"/>
      <c r="G36" s="134"/>
      <c r="H36" s="134"/>
      <c r="I36" s="134"/>
      <c r="J36" s="134"/>
      <c r="K36" s="134"/>
      <c r="L36" s="134"/>
      <c r="M36" s="134"/>
      <c r="N36" s="134"/>
      <c r="O36" s="134"/>
      <c r="P36" s="134"/>
      <c r="Q36" s="134"/>
      <c r="R36" s="134"/>
      <c r="S36" s="134"/>
      <c r="T36" s="134"/>
      <c r="U36" s="134"/>
      <c r="V36" s="134"/>
      <c r="W36" s="134"/>
      <c r="X36" s="134"/>
      <c r="Y36" s="134"/>
    </row>
    <row r="37" spans="1:25" ht="51">
      <c r="A37" s="349"/>
      <c r="B37" s="349"/>
      <c r="C37" s="142">
        <v>8.1999999999999993</v>
      </c>
      <c r="D37" s="143" t="s">
        <v>153</v>
      </c>
      <c r="E37" s="143" t="s">
        <v>1539</v>
      </c>
      <c r="F37" s="134"/>
      <c r="G37" s="134"/>
      <c r="H37" s="134"/>
      <c r="I37" s="134"/>
      <c r="J37" s="134"/>
      <c r="K37" s="134"/>
      <c r="L37" s="134"/>
      <c r="M37" s="134"/>
      <c r="N37" s="134"/>
      <c r="O37" s="134"/>
      <c r="P37" s="134"/>
      <c r="Q37" s="134"/>
      <c r="R37" s="134"/>
      <c r="S37" s="134"/>
      <c r="T37" s="134"/>
      <c r="U37" s="134"/>
      <c r="V37" s="134"/>
      <c r="W37" s="134"/>
      <c r="X37" s="134"/>
      <c r="Y37" s="134"/>
    </row>
    <row r="38" spans="1:25" ht="51">
      <c r="A38" s="349"/>
      <c r="B38" s="349"/>
      <c r="C38" s="142">
        <v>8.3000000000000007</v>
      </c>
      <c r="D38" s="143" t="s">
        <v>1540</v>
      </c>
      <c r="E38" s="143" t="s">
        <v>1541</v>
      </c>
      <c r="F38" s="134"/>
      <c r="G38" s="134"/>
      <c r="H38" s="134"/>
      <c r="I38" s="134"/>
      <c r="J38" s="134"/>
      <c r="K38" s="134"/>
      <c r="L38" s="134"/>
      <c r="M38" s="134"/>
      <c r="N38" s="134"/>
      <c r="O38" s="134"/>
      <c r="P38" s="134"/>
      <c r="Q38" s="134"/>
      <c r="R38" s="134"/>
      <c r="S38" s="134"/>
      <c r="T38" s="134"/>
      <c r="U38" s="134"/>
      <c r="V38" s="134"/>
      <c r="W38" s="134"/>
      <c r="X38" s="134"/>
      <c r="Y38" s="134"/>
    </row>
    <row r="39" spans="1:25" ht="25.5">
      <c r="A39" s="349"/>
      <c r="B39" s="349"/>
      <c r="C39" s="142">
        <v>8.4</v>
      </c>
      <c r="D39" s="143" t="s">
        <v>1542</v>
      </c>
      <c r="E39" s="143" t="s">
        <v>1543</v>
      </c>
      <c r="F39" s="134"/>
      <c r="G39" s="134"/>
      <c r="H39" s="134"/>
      <c r="I39" s="134"/>
      <c r="J39" s="134"/>
      <c r="K39" s="134"/>
      <c r="L39" s="134"/>
      <c r="M39" s="134"/>
      <c r="N39" s="134"/>
      <c r="O39" s="134"/>
      <c r="P39" s="134"/>
      <c r="Q39" s="134"/>
      <c r="R39" s="134"/>
      <c r="S39" s="134"/>
      <c r="T39" s="134"/>
      <c r="U39" s="134"/>
      <c r="V39" s="134"/>
      <c r="W39" s="134"/>
      <c r="X39" s="134"/>
      <c r="Y39" s="134"/>
    </row>
    <row r="40" spans="1:25" ht="51">
      <c r="A40" s="347">
        <v>9</v>
      </c>
      <c r="B40" s="348" t="s">
        <v>1483</v>
      </c>
      <c r="C40" s="142">
        <v>9.1</v>
      </c>
      <c r="D40" s="143" t="s">
        <v>140</v>
      </c>
      <c r="E40" s="143" t="s">
        <v>1544</v>
      </c>
      <c r="F40" s="134"/>
      <c r="G40" s="134"/>
      <c r="H40" s="134"/>
      <c r="I40" s="134"/>
      <c r="J40" s="134"/>
      <c r="K40" s="134"/>
      <c r="L40" s="134"/>
      <c r="M40" s="134"/>
      <c r="N40" s="134"/>
      <c r="O40" s="134"/>
      <c r="P40" s="134"/>
      <c r="Q40" s="134"/>
      <c r="R40" s="134"/>
      <c r="S40" s="134"/>
      <c r="T40" s="134"/>
      <c r="U40" s="134"/>
      <c r="V40" s="134"/>
      <c r="W40" s="134"/>
      <c r="X40" s="134"/>
      <c r="Y40" s="134"/>
    </row>
    <row r="41" spans="1:25" ht="38.25">
      <c r="A41" s="349"/>
      <c r="B41" s="349"/>
      <c r="C41" s="142">
        <v>9.1999999999999993</v>
      </c>
      <c r="D41" s="143" t="s">
        <v>124</v>
      </c>
      <c r="E41" s="143" t="s">
        <v>1545</v>
      </c>
      <c r="F41" s="134"/>
      <c r="G41" s="134"/>
      <c r="H41" s="134"/>
      <c r="I41" s="134"/>
      <c r="J41" s="134"/>
      <c r="K41" s="134"/>
      <c r="L41" s="134"/>
      <c r="M41" s="134"/>
      <c r="N41" s="134"/>
      <c r="O41" s="134"/>
      <c r="P41" s="134"/>
      <c r="Q41" s="134"/>
      <c r="R41" s="134"/>
      <c r="S41" s="134"/>
      <c r="T41" s="134"/>
      <c r="U41" s="134"/>
      <c r="V41" s="134"/>
      <c r="W41" s="134"/>
      <c r="X41" s="134"/>
      <c r="Y41" s="134"/>
    </row>
    <row r="42" spans="1:25" ht="12.75">
      <c r="A42" s="349"/>
      <c r="B42" s="349"/>
      <c r="C42" s="142">
        <v>9.3000000000000007</v>
      </c>
      <c r="D42" s="143" t="s">
        <v>1546</v>
      </c>
      <c r="E42" s="143" t="s">
        <v>1547</v>
      </c>
      <c r="F42" s="134"/>
      <c r="G42" s="134"/>
      <c r="H42" s="134"/>
      <c r="I42" s="134"/>
      <c r="J42" s="134"/>
      <c r="K42" s="134"/>
      <c r="L42" s="134"/>
      <c r="M42" s="134"/>
      <c r="N42" s="134"/>
      <c r="O42" s="134"/>
      <c r="P42" s="134"/>
      <c r="Q42" s="134"/>
      <c r="R42" s="134"/>
      <c r="S42" s="134"/>
      <c r="T42" s="134"/>
      <c r="U42" s="134"/>
      <c r="V42" s="134"/>
      <c r="W42" s="134"/>
      <c r="X42" s="134"/>
      <c r="Y42" s="134"/>
    </row>
    <row r="43" spans="1:25" ht="76.5">
      <c r="A43" s="349"/>
      <c r="B43" s="349"/>
      <c r="C43" s="142">
        <v>9.4</v>
      </c>
      <c r="D43" s="143" t="s">
        <v>1548</v>
      </c>
      <c r="E43" s="143" t="s">
        <v>1549</v>
      </c>
      <c r="F43" s="134"/>
      <c r="G43" s="134"/>
      <c r="H43" s="134"/>
      <c r="I43" s="134"/>
      <c r="J43" s="134"/>
      <c r="K43" s="134"/>
      <c r="L43" s="134"/>
      <c r="M43" s="134"/>
      <c r="N43" s="134"/>
      <c r="O43" s="134"/>
      <c r="P43" s="134"/>
      <c r="Q43" s="134"/>
      <c r="R43" s="134"/>
      <c r="S43" s="134"/>
      <c r="T43" s="134"/>
      <c r="U43" s="134"/>
      <c r="V43" s="134"/>
      <c r="W43" s="134"/>
      <c r="X43" s="134"/>
      <c r="Y43" s="134"/>
    </row>
    <row r="44" spans="1:25" ht="25.5">
      <c r="A44" s="347">
        <v>10</v>
      </c>
      <c r="B44" s="348" t="s">
        <v>1481</v>
      </c>
      <c r="C44" s="142">
        <v>10.1</v>
      </c>
      <c r="D44" s="143" t="s">
        <v>1550</v>
      </c>
      <c r="E44" s="143" t="s">
        <v>1551</v>
      </c>
      <c r="F44" s="134"/>
      <c r="G44" s="134"/>
      <c r="H44" s="134"/>
      <c r="I44" s="134"/>
      <c r="J44" s="134"/>
      <c r="K44" s="134"/>
      <c r="L44" s="134"/>
      <c r="M44" s="134"/>
      <c r="N44" s="134"/>
      <c r="O44" s="134"/>
      <c r="P44" s="134"/>
      <c r="Q44" s="134"/>
      <c r="R44" s="134"/>
      <c r="S44" s="134"/>
      <c r="T44" s="134"/>
      <c r="U44" s="134"/>
      <c r="V44" s="134"/>
      <c r="W44" s="134"/>
      <c r="X44" s="134"/>
      <c r="Y44" s="134"/>
    </row>
    <row r="45" spans="1:25" ht="12.75">
      <c r="A45" s="349"/>
      <c r="B45" s="349"/>
      <c r="C45" s="142">
        <v>10.199999999999999</v>
      </c>
      <c r="D45" s="143" t="s">
        <v>1552</v>
      </c>
      <c r="E45" s="143" t="s">
        <v>1553</v>
      </c>
      <c r="F45" s="134"/>
      <c r="G45" s="134"/>
      <c r="H45" s="134"/>
      <c r="I45" s="134"/>
      <c r="J45" s="134"/>
      <c r="K45" s="134"/>
      <c r="L45" s="134"/>
      <c r="M45" s="134"/>
      <c r="N45" s="134"/>
      <c r="O45" s="134"/>
      <c r="P45" s="134"/>
      <c r="Q45" s="134"/>
      <c r="R45" s="134"/>
      <c r="S45" s="134"/>
      <c r="T45" s="134"/>
      <c r="U45" s="134"/>
      <c r="V45" s="134"/>
      <c r="W45" s="134"/>
      <c r="X45" s="134"/>
      <c r="Y45" s="134"/>
    </row>
    <row r="46" spans="1:25" ht="51">
      <c r="A46" s="347">
        <v>11</v>
      </c>
      <c r="B46" s="348" t="s">
        <v>1478</v>
      </c>
      <c r="C46" s="142">
        <v>11.1</v>
      </c>
      <c r="D46" s="143" t="s">
        <v>1554</v>
      </c>
      <c r="E46" s="143" t="s">
        <v>1555</v>
      </c>
      <c r="F46" s="134"/>
      <c r="G46" s="134"/>
      <c r="H46" s="134"/>
      <c r="I46" s="134"/>
      <c r="J46" s="134"/>
      <c r="K46" s="134"/>
      <c r="L46" s="134"/>
      <c r="M46" s="134"/>
      <c r="N46" s="134"/>
      <c r="O46" s="134"/>
      <c r="P46" s="134"/>
      <c r="Q46" s="134"/>
      <c r="R46" s="134"/>
      <c r="S46" s="134"/>
      <c r="T46" s="134"/>
      <c r="U46" s="134"/>
      <c r="V46" s="134"/>
      <c r="W46" s="134"/>
      <c r="X46" s="134"/>
      <c r="Y46" s="134"/>
    </row>
    <row r="47" spans="1:25" ht="25.5">
      <c r="A47" s="349"/>
      <c r="B47" s="349"/>
      <c r="C47" s="142">
        <v>11.2</v>
      </c>
      <c r="D47" s="143" t="s">
        <v>62</v>
      </c>
      <c r="E47" s="143" t="s">
        <v>1556</v>
      </c>
      <c r="F47" s="134"/>
      <c r="G47" s="134"/>
      <c r="H47" s="134"/>
      <c r="I47" s="134"/>
      <c r="J47" s="134"/>
      <c r="K47" s="134"/>
      <c r="L47" s="134"/>
      <c r="M47" s="134"/>
      <c r="N47" s="134"/>
      <c r="O47" s="134"/>
      <c r="P47" s="134"/>
      <c r="Q47" s="134"/>
      <c r="R47" s="134"/>
      <c r="S47" s="134"/>
      <c r="T47" s="134"/>
      <c r="U47" s="134"/>
      <c r="V47" s="134"/>
      <c r="W47" s="134"/>
      <c r="X47" s="134"/>
      <c r="Y47" s="134"/>
    </row>
    <row r="48" spans="1:25" ht="38.25">
      <c r="A48" s="349"/>
      <c r="B48" s="349"/>
      <c r="C48" s="142">
        <v>11.3</v>
      </c>
      <c r="D48" s="143" t="s">
        <v>61</v>
      </c>
      <c r="E48" s="143" t="s">
        <v>1557</v>
      </c>
      <c r="F48" s="134"/>
      <c r="G48" s="134"/>
      <c r="H48" s="134"/>
      <c r="I48" s="134"/>
      <c r="J48" s="134"/>
      <c r="K48" s="134"/>
      <c r="L48" s="134"/>
      <c r="M48" s="134"/>
      <c r="N48" s="134"/>
      <c r="O48" s="134"/>
      <c r="P48" s="134"/>
      <c r="Q48" s="134"/>
      <c r="R48" s="134"/>
      <c r="S48" s="134"/>
      <c r="T48" s="134"/>
      <c r="U48" s="134"/>
      <c r="V48" s="134"/>
      <c r="W48" s="134"/>
      <c r="X48" s="134"/>
      <c r="Y48" s="134"/>
    </row>
    <row r="49" spans="1:25" ht="12.75">
      <c r="A49" s="349"/>
      <c r="B49" s="349"/>
      <c r="C49" s="142">
        <v>11.4</v>
      </c>
      <c r="D49" s="143" t="s">
        <v>1558</v>
      </c>
      <c r="E49" s="144"/>
      <c r="F49" s="134"/>
      <c r="G49" s="134"/>
      <c r="H49" s="134"/>
      <c r="I49" s="134"/>
      <c r="J49" s="134"/>
      <c r="K49" s="134"/>
      <c r="L49" s="134"/>
      <c r="M49" s="134"/>
      <c r="N49" s="134"/>
      <c r="O49" s="134"/>
      <c r="P49" s="134"/>
      <c r="Q49" s="134"/>
      <c r="R49" s="134"/>
      <c r="S49" s="134"/>
      <c r="T49" s="134"/>
      <c r="U49" s="134"/>
      <c r="V49" s="134"/>
      <c r="W49" s="134"/>
      <c r="X49" s="134"/>
      <c r="Y49" s="134"/>
    </row>
    <row r="50" spans="1:25" ht="12.75">
      <c r="A50" s="147"/>
      <c r="B50" s="148"/>
      <c r="C50" s="149"/>
      <c r="D50" s="135"/>
      <c r="E50" s="134"/>
      <c r="F50" s="134"/>
      <c r="G50" s="134"/>
      <c r="H50" s="134"/>
      <c r="I50" s="134"/>
      <c r="J50" s="134"/>
      <c r="K50" s="134"/>
      <c r="L50" s="134"/>
      <c r="M50" s="134"/>
      <c r="N50" s="134"/>
      <c r="O50" s="134"/>
      <c r="P50" s="134"/>
      <c r="Q50" s="134"/>
      <c r="R50" s="134"/>
      <c r="S50" s="134"/>
      <c r="T50" s="134"/>
      <c r="U50" s="134"/>
      <c r="V50" s="134"/>
      <c r="W50" s="134"/>
      <c r="X50" s="134"/>
      <c r="Y50" s="134"/>
    </row>
    <row r="51" spans="1:25" ht="12.75">
      <c r="A51" s="147"/>
      <c r="B51" s="148"/>
      <c r="C51" s="149"/>
      <c r="D51" s="135"/>
      <c r="E51" s="134"/>
      <c r="F51" s="134"/>
      <c r="G51" s="134"/>
      <c r="H51" s="134"/>
      <c r="I51" s="134"/>
      <c r="J51" s="134"/>
      <c r="K51" s="134"/>
      <c r="L51" s="134"/>
      <c r="M51" s="134"/>
      <c r="N51" s="134"/>
      <c r="O51" s="134"/>
      <c r="P51" s="134"/>
      <c r="Q51" s="134"/>
      <c r="R51" s="134"/>
      <c r="S51" s="134"/>
      <c r="T51" s="134"/>
      <c r="U51" s="134"/>
      <c r="V51" s="134"/>
      <c r="W51" s="134"/>
      <c r="X51" s="134"/>
      <c r="Y51" s="134"/>
    </row>
    <row r="52" spans="1:25" ht="12.75">
      <c r="A52" s="147"/>
      <c r="B52" s="148"/>
      <c r="C52" s="149"/>
      <c r="D52" s="135"/>
      <c r="E52" s="134"/>
      <c r="F52" s="134"/>
      <c r="G52" s="134"/>
      <c r="H52" s="134"/>
      <c r="I52" s="134"/>
      <c r="J52" s="134"/>
      <c r="K52" s="134"/>
      <c r="L52" s="134"/>
      <c r="M52" s="134"/>
      <c r="N52" s="134"/>
      <c r="O52" s="134"/>
      <c r="P52" s="134"/>
      <c r="Q52" s="134"/>
      <c r="R52" s="134"/>
      <c r="S52" s="134"/>
      <c r="T52" s="134"/>
      <c r="U52" s="134"/>
      <c r="V52" s="134"/>
      <c r="W52" s="134"/>
      <c r="X52" s="134"/>
      <c r="Y52" s="134"/>
    </row>
    <row r="53" spans="1:25" ht="12.75">
      <c r="A53" s="133"/>
      <c r="B53" s="148"/>
      <c r="C53" s="149"/>
      <c r="D53" s="135"/>
      <c r="E53" s="134"/>
      <c r="F53" s="134"/>
      <c r="G53" s="134"/>
      <c r="H53" s="134"/>
      <c r="I53" s="134"/>
      <c r="J53" s="134"/>
      <c r="K53" s="134"/>
      <c r="L53" s="134"/>
      <c r="M53" s="134"/>
      <c r="N53" s="134"/>
      <c r="O53" s="134"/>
      <c r="P53" s="134"/>
      <c r="Q53" s="134"/>
      <c r="R53" s="134"/>
      <c r="S53" s="134"/>
      <c r="T53" s="134"/>
      <c r="U53" s="134"/>
      <c r="V53" s="134"/>
      <c r="W53" s="134"/>
      <c r="X53" s="134"/>
      <c r="Y53" s="134"/>
    </row>
    <row r="54" spans="1:25" ht="12.75">
      <c r="A54" s="147"/>
      <c r="B54" s="148"/>
      <c r="C54" s="149"/>
      <c r="D54" s="135"/>
      <c r="E54" s="134"/>
      <c r="F54" s="134"/>
      <c r="G54" s="134"/>
      <c r="H54" s="134"/>
      <c r="I54" s="134"/>
      <c r="J54" s="134"/>
      <c r="K54" s="134"/>
      <c r="L54" s="134"/>
      <c r="M54" s="134"/>
      <c r="N54" s="134"/>
      <c r="O54" s="134"/>
      <c r="P54" s="134"/>
      <c r="Q54" s="134"/>
      <c r="R54" s="134"/>
      <c r="S54" s="134"/>
      <c r="T54" s="134"/>
      <c r="U54" s="134"/>
      <c r="V54" s="134"/>
      <c r="W54" s="134"/>
      <c r="X54" s="134"/>
      <c r="Y54" s="134"/>
    </row>
    <row r="55" spans="1:25" ht="12.75">
      <c r="A55" s="147"/>
      <c r="B55" s="148"/>
      <c r="C55" s="149"/>
      <c r="D55" s="135"/>
      <c r="E55" s="134"/>
      <c r="F55" s="134"/>
      <c r="G55" s="134"/>
      <c r="H55" s="134"/>
      <c r="I55" s="134"/>
      <c r="J55" s="134"/>
      <c r="K55" s="134"/>
      <c r="L55" s="134"/>
      <c r="M55" s="134"/>
      <c r="N55" s="134"/>
      <c r="O55" s="134"/>
      <c r="P55" s="134"/>
      <c r="Q55" s="134"/>
      <c r="R55" s="134"/>
      <c r="S55" s="134"/>
      <c r="T55" s="134"/>
      <c r="U55" s="134"/>
      <c r="V55" s="134"/>
      <c r="W55" s="134"/>
      <c r="X55" s="134"/>
      <c r="Y55" s="134"/>
    </row>
    <row r="56" spans="1:25" ht="12.75">
      <c r="A56" s="147"/>
      <c r="B56" s="148"/>
      <c r="C56" s="149"/>
      <c r="D56" s="135"/>
      <c r="E56" s="134"/>
      <c r="F56" s="134"/>
      <c r="G56" s="134"/>
      <c r="H56" s="134"/>
      <c r="I56" s="134"/>
      <c r="J56" s="134"/>
      <c r="K56" s="134"/>
      <c r="L56" s="134"/>
      <c r="M56" s="134"/>
      <c r="N56" s="134"/>
      <c r="O56" s="134"/>
      <c r="P56" s="134"/>
      <c r="Q56" s="134"/>
      <c r="R56" s="134"/>
      <c r="S56" s="134"/>
      <c r="T56" s="134"/>
      <c r="U56" s="134"/>
      <c r="V56" s="134"/>
      <c r="W56" s="134"/>
      <c r="X56" s="134"/>
      <c r="Y56" s="134"/>
    </row>
    <row r="57" spans="1:25" ht="12.75">
      <c r="A57" s="147"/>
      <c r="B57" s="148"/>
      <c r="C57" s="149"/>
      <c r="D57" s="135"/>
      <c r="E57" s="134"/>
      <c r="F57" s="134"/>
      <c r="G57" s="134"/>
      <c r="H57" s="134"/>
      <c r="I57" s="134"/>
      <c r="J57" s="134"/>
      <c r="K57" s="134"/>
      <c r="L57" s="134"/>
      <c r="M57" s="134"/>
      <c r="N57" s="134"/>
      <c r="O57" s="134"/>
      <c r="P57" s="134"/>
      <c r="Q57" s="134"/>
      <c r="R57" s="134"/>
      <c r="S57" s="134"/>
      <c r="T57" s="134"/>
      <c r="U57" s="134"/>
      <c r="V57" s="134"/>
      <c r="W57" s="134"/>
      <c r="X57" s="134"/>
      <c r="Y57" s="134"/>
    </row>
    <row r="58" spans="1:25" ht="12.75">
      <c r="A58" s="147"/>
      <c r="B58" s="135"/>
      <c r="C58" s="149"/>
      <c r="D58" s="148"/>
      <c r="E58" s="134"/>
      <c r="F58" s="134"/>
      <c r="G58" s="134"/>
      <c r="H58" s="134"/>
      <c r="I58" s="134"/>
      <c r="J58" s="134"/>
      <c r="K58" s="134"/>
      <c r="L58" s="134"/>
      <c r="M58" s="134"/>
      <c r="N58" s="134"/>
      <c r="O58" s="134"/>
      <c r="P58" s="134"/>
      <c r="Q58" s="134"/>
      <c r="R58" s="134"/>
      <c r="S58" s="134"/>
      <c r="T58" s="134"/>
      <c r="U58" s="134"/>
      <c r="V58" s="134"/>
      <c r="W58" s="134"/>
      <c r="X58" s="134"/>
      <c r="Y58" s="134"/>
    </row>
    <row r="59" spans="1:25" ht="12.75">
      <c r="A59" s="147"/>
      <c r="B59" s="148"/>
      <c r="C59" s="149"/>
      <c r="D59" s="135"/>
      <c r="E59" s="134"/>
      <c r="F59" s="134"/>
      <c r="G59" s="134"/>
      <c r="H59" s="134"/>
      <c r="I59" s="134"/>
      <c r="J59" s="134"/>
      <c r="K59" s="134"/>
      <c r="L59" s="134"/>
      <c r="M59" s="134"/>
      <c r="N59" s="134"/>
      <c r="O59" s="134"/>
      <c r="P59" s="134"/>
      <c r="Q59" s="134"/>
      <c r="R59" s="134"/>
      <c r="S59" s="134"/>
      <c r="T59" s="134"/>
      <c r="U59" s="134"/>
      <c r="V59" s="134"/>
      <c r="W59" s="134"/>
      <c r="X59" s="134"/>
      <c r="Y59" s="134"/>
    </row>
    <row r="60" spans="1:25" ht="12.75">
      <c r="A60" s="147"/>
      <c r="B60" s="148"/>
      <c r="C60" s="149"/>
      <c r="D60" s="135"/>
      <c r="E60" s="134"/>
      <c r="F60" s="134"/>
      <c r="G60" s="134"/>
      <c r="H60" s="134"/>
      <c r="I60" s="134"/>
      <c r="J60" s="134"/>
      <c r="K60" s="134"/>
      <c r="L60" s="134"/>
      <c r="M60" s="134"/>
      <c r="N60" s="134"/>
      <c r="O60" s="134"/>
      <c r="P60" s="134"/>
      <c r="Q60" s="134"/>
      <c r="R60" s="134"/>
      <c r="S60" s="134"/>
      <c r="T60" s="134"/>
      <c r="U60" s="134"/>
      <c r="V60" s="134"/>
      <c r="W60" s="134"/>
      <c r="X60" s="134"/>
      <c r="Y60" s="134"/>
    </row>
    <row r="61" spans="1:25" ht="12.75">
      <c r="A61" s="147"/>
      <c r="B61" s="148"/>
      <c r="C61" s="149"/>
      <c r="D61" s="135"/>
      <c r="E61" s="134"/>
      <c r="F61" s="134"/>
      <c r="G61" s="134"/>
      <c r="H61" s="134"/>
      <c r="I61" s="134"/>
      <c r="J61" s="134"/>
      <c r="K61" s="134"/>
      <c r="L61" s="134"/>
      <c r="M61" s="134"/>
      <c r="N61" s="134"/>
      <c r="O61" s="134"/>
      <c r="P61" s="134"/>
      <c r="Q61" s="134"/>
      <c r="R61" s="134"/>
      <c r="S61" s="134"/>
      <c r="T61" s="134"/>
      <c r="U61" s="134"/>
      <c r="V61" s="134"/>
      <c r="W61" s="134"/>
      <c r="X61" s="134"/>
      <c r="Y61" s="134"/>
    </row>
    <row r="62" spans="1:25" ht="12.75">
      <c r="A62" s="147"/>
      <c r="B62" s="148"/>
      <c r="C62" s="149"/>
      <c r="D62" s="135"/>
      <c r="E62" s="134"/>
      <c r="F62" s="134"/>
      <c r="G62" s="134"/>
      <c r="H62" s="134"/>
      <c r="I62" s="134"/>
      <c r="J62" s="134"/>
      <c r="K62" s="134"/>
      <c r="L62" s="134"/>
      <c r="M62" s="134"/>
      <c r="N62" s="134"/>
      <c r="O62" s="134"/>
      <c r="P62" s="134"/>
      <c r="Q62" s="134"/>
      <c r="R62" s="134"/>
      <c r="S62" s="134"/>
      <c r="T62" s="134"/>
      <c r="U62" s="134"/>
      <c r="V62" s="134"/>
      <c r="W62" s="134"/>
      <c r="X62" s="134"/>
      <c r="Y62" s="134"/>
    </row>
    <row r="63" spans="1:25" ht="12.75">
      <c r="A63" s="147"/>
      <c r="B63" s="148"/>
      <c r="C63" s="149"/>
      <c r="D63" s="135"/>
      <c r="E63" s="134"/>
      <c r="F63" s="134"/>
      <c r="G63" s="134"/>
      <c r="H63" s="134"/>
      <c r="I63" s="134"/>
      <c r="J63" s="134"/>
      <c r="K63" s="134"/>
      <c r="L63" s="134"/>
      <c r="M63" s="134"/>
      <c r="N63" s="134"/>
      <c r="O63" s="134"/>
      <c r="P63" s="134"/>
      <c r="Q63" s="134"/>
      <c r="R63" s="134"/>
      <c r="S63" s="134"/>
      <c r="T63" s="134"/>
      <c r="U63" s="134"/>
      <c r="V63" s="134"/>
      <c r="W63" s="134"/>
      <c r="X63" s="134"/>
      <c r="Y63" s="134"/>
    </row>
    <row r="64" spans="1:25" ht="12.75">
      <c r="A64" s="147"/>
      <c r="B64" s="148"/>
      <c r="C64" s="149"/>
      <c r="D64" s="135"/>
      <c r="E64" s="134"/>
      <c r="F64" s="134"/>
      <c r="G64" s="134"/>
      <c r="H64" s="134"/>
      <c r="I64" s="134"/>
      <c r="J64" s="134"/>
      <c r="K64" s="134"/>
      <c r="L64" s="134"/>
      <c r="M64" s="134"/>
      <c r="N64" s="134"/>
      <c r="O64" s="134"/>
      <c r="P64" s="134"/>
      <c r="Q64" s="134"/>
      <c r="R64" s="134"/>
      <c r="S64" s="134"/>
      <c r="T64" s="134"/>
      <c r="U64" s="134"/>
      <c r="V64" s="134"/>
      <c r="W64" s="134"/>
      <c r="X64" s="134"/>
      <c r="Y64" s="134"/>
    </row>
    <row r="65" spans="1:25" ht="12.75">
      <c r="A65" s="147"/>
      <c r="B65" s="148"/>
      <c r="C65" s="149"/>
      <c r="D65" s="135"/>
      <c r="E65" s="134"/>
      <c r="F65" s="134"/>
      <c r="G65" s="134"/>
      <c r="H65" s="134"/>
      <c r="I65" s="134"/>
      <c r="J65" s="134"/>
      <c r="K65" s="134"/>
      <c r="L65" s="134"/>
      <c r="M65" s="134"/>
      <c r="N65" s="134"/>
      <c r="O65" s="134"/>
      <c r="P65" s="134"/>
      <c r="Q65" s="134"/>
      <c r="R65" s="134"/>
      <c r="S65" s="134"/>
      <c r="T65" s="134"/>
      <c r="U65" s="134"/>
      <c r="V65" s="134"/>
      <c r="W65" s="134"/>
      <c r="X65" s="134"/>
      <c r="Y65" s="134"/>
    </row>
    <row r="66" spans="1:25" ht="12.75">
      <c r="A66" s="147"/>
      <c r="B66" s="148"/>
      <c r="C66" s="149"/>
      <c r="D66" s="135"/>
      <c r="E66" s="134"/>
      <c r="F66" s="134"/>
      <c r="G66" s="134"/>
      <c r="H66" s="134"/>
      <c r="I66" s="134"/>
      <c r="J66" s="134"/>
      <c r="K66" s="134"/>
      <c r="L66" s="134"/>
      <c r="M66" s="134"/>
      <c r="N66" s="134"/>
      <c r="O66" s="134"/>
      <c r="P66" s="134"/>
      <c r="Q66" s="134"/>
      <c r="R66" s="134"/>
      <c r="S66" s="134"/>
      <c r="T66" s="134"/>
      <c r="U66" s="134"/>
      <c r="V66" s="134"/>
      <c r="W66" s="134"/>
      <c r="X66" s="134"/>
      <c r="Y66" s="134"/>
    </row>
    <row r="67" spans="1:25" ht="12.75">
      <c r="A67" s="147"/>
      <c r="B67" s="148"/>
      <c r="C67" s="149"/>
      <c r="D67" s="135"/>
      <c r="E67" s="134"/>
      <c r="F67" s="134"/>
      <c r="G67" s="134"/>
      <c r="H67" s="134"/>
      <c r="I67" s="134"/>
      <c r="J67" s="134"/>
      <c r="K67" s="134"/>
      <c r="L67" s="134"/>
      <c r="M67" s="134"/>
      <c r="N67" s="134"/>
      <c r="O67" s="134"/>
      <c r="P67" s="134"/>
      <c r="Q67" s="134"/>
      <c r="R67" s="134"/>
      <c r="S67" s="134"/>
      <c r="T67" s="134"/>
      <c r="U67" s="134"/>
      <c r="V67" s="134"/>
      <c r="W67" s="134"/>
      <c r="X67" s="134"/>
      <c r="Y67" s="134"/>
    </row>
    <row r="68" spans="1:25" ht="12.75">
      <c r="A68" s="147"/>
      <c r="B68" s="148"/>
      <c r="C68" s="149"/>
      <c r="D68" s="135"/>
      <c r="E68" s="134"/>
      <c r="F68" s="134"/>
      <c r="G68" s="134"/>
      <c r="H68" s="134"/>
      <c r="I68" s="134"/>
      <c r="J68" s="134"/>
      <c r="K68" s="134"/>
      <c r="L68" s="134"/>
      <c r="M68" s="134"/>
      <c r="N68" s="134"/>
      <c r="O68" s="134"/>
      <c r="P68" s="134"/>
      <c r="Q68" s="134"/>
      <c r="R68" s="134"/>
      <c r="S68" s="134"/>
      <c r="T68" s="134"/>
      <c r="U68" s="134"/>
      <c r="V68" s="134"/>
      <c r="W68" s="134"/>
      <c r="X68" s="134"/>
      <c r="Y68" s="134"/>
    </row>
    <row r="69" spans="1:25" ht="12.75">
      <c r="A69" s="147"/>
      <c r="B69" s="148"/>
      <c r="C69" s="149"/>
      <c r="D69" s="135"/>
      <c r="E69" s="134"/>
      <c r="F69" s="134"/>
      <c r="G69" s="134"/>
      <c r="H69" s="134"/>
      <c r="I69" s="134"/>
      <c r="J69" s="134"/>
      <c r="K69" s="134"/>
      <c r="L69" s="134"/>
      <c r="M69" s="134"/>
      <c r="N69" s="134"/>
      <c r="O69" s="134"/>
      <c r="P69" s="134"/>
      <c r="Q69" s="134"/>
      <c r="R69" s="134"/>
      <c r="S69" s="134"/>
      <c r="T69" s="134"/>
      <c r="U69" s="134"/>
      <c r="V69" s="134"/>
      <c r="W69" s="134"/>
      <c r="X69" s="134"/>
      <c r="Y69" s="134"/>
    </row>
    <row r="70" spans="1:25" ht="12.75">
      <c r="A70" s="147"/>
      <c r="B70" s="148"/>
      <c r="C70" s="149"/>
      <c r="D70" s="135"/>
      <c r="E70" s="134"/>
      <c r="F70" s="134"/>
      <c r="G70" s="134"/>
      <c r="H70" s="134"/>
      <c r="I70" s="134"/>
      <c r="J70" s="134"/>
      <c r="K70" s="134"/>
      <c r="L70" s="134"/>
      <c r="M70" s="134"/>
      <c r="N70" s="134"/>
      <c r="O70" s="134"/>
      <c r="P70" s="134"/>
      <c r="Q70" s="134"/>
      <c r="R70" s="134"/>
      <c r="S70" s="134"/>
      <c r="T70" s="134"/>
      <c r="U70" s="134"/>
      <c r="V70" s="134"/>
      <c r="W70" s="134"/>
      <c r="X70" s="134"/>
      <c r="Y70" s="134"/>
    </row>
    <row r="71" spans="1:25" ht="12.75">
      <c r="A71" s="147"/>
      <c r="B71" s="148"/>
      <c r="C71" s="149"/>
      <c r="D71" s="135"/>
      <c r="E71" s="134"/>
      <c r="F71" s="134"/>
      <c r="G71" s="134"/>
      <c r="H71" s="134"/>
      <c r="I71" s="134"/>
      <c r="J71" s="134"/>
      <c r="K71" s="134"/>
      <c r="L71" s="134"/>
      <c r="M71" s="134"/>
      <c r="N71" s="134"/>
      <c r="O71" s="134"/>
      <c r="P71" s="134"/>
      <c r="Q71" s="134"/>
      <c r="R71" s="134"/>
      <c r="S71" s="134"/>
      <c r="T71" s="134"/>
      <c r="U71" s="134"/>
      <c r="V71" s="134"/>
      <c r="W71" s="134"/>
      <c r="X71" s="134"/>
      <c r="Y71" s="134"/>
    </row>
    <row r="72" spans="1:25" ht="12.75">
      <c r="A72" s="147"/>
      <c r="B72" s="148"/>
      <c r="C72" s="149"/>
      <c r="D72" s="135"/>
      <c r="E72" s="134"/>
      <c r="F72" s="134"/>
      <c r="G72" s="134"/>
      <c r="H72" s="134"/>
      <c r="I72" s="134"/>
      <c r="J72" s="134"/>
      <c r="K72" s="134"/>
      <c r="L72" s="134"/>
      <c r="M72" s="134"/>
      <c r="N72" s="134"/>
      <c r="O72" s="134"/>
      <c r="P72" s="134"/>
      <c r="Q72" s="134"/>
      <c r="R72" s="134"/>
      <c r="S72" s="134"/>
      <c r="T72" s="134"/>
      <c r="U72" s="134"/>
      <c r="V72" s="134"/>
      <c r="W72" s="134"/>
      <c r="X72" s="134"/>
      <c r="Y72" s="134"/>
    </row>
    <row r="73" spans="1:25" ht="12.75">
      <c r="A73" s="147"/>
      <c r="B73" s="148"/>
      <c r="C73" s="149"/>
      <c r="D73" s="135"/>
      <c r="E73" s="134"/>
      <c r="F73" s="134"/>
      <c r="G73" s="134"/>
      <c r="H73" s="134"/>
      <c r="I73" s="134"/>
      <c r="J73" s="134"/>
      <c r="K73" s="134"/>
      <c r="L73" s="134"/>
      <c r="M73" s="134"/>
      <c r="N73" s="134"/>
      <c r="O73" s="134"/>
      <c r="P73" s="134"/>
      <c r="Q73" s="134"/>
      <c r="R73" s="134"/>
      <c r="S73" s="134"/>
      <c r="T73" s="134"/>
      <c r="U73" s="134"/>
      <c r="V73" s="134"/>
      <c r="W73" s="134"/>
      <c r="X73" s="134"/>
      <c r="Y73" s="134"/>
    </row>
    <row r="74" spans="1:25" ht="12.75">
      <c r="A74" s="147"/>
      <c r="B74" s="148"/>
      <c r="C74" s="150"/>
      <c r="D74" s="135"/>
      <c r="E74" s="134"/>
      <c r="F74" s="134"/>
      <c r="G74" s="134"/>
      <c r="H74" s="134"/>
      <c r="I74" s="134"/>
      <c r="J74" s="134"/>
      <c r="K74" s="134"/>
      <c r="L74" s="134"/>
      <c r="M74" s="134"/>
      <c r="N74" s="134"/>
      <c r="O74" s="134"/>
      <c r="P74" s="134"/>
      <c r="Q74" s="134"/>
      <c r="R74" s="134"/>
      <c r="S74" s="134"/>
      <c r="T74" s="134"/>
      <c r="U74" s="134"/>
      <c r="V74" s="134"/>
      <c r="W74" s="134"/>
      <c r="X74" s="134"/>
      <c r="Y74" s="134"/>
    </row>
    <row r="75" spans="1:25" ht="12.75">
      <c r="A75" s="147"/>
      <c r="B75" s="148"/>
      <c r="C75" s="149"/>
      <c r="D75" s="135"/>
      <c r="E75" s="134"/>
      <c r="F75" s="134"/>
      <c r="G75" s="134"/>
      <c r="H75" s="134"/>
      <c r="I75" s="134"/>
      <c r="J75" s="134"/>
      <c r="K75" s="134"/>
      <c r="L75" s="134"/>
      <c r="M75" s="134"/>
      <c r="N75" s="134"/>
      <c r="O75" s="134"/>
      <c r="P75" s="134"/>
      <c r="Q75" s="134"/>
      <c r="R75" s="134"/>
      <c r="S75" s="134"/>
      <c r="T75" s="134"/>
      <c r="U75" s="134"/>
      <c r="V75" s="134"/>
      <c r="W75" s="134"/>
      <c r="X75" s="134"/>
      <c r="Y75" s="134"/>
    </row>
    <row r="76" spans="1:25" ht="12.75">
      <c r="A76" s="147"/>
      <c r="B76" s="148"/>
      <c r="C76" s="149"/>
      <c r="D76" s="135"/>
      <c r="E76" s="134"/>
      <c r="F76" s="134"/>
      <c r="G76" s="134"/>
      <c r="H76" s="134"/>
      <c r="I76" s="134"/>
      <c r="J76" s="134"/>
      <c r="K76" s="134"/>
      <c r="L76" s="134"/>
      <c r="M76" s="134"/>
      <c r="N76" s="134"/>
      <c r="O76" s="134"/>
      <c r="P76" s="134"/>
      <c r="Q76" s="134"/>
      <c r="R76" s="134"/>
      <c r="S76" s="134"/>
      <c r="T76" s="134"/>
      <c r="U76" s="134"/>
      <c r="V76" s="134"/>
      <c r="W76" s="134"/>
      <c r="X76" s="134"/>
      <c r="Y76" s="134"/>
    </row>
    <row r="77" spans="1:25" ht="12.75">
      <c r="A77" s="147"/>
      <c r="B77" s="148"/>
      <c r="C77" s="149"/>
      <c r="D77" s="135"/>
      <c r="E77" s="134"/>
      <c r="F77" s="134"/>
      <c r="G77" s="134"/>
      <c r="H77" s="134"/>
      <c r="I77" s="134"/>
      <c r="J77" s="134"/>
      <c r="K77" s="134"/>
      <c r="L77" s="134"/>
      <c r="M77" s="134"/>
      <c r="N77" s="134"/>
      <c r="O77" s="134"/>
      <c r="P77" s="134"/>
      <c r="Q77" s="134"/>
      <c r="R77" s="134"/>
      <c r="S77" s="134"/>
      <c r="T77" s="134"/>
      <c r="U77" s="134"/>
      <c r="V77" s="134"/>
      <c r="W77" s="134"/>
      <c r="X77" s="134"/>
      <c r="Y77" s="134"/>
    </row>
    <row r="78" spans="1:25" ht="12.75">
      <c r="A78" s="147"/>
      <c r="B78" s="148"/>
      <c r="C78" s="149"/>
      <c r="D78" s="135"/>
      <c r="E78" s="134"/>
      <c r="F78" s="134"/>
      <c r="G78" s="134"/>
      <c r="H78" s="134"/>
      <c r="I78" s="134"/>
      <c r="J78" s="134"/>
      <c r="K78" s="134"/>
      <c r="L78" s="134"/>
      <c r="M78" s="134"/>
      <c r="N78" s="134"/>
      <c r="O78" s="134"/>
      <c r="P78" s="134"/>
      <c r="Q78" s="134"/>
      <c r="R78" s="134"/>
      <c r="S78" s="134"/>
      <c r="T78" s="134"/>
      <c r="U78" s="134"/>
      <c r="V78" s="134"/>
      <c r="W78" s="134"/>
      <c r="X78" s="134"/>
      <c r="Y78" s="134"/>
    </row>
    <row r="79" spans="1:25" ht="12.75">
      <c r="A79" s="147"/>
      <c r="B79" s="148"/>
      <c r="C79" s="149"/>
      <c r="D79" s="135"/>
      <c r="E79" s="134"/>
      <c r="F79" s="134"/>
      <c r="G79" s="134"/>
      <c r="H79" s="134"/>
      <c r="I79" s="134"/>
      <c r="J79" s="134"/>
      <c r="K79" s="134"/>
      <c r="L79" s="134"/>
      <c r="M79" s="134"/>
      <c r="N79" s="134"/>
      <c r="O79" s="134"/>
      <c r="P79" s="134"/>
      <c r="Q79" s="134"/>
      <c r="R79" s="134"/>
      <c r="S79" s="134"/>
      <c r="T79" s="134"/>
      <c r="U79" s="134"/>
      <c r="V79" s="134"/>
      <c r="W79" s="134"/>
      <c r="X79" s="134"/>
      <c r="Y79" s="134"/>
    </row>
    <row r="80" spans="1:25" ht="12.75">
      <c r="A80" s="147"/>
      <c r="B80" s="148"/>
      <c r="C80" s="149"/>
      <c r="D80" s="135"/>
      <c r="E80" s="134"/>
      <c r="F80" s="134"/>
      <c r="G80" s="134"/>
      <c r="H80" s="134"/>
      <c r="I80" s="134"/>
      <c r="J80" s="134"/>
      <c r="K80" s="134"/>
      <c r="L80" s="134"/>
      <c r="M80" s="134"/>
      <c r="N80" s="134"/>
      <c r="O80" s="134"/>
      <c r="P80" s="134"/>
      <c r="Q80" s="134"/>
      <c r="R80" s="134"/>
      <c r="S80" s="134"/>
      <c r="T80" s="134"/>
      <c r="U80" s="134"/>
      <c r="V80" s="134"/>
      <c r="W80" s="134"/>
      <c r="X80" s="134"/>
      <c r="Y80" s="134"/>
    </row>
    <row r="81" spans="1:25" ht="12.75">
      <c r="A81" s="147"/>
      <c r="B81" s="148"/>
      <c r="C81" s="149"/>
      <c r="D81" s="135"/>
      <c r="E81" s="134"/>
      <c r="F81" s="134"/>
      <c r="G81" s="134"/>
      <c r="H81" s="134"/>
      <c r="I81" s="134"/>
      <c r="J81" s="134"/>
      <c r="K81" s="134"/>
      <c r="L81" s="134"/>
      <c r="M81" s="134"/>
      <c r="N81" s="134"/>
      <c r="O81" s="134"/>
      <c r="P81" s="134"/>
      <c r="Q81" s="134"/>
      <c r="R81" s="134"/>
      <c r="S81" s="134"/>
      <c r="T81" s="134"/>
      <c r="U81" s="134"/>
      <c r="V81" s="134"/>
      <c r="W81" s="134"/>
      <c r="X81" s="134"/>
      <c r="Y81" s="134"/>
    </row>
    <row r="82" spans="1:25" ht="12.75">
      <c r="A82" s="147"/>
      <c r="B82" s="148"/>
      <c r="C82" s="149"/>
      <c r="D82" s="135"/>
      <c r="E82" s="134"/>
      <c r="F82" s="134"/>
      <c r="G82" s="134"/>
      <c r="H82" s="134"/>
      <c r="I82" s="134"/>
      <c r="J82" s="134"/>
      <c r="K82" s="134"/>
      <c r="L82" s="134"/>
      <c r="M82" s="134"/>
      <c r="N82" s="134"/>
      <c r="O82" s="134"/>
      <c r="P82" s="134"/>
      <c r="Q82" s="134"/>
      <c r="R82" s="134"/>
      <c r="S82" s="134"/>
      <c r="T82" s="134"/>
      <c r="U82" s="134"/>
      <c r="V82" s="134"/>
      <c r="W82" s="134"/>
      <c r="X82" s="134"/>
      <c r="Y82" s="134"/>
    </row>
    <row r="83" spans="1:25" ht="12.75">
      <c r="A83" s="147"/>
      <c r="B83" s="148"/>
      <c r="C83" s="149"/>
      <c r="D83" s="135"/>
      <c r="E83" s="134"/>
      <c r="F83" s="134"/>
      <c r="G83" s="134"/>
      <c r="H83" s="134"/>
      <c r="I83" s="134"/>
      <c r="J83" s="134"/>
      <c r="K83" s="134"/>
      <c r="L83" s="134"/>
      <c r="M83" s="134"/>
      <c r="N83" s="134"/>
      <c r="O83" s="134"/>
      <c r="P83" s="134"/>
      <c r="Q83" s="134"/>
      <c r="R83" s="134"/>
      <c r="S83" s="134"/>
      <c r="T83" s="134"/>
      <c r="U83" s="134"/>
      <c r="V83" s="134"/>
      <c r="W83" s="134"/>
      <c r="X83" s="134"/>
      <c r="Y83" s="134"/>
    </row>
    <row r="84" spans="1:25" ht="12.75">
      <c r="A84" s="147"/>
      <c r="B84" s="148"/>
      <c r="C84" s="149"/>
      <c r="D84" s="135"/>
      <c r="E84" s="134"/>
      <c r="F84" s="134"/>
      <c r="G84" s="134"/>
      <c r="H84" s="134"/>
      <c r="I84" s="134"/>
      <c r="J84" s="134"/>
      <c r="K84" s="134"/>
      <c r="L84" s="134"/>
      <c r="M84" s="134"/>
      <c r="N84" s="134"/>
      <c r="O84" s="134"/>
      <c r="P84" s="134"/>
      <c r="Q84" s="134"/>
      <c r="R84" s="134"/>
      <c r="S84" s="134"/>
      <c r="T84" s="134"/>
      <c r="U84" s="134"/>
      <c r="V84" s="134"/>
      <c r="W84" s="134"/>
      <c r="X84" s="134"/>
      <c r="Y84" s="134"/>
    </row>
    <row r="85" spans="1:25" ht="12.75">
      <c r="A85" s="147"/>
      <c r="B85" s="148"/>
      <c r="C85" s="149"/>
      <c r="D85" s="148"/>
      <c r="E85" s="134"/>
      <c r="F85" s="134"/>
      <c r="G85" s="134"/>
      <c r="H85" s="134"/>
      <c r="I85" s="134"/>
      <c r="J85" s="134"/>
      <c r="K85" s="134"/>
      <c r="L85" s="134"/>
      <c r="M85" s="134"/>
      <c r="N85" s="134"/>
      <c r="O85" s="134"/>
      <c r="P85" s="134"/>
      <c r="Q85" s="134"/>
      <c r="R85" s="134"/>
      <c r="S85" s="134"/>
      <c r="T85" s="134"/>
      <c r="U85" s="134"/>
      <c r="V85" s="134"/>
      <c r="W85" s="134"/>
      <c r="X85" s="134"/>
      <c r="Y85" s="134"/>
    </row>
    <row r="86" spans="1:25" ht="12.75">
      <c r="A86" s="147"/>
      <c r="B86" s="148"/>
      <c r="C86" s="149"/>
      <c r="D86" s="135"/>
      <c r="E86" s="134"/>
      <c r="F86" s="134"/>
      <c r="G86" s="134"/>
      <c r="H86" s="134"/>
      <c r="I86" s="134"/>
      <c r="J86" s="134"/>
      <c r="K86" s="134"/>
      <c r="L86" s="134"/>
      <c r="M86" s="134"/>
      <c r="N86" s="134"/>
      <c r="O86" s="134"/>
      <c r="P86" s="134"/>
      <c r="Q86" s="134"/>
      <c r="R86" s="134"/>
      <c r="S86" s="134"/>
      <c r="T86" s="134"/>
      <c r="U86" s="134"/>
      <c r="V86" s="134"/>
      <c r="W86" s="134"/>
      <c r="X86" s="134"/>
      <c r="Y86" s="134"/>
    </row>
    <row r="87" spans="1:25" ht="12.75">
      <c r="A87" s="147"/>
      <c r="B87" s="148"/>
      <c r="C87" s="149"/>
      <c r="D87" s="135"/>
      <c r="E87" s="134"/>
      <c r="F87" s="134"/>
      <c r="G87" s="134"/>
      <c r="H87" s="134"/>
      <c r="I87" s="134"/>
      <c r="J87" s="134"/>
      <c r="K87" s="134"/>
      <c r="L87" s="134"/>
      <c r="M87" s="134"/>
      <c r="N87" s="134"/>
      <c r="O87" s="134"/>
      <c r="P87" s="134"/>
      <c r="Q87" s="134"/>
      <c r="R87" s="134"/>
      <c r="S87" s="134"/>
      <c r="T87" s="134"/>
      <c r="U87" s="134"/>
      <c r="V87" s="134"/>
      <c r="W87" s="134"/>
      <c r="X87" s="134"/>
      <c r="Y87" s="134"/>
    </row>
    <row r="88" spans="1:25" ht="12.75">
      <c r="A88" s="147"/>
      <c r="B88" s="148"/>
      <c r="C88" s="149"/>
      <c r="D88" s="135"/>
      <c r="E88" s="134"/>
      <c r="F88" s="134"/>
      <c r="G88" s="134"/>
      <c r="H88" s="134"/>
      <c r="I88" s="134"/>
      <c r="J88" s="134"/>
      <c r="K88" s="134"/>
      <c r="L88" s="134"/>
      <c r="M88" s="134"/>
      <c r="N88" s="134"/>
      <c r="O88" s="134"/>
      <c r="P88" s="134"/>
      <c r="Q88" s="134"/>
      <c r="R88" s="134"/>
      <c r="S88" s="134"/>
      <c r="T88" s="134"/>
      <c r="U88" s="134"/>
      <c r="V88" s="134"/>
      <c r="W88" s="134"/>
      <c r="X88" s="134"/>
      <c r="Y88" s="134"/>
    </row>
    <row r="89" spans="1:25" ht="12.75">
      <c r="A89" s="147"/>
      <c r="B89" s="148"/>
      <c r="C89" s="149"/>
      <c r="D89" s="135"/>
      <c r="E89" s="134"/>
      <c r="F89" s="134"/>
      <c r="G89" s="134"/>
      <c r="H89" s="134"/>
      <c r="I89" s="134"/>
      <c r="J89" s="134"/>
      <c r="K89" s="134"/>
      <c r="L89" s="134"/>
      <c r="M89" s="134"/>
      <c r="N89" s="134"/>
      <c r="O89" s="134"/>
      <c r="P89" s="134"/>
      <c r="Q89" s="134"/>
      <c r="R89" s="134"/>
      <c r="S89" s="134"/>
      <c r="T89" s="134"/>
      <c r="U89" s="134"/>
      <c r="V89" s="134"/>
      <c r="W89" s="134"/>
      <c r="X89" s="134"/>
      <c r="Y89" s="134"/>
    </row>
    <row r="90" spans="1:25" ht="12.75">
      <c r="A90" s="147"/>
      <c r="B90" s="148"/>
      <c r="C90" s="149"/>
      <c r="D90" s="135"/>
      <c r="E90" s="134"/>
      <c r="F90" s="134"/>
      <c r="G90" s="134"/>
      <c r="H90" s="134"/>
      <c r="I90" s="134"/>
      <c r="J90" s="134"/>
      <c r="K90" s="134"/>
      <c r="L90" s="134"/>
      <c r="M90" s="134"/>
      <c r="N90" s="134"/>
      <c r="O90" s="134"/>
      <c r="P90" s="134"/>
      <c r="Q90" s="134"/>
      <c r="R90" s="134"/>
      <c r="S90" s="134"/>
      <c r="T90" s="134"/>
      <c r="U90" s="134"/>
      <c r="V90" s="134"/>
      <c r="W90" s="134"/>
      <c r="X90" s="134"/>
      <c r="Y90" s="134"/>
    </row>
    <row r="91" spans="1:25" ht="12.75">
      <c r="A91" s="147"/>
      <c r="B91" s="148"/>
      <c r="C91" s="149"/>
      <c r="D91" s="135"/>
      <c r="E91" s="134"/>
      <c r="F91" s="134"/>
      <c r="G91" s="134"/>
      <c r="H91" s="134"/>
      <c r="I91" s="134"/>
      <c r="J91" s="134"/>
      <c r="K91" s="134"/>
      <c r="L91" s="134"/>
      <c r="M91" s="134"/>
      <c r="N91" s="134"/>
      <c r="O91" s="134"/>
      <c r="P91" s="134"/>
      <c r="Q91" s="134"/>
      <c r="R91" s="134"/>
      <c r="S91" s="134"/>
      <c r="T91" s="134"/>
      <c r="U91" s="134"/>
      <c r="V91" s="134"/>
      <c r="W91" s="134"/>
      <c r="X91" s="134"/>
      <c r="Y91" s="134"/>
    </row>
    <row r="92" spans="1:25" ht="12.75">
      <c r="A92" s="147"/>
      <c r="B92" s="148"/>
      <c r="C92" s="149"/>
      <c r="D92" s="135"/>
      <c r="E92" s="134"/>
      <c r="F92" s="134"/>
      <c r="G92" s="134"/>
      <c r="H92" s="134"/>
      <c r="I92" s="134"/>
      <c r="J92" s="134"/>
      <c r="K92" s="134"/>
      <c r="L92" s="134"/>
      <c r="M92" s="134"/>
      <c r="N92" s="134"/>
      <c r="O92" s="134"/>
      <c r="P92" s="134"/>
      <c r="Q92" s="134"/>
      <c r="R92" s="134"/>
      <c r="S92" s="134"/>
      <c r="T92" s="134"/>
      <c r="U92" s="134"/>
      <c r="V92" s="134"/>
      <c r="W92" s="134"/>
      <c r="X92" s="134"/>
      <c r="Y92" s="134"/>
    </row>
    <row r="93" spans="1:25" ht="12.75">
      <c r="A93" s="147"/>
      <c r="B93" s="148"/>
      <c r="C93" s="149"/>
      <c r="D93" s="135"/>
      <c r="E93" s="134"/>
      <c r="F93" s="134"/>
      <c r="G93" s="134"/>
      <c r="H93" s="134"/>
      <c r="I93" s="134"/>
      <c r="J93" s="134"/>
      <c r="K93" s="134"/>
      <c r="L93" s="134"/>
      <c r="M93" s="134"/>
      <c r="N93" s="134"/>
      <c r="O93" s="134"/>
      <c r="P93" s="134"/>
      <c r="Q93" s="134"/>
      <c r="R93" s="134"/>
      <c r="S93" s="134"/>
      <c r="T93" s="134"/>
      <c r="U93" s="134"/>
      <c r="V93" s="134"/>
      <c r="W93" s="134"/>
      <c r="X93" s="134"/>
      <c r="Y93" s="134"/>
    </row>
    <row r="94" spans="1:25" ht="12.75">
      <c r="A94" s="147"/>
      <c r="B94" s="148"/>
      <c r="C94" s="149"/>
      <c r="D94" s="135"/>
      <c r="E94" s="134"/>
      <c r="F94" s="134"/>
      <c r="G94" s="134"/>
      <c r="H94" s="134"/>
      <c r="I94" s="134"/>
      <c r="J94" s="134"/>
      <c r="K94" s="134"/>
      <c r="L94" s="134"/>
      <c r="M94" s="134"/>
      <c r="N94" s="134"/>
      <c r="O94" s="134"/>
      <c r="P94" s="134"/>
      <c r="Q94" s="134"/>
      <c r="R94" s="134"/>
      <c r="S94" s="134"/>
      <c r="T94" s="134"/>
      <c r="U94" s="134"/>
      <c r="V94" s="134"/>
      <c r="W94" s="134"/>
      <c r="X94" s="134"/>
      <c r="Y94" s="134"/>
    </row>
    <row r="95" spans="1:25" ht="12.75">
      <c r="A95" s="147"/>
      <c r="B95" s="148"/>
      <c r="C95" s="149"/>
      <c r="D95" s="135"/>
      <c r="E95" s="134"/>
      <c r="F95" s="134"/>
      <c r="G95" s="134"/>
      <c r="H95" s="134"/>
      <c r="I95" s="134"/>
      <c r="J95" s="134"/>
      <c r="K95" s="134"/>
      <c r="L95" s="134"/>
      <c r="M95" s="134"/>
      <c r="N95" s="134"/>
      <c r="O95" s="134"/>
      <c r="P95" s="134"/>
      <c r="Q95" s="134"/>
      <c r="R95" s="134"/>
      <c r="S95" s="134"/>
      <c r="T95" s="134"/>
      <c r="U95" s="134"/>
      <c r="V95" s="134"/>
      <c r="W95" s="134"/>
      <c r="X95" s="134"/>
      <c r="Y95" s="134"/>
    </row>
    <row r="96" spans="1:25" ht="12.75">
      <c r="A96" s="147"/>
      <c r="B96" s="148"/>
      <c r="C96" s="149"/>
      <c r="D96" s="135"/>
      <c r="E96" s="134"/>
      <c r="F96" s="134"/>
      <c r="G96" s="134"/>
      <c r="H96" s="134"/>
      <c r="I96" s="134"/>
      <c r="J96" s="134"/>
      <c r="K96" s="134"/>
      <c r="L96" s="134"/>
      <c r="M96" s="134"/>
      <c r="N96" s="134"/>
      <c r="O96" s="134"/>
      <c r="P96" s="134"/>
      <c r="Q96" s="134"/>
      <c r="R96" s="134"/>
      <c r="S96" s="134"/>
      <c r="T96" s="134"/>
      <c r="U96" s="134"/>
      <c r="V96" s="134"/>
      <c r="W96" s="134"/>
      <c r="X96" s="134"/>
      <c r="Y96" s="134"/>
    </row>
    <row r="97" spans="1:25" ht="12.75">
      <c r="A97" s="147"/>
      <c r="B97" s="148"/>
      <c r="C97" s="149"/>
      <c r="D97" s="135"/>
      <c r="E97" s="134"/>
      <c r="F97" s="134"/>
      <c r="G97" s="134"/>
      <c r="H97" s="134"/>
      <c r="I97" s="134"/>
      <c r="J97" s="134"/>
      <c r="K97" s="134"/>
      <c r="L97" s="134"/>
      <c r="M97" s="134"/>
      <c r="N97" s="134"/>
      <c r="O97" s="134"/>
      <c r="P97" s="134"/>
      <c r="Q97" s="134"/>
      <c r="R97" s="134"/>
      <c r="S97" s="134"/>
      <c r="T97" s="134"/>
      <c r="U97" s="134"/>
      <c r="V97" s="134"/>
      <c r="W97" s="134"/>
      <c r="X97" s="134"/>
      <c r="Y97" s="134"/>
    </row>
    <row r="98" spans="1:25" ht="12.75">
      <c r="A98" s="147"/>
      <c r="B98" s="148"/>
      <c r="C98" s="149"/>
      <c r="D98" s="135"/>
      <c r="E98" s="134"/>
      <c r="F98" s="134"/>
      <c r="G98" s="134"/>
      <c r="H98" s="134"/>
      <c r="I98" s="134"/>
      <c r="J98" s="134"/>
      <c r="K98" s="134"/>
      <c r="L98" s="134"/>
      <c r="M98" s="134"/>
      <c r="N98" s="134"/>
      <c r="O98" s="134"/>
      <c r="P98" s="134"/>
      <c r="Q98" s="134"/>
      <c r="R98" s="134"/>
      <c r="S98" s="134"/>
      <c r="T98" s="134"/>
      <c r="U98" s="134"/>
      <c r="V98" s="134"/>
      <c r="W98" s="134"/>
      <c r="X98" s="134"/>
      <c r="Y98" s="134"/>
    </row>
    <row r="99" spans="1:25" ht="12.75">
      <c r="A99" s="147"/>
      <c r="B99" s="148"/>
      <c r="C99" s="149"/>
      <c r="D99" s="135"/>
      <c r="E99" s="134"/>
      <c r="F99" s="134"/>
      <c r="G99" s="134"/>
      <c r="H99" s="134"/>
      <c r="I99" s="134"/>
      <c r="J99" s="134"/>
      <c r="K99" s="134"/>
      <c r="L99" s="134"/>
      <c r="M99" s="134"/>
      <c r="N99" s="134"/>
      <c r="O99" s="134"/>
      <c r="P99" s="134"/>
      <c r="Q99" s="134"/>
      <c r="R99" s="134"/>
      <c r="S99" s="134"/>
      <c r="T99" s="134"/>
      <c r="U99" s="134"/>
      <c r="V99" s="134"/>
      <c r="W99" s="134"/>
      <c r="X99" s="134"/>
      <c r="Y99" s="134"/>
    </row>
    <row r="100" spans="1:25" ht="12.75">
      <c r="A100" s="147"/>
      <c r="B100" s="148"/>
      <c r="C100" s="149"/>
      <c r="D100" s="135"/>
      <c r="E100" s="134"/>
      <c r="F100" s="134"/>
      <c r="G100" s="134"/>
      <c r="H100" s="134"/>
      <c r="I100" s="134"/>
      <c r="J100" s="134"/>
      <c r="K100" s="134"/>
      <c r="L100" s="134"/>
      <c r="M100" s="134"/>
      <c r="N100" s="134"/>
      <c r="O100" s="134"/>
      <c r="P100" s="134"/>
      <c r="Q100" s="134"/>
      <c r="R100" s="134"/>
      <c r="S100" s="134"/>
      <c r="T100" s="134"/>
      <c r="U100" s="134"/>
      <c r="V100" s="134"/>
      <c r="W100" s="134"/>
      <c r="X100" s="134"/>
      <c r="Y100" s="134"/>
    </row>
    <row r="101" spans="1:25" ht="12.75">
      <c r="A101" s="147"/>
      <c r="B101" s="148"/>
      <c r="C101" s="149"/>
      <c r="D101" s="135"/>
      <c r="E101" s="134"/>
      <c r="F101" s="134"/>
      <c r="G101" s="134"/>
      <c r="H101" s="134"/>
      <c r="I101" s="134"/>
      <c r="J101" s="134"/>
      <c r="K101" s="134"/>
      <c r="L101" s="134"/>
      <c r="M101" s="134"/>
      <c r="N101" s="134"/>
      <c r="O101" s="134"/>
      <c r="P101" s="134"/>
      <c r="Q101" s="134"/>
      <c r="R101" s="134"/>
      <c r="S101" s="134"/>
      <c r="T101" s="134"/>
      <c r="U101" s="134"/>
      <c r="V101" s="134"/>
      <c r="W101" s="134"/>
      <c r="X101" s="134"/>
      <c r="Y101" s="134"/>
    </row>
    <row r="102" spans="1:25" ht="12.75">
      <c r="A102" s="147"/>
      <c r="B102" s="148"/>
      <c r="C102" s="149"/>
      <c r="D102" s="135"/>
      <c r="E102" s="134"/>
      <c r="F102" s="134"/>
      <c r="G102" s="134"/>
      <c r="H102" s="134"/>
      <c r="I102" s="134"/>
      <c r="J102" s="134"/>
      <c r="K102" s="134"/>
      <c r="L102" s="134"/>
      <c r="M102" s="134"/>
      <c r="N102" s="134"/>
      <c r="O102" s="134"/>
      <c r="P102" s="134"/>
      <c r="Q102" s="134"/>
      <c r="R102" s="134"/>
      <c r="S102" s="134"/>
      <c r="T102" s="134"/>
      <c r="U102" s="134"/>
      <c r="V102" s="134"/>
      <c r="W102" s="134"/>
      <c r="X102" s="134"/>
      <c r="Y102" s="134"/>
    </row>
    <row r="103" spans="1:25" ht="12.75">
      <c r="A103" s="147"/>
      <c r="B103" s="148"/>
      <c r="C103" s="149"/>
      <c r="D103" s="135"/>
      <c r="E103" s="134"/>
      <c r="F103" s="134"/>
      <c r="G103" s="134"/>
      <c r="H103" s="134"/>
      <c r="I103" s="134"/>
      <c r="J103" s="134"/>
      <c r="K103" s="134"/>
      <c r="L103" s="134"/>
      <c r="M103" s="134"/>
      <c r="N103" s="134"/>
      <c r="O103" s="134"/>
      <c r="P103" s="134"/>
      <c r="Q103" s="134"/>
      <c r="R103" s="134"/>
      <c r="S103" s="134"/>
      <c r="T103" s="134"/>
      <c r="U103" s="134"/>
      <c r="V103" s="134"/>
      <c r="W103" s="134"/>
      <c r="X103" s="134"/>
      <c r="Y103" s="134"/>
    </row>
    <row r="104" spans="1:25" ht="12.75">
      <c r="A104" s="147"/>
      <c r="B104" s="148"/>
      <c r="C104" s="149"/>
      <c r="D104" s="135"/>
      <c r="E104" s="134"/>
      <c r="F104" s="134"/>
      <c r="G104" s="134"/>
      <c r="H104" s="134"/>
      <c r="I104" s="134"/>
      <c r="J104" s="134"/>
      <c r="K104" s="134"/>
      <c r="L104" s="134"/>
      <c r="M104" s="134"/>
      <c r="N104" s="134"/>
      <c r="O104" s="134"/>
      <c r="P104" s="134"/>
      <c r="Q104" s="134"/>
      <c r="R104" s="134"/>
      <c r="S104" s="134"/>
      <c r="T104" s="134"/>
      <c r="U104" s="134"/>
      <c r="V104" s="134"/>
      <c r="W104" s="134"/>
      <c r="X104" s="134"/>
      <c r="Y104" s="134"/>
    </row>
    <row r="105" spans="1:25" ht="12.75">
      <c r="A105" s="147"/>
      <c r="B105" s="148"/>
      <c r="C105" s="149"/>
      <c r="D105" s="135"/>
      <c r="E105" s="134"/>
      <c r="F105" s="134"/>
      <c r="G105" s="134"/>
      <c r="H105" s="134"/>
      <c r="I105" s="134"/>
      <c r="J105" s="134"/>
      <c r="K105" s="134"/>
      <c r="L105" s="134"/>
      <c r="M105" s="134"/>
      <c r="N105" s="134"/>
      <c r="O105" s="134"/>
      <c r="P105" s="134"/>
      <c r="Q105" s="134"/>
      <c r="R105" s="134"/>
      <c r="S105" s="134"/>
      <c r="T105" s="134"/>
      <c r="U105" s="134"/>
      <c r="V105" s="134"/>
      <c r="W105" s="134"/>
      <c r="X105" s="134"/>
      <c r="Y105" s="134"/>
    </row>
    <row r="106" spans="1:25" ht="12.75">
      <c r="A106" s="147"/>
      <c r="B106" s="148"/>
      <c r="C106" s="149"/>
      <c r="D106" s="135"/>
      <c r="E106" s="134"/>
      <c r="F106" s="134"/>
      <c r="G106" s="134"/>
      <c r="H106" s="134"/>
      <c r="I106" s="134"/>
      <c r="J106" s="134"/>
      <c r="K106" s="134"/>
      <c r="L106" s="134"/>
      <c r="M106" s="134"/>
      <c r="N106" s="134"/>
      <c r="O106" s="134"/>
      <c r="P106" s="134"/>
      <c r="Q106" s="134"/>
      <c r="R106" s="134"/>
      <c r="S106" s="134"/>
      <c r="T106" s="134"/>
      <c r="U106" s="134"/>
      <c r="V106" s="134"/>
      <c r="W106" s="134"/>
      <c r="X106" s="134"/>
      <c r="Y106" s="134"/>
    </row>
    <row r="107" spans="1:25" ht="12.75">
      <c r="A107" s="147"/>
      <c r="B107" s="148"/>
      <c r="C107" s="149"/>
      <c r="D107" s="135"/>
      <c r="E107" s="134"/>
      <c r="F107" s="134"/>
      <c r="G107" s="134"/>
      <c r="H107" s="134"/>
      <c r="I107" s="134"/>
      <c r="J107" s="134"/>
      <c r="K107" s="134"/>
      <c r="L107" s="134"/>
      <c r="M107" s="134"/>
      <c r="N107" s="134"/>
      <c r="O107" s="134"/>
      <c r="P107" s="134"/>
      <c r="Q107" s="134"/>
      <c r="R107" s="134"/>
      <c r="S107" s="134"/>
      <c r="T107" s="134"/>
      <c r="U107" s="134"/>
      <c r="V107" s="134"/>
      <c r="W107" s="134"/>
      <c r="X107" s="134"/>
      <c r="Y107" s="134"/>
    </row>
    <row r="108" spans="1:25" ht="12.75">
      <c r="A108" s="147"/>
      <c r="B108" s="148"/>
      <c r="C108" s="149"/>
      <c r="D108" s="135"/>
      <c r="E108" s="134"/>
      <c r="F108" s="134"/>
      <c r="G108" s="134"/>
      <c r="H108" s="134"/>
      <c r="I108" s="134"/>
      <c r="J108" s="134"/>
      <c r="K108" s="134"/>
      <c r="L108" s="134"/>
      <c r="M108" s="134"/>
      <c r="N108" s="134"/>
      <c r="O108" s="134"/>
      <c r="P108" s="134"/>
      <c r="Q108" s="134"/>
      <c r="R108" s="134"/>
      <c r="S108" s="134"/>
      <c r="T108" s="134"/>
      <c r="U108" s="134"/>
      <c r="V108" s="134"/>
      <c r="W108" s="134"/>
      <c r="X108" s="134"/>
      <c r="Y108" s="134"/>
    </row>
    <row r="109" spans="1:25" ht="12.75">
      <c r="A109" s="147"/>
      <c r="B109" s="148"/>
      <c r="C109" s="149"/>
      <c r="D109" s="135"/>
      <c r="E109" s="134"/>
      <c r="F109" s="134"/>
      <c r="G109" s="134"/>
      <c r="H109" s="134"/>
      <c r="I109" s="134"/>
      <c r="J109" s="134"/>
      <c r="K109" s="134"/>
      <c r="L109" s="134"/>
      <c r="M109" s="134"/>
      <c r="N109" s="134"/>
      <c r="O109" s="134"/>
      <c r="P109" s="134"/>
      <c r="Q109" s="134"/>
      <c r="R109" s="134"/>
      <c r="S109" s="134"/>
      <c r="T109" s="134"/>
      <c r="U109" s="134"/>
      <c r="V109" s="134"/>
      <c r="W109" s="134"/>
      <c r="X109" s="134"/>
      <c r="Y109" s="134"/>
    </row>
    <row r="110" spans="1:25" ht="12.75">
      <c r="A110" s="147"/>
      <c r="B110" s="148"/>
      <c r="C110" s="149"/>
      <c r="D110" s="135"/>
      <c r="E110" s="134"/>
      <c r="F110" s="134"/>
      <c r="G110" s="134"/>
      <c r="H110" s="134"/>
      <c r="I110" s="134"/>
      <c r="J110" s="134"/>
      <c r="K110" s="134"/>
      <c r="L110" s="134"/>
      <c r="M110" s="134"/>
      <c r="N110" s="134"/>
      <c r="O110" s="134"/>
      <c r="P110" s="134"/>
      <c r="Q110" s="134"/>
      <c r="R110" s="134"/>
      <c r="S110" s="134"/>
      <c r="T110" s="134"/>
      <c r="U110" s="134"/>
      <c r="V110" s="134"/>
      <c r="W110" s="134"/>
      <c r="X110" s="134"/>
      <c r="Y110" s="134"/>
    </row>
    <row r="111" spans="1:25" ht="12.75">
      <c r="A111" s="147"/>
      <c r="B111" s="148"/>
      <c r="C111" s="149"/>
      <c r="D111" s="135"/>
      <c r="E111" s="134"/>
      <c r="F111" s="134"/>
      <c r="G111" s="134"/>
      <c r="H111" s="134"/>
      <c r="I111" s="134"/>
      <c r="J111" s="134"/>
      <c r="K111" s="134"/>
      <c r="L111" s="134"/>
      <c r="M111" s="134"/>
      <c r="N111" s="134"/>
      <c r="O111" s="134"/>
      <c r="P111" s="134"/>
      <c r="Q111" s="134"/>
      <c r="R111" s="134"/>
      <c r="S111" s="134"/>
      <c r="T111" s="134"/>
      <c r="U111" s="134"/>
      <c r="V111" s="134"/>
      <c r="W111" s="134"/>
      <c r="X111" s="134"/>
      <c r="Y111" s="134"/>
    </row>
    <row r="112" spans="1:25" ht="12.75">
      <c r="A112" s="147"/>
      <c r="B112" s="148"/>
      <c r="C112" s="149"/>
      <c r="D112" s="135"/>
      <c r="E112" s="134"/>
      <c r="F112" s="134"/>
      <c r="G112" s="134"/>
      <c r="H112" s="134"/>
      <c r="I112" s="134"/>
      <c r="J112" s="134"/>
      <c r="K112" s="134"/>
      <c r="L112" s="134"/>
      <c r="M112" s="134"/>
      <c r="N112" s="134"/>
      <c r="O112" s="134"/>
      <c r="P112" s="134"/>
      <c r="Q112" s="134"/>
      <c r="R112" s="134"/>
      <c r="S112" s="134"/>
      <c r="T112" s="134"/>
      <c r="U112" s="134"/>
      <c r="V112" s="134"/>
      <c r="W112" s="134"/>
      <c r="X112" s="134"/>
      <c r="Y112" s="134"/>
    </row>
    <row r="113" spans="1:25" ht="12.75">
      <c r="A113" s="147"/>
      <c r="B113" s="148"/>
      <c r="C113" s="149"/>
      <c r="D113" s="135"/>
      <c r="E113" s="134"/>
      <c r="F113" s="134"/>
      <c r="G113" s="134"/>
      <c r="H113" s="134"/>
      <c r="I113" s="134"/>
      <c r="J113" s="134"/>
      <c r="K113" s="134"/>
      <c r="L113" s="134"/>
      <c r="M113" s="134"/>
      <c r="N113" s="134"/>
      <c r="O113" s="134"/>
      <c r="P113" s="134"/>
      <c r="Q113" s="134"/>
      <c r="R113" s="134"/>
      <c r="S113" s="134"/>
      <c r="T113" s="134"/>
      <c r="U113" s="134"/>
      <c r="V113" s="134"/>
      <c r="W113" s="134"/>
      <c r="X113" s="134"/>
      <c r="Y113" s="134"/>
    </row>
    <row r="114" spans="1:25" ht="12.75">
      <c r="A114" s="147"/>
      <c r="B114" s="148"/>
      <c r="C114" s="149"/>
      <c r="D114" s="135"/>
      <c r="E114" s="134"/>
      <c r="F114" s="134"/>
      <c r="G114" s="134"/>
      <c r="H114" s="134"/>
      <c r="I114" s="134"/>
      <c r="J114" s="134"/>
      <c r="K114" s="134"/>
      <c r="L114" s="134"/>
      <c r="M114" s="134"/>
      <c r="N114" s="134"/>
      <c r="O114" s="134"/>
      <c r="P114" s="134"/>
      <c r="Q114" s="134"/>
      <c r="R114" s="134"/>
      <c r="S114" s="134"/>
      <c r="T114" s="134"/>
      <c r="U114" s="134"/>
      <c r="V114" s="134"/>
      <c r="W114" s="134"/>
      <c r="X114" s="134"/>
      <c r="Y114" s="134"/>
    </row>
    <row r="115" spans="1:25" ht="12.75">
      <c r="A115" s="147"/>
      <c r="B115" s="148"/>
      <c r="C115" s="149"/>
      <c r="D115" s="135"/>
      <c r="E115" s="134"/>
      <c r="F115" s="134"/>
      <c r="G115" s="134"/>
      <c r="H115" s="134"/>
      <c r="I115" s="134"/>
      <c r="J115" s="134"/>
      <c r="K115" s="134"/>
      <c r="L115" s="134"/>
      <c r="M115" s="134"/>
      <c r="N115" s="134"/>
      <c r="O115" s="134"/>
      <c r="P115" s="134"/>
      <c r="Q115" s="134"/>
      <c r="R115" s="134"/>
      <c r="S115" s="134"/>
      <c r="T115" s="134"/>
      <c r="U115" s="134"/>
      <c r="V115" s="134"/>
      <c r="W115" s="134"/>
      <c r="X115" s="134"/>
      <c r="Y115" s="134"/>
    </row>
    <row r="116" spans="1:25" ht="12.75">
      <c r="A116" s="147"/>
      <c r="B116" s="148"/>
      <c r="C116" s="149"/>
      <c r="D116" s="135"/>
      <c r="E116" s="134"/>
      <c r="F116" s="134"/>
      <c r="G116" s="134"/>
      <c r="H116" s="134"/>
      <c r="I116" s="134"/>
      <c r="J116" s="134"/>
      <c r="K116" s="134"/>
      <c r="L116" s="134"/>
      <c r="M116" s="134"/>
      <c r="N116" s="134"/>
      <c r="O116" s="134"/>
      <c r="P116" s="134"/>
      <c r="Q116" s="134"/>
      <c r="R116" s="134"/>
      <c r="S116" s="134"/>
      <c r="T116" s="134"/>
      <c r="U116" s="134"/>
      <c r="V116" s="134"/>
      <c r="W116" s="134"/>
      <c r="X116" s="134"/>
      <c r="Y116" s="134"/>
    </row>
    <row r="117" spans="1:25" ht="12.75">
      <c r="A117" s="147"/>
      <c r="B117" s="148"/>
      <c r="C117" s="149"/>
      <c r="D117" s="135"/>
      <c r="E117" s="134"/>
      <c r="F117" s="134"/>
      <c r="G117" s="134"/>
      <c r="H117" s="134"/>
      <c r="I117" s="134"/>
      <c r="J117" s="134"/>
      <c r="K117" s="134"/>
      <c r="L117" s="134"/>
      <c r="M117" s="134"/>
      <c r="N117" s="134"/>
      <c r="O117" s="134"/>
      <c r="P117" s="134"/>
      <c r="Q117" s="134"/>
      <c r="R117" s="134"/>
      <c r="S117" s="134"/>
      <c r="T117" s="134"/>
      <c r="U117" s="134"/>
      <c r="V117" s="134"/>
      <c r="W117" s="134"/>
      <c r="X117" s="134"/>
      <c r="Y117" s="134"/>
    </row>
    <row r="118" spans="1:25" ht="12.75">
      <c r="A118" s="147"/>
      <c r="B118" s="148"/>
      <c r="C118" s="149"/>
      <c r="D118" s="135"/>
      <c r="E118" s="134"/>
      <c r="F118" s="134"/>
      <c r="G118" s="134"/>
      <c r="H118" s="134"/>
      <c r="I118" s="134"/>
      <c r="J118" s="134"/>
      <c r="K118" s="134"/>
      <c r="L118" s="134"/>
      <c r="M118" s="134"/>
      <c r="N118" s="134"/>
      <c r="O118" s="134"/>
      <c r="P118" s="134"/>
      <c r="Q118" s="134"/>
      <c r="R118" s="134"/>
      <c r="S118" s="134"/>
      <c r="T118" s="134"/>
      <c r="U118" s="134"/>
      <c r="V118" s="134"/>
      <c r="W118" s="134"/>
      <c r="X118" s="134"/>
      <c r="Y118" s="134"/>
    </row>
    <row r="119" spans="1:25" ht="12.75">
      <c r="A119" s="147"/>
      <c r="B119" s="148"/>
      <c r="C119" s="149"/>
      <c r="D119" s="135"/>
      <c r="E119" s="134"/>
      <c r="F119" s="134"/>
      <c r="G119" s="134"/>
      <c r="H119" s="134"/>
      <c r="I119" s="134"/>
      <c r="J119" s="134"/>
      <c r="K119" s="134"/>
      <c r="L119" s="134"/>
      <c r="M119" s="134"/>
      <c r="N119" s="134"/>
      <c r="O119" s="134"/>
      <c r="P119" s="134"/>
      <c r="Q119" s="134"/>
      <c r="R119" s="134"/>
      <c r="S119" s="134"/>
      <c r="T119" s="134"/>
      <c r="U119" s="134"/>
      <c r="V119" s="134"/>
      <c r="W119" s="134"/>
      <c r="X119" s="134"/>
      <c r="Y119" s="134"/>
    </row>
    <row r="120" spans="1:25" ht="12.75">
      <c r="A120" s="147"/>
      <c r="B120" s="148"/>
      <c r="C120" s="149"/>
      <c r="D120" s="135"/>
      <c r="E120" s="134"/>
      <c r="F120" s="134"/>
      <c r="G120" s="134"/>
      <c r="H120" s="134"/>
      <c r="I120" s="134"/>
      <c r="J120" s="134"/>
      <c r="K120" s="134"/>
      <c r="L120" s="134"/>
      <c r="M120" s="134"/>
      <c r="N120" s="134"/>
      <c r="O120" s="134"/>
      <c r="P120" s="134"/>
      <c r="Q120" s="134"/>
      <c r="R120" s="134"/>
      <c r="S120" s="134"/>
      <c r="T120" s="134"/>
      <c r="U120" s="134"/>
      <c r="V120" s="134"/>
      <c r="W120" s="134"/>
      <c r="X120" s="134"/>
      <c r="Y120" s="134"/>
    </row>
    <row r="121" spans="1:25" ht="12.75">
      <c r="A121" s="147"/>
      <c r="B121" s="148"/>
      <c r="C121" s="149"/>
      <c r="D121" s="135"/>
      <c r="E121" s="134"/>
      <c r="F121" s="134"/>
      <c r="G121" s="134"/>
      <c r="H121" s="134"/>
      <c r="I121" s="134"/>
      <c r="J121" s="134"/>
      <c r="K121" s="134"/>
      <c r="L121" s="134"/>
      <c r="M121" s="134"/>
      <c r="N121" s="134"/>
      <c r="O121" s="134"/>
      <c r="P121" s="134"/>
      <c r="Q121" s="134"/>
      <c r="R121" s="134"/>
      <c r="S121" s="134"/>
      <c r="T121" s="134"/>
      <c r="U121" s="134"/>
      <c r="V121" s="134"/>
      <c r="W121" s="134"/>
      <c r="X121" s="134"/>
      <c r="Y121" s="134"/>
    </row>
    <row r="122" spans="1:25" ht="12.75">
      <c r="A122" s="147"/>
      <c r="B122" s="148"/>
      <c r="C122" s="149"/>
      <c r="D122" s="135"/>
      <c r="E122" s="134"/>
      <c r="F122" s="134"/>
      <c r="G122" s="134"/>
      <c r="H122" s="134"/>
      <c r="I122" s="134"/>
      <c r="J122" s="134"/>
      <c r="K122" s="134"/>
      <c r="L122" s="134"/>
      <c r="M122" s="134"/>
      <c r="N122" s="134"/>
      <c r="O122" s="134"/>
      <c r="P122" s="134"/>
      <c r="Q122" s="134"/>
      <c r="R122" s="134"/>
      <c r="S122" s="134"/>
      <c r="T122" s="134"/>
      <c r="U122" s="134"/>
      <c r="V122" s="134"/>
      <c r="W122" s="134"/>
      <c r="X122" s="134"/>
      <c r="Y122" s="134"/>
    </row>
    <row r="123" spans="1:25" ht="12.75">
      <c r="A123" s="147"/>
      <c r="B123" s="148"/>
      <c r="C123" s="149"/>
      <c r="D123" s="135"/>
      <c r="E123" s="134"/>
      <c r="F123" s="134"/>
      <c r="G123" s="134"/>
      <c r="H123" s="134"/>
      <c r="I123" s="134"/>
      <c r="J123" s="134"/>
      <c r="K123" s="134"/>
      <c r="L123" s="134"/>
      <c r="M123" s="134"/>
      <c r="N123" s="134"/>
      <c r="O123" s="134"/>
      <c r="P123" s="134"/>
      <c r="Q123" s="134"/>
      <c r="R123" s="134"/>
      <c r="S123" s="134"/>
      <c r="T123" s="134"/>
      <c r="U123" s="134"/>
      <c r="V123" s="134"/>
      <c r="W123" s="134"/>
      <c r="X123" s="134"/>
      <c r="Y123" s="134"/>
    </row>
    <row r="124" spans="1:25" ht="12.75">
      <c r="A124" s="147"/>
      <c r="B124" s="148"/>
      <c r="C124" s="149"/>
      <c r="D124" s="135"/>
      <c r="E124" s="134"/>
      <c r="F124" s="134"/>
      <c r="G124" s="134"/>
      <c r="H124" s="134"/>
      <c r="I124" s="134"/>
      <c r="J124" s="134"/>
      <c r="K124" s="134"/>
      <c r="L124" s="134"/>
      <c r="M124" s="134"/>
      <c r="N124" s="134"/>
      <c r="O124" s="134"/>
      <c r="P124" s="134"/>
      <c r="Q124" s="134"/>
      <c r="R124" s="134"/>
      <c r="S124" s="134"/>
      <c r="T124" s="134"/>
      <c r="U124" s="134"/>
      <c r="V124" s="134"/>
      <c r="W124" s="134"/>
      <c r="X124" s="134"/>
      <c r="Y124" s="134"/>
    </row>
    <row r="125" spans="1:25" ht="12.75">
      <c r="A125" s="147"/>
      <c r="B125" s="148"/>
      <c r="C125" s="149"/>
      <c r="D125" s="135"/>
      <c r="E125" s="134"/>
      <c r="F125" s="134"/>
      <c r="G125" s="134"/>
      <c r="H125" s="134"/>
      <c r="I125" s="134"/>
      <c r="J125" s="134"/>
      <c r="K125" s="134"/>
      <c r="L125" s="134"/>
      <c r="M125" s="134"/>
      <c r="N125" s="134"/>
      <c r="O125" s="134"/>
      <c r="P125" s="134"/>
      <c r="Q125" s="134"/>
      <c r="R125" s="134"/>
      <c r="S125" s="134"/>
      <c r="T125" s="134"/>
      <c r="U125" s="134"/>
      <c r="V125" s="134"/>
      <c r="W125" s="134"/>
      <c r="X125" s="134"/>
      <c r="Y125" s="134"/>
    </row>
    <row r="126" spans="1:25" ht="12.75">
      <c r="A126" s="147"/>
      <c r="B126" s="148"/>
      <c r="C126" s="149"/>
      <c r="D126" s="135"/>
      <c r="E126" s="134"/>
      <c r="F126" s="134"/>
      <c r="G126" s="134"/>
      <c r="H126" s="134"/>
      <c r="I126" s="134"/>
      <c r="J126" s="134"/>
      <c r="K126" s="134"/>
      <c r="L126" s="134"/>
      <c r="M126" s="134"/>
      <c r="N126" s="134"/>
      <c r="O126" s="134"/>
      <c r="P126" s="134"/>
      <c r="Q126" s="134"/>
      <c r="R126" s="134"/>
      <c r="S126" s="134"/>
      <c r="T126" s="134"/>
      <c r="U126" s="134"/>
      <c r="V126" s="134"/>
      <c r="W126" s="134"/>
      <c r="X126" s="134"/>
      <c r="Y126" s="134"/>
    </row>
    <row r="127" spans="1:25" ht="12.75">
      <c r="A127" s="147"/>
      <c r="B127" s="148"/>
      <c r="C127" s="149"/>
      <c r="D127" s="135"/>
      <c r="E127" s="134"/>
      <c r="F127" s="134"/>
      <c r="G127" s="134"/>
      <c r="H127" s="134"/>
      <c r="I127" s="134"/>
      <c r="J127" s="134"/>
      <c r="K127" s="134"/>
      <c r="L127" s="134"/>
      <c r="M127" s="134"/>
      <c r="N127" s="134"/>
      <c r="O127" s="134"/>
      <c r="P127" s="134"/>
      <c r="Q127" s="134"/>
      <c r="R127" s="134"/>
      <c r="S127" s="134"/>
      <c r="T127" s="134"/>
      <c r="U127" s="134"/>
      <c r="V127" s="134"/>
      <c r="W127" s="134"/>
      <c r="X127" s="134"/>
      <c r="Y127" s="134"/>
    </row>
    <row r="128" spans="1:25" ht="12.75">
      <c r="A128" s="147"/>
      <c r="B128" s="148"/>
      <c r="C128" s="149"/>
      <c r="D128" s="135"/>
      <c r="E128" s="134"/>
      <c r="F128" s="134"/>
      <c r="G128" s="134"/>
      <c r="H128" s="134"/>
      <c r="I128" s="134"/>
      <c r="J128" s="134"/>
      <c r="K128" s="134"/>
      <c r="L128" s="134"/>
      <c r="M128" s="134"/>
      <c r="N128" s="134"/>
      <c r="O128" s="134"/>
      <c r="P128" s="134"/>
      <c r="Q128" s="134"/>
      <c r="R128" s="134"/>
      <c r="S128" s="134"/>
      <c r="T128" s="134"/>
      <c r="U128" s="134"/>
      <c r="V128" s="134"/>
      <c r="W128" s="134"/>
      <c r="X128" s="134"/>
      <c r="Y128" s="134"/>
    </row>
    <row r="129" spans="1:25" ht="12.75">
      <c r="A129" s="147"/>
      <c r="B129" s="133"/>
      <c r="C129" s="134"/>
      <c r="D129" s="135"/>
      <c r="E129" s="134"/>
      <c r="F129" s="134"/>
      <c r="G129" s="134"/>
      <c r="H129" s="134"/>
      <c r="I129" s="134"/>
      <c r="J129" s="134"/>
      <c r="K129" s="134"/>
      <c r="L129" s="134"/>
      <c r="M129" s="134"/>
      <c r="N129" s="134"/>
      <c r="O129" s="134"/>
      <c r="P129" s="134"/>
      <c r="Q129" s="134"/>
      <c r="R129" s="134"/>
      <c r="S129" s="134"/>
      <c r="T129" s="134"/>
      <c r="U129" s="134"/>
      <c r="V129" s="134"/>
      <c r="W129" s="134"/>
      <c r="X129" s="134"/>
      <c r="Y129" s="134"/>
    </row>
    <row r="130" spans="1:25" ht="12.75">
      <c r="A130" s="147"/>
      <c r="B130" s="133"/>
      <c r="C130" s="134"/>
      <c r="D130" s="135"/>
      <c r="E130" s="134"/>
      <c r="F130" s="134"/>
      <c r="G130" s="134"/>
      <c r="H130" s="134"/>
      <c r="I130" s="134"/>
      <c r="J130" s="134"/>
      <c r="K130" s="134"/>
      <c r="L130" s="134"/>
      <c r="M130" s="134"/>
      <c r="N130" s="134"/>
      <c r="O130" s="134"/>
      <c r="P130" s="134"/>
      <c r="Q130" s="134"/>
      <c r="R130" s="134"/>
      <c r="S130" s="134"/>
      <c r="T130" s="134"/>
      <c r="U130" s="134"/>
      <c r="V130" s="134"/>
      <c r="W130" s="134"/>
      <c r="X130" s="134"/>
      <c r="Y130" s="134"/>
    </row>
    <row r="131" spans="1:25" ht="12.75">
      <c r="A131" s="147"/>
      <c r="B131" s="133"/>
      <c r="C131" s="134"/>
      <c r="D131" s="135"/>
      <c r="E131" s="134"/>
      <c r="F131" s="134"/>
      <c r="G131" s="134"/>
      <c r="H131" s="134"/>
      <c r="I131" s="134"/>
      <c r="J131" s="134"/>
      <c r="K131" s="134"/>
      <c r="L131" s="134"/>
      <c r="M131" s="134"/>
      <c r="N131" s="134"/>
      <c r="O131" s="134"/>
      <c r="P131" s="134"/>
      <c r="Q131" s="134"/>
      <c r="R131" s="134"/>
      <c r="S131" s="134"/>
      <c r="T131" s="134"/>
      <c r="U131" s="134"/>
      <c r="V131" s="134"/>
      <c r="W131" s="134"/>
      <c r="X131" s="134"/>
      <c r="Y131" s="134"/>
    </row>
    <row r="132" spans="1:25" ht="12.75">
      <c r="A132" s="147"/>
      <c r="B132" s="133"/>
      <c r="C132" s="134"/>
      <c r="D132" s="135"/>
      <c r="E132" s="134"/>
      <c r="F132" s="134"/>
      <c r="G132" s="134"/>
      <c r="H132" s="134"/>
      <c r="I132" s="134"/>
      <c r="J132" s="134"/>
      <c r="K132" s="134"/>
      <c r="L132" s="134"/>
      <c r="M132" s="134"/>
      <c r="N132" s="134"/>
      <c r="O132" s="134"/>
      <c r="P132" s="134"/>
      <c r="Q132" s="134"/>
      <c r="R132" s="134"/>
      <c r="S132" s="134"/>
      <c r="T132" s="134"/>
      <c r="U132" s="134"/>
      <c r="V132" s="134"/>
      <c r="W132" s="134"/>
      <c r="X132" s="134"/>
      <c r="Y132" s="134"/>
    </row>
    <row r="133" spans="1:25" ht="12.75">
      <c r="A133" s="147"/>
      <c r="B133" s="133"/>
      <c r="C133" s="134"/>
      <c r="D133" s="135"/>
      <c r="E133" s="134"/>
      <c r="F133" s="134"/>
      <c r="G133" s="134"/>
      <c r="H133" s="134"/>
      <c r="I133" s="134"/>
      <c r="J133" s="134"/>
      <c r="K133" s="134"/>
      <c r="L133" s="134"/>
      <c r="M133" s="134"/>
      <c r="N133" s="134"/>
      <c r="O133" s="134"/>
      <c r="P133" s="134"/>
      <c r="Q133" s="134"/>
      <c r="R133" s="134"/>
      <c r="S133" s="134"/>
      <c r="T133" s="134"/>
      <c r="U133" s="134"/>
      <c r="V133" s="134"/>
      <c r="W133" s="134"/>
      <c r="X133" s="134"/>
      <c r="Y133" s="134"/>
    </row>
    <row r="134" spans="1:25" ht="12.75">
      <c r="A134" s="147"/>
      <c r="B134" s="133"/>
      <c r="C134" s="134"/>
      <c r="D134" s="135"/>
      <c r="E134" s="134"/>
      <c r="F134" s="134"/>
      <c r="G134" s="134"/>
      <c r="H134" s="134"/>
      <c r="I134" s="134"/>
      <c r="J134" s="134"/>
      <c r="K134" s="134"/>
      <c r="L134" s="134"/>
      <c r="M134" s="134"/>
      <c r="N134" s="134"/>
      <c r="O134" s="134"/>
      <c r="P134" s="134"/>
      <c r="Q134" s="134"/>
      <c r="R134" s="134"/>
      <c r="S134" s="134"/>
      <c r="T134" s="134"/>
      <c r="U134" s="134"/>
      <c r="V134" s="134"/>
      <c r="W134" s="134"/>
      <c r="X134" s="134"/>
      <c r="Y134" s="134"/>
    </row>
    <row r="135" spans="1:25" ht="12.75">
      <c r="A135" s="147"/>
      <c r="B135" s="133"/>
      <c r="C135" s="134"/>
      <c r="D135" s="135"/>
      <c r="E135" s="134"/>
      <c r="F135" s="134"/>
      <c r="G135" s="134"/>
      <c r="H135" s="134"/>
      <c r="I135" s="134"/>
      <c r="J135" s="134"/>
      <c r="K135" s="134"/>
      <c r="L135" s="134"/>
      <c r="M135" s="134"/>
      <c r="N135" s="134"/>
      <c r="O135" s="134"/>
      <c r="P135" s="134"/>
      <c r="Q135" s="134"/>
      <c r="R135" s="134"/>
      <c r="S135" s="134"/>
      <c r="T135" s="134"/>
      <c r="U135" s="134"/>
      <c r="V135" s="134"/>
      <c r="W135" s="134"/>
      <c r="X135" s="134"/>
      <c r="Y135" s="134"/>
    </row>
    <row r="136" spans="1:25" ht="12.75">
      <c r="A136" s="147"/>
      <c r="B136" s="133"/>
      <c r="C136" s="134"/>
      <c r="D136" s="135"/>
      <c r="E136" s="134"/>
      <c r="F136" s="134"/>
      <c r="G136" s="134"/>
      <c r="H136" s="134"/>
      <c r="I136" s="134"/>
      <c r="J136" s="134"/>
      <c r="K136" s="134"/>
      <c r="L136" s="134"/>
      <c r="M136" s="134"/>
      <c r="N136" s="134"/>
      <c r="O136" s="134"/>
      <c r="P136" s="134"/>
      <c r="Q136" s="134"/>
      <c r="R136" s="134"/>
      <c r="S136" s="134"/>
      <c r="T136" s="134"/>
      <c r="U136" s="134"/>
      <c r="V136" s="134"/>
      <c r="W136" s="134"/>
      <c r="X136" s="134"/>
      <c r="Y136" s="134"/>
    </row>
    <row r="137" spans="1:25" ht="12.75">
      <c r="A137" s="147"/>
      <c r="B137" s="133"/>
      <c r="C137" s="134"/>
      <c r="D137" s="135"/>
      <c r="E137" s="134"/>
      <c r="F137" s="134"/>
      <c r="G137" s="134"/>
      <c r="H137" s="134"/>
      <c r="I137" s="134"/>
      <c r="J137" s="134"/>
      <c r="K137" s="134"/>
      <c r="L137" s="134"/>
      <c r="M137" s="134"/>
      <c r="N137" s="134"/>
      <c r="O137" s="134"/>
      <c r="P137" s="134"/>
      <c r="Q137" s="134"/>
      <c r="R137" s="134"/>
      <c r="S137" s="134"/>
      <c r="T137" s="134"/>
      <c r="U137" s="134"/>
      <c r="V137" s="134"/>
      <c r="W137" s="134"/>
      <c r="X137" s="134"/>
      <c r="Y137" s="134"/>
    </row>
    <row r="138" spans="1:25" ht="12.75">
      <c r="A138" s="147"/>
      <c r="B138" s="133"/>
      <c r="C138" s="134"/>
      <c r="D138" s="135"/>
      <c r="E138" s="134"/>
      <c r="F138" s="134"/>
      <c r="G138" s="134"/>
      <c r="H138" s="134"/>
      <c r="I138" s="134"/>
      <c r="J138" s="134"/>
      <c r="K138" s="134"/>
      <c r="L138" s="134"/>
      <c r="M138" s="134"/>
      <c r="N138" s="134"/>
      <c r="O138" s="134"/>
      <c r="P138" s="134"/>
      <c r="Q138" s="134"/>
      <c r="R138" s="134"/>
      <c r="S138" s="134"/>
      <c r="T138" s="134"/>
      <c r="U138" s="134"/>
      <c r="V138" s="134"/>
      <c r="W138" s="134"/>
      <c r="X138" s="134"/>
      <c r="Y138" s="134"/>
    </row>
    <row r="139" spans="1:25" ht="12.75">
      <c r="A139" s="147"/>
      <c r="B139" s="133"/>
      <c r="C139" s="134"/>
      <c r="D139" s="135"/>
      <c r="E139" s="134"/>
      <c r="F139" s="134"/>
      <c r="G139" s="134"/>
      <c r="H139" s="134"/>
      <c r="I139" s="134"/>
      <c r="J139" s="134"/>
      <c r="K139" s="134"/>
      <c r="L139" s="134"/>
      <c r="M139" s="134"/>
      <c r="N139" s="134"/>
      <c r="O139" s="134"/>
      <c r="P139" s="134"/>
      <c r="Q139" s="134"/>
      <c r="R139" s="134"/>
      <c r="S139" s="134"/>
      <c r="T139" s="134"/>
      <c r="U139" s="134"/>
      <c r="V139" s="134"/>
      <c r="W139" s="134"/>
      <c r="X139" s="134"/>
      <c r="Y139" s="134"/>
    </row>
    <row r="140" spans="1:25" ht="12.75">
      <c r="A140" s="147"/>
      <c r="B140" s="133"/>
      <c r="C140" s="134"/>
      <c r="D140" s="135"/>
      <c r="E140" s="134"/>
      <c r="F140" s="134"/>
      <c r="G140" s="134"/>
      <c r="H140" s="134"/>
      <c r="I140" s="134"/>
      <c r="J140" s="134"/>
      <c r="K140" s="134"/>
      <c r="L140" s="134"/>
      <c r="M140" s="134"/>
      <c r="N140" s="134"/>
      <c r="O140" s="134"/>
      <c r="P140" s="134"/>
      <c r="Q140" s="134"/>
      <c r="R140" s="134"/>
      <c r="S140" s="134"/>
      <c r="T140" s="134"/>
      <c r="U140" s="134"/>
      <c r="V140" s="134"/>
      <c r="W140" s="134"/>
      <c r="X140" s="134"/>
      <c r="Y140" s="134"/>
    </row>
    <row r="141" spans="1:25" ht="12.75">
      <c r="A141" s="147"/>
      <c r="B141" s="133"/>
      <c r="C141" s="134"/>
      <c r="D141" s="135"/>
      <c r="E141" s="134"/>
      <c r="F141" s="134"/>
      <c r="G141" s="134"/>
      <c r="H141" s="134"/>
      <c r="I141" s="134"/>
      <c r="J141" s="134"/>
      <c r="K141" s="134"/>
      <c r="L141" s="134"/>
      <c r="M141" s="134"/>
      <c r="N141" s="134"/>
      <c r="O141" s="134"/>
      <c r="P141" s="134"/>
      <c r="Q141" s="134"/>
      <c r="R141" s="134"/>
      <c r="S141" s="134"/>
      <c r="T141" s="134"/>
      <c r="U141" s="134"/>
      <c r="V141" s="134"/>
      <c r="W141" s="134"/>
      <c r="X141" s="134"/>
      <c r="Y141" s="134"/>
    </row>
    <row r="142" spans="1:25" ht="12.75">
      <c r="A142" s="147"/>
      <c r="B142" s="133"/>
      <c r="C142" s="134"/>
      <c r="D142" s="135"/>
      <c r="E142" s="134"/>
      <c r="F142" s="134"/>
      <c r="G142" s="134"/>
      <c r="H142" s="134"/>
      <c r="I142" s="134"/>
      <c r="J142" s="134"/>
      <c r="K142" s="134"/>
      <c r="L142" s="134"/>
      <c r="M142" s="134"/>
      <c r="N142" s="134"/>
      <c r="O142" s="134"/>
      <c r="P142" s="134"/>
      <c r="Q142" s="134"/>
      <c r="R142" s="134"/>
      <c r="S142" s="134"/>
      <c r="T142" s="134"/>
      <c r="U142" s="134"/>
      <c r="V142" s="134"/>
      <c r="W142" s="134"/>
      <c r="X142" s="134"/>
      <c r="Y142" s="134"/>
    </row>
    <row r="143" spans="1:25" ht="12.75">
      <c r="A143" s="147"/>
      <c r="B143" s="133"/>
      <c r="C143" s="134"/>
      <c r="D143" s="135"/>
      <c r="E143" s="134"/>
      <c r="F143" s="134"/>
      <c r="G143" s="134"/>
      <c r="H143" s="134"/>
      <c r="I143" s="134"/>
      <c r="J143" s="134"/>
      <c r="K143" s="134"/>
      <c r="L143" s="134"/>
      <c r="M143" s="134"/>
      <c r="N143" s="134"/>
      <c r="O143" s="134"/>
      <c r="P143" s="134"/>
      <c r="Q143" s="134"/>
      <c r="R143" s="134"/>
      <c r="S143" s="134"/>
      <c r="T143" s="134"/>
      <c r="U143" s="134"/>
      <c r="V143" s="134"/>
      <c r="W143" s="134"/>
      <c r="X143" s="134"/>
      <c r="Y143" s="134"/>
    </row>
    <row r="144" spans="1:25" ht="12.75">
      <c r="A144" s="147"/>
      <c r="B144" s="133"/>
      <c r="C144" s="134"/>
      <c r="D144" s="135"/>
      <c r="E144" s="134"/>
      <c r="F144" s="134"/>
      <c r="G144" s="134"/>
      <c r="H144" s="134"/>
      <c r="I144" s="134"/>
      <c r="J144" s="134"/>
      <c r="K144" s="134"/>
      <c r="L144" s="134"/>
      <c r="M144" s="134"/>
      <c r="N144" s="134"/>
      <c r="O144" s="134"/>
      <c r="P144" s="134"/>
      <c r="Q144" s="134"/>
      <c r="R144" s="134"/>
      <c r="S144" s="134"/>
      <c r="T144" s="134"/>
      <c r="U144" s="134"/>
      <c r="V144" s="134"/>
      <c r="W144" s="134"/>
      <c r="X144" s="134"/>
      <c r="Y144" s="134"/>
    </row>
    <row r="145" spans="1:25" ht="12.75">
      <c r="A145" s="147"/>
      <c r="B145" s="133"/>
      <c r="C145" s="134"/>
      <c r="D145" s="135"/>
      <c r="E145" s="134"/>
      <c r="F145" s="134"/>
      <c r="G145" s="134"/>
      <c r="H145" s="134"/>
      <c r="I145" s="134"/>
      <c r="J145" s="134"/>
      <c r="K145" s="134"/>
      <c r="L145" s="134"/>
      <c r="M145" s="134"/>
      <c r="N145" s="134"/>
      <c r="O145" s="134"/>
      <c r="P145" s="134"/>
      <c r="Q145" s="134"/>
      <c r="R145" s="134"/>
      <c r="S145" s="134"/>
      <c r="T145" s="134"/>
      <c r="U145" s="134"/>
      <c r="V145" s="134"/>
      <c r="W145" s="134"/>
      <c r="X145" s="134"/>
      <c r="Y145" s="134"/>
    </row>
    <row r="146" spans="1:25" ht="12.75">
      <c r="A146" s="147"/>
      <c r="B146" s="133"/>
      <c r="C146" s="134"/>
      <c r="D146" s="135"/>
      <c r="E146" s="134"/>
      <c r="F146" s="134"/>
      <c r="G146" s="134"/>
      <c r="H146" s="134"/>
      <c r="I146" s="134"/>
      <c r="J146" s="134"/>
      <c r="K146" s="134"/>
      <c r="L146" s="134"/>
      <c r="M146" s="134"/>
      <c r="N146" s="134"/>
      <c r="O146" s="134"/>
      <c r="P146" s="134"/>
      <c r="Q146" s="134"/>
      <c r="R146" s="134"/>
      <c r="S146" s="134"/>
      <c r="T146" s="134"/>
      <c r="U146" s="134"/>
      <c r="V146" s="134"/>
      <c r="W146" s="134"/>
      <c r="X146" s="134"/>
      <c r="Y146" s="134"/>
    </row>
    <row r="147" spans="1:25" ht="12.75">
      <c r="A147" s="147"/>
      <c r="B147" s="133"/>
      <c r="C147" s="134"/>
      <c r="D147" s="135"/>
      <c r="E147" s="134"/>
      <c r="F147" s="134"/>
      <c r="G147" s="134"/>
      <c r="H147" s="134"/>
      <c r="I147" s="134"/>
      <c r="J147" s="134"/>
      <c r="K147" s="134"/>
      <c r="L147" s="134"/>
      <c r="M147" s="134"/>
      <c r="N147" s="134"/>
      <c r="O147" s="134"/>
      <c r="P147" s="134"/>
      <c r="Q147" s="134"/>
      <c r="R147" s="134"/>
      <c r="S147" s="134"/>
      <c r="T147" s="134"/>
      <c r="U147" s="134"/>
      <c r="V147" s="134"/>
      <c r="W147" s="134"/>
      <c r="X147" s="134"/>
      <c r="Y147" s="134"/>
    </row>
    <row r="148" spans="1:25" ht="12.75">
      <c r="A148" s="147"/>
      <c r="B148" s="133"/>
      <c r="C148" s="134"/>
      <c r="D148" s="135"/>
      <c r="E148" s="134"/>
      <c r="F148" s="134"/>
      <c r="G148" s="134"/>
      <c r="H148" s="134"/>
      <c r="I148" s="134"/>
      <c r="J148" s="134"/>
      <c r="K148" s="134"/>
      <c r="L148" s="134"/>
      <c r="M148" s="134"/>
      <c r="N148" s="134"/>
      <c r="O148" s="134"/>
      <c r="P148" s="134"/>
      <c r="Q148" s="134"/>
      <c r="R148" s="134"/>
      <c r="S148" s="134"/>
      <c r="T148" s="134"/>
      <c r="U148" s="134"/>
      <c r="V148" s="134"/>
      <c r="W148" s="134"/>
      <c r="X148" s="134"/>
      <c r="Y148" s="134"/>
    </row>
    <row r="149" spans="1:25" ht="12.75">
      <c r="A149" s="147"/>
      <c r="B149" s="133"/>
      <c r="C149" s="134"/>
      <c r="D149" s="135"/>
      <c r="E149" s="134"/>
      <c r="F149" s="134"/>
      <c r="G149" s="134"/>
      <c r="H149" s="134"/>
      <c r="I149" s="134"/>
      <c r="J149" s="134"/>
      <c r="K149" s="134"/>
      <c r="L149" s="134"/>
      <c r="M149" s="134"/>
      <c r="N149" s="134"/>
      <c r="O149" s="134"/>
      <c r="P149" s="134"/>
      <c r="Q149" s="134"/>
      <c r="R149" s="134"/>
      <c r="S149" s="134"/>
      <c r="T149" s="134"/>
      <c r="U149" s="134"/>
      <c r="V149" s="134"/>
      <c r="W149" s="134"/>
      <c r="X149" s="134"/>
      <c r="Y149" s="134"/>
    </row>
    <row r="150" spans="1:25" ht="12.75">
      <c r="A150" s="147"/>
      <c r="B150" s="133"/>
      <c r="C150" s="134"/>
      <c r="D150" s="135"/>
      <c r="E150" s="134"/>
      <c r="F150" s="134"/>
      <c r="G150" s="134"/>
      <c r="H150" s="134"/>
      <c r="I150" s="134"/>
      <c r="J150" s="134"/>
      <c r="K150" s="134"/>
      <c r="L150" s="134"/>
      <c r="M150" s="134"/>
      <c r="N150" s="134"/>
      <c r="O150" s="134"/>
      <c r="P150" s="134"/>
      <c r="Q150" s="134"/>
      <c r="R150" s="134"/>
      <c r="S150" s="134"/>
      <c r="T150" s="134"/>
      <c r="U150" s="134"/>
      <c r="V150" s="134"/>
      <c r="W150" s="134"/>
      <c r="X150" s="134"/>
      <c r="Y150" s="134"/>
    </row>
    <row r="151" spans="1:25" ht="12.75">
      <c r="A151" s="147"/>
      <c r="B151" s="133"/>
      <c r="C151" s="134"/>
      <c r="D151" s="135"/>
      <c r="E151" s="134"/>
      <c r="F151" s="134"/>
      <c r="G151" s="134"/>
      <c r="H151" s="134"/>
      <c r="I151" s="134"/>
      <c r="J151" s="134"/>
      <c r="K151" s="134"/>
      <c r="L151" s="134"/>
      <c r="M151" s="134"/>
      <c r="N151" s="134"/>
      <c r="O151" s="134"/>
      <c r="P151" s="134"/>
      <c r="Q151" s="134"/>
      <c r="R151" s="134"/>
      <c r="S151" s="134"/>
      <c r="T151" s="134"/>
      <c r="U151" s="134"/>
      <c r="V151" s="134"/>
      <c r="W151" s="134"/>
      <c r="X151" s="134"/>
      <c r="Y151" s="134"/>
    </row>
    <row r="152" spans="1:25" ht="12.75">
      <c r="A152" s="147"/>
      <c r="B152" s="133"/>
      <c r="C152" s="134"/>
      <c r="D152" s="135"/>
      <c r="E152" s="134"/>
      <c r="F152" s="134"/>
      <c r="G152" s="134"/>
      <c r="H152" s="134"/>
      <c r="I152" s="134"/>
      <c r="J152" s="134"/>
      <c r="K152" s="134"/>
      <c r="L152" s="134"/>
      <c r="M152" s="134"/>
      <c r="N152" s="134"/>
      <c r="O152" s="134"/>
      <c r="P152" s="134"/>
      <c r="Q152" s="134"/>
      <c r="R152" s="134"/>
      <c r="S152" s="134"/>
      <c r="T152" s="134"/>
      <c r="U152" s="134"/>
      <c r="V152" s="134"/>
      <c r="W152" s="134"/>
      <c r="X152" s="134"/>
      <c r="Y152" s="134"/>
    </row>
    <row r="153" spans="1:25" ht="12.75">
      <c r="A153" s="147"/>
      <c r="B153" s="133"/>
      <c r="C153" s="134"/>
      <c r="D153" s="135"/>
      <c r="E153" s="134"/>
      <c r="F153" s="134"/>
      <c r="G153" s="134"/>
      <c r="H153" s="134"/>
      <c r="I153" s="134"/>
      <c r="J153" s="134"/>
      <c r="K153" s="134"/>
      <c r="L153" s="134"/>
      <c r="M153" s="134"/>
      <c r="N153" s="134"/>
      <c r="O153" s="134"/>
      <c r="P153" s="134"/>
      <c r="Q153" s="134"/>
      <c r="R153" s="134"/>
      <c r="S153" s="134"/>
      <c r="T153" s="134"/>
      <c r="U153" s="134"/>
      <c r="V153" s="134"/>
      <c r="W153" s="134"/>
      <c r="X153" s="134"/>
      <c r="Y153" s="134"/>
    </row>
    <row r="154" spans="1:25" ht="12.75">
      <c r="A154" s="147"/>
      <c r="B154" s="133"/>
      <c r="C154" s="134"/>
      <c r="D154" s="135"/>
      <c r="E154" s="134"/>
      <c r="F154" s="134"/>
      <c r="G154" s="134"/>
      <c r="H154" s="134"/>
      <c r="I154" s="134"/>
      <c r="J154" s="134"/>
      <c r="K154" s="134"/>
      <c r="L154" s="134"/>
      <c r="M154" s="134"/>
      <c r="N154" s="134"/>
      <c r="O154" s="134"/>
      <c r="P154" s="134"/>
      <c r="Q154" s="134"/>
      <c r="R154" s="134"/>
      <c r="S154" s="134"/>
      <c r="T154" s="134"/>
      <c r="U154" s="134"/>
      <c r="V154" s="134"/>
      <c r="W154" s="134"/>
      <c r="X154" s="134"/>
      <c r="Y154" s="134"/>
    </row>
    <row r="155" spans="1:25" ht="12.75">
      <c r="A155" s="147"/>
      <c r="B155" s="133"/>
      <c r="C155" s="134"/>
      <c r="D155" s="135"/>
      <c r="E155" s="134"/>
      <c r="F155" s="134"/>
      <c r="G155" s="134"/>
      <c r="H155" s="134"/>
      <c r="I155" s="134"/>
      <c r="J155" s="134"/>
      <c r="K155" s="134"/>
      <c r="L155" s="134"/>
      <c r="M155" s="134"/>
      <c r="N155" s="134"/>
      <c r="O155" s="134"/>
      <c r="P155" s="134"/>
      <c r="Q155" s="134"/>
      <c r="R155" s="134"/>
      <c r="S155" s="134"/>
      <c r="T155" s="134"/>
      <c r="U155" s="134"/>
      <c r="V155" s="134"/>
      <c r="W155" s="134"/>
      <c r="X155" s="134"/>
      <c r="Y155" s="134"/>
    </row>
    <row r="156" spans="1:25" ht="12.75">
      <c r="A156" s="147"/>
      <c r="B156" s="133"/>
      <c r="C156" s="134"/>
      <c r="D156" s="135"/>
      <c r="E156" s="134"/>
      <c r="F156" s="134"/>
      <c r="G156" s="134"/>
      <c r="H156" s="134"/>
      <c r="I156" s="134"/>
      <c r="J156" s="134"/>
      <c r="K156" s="134"/>
      <c r="L156" s="134"/>
      <c r="M156" s="134"/>
      <c r="N156" s="134"/>
      <c r="O156" s="134"/>
      <c r="P156" s="134"/>
      <c r="Q156" s="134"/>
      <c r="R156" s="134"/>
      <c r="S156" s="134"/>
      <c r="T156" s="134"/>
      <c r="U156" s="134"/>
      <c r="V156" s="134"/>
      <c r="W156" s="134"/>
      <c r="X156" s="134"/>
      <c r="Y156" s="134"/>
    </row>
    <row r="157" spans="1:25" ht="12.75">
      <c r="A157" s="147"/>
      <c r="B157" s="133"/>
      <c r="C157" s="134"/>
      <c r="D157" s="135"/>
      <c r="E157" s="134"/>
      <c r="F157" s="134"/>
      <c r="G157" s="134"/>
      <c r="H157" s="134"/>
      <c r="I157" s="134"/>
      <c r="J157" s="134"/>
      <c r="K157" s="134"/>
      <c r="L157" s="134"/>
      <c r="M157" s="134"/>
      <c r="N157" s="134"/>
      <c r="O157" s="134"/>
      <c r="P157" s="134"/>
      <c r="Q157" s="134"/>
      <c r="R157" s="134"/>
      <c r="S157" s="134"/>
      <c r="T157" s="134"/>
      <c r="U157" s="134"/>
      <c r="V157" s="134"/>
      <c r="W157" s="134"/>
      <c r="X157" s="134"/>
      <c r="Y157" s="134"/>
    </row>
    <row r="158" spans="1:25" ht="12.75">
      <c r="A158" s="147"/>
      <c r="B158" s="133"/>
      <c r="C158" s="134"/>
      <c r="D158" s="135"/>
      <c r="E158" s="134"/>
      <c r="F158" s="134"/>
      <c r="G158" s="134"/>
      <c r="H158" s="134"/>
      <c r="I158" s="134"/>
      <c r="J158" s="134"/>
      <c r="K158" s="134"/>
      <c r="L158" s="134"/>
      <c r="M158" s="134"/>
      <c r="N158" s="134"/>
      <c r="O158" s="134"/>
      <c r="P158" s="134"/>
      <c r="Q158" s="134"/>
      <c r="R158" s="134"/>
      <c r="S158" s="134"/>
      <c r="T158" s="134"/>
      <c r="U158" s="134"/>
      <c r="V158" s="134"/>
      <c r="W158" s="134"/>
      <c r="X158" s="134"/>
      <c r="Y158" s="134"/>
    </row>
    <row r="159" spans="1:25" ht="12.75">
      <c r="A159" s="147"/>
      <c r="B159" s="133"/>
      <c r="C159" s="134"/>
      <c r="D159" s="135"/>
      <c r="E159" s="134"/>
      <c r="F159" s="134"/>
      <c r="G159" s="134"/>
      <c r="H159" s="134"/>
      <c r="I159" s="134"/>
      <c r="J159" s="134"/>
      <c r="K159" s="134"/>
      <c r="L159" s="134"/>
      <c r="M159" s="134"/>
      <c r="N159" s="134"/>
      <c r="O159" s="134"/>
      <c r="P159" s="134"/>
      <c r="Q159" s="134"/>
      <c r="R159" s="134"/>
      <c r="S159" s="134"/>
      <c r="T159" s="134"/>
      <c r="U159" s="134"/>
      <c r="V159" s="134"/>
      <c r="W159" s="134"/>
      <c r="X159" s="134"/>
      <c r="Y159" s="134"/>
    </row>
    <row r="160" spans="1:25" ht="12.75">
      <c r="A160" s="147"/>
      <c r="B160" s="133"/>
      <c r="C160" s="134"/>
      <c r="D160" s="135"/>
      <c r="E160" s="134"/>
      <c r="F160" s="134"/>
      <c r="G160" s="134"/>
      <c r="H160" s="134"/>
      <c r="I160" s="134"/>
      <c r="J160" s="134"/>
      <c r="K160" s="134"/>
      <c r="L160" s="134"/>
      <c r="M160" s="134"/>
      <c r="N160" s="134"/>
      <c r="O160" s="134"/>
      <c r="P160" s="134"/>
      <c r="Q160" s="134"/>
      <c r="R160" s="134"/>
      <c r="S160" s="134"/>
      <c r="T160" s="134"/>
      <c r="U160" s="134"/>
      <c r="V160" s="134"/>
      <c r="W160" s="134"/>
      <c r="X160" s="134"/>
      <c r="Y160" s="134"/>
    </row>
    <row r="161" spans="1:25" ht="12.75">
      <c r="A161" s="147"/>
      <c r="B161" s="133"/>
      <c r="C161" s="134"/>
      <c r="D161" s="135"/>
      <c r="E161" s="134"/>
      <c r="F161" s="134"/>
      <c r="G161" s="134"/>
      <c r="H161" s="134"/>
      <c r="I161" s="134"/>
      <c r="J161" s="134"/>
      <c r="K161" s="134"/>
      <c r="L161" s="134"/>
      <c r="M161" s="134"/>
      <c r="N161" s="134"/>
      <c r="O161" s="134"/>
      <c r="P161" s="134"/>
      <c r="Q161" s="134"/>
      <c r="R161" s="134"/>
      <c r="S161" s="134"/>
      <c r="T161" s="134"/>
      <c r="U161" s="134"/>
      <c r="V161" s="134"/>
      <c r="W161" s="134"/>
      <c r="X161" s="134"/>
      <c r="Y161" s="134"/>
    </row>
    <row r="162" spans="1:25" ht="12.75">
      <c r="A162" s="147"/>
      <c r="B162" s="133"/>
      <c r="C162" s="134"/>
      <c r="D162" s="135"/>
      <c r="E162" s="134"/>
      <c r="F162" s="134"/>
      <c r="G162" s="134"/>
      <c r="H162" s="134"/>
      <c r="I162" s="134"/>
      <c r="J162" s="134"/>
      <c r="K162" s="134"/>
      <c r="L162" s="134"/>
      <c r="M162" s="134"/>
      <c r="N162" s="134"/>
      <c r="O162" s="134"/>
      <c r="P162" s="134"/>
      <c r="Q162" s="134"/>
      <c r="R162" s="134"/>
      <c r="S162" s="134"/>
      <c r="T162" s="134"/>
      <c r="U162" s="134"/>
      <c r="V162" s="134"/>
      <c r="W162" s="134"/>
      <c r="X162" s="134"/>
      <c r="Y162" s="134"/>
    </row>
    <row r="163" spans="1:25" ht="12.75">
      <c r="A163" s="147"/>
      <c r="B163" s="133"/>
      <c r="C163" s="134"/>
      <c r="D163" s="135"/>
      <c r="E163" s="134"/>
      <c r="F163" s="134"/>
      <c r="G163" s="134"/>
      <c r="H163" s="134"/>
      <c r="I163" s="134"/>
      <c r="J163" s="134"/>
      <c r="K163" s="134"/>
      <c r="L163" s="134"/>
      <c r="M163" s="134"/>
      <c r="N163" s="134"/>
      <c r="O163" s="134"/>
      <c r="P163" s="134"/>
      <c r="Q163" s="134"/>
      <c r="R163" s="134"/>
      <c r="S163" s="134"/>
      <c r="T163" s="134"/>
      <c r="U163" s="134"/>
      <c r="V163" s="134"/>
      <c r="W163" s="134"/>
      <c r="X163" s="134"/>
      <c r="Y163" s="134"/>
    </row>
    <row r="164" spans="1:25" ht="12.75">
      <c r="A164" s="147"/>
      <c r="B164" s="133"/>
      <c r="C164" s="134"/>
      <c r="D164" s="135"/>
      <c r="E164" s="134"/>
      <c r="F164" s="134"/>
      <c r="G164" s="134"/>
      <c r="H164" s="134"/>
      <c r="I164" s="134"/>
      <c r="J164" s="134"/>
      <c r="K164" s="134"/>
      <c r="L164" s="134"/>
      <c r="M164" s="134"/>
      <c r="N164" s="134"/>
      <c r="O164" s="134"/>
      <c r="P164" s="134"/>
      <c r="Q164" s="134"/>
      <c r="R164" s="134"/>
      <c r="S164" s="134"/>
      <c r="T164" s="134"/>
      <c r="U164" s="134"/>
      <c r="V164" s="134"/>
      <c r="W164" s="134"/>
      <c r="X164" s="134"/>
      <c r="Y164" s="134"/>
    </row>
    <row r="165" spans="1:25" ht="12.75">
      <c r="A165" s="147"/>
      <c r="B165" s="133"/>
      <c r="C165" s="134"/>
      <c r="D165" s="135"/>
      <c r="E165" s="134"/>
      <c r="F165" s="134"/>
      <c r="G165" s="134"/>
      <c r="H165" s="134"/>
      <c r="I165" s="134"/>
      <c r="J165" s="134"/>
      <c r="K165" s="134"/>
      <c r="L165" s="134"/>
      <c r="M165" s="134"/>
      <c r="N165" s="134"/>
      <c r="O165" s="134"/>
      <c r="P165" s="134"/>
      <c r="Q165" s="134"/>
      <c r="R165" s="134"/>
      <c r="S165" s="134"/>
      <c r="T165" s="134"/>
      <c r="U165" s="134"/>
      <c r="V165" s="134"/>
      <c r="W165" s="134"/>
      <c r="X165" s="134"/>
      <c r="Y165" s="134"/>
    </row>
    <row r="166" spans="1:25" ht="12.75">
      <c r="A166" s="147"/>
      <c r="B166" s="133"/>
      <c r="C166" s="134"/>
      <c r="D166" s="135"/>
      <c r="E166" s="134"/>
      <c r="F166" s="134"/>
      <c r="G166" s="134"/>
      <c r="H166" s="134"/>
      <c r="I166" s="134"/>
      <c r="J166" s="134"/>
      <c r="K166" s="134"/>
      <c r="L166" s="134"/>
      <c r="M166" s="134"/>
      <c r="N166" s="134"/>
      <c r="O166" s="134"/>
      <c r="P166" s="134"/>
      <c r="Q166" s="134"/>
      <c r="R166" s="134"/>
      <c r="S166" s="134"/>
      <c r="T166" s="134"/>
      <c r="U166" s="134"/>
      <c r="V166" s="134"/>
      <c r="W166" s="134"/>
      <c r="X166" s="134"/>
      <c r="Y166" s="134"/>
    </row>
    <row r="167" spans="1:25" ht="12.75">
      <c r="A167" s="147"/>
      <c r="B167" s="133"/>
      <c r="C167" s="134"/>
      <c r="D167" s="135"/>
      <c r="E167" s="134"/>
      <c r="F167" s="134"/>
      <c r="G167" s="134"/>
      <c r="H167" s="134"/>
      <c r="I167" s="134"/>
      <c r="J167" s="134"/>
      <c r="K167" s="134"/>
      <c r="L167" s="134"/>
      <c r="M167" s="134"/>
      <c r="N167" s="134"/>
      <c r="O167" s="134"/>
      <c r="P167" s="134"/>
      <c r="Q167" s="134"/>
      <c r="R167" s="134"/>
      <c r="S167" s="134"/>
      <c r="T167" s="134"/>
      <c r="U167" s="134"/>
      <c r="V167" s="134"/>
      <c r="W167" s="134"/>
      <c r="X167" s="134"/>
      <c r="Y167" s="134"/>
    </row>
    <row r="168" spans="1:25" ht="12.75">
      <c r="A168" s="147"/>
      <c r="B168" s="133"/>
      <c r="C168" s="134"/>
      <c r="D168" s="135"/>
      <c r="E168" s="134"/>
      <c r="F168" s="134"/>
      <c r="G168" s="134"/>
      <c r="H168" s="134"/>
      <c r="I168" s="134"/>
      <c r="J168" s="134"/>
      <c r="K168" s="134"/>
      <c r="L168" s="134"/>
      <c r="M168" s="134"/>
      <c r="N168" s="134"/>
      <c r="O168" s="134"/>
      <c r="P168" s="134"/>
      <c r="Q168" s="134"/>
      <c r="R168" s="134"/>
      <c r="S168" s="134"/>
      <c r="T168" s="134"/>
      <c r="U168" s="134"/>
      <c r="V168" s="134"/>
      <c r="W168" s="134"/>
      <c r="X168" s="134"/>
      <c r="Y168" s="134"/>
    </row>
    <row r="169" spans="1:25" ht="12.75">
      <c r="A169" s="147"/>
      <c r="B169" s="133"/>
      <c r="C169" s="134"/>
      <c r="D169" s="135"/>
      <c r="E169" s="134"/>
      <c r="F169" s="134"/>
      <c r="G169" s="134"/>
      <c r="H169" s="134"/>
      <c r="I169" s="134"/>
      <c r="J169" s="134"/>
      <c r="K169" s="134"/>
      <c r="L169" s="134"/>
      <c r="M169" s="134"/>
      <c r="N169" s="134"/>
      <c r="O169" s="134"/>
      <c r="P169" s="134"/>
      <c r="Q169" s="134"/>
      <c r="R169" s="134"/>
      <c r="S169" s="134"/>
      <c r="T169" s="134"/>
      <c r="U169" s="134"/>
      <c r="V169" s="134"/>
      <c r="W169" s="134"/>
      <c r="X169" s="134"/>
      <c r="Y169" s="134"/>
    </row>
    <row r="170" spans="1:25" ht="12.75">
      <c r="A170" s="147"/>
      <c r="B170" s="133"/>
      <c r="C170" s="134"/>
      <c r="D170" s="135"/>
      <c r="E170" s="134"/>
      <c r="F170" s="134"/>
      <c r="G170" s="134"/>
      <c r="H170" s="134"/>
      <c r="I170" s="134"/>
      <c r="J170" s="134"/>
      <c r="K170" s="134"/>
      <c r="L170" s="134"/>
      <c r="M170" s="134"/>
      <c r="N170" s="134"/>
      <c r="O170" s="134"/>
      <c r="P170" s="134"/>
      <c r="Q170" s="134"/>
      <c r="R170" s="134"/>
      <c r="S170" s="134"/>
      <c r="T170" s="134"/>
      <c r="U170" s="134"/>
      <c r="V170" s="134"/>
      <c r="W170" s="134"/>
      <c r="X170" s="134"/>
      <c r="Y170" s="134"/>
    </row>
    <row r="171" spans="1:25" ht="12.75">
      <c r="A171" s="147"/>
      <c r="B171" s="133"/>
      <c r="C171" s="134"/>
      <c r="D171" s="135"/>
      <c r="E171" s="134"/>
      <c r="F171" s="134"/>
      <c r="G171" s="134"/>
      <c r="H171" s="134"/>
      <c r="I171" s="134"/>
      <c r="J171" s="134"/>
      <c r="K171" s="134"/>
      <c r="L171" s="134"/>
      <c r="M171" s="134"/>
      <c r="N171" s="134"/>
      <c r="O171" s="134"/>
      <c r="P171" s="134"/>
      <c r="Q171" s="134"/>
      <c r="R171" s="134"/>
      <c r="S171" s="134"/>
      <c r="T171" s="134"/>
      <c r="U171" s="134"/>
      <c r="V171" s="134"/>
      <c r="W171" s="134"/>
      <c r="X171" s="134"/>
      <c r="Y171" s="134"/>
    </row>
    <row r="172" spans="1:25" ht="12.75">
      <c r="A172" s="147"/>
      <c r="B172" s="133"/>
      <c r="C172" s="134"/>
      <c r="D172" s="135"/>
      <c r="E172" s="134"/>
      <c r="F172" s="134"/>
      <c r="G172" s="134"/>
      <c r="H172" s="134"/>
      <c r="I172" s="134"/>
      <c r="J172" s="134"/>
      <c r="K172" s="134"/>
      <c r="L172" s="134"/>
      <c r="M172" s="134"/>
      <c r="N172" s="134"/>
      <c r="O172" s="134"/>
      <c r="P172" s="134"/>
      <c r="Q172" s="134"/>
      <c r="R172" s="134"/>
      <c r="S172" s="134"/>
      <c r="T172" s="134"/>
      <c r="U172" s="134"/>
      <c r="V172" s="134"/>
      <c r="W172" s="134"/>
      <c r="X172" s="134"/>
      <c r="Y172" s="134"/>
    </row>
    <row r="173" spans="1:25" ht="12.75">
      <c r="A173" s="147"/>
      <c r="B173" s="133"/>
      <c r="C173" s="134"/>
      <c r="D173" s="135"/>
      <c r="E173" s="134"/>
      <c r="F173" s="134"/>
      <c r="G173" s="134"/>
      <c r="H173" s="134"/>
      <c r="I173" s="134"/>
      <c r="J173" s="134"/>
      <c r="K173" s="134"/>
      <c r="L173" s="134"/>
      <c r="M173" s="134"/>
      <c r="N173" s="134"/>
      <c r="O173" s="134"/>
      <c r="P173" s="134"/>
      <c r="Q173" s="134"/>
      <c r="R173" s="134"/>
      <c r="S173" s="134"/>
      <c r="T173" s="134"/>
      <c r="U173" s="134"/>
      <c r="V173" s="134"/>
      <c r="W173" s="134"/>
      <c r="X173" s="134"/>
      <c r="Y173" s="134"/>
    </row>
    <row r="174" spans="1:25" ht="12.75">
      <c r="A174" s="147"/>
      <c r="B174" s="133"/>
      <c r="C174" s="134"/>
      <c r="D174" s="135"/>
      <c r="E174" s="134"/>
      <c r="F174" s="134"/>
      <c r="G174" s="134"/>
      <c r="H174" s="134"/>
      <c r="I174" s="134"/>
      <c r="J174" s="134"/>
      <c r="K174" s="134"/>
      <c r="L174" s="134"/>
      <c r="M174" s="134"/>
      <c r="N174" s="134"/>
      <c r="O174" s="134"/>
      <c r="P174" s="134"/>
      <c r="Q174" s="134"/>
      <c r="R174" s="134"/>
      <c r="S174" s="134"/>
      <c r="T174" s="134"/>
      <c r="U174" s="134"/>
      <c r="V174" s="134"/>
      <c r="W174" s="134"/>
      <c r="X174" s="134"/>
      <c r="Y174" s="134"/>
    </row>
    <row r="175" spans="1:25" ht="12.75">
      <c r="A175" s="147"/>
      <c r="B175" s="133"/>
      <c r="C175" s="134"/>
      <c r="D175" s="135"/>
      <c r="E175" s="134"/>
      <c r="F175" s="134"/>
      <c r="G175" s="134"/>
      <c r="H175" s="134"/>
      <c r="I175" s="134"/>
      <c r="J175" s="134"/>
      <c r="K175" s="134"/>
      <c r="L175" s="134"/>
      <c r="M175" s="134"/>
      <c r="N175" s="134"/>
      <c r="O175" s="134"/>
      <c r="P175" s="134"/>
      <c r="Q175" s="134"/>
      <c r="R175" s="134"/>
      <c r="S175" s="134"/>
      <c r="T175" s="134"/>
      <c r="U175" s="134"/>
      <c r="V175" s="134"/>
      <c r="W175" s="134"/>
      <c r="X175" s="134"/>
      <c r="Y175" s="134"/>
    </row>
    <row r="176" spans="1:25" ht="12.75">
      <c r="A176" s="147"/>
      <c r="B176" s="133"/>
      <c r="C176" s="134"/>
      <c r="D176" s="135"/>
      <c r="E176" s="134"/>
      <c r="F176" s="134"/>
      <c r="G176" s="134"/>
      <c r="H176" s="134"/>
      <c r="I176" s="134"/>
      <c r="J176" s="134"/>
      <c r="K176" s="134"/>
      <c r="L176" s="134"/>
      <c r="M176" s="134"/>
      <c r="N176" s="134"/>
      <c r="O176" s="134"/>
      <c r="P176" s="134"/>
      <c r="Q176" s="134"/>
      <c r="R176" s="134"/>
      <c r="S176" s="134"/>
      <c r="T176" s="134"/>
      <c r="U176" s="134"/>
      <c r="V176" s="134"/>
      <c r="W176" s="134"/>
      <c r="X176" s="134"/>
      <c r="Y176" s="134"/>
    </row>
    <row r="177" spans="1:25" ht="12.75">
      <c r="A177" s="147"/>
      <c r="B177" s="133"/>
      <c r="C177" s="134"/>
      <c r="D177" s="135"/>
      <c r="E177" s="134"/>
      <c r="F177" s="134"/>
      <c r="G177" s="134"/>
      <c r="H177" s="134"/>
      <c r="I177" s="134"/>
      <c r="J177" s="134"/>
      <c r="K177" s="134"/>
      <c r="L177" s="134"/>
      <c r="M177" s="134"/>
      <c r="N177" s="134"/>
      <c r="O177" s="134"/>
      <c r="P177" s="134"/>
      <c r="Q177" s="134"/>
      <c r="R177" s="134"/>
      <c r="S177" s="134"/>
      <c r="T177" s="134"/>
      <c r="U177" s="134"/>
      <c r="V177" s="134"/>
      <c r="W177" s="134"/>
      <c r="X177" s="134"/>
      <c r="Y177" s="134"/>
    </row>
    <row r="178" spans="1:25" ht="12.75">
      <c r="A178" s="147"/>
      <c r="B178" s="133"/>
      <c r="C178" s="134"/>
      <c r="D178" s="135"/>
      <c r="E178" s="134"/>
      <c r="F178" s="134"/>
      <c r="G178" s="134"/>
      <c r="H178" s="134"/>
      <c r="I178" s="134"/>
      <c r="J178" s="134"/>
      <c r="K178" s="134"/>
      <c r="L178" s="134"/>
      <c r="M178" s="134"/>
      <c r="N178" s="134"/>
      <c r="O178" s="134"/>
      <c r="P178" s="134"/>
      <c r="Q178" s="134"/>
      <c r="R178" s="134"/>
      <c r="S178" s="134"/>
      <c r="T178" s="134"/>
      <c r="U178" s="134"/>
      <c r="V178" s="134"/>
      <c r="W178" s="134"/>
      <c r="X178" s="134"/>
      <c r="Y178" s="134"/>
    </row>
    <row r="179" spans="1:25" ht="12.75">
      <c r="A179" s="147"/>
      <c r="B179" s="133"/>
      <c r="C179" s="134"/>
      <c r="D179" s="135"/>
      <c r="E179" s="134"/>
      <c r="F179" s="134"/>
      <c r="G179" s="134"/>
      <c r="H179" s="134"/>
      <c r="I179" s="134"/>
      <c r="J179" s="134"/>
      <c r="K179" s="134"/>
      <c r="L179" s="134"/>
      <c r="M179" s="134"/>
      <c r="N179" s="134"/>
      <c r="O179" s="134"/>
      <c r="P179" s="134"/>
      <c r="Q179" s="134"/>
      <c r="R179" s="134"/>
      <c r="S179" s="134"/>
      <c r="T179" s="134"/>
      <c r="U179" s="134"/>
      <c r="V179" s="134"/>
      <c r="W179" s="134"/>
      <c r="X179" s="134"/>
      <c r="Y179" s="134"/>
    </row>
    <row r="180" spans="1:25" ht="12.75">
      <c r="A180" s="147"/>
      <c r="B180" s="133"/>
      <c r="C180" s="134"/>
      <c r="D180" s="135"/>
      <c r="E180" s="134"/>
      <c r="F180" s="134"/>
      <c r="G180" s="134"/>
      <c r="H180" s="134"/>
      <c r="I180" s="134"/>
      <c r="J180" s="134"/>
      <c r="K180" s="134"/>
      <c r="L180" s="134"/>
      <c r="M180" s="134"/>
      <c r="N180" s="134"/>
      <c r="O180" s="134"/>
      <c r="P180" s="134"/>
      <c r="Q180" s="134"/>
      <c r="R180" s="134"/>
      <c r="S180" s="134"/>
      <c r="T180" s="134"/>
      <c r="U180" s="134"/>
      <c r="V180" s="134"/>
      <c r="W180" s="134"/>
      <c r="X180" s="134"/>
      <c r="Y180" s="134"/>
    </row>
    <row r="181" spans="1:25" ht="12.75">
      <c r="A181" s="147"/>
      <c r="B181" s="133"/>
      <c r="C181" s="134"/>
      <c r="D181" s="135"/>
      <c r="E181" s="134"/>
      <c r="F181" s="134"/>
      <c r="G181" s="134"/>
      <c r="H181" s="134"/>
      <c r="I181" s="134"/>
      <c r="J181" s="134"/>
      <c r="K181" s="134"/>
      <c r="L181" s="134"/>
      <c r="M181" s="134"/>
      <c r="N181" s="134"/>
      <c r="O181" s="134"/>
      <c r="P181" s="134"/>
      <c r="Q181" s="134"/>
      <c r="R181" s="134"/>
      <c r="S181" s="134"/>
      <c r="T181" s="134"/>
      <c r="U181" s="134"/>
      <c r="V181" s="134"/>
      <c r="W181" s="134"/>
      <c r="X181" s="134"/>
      <c r="Y181" s="134"/>
    </row>
    <row r="182" spans="1:25" ht="12.75">
      <c r="A182" s="147"/>
      <c r="B182" s="133"/>
      <c r="C182" s="134"/>
      <c r="D182" s="135"/>
      <c r="E182" s="134"/>
      <c r="F182" s="134"/>
      <c r="G182" s="134"/>
      <c r="H182" s="134"/>
      <c r="I182" s="134"/>
      <c r="J182" s="134"/>
      <c r="K182" s="134"/>
      <c r="L182" s="134"/>
      <c r="M182" s="134"/>
      <c r="N182" s="134"/>
      <c r="O182" s="134"/>
      <c r="P182" s="134"/>
      <c r="Q182" s="134"/>
      <c r="R182" s="134"/>
      <c r="S182" s="134"/>
      <c r="T182" s="134"/>
      <c r="U182" s="134"/>
      <c r="V182" s="134"/>
      <c r="W182" s="134"/>
      <c r="X182" s="134"/>
      <c r="Y182" s="134"/>
    </row>
    <row r="183" spans="1:25" ht="12.75">
      <c r="A183" s="147"/>
      <c r="B183" s="133"/>
      <c r="C183" s="134"/>
      <c r="D183" s="135"/>
      <c r="E183" s="134"/>
      <c r="F183" s="134"/>
      <c r="G183" s="134"/>
      <c r="H183" s="134"/>
      <c r="I183" s="134"/>
      <c r="J183" s="134"/>
      <c r="K183" s="134"/>
      <c r="L183" s="134"/>
      <c r="M183" s="134"/>
      <c r="N183" s="134"/>
      <c r="O183" s="134"/>
      <c r="P183" s="134"/>
      <c r="Q183" s="134"/>
      <c r="R183" s="134"/>
      <c r="S183" s="134"/>
      <c r="T183" s="134"/>
      <c r="U183" s="134"/>
      <c r="V183" s="134"/>
      <c r="W183" s="134"/>
      <c r="X183" s="134"/>
      <c r="Y183" s="134"/>
    </row>
    <row r="184" spans="1:25" ht="12.75">
      <c r="A184" s="147"/>
      <c r="B184" s="133"/>
      <c r="C184" s="134"/>
      <c r="D184" s="135"/>
      <c r="E184" s="134"/>
      <c r="F184" s="134"/>
      <c r="G184" s="134"/>
      <c r="H184" s="134"/>
      <c r="I184" s="134"/>
      <c r="J184" s="134"/>
      <c r="K184" s="134"/>
      <c r="L184" s="134"/>
      <c r="M184" s="134"/>
      <c r="N184" s="134"/>
      <c r="O184" s="134"/>
      <c r="P184" s="134"/>
      <c r="Q184" s="134"/>
      <c r="R184" s="134"/>
      <c r="S184" s="134"/>
      <c r="T184" s="134"/>
      <c r="U184" s="134"/>
      <c r="V184" s="134"/>
      <c r="W184" s="134"/>
      <c r="X184" s="134"/>
      <c r="Y184" s="134"/>
    </row>
    <row r="185" spans="1:25" ht="12.75">
      <c r="A185" s="147"/>
      <c r="B185" s="133"/>
      <c r="C185" s="134"/>
      <c r="D185" s="135"/>
      <c r="E185" s="134"/>
      <c r="F185" s="134"/>
      <c r="G185" s="134"/>
      <c r="H185" s="134"/>
      <c r="I185" s="134"/>
      <c r="J185" s="134"/>
      <c r="K185" s="134"/>
      <c r="L185" s="134"/>
      <c r="M185" s="134"/>
      <c r="N185" s="134"/>
      <c r="O185" s="134"/>
      <c r="P185" s="134"/>
      <c r="Q185" s="134"/>
      <c r="R185" s="134"/>
      <c r="S185" s="134"/>
      <c r="T185" s="134"/>
      <c r="U185" s="134"/>
      <c r="V185" s="134"/>
      <c r="W185" s="134"/>
      <c r="X185" s="134"/>
      <c r="Y185" s="134"/>
    </row>
    <row r="186" spans="1:25" ht="12.75">
      <c r="A186" s="147"/>
      <c r="B186" s="133"/>
      <c r="C186" s="134"/>
      <c r="D186" s="135"/>
      <c r="E186" s="134"/>
      <c r="F186" s="134"/>
      <c r="G186" s="134"/>
      <c r="H186" s="134"/>
      <c r="I186" s="134"/>
      <c r="J186" s="134"/>
      <c r="K186" s="134"/>
      <c r="L186" s="134"/>
      <c r="M186" s="134"/>
      <c r="N186" s="134"/>
      <c r="O186" s="134"/>
      <c r="P186" s="134"/>
      <c r="Q186" s="134"/>
      <c r="R186" s="134"/>
      <c r="S186" s="134"/>
      <c r="T186" s="134"/>
      <c r="U186" s="134"/>
      <c r="V186" s="134"/>
      <c r="W186" s="134"/>
      <c r="X186" s="134"/>
      <c r="Y186" s="134"/>
    </row>
    <row r="187" spans="1:25" ht="12.75">
      <c r="A187" s="147"/>
      <c r="B187" s="133"/>
      <c r="C187" s="134"/>
      <c r="D187" s="135"/>
      <c r="E187" s="134"/>
      <c r="F187" s="134"/>
      <c r="G187" s="134"/>
      <c r="H187" s="134"/>
      <c r="I187" s="134"/>
      <c r="J187" s="134"/>
      <c r="K187" s="134"/>
      <c r="L187" s="134"/>
      <c r="M187" s="134"/>
      <c r="N187" s="134"/>
      <c r="O187" s="134"/>
      <c r="P187" s="134"/>
      <c r="Q187" s="134"/>
      <c r="R187" s="134"/>
      <c r="S187" s="134"/>
      <c r="T187" s="134"/>
      <c r="U187" s="134"/>
      <c r="V187" s="134"/>
      <c r="W187" s="134"/>
      <c r="X187" s="134"/>
      <c r="Y187" s="134"/>
    </row>
    <row r="188" spans="1:25" ht="12.75">
      <c r="A188" s="147"/>
      <c r="B188" s="133"/>
      <c r="C188" s="134"/>
      <c r="D188" s="135"/>
      <c r="E188" s="134"/>
      <c r="F188" s="134"/>
      <c r="G188" s="134"/>
      <c r="H188" s="134"/>
      <c r="I188" s="134"/>
      <c r="J188" s="134"/>
      <c r="K188" s="134"/>
      <c r="L188" s="134"/>
      <c r="M188" s="134"/>
      <c r="N188" s="134"/>
      <c r="O188" s="134"/>
      <c r="P188" s="134"/>
      <c r="Q188" s="134"/>
      <c r="R188" s="134"/>
      <c r="S188" s="134"/>
      <c r="T188" s="134"/>
      <c r="U188" s="134"/>
      <c r="V188" s="134"/>
      <c r="W188" s="134"/>
      <c r="X188" s="134"/>
      <c r="Y188" s="134"/>
    </row>
    <row r="189" spans="1:25" ht="12.75">
      <c r="A189" s="147"/>
      <c r="B189" s="133"/>
      <c r="C189" s="134"/>
      <c r="D189" s="135"/>
      <c r="E189" s="134"/>
      <c r="F189" s="134"/>
      <c r="G189" s="134"/>
      <c r="H189" s="134"/>
      <c r="I189" s="134"/>
      <c r="J189" s="134"/>
      <c r="K189" s="134"/>
      <c r="L189" s="134"/>
      <c r="M189" s="134"/>
      <c r="N189" s="134"/>
      <c r="O189" s="134"/>
      <c r="P189" s="134"/>
      <c r="Q189" s="134"/>
      <c r="R189" s="134"/>
      <c r="S189" s="134"/>
      <c r="T189" s="134"/>
      <c r="U189" s="134"/>
      <c r="V189" s="134"/>
      <c r="W189" s="134"/>
      <c r="X189" s="134"/>
      <c r="Y189" s="134"/>
    </row>
    <row r="190" spans="1:25" ht="12.75">
      <c r="A190" s="147"/>
      <c r="B190" s="133"/>
      <c r="C190" s="134"/>
      <c r="D190" s="135"/>
      <c r="E190" s="134"/>
      <c r="F190" s="134"/>
      <c r="G190" s="134"/>
      <c r="H190" s="134"/>
      <c r="I190" s="134"/>
      <c r="J190" s="134"/>
      <c r="K190" s="134"/>
      <c r="L190" s="134"/>
      <c r="M190" s="134"/>
      <c r="N190" s="134"/>
      <c r="O190" s="134"/>
      <c r="P190" s="134"/>
      <c r="Q190" s="134"/>
      <c r="R190" s="134"/>
      <c r="S190" s="134"/>
      <c r="T190" s="134"/>
      <c r="U190" s="134"/>
      <c r="V190" s="134"/>
      <c r="W190" s="134"/>
      <c r="X190" s="134"/>
      <c r="Y190" s="134"/>
    </row>
    <row r="191" spans="1:25" ht="12.75">
      <c r="A191" s="147"/>
      <c r="B191" s="133"/>
      <c r="C191" s="134"/>
      <c r="D191" s="135"/>
      <c r="E191" s="134"/>
      <c r="F191" s="134"/>
      <c r="G191" s="134"/>
      <c r="H191" s="134"/>
      <c r="I191" s="134"/>
      <c r="J191" s="134"/>
      <c r="K191" s="134"/>
      <c r="L191" s="134"/>
      <c r="M191" s="134"/>
      <c r="N191" s="134"/>
      <c r="O191" s="134"/>
      <c r="P191" s="134"/>
      <c r="Q191" s="134"/>
      <c r="R191" s="134"/>
      <c r="S191" s="134"/>
      <c r="T191" s="134"/>
      <c r="U191" s="134"/>
      <c r="V191" s="134"/>
      <c r="W191" s="134"/>
      <c r="X191" s="134"/>
      <c r="Y191" s="134"/>
    </row>
    <row r="192" spans="1:25" ht="12.75">
      <c r="A192" s="147"/>
      <c r="B192" s="133"/>
      <c r="C192" s="134"/>
      <c r="D192" s="135"/>
      <c r="E192" s="134"/>
      <c r="F192" s="134"/>
      <c r="G192" s="134"/>
      <c r="H192" s="134"/>
      <c r="I192" s="134"/>
      <c r="J192" s="134"/>
      <c r="K192" s="134"/>
      <c r="L192" s="134"/>
      <c r="M192" s="134"/>
      <c r="N192" s="134"/>
      <c r="O192" s="134"/>
      <c r="P192" s="134"/>
      <c r="Q192" s="134"/>
      <c r="R192" s="134"/>
      <c r="S192" s="134"/>
      <c r="T192" s="134"/>
      <c r="U192" s="134"/>
      <c r="V192" s="134"/>
      <c r="W192" s="134"/>
      <c r="X192" s="134"/>
      <c r="Y192" s="134"/>
    </row>
    <row r="193" spans="1:25" ht="12.75">
      <c r="A193" s="147"/>
      <c r="B193" s="133"/>
      <c r="C193" s="134"/>
      <c r="D193" s="135"/>
      <c r="E193" s="134"/>
      <c r="F193" s="134"/>
      <c r="G193" s="134"/>
      <c r="H193" s="134"/>
      <c r="I193" s="134"/>
      <c r="J193" s="134"/>
      <c r="K193" s="134"/>
      <c r="L193" s="134"/>
      <c r="M193" s="134"/>
      <c r="N193" s="134"/>
      <c r="O193" s="134"/>
      <c r="P193" s="134"/>
      <c r="Q193" s="134"/>
      <c r="R193" s="134"/>
      <c r="S193" s="134"/>
      <c r="T193" s="134"/>
      <c r="U193" s="134"/>
      <c r="V193" s="134"/>
      <c r="W193" s="134"/>
      <c r="X193" s="134"/>
      <c r="Y193" s="134"/>
    </row>
    <row r="194" spans="1:25" ht="12.75">
      <c r="A194" s="147"/>
      <c r="B194" s="133"/>
      <c r="C194" s="134"/>
      <c r="D194" s="135"/>
      <c r="E194" s="134"/>
      <c r="F194" s="134"/>
      <c r="G194" s="134"/>
      <c r="H194" s="134"/>
      <c r="I194" s="134"/>
      <c r="J194" s="134"/>
      <c r="K194" s="134"/>
      <c r="L194" s="134"/>
      <c r="M194" s="134"/>
      <c r="N194" s="134"/>
      <c r="O194" s="134"/>
      <c r="P194" s="134"/>
      <c r="Q194" s="134"/>
      <c r="R194" s="134"/>
      <c r="S194" s="134"/>
      <c r="T194" s="134"/>
      <c r="U194" s="134"/>
      <c r="V194" s="134"/>
      <c r="W194" s="134"/>
      <c r="X194" s="134"/>
      <c r="Y194" s="134"/>
    </row>
    <row r="195" spans="1:25" ht="12.75">
      <c r="A195" s="147"/>
      <c r="B195" s="133"/>
      <c r="C195" s="134"/>
      <c r="D195" s="135"/>
      <c r="E195" s="134"/>
      <c r="F195" s="134"/>
      <c r="G195" s="134"/>
      <c r="H195" s="134"/>
      <c r="I195" s="134"/>
      <c r="J195" s="134"/>
      <c r="K195" s="134"/>
      <c r="L195" s="134"/>
      <c r="M195" s="134"/>
      <c r="N195" s="134"/>
      <c r="O195" s="134"/>
      <c r="P195" s="134"/>
      <c r="Q195" s="134"/>
      <c r="R195" s="134"/>
      <c r="S195" s="134"/>
      <c r="T195" s="134"/>
      <c r="U195" s="134"/>
      <c r="V195" s="134"/>
      <c r="W195" s="134"/>
      <c r="X195" s="134"/>
      <c r="Y195" s="134"/>
    </row>
    <row r="196" spans="1:25" ht="12.75">
      <c r="A196" s="147"/>
      <c r="B196" s="133"/>
      <c r="C196" s="134"/>
      <c r="D196" s="135"/>
      <c r="E196" s="134"/>
      <c r="F196" s="134"/>
      <c r="G196" s="134"/>
      <c r="H196" s="134"/>
      <c r="I196" s="134"/>
      <c r="J196" s="134"/>
      <c r="K196" s="134"/>
      <c r="L196" s="134"/>
      <c r="M196" s="134"/>
      <c r="N196" s="134"/>
      <c r="O196" s="134"/>
      <c r="P196" s="134"/>
      <c r="Q196" s="134"/>
      <c r="R196" s="134"/>
      <c r="S196" s="134"/>
      <c r="T196" s="134"/>
      <c r="U196" s="134"/>
      <c r="V196" s="134"/>
      <c r="W196" s="134"/>
      <c r="X196" s="134"/>
      <c r="Y196" s="134"/>
    </row>
    <row r="197" spans="1:25" ht="12.75">
      <c r="A197" s="147"/>
      <c r="B197" s="133"/>
      <c r="C197" s="134"/>
      <c r="D197" s="135"/>
      <c r="E197" s="134"/>
      <c r="F197" s="134"/>
      <c r="G197" s="134"/>
      <c r="H197" s="134"/>
      <c r="I197" s="134"/>
      <c r="J197" s="134"/>
      <c r="K197" s="134"/>
      <c r="L197" s="134"/>
      <c r="M197" s="134"/>
      <c r="N197" s="134"/>
      <c r="O197" s="134"/>
      <c r="P197" s="134"/>
      <c r="Q197" s="134"/>
      <c r="R197" s="134"/>
      <c r="S197" s="134"/>
      <c r="T197" s="134"/>
      <c r="U197" s="134"/>
      <c r="V197" s="134"/>
      <c r="W197" s="134"/>
      <c r="X197" s="134"/>
      <c r="Y197" s="134"/>
    </row>
    <row r="198" spans="1:25" ht="12.75">
      <c r="A198" s="147"/>
      <c r="B198" s="133"/>
      <c r="C198" s="134"/>
      <c r="D198" s="135"/>
      <c r="E198" s="134"/>
      <c r="F198" s="134"/>
      <c r="G198" s="134"/>
      <c r="H198" s="134"/>
      <c r="I198" s="134"/>
      <c r="J198" s="134"/>
      <c r="K198" s="134"/>
      <c r="L198" s="134"/>
      <c r="M198" s="134"/>
      <c r="N198" s="134"/>
      <c r="O198" s="134"/>
      <c r="P198" s="134"/>
      <c r="Q198" s="134"/>
      <c r="R198" s="134"/>
      <c r="S198" s="134"/>
      <c r="T198" s="134"/>
      <c r="U198" s="134"/>
      <c r="V198" s="134"/>
      <c r="W198" s="134"/>
      <c r="X198" s="134"/>
      <c r="Y198" s="134"/>
    </row>
    <row r="199" spans="1:25" ht="12.75">
      <c r="A199" s="147"/>
      <c r="B199" s="133"/>
      <c r="C199" s="134"/>
      <c r="D199" s="135"/>
      <c r="E199" s="134"/>
      <c r="F199" s="134"/>
      <c r="G199" s="134"/>
      <c r="H199" s="134"/>
      <c r="I199" s="134"/>
      <c r="J199" s="134"/>
      <c r="K199" s="134"/>
      <c r="L199" s="134"/>
      <c r="M199" s="134"/>
      <c r="N199" s="134"/>
      <c r="O199" s="134"/>
      <c r="P199" s="134"/>
      <c r="Q199" s="134"/>
      <c r="R199" s="134"/>
      <c r="S199" s="134"/>
      <c r="T199" s="134"/>
      <c r="U199" s="134"/>
      <c r="V199" s="134"/>
      <c r="W199" s="134"/>
      <c r="X199" s="134"/>
      <c r="Y199" s="134"/>
    </row>
    <row r="200" spans="1:25" ht="12.75">
      <c r="A200" s="147"/>
      <c r="B200" s="133"/>
      <c r="C200" s="134"/>
      <c r="D200" s="135"/>
      <c r="E200" s="134"/>
      <c r="F200" s="134"/>
      <c r="G200" s="134"/>
      <c r="H200" s="134"/>
      <c r="I200" s="134"/>
      <c r="J200" s="134"/>
      <c r="K200" s="134"/>
      <c r="L200" s="134"/>
      <c r="M200" s="134"/>
      <c r="N200" s="134"/>
      <c r="O200" s="134"/>
      <c r="P200" s="134"/>
      <c r="Q200" s="134"/>
      <c r="R200" s="134"/>
      <c r="S200" s="134"/>
      <c r="T200" s="134"/>
      <c r="U200" s="134"/>
      <c r="V200" s="134"/>
      <c r="W200" s="134"/>
      <c r="X200" s="134"/>
      <c r="Y200" s="134"/>
    </row>
    <row r="201" spans="1:25" ht="12.75">
      <c r="A201" s="147"/>
      <c r="B201" s="133"/>
      <c r="C201" s="134"/>
      <c r="D201" s="135"/>
      <c r="E201" s="134"/>
      <c r="F201" s="134"/>
      <c r="G201" s="134"/>
      <c r="H201" s="134"/>
      <c r="I201" s="134"/>
      <c r="J201" s="134"/>
      <c r="K201" s="134"/>
      <c r="L201" s="134"/>
      <c r="M201" s="134"/>
      <c r="N201" s="134"/>
      <c r="O201" s="134"/>
      <c r="P201" s="134"/>
      <c r="Q201" s="134"/>
      <c r="R201" s="134"/>
      <c r="S201" s="134"/>
      <c r="T201" s="134"/>
      <c r="U201" s="134"/>
      <c r="V201" s="134"/>
      <c r="W201" s="134"/>
      <c r="X201" s="134"/>
      <c r="Y201" s="134"/>
    </row>
    <row r="202" spans="1:25" ht="12.75">
      <c r="A202" s="147"/>
      <c r="B202" s="133"/>
      <c r="C202" s="134"/>
      <c r="D202" s="135"/>
      <c r="E202" s="134"/>
      <c r="F202" s="134"/>
      <c r="G202" s="134"/>
      <c r="H202" s="134"/>
      <c r="I202" s="134"/>
      <c r="J202" s="134"/>
      <c r="K202" s="134"/>
      <c r="L202" s="134"/>
      <c r="M202" s="134"/>
      <c r="N202" s="134"/>
      <c r="O202" s="134"/>
      <c r="P202" s="134"/>
      <c r="Q202" s="134"/>
      <c r="R202" s="134"/>
      <c r="S202" s="134"/>
      <c r="T202" s="134"/>
      <c r="U202" s="134"/>
      <c r="V202" s="134"/>
      <c r="W202" s="134"/>
      <c r="X202" s="134"/>
      <c r="Y202" s="134"/>
    </row>
    <row r="203" spans="1:25" ht="12.75">
      <c r="A203" s="147"/>
      <c r="B203" s="133"/>
      <c r="C203" s="134"/>
      <c r="D203" s="135"/>
      <c r="E203" s="134"/>
      <c r="F203" s="134"/>
      <c r="G203" s="134"/>
      <c r="H203" s="134"/>
      <c r="I203" s="134"/>
      <c r="J203" s="134"/>
      <c r="K203" s="134"/>
      <c r="L203" s="134"/>
      <c r="M203" s="134"/>
      <c r="N203" s="134"/>
      <c r="O203" s="134"/>
      <c r="P203" s="134"/>
      <c r="Q203" s="134"/>
      <c r="R203" s="134"/>
      <c r="S203" s="134"/>
      <c r="T203" s="134"/>
      <c r="U203" s="134"/>
      <c r="V203" s="134"/>
      <c r="W203" s="134"/>
      <c r="X203" s="134"/>
      <c r="Y203" s="134"/>
    </row>
    <row r="204" spans="1:25" ht="12.75">
      <c r="A204" s="147"/>
      <c r="B204" s="133"/>
      <c r="C204" s="134"/>
      <c r="D204" s="135"/>
      <c r="E204" s="134"/>
      <c r="F204" s="134"/>
      <c r="G204" s="134"/>
      <c r="H204" s="134"/>
      <c r="I204" s="134"/>
      <c r="J204" s="134"/>
      <c r="K204" s="134"/>
      <c r="L204" s="134"/>
      <c r="M204" s="134"/>
      <c r="N204" s="134"/>
      <c r="O204" s="134"/>
      <c r="P204" s="134"/>
      <c r="Q204" s="134"/>
      <c r="R204" s="134"/>
      <c r="S204" s="134"/>
      <c r="T204" s="134"/>
      <c r="U204" s="134"/>
      <c r="V204" s="134"/>
      <c r="W204" s="134"/>
      <c r="X204" s="134"/>
      <c r="Y204" s="134"/>
    </row>
    <row r="205" spans="1:25" ht="12.75">
      <c r="A205" s="147"/>
      <c r="B205" s="133"/>
      <c r="C205" s="134"/>
      <c r="D205" s="135"/>
      <c r="E205" s="134"/>
      <c r="F205" s="134"/>
      <c r="G205" s="134"/>
      <c r="H205" s="134"/>
      <c r="I205" s="134"/>
      <c r="J205" s="134"/>
      <c r="K205" s="134"/>
      <c r="L205" s="134"/>
      <c r="M205" s="134"/>
      <c r="N205" s="134"/>
      <c r="O205" s="134"/>
      <c r="P205" s="134"/>
      <c r="Q205" s="134"/>
      <c r="R205" s="134"/>
      <c r="S205" s="134"/>
      <c r="T205" s="134"/>
      <c r="U205" s="134"/>
      <c r="V205" s="134"/>
      <c r="W205" s="134"/>
      <c r="X205" s="134"/>
      <c r="Y205" s="134"/>
    </row>
    <row r="206" spans="1:25" ht="12.75">
      <c r="A206" s="147"/>
      <c r="B206" s="133"/>
      <c r="C206" s="134"/>
      <c r="D206" s="135"/>
      <c r="E206" s="134"/>
      <c r="F206" s="134"/>
      <c r="G206" s="134"/>
      <c r="H206" s="134"/>
      <c r="I206" s="134"/>
      <c r="J206" s="134"/>
      <c r="K206" s="134"/>
      <c r="L206" s="134"/>
      <c r="M206" s="134"/>
      <c r="N206" s="134"/>
      <c r="O206" s="134"/>
      <c r="P206" s="134"/>
      <c r="Q206" s="134"/>
      <c r="R206" s="134"/>
      <c r="S206" s="134"/>
      <c r="T206" s="134"/>
      <c r="U206" s="134"/>
      <c r="V206" s="134"/>
      <c r="W206" s="134"/>
      <c r="X206" s="134"/>
      <c r="Y206" s="134"/>
    </row>
    <row r="207" spans="1:25" ht="12.75">
      <c r="A207" s="147"/>
      <c r="B207" s="133"/>
      <c r="C207" s="134"/>
      <c r="D207" s="135"/>
      <c r="E207" s="134"/>
      <c r="F207" s="134"/>
      <c r="G207" s="134"/>
      <c r="H207" s="134"/>
      <c r="I207" s="134"/>
      <c r="J207" s="134"/>
      <c r="K207" s="134"/>
      <c r="L207" s="134"/>
      <c r="M207" s="134"/>
      <c r="N207" s="134"/>
      <c r="O207" s="134"/>
      <c r="P207" s="134"/>
      <c r="Q207" s="134"/>
      <c r="R207" s="134"/>
      <c r="S207" s="134"/>
      <c r="T207" s="134"/>
      <c r="U207" s="134"/>
      <c r="V207" s="134"/>
      <c r="W207" s="134"/>
      <c r="X207" s="134"/>
      <c r="Y207" s="134"/>
    </row>
    <row r="208" spans="1:25" ht="12.75">
      <c r="A208" s="147"/>
      <c r="B208" s="133"/>
      <c r="C208" s="134"/>
      <c r="D208" s="135"/>
      <c r="E208" s="134"/>
      <c r="F208" s="134"/>
      <c r="G208" s="134"/>
      <c r="H208" s="134"/>
      <c r="I208" s="134"/>
      <c r="J208" s="134"/>
      <c r="K208" s="134"/>
      <c r="L208" s="134"/>
      <c r="M208" s="134"/>
      <c r="N208" s="134"/>
      <c r="O208" s="134"/>
      <c r="P208" s="134"/>
      <c r="Q208" s="134"/>
      <c r="R208" s="134"/>
      <c r="S208" s="134"/>
      <c r="T208" s="134"/>
      <c r="U208" s="134"/>
      <c r="V208" s="134"/>
      <c r="W208" s="134"/>
      <c r="X208" s="134"/>
      <c r="Y208" s="134"/>
    </row>
    <row r="209" spans="1:25" ht="12.75">
      <c r="A209" s="147"/>
      <c r="B209" s="133"/>
      <c r="C209" s="134"/>
      <c r="D209" s="135"/>
      <c r="E209" s="134"/>
      <c r="F209" s="134"/>
      <c r="G209" s="134"/>
      <c r="H209" s="134"/>
      <c r="I209" s="134"/>
      <c r="J209" s="134"/>
      <c r="K209" s="134"/>
      <c r="L209" s="134"/>
      <c r="M209" s="134"/>
      <c r="N209" s="134"/>
      <c r="O209" s="134"/>
      <c r="P209" s="134"/>
      <c r="Q209" s="134"/>
      <c r="R209" s="134"/>
      <c r="S209" s="134"/>
      <c r="T209" s="134"/>
      <c r="U209" s="134"/>
      <c r="V209" s="134"/>
      <c r="W209" s="134"/>
      <c r="X209" s="134"/>
      <c r="Y209" s="134"/>
    </row>
    <row r="210" spans="1:25" ht="12.75">
      <c r="A210" s="147"/>
      <c r="B210" s="133"/>
      <c r="C210" s="134"/>
      <c r="D210" s="135"/>
      <c r="E210" s="134"/>
      <c r="F210" s="134"/>
      <c r="G210" s="134"/>
      <c r="H210" s="134"/>
      <c r="I210" s="134"/>
      <c r="J210" s="134"/>
      <c r="K210" s="134"/>
      <c r="L210" s="134"/>
      <c r="M210" s="134"/>
      <c r="N210" s="134"/>
      <c r="O210" s="134"/>
      <c r="P210" s="134"/>
      <c r="Q210" s="134"/>
      <c r="R210" s="134"/>
      <c r="S210" s="134"/>
      <c r="T210" s="134"/>
      <c r="U210" s="134"/>
      <c r="V210" s="134"/>
      <c r="W210" s="134"/>
      <c r="X210" s="134"/>
      <c r="Y210" s="134"/>
    </row>
    <row r="211" spans="1:25" ht="12.75">
      <c r="A211" s="147"/>
      <c r="B211" s="133"/>
      <c r="C211" s="134"/>
      <c r="D211" s="135"/>
      <c r="E211" s="134"/>
      <c r="F211" s="134"/>
      <c r="G211" s="134"/>
      <c r="H211" s="134"/>
      <c r="I211" s="134"/>
      <c r="J211" s="134"/>
      <c r="K211" s="134"/>
      <c r="L211" s="134"/>
      <c r="M211" s="134"/>
      <c r="N211" s="134"/>
      <c r="O211" s="134"/>
      <c r="P211" s="134"/>
      <c r="Q211" s="134"/>
      <c r="R211" s="134"/>
      <c r="S211" s="134"/>
      <c r="T211" s="134"/>
      <c r="U211" s="134"/>
      <c r="V211" s="134"/>
      <c r="W211" s="134"/>
      <c r="X211" s="134"/>
      <c r="Y211" s="134"/>
    </row>
    <row r="212" spans="1:25" ht="12.75">
      <c r="A212" s="147"/>
      <c r="B212" s="133"/>
      <c r="C212" s="134"/>
      <c r="D212" s="135"/>
      <c r="E212" s="134"/>
      <c r="F212" s="134"/>
      <c r="G212" s="134"/>
      <c r="H212" s="134"/>
      <c r="I212" s="134"/>
      <c r="J212" s="134"/>
      <c r="K212" s="134"/>
      <c r="L212" s="134"/>
      <c r="M212" s="134"/>
      <c r="N212" s="134"/>
      <c r="O212" s="134"/>
      <c r="P212" s="134"/>
      <c r="Q212" s="134"/>
      <c r="R212" s="134"/>
      <c r="S212" s="134"/>
      <c r="T212" s="134"/>
      <c r="U212" s="134"/>
      <c r="V212" s="134"/>
      <c r="W212" s="134"/>
      <c r="X212" s="134"/>
      <c r="Y212" s="134"/>
    </row>
    <row r="213" spans="1:25" ht="12.75">
      <c r="A213" s="147"/>
      <c r="B213" s="133"/>
      <c r="C213" s="134"/>
      <c r="D213" s="135"/>
      <c r="E213" s="134"/>
      <c r="F213" s="134"/>
      <c r="G213" s="134"/>
      <c r="H213" s="134"/>
      <c r="I213" s="134"/>
      <c r="J213" s="134"/>
      <c r="K213" s="134"/>
      <c r="L213" s="134"/>
      <c r="M213" s="134"/>
      <c r="N213" s="134"/>
      <c r="O213" s="134"/>
      <c r="P213" s="134"/>
      <c r="Q213" s="134"/>
      <c r="R213" s="134"/>
      <c r="S213" s="134"/>
      <c r="T213" s="134"/>
      <c r="U213" s="134"/>
      <c r="V213" s="134"/>
      <c r="W213" s="134"/>
      <c r="X213" s="134"/>
      <c r="Y213" s="134"/>
    </row>
    <row r="214" spans="1:25" ht="12.75">
      <c r="A214" s="147"/>
      <c r="B214" s="133"/>
      <c r="C214" s="134"/>
      <c r="D214" s="135"/>
      <c r="E214" s="134"/>
      <c r="F214" s="134"/>
      <c r="G214" s="134"/>
      <c r="H214" s="134"/>
      <c r="I214" s="134"/>
      <c r="J214" s="134"/>
      <c r="K214" s="134"/>
      <c r="L214" s="134"/>
      <c r="M214" s="134"/>
      <c r="N214" s="134"/>
      <c r="O214" s="134"/>
      <c r="P214" s="134"/>
      <c r="Q214" s="134"/>
      <c r="R214" s="134"/>
      <c r="S214" s="134"/>
      <c r="T214" s="134"/>
      <c r="U214" s="134"/>
      <c r="V214" s="134"/>
      <c r="W214" s="134"/>
      <c r="X214" s="134"/>
      <c r="Y214" s="134"/>
    </row>
    <row r="215" spans="1:25" ht="12.75">
      <c r="A215" s="147"/>
      <c r="B215" s="133"/>
      <c r="C215" s="134"/>
      <c r="D215" s="135"/>
      <c r="E215" s="134"/>
      <c r="F215" s="134"/>
      <c r="G215" s="134"/>
      <c r="H215" s="134"/>
      <c r="I215" s="134"/>
      <c r="J215" s="134"/>
      <c r="K215" s="134"/>
      <c r="L215" s="134"/>
      <c r="M215" s="134"/>
      <c r="N215" s="134"/>
      <c r="O215" s="134"/>
      <c r="P215" s="134"/>
      <c r="Q215" s="134"/>
      <c r="R215" s="134"/>
      <c r="S215" s="134"/>
      <c r="T215" s="134"/>
      <c r="U215" s="134"/>
      <c r="V215" s="134"/>
      <c r="W215" s="134"/>
      <c r="X215" s="134"/>
      <c r="Y215" s="134"/>
    </row>
    <row r="216" spans="1:25" ht="12.75">
      <c r="A216" s="147"/>
      <c r="B216" s="133"/>
      <c r="C216" s="134"/>
      <c r="D216" s="135"/>
      <c r="E216" s="134"/>
      <c r="F216" s="134"/>
      <c r="G216" s="134"/>
      <c r="H216" s="134"/>
      <c r="I216" s="134"/>
      <c r="J216" s="134"/>
      <c r="K216" s="134"/>
      <c r="L216" s="134"/>
      <c r="M216" s="134"/>
      <c r="N216" s="134"/>
      <c r="O216" s="134"/>
      <c r="P216" s="134"/>
      <c r="Q216" s="134"/>
      <c r="R216" s="134"/>
      <c r="S216" s="134"/>
      <c r="T216" s="134"/>
      <c r="U216" s="134"/>
      <c r="V216" s="134"/>
      <c r="W216" s="134"/>
      <c r="X216" s="134"/>
      <c r="Y216" s="134"/>
    </row>
    <row r="217" spans="1:25" ht="12.75">
      <c r="A217" s="147"/>
      <c r="B217" s="133"/>
      <c r="C217" s="134"/>
      <c r="D217" s="135"/>
      <c r="E217" s="134"/>
      <c r="F217" s="134"/>
      <c r="G217" s="134"/>
      <c r="H217" s="134"/>
      <c r="I217" s="134"/>
      <c r="J217" s="134"/>
      <c r="K217" s="134"/>
      <c r="L217" s="134"/>
      <c r="M217" s="134"/>
      <c r="N217" s="134"/>
      <c r="O217" s="134"/>
      <c r="P217" s="134"/>
      <c r="Q217" s="134"/>
      <c r="R217" s="134"/>
      <c r="S217" s="134"/>
      <c r="T217" s="134"/>
      <c r="U217" s="134"/>
      <c r="V217" s="134"/>
      <c r="W217" s="134"/>
      <c r="X217" s="134"/>
      <c r="Y217" s="134"/>
    </row>
    <row r="218" spans="1:25" ht="12.75">
      <c r="A218" s="147"/>
      <c r="B218" s="133"/>
      <c r="C218" s="134"/>
      <c r="D218" s="135"/>
      <c r="E218" s="134"/>
      <c r="F218" s="134"/>
      <c r="G218" s="134"/>
      <c r="H218" s="134"/>
      <c r="I218" s="134"/>
      <c r="J218" s="134"/>
      <c r="K218" s="134"/>
      <c r="L218" s="134"/>
      <c r="M218" s="134"/>
      <c r="N218" s="134"/>
      <c r="O218" s="134"/>
      <c r="P218" s="134"/>
      <c r="Q218" s="134"/>
      <c r="R218" s="134"/>
      <c r="S218" s="134"/>
      <c r="T218" s="134"/>
      <c r="U218" s="134"/>
      <c r="V218" s="134"/>
      <c r="W218" s="134"/>
      <c r="X218" s="134"/>
      <c r="Y218" s="134"/>
    </row>
    <row r="219" spans="1:25" ht="12.75">
      <c r="A219" s="147"/>
      <c r="B219" s="133"/>
      <c r="C219" s="134"/>
      <c r="D219" s="135"/>
      <c r="E219" s="134"/>
      <c r="F219" s="134"/>
      <c r="G219" s="134"/>
      <c r="H219" s="134"/>
      <c r="I219" s="134"/>
      <c r="J219" s="134"/>
      <c r="K219" s="134"/>
      <c r="L219" s="134"/>
      <c r="M219" s="134"/>
      <c r="N219" s="134"/>
      <c r="O219" s="134"/>
      <c r="P219" s="134"/>
      <c r="Q219" s="134"/>
      <c r="R219" s="134"/>
      <c r="S219" s="134"/>
      <c r="T219" s="134"/>
      <c r="U219" s="134"/>
      <c r="V219" s="134"/>
      <c r="W219" s="134"/>
      <c r="X219" s="134"/>
      <c r="Y219" s="134"/>
    </row>
    <row r="220" spans="1:25" ht="12.75">
      <c r="A220" s="147"/>
      <c r="B220" s="133"/>
      <c r="C220" s="134"/>
      <c r="D220" s="135"/>
      <c r="E220" s="134"/>
      <c r="F220" s="134"/>
      <c r="G220" s="134"/>
      <c r="H220" s="134"/>
      <c r="I220" s="134"/>
      <c r="J220" s="134"/>
      <c r="K220" s="134"/>
      <c r="L220" s="134"/>
      <c r="M220" s="134"/>
      <c r="N220" s="134"/>
      <c r="O220" s="134"/>
      <c r="P220" s="134"/>
      <c r="Q220" s="134"/>
      <c r="R220" s="134"/>
      <c r="S220" s="134"/>
      <c r="T220" s="134"/>
      <c r="U220" s="134"/>
      <c r="V220" s="134"/>
      <c r="W220" s="134"/>
      <c r="X220" s="134"/>
      <c r="Y220" s="134"/>
    </row>
    <row r="221" spans="1:25" ht="12.75">
      <c r="A221" s="147"/>
      <c r="B221" s="133"/>
      <c r="C221" s="134"/>
      <c r="D221" s="135"/>
      <c r="E221" s="134"/>
      <c r="F221" s="134"/>
      <c r="G221" s="134"/>
      <c r="H221" s="134"/>
      <c r="I221" s="134"/>
      <c r="J221" s="134"/>
      <c r="K221" s="134"/>
      <c r="L221" s="134"/>
      <c r="M221" s="134"/>
      <c r="N221" s="134"/>
      <c r="O221" s="134"/>
      <c r="P221" s="134"/>
      <c r="Q221" s="134"/>
      <c r="R221" s="134"/>
      <c r="S221" s="134"/>
      <c r="T221" s="134"/>
      <c r="U221" s="134"/>
      <c r="V221" s="134"/>
      <c r="W221" s="134"/>
      <c r="X221" s="134"/>
      <c r="Y221" s="134"/>
    </row>
    <row r="222" spans="1:25" ht="12.75">
      <c r="A222" s="147"/>
      <c r="B222" s="133"/>
      <c r="C222" s="134"/>
      <c r="D222" s="135"/>
      <c r="E222" s="134"/>
      <c r="F222" s="134"/>
      <c r="G222" s="134"/>
      <c r="H222" s="134"/>
      <c r="I222" s="134"/>
      <c r="J222" s="134"/>
      <c r="K222" s="134"/>
      <c r="L222" s="134"/>
      <c r="M222" s="134"/>
      <c r="N222" s="134"/>
      <c r="O222" s="134"/>
      <c r="P222" s="134"/>
      <c r="Q222" s="134"/>
      <c r="R222" s="134"/>
      <c r="S222" s="134"/>
      <c r="T222" s="134"/>
      <c r="U222" s="134"/>
      <c r="V222" s="134"/>
      <c r="W222" s="134"/>
      <c r="X222" s="134"/>
      <c r="Y222" s="134"/>
    </row>
    <row r="223" spans="1:25" ht="12.75">
      <c r="A223" s="147"/>
      <c r="B223" s="133"/>
      <c r="C223" s="134"/>
      <c r="D223" s="135"/>
      <c r="E223" s="134"/>
      <c r="F223" s="134"/>
      <c r="G223" s="134"/>
      <c r="H223" s="134"/>
      <c r="I223" s="134"/>
      <c r="J223" s="134"/>
      <c r="K223" s="134"/>
      <c r="L223" s="134"/>
      <c r="M223" s="134"/>
      <c r="N223" s="134"/>
      <c r="O223" s="134"/>
      <c r="P223" s="134"/>
      <c r="Q223" s="134"/>
      <c r="R223" s="134"/>
      <c r="S223" s="134"/>
      <c r="T223" s="134"/>
      <c r="U223" s="134"/>
      <c r="V223" s="134"/>
      <c r="W223" s="134"/>
      <c r="X223" s="134"/>
      <c r="Y223" s="134"/>
    </row>
    <row r="224" spans="1:25" ht="12.75">
      <c r="A224" s="147"/>
      <c r="B224" s="133"/>
      <c r="C224" s="134"/>
      <c r="D224" s="135"/>
      <c r="E224" s="134"/>
      <c r="F224" s="134"/>
      <c r="G224" s="134"/>
      <c r="H224" s="134"/>
      <c r="I224" s="134"/>
      <c r="J224" s="134"/>
      <c r="K224" s="134"/>
      <c r="L224" s="134"/>
      <c r="M224" s="134"/>
      <c r="N224" s="134"/>
      <c r="O224" s="134"/>
      <c r="P224" s="134"/>
      <c r="Q224" s="134"/>
      <c r="R224" s="134"/>
      <c r="S224" s="134"/>
      <c r="T224" s="134"/>
      <c r="U224" s="134"/>
      <c r="V224" s="134"/>
      <c r="W224" s="134"/>
      <c r="X224" s="134"/>
      <c r="Y224" s="134"/>
    </row>
    <row r="225" spans="1:25" ht="12.75">
      <c r="A225" s="147"/>
      <c r="B225" s="133"/>
      <c r="C225" s="134"/>
      <c r="D225" s="135"/>
      <c r="E225" s="134"/>
      <c r="F225" s="134"/>
      <c r="G225" s="134"/>
      <c r="H225" s="134"/>
      <c r="I225" s="134"/>
      <c r="J225" s="134"/>
      <c r="K225" s="134"/>
      <c r="L225" s="134"/>
      <c r="M225" s="134"/>
      <c r="N225" s="134"/>
      <c r="O225" s="134"/>
      <c r="P225" s="134"/>
      <c r="Q225" s="134"/>
      <c r="R225" s="134"/>
      <c r="S225" s="134"/>
      <c r="T225" s="134"/>
      <c r="U225" s="134"/>
      <c r="V225" s="134"/>
      <c r="W225" s="134"/>
      <c r="X225" s="134"/>
      <c r="Y225" s="134"/>
    </row>
    <row r="226" spans="1:25" ht="12.75">
      <c r="A226" s="147"/>
      <c r="B226" s="133"/>
      <c r="C226" s="134"/>
      <c r="D226" s="135"/>
      <c r="E226" s="134"/>
      <c r="F226" s="134"/>
      <c r="G226" s="134"/>
      <c r="H226" s="134"/>
      <c r="I226" s="134"/>
      <c r="J226" s="134"/>
      <c r="K226" s="134"/>
      <c r="L226" s="134"/>
      <c r="M226" s="134"/>
      <c r="N226" s="134"/>
      <c r="O226" s="134"/>
      <c r="P226" s="134"/>
      <c r="Q226" s="134"/>
      <c r="R226" s="134"/>
      <c r="S226" s="134"/>
      <c r="T226" s="134"/>
      <c r="U226" s="134"/>
      <c r="V226" s="134"/>
      <c r="W226" s="134"/>
      <c r="X226" s="134"/>
      <c r="Y226" s="134"/>
    </row>
    <row r="227" spans="1:25" ht="12.75">
      <c r="A227" s="147"/>
      <c r="B227" s="133"/>
      <c r="C227" s="134"/>
      <c r="D227" s="135"/>
      <c r="E227" s="134"/>
      <c r="F227" s="134"/>
      <c r="G227" s="134"/>
      <c r="H227" s="134"/>
      <c r="I227" s="134"/>
      <c r="J227" s="134"/>
      <c r="K227" s="134"/>
      <c r="L227" s="134"/>
      <c r="M227" s="134"/>
      <c r="N227" s="134"/>
      <c r="O227" s="134"/>
      <c r="P227" s="134"/>
      <c r="Q227" s="134"/>
      <c r="R227" s="134"/>
      <c r="S227" s="134"/>
      <c r="T227" s="134"/>
      <c r="U227" s="134"/>
      <c r="V227" s="134"/>
      <c r="W227" s="134"/>
      <c r="X227" s="134"/>
      <c r="Y227" s="134"/>
    </row>
    <row r="228" spans="1:25" ht="12.75">
      <c r="A228" s="147"/>
      <c r="B228" s="133"/>
      <c r="C228" s="134"/>
      <c r="D228" s="135"/>
      <c r="E228" s="134"/>
      <c r="F228" s="134"/>
      <c r="G228" s="134"/>
      <c r="H228" s="134"/>
      <c r="I228" s="134"/>
      <c r="J228" s="134"/>
      <c r="K228" s="134"/>
      <c r="L228" s="134"/>
      <c r="M228" s="134"/>
      <c r="N228" s="134"/>
      <c r="O228" s="134"/>
      <c r="P228" s="134"/>
      <c r="Q228" s="134"/>
      <c r="R228" s="134"/>
      <c r="S228" s="134"/>
      <c r="T228" s="134"/>
      <c r="U228" s="134"/>
      <c r="V228" s="134"/>
      <c r="W228" s="134"/>
      <c r="X228" s="134"/>
      <c r="Y228" s="134"/>
    </row>
    <row r="229" spans="1:25" ht="12.75">
      <c r="A229" s="147"/>
      <c r="B229" s="133"/>
      <c r="C229" s="134"/>
      <c r="D229" s="135"/>
      <c r="E229" s="134"/>
      <c r="F229" s="134"/>
      <c r="G229" s="134"/>
      <c r="H229" s="134"/>
      <c r="I229" s="134"/>
      <c r="J229" s="134"/>
      <c r="K229" s="134"/>
      <c r="L229" s="134"/>
      <c r="M229" s="134"/>
      <c r="N229" s="134"/>
      <c r="O229" s="134"/>
      <c r="P229" s="134"/>
      <c r="Q229" s="134"/>
      <c r="R229" s="134"/>
      <c r="S229" s="134"/>
      <c r="T229" s="134"/>
      <c r="U229" s="134"/>
      <c r="V229" s="134"/>
      <c r="W229" s="134"/>
      <c r="X229" s="134"/>
      <c r="Y229" s="134"/>
    </row>
    <row r="230" spans="1:25" ht="12.75">
      <c r="A230" s="147"/>
      <c r="B230" s="133"/>
      <c r="C230" s="134"/>
      <c r="D230" s="135"/>
      <c r="E230" s="134"/>
      <c r="F230" s="134"/>
      <c r="G230" s="134"/>
      <c r="H230" s="134"/>
      <c r="I230" s="134"/>
      <c r="J230" s="134"/>
      <c r="K230" s="134"/>
      <c r="L230" s="134"/>
      <c r="M230" s="134"/>
      <c r="N230" s="134"/>
      <c r="O230" s="134"/>
      <c r="P230" s="134"/>
      <c r="Q230" s="134"/>
      <c r="R230" s="134"/>
      <c r="S230" s="134"/>
      <c r="T230" s="134"/>
      <c r="U230" s="134"/>
      <c r="V230" s="134"/>
      <c r="W230" s="134"/>
      <c r="X230" s="134"/>
      <c r="Y230" s="134"/>
    </row>
    <row r="231" spans="1:25" ht="12.75">
      <c r="A231" s="147"/>
      <c r="B231" s="133"/>
      <c r="C231" s="134"/>
      <c r="D231" s="135"/>
      <c r="E231" s="134"/>
      <c r="F231" s="134"/>
      <c r="G231" s="134"/>
      <c r="H231" s="134"/>
      <c r="I231" s="134"/>
      <c r="J231" s="134"/>
      <c r="K231" s="134"/>
      <c r="L231" s="134"/>
      <c r="M231" s="134"/>
      <c r="N231" s="134"/>
      <c r="O231" s="134"/>
      <c r="P231" s="134"/>
      <c r="Q231" s="134"/>
      <c r="R231" s="134"/>
      <c r="S231" s="134"/>
      <c r="T231" s="134"/>
      <c r="U231" s="134"/>
      <c r="V231" s="134"/>
      <c r="W231" s="134"/>
      <c r="X231" s="134"/>
      <c r="Y231" s="134"/>
    </row>
    <row r="232" spans="1:25" ht="12.75">
      <c r="A232" s="147"/>
      <c r="B232" s="133"/>
      <c r="C232" s="134"/>
      <c r="D232" s="135"/>
      <c r="E232" s="134"/>
      <c r="F232" s="134"/>
      <c r="G232" s="134"/>
      <c r="H232" s="134"/>
      <c r="I232" s="134"/>
      <c r="J232" s="134"/>
      <c r="K232" s="134"/>
      <c r="L232" s="134"/>
      <c r="M232" s="134"/>
      <c r="N232" s="134"/>
      <c r="O232" s="134"/>
      <c r="P232" s="134"/>
      <c r="Q232" s="134"/>
      <c r="R232" s="134"/>
      <c r="S232" s="134"/>
      <c r="T232" s="134"/>
      <c r="U232" s="134"/>
      <c r="V232" s="134"/>
      <c r="W232" s="134"/>
      <c r="X232" s="134"/>
      <c r="Y232" s="134"/>
    </row>
    <row r="233" spans="1:25" ht="12.75">
      <c r="A233" s="147"/>
      <c r="B233" s="133"/>
      <c r="C233" s="134"/>
      <c r="D233" s="135"/>
      <c r="E233" s="134"/>
      <c r="F233" s="134"/>
      <c r="G233" s="134"/>
      <c r="H233" s="134"/>
      <c r="I233" s="134"/>
      <c r="J233" s="134"/>
      <c r="K233" s="134"/>
      <c r="L233" s="134"/>
      <c r="M233" s="134"/>
      <c r="N233" s="134"/>
      <c r="O233" s="134"/>
      <c r="P233" s="134"/>
      <c r="Q233" s="134"/>
      <c r="R233" s="134"/>
      <c r="S233" s="134"/>
      <c r="T233" s="134"/>
      <c r="U233" s="134"/>
      <c r="V233" s="134"/>
      <c r="W233" s="134"/>
      <c r="X233" s="134"/>
      <c r="Y233" s="134"/>
    </row>
    <row r="234" spans="1:25" ht="12.75">
      <c r="A234" s="147"/>
      <c r="B234" s="133"/>
      <c r="C234" s="134"/>
      <c r="D234" s="135"/>
      <c r="E234" s="134"/>
      <c r="F234" s="134"/>
      <c r="G234" s="134"/>
      <c r="H234" s="134"/>
      <c r="I234" s="134"/>
      <c r="J234" s="134"/>
      <c r="K234" s="134"/>
      <c r="L234" s="134"/>
      <c r="M234" s="134"/>
      <c r="N234" s="134"/>
      <c r="O234" s="134"/>
      <c r="P234" s="134"/>
      <c r="Q234" s="134"/>
      <c r="R234" s="134"/>
      <c r="S234" s="134"/>
      <c r="T234" s="134"/>
      <c r="U234" s="134"/>
      <c r="V234" s="134"/>
      <c r="W234" s="134"/>
      <c r="X234" s="134"/>
      <c r="Y234" s="134"/>
    </row>
    <row r="235" spans="1:25" ht="12.75">
      <c r="A235" s="147"/>
      <c r="B235" s="133"/>
      <c r="C235" s="134"/>
      <c r="D235" s="135"/>
      <c r="E235" s="134"/>
      <c r="F235" s="134"/>
      <c r="G235" s="134"/>
      <c r="H235" s="134"/>
      <c r="I235" s="134"/>
      <c r="J235" s="134"/>
      <c r="K235" s="134"/>
      <c r="L235" s="134"/>
      <c r="M235" s="134"/>
      <c r="N235" s="134"/>
      <c r="O235" s="134"/>
      <c r="P235" s="134"/>
      <c r="Q235" s="134"/>
      <c r="R235" s="134"/>
      <c r="S235" s="134"/>
      <c r="T235" s="134"/>
      <c r="U235" s="134"/>
      <c r="V235" s="134"/>
      <c r="W235" s="134"/>
      <c r="X235" s="134"/>
      <c r="Y235" s="134"/>
    </row>
    <row r="236" spans="1:25" ht="12.75">
      <c r="A236" s="147"/>
      <c r="B236" s="133"/>
      <c r="C236" s="134"/>
      <c r="D236" s="135"/>
      <c r="E236" s="134"/>
      <c r="F236" s="134"/>
      <c r="G236" s="134"/>
      <c r="H236" s="134"/>
      <c r="I236" s="134"/>
      <c r="J236" s="134"/>
      <c r="K236" s="134"/>
      <c r="L236" s="134"/>
      <c r="M236" s="134"/>
      <c r="N236" s="134"/>
      <c r="O236" s="134"/>
      <c r="P236" s="134"/>
      <c r="Q236" s="134"/>
      <c r="R236" s="134"/>
      <c r="S236" s="134"/>
      <c r="T236" s="134"/>
      <c r="U236" s="134"/>
      <c r="V236" s="134"/>
      <c r="W236" s="134"/>
      <c r="X236" s="134"/>
      <c r="Y236" s="134"/>
    </row>
    <row r="237" spans="1:25" ht="12.75">
      <c r="A237" s="147"/>
      <c r="B237" s="133"/>
      <c r="C237" s="134"/>
      <c r="D237" s="135"/>
      <c r="E237" s="134"/>
      <c r="F237" s="134"/>
      <c r="G237" s="134"/>
      <c r="H237" s="134"/>
      <c r="I237" s="134"/>
      <c r="J237" s="134"/>
      <c r="K237" s="134"/>
      <c r="L237" s="134"/>
      <c r="M237" s="134"/>
      <c r="N237" s="134"/>
      <c r="O237" s="134"/>
      <c r="P237" s="134"/>
      <c r="Q237" s="134"/>
      <c r="R237" s="134"/>
      <c r="S237" s="134"/>
      <c r="T237" s="134"/>
      <c r="U237" s="134"/>
      <c r="V237" s="134"/>
      <c r="W237" s="134"/>
      <c r="X237" s="134"/>
      <c r="Y237" s="134"/>
    </row>
    <row r="238" spans="1:25" ht="12.75">
      <c r="A238" s="147"/>
      <c r="B238" s="133"/>
      <c r="C238" s="134"/>
      <c r="D238" s="135"/>
      <c r="E238" s="134"/>
      <c r="F238" s="134"/>
      <c r="G238" s="134"/>
      <c r="H238" s="134"/>
      <c r="I238" s="134"/>
      <c r="J238" s="134"/>
      <c r="K238" s="134"/>
      <c r="L238" s="134"/>
      <c r="M238" s="134"/>
      <c r="N238" s="134"/>
      <c r="O238" s="134"/>
      <c r="P238" s="134"/>
      <c r="Q238" s="134"/>
      <c r="R238" s="134"/>
      <c r="S238" s="134"/>
      <c r="T238" s="134"/>
      <c r="U238" s="134"/>
      <c r="V238" s="134"/>
      <c r="W238" s="134"/>
      <c r="X238" s="134"/>
      <c r="Y238" s="134"/>
    </row>
    <row r="239" spans="1:25" ht="12.75">
      <c r="A239" s="147"/>
      <c r="B239" s="133"/>
      <c r="C239" s="134"/>
      <c r="D239" s="135"/>
      <c r="E239" s="134"/>
      <c r="F239" s="134"/>
      <c r="G239" s="134"/>
      <c r="H239" s="134"/>
      <c r="I239" s="134"/>
      <c r="J239" s="134"/>
      <c r="K239" s="134"/>
      <c r="L239" s="134"/>
      <c r="M239" s="134"/>
      <c r="N239" s="134"/>
      <c r="O239" s="134"/>
      <c r="P239" s="134"/>
      <c r="Q239" s="134"/>
      <c r="R239" s="134"/>
      <c r="S239" s="134"/>
      <c r="T239" s="134"/>
      <c r="U239" s="134"/>
      <c r="V239" s="134"/>
      <c r="W239" s="134"/>
      <c r="X239" s="134"/>
      <c r="Y239" s="134"/>
    </row>
    <row r="240" spans="1:25" ht="12.75">
      <c r="A240" s="147"/>
      <c r="B240" s="133"/>
      <c r="C240" s="134"/>
      <c r="D240" s="135"/>
      <c r="E240" s="134"/>
      <c r="F240" s="134"/>
      <c r="G240" s="134"/>
      <c r="H240" s="134"/>
      <c r="I240" s="134"/>
      <c r="J240" s="134"/>
      <c r="K240" s="134"/>
      <c r="L240" s="134"/>
      <c r="M240" s="134"/>
      <c r="N240" s="134"/>
      <c r="O240" s="134"/>
      <c r="P240" s="134"/>
      <c r="Q240" s="134"/>
      <c r="R240" s="134"/>
      <c r="S240" s="134"/>
      <c r="T240" s="134"/>
      <c r="U240" s="134"/>
      <c r="V240" s="134"/>
      <c r="W240" s="134"/>
      <c r="X240" s="134"/>
      <c r="Y240" s="134"/>
    </row>
    <row r="241" spans="1:25" ht="12.75">
      <c r="A241" s="147"/>
      <c r="B241" s="133"/>
      <c r="C241" s="134"/>
      <c r="D241" s="135"/>
      <c r="E241" s="134"/>
      <c r="F241" s="134"/>
      <c r="G241" s="134"/>
      <c r="H241" s="134"/>
      <c r="I241" s="134"/>
      <c r="J241" s="134"/>
      <c r="K241" s="134"/>
      <c r="L241" s="134"/>
      <c r="M241" s="134"/>
      <c r="N241" s="134"/>
      <c r="O241" s="134"/>
      <c r="P241" s="134"/>
      <c r="Q241" s="134"/>
      <c r="R241" s="134"/>
      <c r="S241" s="134"/>
      <c r="T241" s="134"/>
      <c r="U241" s="134"/>
      <c r="V241" s="134"/>
      <c r="W241" s="134"/>
      <c r="X241" s="134"/>
      <c r="Y241" s="134"/>
    </row>
    <row r="242" spans="1:25" ht="12.75">
      <c r="A242" s="147"/>
      <c r="B242" s="133"/>
      <c r="C242" s="134"/>
      <c r="D242" s="135"/>
      <c r="E242" s="134"/>
      <c r="F242" s="134"/>
      <c r="G242" s="134"/>
      <c r="H242" s="134"/>
      <c r="I242" s="134"/>
      <c r="J242" s="134"/>
      <c r="K242" s="134"/>
      <c r="L242" s="134"/>
      <c r="M242" s="134"/>
      <c r="N242" s="134"/>
      <c r="O242" s="134"/>
      <c r="P242" s="134"/>
      <c r="Q242" s="134"/>
      <c r="R242" s="134"/>
      <c r="S242" s="134"/>
      <c r="T242" s="134"/>
      <c r="U242" s="134"/>
      <c r="V242" s="134"/>
      <c r="W242" s="134"/>
      <c r="X242" s="134"/>
      <c r="Y242" s="134"/>
    </row>
    <row r="243" spans="1:25" ht="12.75">
      <c r="A243" s="147"/>
      <c r="B243" s="133"/>
      <c r="C243" s="134"/>
      <c r="D243" s="135"/>
      <c r="E243" s="134"/>
      <c r="F243" s="134"/>
      <c r="G243" s="134"/>
      <c r="H243" s="134"/>
      <c r="I243" s="134"/>
      <c r="J243" s="134"/>
      <c r="K243" s="134"/>
      <c r="L243" s="134"/>
      <c r="M243" s="134"/>
      <c r="N243" s="134"/>
      <c r="O243" s="134"/>
      <c r="P243" s="134"/>
      <c r="Q243" s="134"/>
      <c r="R243" s="134"/>
      <c r="S243" s="134"/>
      <c r="T243" s="134"/>
      <c r="U243" s="134"/>
      <c r="V243" s="134"/>
      <c r="W243" s="134"/>
      <c r="X243" s="134"/>
      <c r="Y243" s="134"/>
    </row>
    <row r="244" spans="1:25" ht="12.75">
      <c r="A244" s="147"/>
      <c r="B244" s="133"/>
      <c r="C244" s="134"/>
      <c r="D244" s="135"/>
      <c r="E244" s="134"/>
      <c r="F244" s="134"/>
      <c r="G244" s="134"/>
      <c r="H244" s="134"/>
      <c r="I244" s="134"/>
      <c r="J244" s="134"/>
      <c r="K244" s="134"/>
      <c r="L244" s="134"/>
      <c r="M244" s="134"/>
      <c r="N244" s="134"/>
      <c r="O244" s="134"/>
      <c r="P244" s="134"/>
      <c r="Q244" s="134"/>
      <c r="R244" s="134"/>
      <c r="S244" s="134"/>
      <c r="T244" s="134"/>
      <c r="U244" s="134"/>
      <c r="V244" s="134"/>
      <c r="W244" s="134"/>
      <c r="X244" s="134"/>
      <c r="Y244" s="134"/>
    </row>
    <row r="245" spans="1:25" ht="12.75">
      <c r="A245" s="147"/>
      <c r="B245" s="133"/>
      <c r="C245" s="134"/>
      <c r="D245" s="135"/>
      <c r="E245" s="134"/>
      <c r="F245" s="134"/>
      <c r="G245" s="134"/>
      <c r="H245" s="134"/>
      <c r="I245" s="134"/>
      <c r="J245" s="134"/>
      <c r="K245" s="134"/>
      <c r="L245" s="134"/>
      <c r="M245" s="134"/>
      <c r="N245" s="134"/>
      <c r="O245" s="134"/>
      <c r="P245" s="134"/>
      <c r="Q245" s="134"/>
      <c r="R245" s="134"/>
      <c r="S245" s="134"/>
      <c r="T245" s="134"/>
      <c r="U245" s="134"/>
      <c r="V245" s="134"/>
      <c r="W245" s="134"/>
      <c r="X245" s="134"/>
      <c r="Y245" s="134"/>
    </row>
    <row r="246" spans="1:25" ht="12.75">
      <c r="A246" s="147"/>
      <c r="B246" s="133"/>
      <c r="C246" s="134"/>
      <c r="D246" s="135"/>
      <c r="E246" s="134"/>
      <c r="F246" s="134"/>
      <c r="G246" s="134"/>
      <c r="H246" s="134"/>
      <c r="I246" s="134"/>
      <c r="J246" s="134"/>
      <c r="K246" s="134"/>
      <c r="L246" s="134"/>
      <c r="M246" s="134"/>
      <c r="N246" s="134"/>
      <c r="O246" s="134"/>
      <c r="P246" s="134"/>
      <c r="Q246" s="134"/>
      <c r="R246" s="134"/>
      <c r="S246" s="134"/>
      <c r="T246" s="134"/>
      <c r="U246" s="134"/>
      <c r="V246" s="134"/>
      <c r="W246" s="134"/>
      <c r="X246" s="134"/>
      <c r="Y246" s="134"/>
    </row>
    <row r="247" spans="1:25" ht="12.75">
      <c r="A247" s="147"/>
      <c r="B247" s="133"/>
      <c r="C247" s="134"/>
      <c r="D247" s="135"/>
      <c r="E247" s="134"/>
      <c r="F247" s="134"/>
      <c r="G247" s="134"/>
      <c r="H247" s="134"/>
      <c r="I247" s="134"/>
      <c r="J247" s="134"/>
      <c r="K247" s="134"/>
      <c r="L247" s="134"/>
      <c r="M247" s="134"/>
      <c r="N247" s="134"/>
      <c r="O247" s="134"/>
      <c r="P247" s="134"/>
      <c r="Q247" s="134"/>
      <c r="R247" s="134"/>
      <c r="S247" s="134"/>
      <c r="T247" s="134"/>
      <c r="U247" s="134"/>
      <c r="V247" s="134"/>
      <c r="W247" s="134"/>
      <c r="X247" s="134"/>
      <c r="Y247" s="134"/>
    </row>
    <row r="248" spans="1:25" ht="12.75">
      <c r="A248" s="147"/>
      <c r="B248" s="133"/>
      <c r="C248" s="134"/>
      <c r="D248" s="135"/>
      <c r="E248" s="134"/>
      <c r="F248" s="134"/>
      <c r="G248" s="134"/>
      <c r="H248" s="134"/>
      <c r="I248" s="134"/>
      <c r="J248" s="134"/>
      <c r="K248" s="134"/>
      <c r="L248" s="134"/>
      <c r="M248" s="134"/>
      <c r="N248" s="134"/>
      <c r="O248" s="134"/>
      <c r="P248" s="134"/>
      <c r="Q248" s="134"/>
      <c r="R248" s="134"/>
      <c r="S248" s="134"/>
      <c r="T248" s="134"/>
      <c r="U248" s="134"/>
      <c r="V248" s="134"/>
      <c r="W248" s="134"/>
      <c r="X248" s="134"/>
      <c r="Y248" s="134"/>
    </row>
    <row r="249" spans="1:25" ht="12.75">
      <c r="A249" s="147"/>
      <c r="B249" s="133"/>
      <c r="C249" s="134"/>
      <c r="D249" s="135"/>
      <c r="E249" s="134"/>
      <c r="F249" s="134"/>
      <c r="G249" s="134"/>
      <c r="H249" s="134"/>
      <c r="I249" s="134"/>
      <c r="J249" s="134"/>
      <c r="K249" s="134"/>
      <c r="L249" s="134"/>
      <c r="M249" s="134"/>
      <c r="N249" s="134"/>
      <c r="O249" s="134"/>
      <c r="P249" s="134"/>
      <c r="Q249" s="134"/>
      <c r="R249" s="134"/>
      <c r="S249" s="134"/>
      <c r="T249" s="134"/>
      <c r="U249" s="134"/>
      <c r="V249" s="134"/>
      <c r="W249" s="134"/>
      <c r="X249" s="134"/>
      <c r="Y249" s="134"/>
    </row>
    <row r="250" spans="1:25" ht="12.75">
      <c r="A250" s="147"/>
      <c r="B250" s="133"/>
      <c r="C250" s="134"/>
      <c r="D250" s="135"/>
      <c r="E250" s="134"/>
      <c r="F250" s="134"/>
      <c r="G250" s="134"/>
      <c r="H250" s="134"/>
      <c r="I250" s="134"/>
      <c r="J250" s="134"/>
      <c r="K250" s="134"/>
      <c r="L250" s="134"/>
      <c r="M250" s="134"/>
      <c r="N250" s="134"/>
      <c r="O250" s="134"/>
      <c r="P250" s="134"/>
      <c r="Q250" s="134"/>
      <c r="R250" s="134"/>
      <c r="S250" s="134"/>
      <c r="T250" s="134"/>
      <c r="U250" s="134"/>
      <c r="V250" s="134"/>
      <c r="W250" s="134"/>
      <c r="X250" s="134"/>
      <c r="Y250" s="134"/>
    </row>
    <row r="251" spans="1:25" ht="12.75">
      <c r="A251" s="147"/>
      <c r="B251" s="133"/>
      <c r="C251" s="134"/>
      <c r="D251" s="135"/>
      <c r="E251" s="134"/>
      <c r="F251" s="134"/>
      <c r="G251" s="134"/>
      <c r="H251" s="134"/>
      <c r="I251" s="134"/>
      <c r="J251" s="134"/>
      <c r="K251" s="134"/>
      <c r="L251" s="134"/>
      <c r="M251" s="134"/>
      <c r="N251" s="134"/>
      <c r="O251" s="134"/>
      <c r="P251" s="134"/>
      <c r="Q251" s="134"/>
      <c r="R251" s="134"/>
      <c r="S251" s="134"/>
      <c r="T251" s="134"/>
      <c r="U251" s="134"/>
      <c r="V251" s="134"/>
      <c r="W251" s="134"/>
      <c r="X251" s="134"/>
      <c r="Y251" s="134"/>
    </row>
    <row r="252" spans="1:25" ht="12.75">
      <c r="A252" s="147"/>
      <c r="B252" s="133"/>
      <c r="C252" s="134"/>
      <c r="D252" s="135"/>
      <c r="E252" s="134"/>
      <c r="F252" s="134"/>
      <c r="G252" s="134"/>
      <c r="H252" s="134"/>
      <c r="I252" s="134"/>
      <c r="J252" s="134"/>
      <c r="K252" s="134"/>
      <c r="L252" s="134"/>
      <c r="M252" s="134"/>
      <c r="N252" s="134"/>
      <c r="O252" s="134"/>
      <c r="P252" s="134"/>
      <c r="Q252" s="134"/>
      <c r="R252" s="134"/>
      <c r="S252" s="134"/>
      <c r="T252" s="134"/>
      <c r="U252" s="134"/>
      <c r="V252" s="134"/>
      <c r="W252" s="134"/>
      <c r="X252" s="134"/>
      <c r="Y252" s="134"/>
    </row>
    <row r="253" spans="1:25" ht="12.75">
      <c r="A253" s="147"/>
      <c r="B253" s="133"/>
      <c r="C253" s="134"/>
      <c r="D253" s="135"/>
      <c r="E253" s="134"/>
      <c r="F253" s="134"/>
      <c r="G253" s="134"/>
      <c r="H253" s="134"/>
      <c r="I253" s="134"/>
      <c r="J253" s="134"/>
      <c r="K253" s="134"/>
      <c r="L253" s="134"/>
      <c r="M253" s="134"/>
      <c r="N253" s="134"/>
      <c r="O253" s="134"/>
      <c r="P253" s="134"/>
      <c r="Q253" s="134"/>
      <c r="R253" s="134"/>
      <c r="S253" s="134"/>
      <c r="T253" s="134"/>
      <c r="U253" s="134"/>
      <c r="V253" s="134"/>
      <c r="W253" s="134"/>
      <c r="X253" s="134"/>
      <c r="Y253" s="134"/>
    </row>
    <row r="254" spans="1:25" ht="12.75">
      <c r="A254" s="147"/>
      <c r="B254" s="133"/>
      <c r="C254" s="134"/>
      <c r="D254" s="135"/>
      <c r="E254" s="134"/>
      <c r="F254" s="134"/>
      <c r="G254" s="134"/>
      <c r="H254" s="134"/>
      <c r="I254" s="134"/>
      <c r="J254" s="134"/>
      <c r="K254" s="134"/>
      <c r="L254" s="134"/>
      <c r="M254" s="134"/>
      <c r="N254" s="134"/>
      <c r="O254" s="134"/>
      <c r="P254" s="134"/>
      <c r="Q254" s="134"/>
      <c r="R254" s="134"/>
      <c r="S254" s="134"/>
      <c r="T254" s="134"/>
      <c r="U254" s="134"/>
      <c r="V254" s="134"/>
      <c r="W254" s="134"/>
      <c r="X254" s="134"/>
      <c r="Y254" s="134"/>
    </row>
    <row r="255" spans="1:25" ht="12.75">
      <c r="A255" s="147"/>
      <c r="B255" s="133"/>
      <c r="C255" s="134"/>
      <c r="D255" s="135"/>
      <c r="E255" s="134"/>
      <c r="F255" s="134"/>
      <c r="G255" s="134"/>
      <c r="H255" s="134"/>
      <c r="I255" s="134"/>
      <c r="J255" s="134"/>
      <c r="K255" s="134"/>
      <c r="L255" s="134"/>
      <c r="M255" s="134"/>
      <c r="N255" s="134"/>
      <c r="O255" s="134"/>
      <c r="P255" s="134"/>
      <c r="Q255" s="134"/>
      <c r="R255" s="134"/>
      <c r="S255" s="134"/>
      <c r="T255" s="134"/>
      <c r="U255" s="134"/>
      <c r="V255" s="134"/>
      <c r="W255" s="134"/>
      <c r="X255" s="134"/>
      <c r="Y255" s="134"/>
    </row>
    <row r="256" spans="1:25" ht="12.75">
      <c r="A256" s="147"/>
      <c r="B256" s="133"/>
      <c r="C256" s="134"/>
      <c r="D256" s="135"/>
      <c r="E256" s="134"/>
      <c r="F256" s="134"/>
      <c r="G256" s="134"/>
      <c r="H256" s="134"/>
      <c r="I256" s="134"/>
      <c r="J256" s="134"/>
      <c r="K256" s="134"/>
      <c r="L256" s="134"/>
      <c r="M256" s="134"/>
      <c r="N256" s="134"/>
      <c r="O256" s="134"/>
      <c r="P256" s="134"/>
      <c r="Q256" s="134"/>
      <c r="R256" s="134"/>
      <c r="S256" s="134"/>
      <c r="T256" s="134"/>
      <c r="U256" s="134"/>
      <c r="V256" s="134"/>
      <c r="W256" s="134"/>
      <c r="X256" s="134"/>
      <c r="Y256" s="134"/>
    </row>
    <row r="257" spans="1:25" ht="12.75">
      <c r="A257" s="147"/>
      <c r="B257" s="133"/>
      <c r="C257" s="134"/>
      <c r="D257" s="135"/>
      <c r="E257" s="134"/>
      <c r="F257" s="134"/>
      <c r="G257" s="134"/>
      <c r="H257" s="134"/>
      <c r="I257" s="134"/>
      <c r="J257" s="134"/>
      <c r="K257" s="134"/>
      <c r="L257" s="134"/>
      <c r="M257" s="134"/>
      <c r="N257" s="134"/>
      <c r="O257" s="134"/>
      <c r="P257" s="134"/>
      <c r="Q257" s="134"/>
      <c r="R257" s="134"/>
      <c r="S257" s="134"/>
      <c r="T257" s="134"/>
      <c r="U257" s="134"/>
      <c r="V257" s="134"/>
      <c r="W257" s="134"/>
      <c r="X257" s="134"/>
      <c r="Y257" s="134"/>
    </row>
    <row r="258" spans="1:25" ht="12.75">
      <c r="A258" s="147"/>
      <c r="B258" s="133"/>
      <c r="C258" s="134"/>
      <c r="D258" s="135"/>
      <c r="E258" s="134"/>
      <c r="F258" s="134"/>
      <c r="G258" s="134"/>
      <c r="H258" s="134"/>
      <c r="I258" s="134"/>
      <c r="J258" s="134"/>
      <c r="K258" s="134"/>
      <c r="L258" s="134"/>
      <c r="M258" s="134"/>
      <c r="N258" s="134"/>
      <c r="O258" s="134"/>
      <c r="P258" s="134"/>
      <c r="Q258" s="134"/>
      <c r="R258" s="134"/>
      <c r="S258" s="134"/>
      <c r="T258" s="134"/>
      <c r="U258" s="134"/>
      <c r="V258" s="134"/>
      <c r="W258" s="134"/>
      <c r="X258" s="134"/>
      <c r="Y258" s="134"/>
    </row>
    <row r="259" spans="1:25" ht="12.75">
      <c r="A259" s="147"/>
      <c r="B259" s="133"/>
      <c r="C259" s="134"/>
      <c r="D259" s="135"/>
      <c r="E259" s="134"/>
      <c r="F259" s="134"/>
      <c r="G259" s="134"/>
      <c r="H259" s="134"/>
      <c r="I259" s="134"/>
      <c r="J259" s="134"/>
      <c r="K259" s="134"/>
      <c r="L259" s="134"/>
      <c r="M259" s="134"/>
      <c r="N259" s="134"/>
      <c r="O259" s="134"/>
      <c r="P259" s="134"/>
      <c r="Q259" s="134"/>
      <c r="R259" s="134"/>
      <c r="S259" s="134"/>
      <c r="T259" s="134"/>
      <c r="U259" s="134"/>
      <c r="V259" s="134"/>
      <c r="W259" s="134"/>
      <c r="X259" s="134"/>
      <c r="Y259" s="134"/>
    </row>
    <row r="260" spans="1:25" ht="12.75">
      <c r="A260" s="147"/>
      <c r="B260" s="133"/>
      <c r="C260" s="134"/>
      <c r="D260" s="135"/>
      <c r="E260" s="134"/>
      <c r="F260" s="134"/>
      <c r="G260" s="134"/>
      <c r="H260" s="134"/>
      <c r="I260" s="134"/>
      <c r="J260" s="134"/>
      <c r="K260" s="134"/>
      <c r="L260" s="134"/>
      <c r="M260" s="134"/>
      <c r="N260" s="134"/>
      <c r="O260" s="134"/>
      <c r="P260" s="134"/>
      <c r="Q260" s="134"/>
      <c r="R260" s="134"/>
      <c r="S260" s="134"/>
      <c r="T260" s="134"/>
      <c r="U260" s="134"/>
      <c r="V260" s="134"/>
      <c r="W260" s="134"/>
      <c r="X260" s="134"/>
      <c r="Y260" s="134"/>
    </row>
    <row r="261" spans="1:25" ht="12.75">
      <c r="A261" s="147"/>
      <c r="B261" s="133"/>
      <c r="C261" s="134"/>
      <c r="D261" s="135"/>
      <c r="E261" s="134"/>
      <c r="F261" s="134"/>
      <c r="G261" s="134"/>
      <c r="H261" s="134"/>
      <c r="I261" s="134"/>
      <c r="J261" s="134"/>
      <c r="K261" s="134"/>
      <c r="L261" s="134"/>
      <c r="M261" s="134"/>
      <c r="N261" s="134"/>
      <c r="O261" s="134"/>
      <c r="P261" s="134"/>
      <c r="Q261" s="134"/>
      <c r="R261" s="134"/>
      <c r="S261" s="134"/>
      <c r="T261" s="134"/>
      <c r="U261" s="134"/>
      <c r="V261" s="134"/>
      <c r="W261" s="134"/>
      <c r="X261" s="134"/>
      <c r="Y261" s="134"/>
    </row>
    <row r="262" spans="1:25" ht="12.75">
      <c r="A262" s="147"/>
      <c r="B262" s="133"/>
      <c r="C262" s="134"/>
      <c r="D262" s="135"/>
      <c r="E262" s="134"/>
      <c r="F262" s="134"/>
      <c r="G262" s="134"/>
      <c r="H262" s="134"/>
      <c r="I262" s="134"/>
      <c r="J262" s="134"/>
      <c r="K262" s="134"/>
      <c r="L262" s="134"/>
      <c r="M262" s="134"/>
      <c r="N262" s="134"/>
      <c r="O262" s="134"/>
      <c r="P262" s="134"/>
      <c r="Q262" s="134"/>
      <c r="R262" s="134"/>
      <c r="S262" s="134"/>
      <c r="T262" s="134"/>
      <c r="U262" s="134"/>
      <c r="V262" s="134"/>
      <c r="W262" s="134"/>
      <c r="X262" s="134"/>
      <c r="Y262" s="134"/>
    </row>
    <row r="263" spans="1:25" ht="12.75">
      <c r="A263" s="147"/>
      <c r="B263" s="133"/>
      <c r="C263" s="134"/>
      <c r="D263" s="135"/>
      <c r="E263" s="134"/>
      <c r="F263" s="134"/>
      <c r="G263" s="134"/>
      <c r="H263" s="134"/>
      <c r="I263" s="134"/>
      <c r="J263" s="134"/>
      <c r="K263" s="134"/>
      <c r="L263" s="134"/>
      <c r="M263" s="134"/>
      <c r="N263" s="134"/>
      <c r="O263" s="134"/>
      <c r="P263" s="134"/>
      <c r="Q263" s="134"/>
      <c r="R263" s="134"/>
      <c r="S263" s="134"/>
      <c r="T263" s="134"/>
      <c r="U263" s="134"/>
      <c r="V263" s="134"/>
      <c r="W263" s="134"/>
      <c r="X263" s="134"/>
      <c r="Y263" s="134"/>
    </row>
    <row r="264" spans="1:25" ht="12.75">
      <c r="A264" s="147"/>
      <c r="B264" s="133"/>
      <c r="C264" s="134"/>
      <c r="D264" s="135"/>
      <c r="E264" s="134"/>
      <c r="F264" s="134"/>
      <c r="G264" s="134"/>
      <c r="H264" s="134"/>
      <c r="I264" s="134"/>
      <c r="J264" s="134"/>
      <c r="K264" s="134"/>
      <c r="L264" s="134"/>
      <c r="M264" s="134"/>
      <c r="N264" s="134"/>
      <c r="O264" s="134"/>
      <c r="P264" s="134"/>
      <c r="Q264" s="134"/>
      <c r="R264" s="134"/>
      <c r="S264" s="134"/>
      <c r="T264" s="134"/>
      <c r="U264" s="134"/>
      <c r="V264" s="134"/>
      <c r="W264" s="134"/>
      <c r="X264" s="134"/>
      <c r="Y264" s="134"/>
    </row>
    <row r="265" spans="1:25" ht="12.75">
      <c r="A265" s="147"/>
      <c r="B265" s="133"/>
      <c r="C265" s="134"/>
      <c r="D265" s="135"/>
      <c r="E265" s="134"/>
      <c r="F265" s="134"/>
      <c r="G265" s="134"/>
      <c r="H265" s="134"/>
      <c r="I265" s="134"/>
      <c r="J265" s="134"/>
      <c r="K265" s="134"/>
      <c r="L265" s="134"/>
      <c r="M265" s="134"/>
      <c r="N265" s="134"/>
      <c r="O265" s="134"/>
      <c r="P265" s="134"/>
      <c r="Q265" s="134"/>
      <c r="R265" s="134"/>
      <c r="S265" s="134"/>
      <c r="T265" s="134"/>
      <c r="U265" s="134"/>
      <c r="V265" s="134"/>
      <c r="W265" s="134"/>
      <c r="X265" s="134"/>
      <c r="Y265" s="134"/>
    </row>
    <row r="266" spans="1:25" ht="12.75">
      <c r="A266" s="147"/>
      <c r="B266" s="133"/>
      <c r="C266" s="134"/>
      <c r="D266" s="135"/>
      <c r="E266" s="134"/>
      <c r="F266" s="134"/>
      <c r="G266" s="134"/>
      <c r="H266" s="134"/>
      <c r="I266" s="134"/>
      <c r="J266" s="134"/>
      <c r="K266" s="134"/>
      <c r="L266" s="134"/>
      <c r="M266" s="134"/>
      <c r="N266" s="134"/>
      <c r="O266" s="134"/>
      <c r="P266" s="134"/>
      <c r="Q266" s="134"/>
      <c r="R266" s="134"/>
      <c r="S266" s="134"/>
      <c r="T266" s="134"/>
      <c r="U266" s="134"/>
      <c r="V266" s="134"/>
      <c r="W266" s="134"/>
      <c r="X266" s="134"/>
      <c r="Y266" s="134"/>
    </row>
    <row r="267" spans="1:25" ht="12.75">
      <c r="A267" s="147"/>
      <c r="B267" s="133"/>
      <c r="C267" s="134"/>
      <c r="D267" s="135"/>
      <c r="E267" s="134"/>
      <c r="F267" s="134"/>
      <c r="G267" s="134"/>
      <c r="H267" s="134"/>
      <c r="I267" s="134"/>
      <c r="J267" s="134"/>
      <c r="K267" s="134"/>
      <c r="L267" s="134"/>
      <c r="M267" s="134"/>
      <c r="N267" s="134"/>
      <c r="O267" s="134"/>
      <c r="P267" s="134"/>
      <c r="Q267" s="134"/>
      <c r="R267" s="134"/>
      <c r="S267" s="134"/>
      <c r="T267" s="134"/>
      <c r="U267" s="134"/>
      <c r="V267" s="134"/>
      <c r="W267" s="134"/>
      <c r="X267" s="134"/>
      <c r="Y267" s="134"/>
    </row>
    <row r="268" spans="1:25" ht="12.75">
      <c r="A268" s="147"/>
      <c r="B268" s="133"/>
      <c r="C268" s="134"/>
      <c r="D268" s="135"/>
      <c r="E268" s="134"/>
      <c r="F268" s="134"/>
      <c r="G268" s="134"/>
      <c r="H268" s="134"/>
      <c r="I268" s="134"/>
      <c r="J268" s="134"/>
      <c r="K268" s="134"/>
      <c r="L268" s="134"/>
      <c r="M268" s="134"/>
      <c r="N268" s="134"/>
      <c r="O268" s="134"/>
      <c r="P268" s="134"/>
      <c r="Q268" s="134"/>
      <c r="R268" s="134"/>
      <c r="S268" s="134"/>
      <c r="T268" s="134"/>
      <c r="U268" s="134"/>
      <c r="V268" s="134"/>
      <c r="W268" s="134"/>
      <c r="X268" s="134"/>
      <c r="Y268" s="134"/>
    </row>
    <row r="269" spans="1:25" ht="12.75">
      <c r="A269" s="147"/>
      <c r="B269" s="133"/>
      <c r="C269" s="134"/>
      <c r="D269" s="135"/>
      <c r="E269" s="134"/>
      <c r="F269" s="134"/>
      <c r="G269" s="134"/>
      <c r="H269" s="134"/>
      <c r="I269" s="134"/>
      <c r="J269" s="134"/>
      <c r="K269" s="134"/>
      <c r="L269" s="134"/>
      <c r="M269" s="134"/>
      <c r="N269" s="134"/>
      <c r="O269" s="134"/>
      <c r="P269" s="134"/>
      <c r="Q269" s="134"/>
      <c r="R269" s="134"/>
      <c r="S269" s="134"/>
      <c r="T269" s="134"/>
      <c r="U269" s="134"/>
      <c r="V269" s="134"/>
      <c r="W269" s="134"/>
      <c r="X269" s="134"/>
      <c r="Y269" s="134"/>
    </row>
    <row r="270" spans="1:25" ht="12.75">
      <c r="A270" s="147"/>
      <c r="B270" s="133"/>
      <c r="C270" s="134"/>
      <c r="D270" s="135"/>
      <c r="E270" s="134"/>
      <c r="F270" s="134"/>
      <c r="G270" s="134"/>
      <c r="H270" s="134"/>
      <c r="I270" s="134"/>
      <c r="J270" s="134"/>
      <c r="K270" s="134"/>
      <c r="L270" s="134"/>
      <c r="M270" s="134"/>
      <c r="N270" s="134"/>
      <c r="O270" s="134"/>
      <c r="P270" s="134"/>
      <c r="Q270" s="134"/>
      <c r="R270" s="134"/>
      <c r="S270" s="134"/>
      <c r="T270" s="134"/>
      <c r="U270" s="134"/>
      <c r="V270" s="134"/>
      <c r="W270" s="134"/>
      <c r="X270" s="134"/>
      <c r="Y270" s="134"/>
    </row>
    <row r="271" spans="1:25" ht="12.75">
      <c r="A271" s="147"/>
      <c r="B271" s="133"/>
      <c r="C271" s="134"/>
      <c r="D271" s="135"/>
      <c r="E271" s="134"/>
      <c r="F271" s="134"/>
      <c r="G271" s="134"/>
      <c r="H271" s="134"/>
      <c r="I271" s="134"/>
      <c r="J271" s="134"/>
      <c r="K271" s="134"/>
      <c r="L271" s="134"/>
      <c r="M271" s="134"/>
      <c r="N271" s="134"/>
      <c r="O271" s="134"/>
      <c r="P271" s="134"/>
      <c r="Q271" s="134"/>
      <c r="R271" s="134"/>
      <c r="S271" s="134"/>
      <c r="T271" s="134"/>
      <c r="U271" s="134"/>
      <c r="V271" s="134"/>
      <c r="W271" s="134"/>
      <c r="X271" s="134"/>
      <c r="Y271" s="134"/>
    </row>
    <row r="272" spans="1:25" ht="12.75">
      <c r="A272" s="147"/>
      <c r="B272" s="133"/>
      <c r="C272" s="134"/>
      <c r="D272" s="135"/>
      <c r="E272" s="134"/>
      <c r="F272" s="134"/>
      <c r="G272" s="134"/>
      <c r="H272" s="134"/>
      <c r="I272" s="134"/>
      <c r="J272" s="134"/>
      <c r="K272" s="134"/>
      <c r="L272" s="134"/>
      <c r="M272" s="134"/>
      <c r="N272" s="134"/>
      <c r="O272" s="134"/>
      <c r="P272" s="134"/>
      <c r="Q272" s="134"/>
      <c r="R272" s="134"/>
      <c r="S272" s="134"/>
      <c r="T272" s="134"/>
      <c r="U272" s="134"/>
      <c r="V272" s="134"/>
      <c r="W272" s="134"/>
      <c r="X272" s="134"/>
      <c r="Y272" s="134"/>
    </row>
    <row r="273" spans="1:25" ht="12.75">
      <c r="A273" s="147"/>
      <c r="B273" s="133"/>
      <c r="C273" s="134"/>
      <c r="D273" s="135"/>
      <c r="E273" s="134"/>
      <c r="F273" s="134"/>
      <c r="G273" s="134"/>
      <c r="H273" s="134"/>
      <c r="I273" s="134"/>
      <c r="J273" s="134"/>
      <c r="K273" s="134"/>
      <c r="L273" s="134"/>
      <c r="M273" s="134"/>
      <c r="N273" s="134"/>
      <c r="O273" s="134"/>
      <c r="P273" s="134"/>
      <c r="Q273" s="134"/>
      <c r="R273" s="134"/>
      <c r="S273" s="134"/>
      <c r="T273" s="134"/>
      <c r="U273" s="134"/>
      <c r="V273" s="134"/>
      <c r="W273" s="134"/>
      <c r="X273" s="134"/>
      <c r="Y273" s="134"/>
    </row>
    <row r="274" spans="1:25" ht="12.75">
      <c r="A274" s="147"/>
      <c r="B274" s="133"/>
      <c r="C274" s="134"/>
      <c r="D274" s="135"/>
      <c r="E274" s="134"/>
      <c r="F274" s="134"/>
      <c r="G274" s="134"/>
      <c r="H274" s="134"/>
      <c r="I274" s="134"/>
      <c r="J274" s="134"/>
      <c r="K274" s="134"/>
      <c r="L274" s="134"/>
      <c r="M274" s="134"/>
      <c r="N274" s="134"/>
      <c r="O274" s="134"/>
      <c r="P274" s="134"/>
      <c r="Q274" s="134"/>
      <c r="R274" s="134"/>
      <c r="S274" s="134"/>
      <c r="T274" s="134"/>
      <c r="U274" s="134"/>
      <c r="V274" s="134"/>
      <c r="W274" s="134"/>
      <c r="X274" s="134"/>
      <c r="Y274" s="134"/>
    </row>
    <row r="275" spans="1:25" ht="12.75">
      <c r="A275" s="147"/>
      <c r="B275" s="133"/>
      <c r="C275" s="134"/>
      <c r="D275" s="135"/>
      <c r="E275" s="134"/>
      <c r="F275" s="134"/>
      <c r="G275" s="134"/>
      <c r="H275" s="134"/>
      <c r="I275" s="134"/>
      <c r="J275" s="134"/>
      <c r="K275" s="134"/>
      <c r="L275" s="134"/>
      <c r="M275" s="134"/>
      <c r="N275" s="134"/>
      <c r="O275" s="134"/>
      <c r="P275" s="134"/>
      <c r="Q275" s="134"/>
      <c r="R275" s="134"/>
      <c r="S275" s="134"/>
      <c r="T275" s="134"/>
      <c r="U275" s="134"/>
      <c r="V275" s="134"/>
      <c r="W275" s="134"/>
      <c r="X275" s="134"/>
      <c r="Y275" s="134"/>
    </row>
    <row r="276" spans="1:25" ht="12.75">
      <c r="A276" s="147"/>
      <c r="B276" s="133"/>
      <c r="C276" s="134"/>
      <c r="D276" s="135"/>
      <c r="E276" s="134"/>
      <c r="F276" s="134"/>
      <c r="G276" s="134"/>
      <c r="H276" s="134"/>
      <c r="I276" s="134"/>
      <c r="J276" s="134"/>
      <c r="K276" s="134"/>
      <c r="L276" s="134"/>
      <c r="M276" s="134"/>
      <c r="N276" s="134"/>
      <c r="O276" s="134"/>
      <c r="P276" s="134"/>
      <c r="Q276" s="134"/>
      <c r="R276" s="134"/>
      <c r="S276" s="134"/>
      <c r="T276" s="134"/>
      <c r="U276" s="134"/>
      <c r="V276" s="134"/>
      <c r="W276" s="134"/>
      <c r="X276" s="134"/>
      <c r="Y276" s="134"/>
    </row>
    <row r="277" spans="1:25" ht="12.75">
      <c r="A277" s="147"/>
      <c r="B277" s="133"/>
      <c r="C277" s="134"/>
      <c r="D277" s="135"/>
      <c r="E277" s="134"/>
      <c r="F277" s="134"/>
      <c r="G277" s="134"/>
      <c r="H277" s="134"/>
      <c r="I277" s="134"/>
      <c r="J277" s="134"/>
      <c r="K277" s="134"/>
      <c r="L277" s="134"/>
      <c r="M277" s="134"/>
      <c r="N277" s="134"/>
      <c r="O277" s="134"/>
      <c r="P277" s="134"/>
      <c r="Q277" s="134"/>
      <c r="R277" s="134"/>
      <c r="S277" s="134"/>
      <c r="T277" s="134"/>
      <c r="U277" s="134"/>
      <c r="V277" s="134"/>
      <c r="W277" s="134"/>
      <c r="X277" s="134"/>
      <c r="Y277" s="134"/>
    </row>
    <row r="278" spans="1:25" ht="12.75">
      <c r="A278" s="147"/>
      <c r="B278" s="133"/>
      <c r="C278" s="134"/>
      <c r="D278" s="135"/>
      <c r="E278" s="134"/>
      <c r="F278" s="134"/>
      <c r="G278" s="134"/>
      <c r="H278" s="134"/>
      <c r="I278" s="134"/>
      <c r="J278" s="134"/>
      <c r="K278" s="134"/>
      <c r="L278" s="134"/>
      <c r="M278" s="134"/>
      <c r="N278" s="134"/>
      <c r="O278" s="134"/>
      <c r="P278" s="134"/>
      <c r="Q278" s="134"/>
      <c r="R278" s="134"/>
      <c r="S278" s="134"/>
      <c r="T278" s="134"/>
      <c r="U278" s="134"/>
      <c r="V278" s="134"/>
      <c r="W278" s="134"/>
      <c r="X278" s="134"/>
      <c r="Y278" s="134"/>
    </row>
    <row r="279" spans="1:25" ht="12.75">
      <c r="A279" s="147"/>
      <c r="B279" s="133"/>
      <c r="C279" s="134"/>
      <c r="D279" s="135"/>
      <c r="E279" s="134"/>
      <c r="F279" s="134"/>
      <c r="G279" s="134"/>
      <c r="H279" s="134"/>
      <c r="I279" s="134"/>
      <c r="J279" s="134"/>
      <c r="K279" s="134"/>
      <c r="L279" s="134"/>
      <c r="M279" s="134"/>
      <c r="N279" s="134"/>
      <c r="O279" s="134"/>
      <c r="P279" s="134"/>
      <c r="Q279" s="134"/>
      <c r="R279" s="134"/>
      <c r="S279" s="134"/>
      <c r="T279" s="134"/>
      <c r="U279" s="134"/>
      <c r="V279" s="134"/>
      <c r="W279" s="134"/>
      <c r="X279" s="134"/>
      <c r="Y279" s="134"/>
    </row>
    <row r="280" spans="1:25" ht="12.75">
      <c r="A280" s="147"/>
      <c r="B280" s="133"/>
      <c r="C280" s="134"/>
      <c r="D280" s="135"/>
      <c r="E280" s="134"/>
      <c r="F280" s="134"/>
      <c r="G280" s="134"/>
      <c r="H280" s="134"/>
      <c r="I280" s="134"/>
      <c r="J280" s="134"/>
      <c r="K280" s="134"/>
      <c r="L280" s="134"/>
      <c r="M280" s="134"/>
      <c r="N280" s="134"/>
      <c r="O280" s="134"/>
      <c r="P280" s="134"/>
      <c r="Q280" s="134"/>
      <c r="R280" s="134"/>
      <c r="S280" s="134"/>
      <c r="T280" s="134"/>
      <c r="U280" s="134"/>
      <c r="V280" s="134"/>
      <c r="W280" s="134"/>
      <c r="X280" s="134"/>
      <c r="Y280" s="134"/>
    </row>
    <row r="281" spans="1:25" ht="12.75">
      <c r="A281" s="147"/>
      <c r="B281" s="133"/>
      <c r="C281" s="134"/>
      <c r="D281" s="135"/>
      <c r="E281" s="134"/>
      <c r="F281" s="134"/>
      <c r="G281" s="134"/>
      <c r="H281" s="134"/>
      <c r="I281" s="134"/>
      <c r="J281" s="134"/>
      <c r="K281" s="134"/>
      <c r="L281" s="134"/>
      <c r="M281" s="134"/>
      <c r="N281" s="134"/>
      <c r="O281" s="134"/>
      <c r="P281" s="134"/>
      <c r="Q281" s="134"/>
      <c r="R281" s="134"/>
      <c r="S281" s="134"/>
      <c r="T281" s="134"/>
      <c r="U281" s="134"/>
      <c r="V281" s="134"/>
      <c r="W281" s="134"/>
      <c r="X281" s="134"/>
      <c r="Y281" s="134"/>
    </row>
    <row r="282" spans="1:25" ht="12.75">
      <c r="A282" s="147"/>
      <c r="B282" s="133"/>
      <c r="C282" s="134"/>
      <c r="D282" s="135"/>
      <c r="E282" s="134"/>
      <c r="F282" s="134"/>
      <c r="G282" s="134"/>
      <c r="H282" s="134"/>
      <c r="I282" s="134"/>
      <c r="J282" s="134"/>
      <c r="K282" s="134"/>
      <c r="L282" s="134"/>
      <c r="M282" s="134"/>
      <c r="N282" s="134"/>
      <c r="O282" s="134"/>
      <c r="P282" s="134"/>
      <c r="Q282" s="134"/>
      <c r="R282" s="134"/>
      <c r="S282" s="134"/>
      <c r="T282" s="134"/>
      <c r="U282" s="134"/>
      <c r="V282" s="134"/>
      <c r="W282" s="134"/>
      <c r="X282" s="134"/>
      <c r="Y282" s="134"/>
    </row>
    <row r="283" spans="1:25" ht="12.75">
      <c r="A283" s="147"/>
      <c r="B283" s="133"/>
      <c r="C283" s="134"/>
      <c r="D283" s="135"/>
      <c r="E283" s="134"/>
      <c r="F283" s="134"/>
      <c r="G283" s="134"/>
      <c r="H283" s="134"/>
      <c r="I283" s="134"/>
      <c r="J283" s="134"/>
      <c r="K283" s="134"/>
      <c r="L283" s="134"/>
      <c r="M283" s="134"/>
      <c r="N283" s="134"/>
      <c r="O283" s="134"/>
      <c r="P283" s="134"/>
      <c r="Q283" s="134"/>
      <c r="R283" s="134"/>
      <c r="S283" s="134"/>
      <c r="T283" s="134"/>
      <c r="U283" s="134"/>
      <c r="V283" s="134"/>
      <c r="W283" s="134"/>
      <c r="X283" s="134"/>
      <c r="Y283" s="134"/>
    </row>
    <row r="284" spans="1:25" ht="12.75">
      <c r="A284" s="147"/>
      <c r="B284" s="133"/>
      <c r="C284" s="134"/>
      <c r="D284" s="135"/>
      <c r="E284" s="134"/>
      <c r="F284" s="134"/>
      <c r="G284" s="134"/>
      <c r="H284" s="134"/>
      <c r="I284" s="134"/>
      <c r="J284" s="134"/>
      <c r="K284" s="134"/>
      <c r="L284" s="134"/>
      <c r="M284" s="134"/>
      <c r="N284" s="134"/>
      <c r="O284" s="134"/>
      <c r="P284" s="134"/>
      <c r="Q284" s="134"/>
      <c r="R284" s="134"/>
      <c r="S284" s="134"/>
      <c r="T284" s="134"/>
      <c r="U284" s="134"/>
      <c r="V284" s="134"/>
      <c r="W284" s="134"/>
      <c r="X284" s="134"/>
      <c r="Y284" s="134"/>
    </row>
    <row r="285" spans="1:25" ht="12.75">
      <c r="A285" s="147"/>
      <c r="B285" s="133"/>
      <c r="C285" s="134"/>
      <c r="D285" s="135"/>
      <c r="E285" s="134"/>
      <c r="F285" s="134"/>
      <c r="G285" s="134"/>
      <c r="H285" s="134"/>
      <c r="I285" s="134"/>
      <c r="J285" s="134"/>
      <c r="K285" s="134"/>
      <c r="L285" s="134"/>
      <c r="M285" s="134"/>
      <c r="N285" s="134"/>
      <c r="O285" s="134"/>
      <c r="P285" s="134"/>
      <c r="Q285" s="134"/>
      <c r="R285" s="134"/>
      <c r="S285" s="134"/>
      <c r="T285" s="134"/>
      <c r="U285" s="134"/>
      <c r="V285" s="134"/>
      <c r="W285" s="134"/>
      <c r="X285" s="134"/>
      <c r="Y285" s="134"/>
    </row>
    <row r="286" spans="1:25" ht="12.75">
      <c r="A286" s="147"/>
      <c r="B286" s="133"/>
      <c r="C286" s="134"/>
      <c r="D286" s="135"/>
      <c r="E286" s="134"/>
      <c r="F286" s="134"/>
      <c r="G286" s="134"/>
      <c r="H286" s="134"/>
      <c r="I286" s="134"/>
      <c r="J286" s="134"/>
      <c r="K286" s="134"/>
      <c r="L286" s="134"/>
      <c r="M286" s="134"/>
      <c r="N286" s="134"/>
      <c r="O286" s="134"/>
      <c r="P286" s="134"/>
      <c r="Q286" s="134"/>
      <c r="R286" s="134"/>
      <c r="S286" s="134"/>
      <c r="T286" s="134"/>
      <c r="U286" s="134"/>
      <c r="V286" s="134"/>
      <c r="W286" s="134"/>
      <c r="X286" s="134"/>
      <c r="Y286" s="134"/>
    </row>
    <row r="287" spans="1:25" ht="12.75">
      <c r="A287" s="147"/>
      <c r="B287" s="133"/>
      <c r="C287" s="134"/>
      <c r="D287" s="135"/>
      <c r="E287" s="134"/>
      <c r="F287" s="134"/>
      <c r="G287" s="134"/>
      <c r="H287" s="134"/>
      <c r="I287" s="134"/>
      <c r="J287" s="134"/>
      <c r="K287" s="134"/>
      <c r="L287" s="134"/>
      <c r="M287" s="134"/>
      <c r="N287" s="134"/>
      <c r="O287" s="134"/>
      <c r="P287" s="134"/>
      <c r="Q287" s="134"/>
      <c r="R287" s="134"/>
      <c r="S287" s="134"/>
      <c r="T287" s="134"/>
      <c r="U287" s="134"/>
      <c r="V287" s="134"/>
      <c r="W287" s="134"/>
      <c r="X287" s="134"/>
      <c r="Y287" s="134"/>
    </row>
    <row r="288" spans="1:25" ht="12.75">
      <c r="A288" s="147"/>
      <c r="B288" s="133"/>
      <c r="C288" s="134"/>
      <c r="D288" s="135"/>
      <c r="E288" s="134"/>
      <c r="F288" s="134"/>
      <c r="G288" s="134"/>
      <c r="H288" s="134"/>
      <c r="I288" s="134"/>
      <c r="J288" s="134"/>
      <c r="K288" s="134"/>
      <c r="L288" s="134"/>
      <c r="M288" s="134"/>
      <c r="N288" s="134"/>
      <c r="O288" s="134"/>
      <c r="P288" s="134"/>
      <c r="Q288" s="134"/>
      <c r="R288" s="134"/>
      <c r="S288" s="134"/>
      <c r="T288" s="134"/>
      <c r="U288" s="134"/>
      <c r="V288" s="134"/>
      <c r="W288" s="134"/>
      <c r="X288" s="134"/>
      <c r="Y288" s="134"/>
    </row>
    <row r="289" spans="1:25" ht="12.75">
      <c r="A289" s="147"/>
      <c r="B289" s="133"/>
      <c r="C289" s="134"/>
      <c r="D289" s="135"/>
      <c r="E289" s="134"/>
      <c r="F289" s="134"/>
      <c r="G289" s="134"/>
      <c r="H289" s="134"/>
      <c r="I289" s="134"/>
      <c r="J289" s="134"/>
      <c r="K289" s="134"/>
      <c r="L289" s="134"/>
      <c r="M289" s="134"/>
      <c r="N289" s="134"/>
      <c r="O289" s="134"/>
      <c r="P289" s="134"/>
      <c r="Q289" s="134"/>
      <c r="R289" s="134"/>
      <c r="S289" s="134"/>
      <c r="T289" s="134"/>
      <c r="U289" s="134"/>
      <c r="V289" s="134"/>
      <c r="W289" s="134"/>
      <c r="X289" s="134"/>
      <c r="Y289" s="134"/>
    </row>
    <row r="290" spans="1:25" ht="12.75">
      <c r="A290" s="147"/>
      <c r="B290" s="133"/>
      <c r="C290" s="134"/>
      <c r="D290" s="135"/>
      <c r="E290" s="134"/>
      <c r="F290" s="134"/>
      <c r="G290" s="134"/>
      <c r="H290" s="134"/>
      <c r="I290" s="134"/>
      <c r="J290" s="134"/>
      <c r="K290" s="134"/>
      <c r="L290" s="134"/>
      <c r="M290" s="134"/>
      <c r="N290" s="134"/>
      <c r="O290" s="134"/>
      <c r="P290" s="134"/>
      <c r="Q290" s="134"/>
      <c r="R290" s="134"/>
      <c r="S290" s="134"/>
      <c r="T290" s="134"/>
      <c r="U290" s="134"/>
      <c r="V290" s="134"/>
      <c r="W290" s="134"/>
      <c r="X290" s="134"/>
      <c r="Y290" s="134"/>
    </row>
    <row r="291" spans="1:25" ht="12.75">
      <c r="A291" s="147"/>
      <c r="B291" s="133"/>
      <c r="C291" s="134"/>
      <c r="D291" s="135"/>
      <c r="E291" s="134"/>
      <c r="F291" s="134"/>
      <c r="G291" s="134"/>
      <c r="H291" s="134"/>
      <c r="I291" s="134"/>
      <c r="J291" s="134"/>
      <c r="K291" s="134"/>
      <c r="L291" s="134"/>
      <c r="M291" s="134"/>
      <c r="N291" s="134"/>
      <c r="O291" s="134"/>
      <c r="P291" s="134"/>
      <c r="Q291" s="134"/>
      <c r="R291" s="134"/>
      <c r="S291" s="134"/>
      <c r="T291" s="134"/>
      <c r="U291" s="134"/>
      <c r="V291" s="134"/>
      <c r="W291" s="134"/>
      <c r="X291" s="134"/>
      <c r="Y291" s="134"/>
    </row>
    <row r="292" spans="1:25" ht="12.75">
      <c r="A292" s="147"/>
      <c r="B292" s="133"/>
      <c r="C292" s="134"/>
      <c r="D292" s="135"/>
      <c r="E292" s="134"/>
      <c r="F292" s="134"/>
      <c r="G292" s="134"/>
      <c r="H292" s="134"/>
      <c r="I292" s="134"/>
      <c r="J292" s="134"/>
      <c r="K292" s="134"/>
      <c r="L292" s="134"/>
      <c r="M292" s="134"/>
      <c r="N292" s="134"/>
      <c r="O292" s="134"/>
      <c r="P292" s="134"/>
      <c r="Q292" s="134"/>
      <c r="R292" s="134"/>
      <c r="S292" s="134"/>
      <c r="T292" s="134"/>
      <c r="U292" s="134"/>
      <c r="V292" s="134"/>
      <c r="W292" s="134"/>
      <c r="X292" s="134"/>
      <c r="Y292" s="134"/>
    </row>
    <row r="293" spans="1:25" ht="12.75">
      <c r="A293" s="147"/>
      <c r="B293" s="133"/>
      <c r="C293" s="134"/>
      <c r="D293" s="135"/>
      <c r="E293" s="134"/>
      <c r="F293" s="134"/>
      <c r="G293" s="134"/>
      <c r="H293" s="134"/>
      <c r="I293" s="134"/>
      <c r="J293" s="134"/>
      <c r="K293" s="134"/>
      <c r="L293" s="134"/>
      <c r="M293" s="134"/>
      <c r="N293" s="134"/>
      <c r="O293" s="134"/>
      <c r="P293" s="134"/>
      <c r="Q293" s="134"/>
      <c r="R293" s="134"/>
      <c r="S293" s="134"/>
      <c r="T293" s="134"/>
      <c r="U293" s="134"/>
      <c r="V293" s="134"/>
      <c r="W293" s="134"/>
      <c r="X293" s="134"/>
      <c r="Y293" s="134"/>
    </row>
    <row r="294" spans="1:25" ht="12.75">
      <c r="A294" s="147"/>
      <c r="B294" s="133"/>
      <c r="C294" s="134"/>
      <c r="D294" s="135"/>
      <c r="E294" s="134"/>
      <c r="F294" s="134"/>
      <c r="G294" s="134"/>
      <c r="H294" s="134"/>
      <c r="I294" s="134"/>
      <c r="J294" s="134"/>
      <c r="K294" s="134"/>
      <c r="L294" s="134"/>
      <c r="M294" s="134"/>
      <c r="N294" s="134"/>
      <c r="O294" s="134"/>
      <c r="P294" s="134"/>
      <c r="Q294" s="134"/>
      <c r="R294" s="134"/>
      <c r="S294" s="134"/>
      <c r="T294" s="134"/>
      <c r="U294" s="134"/>
      <c r="V294" s="134"/>
      <c r="W294" s="134"/>
      <c r="X294" s="134"/>
      <c r="Y294" s="134"/>
    </row>
    <row r="295" spans="1:25" ht="12.75">
      <c r="A295" s="147"/>
      <c r="B295" s="133"/>
      <c r="C295" s="134"/>
      <c r="D295" s="135"/>
      <c r="E295" s="134"/>
      <c r="F295" s="134"/>
      <c r="G295" s="134"/>
      <c r="H295" s="134"/>
      <c r="I295" s="134"/>
      <c r="J295" s="134"/>
      <c r="K295" s="134"/>
      <c r="L295" s="134"/>
      <c r="M295" s="134"/>
      <c r="N295" s="134"/>
      <c r="O295" s="134"/>
      <c r="P295" s="134"/>
      <c r="Q295" s="134"/>
      <c r="R295" s="134"/>
      <c r="S295" s="134"/>
      <c r="T295" s="134"/>
      <c r="U295" s="134"/>
      <c r="V295" s="134"/>
      <c r="W295" s="134"/>
      <c r="X295" s="134"/>
      <c r="Y295" s="134"/>
    </row>
    <row r="296" spans="1:25" ht="12.75">
      <c r="A296" s="147"/>
      <c r="B296" s="133"/>
      <c r="C296" s="134"/>
      <c r="D296" s="135"/>
      <c r="E296" s="134"/>
      <c r="F296" s="134"/>
      <c r="G296" s="134"/>
      <c r="H296" s="134"/>
      <c r="I296" s="134"/>
      <c r="J296" s="134"/>
      <c r="K296" s="134"/>
      <c r="L296" s="134"/>
      <c r="M296" s="134"/>
      <c r="N296" s="134"/>
      <c r="O296" s="134"/>
      <c r="P296" s="134"/>
      <c r="Q296" s="134"/>
      <c r="R296" s="134"/>
      <c r="S296" s="134"/>
      <c r="T296" s="134"/>
      <c r="U296" s="134"/>
      <c r="V296" s="134"/>
      <c r="W296" s="134"/>
      <c r="X296" s="134"/>
      <c r="Y296" s="134"/>
    </row>
    <row r="297" spans="1:25" ht="12.75">
      <c r="A297" s="147"/>
      <c r="B297" s="133"/>
      <c r="C297" s="134"/>
      <c r="D297" s="135"/>
      <c r="E297" s="134"/>
      <c r="F297" s="134"/>
      <c r="G297" s="134"/>
      <c r="H297" s="134"/>
      <c r="I297" s="134"/>
      <c r="J297" s="134"/>
      <c r="K297" s="134"/>
      <c r="L297" s="134"/>
      <c r="M297" s="134"/>
      <c r="N297" s="134"/>
      <c r="O297" s="134"/>
      <c r="P297" s="134"/>
      <c r="Q297" s="134"/>
      <c r="R297" s="134"/>
      <c r="S297" s="134"/>
      <c r="T297" s="134"/>
      <c r="U297" s="134"/>
      <c r="V297" s="134"/>
      <c r="W297" s="134"/>
      <c r="X297" s="134"/>
      <c r="Y297" s="134"/>
    </row>
    <row r="298" spans="1:25" ht="12.75">
      <c r="A298" s="147"/>
      <c r="B298" s="133"/>
      <c r="C298" s="134"/>
      <c r="D298" s="135"/>
      <c r="E298" s="134"/>
      <c r="F298" s="134"/>
      <c r="G298" s="134"/>
      <c r="H298" s="134"/>
      <c r="I298" s="134"/>
      <c r="J298" s="134"/>
      <c r="K298" s="134"/>
      <c r="L298" s="134"/>
      <c r="M298" s="134"/>
      <c r="N298" s="134"/>
      <c r="O298" s="134"/>
      <c r="P298" s="134"/>
      <c r="Q298" s="134"/>
      <c r="R298" s="134"/>
      <c r="S298" s="134"/>
      <c r="T298" s="134"/>
      <c r="U298" s="134"/>
      <c r="V298" s="134"/>
      <c r="W298" s="134"/>
      <c r="X298" s="134"/>
      <c r="Y298" s="134"/>
    </row>
    <row r="299" spans="1:25" ht="12.75">
      <c r="A299" s="147"/>
      <c r="B299" s="133"/>
      <c r="C299" s="134"/>
      <c r="D299" s="135"/>
      <c r="E299" s="134"/>
      <c r="F299" s="134"/>
      <c r="G299" s="134"/>
      <c r="H299" s="134"/>
      <c r="I299" s="134"/>
      <c r="J299" s="134"/>
      <c r="K299" s="134"/>
      <c r="L299" s="134"/>
      <c r="M299" s="134"/>
      <c r="N299" s="134"/>
      <c r="O299" s="134"/>
      <c r="P299" s="134"/>
      <c r="Q299" s="134"/>
      <c r="R299" s="134"/>
      <c r="S299" s="134"/>
      <c r="T299" s="134"/>
      <c r="U299" s="134"/>
      <c r="V299" s="134"/>
      <c r="W299" s="134"/>
      <c r="X299" s="134"/>
      <c r="Y299" s="134"/>
    </row>
    <row r="300" spans="1:25" ht="12.75">
      <c r="A300" s="147"/>
      <c r="B300" s="133"/>
      <c r="C300" s="134"/>
      <c r="D300" s="135"/>
      <c r="E300" s="134"/>
      <c r="F300" s="134"/>
      <c r="G300" s="134"/>
      <c r="H300" s="134"/>
      <c r="I300" s="134"/>
      <c r="J300" s="134"/>
      <c r="K300" s="134"/>
      <c r="L300" s="134"/>
      <c r="M300" s="134"/>
      <c r="N300" s="134"/>
      <c r="O300" s="134"/>
      <c r="P300" s="134"/>
      <c r="Q300" s="134"/>
      <c r="R300" s="134"/>
      <c r="S300" s="134"/>
      <c r="T300" s="134"/>
      <c r="U300" s="134"/>
      <c r="V300" s="134"/>
      <c r="W300" s="134"/>
      <c r="X300" s="134"/>
      <c r="Y300" s="134"/>
    </row>
    <row r="301" spans="1:25" ht="12.75">
      <c r="A301" s="147"/>
      <c r="B301" s="133"/>
      <c r="C301" s="134"/>
      <c r="D301" s="135"/>
      <c r="E301" s="134"/>
      <c r="F301" s="134"/>
      <c r="G301" s="134"/>
      <c r="H301" s="134"/>
      <c r="I301" s="134"/>
      <c r="J301" s="134"/>
      <c r="K301" s="134"/>
      <c r="L301" s="134"/>
      <c r="M301" s="134"/>
      <c r="N301" s="134"/>
      <c r="O301" s="134"/>
      <c r="P301" s="134"/>
      <c r="Q301" s="134"/>
      <c r="R301" s="134"/>
      <c r="S301" s="134"/>
      <c r="T301" s="134"/>
      <c r="U301" s="134"/>
      <c r="V301" s="134"/>
      <c r="W301" s="134"/>
      <c r="X301" s="134"/>
      <c r="Y301" s="134"/>
    </row>
    <row r="302" spans="1:25" ht="12.75">
      <c r="A302" s="147"/>
      <c r="B302" s="133"/>
      <c r="C302" s="134"/>
      <c r="D302" s="135"/>
      <c r="E302" s="134"/>
      <c r="F302" s="134"/>
      <c r="G302" s="134"/>
      <c r="H302" s="134"/>
      <c r="I302" s="134"/>
      <c r="J302" s="134"/>
      <c r="K302" s="134"/>
      <c r="L302" s="134"/>
      <c r="M302" s="134"/>
      <c r="N302" s="134"/>
      <c r="O302" s="134"/>
      <c r="P302" s="134"/>
      <c r="Q302" s="134"/>
      <c r="R302" s="134"/>
      <c r="S302" s="134"/>
      <c r="T302" s="134"/>
      <c r="U302" s="134"/>
      <c r="V302" s="134"/>
      <c r="W302" s="134"/>
      <c r="X302" s="134"/>
      <c r="Y302" s="134"/>
    </row>
    <row r="303" spans="1:25" ht="12.75">
      <c r="A303" s="147"/>
      <c r="B303" s="133"/>
      <c r="C303" s="134"/>
      <c r="D303" s="135"/>
      <c r="E303" s="134"/>
      <c r="F303" s="134"/>
      <c r="G303" s="134"/>
      <c r="H303" s="134"/>
      <c r="I303" s="134"/>
      <c r="J303" s="134"/>
      <c r="K303" s="134"/>
      <c r="L303" s="134"/>
      <c r="M303" s="134"/>
      <c r="N303" s="134"/>
      <c r="O303" s="134"/>
      <c r="P303" s="134"/>
      <c r="Q303" s="134"/>
      <c r="R303" s="134"/>
      <c r="S303" s="134"/>
      <c r="T303" s="134"/>
      <c r="U303" s="134"/>
      <c r="V303" s="134"/>
      <c r="W303" s="134"/>
      <c r="X303" s="134"/>
      <c r="Y303" s="134"/>
    </row>
    <row r="304" spans="1:25" ht="12.75">
      <c r="A304" s="147"/>
      <c r="B304" s="133"/>
      <c r="C304" s="134"/>
      <c r="D304" s="135"/>
      <c r="E304" s="134"/>
      <c r="F304" s="134"/>
      <c r="G304" s="134"/>
      <c r="H304" s="134"/>
      <c r="I304" s="134"/>
      <c r="J304" s="134"/>
      <c r="K304" s="134"/>
      <c r="L304" s="134"/>
      <c r="M304" s="134"/>
      <c r="N304" s="134"/>
      <c r="O304" s="134"/>
      <c r="P304" s="134"/>
      <c r="Q304" s="134"/>
      <c r="R304" s="134"/>
      <c r="S304" s="134"/>
      <c r="T304" s="134"/>
      <c r="U304" s="134"/>
      <c r="V304" s="134"/>
      <c r="W304" s="134"/>
      <c r="X304" s="134"/>
      <c r="Y304" s="134"/>
    </row>
    <row r="305" spans="1:25" ht="12.75">
      <c r="A305" s="147"/>
      <c r="B305" s="133"/>
      <c r="C305" s="134"/>
      <c r="D305" s="135"/>
      <c r="E305" s="134"/>
      <c r="F305" s="134"/>
      <c r="G305" s="134"/>
      <c r="H305" s="134"/>
      <c r="I305" s="134"/>
      <c r="J305" s="134"/>
      <c r="K305" s="134"/>
      <c r="L305" s="134"/>
      <c r="M305" s="134"/>
      <c r="N305" s="134"/>
      <c r="O305" s="134"/>
      <c r="P305" s="134"/>
      <c r="Q305" s="134"/>
      <c r="R305" s="134"/>
      <c r="S305" s="134"/>
      <c r="T305" s="134"/>
      <c r="U305" s="134"/>
      <c r="V305" s="134"/>
      <c r="W305" s="134"/>
      <c r="X305" s="134"/>
      <c r="Y305" s="134"/>
    </row>
    <row r="306" spans="1:25" ht="12.75">
      <c r="A306" s="147"/>
      <c r="B306" s="133"/>
      <c r="C306" s="134"/>
      <c r="D306" s="135"/>
      <c r="E306" s="134"/>
      <c r="F306" s="134"/>
      <c r="G306" s="134"/>
      <c r="H306" s="134"/>
      <c r="I306" s="134"/>
      <c r="J306" s="134"/>
      <c r="K306" s="134"/>
      <c r="L306" s="134"/>
      <c r="M306" s="134"/>
      <c r="N306" s="134"/>
      <c r="O306" s="134"/>
      <c r="P306" s="134"/>
      <c r="Q306" s="134"/>
      <c r="R306" s="134"/>
      <c r="S306" s="134"/>
      <c r="T306" s="134"/>
      <c r="U306" s="134"/>
      <c r="V306" s="134"/>
      <c r="W306" s="134"/>
      <c r="X306" s="134"/>
      <c r="Y306" s="134"/>
    </row>
    <row r="307" spans="1:25" ht="12.75">
      <c r="A307" s="147"/>
      <c r="B307" s="133"/>
      <c r="C307" s="134"/>
      <c r="D307" s="135"/>
      <c r="E307" s="134"/>
      <c r="F307" s="134"/>
      <c r="G307" s="134"/>
      <c r="H307" s="134"/>
      <c r="I307" s="134"/>
      <c r="J307" s="134"/>
      <c r="K307" s="134"/>
      <c r="L307" s="134"/>
      <c r="M307" s="134"/>
      <c r="N307" s="134"/>
      <c r="O307" s="134"/>
      <c r="P307" s="134"/>
      <c r="Q307" s="134"/>
      <c r="R307" s="134"/>
      <c r="S307" s="134"/>
      <c r="T307" s="134"/>
      <c r="U307" s="134"/>
      <c r="V307" s="134"/>
      <c r="W307" s="134"/>
      <c r="X307" s="134"/>
      <c r="Y307" s="134"/>
    </row>
    <row r="308" spans="1:25" ht="12.75">
      <c r="A308" s="147"/>
      <c r="B308" s="133"/>
      <c r="C308" s="134"/>
      <c r="D308" s="135"/>
      <c r="E308" s="134"/>
      <c r="F308" s="134"/>
      <c r="G308" s="134"/>
      <c r="H308" s="134"/>
      <c r="I308" s="134"/>
      <c r="J308" s="134"/>
      <c r="K308" s="134"/>
      <c r="L308" s="134"/>
      <c r="M308" s="134"/>
      <c r="N308" s="134"/>
      <c r="O308" s="134"/>
      <c r="P308" s="134"/>
      <c r="Q308" s="134"/>
      <c r="R308" s="134"/>
      <c r="S308" s="134"/>
      <c r="T308" s="134"/>
      <c r="U308" s="134"/>
      <c r="V308" s="134"/>
      <c r="W308" s="134"/>
      <c r="X308" s="134"/>
      <c r="Y308" s="134"/>
    </row>
    <row r="309" spans="1:25" ht="12.75">
      <c r="A309" s="147"/>
      <c r="B309" s="133"/>
      <c r="C309" s="134"/>
      <c r="D309" s="135"/>
      <c r="E309" s="134"/>
      <c r="F309" s="134"/>
      <c r="G309" s="134"/>
      <c r="H309" s="134"/>
      <c r="I309" s="134"/>
      <c r="J309" s="134"/>
      <c r="K309" s="134"/>
      <c r="L309" s="134"/>
      <c r="M309" s="134"/>
      <c r="N309" s="134"/>
      <c r="O309" s="134"/>
      <c r="P309" s="134"/>
      <c r="Q309" s="134"/>
      <c r="R309" s="134"/>
      <c r="S309" s="134"/>
      <c r="T309" s="134"/>
      <c r="U309" s="134"/>
      <c r="V309" s="134"/>
      <c r="W309" s="134"/>
      <c r="X309" s="134"/>
      <c r="Y309" s="134"/>
    </row>
    <row r="310" spans="1:25" ht="12.75">
      <c r="A310" s="147"/>
      <c r="B310" s="133"/>
      <c r="C310" s="134"/>
      <c r="D310" s="135"/>
      <c r="E310" s="134"/>
      <c r="F310" s="134"/>
      <c r="G310" s="134"/>
      <c r="H310" s="134"/>
      <c r="I310" s="134"/>
      <c r="J310" s="134"/>
      <c r="K310" s="134"/>
      <c r="L310" s="134"/>
      <c r="M310" s="134"/>
      <c r="N310" s="134"/>
      <c r="O310" s="134"/>
      <c r="P310" s="134"/>
      <c r="Q310" s="134"/>
      <c r="R310" s="134"/>
      <c r="S310" s="134"/>
      <c r="T310" s="134"/>
      <c r="U310" s="134"/>
      <c r="V310" s="134"/>
      <c r="W310" s="134"/>
      <c r="X310" s="134"/>
      <c r="Y310" s="134"/>
    </row>
    <row r="311" spans="1:25" ht="12.75">
      <c r="A311" s="147"/>
      <c r="B311" s="133"/>
      <c r="C311" s="134"/>
      <c r="D311" s="135"/>
      <c r="E311" s="134"/>
      <c r="F311" s="134"/>
      <c r="G311" s="134"/>
      <c r="H311" s="134"/>
      <c r="I311" s="134"/>
      <c r="J311" s="134"/>
      <c r="K311" s="134"/>
      <c r="L311" s="134"/>
      <c r="M311" s="134"/>
      <c r="N311" s="134"/>
      <c r="O311" s="134"/>
      <c r="P311" s="134"/>
      <c r="Q311" s="134"/>
      <c r="R311" s="134"/>
      <c r="S311" s="134"/>
      <c r="T311" s="134"/>
      <c r="U311" s="134"/>
      <c r="V311" s="134"/>
      <c r="W311" s="134"/>
      <c r="X311" s="134"/>
      <c r="Y311" s="134"/>
    </row>
    <row r="312" spans="1:25" ht="12.75">
      <c r="A312" s="147"/>
      <c r="B312" s="133"/>
      <c r="C312" s="134"/>
      <c r="D312" s="135"/>
      <c r="E312" s="134"/>
      <c r="F312" s="134"/>
      <c r="G312" s="134"/>
      <c r="H312" s="134"/>
      <c r="I312" s="134"/>
      <c r="J312" s="134"/>
      <c r="K312" s="134"/>
      <c r="L312" s="134"/>
      <c r="M312" s="134"/>
      <c r="N312" s="134"/>
      <c r="O312" s="134"/>
      <c r="P312" s="134"/>
      <c r="Q312" s="134"/>
      <c r="R312" s="134"/>
      <c r="S312" s="134"/>
      <c r="T312" s="134"/>
      <c r="U312" s="134"/>
      <c r="V312" s="134"/>
      <c r="W312" s="134"/>
      <c r="X312" s="134"/>
      <c r="Y312" s="134"/>
    </row>
    <row r="313" spans="1:25" ht="12.75">
      <c r="A313" s="147"/>
      <c r="B313" s="133"/>
      <c r="C313" s="134"/>
      <c r="D313" s="135"/>
      <c r="E313" s="134"/>
      <c r="F313" s="134"/>
      <c r="G313" s="134"/>
      <c r="H313" s="134"/>
      <c r="I313" s="134"/>
      <c r="J313" s="134"/>
      <c r="K313" s="134"/>
      <c r="L313" s="134"/>
      <c r="M313" s="134"/>
      <c r="N313" s="134"/>
      <c r="O313" s="134"/>
      <c r="P313" s="134"/>
      <c r="Q313" s="134"/>
      <c r="R313" s="134"/>
      <c r="S313" s="134"/>
      <c r="T313" s="134"/>
      <c r="U313" s="134"/>
      <c r="V313" s="134"/>
      <c r="W313" s="134"/>
      <c r="X313" s="134"/>
      <c r="Y313" s="134"/>
    </row>
    <row r="314" spans="1:25" ht="12.75">
      <c r="A314" s="147"/>
      <c r="B314" s="133"/>
      <c r="C314" s="134"/>
      <c r="D314" s="135"/>
      <c r="E314" s="134"/>
      <c r="F314" s="134"/>
      <c r="G314" s="134"/>
      <c r="H314" s="134"/>
      <c r="I314" s="134"/>
      <c r="J314" s="134"/>
      <c r="K314" s="134"/>
      <c r="L314" s="134"/>
      <c r="M314" s="134"/>
      <c r="N314" s="134"/>
      <c r="O314" s="134"/>
      <c r="P314" s="134"/>
      <c r="Q314" s="134"/>
      <c r="R314" s="134"/>
      <c r="S314" s="134"/>
      <c r="T314" s="134"/>
      <c r="U314" s="134"/>
      <c r="V314" s="134"/>
      <c r="W314" s="134"/>
      <c r="X314" s="134"/>
      <c r="Y314" s="134"/>
    </row>
    <row r="315" spans="1:25" ht="12.75">
      <c r="A315" s="147"/>
      <c r="B315" s="133"/>
      <c r="C315" s="134"/>
      <c r="D315" s="135"/>
      <c r="E315" s="134"/>
      <c r="F315" s="134"/>
      <c r="G315" s="134"/>
      <c r="H315" s="134"/>
      <c r="I315" s="134"/>
      <c r="J315" s="134"/>
      <c r="K315" s="134"/>
      <c r="L315" s="134"/>
      <c r="M315" s="134"/>
      <c r="N315" s="134"/>
      <c r="O315" s="134"/>
      <c r="P315" s="134"/>
      <c r="Q315" s="134"/>
      <c r="R315" s="134"/>
      <c r="S315" s="134"/>
      <c r="T315" s="134"/>
      <c r="U315" s="134"/>
      <c r="V315" s="134"/>
      <c r="W315" s="134"/>
      <c r="X315" s="134"/>
      <c r="Y315" s="134"/>
    </row>
    <row r="316" spans="1:25" ht="12.75">
      <c r="A316" s="147"/>
      <c r="B316" s="133"/>
      <c r="C316" s="134"/>
      <c r="D316" s="135"/>
      <c r="E316" s="134"/>
      <c r="F316" s="134"/>
      <c r="G316" s="134"/>
      <c r="H316" s="134"/>
      <c r="I316" s="134"/>
      <c r="J316" s="134"/>
      <c r="K316" s="134"/>
      <c r="L316" s="134"/>
      <c r="M316" s="134"/>
      <c r="N316" s="134"/>
      <c r="O316" s="134"/>
      <c r="P316" s="134"/>
      <c r="Q316" s="134"/>
      <c r="R316" s="134"/>
      <c r="S316" s="134"/>
      <c r="T316" s="134"/>
      <c r="U316" s="134"/>
      <c r="V316" s="134"/>
      <c r="W316" s="134"/>
      <c r="X316" s="134"/>
      <c r="Y316" s="134"/>
    </row>
    <row r="317" spans="1:25" ht="12.75">
      <c r="A317" s="147"/>
      <c r="B317" s="133"/>
      <c r="C317" s="134"/>
      <c r="D317" s="135"/>
      <c r="E317" s="134"/>
      <c r="F317" s="134"/>
      <c r="G317" s="134"/>
      <c r="H317" s="134"/>
      <c r="I317" s="134"/>
      <c r="J317" s="134"/>
      <c r="K317" s="134"/>
      <c r="L317" s="134"/>
      <c r="M317" s="134"/>
      <c r="N317" s="134"/>
      <c r="O317" s="134"/>
      <c r="P317" s="134"/>
      <c r="Q317" s="134"/>
      <c r="R317" s="134"/>
      <c r="S317" s="134"/>
      <c r="T317" s="134"/>
      <c r="U317" s="134"/>
      <c r="V317" s="134"/>
      <c r="W317" s="134"/>
      <c r="X317" s="134"/>
      <c r="Y317" s="134"/>
    </row>
    <row r="318" spans="1:25" ht="12.75">
      <c r="A318" s="147"/>
      <c r="B318" s="133"/>
      <c r="C318" s="134"/>
      <c r="D318" s="135"/>
      <c r="E318" s="134"/>
      <c r="F318" s="134"/>
      <c r="G318" s="134"/>
      <c r="H318" s="134"/>
      <c r="I318" s="134"/>
      <c r="J318" s="134"/>
      <c r="K318" s="134"/>
      <c r="L318" s="134"/>
      <c r="M318" s="134"/>
      <c r="N318" s="134"/>
      <c r="O318" s="134"/>
      <c r="P318" s="134"/>
      <c r="Q318" s="134"/>
      <c r="R318" s="134"/>
      <c r="S318" s="134"/>
      <c r="T318" s="134"/>
      <c r="U318" s="134"/>
      <c r="V318" s="134"/>
      <c r="W318" s="134"/>
      <c r="X318" s="134"/>
      <c r="Y318" s="134"/>
    </row>
    <row r="319" spans="1:25" ht="12.75">
      <c r="A319" s="147"/>
      <c r="B319" s="133"/>
      <c r="C319" s="134"/>
      <c r="D319" s="135"/>
      <c r="E319" s="134"/>
      <c r="F319" s="134"/>
      <c r="G319" s="134"/>
      <c r="H319" s="134"/>
      <c r="I319" s="134"/>
      <c r="J319" s="134"/>
      <c r="K319" s="134"/>
      <c r="L319" s="134"/>
      <c r="M319" s="134"/>
      <c r="N319" s="134"/>
      <c r="O319" s="134"/>
      <c r="P319" s="134"/>
      <c r="Q319" s="134"/>
      <c r="R319" s="134"/>
      <c r="S319" s="134"/>
      <c r="T319" s="134"/>
      <c r="U319" s="134"/>
      <c r="V319" s="134"/>
      <c r="W319" s="134"/>
      <c r="X319" s="134"/>
      <c r="Y319" s="134"/>
    </row>
    <row r="320" spans="1:25" ht="12.75">
      <c r="A320" s="147"/>
      <c r="B320" s="133"/>
      <c r="C320" s="134"/>
      <c r="D320" s="135"/>
      <c r="E320" s="134"/>
      <c r="F320" s="134"/>
      <c r="G320" s="134"/>
      <c r="H320" s="134"/>
      <c r="I320" s="134"/>
      <c r="J320" s="134"/>
      <c r="K320" s="134"/>
      <c r="L320" s="134"/>
      <c r="M320" s="134"/>
      <c r="N320" s="134"/>
      <c r="O320" s="134"/>
      <c r="P320" s="134"/>
      <c r="Q320" s="134"/>
      <c r="R320" s="134"/>
      <c r="S320" s="134"/>
      <c r="T320" s="134"/>
      <c r="U320" s="134"/>
      <c r="V320" s="134"/>
      <c r="W320" s="134"/>
      <c r="X320" s="134"/>
      <c r="Y320" s="134"/>
    </row>
    <row r="321" spans="1:25" ht="12.75">
      <c r="A321" s="147"/>
      <c r="B321" s="133"/>
      <c r="C321" s="134"/>
      <c r="D321" s="135"/>
      <c r="E321" s="134"/>
      <c r="F321" s="134"/>
      <c r="G321" s="134"/>
      <c r="H321" s="134"/>
      <c r="I321" s="134"/>
      <c r="J321" s="134"/>
      <c r="K321" s="134"/>
      <c r="L321" s="134"/>
      <c r="M321" s="134"/>
      <c r="N321" s="134"/>
      <c r="O321" s="134"/>
      <c r="P321" s="134"/>
      <c r="Q321" s="134"/>
      <c r="R321" s="134"/>
      <c r="S321" s="134"/>
      <c r="T321" s="134"/>
      <c r="U321" s="134"/>
      <c r="V321" s="134"/>
      <c r="W321" s="134"/>
      <c r="X321" s="134"/>
      <c r="Y321" s="134"/>
    </row>
    <row r="322" spans="1:25" ht="12.75">
      <c r="A322" s="147"/>
      <c r="B322" s="133"/>
      <c r="C322" s="134"/>
      <c r="D322" s="135"/>
      <c r="E322" s="134"/>
      <c r="F322" s="134"/>
      <c r="G322" s="134"/>
      <c r="H322" s="134"/>
      <c r="I322" s="134"/>
      <c r="J322" s="134"/>
      <c r="K322" s="134"/>
      <c r="L322" s="134"/>
      <c r="M322" s="134"/>
      <c r="N322" s="134"/>
      <c r="O322" s="134"/>
      <c r="P322" s="134"/>
      <c r="Q322" s="134"/>
      <c r="R322" s="134"/>
      <c r="S322" s="134"/>
      <c r="T322" s="134"/>
      <c r="U322" s="134"/>
      <c r="V322" s="134"/>
      <c r="W322" s="134"/>
      <c r="X322" s="134"/>
      <c r="Y322" s="134"/>
    </row>
    <row r="323" spans="1:25" ht="12.75">
      <c r="A323" s="147"/>
      <c r="B323" s="133"/>
      <c r="C323" s="134"/>
      <c r="D323" s="135"/>
      <c r="E323" s="134"/>
      <c r="F323" s="134"/>
      <c r="G323" s="134"/>
      <c r="H323" s="134"/>
      <c r="I323" s="134"/>
      <c r="J323" s="134"/>
      <c r="K323" s="134"/>
      <c r="L323" s="134"/>
      <c r="M323" s="134"/>
      <c r="N323" s="134"/>
      <c r="O323" s="134"/>
      <c r="P323" s="134"/>
      <c r="Q323" s="134"/>
      <c r="R323" s="134"/>
      <c r="S323" s="134"/>
      <c r="T323" s="134"/>
      <c r="U323" s="134"/>
      <c r="V323" s="134"/>
      <c r="W323" s="134"/>
      <c r="X323" s="134"/>
      <c r="Y323" s="134"/>
    </row>
    <row r="324" spans="1:25" ht="12.75">
      <c r="A324" s="147"/>
      <c r="B324" s="133"/>
      <c r="C324" s="134"/>
      <c r="D324" s="135"/>
      <c r="E324" s="134"/>
      <c r="F324" s="134"/>
      <c r="G324" s="134"/>
      <c r="H324" s="134"/>
      <c r="I324" s="134"/>
      <c r="J324" s="134"/>
      <c r="K324" s="134"/>
      <c r="L324" s="134"/>
      <c r="M324" s="134"/>
      <c r="N324" s="134"/>
      <c r="O324" s="134"/>
      <c r="P324" s="134"/>
      <c r="Q324" s="134"/>
      <c r="R324" s="134"/>
      <c r="S324" s="134"/>
      <c r="T324" s="134"/>
      <c r="U324" s="134"/>
      <c r="V324" s="134"/>
      <c r="W324" s="134"/>
      <c r="X324" s="134"/>
      <c r="Y324" s="134"/>
    </row>
    <row r="325" spans="1:25" ht="12.75">
      <c r="A325" s="147"/>
      <c r="B325" s="133"/>
      <c r="C325" s="134"/>
      <c r="D325" s="135"/>
      <c r="E325" s="134"/>
      <c r="F325" s="134"/>
      <c r="G325" s="134"/>
      <c r="H325" s="134"/>
      <c r="I325" s="134"/>
      <c r="J325" s="134"/>
      <c r="K325" s="134"/>
      <c r="L325" s="134"/>
      <c r="M325" s="134"/>
      <c r="N325" s="134"/>
      <c r="O325" s="134"/>
      <c r="P325" s="134"/>
      <c r="Q325" s="134"/>
      <c r="R325" s="134"/>
      <c r="S325" s="134"/>
      <c r="T325" s="134"/>
      <c r="U325" s="134"/>
      <c r="V325" s="134"/>
      <c r="W325" s="134"/>
      <c r="X325" s="134"/>
      <c r="Y325" s="134"/>
    </row>
    <row r="326" spans="1:25" ht="12.75">
      <c r="A326" s="147"/>
      <c r="B326" s="133"/>
      <c r="C326" s="134"/>
      <c r="D326" s="135"/>
      <c r="E326" s="134"/>
      <c r="F326" s="134"/>
      <c r="G326" s="134"/>
      <c r="H326" s="134"/>
      <c r="I326" s="134"/>
      <c r="J326" s="134"/>
      <c r="K326" s="134"/>
      <c r="L326" s="134"/>
      <c r="M326" s="134"/>
      <c r="N326" s="134"/>
      <c r="O326" s="134"/>
      <c r="P326" s="134"/>
      <c r="Q326" s="134"/>
      <c r="R326" s="134"/>
      <c r="S326" s="134"/>
      <c r="T326" s="134"/>
      <c r="U326" s="134"/>
      <c r="V326" s="134"/>
      <c r="W326" s="134"/>
      <c r="X326" s="134"/>
      <c r="Y326" s="134"/>
    </row>
    <row r="327" spans="1:25" ht="12.75">
      <c r="A327" s="147"/>
      <c r="B327" s="133"/>
      <c r="C327" s="134"/>
      <c r="D327" s="135"/>
      <c r="E327" s="134"/>
      <c r="F327" s="134"/>
      <c r="G327" s="134"/>
      <c r="H327" s="134"/>
      <c r="I327" s="134"/>
      <c r="J327" s="134"/>
      <c r="K327" s="134"/>
      <c r="L327" s="134"/>
      <c r="M327" s="134"/>
      <c r="N327" s="134"/>
      <c r="O327" s="134"/>
      <c r="P327" s="134"/>
      <c r="Q327" s="134"/>
      <c r="R327" s="134"/>
      <c r="S327" s="134"/>
      <c r="T327" s="134"/>
      <c r="U327" s="134"/>
      <c r="V327" s="134"/>
      <c r="W327" s="134"/>
      <c r="X327" s="134"/>
      <c r="Y327" s="134"/>
    </row>
    <row r="328" spans="1:25" ht="12.75">
      <c r="A328" s="147"/>
      <c r="B328" s="133"/>
      <c r="C328" s="134"/>
      <c r="D328" s="135"/>
      <c r="E328" s="134"/>
      <c r="F328" s="134"/>
      <c r="G328" s="134"/>
      <c r="H328" s="134"/>
      <c r="I328" s="134"/>
      <c r="J328" s="134"/>
      <c r="K328" s="134"/>
      <c r="L328" s="134"/>
      <c r="M328" s="134"/>
      <c r="N328" s="134"/>
      <c r="O328" s="134"/>
      <c r="P328" s="134"/>
      <c r="Q328" s="134"/>
      <c r="R328" s="134"/>
      <c r="S328" s="134"/>
      <c r="T328" s="134"/>
      <c r="U328" s="134"/>
      <c r="V328" s="134"/>
      <c r="W328" s="134"/>
      <c r="X328" s="134"/>
      <c r="Y328" s="134"/>
    </row>
    <row r="329" spans="1:25" ht="12.75">
      <c r="A329" s="147"/>
      <c r="B329" s="133"/>
      <c r="C329" s="134"/>
      <c r="D329" s="135"/>
      <c r="E329" s="134"/>
      <c r="F329" s="134"/>
      <c r="G329" s="134"/>
      <c r="H329" s="134"/>
      <c r="I329" s="134"/>
      <c r="J329" s="134"/>
      <c r="K329" s="134"/>
      <c r="L329" s="134"/>
      <c r="M329" s="134"/>
      <c r="N329" s="134"/>
      <c r="O329" s="134"/>
      <c r="P329" s="134"/>
      <c r="Q329" s="134"/>
      <c r="R329" s="134"/>
      <c r="S329" s="134"/>
      <c r="T329" s="134"/>
      <c r="U329" s="134"/>
      <c r="V329" s="134"/>
      <c r="W329" s="134"/>
      <c r="X329" s="134"/>
      <c r="Y329" s="134"/>
    </row>
    <row r="330" spans="1:25" ht="12.75">
      <c r="A330" s="147"/>
      <c r="B330" s="133"/>
      <c r="C330" s="134"/>
      <c r="D330" s="135"/>
      <c r="E330" s="134"/>
      <c r="F330" s="134"/>
      <c r="G330" s="134"/>
      <c r="H330" s="134"/>
      <c r="I330" s="134"/>
      <c r="J330" s="134"/>
      <c r="K330" s="134"/>
      <c r="L330" s="134"/>
      <c r="M330" s="134"/>
      <c r="N330" s="134"/>
      <c r="O330" s="134"/>
      <c r="P330" s="134"/>
      <c r="Q330" s="134"/>
      <c r="R330" s="134"/>
      <c r="S330" s="134"/>
      <c r="T330" s="134"/>
      <c r="U330" s="134"/>
      <c r="V330" s="134"/>
      <c r="W330" s="134"/>
      <c r="X330" s="134"/>
      <c r="Y330" s="134"/>
    </row>
    <row r="331" spans="1:25" ht="12.75">
      <c r="A331" s="147"/>
      <c r="B331" s="133"/>
      <c r="C331" s="134"/>
      <c r="D331" s="135"/>
      <c r="E331" s="134"/>
      <c r="F331" s="134"/>
      <c r="G331" s="134"/>
      <c r="H331" s="134"/>
      <c r="I331" s="134"/>
      <c r="J331" s="134"/>
      <c r="K331" s="134"/>
      <c r="L331" s="134"/>
      <c r="M331" s="134"/>
      <c r="N331" s="134"/>
      <c r="O331" s="134"/>
      <c r="P331" s="134"/>
      <c r="Q331" s="134"/>
      <c r="R331" s="134"/>
      <c r="S331" s="134"/>
      <c r="T331" s="134"/>
      <c r="U331" s="134"/>
      <c r="V331" s="134"/>
      <c r="W331" s="134"/>
      <c r="X331" s="134"/>
      <c r="Y331" s="134"/>
    </row>
    <row r="332" spans="1:25" ht="12.75">
      <c r="A332" s="147"/>
      <c r="B332" s="133"/>
      <c r="C332" s="134"/>
      <c r="D332" s="135"/>
      <c r="E332" s="134"/>
      <c r="F332" s="134"/>
      <c r="G332" s="134"/>
      <c r="H332" s="134"/>
      <c r="I332" s="134"/>
      <c r="J332" s="134"/>
      <c r="K332" s="134"/>
      <c r="L332" s="134"/>
      <c r="M332" s="134"/>
      <c r="N332" s="134"/>
      <c r="O332" s="134"/>
      <c r="P332" s="134"/>
      <c r="Q332" s="134"/>
      <c r="R332" s="134"/>
      <c r="S332" s="134"/>
      <c r="T332" s="134"/>
      <c r="U332" s="134"/>
      <c r="V332" s="134"/>
      <c r="W332" s="134"/>
      <c r="X332" s="134"/>
      <c r="Y332" s="134"/>
    </row>
    <row r="333" spans="1:25" ht="12.75">
      <c r="A333" s="147"/>
      <c r="B333" s="133"/>
      <c r="C333" s="134"/>
      <c r="D333" s="135"/>
      <c r="E333" s="134"/>
      <c r="F333" s="134"/>
      <c r="G333" s="134"/>
      <c r="H333" s="134"/>
      <c r="I333" s="134"/>
      <c r="J333" s="134"/>
      <c r="K333" s="134"/>
      <c r="L333" s="134"/>
      <c r="M333" s="134"/>
      <c r="N333" s="134"/>
      <c r="O333" s="134"/>
      <c r="P333" s="134"/>
      <c r="Q333" s="134"/>
      <c r="R333" s="134"/>
      <c r="S333" s="134"/>
      <c r="T333" s="134"/>
      <c r="U333" s="134"/>
      <c r="V333" s="134"/>
      <c r="W333" s="134"/>
      <c r="X333" s="134"/>
      <c r="Y333" s="134"/>
    </row>
    <row r="334" spans="1:25" ht="12.75">
      <c r="A334" s="147"/>
      <c r="B334" s="133"/>
      <c r="C334" s="134"/>
      <c r="D334" s="135"/>
      <c r="E334" s="134"/>
      <c r="F334" s="134"/>
      <c r="G334" s="134"/>
      <c r="H334" s="134"/>
      <c r="I334" s="134"/>
      <c r="J334" s="134"/>
      <c r="K334" s="134"/>
      <c r="L334" s="134"/>
      <c r="M334" s="134"/>
      <c r="N334" s="134"/>
      <c r="O334" s="134"/>
      <c r="P334" s="134"/>
      <c r="Q334" s="134"/>
      <c r="R334" s="134"/>
      <c r="S334" s="134"/>
      <c r="T334" s="134"/>
      <c r="U334" s="134"/>
      <c r="V334" s="134"/>
      <c r="W334" s="134"/>
      <c r="X334" s="134"/>
      <c r="Y334" s="134"/>
    </row>
    <row r="335" spans="1:25" ht="12.75">
      <c r="A335" s="147"/>
      <c r="B335" s="133"/>
      <c r="C335" s="134"/>
      <c r="D335" s="135"/>
      <c r="E335" s="134"/>
      <c r="F335" s="134"/>
      <c r="G335" s="134"/>
      <c r="H335" s="134"/>
      <c r="I335" s="134"/>
      <c r="J335" s="134"/>
      <c r="K335" s="134"/>
      <c r="L335" s="134"/>
      <c r="M335" s="134"/>
      <c r="N335" s="134"/>
      <c r="O335" s="134"/>
      <c r="P335" s="134"/>
      <c r="Q335" s="134"/>
      <c r="R335" s="134"/>
      <c r="S335" s="134"/>
      <c r="T335" s="134"/>
      <c r="U335" s="134"/>
      <c r="V335" s="134"/>
      <c r="W335" s="134"/>
      <c r="X335" s="134"/>
      <c r="Y335" s="134"/>
    </row>
    <row r="336" spans="1:25" ht="12.75">
      <c r="A336" s="147"/>
      <c r="B336" s="133"/>
      <c r="C336" s="134"/>
      <c r="D336" s="135"/>
      <c r="E336" s="134"/>
      <c r="F336" s="134"/>
      <c r="G336" s="134"/>
      <c r="H336" s="134"/>
      <c r="I336" s="134"/>
      <c r="J336" s="134"/>
      <c r="K336" s="134"/>
      <c r="L336" s="134"/>
      <c r="M336" s="134"/>
      <c r="N336" s="134"/>
      <c r="O336" s="134"/>
      <c r="P336" s="134"/>
      <c r="Q336" s="134"/>
      <c r="R336" s="134"/>
      <c r="S336" s="134"/>
      <c r="T336" s="134"/>
      <c r="U336" s="134"/>
      <c r="V336" s="134"/>
      <c r="W336" s="134"/>
      <c r="X336" s="134"/>
      <c r="Y336" s="134"/>
    </row>
    <row r="337" spans="1:25" ht="12.75">
      <c r="A337" s="147"/>
      <c r="B337" s="133"/>
      <c r="C337" s="134"/>
      <c r="D337" s="135"/>
      <c r="E337" s="134"/>
      <c r="F337" s="134"/>
      <c r="G337" s="134"/>
      <c r="H337" s="134"/>
      <c r="I337" s="134"/>
      <c r="J337" s="134"/>
      <c r="K337" s="134"/>
      <c r="L337" s="134"/>
      <c r="M337" s="134"/>
      <c r="N337" s="134"/>
      <c r="O337" s="134"/>
      <c r="P337" s="134"/>
      <c r="Q337" s="134"/>
      <c r="R337" s="134"/>
      <c r="S337" s="134"/>
      <c r="T337" s="134"/>
      <c r="U337" s="134"/>
      <c r="V337" s="134"/>
      <c r="W337" s="134"/>
      <c r="X337" s="134"/>
      <c r="Y337" s="134"/>
    </row>
    <row r="338" spans="1:25" ht="12.75">
      <c r="A338" s="147"/>
      <c r="B338" s="133"/>
      <c r="C338" s="134"/>
      <c r="D338" s="135"/>
      <c r="E338" s="134"/>
      <c r="F338" s="134"/>
      <c r="G338" s="134"/>
      <c r="H338" s="134"/>
      <c r="I338" s="134"/>
      <c r="J338" s="134"/>
      <c r="K338" s="134"/>
      <c r="L338" s="134"/>
      <c r="M338" s="134"/>
      <c r="N338" s="134"/>
      <c r="O338" s="134"/>
      <c r="P338" s="134"/>
      <c r="Q338" s="134"/>
      <c r="R338" s="134"/>
      <c r="S338" s="134"/>
      <c r="T338" s="134"/>
      <c r="U338" s="134"/>
      <c r="V338" s="134"/>
      <c r="W338" s="134"/>
      <c r="X338" s="134"/>
      <c r="Y338" s="134"/>
    </row>
    <row r="339" spans="1:25" ht="12.75">
      <c r="A339" s="147"/>
      <c r="B339" s="133"/>
      <c r="C339" s="134"/>
      <c r="D339" s="135"/>
      <c r="E339" s="134"/>
      <c r="F339" s="134"/>
      <c r="G339" s="134"/>
      <c r="H339" s="134"/>
      <c r="I339" s="134"/>
      <c r="J339" s="134"/>
      <c r="K339" s="134"/>
      <c r="L339" s="134"/>
      <c r="M339" s="134"/>
      <c r="N339" s="134"/>
      <c r="O339" s="134"/>
      <c r="P339" s="134"/>
      <c r="Q339" s="134"/>
      <c r="R339" s="134"/>
      <c r="S339" s="134"/>
      <c r="T339" s="134"/>
      <c r="U339" s="134"/>
      <c r="V339" s="134"/>
      <c r="W339" s="134"/>
      <c r="X339" s="134"/>
      <c r="Y339" s="134"/>
    </row>
    <row r="340" spans="1:25" ht="12.75">
      <c r="A340" s="147"/>
      <c r="B340" s="133"/>
      <c r="C340" s="134"/>
      <c r="D340" s="135"/>
      <c r="E340" s="134"/>
      <c r="F340" s="134"/>
      <c r="G340" s="134"/>
      <c r="H340" s="134"/>
      <c r="I340" s="134"/>
      <c r="J340" s="134"/>
      <c r="K340" s="134"/>
      <c r="L340" s="134"/>
      <c r="M340" s="134"/>
      <c r="N340" s="134"/>
      <c r="O340" s="134"/>
      <c r="P340" s="134"/>
      <c r="Q340" s="134"/>
      <c r="R340" s="134"/>
      <c r="S340" s="134"/>
      <c r="T340" s="134"/>
      <c r="U340" s="134"/>
      <c r="V340" s="134"/>
      <c r="W340" s="134"/>
      <c r="X340" s="134"/>
      <c r="Y340" s="134"/>
    </row>
    <row r="341" spans="1:25" ht="12.75">
      <c r="A341" s="147"/>
      <c r="B341" s="133"/>
      <c r="C341" s="134"/>
      <c r="D341" s="135"/>
      <c r="E341" s="134"/>
      <c r="F341" s="134"/>
      <c r="G341" s="134"/>
      <c r="H341" s="134"/>
      <c r="I341" s="134"/>
      <c r="J341" s="134"/>
      <c r="K341" s="134"/>
      <c r="L341" s="134"/>
      <c r="M341" s="134"/>
      <c r="N341" s="134"/>
      <c r="O341" s="134"/>
      <c r="P341" s="134"/>
      <c r="Q341" s="134"/>
      <c r="R341" s="134"/>
      <c r="S341" s="134"/>
      <c r="T341" s="134"/>
      <c r="U341" s="134"/>
      <c r="V341" s="134"/>
      <c r="W341" s="134"/>
      <c r="X341" s="134"/>
      <c r="Y341" s="134"/>
    </row>
    <row r="342" spans="1:25" ht="12.75">
      <c r="A342" s="147"/>
      <c r="B342" s="133"/>
      <c r="C342" s="134"/>
      <c r="D342" s="135"/>
      <c r="E342" s="134"/>
      <c r="F342" s="134"/>
      <c r="G342" s="134"/>
      <c r="H342" s="134"/>
      <c r="I342" s="134"/>
      <c r="J342" s="134"/>
      <c r="K342" s="134"/>
      <c r="L342" s="134"/>
      <c r="M342" s="134"/>
      <c r="N342" s="134"/>
      <c r="O342" s="134"/>
      <c r="P342" s="134"/>
      <c r="Q342" s="134"/>
      <c r="R342" s="134"/>
      <c r="S342" s="134"/>
      <c r="T342" s="134"/>
      <c r="U342" s="134"/>
      <c r="V342" s="134"/>
      <c r="W342" s="134"/>
      <c r="X342" s="134"/>
      <c r="Y342" s="134"/>
    </row>
    <row r="343" spans="1:25" ht="12.75">
      <c r="A343" s="147"/>
      <c r="B343" s="133"/>
      <c r="C343" s="134"/>
      <c r="D343" s="135"/>
      <c r="E343" s="134"/>
      <c r="F343" s="134"/>
      <c r="G343" s="134"/>
      <c r="H343" s="134"/>
      <c r="I343" s="134"/>
      <c r="J343" s="134"/>
      <c r="K343" s="134"/>
      <c r="L343" s="134"/>
      <c r="M343" s="134"/>
      <c r="N343" s="134"/>
      <c r="O343" s="134"/>
      <c r="P343" s="134"/>
      <c r="Q343" s="134"/>
      <c r="R343" s="134"/>
      <c r="S343" s="134"/>
      <c r="T343" s="134"/>
      <c r="U343" s="134"/>
      <c r="V343" s="134"/>
      <c r="W343" s="134"/>
      <c r="X343" s="134"/>
      <c r="Y343" s="134"/>
    </row>
    <row r="344" spans="1:25" ht="12.75">
      <c r="A344" s="147"/>
      <c r="B344" s="133"/>
      <c r="C344" s="134"/>
      <c r="D344" s="135"/>
      <c r="E344" s="134"/>
      <c r="F344" s="134"/>
      <c r="G344" s="134"/>
      <c r="H344" s="134"/>
      <c r="I344" s="134"/>
      <c r="J344" s="134"/>
      <c r="K344" s="134"/>
      <c r="L344" s="134"/>
      <c r="M344" s="134"/>
      <c r="N344" s="134"/>
      <c r="O344" s="134"/>
      <c r="P344" s="134"/>
      <c r="Q344" s="134"/>
      <c r="R344" s="134"/>
      <c r="S344" s="134"/>
      <c r="T344" s="134"/>
      <c r="U344" s="134"/>
      <c r="V344" s="134"/>
      <c r="W344" s="134"/>
      <c r="X344" s="134"/>
      <c r="Y344" s="134"/>
    </row>
    <row r="345" spans="1:25" ht="12.75">
      <c r="A345" s="147"/>
      <c r="B345" s="133"/>
      <c r="C345" s="134"/>
      <c r="D345" s="135"/>
      <c r="E345" s="134"/>
      <c r="F345" s="134"/>
      <c r="G345" s="134"/>
      <c r="H345" s="134"/>
      <c r="I345" s="134"/>
      <c r="J345" s="134"/>
      <c r="K345" s="134"/>
      <c r="L345" s="134"/>
      <c r="M345" s="134"/>
      <c r="N345" s="134"/>
      <c r="O345" s="134"/>
      <c r="P345" s="134"/>
      <c r="Q345" s="134"/>
      <c r="R345" s="134"/>
      <c r="S345" s="134"/>
      <c r="T345" s="134"/>
      <c r="U345" s="134"/>
      <c r="V345" s="134"/>
      <c r="W345" s="134"/>
      <c r="X345" s="134"/>
      <c r="Y345" s="134"/>
    </row>
    <row r="346" spans="1:25" ht="12.75">
      <c r="A346" s="147"/>
      <c r="B346" s="133"/>
      <c r="C346" s="134"/>
      <c r="D346" s="135"/>
      <c r="E346" s="134"/>
      <c r="F346" s="134"/>
      <c r="G346" s="134"/>
      <c r="H346" s="134"/>
      <c r="I346" s="134"/>
      <c r="J346" s="134"/>
      <c r="K346" s="134"/>
      <c r="L346" s="134"/>
      <c r="M346" s="134"/>
      <c r="N346" s="134"/>
      <c r="O346" s="134"/>
      <c r="P346" s="134"/>
      <c r="Q346" s="134"/>
      <c r="R346" s="134"/>
      <c r="S346" s="134"/>
      <c r="T346" s="134"/>
      <c r="U346" s="134"/>
      <c r="V346" s="134"/>
      <c r="W346" s="134"/>
      <c r="X346" s="134"/>
      <c r="Y346" s="134"/>
    </row>
    <row r="347" spans="1:25" ht="12.75">
      <c r="A347" s="147"/>
      <c r="B347" s="133"/>
      <c r="C347" s="134"/>
      <c r="D347" s="135"/>
      <c r="E347" s="134"/>
      <c r="F347" s="134"/>
      <c r="G347" s="134"/>
      <c r="H347" s="134"/>
      <c r="I347" s="134"/>
      <c r="J347" s="134"/>
      <c r="K347" s="134"/>
      <c r="L347" s="134"/>
      <c r="M347" s="134"/>
      <c r="N347" s="134"/>
      <c r="O347" s="134"/>
      <c r="P347" s="134"/>
      <c r="Q347" s="134"/>
      <c r="R347" s="134"/>
      <c r="S347" s="134"/>
      <c r="T347" s="134"/>
      <c r="U347" s="134"/>
      <c r="V347" s="134"/>
      <c r="W347" s="134"/>
      <c r="X347" s="134"/>
      <c r="Y347" s="134"/>
    </row>
    <row r="348" spans="1:25" ht="12.75">
      <c r="A348" s="147"/>
      <c r="B348" s="133"/>
      <c r="C348" s="134"/>
      <c r="D348" s="135"/>
      <c r="E348" s="134"/>
      <c r="F348" s="134"/>
      <c r="G348" s="134"/>
      <c r="H348" s="134"/>
      <c r="I348" s="134"/>
      <c r="J348" s="134"/>
      <c r="K348" s="134"/>
      <c r="L348" s="134"/>
      <c r="M348" s="134"/>
      <c r="N348" s="134"/>
      <c r="O348" s="134"/>
      <c r="P348" s="134"/>
      <c r="Q348" s="134"/>
      <c r="R348" s="134"/>
      <c r="S348" s="134"/>
      <c r="T348" s="134"/>
      <c r="U348" s="134"/>
      <c r="V348" s="134"/>
      <c r="W348" s="134"/>
      <c r="X348" s="134"/>
      <c r="Y348" s="134"/>
    </row>
    <row r="349" spans="1:25" ht="12.75">
      <c r="A349" s="147"/>
      <c r="B349" s="133"/>
      <c r="C349" s="134"/>
      <c r="D349" s="135"/>
      <c r="E349" s="134"/>
      <c r="F349" s="134"/>
      <c r="G349" s="134"/>
      <c r="H349" s="134"/>
      <c r="I349" s="134"/>
      <c r="J349" s="134"/>
      <c r="K349" s="134"/>
      <c r="L349" s="134"/>
      <c r="M349" s="134"/>
      <c r="N349" s="134"/>
      <c r="O349" s="134"/>
      <c r="P349" s="134"/>
      <c r="Q349" s="134"/>
      <c r="R349" s="134"/>
      <c r="S349" s="134"/>
      <c r="T349" s="134"/>
      <c r="U349" s="134"/>
      <c r="V349" s="134"/>
      <c r="W349" s="134"/>
      <c r="X349" s="134"/>
      <c r="Y349" s="134"/>
    </row>
    <row r="350" spans="1:25" ht="12.75">
      <c r="A350" s="147"/>
      <c r="B350" s="133"/>
      <c r="C350" s="134"/>
      <c r="D350" s="135"/>
      <c r="E350" s="134"/>
      <c r="F350" s="134"/>
      <c r="G350" s="134"/>
      <c r="H350" s="134"/>
      <c r="I350" s="134"/>
      <c r="J350" s="134"/>
      <c r="K350" s="134"/>
      <c r="L350" s="134"/>
      <c r="M350" s="134"/>
      <c r="N350" s="134"/>
      <c r="O350" s="134"/>
      <c r="P350" s="134"/>
      <c r="Q350" s="134"/>
      <c r="R350" s="134"/>
      <c r="S350" s="134"/>
      <c r="T350" s="134"/>
      <c r="U350" s="134"/>
      <c r="V350" s="134"/>
      <c r="W350" s="134"/>
      <c r="X350" s="134"/>
      <c r="Y350" s="134"/>
    </row>
    <row r="351" spans="1:25" ht="12.75">
      <c r="A351" s="147"/>
      <c r="B351" s="133"/>
      <c r="C351" s="134"/>
      <c r="D351" s="135"/>
      <c r="E351" s="134"/>
      <c r="F351" s="134"/>
      <c r="G351" s="134"/>
      <c r="H351" s="134"/>
      <c r="I351" s="134"/>
      <c r="J351" s="134"/>
      <c r="K351" s="134"/>
      <c r="L351" s="134"/>
      <c r="M351" s="134"/>
      <c r="N351" s="134"/>
      <c r="O351" s="134"/>
      <c r="P351" s="134"/>
      <c r="Q351" s="134"/>
      <c r="R351" s="134"/>
      <c r="S351" s="134"/>
      <c r="T351" s="134"/>
      <c r="U351" s="134"/>
      <c r="V351" s="134"/>
      <c r="W351" s="134"/>
      <c r="X351" s="134"/>
      <c r="Y351" s="134"/>
    </row>
    <row r="352" spans="1:25" ht="12.75">
      <c r="A352" s="147"/>
      <c r="B352" s="133"/>
      <c r="C352" s="134"/>
      <c r="D352" s="135"/>
      <c r="E352" s="134"/>
      <c r="F352" s="134"/>
      <c r="G352" s="134"/>
      <c r="H352" s="134"/>
      <c r="I352" s="134"/>
      <c r="J352" s="134"/>
      <c r="K352" s="134"/>
      <c r="L352" s="134"/>
      <c r="M352" s="134"/>
      <c r="N352" s="134"/>
      <c r="O352" s="134"/>
      <c r="P352" s="134"/>
      <c r="Q352" s="134"/>
      <c r="R352" s="134"/>
      <c r="S352" s="134"/>
      <c r="T352" s="134"/>
      <c r="U352" s="134"/>
      <c r="V352" s="134"/>
      <c r="W352" s="134"/>
      <c r="X352" s="134"/>
      <c r="Y352" s="134"/>
    </row>
    <row r="353" spans="1:25" ht="12.75">
      <c r="A353" s="147"/>
      <c r="B353" s="133"/>
      <c r="C353" s="134"/>
      <c r="D353" s="135"/>
      <c r="E353" s="134"/>
      <c r="F353" s="134"/>
      <c r="G353" s="134"/>
      <c r="H353" s="134"/>
      <c r="I353" s="134"/>
      <c r="J353" s="134"/>
      <c r="K353" s="134"/>
      <c r="L353" s="134"/>
      <c r="M353" s="134"/>
      <c r="N353" s="134"/>
      <c r="O353" s="134"/>
      <c r="P353" s="134"/>
      <c r="Q353" s="134"/>
      <c r="R353" s="134"/>
      <c r="S353" s="134"/>
      <c r="T353" s="134"/>
      <c r="U353" s="134"/>
      <c r="V353" s="134"/>
      <c r="W353" s="134"/>
      <c r="X353" s="134"/>
      <c r="Y353" s="134"/>
    </row>
    <row r="354" spans="1:25" ht="12.75">
      <c r="A354" s="147"/>
      <c r="B354" s="133"/>
      <c r="C354" s="134"/>
      <c r="D354" s="135"/>
      <c r="E354" s="134"/>
      <c r="F354" s="134"/>
      <c r="G354" s="134"/>
      <c r="H354" s="134"/>
      <c r="I354" s="134"/>
      <c r="J354" s="134"/>
      <c r="K354" s="134"/>
      <c r="L354" s="134"/>
      <c r="M354" s="134"/>
      <c r="N354" s="134"/>
      <c r="O354" s="134"/>
      <c r="P354" s="134"/>
      <c r="Q354" s="134"/>
      <c r="R354" s="134"/>
      <c r="S354" s="134"/>
      <c r="T354" s="134"/>
      <c r="U354" s="134"/>
      <c r="V354" s="134"/>
      <c r="W354" s="134"/>
      <c r="X354" s="134"/>
      <c r="Y354" s="134"/>
    </row>
    <row r="355" spans="1:25" ht="12.75">
      <c r="A355" s="147"/>
      <c r="B355" s="133"/>
      <c r="C355" s="134"/>
      <c r="D355" s="135"/>
      <c r="E355" s="134"/>
      <c r="F355" s="134"/>
      <c r="G355" s="134"/>
      <c r="H355" s="134"/>
      <c r="I355" s="134"/>
      <c r="J355" s="134"/>
      <c r="K355" s="134"/>
      <c r="L355" s="134"/>
      <c r="M355" s="134"/>
      <c r="N355" s="134"/>
      <c r="O355" s="134"/>
      <c r="P355" s="134"/>
      <c r="Q355" s="134"/>
      <c r="R355" s="134"/>
      <c r="S355" s="134"/>
      <c r="T355" s="134"/>
      <c r="U355" s="134"/>
      <c r="V355" s="134"/>
      <c r="W355" s="134"/>
      <c r="X355" s="134"/>
      <c r="Y355" s="134"/>
    </row>
    <row r="356" spans="1:25" ht="12.75">
      <c r="A356" s="147"/>
      <c r="B356" s="133"/>
      <c r="C356" s="134"/>
      <c r="D356" s="135"/>
      <c r="E356" s="134"/>
      <c r="F356" s="134"/>
      <c r="G356" s="134"/>
      <c r="H356" s="134"/>
      <c r="I356" s="134"/>
      <c r="J356" s="134"/>
      <c r="K356" s="134"/>
      <c r="L356" s="134"/>
      <c r="M356" s="134"/>
      <c r="N356" s="134"/>
      <c r="O356" s="134"/>
      <c r="P356" s="134"/>
      <c r="Q356" s="134"/>
      <c r="R356" s="134"/>
      <c r="S356" s="134"/>
      <c r="T356" s="134"/>
      <c r="U356" s="134"/>
      <c r="V356" s="134"/>
      <c r="W356" s="134"/>
      <c r="X356" s="134"/>
      <c r="Y356" s="134"/>
    </row>
    <row r="357" spans="1:25" ht="12.75">
      <c r="A357" s="147"/>
      <c r="B357" s="133"/>
      <c r="C357" s="134"/>
      <c r="D357" s="135"/>
      <c r="E357" s="134"/>
      <c r="F357" s="134"/>
      <c r="G357" s="134"/>
      <c r="H357" s="134"/>
      <c r="I357" s="134"/>
      <c r="J357" s="134"/>
      <c r="K357" s="134"/>
      <c r="L357" s="134"/>
      <c r="M357" s="134"/>
      <c r="N357" s="134"/>
      <c r="O357" s="134"/>
      <c r="P357" s="134"/>
      <c r="Q357" s="134"/>
      <c r="R357" s="134"/>
      <c r="S357" s="134"/>
      <c r="T357" s="134"/>
      <c r="U357" s="134"/>
      <c r="V357" s="134"/>
      <c r="W357" s="134"/>
      <c r="X357" s="134"/>
      <c r="Y357" s="134"/>
    </row>
    <row r="358" spans="1:25" ht="12.75">
      <c r="A358" s="147"/>
      <c r="B358" s="133"/>
      <c r="C358" s="134"/>
      <c r="D358" s="135"/>
      <c r="E358" s="134"/>
      <c r="F358" s="134"/>
      <c r="G358" s="134"/>
      <c r="H358" s="134"/>
      <c r="I358" s="134"/>
      <c r="J358" s="134"/>
      <c r="K358" s="134"/>
      <c r="L358" s="134"/>
      <c r="M358" s="134"/>
      <c r="N358" s="134"/>
      <c r="O358" s="134"/>
      <c r="P358" s="134"/>
      <c r="Q358" s="134"/>
      <c r="R358" s="134"/>
      <c r="S358" s="134"/>
      <c r="T358" s="134"/>
      <c r="U358" s="134"/>
      <c r="V358" s="134"/>
      <c r="W358" s="134"/>
      <c r="X358" s="134"/>
      <c r="Y358" s="134"/>
    </row>
    <row r="359" spans="1:25" ht="12.75">
      <c r="A359" s="147"/>
      <c r="B359" s="133"/>
      <c r="C359" s="134"/>
      <c r="D359" s="135"/>
      <c r="E359" s="134"/>
      <c r="F359" s="134"/>
      <c r="G359" s="134"/>
      <c r="H359" s="134"/>
      <c r="I359" s="134"/>
      <c r="J359" s="134"/>
      <c r="K359" s="134"/>
      <c r="L359" s="134"/>
      <c r="M359" s="134"/>
      <c r="N359" s="134"/>
      <c r="O359" s="134"/>
      <c r="P359" s="134"/>
      <c r="Q359" s="134"/>
      <c r="R359" s="134"/>
      <c r="S359" s="134"/>
      <c r="T359" s="134"/>
      <c r="U359" s="134"/>
      <c r="V359" s="134"/>
      <c r="W359" s="134"/>
      <c r="X359" s="134"/>
      <c r="Y359" s="134"/>
    </row>
    <row r="360" spans="1:25" ht="12.75">
      <c r="A360" s="147"/>
      <c r="B360" s="133"/>
      <c r="C360" s="134"/>
      <c r="D360" s="135"/>
      <c r="E360" s="134"/>
      <c r="F360" s="134"/>
      <c r="G360" s="134"/>
      <c r="H360" s="134"/>
      <c r="I360" s="134"/>
      <c r="J360" s="134"/>
      <c r="K360" s="134"/>
      <c r="L360" s="134"/>
      <c r="M360" s="134"/>
      <c r="N360" s="134"/>
      <c r="O360" s="134"/>
      <c r="P360" s="134"/>
      <c r="Q360" s="134"/>
      <c r="R360" s="134"/>
      <c r="S360" s="134"/>
      <c r="T360" s="134"/>
      <c r="U360" s="134"/>
      <c r="V360" s="134"/>
      <c r="W360" s="134"/>
      <c r="X360" s="134"/>
      <c r="Y360" s="134"/>
    </row>
    <row r="361" spans="1:25" ht="12.75">
      <c r="A361" s="147"/>
      <c r="B361" s="133"/>
      <c r="C361" s="134"/>
      <c r="D361" s="135"/>
      <c r="E361" s="134"/>
      <c r="F361" s="134"/>
      <c r="G361" s="134"/>
      <c r="H361" s="134"/>
      <c r="I361" s="134"/>
      <c r="J361" s="134"/>
      <c r="K361" s="134"/>
      <c r="L361" s="134"/>
      <c r="M361" s="134"/>
      <c r="N361" s="134"/>
      <c r="O361" s="134"/>
      <c r="P361" s="134"/>
      <c r="Q361" s="134"/>
      <c r="R361" s="134"/>
      <c r="S361" s="134"/>
      <c r="T361" s="134"/>
      <c r="U361" s="134"/>
      <c r="V361" s="134"/>
      <c r="W361" s="134"/>
      <c r="X361" s="134"/>
      <c r="Y361" s="134"/>
    </row>
    <row r="362" spans="1:25" ht="12.75">
      <c r="A362" s="147"/>
      <c r="B362" s="133"/>
      <c r="C362" s="134"/>
      <c r="D362" s="135"/>
      <c r="E362" s="134"/>
      <c r="F362" s="134"/>
      <c r="G362" s="134"/>
      <c r="H362" s="134"/>
      <c r="I362" s="134"/>
      <c r="J362" s="134"/>
      <c r="K362" s="134"/>
      <c r="L362" s="134"/>
      <c r="M362" s="134"/>
      <c r="N362" s="134"/>
      <c r="O362" s="134"/>
      <c r="P362" s="134"/>
      <c r="Q362" s="134"/>
      <c r="R362" s="134"/>
      <c r="S362" s="134"/>
      <c r="T362" s="134"/>
      <c r="U362" s="134"/>
      <c r="V362" s="134"/>
      <c r="W362" s="134"/>
      <c r="X362" s="134"/>
      <c r="Y362" s="134"/>
    </row>
    <row r="363" spans="1:25" ht="12.75">
      <c r="A363" s="147"/>
      <c r="B363" s="133"/>
      <c r="C363" s="134"/>
      <c r="D363" s="135"/>
      <c r="E363" s="134"/>
      <c r="F363" s="134"/>
      <c r="G363" s="134"/>
      <c r="H363" s="134"/>
      <c r="I363" s="134"/>
      <c r="J363" s="134"/>
      <c r="K363" s="134"/>
      <c r="L363" s="134"/>
      <c r="M363" s="134"/>
      <c r="N363" s="134"/>
      <c r="O363" s="134"/>
      <c r="P363" s="134"/>
      <c r="Q363" s="134"/>
      <c r="R363" s="134"/>
      <c r="S363" s="134"/>
      <c r="T363" s="134"/>
      <c r="U363" s="134"/>
      <c r="V363" s="134"/>
      <c r="W363" s="134"/>
      <c r="X363" s="134"/>
      <c r="Y363" s="134"/>
    </row>
    <row r="364" spans="1:25" ht="12.75">
      <c r="A364" s="147"/>
      <c r="B364" s="133"/>
      <c r="C364" s="134"/>
      <c r="D364" s="135"/>
      <c r="E364" s="134"/>
      <c r="F364" s="134"/>
      <c r="G364" s="134"/>
      <c r="H364" s="134"/>
      <c r="I364" s="134"/>
      <c r="J364" s="134"/>
      <c r="K364" s="134"/>
      <c r="L364" s="134"/>
      <c r="M364" s="134"/>
      <c r="N364" s="134"/>
      <c r="O364" s="134"/>
      <c r="P364" s="134"/>
      <c r="Q364" s="134"/>
      <c r="R364" s="134"/>
      <c r="S364" s="134"/>
      <c r="T364" s="134"/>
      <c r="U364" s="134"/>
      <c r="V364" s="134"/>
      <c r="W364" s="134"/>
      <c r="X364" s="134"/>
      <c r="Y364" s="134"/>
    </row>
    <row r="365" spans="1:25" ht="12.75">
      <c r="A365" s="147"/>
      <c r="B365" s="133"/>
      <c r="C365" s="134"/>
      <c r="D365" s="135"/>
      <c r="E365" s="134"/>
      <c r="F365" s="134"/>
      <c r="G365" s="134"/>
      <c r="H365" s="134"/>
      <c r="I365" s="134"/>
      <c r="J365" s="134"/>
      <c r="K365" s="134"/>
      <c r="L365" s="134"/>
      <c r="M365" s="134"/>
      <c r="N365" s="134"/>
      <c r="O365" s="134"/>
      <c r="P365" s="134"/>
      <c r="Q365" s="134"/>
      <c r="R365" s="134"/>
      <c r="S365" s="134"/>
      <c r="T365" s="134"/>
      <c r="U365" s="134"/>
      <c r="V365" s="134"/>
      <c r="W365" s="134"/>
      <c r="X365" s="134"/>
      <c r="Y365" s="134"/>
    </row>
    <row r="366" spans="1:25" ht="12.75">
      <c r="A366" s="147"/>
      <c r="B366" s="133"/>
      <c r="C366" s="134"/>
      <c r="D366" s="135"/>
      <c r="E366" s="134"/>
      <c r="F366" s="134"/>
      <c r="G366" s="134"/>
      <c r="H366" s="134"/>
      <c r="I366" s="134"/>
      <c r="J366" s="134"/>
      <c r="K366" s="134"/>
      <c r="L366" s="134"/>
      <c r="M366" s="134"/>
      <c r="N366" s="134"/>
      <c r="O366" s="134"/>
      <c r="P366" s="134"/>
      <c r="Q366" s="134"/>
      <c r="R366" s="134"/>
      <c r="S366" s="134"/>
      <c r="T366" s="134"/>
      <c r="U366" s="134"/>
      <c r="V366" s="134"/>
      <c r="W366" s="134"/>
      <c r="X366" s="134"/>
      <c r="Y366" s="134"/>
    </row>
    <row r="367" spans="1:25" ht="12.75">
      <c r="A367" s="147"/>
      <c r="B367" s="133"/>
      <c r="C367" s="134"/>
      <c r="D367" s="135"/>
      <c r="E367" s="134"/>
      <c r="F367" s="134"/>
      <c r="G367" s="134"/>
      <c r="H367" s="134"/>
      <c r="I367" s="134"/>
      <c r="J367" s="134"/>
      <c r="K367" s="134"/>
      <c r="L367" s="134"/>
      <c r="M367" s="134"/>
      <c r="N367" s="134"/>
      <c r="O367" s="134"/>
      <c r="P367" s="134"/>
      <c r="Q367" s="134"/>
      <c r="R367" s="134"/>
      <c r="S367" s="134"/>
      <c r="T367" s="134"/>
      <c r="U367" s="134"/>
      <c r="V367" s="134"/>
      <c r="W367" s="134"/>
      <c r="X367" s="134"/>
      <c r="Y367" s="134"/>
    </row>
    <row r="368" spans="1:25" ht="12.75">
      <c r="A368" s="147"/>
      <c r="B368" s="133"/>
      <c r="C368" s="134"/>
      <c r="D368" s="135"/>
      <c r="E368" s="134"/>
      <c r="F368" s="134"/>
      <c r="G368" s="134"/>
      <c r="H368" s="134"/>
      <c r="I368" s="134"/>
      <c r="J368" s="134"/>
      <c r="K368" s="134"/>
      <c r="L368" s="134"/>
      <c r="M368" s="134"/>
      <c r="N368" s="134"/>
      <c r="O368" s="134"/>
      <c r="P368" s="134"/>
      <c r="Q368" s="134"/>
      <c r="R368" s="134"/>
      <c r="S368" s="134"/>
      <c r="T368" s="134"/>
      <c r="U368" s="134"/>
      <c r="V368" s="134"/>
      <c r="W368" s="134"/>
      <c r="X368" s="134"/>
      <c r="Y368" s="134"/>
    </row>
    <row r="369" spans="1:25" ht="12.75">
      <c r="A369" s="147"/>
      <c r="B369" s="133"/>
      <c r="C369" s="134"/>
      <c r="D369" s="135"/>
      <c r="E369" s="134"/>
      <c r="F369" s="134"/>
      <c r="G369" s="134"/>
      <c r="H369" s="134"/>
      <c r="I369" s="134"/>
      <c r="J369" s="134"/>
      <c r="K369" s="134"/>
      <c r="L369" s="134"/>
      <c r="M369" s="134"/>
      <c r="N369" s="134"/>
      <c r="O369" s="134"/>
      <c r="P369" s="134"/>
      <c r="Q369" s="134"/>
      <c r="R369" s="134"/>
      <c r="S369" s="134"/>
      <c r="T369" s="134"/>
      <c r="U369" s="134"/>
      <c r="V369" s="134"/>
      <c r="W369" s="134"/>
      <c r="X369" s="134"/>
      <c r="Y369" s="134"/>
    </row>
    <row r="370" spans="1:25" ht="12.75">
      <c r="A370" s="147"/>
      <c r="B370" s="133"/>
      <c r="C370" s="134"/>
      <c r="D370" s="135"/>
      <c r="E370" s="134"/>
      <c r="F370" s="134"/>
      <c r="G370" s="134"/>
      <c r="H370" s="134"/>
      <c r="I370" s="134"/>
      <c r="J370" s="134"/>
      <c r="K370" s="134"/>
      <c r="L370" s="134"/>
      <c r="M370" s="134"/>
      <c r="N370" s="134"/>
      <c r="O370" s="134"/>
      <c r="P370" s="134"/>
      <c r="Q370" s="134"/>
      <c r="R370" s="134"/>
      <c r="S370" s="134"/>
      <c r="T370" s="134"/>
      <c r="U370" s="134"/>
      <c r="V370" s="134"/>
      <c r="W370" s="134"/>
      <c r="X370" s="134"/>
      <c r="Y370" s="134"/>
    </row>
    <row r="371" spans="1:25" ht="12.75">
      <c r="A371" s="147"/>
      <c r="B371" s="133"/>
      <c r="C371" s="134"/>
      <c r="D371" s="135"/>
      <c r="E371" s="134"/>
      <c r="F371" s="134"/>
      <c r="G371" s="134"/>
      <c r="H371" s="134"/>
      <c r="I371" s="134"/>
      <c r="J371" s="134"/>
      <c r="K371" s="134"/>
      <c r="L371" s="134"/>
      <c r="M371" s="134"/>
      <c r="N371" s="134"/>
      <c r="O371" s="134"/>
      <c r="P371" s="134"/>
      <c r="Q371" s="134"/>
      <c r="R371" s="134"/>
      <c r="S371" s="134"/>
      <c r="T371" s="134"/>
      <c r="U371" s="134"/>
      <c r="V371" s="134"/>
      <c r="W371" s="134"/>
      <c r="X371" s="134"/>
      <c r="Y371" s="134"/>
    </row>
    <row r="372" spans="1:25" ht="12.75">
      <c r="A372" s="147"/>
      <c r="B372" s="133"/>
      <c r="C372" s="134"/>
      <c r="D372" s="135"/>
      <c r="E372" s="134"/>
      <c r="F372" s="134"/>
      <c r="G372" s="134"/>
      <c r="H372" s="134"/>
      <c r="I372" s="134"/>
      <c r="J372" s="134"/>
      <c r="K372" s="134"/>
      <c r="L372" s="134"/>
      <c r="M372" s="134"/>
      <c r="N372" s="134"/>
      <c r="O372" s="134"/>
      <c r="P372" s="134"/>
      <c r="Q372" s="134"/>
      <c r="R372" s="134"/>
      <c r="S372" s="134"/>
      <c r="T372" s="134"/>
      <c r="U372" s="134"/>
      <c r="V372" s="134"/>
      <c r="W372" s="134"/>
      <c r="X372" s="134"/>
      <c r="Y372" s="134"/>
    </row>
    <row r="373" spans="1:25" ht="12.75">
      <c r="A373" s="147"/>
      <c r="B373" s="133"/>
      <c r="C373" s="134"/>
      <c r="D373" s="135"/>
      <c r="E373" s="134"/>
      <c r="F373" s="134"/>
      <c r="G373" s="134"/>
      <c r="H373" s="134"/>
      <c r="I373" s="134"/>
      <c r="J373" s="134"/>
      <c r="K373" s="134"/>
      <c r="L373" s="134"/>
      <c r="M373" s="134"/>
      <c r="N373" s="134"/>
      <c r="O373" s="134"/>
      <c r="P373" s="134"/>
      <c r="Q373" s="134"/>
      <c r="R373" s="134"/>
      <c r="S373" s="134"/>
      <c r="T373" s="134"/>
      <c r="U373" s="134"/>
      <c r="V373" s="134"/>
      <c r="W373" s="134"/>
      <c r="X373" s="134"/>
      <c r="Y373" s="134"/>
    </row>
    <row r="374" spans="1:25" ht="12.75">
      <c r="A374" s="147"/>
      <c r="B374" s="133"/>
      <c r="C374" s="134"/>
      <c r="D374" s="135"/>
      <c r="E374" s="134"/>
      <c r="F374" s="134"/>
      <c r="G374" s="134"/>
      <c r="H374" s="134"/>
      <c r="I374" s="134"/>
      <c r="J374" s="134"/>
      <c r="K374" s="134"/>
      <c r="L374" s="134"/>
      <c r="M374" s="134"/>
      <c r="N374" s="134"/>
      <c r="O374" s="134"/>
      <c r="P374" s="134"/>
      <c r="Q374" s="134"/>
      <c r="R374" s="134"/>
      <c r="S374" s="134"/>
      <c r="T374" s="134"/>
      <c r="U374" s="134"/>
      <c r="V374" s="134"/>
      <c r="W374" s="134"/>
      <c r="X374" s="134"/>
      <c r="Y374" s="134"/>
    </row>
    <row r="375" spans="1:25" ht="12.75">
      <c r="A375" s="147"/>
      <c r="B375" s="133"/>
      <c r="C375" s="134"/>
      <c r="D375" s="135"/>
      <c r="E375" s="134"/>
      <c r="F375" s="134"/>
      <c r="G375" s="134"/>
      <c r="H375" s="134"/>
      <c r="I375" s="134"/>
      <c r="J375" s="134"/>
      <c r="K375" s="134"/>
      <c r="L375" s="134"/>
      <c r="M375" s="134"/>
      <c r="N375" s="134"/>
      <c r="O375" s="134"/>
      <c r="P375" s="134"/>
      <c r="Q375" s="134"/>
      <c r="R375" s="134"/>
      <c r="S375" s="134"/>
      <c r="T375" s="134"/>
      <c r="U375" s="134"/>
      <c r="V375" s="134"/>
      <c r="W375" s="134"/>
      <c r="X375" s="134"/>
      <c r="Y375" s="134"/>
    </row>
    <row r="376" spans="1:25" ht="12.75">
      <c r="A376" s="147"/>
      <c r="B376" s="133"/>
      <c r="C376" s="134"/>
      <c r="D376" s="135"/>
      <c r="E376" s="134"/>
      <c r="F376" s="134"/>
      <c r="G376" s="134"/>
      <c r="H376" s="134"/>
      <c r="I376" s="134"/>
      <c r="J376" s="134"/>
      <c r="K376" s="134"/>
      <c r="L376" s="134"/>
      <c r="M376" s="134"/>
      <c r="N376" s="134"/>
      <c r="O376" s="134"/>
      <c r="P376" s="134"/>
      <c r="Q376" s="134"/>
      <c r="R376" s="134"/>
      <c r="S376" s="134"/>
      <c r="T376" s="134"/>
      <c r="U376" s="134"/>
      <c r="V376" s="134"/>
      <c r="W376" s="134"/>
      <c r="X376" s="134"/>
      <c r="Y376" s="134"/>
    </row>
    <row r="377" spans="1:25" ht="12.75">
      <c r="A377" s="147"/>
      <c r="B377" s="133"/>
      <c r="C377" s="134"/>
      <c r="D377" s="135"/>
      <c r="E377" s="134"/>
      <c r="F377" s="134"/>
      <c r="G377" s="134"/>
      <c r="H377" s="134"/>
      <c r="I377" s="134"/>
      <c r="J377" s="134"/>
      <c r="K377" s="134"/>
      <c r="L377" s="134"/>
      <c r="M377" s="134"/>
      <c r="N377" s="134"/>
      <c r="O377" s="134"/>
      <c r="P377" s="134"/>
      <c r="Q377" s="134"/>
      <c r="R377" s="134"/>
      <c r="S377" s="134"/>
      <c r="T377" s="134"/>
      <c r="U377" s="134"/>
      <c r="V377" s="134"/>
      <c r="W377" s="134"/>
      <c r="X377" s="134"/>
      <c r="Y377" s="134"/>
    </row>
    <row r="378" spans="1:25" ht="12.75">
      <c r="A378" s="147"/>
      <c r="B378" s="133"/>
      <c r="C378" s="134"/>
      <c r="D378" s="135"/>
      <c r="E378" s="134"/>
      <c r="F378" s="134"/>
      <c r="G378" s="134"/>
      <c r="H378" s="134"/>
      <c r="I378" s="134"/>
      <c r="J378" s="134"/>
      <c r="K378" s="134"/>
      <c r="L378" s="134"/>
      <c r="M378" s="134"/>
      <c r="N378" s="134"/>
      <c r="O378" s="134"/>
      <c r="P378" s="134"/>
      <c r="Q378" s="134"/>
      <c r="R378" s="134"/>
      <c r="S378" s="134"/>
      <c r="T378" s="134"/>
      <c r="U378" s="134"/>
      <c r="V378" s="134"/>
      <c r="W378" s="134"/>
      <c r="X378" s="134"/>
      <c r="Y378" s="134"/>
    </row>
    <row r="379" spans="1:25" ht="12.75">
      <c r="A379" s="147"/>
      <c r="B379" s="133"/>
      <c r="C379" s="134"/>
      <c r="D379" s="135"/>
      <c r="E379" s="134"/>
      <c r="F379" s="134"/>
      <c r="G379" s="134"/>
      <c r="H379" s="134"/>
      <c r="I379" s="134"/>
      <c r="J379" s="134"/>
      <c r="K379" s="134"/>
      <c r="L379" s="134"/>
      <c r="M379" s="134"/>
      <c r="N379" s="134"/>
      <c r="O379" s="134"/>
      <c r="P379" s="134"/>
      <c r="Q379" s="134"/>
      <c r="R379" s="134"/>
      <c r="S379" s="134"/>
      <c r="T379" s="134"/>
      <c r="U379" s="134"/>
      <c r="V379" s="134"/>
      <c r="W379" s="134"/>
      <c r="X379" s="134"/>
      <c r="Y379" s="134"/>
    </row>
    <row r="380" spans="1:25" ht="12.75">
      <c r="A380" s="147"/>
      <c r="B380" s="133"/>
      <c r="C380" s="134"/>
      <c r="D380" s="135"/>
      <c r="E380" s="134"/>
      <c r="F380" s="134"/>
      <c r="G380" s="134"/>
      <c r="H380" s="134"/>
      <c r="I380" s="134"/>
      <c r="J380" s="134"/>
      <c r="K380" s="134"/>
      <c r="L380" s="134"/>
      <c r="M380" s="134"/>
      <c r="N380" s="134"/>
      <c r="O380" s="134"/>
      <c r="P380" s="134"/>
      <c r="Q380" s="134"/>
      <c r="R380" s="134"/>
      <c r="S380" s="134"/>
      <c r="T380" s="134"/>
      <c r="U380" s="134"/>
      <c r="V380" s="134"/>
      <c r="W380" s="134"/>
      <c r="X380" s="134"/>
      <c r="Y380" s="134"/>
    </row>
    <row r="381" spans="1:25" ht="12.75">
      <c r="A381" s="147"/>
      <c r="B381" s="133"/>
      <c r="C381" s="134"/>
      <c r="D381" s="135"/>
      <c r="E381" s="134"/>
      <c r="F381" s="134"/>
      <c r="G381" s="134"/>
      <c r="H381" s="134"/>
      <c r="I381" s="134"/>
      <c r="J381" s="134"/>
      <c r="K381" s="134"/>
      <c r="L381" s="134"/>
      <c r="M381" s="134"/>
      <c r="N381" s="134"/>
      <c r="O381" s="134"/>
      <c r="P381" s="134"/>
      <c r="Q381" s="134"/>
      <c r="R381" s="134"/>
      <c r="S381" s="134"/>
      <c r="T381" s="134"/>
      <c r="U381" s="134"/>
      <c r="V381" s="134"/>
      <c r="W381" s="134"/>
      <c r="X381" s="134"/>
      <c r="Y381" s="134"/>
    </row>
    <row r="382" spans="1:25" ht="12.75">
      <c r="A382" s="147"/>
      <c r="B382" s="133"/>
      <c r="C382" s="134"/>
      <c r="D382" s="135"/>
      <c r="E382" s="134"/>
      <c r="F382" s="134"/>
      <c r="G382" s="134"/>
      <c r="H382" s="134"/>
      <c r="I382" s="134"/>
      <c r="J382" s="134"/>
      <c r="K382" s="134"/>
      <c r="L382" s="134"/>
      <c r="M382" s="134"/>
      <c r="N382" s="134"/>
      <c r="O382" s="134"/>
      <c r="P382" s="134"/>
      <c r="Q382" s="134"/>
      <c r="R382" s="134"/>
      <c r="S382" s="134"/>
      <c r="T382" s="134"/>
      <c r="U382" s="134"/>
      <c r="V382" s="134"/>
      <c r="W382" s="134"/>
      <c r="X382" s="134"/>
      <c r="Y382" s="134"/>
    </row>
    <row r="383" spans="1:25" ht="12.75">
      <c r="A383" s="147"/>
      <c r="B383" s="133"/>
      <c r="C383" s="134"/>
      <c r="D383" s="135"/>
      <c r="E383" s="134"/>
      <c r="F383" s="134"/>
      <c r="G383" s="134"/>
      <c r="H383" s="134"/>
      <c r="I383" s="134"/>
      <c r="J383" s="134"/>
      <c r="K383" s="134"/>
      <c r="L383" s="134"/>
      <c r="M383" s="134"/>
      <c r="N383" s="134"/>
      <c r="O383" s="134"/>
      <c r="P383" s="134"/>
      <c r="Q383" s="134"/>
      <c r="R383" s="134"/>
      <c r="S383" s="134"/>
      <c r="T383" s="134"/>
      <c r="U383" s="134"/>
      <c r="V383" s="134"/>
      <c r="W383" s="134"/>
      <c r="X383" s="134"/>
      <c r="Y383" s="134"/>
    </row>
    <row r="384" spans="1:25" ht="12.75">
      <c r="A384" s="147"/>
      <c r="B384" s="133"/>
      <c r="C384" s="134"/>
      <c r="D384" s="135"/>
      <c r="E384" s="134"/>
      <c r="F384" s="134"/>
      <c r="G384" s="134"/>
      <c r="H384" s="134"/>
      <c r="I384" s="134"/>
      <c r="J384" s="134"/>
      <c r="K384" s="134"/>
      <c r="L384" s="134"/>
      <c r="M384" s="134"/>
      <c r="N384" s="134"/>
      <c r="O384" s="134"/>
      <c r="P384" s="134"/>
      <c r="Q384" s="134"/>
      <c r="R384" s="134"/>
      <c r="S384" s="134"/>
      <c r="T384" s="134"/>
      <c r="U384" s="134"/>
      <c r="V384" s="134"/>
      <c r="W384" s="134"/>
      <c r="X384" s="134"/>
      <c r="Y384" s="134"/>
    </row>
    <row r="385" spans="1:25" ht="12.75">
      <c r="A385" s="147"/>
      <c r="B385" s="133"/>
      <c r="C385" s="134"/>
      <c r="D385" s="135"/>
      <c r="E385" s="134"/>
      <c r="F385" s="134"/>
      <c r="G385" s="134"/>
      <c r="H385" s="134"/>
      <c r="I385" s="134"/>
      <c r="J385" s="134"/>
      <c r="K385" s="134"/>
      <c r="L385" s="134"/>
      <c r="M385" s="134"/>
      <c r="N385" s="134"/>
      <c r="O385" s="134"/>
      <c r="P385" s="134"/>
      <c r="Q385" s="134"/>
      <c r="R385" s="134"/>
      <c r="S385" s="134"/>
      <c r="T385" s="134"/>
      <c r="U385" s="134"/>
      <c r="V385" s="134"/>
      <c r="W385" s="134"/>
      <c r="X385" s="134"/>
      <c r="Y385" s="134"/>
    </row>
    <row r="386" spans="1:25" ht="12.75">
      <c r="A386" s="147"/>
      <c r="B386" s="133"/>
      <c r="C386" s="134"/>
      <c r="D386" s="135"/>
      <c r="E386" s="134"/>
      <c r="F386" s="134"/>
      <c r="G386" s="134"/>
      <c r="H386" s="134"/>
      <c r="I386" s="134"/>
      <c r="J386" s="134"/>
      <c r="K386" s="134"/>
      <c r="L386" s="134"/>
      <c r="M386" s="134"/>
      <c r="N386" s="134"/>
      <c r="O386" s="134"/>
      <c r="P386" s="134"/>
      <c r="Q386" s="134"/>
      <c r="R386" s="134"/>
      <c r="S386" s="134"/>
      <c r="T386" s="134"/>
      <c r="U386" s="134"/>
      <c r="V386" s="134"/>
      <c r="W386" s="134"/>
      <c r="X386" s="134"/>
      <c r="Y386" s="134"/>
    </row>
    <row r="387" spans="1:25" ht="12.75">
      <c r="A387" s="147"/>
      <c r="B387" s="133"/>
      <c r="C387" s="134"/>
      <c r="D387" s="135"/>
      <c r="E387" s="134"/>
      <c r="F387" s="134"/>
      <c r="G387" s="134"/>
      <c r="H387" s="134"/>
      <c r="I387" s="134"/>
      <c r="J387" s="134"/>
      <c r="K387" s="134"/>
      <c r="L387" s="134"/>
      <c r="M387" s="134"/>
      <c r="N387" s="134"/>
      <c r="O387" s="134"/>
      <c r="P387" s="134"/>
      <c r="Q387" s="134"/>
      <c r="R387" s="134"/>
      <c r="S387" s="134"/>
      <c r="T387" s="134"/>
      <c r="U387" s="134"/>
      <c r="V387" s="134"/>
      <c r="W387" s="134"/>
      <c r="X387" s="134"/>
      <c r="Y387" s="134"/>
    </row>
    <row r="388" spans="1:25" ht="12.75">
      <c r="A388" s="147"/>
      <c r="B388" s="133"/>
      <c r="C388" s="134"/>
      <c r="D388" s="135"/>
      <c r="E388" s="134"/>
      <c r="F388" s="134"/>
      <c r="G388" s="134"/>
      <c r="H388" s="134"/>
      <c r="I388" s="134"/>
      <c r="J388" s="134"/>
      <c r="K388" s="134"/>
      <c r="L388" s="134"/>
      <c r="M388" s="134"/>
      <c r="N388" s="134"/>
      <c r="O388" s="134"/>
      <c r="P388" s="134"/>
      <c r="Q388" s="134"/>
      <c r="R388" s="134"/>
      <c r="S388" s="134"/>
      <c r="T388" s="134"/>
      <c r="U388" s="134"/>
      <c r="V388" s="134"/>
      <c r="W388" s="134"/>
      <c r="X388" s="134"/>
      <c r="Y388" s="134"/>
    </row>
    <row r="389" spans="1:25" ht="12.75">
      <c r="A389" s="147"/>
      <c r="B389" s="133"/>
      <c r="C389" s="134"/>
      <c r="D389" s="135"/>
      <c r="E389" s="134"/>
      <c r="F389" s="134"/>
      <c r="G389" s="134"/>
      <c r="H389" s="134"/>
      <c r="I389" s="134"/>
      <c r="J389" s="134"/>
      <c r="K389" s="134"/>
      <c r="L389" s="134"/>
      <c r="M389" s="134"/>
      <c r="N389" s="134"/>
      <c r="O389" s="134"/>
      <c r="P389" s="134"/>
      <c r="Q389" s="134"/>
      <c r="R389" s="134"/>
      <c r="S389" s="134"/>
      <c r="T389" s="134"/>
      <c r="U389" s="134"/>
      <c r="V389" s="134"/>
      <c r="W389" s="134"/>
      <c r="X389" s="134"/>
      <c r="Y389" s="134"/>
    </row>
    <row r="390" spans="1:25" ht="12.75">
      <c r="A390" s="147"/>
      <c r="B390" s="133"/>
      <c r="C390" s="134"/>
      <c r="D390" s="135"/>
      <c r="E390" s="134"/>
      <c r="F390" s="134"/>
      <c r="G390" s="134"/>
      <c r="H390" s="134"/>
      <c r="I390" s="134"/>
      <c r="J390" s="134"/>
      <c r="K390" s="134"/>
      <c r="L390" s="134"/>
      <c r="M390" s="134"/>
      <c r="N390" s="134"/>
      <c r="O390" s="134"/>
      <c r="P390" s="134"/>
      <c r="Q390" s="134"/>
      <c r="R390" s="134"/>
      <c r="S390" s="134"/>
      <c r="T390" s="134"/>
      <c r="U390" s="134"/>
      <c r="V390" s="134"/>
      <c r="W390" s="134"/>
      <c r="X390" s="134"/>
      <c r="Y390" s="134"/>
    </row>
    <row r="391" spans="1:25" ht="12.75">
      <c r="A391" s="147"/>
      <c r="B391" s="133"/>
      <c r="C391" s="134"/>
      <c r="D391" s="135"/>
      <c r="E391" s="134"/>
      <c r="F391" s="134"/>
      <c r="G391" s="134"/>
      <c r="H391" s="134"/>
      <c r="I391" s="134"/>
      <c r="J391" s="134"/>
      <c r="K391" s="134"/>
      <c r="L391" s="134"/>
      <c r="M391" s="134"/>
      <c r="N391" s="134"/>
      <c r="O391" s="134"/>
      <c r="P391" s="134"/>
      <c r="Q391" s="134"/>
      <c r="R391" s="134"/>
      <c r="S391" s="134"/>
      <c r="T391" s="134"/>
      <c r="U391" s="134"/>
      <c r="V391" s="134"/>
      <c r="W391" s="134"/>
      <c r="X391" s="134"/>
      <c r="Y391" s="134"/>
    </row>
    <row r="392" spans="1:25" ht="12.75">
      <c r="A392" s="147"/>
      <c r="B392" s="133"/>
      <c r="C392" s="134"/>
      <c r="D392" s="135"/>
      <c r="E392" s="134"/>
      <c r="F392" s="134"/>
      <c r="G392" s="134"/>
      <c r="H392" s="134"/>
      <c r="I392" s="134"/>
      <c r="J392" s="134"/>
      <c r="K392" s="134"/>
      <c r="L392" s="134"/>
      <c r="M392" s="134"/>
      <c r="N392" s="134"/>
      <c r="O392" s="134"/>
      <c r="P392" s="134"/>
      <c r="Q392" s="134"/>
      <c r="R392" s="134"/>
      <c r="S392" s="134"/>
      <c r="T392" s="134"/>
      <c r="U392" s="134"/>
      <c r="V392" s="134"/>
      <c r="W392" s="134"/>
      <c r="X392" s="134"/>
      <c r="Y392" s="134"/>
    </row>
    <row r="393" spans="1:25" ht="12.75">
      <c r="A393" s="147"/>
      <c r="B393" s="133"/>
      <c r="C393" s="134"/>
      <c r="D393" s="135"/>
      <c r="E393" s="134"/>
      <c r="F393" s="134"/>
      <c r="G393" s="134"/>
      <c r="H393" s="134"/>
      <c r="I393" s="134"/>
      <c r="J393" s="134"/>
      <c r="K393" s="134"/>
      <c r="L393" s="134"/>
      <c r="M393" s="134"/>
      <c r="N393" s="134"/>
      <c r="O393" s="134"/>
      <c r="P393" s="134"/>
      <c r="Q393" s="134"/>
      <c r="R393" s="134"/>
      <c r="S393" s="134"/>
      <c r="T393" s="134"/>
      <c r="U393" s="134"/>
      <c r="V393" s="134"/>
      <c r="W393" s="134"/>
      <c r="X393" s="134"/>
      <c r="Y393" s="134"/>
    </row>
    <row r="394" spans="1:25" ht="12.75">
      <c r="A394" s="147"/>
      <c r="B394" s="133"/>
      <c r="C394" s="134"/>
      <c r="D394" s="135"/>
      <c r="E394" s="134"/>
      <c r="F394" s="134"/>
      <c r="G394" s="134"/>
      <c r="H394" s="134"/>
      <c r="I394" s="134"/>
      <c r="J394" s="134"/>
      <c r="K394" s="134"/>
      <c r="L394" s="134"/>
      <c r="M394" s="134"/>
      <c r="N394" s="134"/>
      <c r="O394" s="134"/>
      <c r="P394" s="134"/>
      <c r="Q394" s="134"/>
      <c r="R394" s="134"/>
      <c r="S394" s="134"/>
      <c r="T394" s="134"/>
      <c r="U394" s="134"/>
      <c r="V394" s="134"/>
      <c r="W394" s="134"/>
      <c r="X394" s="134"/>
      <c r="Y394" s="134"/>
    </row>
    <row r="395" spans="1:25" ht="12.75">
      <c r="A395" s="147"/>
      <c r="B395" s="133"/>
      <c r="C395" s="134"/>
      <c r="D395" s="135"/>
      <c r="E395" s="134"/>
      <c r="F395" s="134"/>
      <c r="G395" s="134"/>
      <c r="H395" s="134"/>
      <c r="I395" s="134"/>
      <c r="J395" s="134"/>
      <c r="K395" s="134"/>
      <c r="L395" s="134"/>
      <c r="M395" s="134"/>
      <c r="N395" s="134"/>
      <c r="O395" s="134"/>
      <c r="P395" s="134"/>
      <c r="Q395" s="134"/>
      <c r="R395" s="134"/>
      <c r="S395" s="134"/>
      <c r="T395" s="134"/>
      <c r="U395" s="134"/>
      <c r="V395" s="134"/>
      <c r="W395" s="134"/>
      <c r="X395" s="134"/>
      <c r="Y395" s="134"/>
    </row>
    <row r="396" spans="1:25" ht="12.75">
      <c r="A396" s="147"/>
      <c r="B396" s="133"/>
      <c r="C396" s="134"/>
      <c r="D396" s="135"/>
      <c r="E396" s="134"/>
      <c r="F396" s="134"/>
      <c r="G396" s="134"/>
      <c r="H396" s="134"/>
      <c r="I396" s="134"/>
      <c r="J396" s="134"/>
      <c r="K396" s="134"/>
      <c r="L396" s="134"/>
      <c r="M396" s="134"/>
      <c r="N396" s="134"/>
      <c r="O396" s="134"/>
      <c r="P396" s="134"/>
      <c r="Q396" s="134"/>
      <c r="R396" s="134"/>
      <c r="S396" s="134"/>
      <c r="T396" s="134"/>
      <c r="U396" s="134"/>
      <c r="V396" s="134"/>
      <c r="W396" s="134"/>
      <c r="X396" s="134"/>
      <c r="Y396" s="134"/>
    </row>
    <row r="397" spans="1:25" ht="12.75">
      <c r="A397" s="147"/>
      <c r="B397" s="133"/>
      <c r="C397" s="134"/>
      <c r="D397" s="135"/>
      <c r="E397" s="134"/>
      <c r="F397" s="134"/>
      <c r="G397" s="134"/>
      <c r="H397" s="134"/>
      <c r="I397" s="134"/>
      <c r="J397" s="134"/>
      <c r="K397" s="134"/>
      <c r="L397" s="134"/>
      <c r="M397" s="134"/>
      <c r="N397" s="134"/>
      <c r="O397" s="134"/>
      <c r="P397" s="134"/>
      <c r="Q397" s="134"/>
      <c r="R397" s="134"/>
      <c r="S397" s="134"/>
      <c r="T397" s="134"/>
      <c r="U397" s="134"/>
      <c r="V397" s="134"/>
      <c r="W397" s="134"/>
      <c r="X397" s="134"/>
      <c r="Y397" s="134"/>
    </row>
    <row r="398" spans="1:25" ht="12.75">
      <c r="A398" s="147"/>
      <c r="B398" s="133"/>
      <c r="C398" s="134"/>
      <c r="D398" s="135"/>
      <c r="E398" s="134"/>
      <c r="F398" s="134"/>
      <c r="G398" s="134"/>
      <c r="H398" s="134"/>
      <c r="I398" s="134"/>
      <c r="J398" s="134"/>
      <c r="K398" s="134"/>
      <c r="L398" s="134"/>
      <c r="M398" s="134"/>
      <c r="N398" s="134"/>
      <c r="O398" s="134"/>
      <c r="P398" s="134"/>
      <c r="Q398" s="134"/>
      <c r="R398" s="134"/>
      <c r="S398" s="134"/>
      <c r="T398" s="134"/>
      <c r="U398" s="134"/>
      <c r="V398" s="134"/>
      <c r="W398" s="134"/>
      <c r="X398" s="134"/>
      <c r="Y398" s="134"/>
    </row>
    <row r="399" spans="1:25" ht="12.75">
      <c r="A399" s="147"/>
      <c r="B399" s="133"/>
      <c r="C399" s="134"/>
      <c r="D399" s="135"/>
      <c r="E399" s="134"/>
      <c r="F399" s="134"/>
      <c r="G399" s="134"/>
      <c r="H399" s="134"/>
      <c r="I399" s="134"/>
      <c r="J399" s="134"/>
      <c r="K399" s="134"/>
      <c r="L399" s="134"/>
      <c r="M399" s="134"/>
      <c r="N399" s="134"/>
      <c r="O399" s="134"/>
      <c r="P399" s="134"/>
      <c r="Q399" s="134"/>
      <c r="R399" s="134"/>
      <c r="S399" s="134"/>
      <c r="T399" s="134"/>
      <c r="U399" s="134"/>
      <c r="V399" s="134"/>
      <c r="W399" s="134"/>
      <c r="X399" s="134"/>
      <c r="Y399" s="134"/>
    </row>
    <row r="400" spans="1:25" ht="12.75">
      <c r="A400" s="147"/>
      <c r="B400" s="133"/>
      <c r="C400" s="134"/>
      <c r="D400" s="135"/>
      <c r="E400" s="134"/>
      <c r="F400" s="134"/>
      <c r="G400" s="134"/>
      <c r="H400" s="134"/>
      <c r="I400" s="134"/>
      <c r="J400" s="134"/>
      <c r="K400" s="134"/>
      <c r="L400" s="134"/>
      <c r="M400" s="134"/>
      <c r="N400" s="134"/>
      <c r="O400" s="134"/>
      <c r="P400" s="134"/>
      <c r="Q400" s="134"/>
      <c r="R400" s="134"/>
      <c r="S400" s="134"/>
      <c r="T400" s="134"/>
      <c r="U400" s="134"/>
      <c r="V400" s="134"/>
      <c r="W400" s="134"/>
      <c r="X400" s="134"/>
      <c r="Y400" s="134"/>
    </row>
    <row r="401" spans="1:25" ht="12.75">
      <c r="A401" s="147"/>
      <c r="B401" s="133"/>
      <c r="C401" s="134"/>
      <c r="D401" s="135"/>
      <c r="E401" s="134"/>
      <c r="F401" s="134"/>
      <c r="G401" s="134"/>
      <c r="H401" s="134"/>
      <c r="I401" s="134"/>
      <c r="J401" s="134"/>
      <c r="K401" s="134"/>
      <c r="L401" s="134"/>
      <c r="M401" s="134"/>
      <c r="N401" s="134"/>
      <c r="O401" s="134"/>
      <c r="P401" s="134"/>
      <c r="Q401" s="134"/>
      <c r="R401" s="134"/>
      <c r="S401" s="134"/>
      <c r="T401" s="134"/>
      <c r="U401" s="134"/>
      <c r="V401" s="134"/>
      <c r="W401" s="134"/>
      <c r="X401" s="134"/>
      <c r="Y401" s="134"/>
    </row>
    <row r="402" spans="1:25" ht="12.75">
      <c r="A402" s="147"/>
      <c r="B402" s="133"/>
      <c r="C402" s="134"/>
      <c r="D402" s="135"/>
      <c r="E402" s="134"/>
      <c r="F402" s="134"/>
      <c r="G402" s="134"/>
      <c r="H402" s="134"/>
      <c r="I402" s="134"/>
      <c r="J402" s="134"/>
      <c r="K402" s="134"/>
      <c r="L402" s="134"/>
      <c r="M402" s="134"/>
      <c r="N402" s="134"/>
      <c r="O402" s="134"/>
      <c r="P402" s="134"/>
      <c r="Q402" s="134"/>
      <c r="R402" s="134"/>
      <c r="S402" s="134"/>
      <c r="T402" s="134"/>
      <c r="U402" s="134"/>
      <c r="V402" s="134"/>
      <c r="W402" s="134"/>
      <c r="X402" s="134"/>
      <c r="Y402" s="134"/>
    </row>
    <row r="403" spans="1:25" ht="12.75">
      <c r="A403" s="147"/>
      <c r="B403" s="133"/>
      <c r="C403" s="134"/>
      <c r="D403" s="135"/>
      <c r="E403" s="134"/>
      <c r="F403" s="134"/>
      <c r="G403" s="134"/>
      <c r="H403" s="134"/>
      <c r="I403" s="134"/>
      <c r="J403" s="134"/>
      <c r="K403" s="134"/>
      <c r="L403" s="134"/>
      <c r="M403" s="134"/>
      <c r="N403" s="134"/>
      <c r="O403" s="134"/>
      <c r="P403" s="134"/>
      <c r="Q403" s="134"/>
      <c r="R403" s="134"/>
      <c r="S403" s="134"/>
      <c r="T403" s="134"/>
      <c r="U403" s="134"/>
      <c r="V403" s="134"/>
      <c r="W403" s="134"/>
      <c r="X403" s="134"/>
      <c r="Y403" s="134"/>
    </row>
    <row r="404" spans="1:25" ht="12.75">
      <c r="A404" s="147"/>
      <c r="B404" s="133"/>
      <c r="C404" s="134"/>
      <c r="D404" s="135"/>
      <c r="E404" s="134"/>
      <c r="F404" s="134"/>
      <c r="G404" s="134"/>
      <c r="H404" s="134"/>
      <c r="I404" s="134"/>
      <c r="J404" s="134"/>
      <c r="K404" s="134"/>
      <c r="L404" s="134"/>
      <c r="M404" s="134"/>
      <c r="N404" s="134"/>
      <c r="O404" s="134"/>
      <c r="P404" s="134"/>
      <c r="Q404" s="134"/>
      <c r="R404" s="134"/>
      <c r="S404" s="134"/>
      <c r="T404" s="134"/>
      <c r="U404" s="134"/>
      <c r="V404" s="134"/>
      <c r="W404" s="134"/>
      <c r="X404" s="134"/>
      <c r="Y404" s="134"/>
    </row>
    <row r="405" spans="1:25" ht="12.75">
      <c r="A405" s="147"/>
      <c r="B405" s="133"/>
      <c r="C405" s="134"/>
      <c r="D405" s="135"/>
      <c r="E405" s="134"/>
      <c r="F405" s="134"/>
      <c r="G405" s="134"/>
      <c r="H405" s="134"/>
      <c r="I405" s="134"/>
      <c r="J405" s="134"/>
      <c r="K405" s="134"/>
      <c r="L405" s="134"/>
      <c r="M405" s="134"/>
      <c r="N405" s="134"/>
      <c r="O405" s="134"/>
      <c r="P405" s="134"/>
      <c r="Q405" s="134"/>
      <c r="R405" s="134"/>
      <c r="S405" s="134"/>
      <c r="T405" s="134"/>
      <c r="U405" s="134"/>
      <c r="V405" s="134"/>
      <c r="W405" s="134"/>
      <c r="X405" s="134"/>
      <c r="Y405" s="134"/>
    </row>
    <row r="406" spans="1:25" ht="12.75">
      <c r="A406" s="147"/>
      <c r="B406" s="133"/>
      <c r="C406" s="134"/>
      <c r="D406" s="135"/>
      <c r="E406" s="134"/>
      <c r="F406" s="134"/>
      <c r="G406" s="134"/>
      <c r="H406" s="134"/>
      <c r="I406" s="134"/>
      <c r="J406" s="134"/>
      <c r="K406" s="134"/>
      <c r="L406" s="134"/>
      <c r="M406" s="134"/>
      <c r="N406" s="134"/>
      <c r="O406" s="134"/>
      <c r="P406" s="134"/>
      <c r="Q406" s="134"/>
      <c r="R406" s="134"/>
      <c r="S406" s="134"/>
      <c r="T406" s="134"/>
      <c r="U406" s="134"/>
      <c r="V406" s="134"/>
      <c r="W406" s="134"/>
      <c r="X406" s="134"/>
      <c r="Y406" s="134"/>
    </row>
    <row r="407" spans="1:25" ht="12.75">
      <c r="A407" s="147"/>
      <c r="B407" s="133"/>
      <c r="C407" s="134"/>
      <c r="D407" s="135"/>
      <c r="E407" s="134"/>
      <c r="F407" s="134"/>
      <c r="G407" s="134"/>
      <c r="H407" s="134"/>
      <c r="I407" s="134"/>
      <c r="J407" s="134"/>
      <c r="K407" s="134"/>
      <c r="L407" s="134"/>
      <c r="M407" s="134"/>
      <c r="N407" s="134"/>
      <c r="O407" s="134"/>
      <c r="P407" s="134"/>
      <c r="Q407" s="134"/>
      <c r="R407" s="134"/>
      <c r="S407" s="134"/>
      <c r="T407" s="134"/>
      <c r="U407" s="134"/>
      <c r="V407" s="134"/>
      <c r="W407" s="134"/>
      <c r="X407" s="134"/>
      <c r="Y407" s="134"/>
    </row>
    <row r="408" spans="1:25" ht="12.75">
      <c r="A408" s="147"/>
      <c r="B408" s="133"/>
      <c r="C408" s="134"/>
      <c r="D408" s="135"/>
      <c r="E408" s="134"/>
      <c r="F408" s="134"/>
      <c r="G408" s="134"/>
      <c r="H408" s="134"/>
      <c r="I408" s="134"/>
      <c r="J408" s="134"/>
      <c r="K408" s="134"/>
      <c r="L408" s="134"/>
      <c r="M408" s="134"/>
      <c r="N408" s="134"/>
      <c r="O408" s="134"/>
      <c r="P408" s="134"/>
      <c r="Q408" s="134"/>
      <c r="R408" s="134"/>
      <c r="S408" s="134"/>
      <c r="T408" s="134"/>
      <c r="U408" s="134"/>
      <c r="V408" s="134"/>
      <c r="W408" s="134"/>
      <c r="X408" s="134"/>
      <c r="Y408" s="134"/>
    </row>
    <row r="409" spans="1:25" ht="12.75">
      <c r="A409" s="147"/>
      <c r="B409" s="133"/>
      <c r="C409" s="134"/>
      <c r="D409" s="135"/>
      <c r="E409" s="134"/>
      <c r="F409" s="134"/>
      <c r="G409" s="134"/>
      <c r="H409" s="134"/>
      <c r="I409" s="134"/>
      <c r="J409" s="134"/>
      <c r="K409" s="134"/>
      <c r="L409" s="134"/>
      <c r="M409" s="134"/>
      <c r="N409" s="134"/>
      <c r="O409" s="134"/>
      <c r="P409" s="134"/>
      <c r="Q409" s="134"/>
      <c r="R409" s="134"/>
      <c r="S409" s="134"/>
      <c r="T409" s="134"/>
      <c r="U409" s="134"/>
      <c r="V409" s="134"/>
      <c r="W409" s="134"/>
      <c r="X409" s="134"/>
      <c r="Y409" s="134"/>
    </row>
    <row r="410" spans="1:25" ht="12.75">
      <c r="A410" s="147"/>
      <c r="B410" s="133"/>
      <c r="C410" s="134"/>
      <c r="D410" s="135"/>
      <c r="E410" s="134"/>
      <c r="F410" s="134"/>
      <c r="G410" s="134"/>
      <c r="H410" s="134"/>
      <c r="I410" s="134"/>
      <c r="J410" s="134"/>
      <c r="K410" s="134"/>
      <c r="L410" s="134"/>
      <c r="M410" s="134"/>
      <c r="N410" s="134"/>
      <c r="O410" s="134"/>
      <c r="P410" s="134"/>
      <c r="Q410" s="134"/>
      <c r="R410" s="134"/>
      <c r="S410" s="134"/>
      <c r="T410" s="134"/>
      <c r="U410" s="134"/>
      <c r="V410" s="134"/>
      <c r="W410" s="134"/>
      <c r="X410" s="134"/>
      <c r="Y410" s="134"/>
    </row>
    <row r="411" spans="1:25" ht="12.75">
      <c r="A411" s="147"/>
      <c r="B411" s="133"/>
      <c r="C411" s="134"/>
      <c r="D411" s="135"/>
      <c r="E411" s="134"/>
      <c r="F411" s="134"/>
      <c r="G411" s="134"/>
      <c r="H411" s="134"/>
      <c r="I411" s="134"/>
      <c r="J411" s="134"/>
      <c r="K411" s="134"/>
      <c r="L411" s="134"/>
      <c r="M411" s="134"/>
      <c r="N411" s="134"/>
      <c r="O411" s="134"/>
      <c r="P411" s="134"/>
      <c r="Q411" s="134"/>
      <c r="R411" s="134"/>
      <c r="S411" s="134"/>
      <c r="T411" s="134"/>
      <c r="U411" s="134"/>
      <c r="V411" s="134"/>
      <c r="W411" s="134"/>
      <c r="X411" s="134"/>
      <c r="Y411" s="134"/>
    </row>
    <row r="412" spans="1:25" ht="12.75">
      <c r="A412" s="147"/>
      <c r="B412" s="133"/>
      <c r="C412" s="134"/>
      <c r="D412" s="135"/>
      <c r="E412" s="134"/>
      <c r="F412" s="134"/>
      <c r="G412" s="134"/>
      <c r="H412" s="134"/>
      <c r="I412" s="134"/>
      <c r="J412" s="134"/>
      <c r="K412" s="134"/>
      <c r="L412" s="134"/>
      <c r="M412" s="134"/>
      <c r="N412" s="134"/>
      <c r="O412" s="134"/>
      <c r="P412" s="134"/>
      <c r="Q412" s="134"/>
      <c r="R412" s="134"/>
      <c r="S412" s="134"/>
      <c r="T412" s="134"/>
      <c r="U412" s="134"/>
      <c r="V412" s="134"/>
      <c r="W412" s="134"/>
      <c r="X412" s="134"/>
      <c r="Y412" s="134"/>
    </row>
    <row r="413" spans="1:25" ht="12.75">
      <c r="A413" s="147"/>
      <c r="B413" s="133"/>
      <c r="C413" s="134"/>
      <c r="D413" s="135"/>
      <c r="E413" s="134"/>
      <c r="F413" s="134"/>
      <c r="G413" s="134"/>
      <c r="H413" s="134"/>
      <c r="I413" s="134"/>
      <c r="J413" s="134"/>
      <c r="K413" s="134"/>
      <c r="L413" s="134"/>
      <c r="M413" s="134"/>
      <c r="N413" s="134"/>
      <c r="O413" s="134"/>
      <c r="P413" s="134"/>
      <c r="Q413" s="134"/>
      <c r="R413" s="134"/>
      <c r="S413" s="134"/>
      <c r="T413" s="134"/>
      <c r="U413" s="134"/>
      <c r="V413" s="134"/>
      <c r="W413" s="134"/>
      <c r="X413" s="134"/>
      <c r="Y413" s="134"/>
    </row>
    <row r="414" spans="1:25" ht="12.75">
      <c r="A414" s="147"/>
      <c r="B414" s="133"/>
      <c r="C414" s="134"/>
      <c r="D414" s="135"/>
      <c r="E414" s="134"/>
      <c r="F414" s="134"/>
      <c r="G414" s="134"/>
      <c r="H414" s="134"/>
      <c r="I414" s="134"/>
      <c r="J414" s="134"/>
      <c r="K414" s="134"/>
      <c r="L414" s="134"/>
      <c r="M414" s="134"/>
      <c r="N414" s="134"/>
      <c r="O414" s="134"/>
      <c r="P414" s="134"/>
      <c r="Q414" s="134"/>
      <c r="R414" s="134"/>
      <c r="S414" s="134"/>
      <c r="T414" s="134"/>
      <c r="U414" s="134"/>
      <c r="V414" s="134"/>
      <c r="W414" s="134"/>
      <c r="X414" s="134"/>
      <c r="Y414" s="134"/>
    </row>
    <row r="415" spans="1:25" ht="12.75">
      <c r="A415" s="147"/>
      <c r="B415" s="133"/>
      <c r="C415" s="134"/>
      <c r="D415" s="135"/>
      <c r="E415" s="134"/>
      <c r="F415" s="134"/>
      <c r="G415" s="134"/>
      <c r="H415" s="134"/>
      <c r="I415" s="134"/>
      <c r="J415" s="134"/>
      <c r="K415" s="134"/>
      <c r="L415" s="134"/>
      <c r="M415" s="134"/>
      <c r="N415" s="134"/>
      <c r="O415" s="134"/>
      <c r="P415" s="134"/>
      <c r="Q415" s="134"/>
      <c r="R415" s="134"/>
      <c r="S415" s="134"/>
      <c r="T415" s="134"/>
      <c r="U415" s="134"/>
      <c r="V415" s="134"/>
      <c r="W415" s="134"/>
      <c r="X415" s="134"/>
      <c r="Y415" s="134"/>
    </row>
    <row r="416" spans="1:25" ht="12.75">
      <c r="A416" s="147"/>
      <c r="B416" s="133"/>
      <c r="C416" s="134"/>
      <c r="D416" s="135"/>
      <c r="E416" s="134"/>
      <c r="F416" s="134"/>
      <c r="G416" s="134"/>
      <c r="H416" s="134"/>
      <c r="I416" s="134"/>
      <c r="J416" s="134"/>
      <c r="K416" s="134"/>
      <c r="L416" s="134"/>
      <c r="M416" s="134"/>
      <c r="N416" s="134"/>
      <c r="O416" s="134"/>
      <c r="P416" s="134"/>
      <c r="Q416" s="134"/>
      <c r="R416" s="134"/>
      <c r="S416" s="134"/>
      <c r="T416" s="134"/>
      <c r="U416" s="134"/>
      <c r="V416" s="134"/>
      <c r="W416" s="134"/>
      <c r="X416" s="134"/>
      <c r="Y416" s="134"/>
    </row>
    <row r="417" spans="1:25" ht="12.75">
      <c r="A417" s="147"/>
      <c r="B417" s="133"/>
      <c r="C417" s="134"/>
      <c r="D417" s="135"/>
      <c r="E417" s="134"/>
      <c r="F417" s="134"/>
      <c r="G417" s="134"/>
      <c r="H417" s="134"/>
      <c r="I417" s="134"/>
      <c r="J417" s="134"/>
      <c r="K417" s="134"/>
      <c r="L417" s="134"/>
      <c r="M417" s="134"/>
      <c r="N417" s="134"/>
      <c r="O417" s="134"/>
      <c r="P417" s="134"/>
      <c r="Q417" s="134"/>
      <c r="R417" s="134"/>
      <c r="S417" s="134"/>
      <c r="T417" s="134"/>
      <c r="U417" s="134"/>
      <c r="V417" s="134"/>
      <c r="W417" s="134"/>
      <c r="X417" s="134"/>
      <c r="Y417" s="134"/>
    </row>
    <row r="418" spans="1:25" ht="12.75">
      <c r="A418" s="147"/>
      <c r="B418" s="133"/>
      <c r="C418" s="134"/>
      <c r="D418" s="135"/>
      <c r="E418" s="134"/>
      <c r="F418" s="134"/>
      <c r="G418" s="134"/>
      <c r="H418" s="134"/>
      <c r="I418" s="134"/>
      <c r="J418" s="134"/>
      <c r="K418" s="134"/>
      <c r="L418" s="134"/>
      <c r="M418" s="134"/>
      <c r="N418" s="134"/>
      <c r="O418" s="134"/>
      <c r="P418" s="134"/>
      <c r="Q418" s="134"/>
      <c r="R418" s="134"/>
      <c r="S418" s="134"/>
      <c r="T418" s="134"/>
      <c r="U418" s="134"/>
      <c r="V418" s="134"/>
      <c r="W418" s="134"/>
      <c r="X418" s="134"/>
      <c r="Y418" s="134"/>
    </row>
    <row r="419" spans="1:25" ht="12.75">
      <c r="A419" s="147"/>
      <c r="B419" s="133"/>
      <c r="C419" s="134"/>
      <c r="D419" s="135"/>
      <c r="E419" s="134"/>
      <c r="F419" s="134"/>
      <c r="G419" s="134"/>
      <c r="H419" s="134"/>
      <c r="I419" s="134"/>
      <c r="J419" s="134"/>
      <c r="K419" s="134"/>
      <c r="L419" s="134"/>
      <c r="M419" s="134"/>
      <c r="N419" s="134"/>
      <c r="O419" s="134"/>
      <c r="P419" s="134"/>
      <c r="Q419" s="134"/>
      <c r="R419" s="134"/>
      <c r="S419" s="134"/>
      <c r="T419" s="134"/>
      <c r="U419" s="134"/>
      <c r="V419" s="134"/>
      <c r="W419" s="134"/>
      <c r="X419" s="134"/>
      <c r="Y419" s="134"/>
    </row>
    <row r="420" spans="1:25" ht="12.75">
      <c r="A420" s="147"/>
      <c r="B420" s="133"/>
      <c r="C420" s="134"/>
      <c r="D420" s="135"/>
      <c r="E420" s="134"/>
      <c r="F420" s="134"/>
      <c r="G420" s="134"/>
      <c r="H420" s="134"/>
      <c r="I420" s="134"/>
      <c r="J420" s="134"/>
      <c r="K420" s="134"/>
      <c r="L420" s="134"/>
      <c r="M420" s="134"/>
      <c r="N420" s="134"/>
      <c r="O420" s="134"/>
      <c r="P420" s="134"/>
      <c r="Q420" s="134"/>
      <c r="R420" s="134"/>
      <c r="S420" s="134"/>
      <c r="T420" s="134"/>
      <c r="U420" s="134"/>
      <c r="V420" s="134"/>
      <c r="W420" s="134"/>
      <c r="X420" s="134"/>
      <c r="Y420" s="134"/>
    </row>
    <row r="421" spans="1:25" ht="12.75">
      <c r="A421" s="147"/>
      <c r="B421" s="133"/>
      <c r="C421" s="134"/>
      <c r="D421" s="135"/>
      <c r="E421" s="134"/>
      <c r="F421" s="134"/>
      <c r="G421" s="134"/>
      <c r="H421" s="134"/>
      <c r="I421" s="134"/>
      <c r="J421" s="134"/>
      <c r="K421" s="134"/>
      <c r="L421" s="134"/>
      <c r="M421" s="134"/>
      <c r="N421" s="134"/>
      <c r="O421" s="134"/>
      <c r="P421" s="134"/>
      <c r="Q421" s="134"/>
      <c r="R421" s="134"/>
      <c r="S421" s="134"/>
      <c r="T421" s="134"/>
      <c r="U421" s="134"/>
      <c r="V421" s="134"/>
      <c r="W421" s="134"/>
      <c r="X421" s="134"/>
      <c r="Y421" s="134"/>
    </row>
    <row r="422" spans="1:25" ht="12.75">
      <c r="A422" s="147"/>
      <c r="B422" s="133"/>
      <c r="C422" s="134"/>
      <c r="D422" s="135"/>
      <c r="E422" s="134"/>
      <c r="F422" s="134"/>
      <c r="G422" s="134"/>
      <c r="H422" s="134"/>
      <c r="I422" s="134"/>
      <c r="J422" s="134"/>
      <c r="K422" s="134"/>
      <c r="L422" s="134"/>
      <c r="M422" s="134"/>
      <c r="N422" s="134"/>
      <c r="O422" s="134"/>
      <c r="P422" s="134"/>
      <c r="Q422" s="134"/>
      <c r="R422" s="134"/>
      <c r="S422" s="134"/>
      <c r="T422" s="134"/>
      <c r="U422" s="134"/>
      <c r="V422" s="134"/>
      <c r="W422" s="134"/>
      <c r="X422" s="134"/>
      <c r="Y422" s="134"/>
    </row>
    <row r="423" spans="1:25" ht="12.75">
      <c r="A423" s="147"/>
      <c r="B423" s="133"/>
      <c r="C423" s="134"/>
      <c r="D423" s="135"/>
      <c r="E423" s="134"/>
      <c r="F423" s="134"/>
      <c r="G423" s="134"/>
      <c r="H423" s="134"/>
      <c r="I423" s="134"/>
      <c r="J423" s="134"/>
      <c r="K423" s="134"/>
      <c r="L423" s="134"/>
      <c r="M423" s="134"/>
      <c r="N423" s="134"/>
      <c r="O423" s="134"/>
      <c r="P423" s="134"/>
      <c r="Q423" s="134"/>
      <c r="R423" s="134"/>
      <c r="S423" s="134"/>
      <c r="T423" s="134"/>
      <c r="U423" s="134"/>
      <c r="V423" s="134"/>
      <c r="W423" s="134"/>
      <c r="X423" s="134"/>
      <c r="Y423" s="134"/>
    </row>
    <row r="424" spans="1:25" ht="12.75">
      <c r="A424" s="147"/>
      <c r="B424" s="133"/>
      <c r="C424" s="134"/>
      <c r="D424" s="135"/>
      <c r="E424" s="134"/>
      <c r="F424" s="134"/>
      <c r="G424" s="134"/>
      <c r="H424" s="134"/>
      <c r="I424" s="134"/>
      <c r="J424" s="134"/>
      <c r="K424" s="134"/>
      <c r="L424" s="134"/>
      <c r="M424" s="134"/>
      <c r="N424" s="134"/>
      <c r="O424" s="134"/>
      <c r="P424" s="134"/>
      <c r="Q424" s="134"/>
      <c r="R424" s="134"/>
      <c r="S424" s="134"/>
      <c r="T424" s="134"/>
      <c r="U424" s="134"/>
      <c r="V424" s="134"/>
      <c r="W424" s="134"/>
      <c r="X424" s="134"/>
      <c r="Y424" s="134"/>
    </row>
    <row r="425" spans="1:25" ht="12.75">
      <c r="A425" s="147"/>
      <c r="B425" s="133"/>
      <c r="C425" s="134"/>
      <c r="D425" s="135"/>
      <c r="E425" s="134"/>
      <c r="F425" s="134"/>
      <c r="G425" s="134"/>
      <c r="H425" s="134"/>
      <c r="I425" s="134"/>
      <c r="J425" s="134"/>
      <c r="K425" s="134"/>
      <c r="L425" s="134"/>
      <c r="M425" s="134"/>
      <c r="N425" s="134"/>
      <c r="O425" s="134"/>
      <c r="P425" s="134"/>
      <c r="Q425" s="134"/>
      <c r="R425" s="134"/>
      <c r="S425" s="134"/>
      <c r="T425" s="134"/>
      <c r="U425" s="134"/>
      <c r="V425" s="134"/>
      <c r="W425" s="134"/>
      <c r="X425" s="134"/>
      <c r="Y425" s="134"/>
    </row>
    <row r="426" spans="1:25" ht="12.75">
      <c r="A426" s="147"/>
      <c r="B426" s="133"/>
      <c r="C426" s="134"/>
      <c r="D426" s="135"/>
      <c r="E426" s="134"/>
      <c r="F426" s="134"/>
      <c r="G426" s="134"/>
      <c r="H426" s="134"/>
      <c r="I426" s="134"/>
      <c r="J426" s="134"/>
      <c r="K426" s="134"/>
      <c r="L426" s="134"/>
      <c r="M426" s="134"/>
      <c r="N426" s="134"/>
      <c r="O426" s="134"/>
      <c r="P426" s="134"/>
      <c r="Q426" s="134"/>
      <c r="R426" s="134"/>
      <c r="S426" s="134"/>
      <c r="T426" s="134"/>
      <c r="U426" s="134"/>
      <c r="V426" s="134"/>
      <c r="W426" s="134"/>
      <c r="X426" s="134"/>
      <c r="Y426" s="134"/>
    </row>
    <row r="427" spans="1:25" ht="12.75">
      <c r="A427" s="147"/>
      <c r="B427" s="133"/>
      <c r="C427" s="134"/>
      <c r="D427" s="135"/>
      <c r="E427" s="134"/>
      <c r="F427" s="134"/>
      <c r="G427" s="134"/>
      <c r="H427" s="134"/>
      <c r="I427" s="134"/>
      <c r="J427" s="134"/>
      <c r="K427" s="134"/>
      <c r="L427" s="134"/>
      <c r="M427" s="134"/>
      <c r="N427" s="134"/>
      <c r="O427" s="134"/>
      <c r="P427" s="134"/>
      <c r="Q427" s="134"/>
      <c r="R427" s="134"/>
      <c r="S427" s="134"/>
      <c r="T427" s="134"/>
      <c r="U427" s="134"/>
      <c r="V427" s="134"/>
      <c r="W427" s="134"/>
      <c r="X427" s="134"/>
      <c r="Y427" s="134"/>
    </row>
    <row r="428" spans="1:25" ht="12.75">
      <c r="A428" s="147"/>
      <c r="B428" s="133"/>
      <c r="C428" s="134"/>
      <c r="D428" s="135"/>
      <c r="E428" s="134"/>
      <c r="F428" s="134"/>
      <c r="G428" s="134"/>
      <c r="H428" s="134"/>
      <c r="I428" s="134"/>
      <c r="J428" s="134"/>
      <c r="K428" s="134"/>
      <c r="L428" s="134"/>
      <c r="M428" s="134"/>
      <c r="N428" s="134"/>
      <c r="O428" s="134"/>
      <c r="P428" s="134"/>
      <c r="Q428" s="134"/>
      <c r="R428" s="134"/>
      <c r="S428" s="134"/>
      <c r="T428" s="134"/>
      <c r="U428" s="134"/>
      <c r="V428" s="134"/>
      <c r="W428" s="134"/>
      <c r="X428" s="134"/>
      <c r="Y428" s="134"/>
    </row>
    <row r="429" spans="1:25" ht="12.75">
      <c r="A429" s="147"/>
      <c r="B429" s="133"/>
      <c r="C429" s="134"/>
      <c r="D429" s="135"/>
      <c r="E429" s="134"/>
      <c r="F429" s="134"/>
      <c r="G429" s="134"/>
      <c r="H429" s="134"/>
      <c r="I429" s="134"/>
      <c r="J429" s="134"/>
      <c r="K429" s="134"/>
      <c r="L429" s="134"/>
      <c r="M429" s="134"/>
      <c r="N429" s="134"/>
      <c r="O429" s="134"/>
      <c r="P429" s="134"/>
      <c r="Q429" s="134"/>
      <c r="R429" s="134"/>
      <c r="S429" s="134"/>
      <c r="T429" s="134"/>
      <c r="U429" s="134"/>
      <c r="V429" s="134"/>
      <c r="W429" s="134"/>
      <c r="X429" s="134"/>
      <c r="Y429" s="134"/>
    </row>
    <row r="430" spans="1:25" ht="12.75">
      <c r="A430" s="147"/>
      <c r="B430" s="133"/>
      <c r="C430" s="134"/>
      <c r="D430" s="135"/>
      <c r="E430" s="134"/>
      <c r="F430" s="134"/>
      <c r="G430" s="134"/>
      <c r="H430" s="134"/>
      <c r="I430" s="134"/>
      <c r="J430" s="134"/>
      <c r="K430" s="134"/>
      <c r="L430" s="134"/>
      <c r="M430" s="134"/>
      <c r="N430" s="134"/>
      <c r="O430" s="134"/>
      <c r="P430" s="134"/>
      <c r="Q430" s="134"/>
      <c r="R430" s="134"/>
      <c r="S430" s="134"/>
      <c r="T430" s="134"/>
      <c r="U430" s="134"/>
      <c r="V430" s="134"/>
      <c r="W430" s="134"/>
      <c r="X430" s="134"/>
      <c r="Y430" s="134"/>
    </row>
    <row r="431" spans="1:25" ht="12.75">
      <c r="A431" s="147"/>
      <c r="B431" s="133"/>
      <c r="C431" s="134"/>
      <c r="D431" s="135"/>
      <c r="E431" s="134"/>
      <c r="F431" s="134"/>
      <c r="G431" s="134"/>
      <c r="H431" s="134"/>
      <c r="I431" s="134"/>
      <c r="J431" s="134"/>
      <c r="K431" s="134"/>
      <c r="L431" s="134"/>
      <c r="M431" s="134"/>
      <c r="N431" s="134"/>
      <c r="O431" s="134"/>
      <c r="P431" s="134"/>
      <c r="Q431" s="134"/>
      <c r="R431" s="134"/>
      <c r="S431" s="134"/>
      <c r="T431" s="134"/>
      <c r="U431" s="134"/>
      <c r="V431" s="134"/>
      <c r="W431" s="134"/>
      <c r="X431" s="134"/>
      <c r="Y431" s="134"/>
    </row>
    <row r="432" spans="1:25" ht="12.75">
      <c r="A432" s="147"/>
      <c r="B432" s="133"/>
      <c r="C432" s="134"/>
      <c r="D432" s="135"/>
      <c r="E432" s="134"/>
      <c r="F432" s="134"/>
      <c r="G432" s="134"/>
      <c r="H432" s="134"/>
      <c r="I432" s="134"/>
      <c r="J432" s="134"/>
      <c r="K432" s="134"/>
      <c r="L432" s="134"/>
      <c r="M432" s="134"/>
      <c r="N432" s="134"/>
      <c r="O432" s="134"/>
      <c r="P432" s="134"/>
      <c r="Q432" s="134"/>
      <c r="R432" s="134"/>
      <c r="S432" s="134"/>
      <c r="T432" s="134"/>
      <c r="U432" s="134"/>
      <c r="V432" s="134"/>
      <c r="W432" s="134"/>
      <c r="X432" s="134"/>
      <c r="Y432" s="134"/>
    </row>
    <row r="433" spans="1:25" ht="12.75">
      <c r="A433" s="147"/>
      <c r="B433" s="133"/>
      <c r="C433" s="134"/>
      <c r="D433" s="135"/>
      <c r="E433" s="134"/>
      <c r="F433" s="134"/>
      <c r="G433" s="134"/>
      <c r="H433" s="134"/>
      <c r="I433" s="134"/>
      <c r="J433" s="134"/>
      <c r="K433" s="134"/>
      <c r="L433" s="134"/>
      <c r="M433" s="134"/>
      <c r="N433" s="134"/>
      <c r="O433" s="134"/>
      <c r="P433" s="134"/>
      <c r="Q433" s="134"/>
      <c r="R433" s="134"/>
      <c r="S433" s="134"/>
      <c r="T433" s="134"/>
      <c r="U433" s="134"/>
      <c r="V433" s="134"/>
      <c r="W433" s="134"/>
      <c r="X433" s="134"/>
      <c r="Y433" s="134"/>
    </row>
    <row r="434" spans="1:25" ht="12.75">
      <c r="A434" s="147"/>
      <c r="B434" s="133"/>
      <c r="C434" s="134"/>
      <c r="D434" s="135"/>
      <c r="E434" s="134"/>
      <c r="F434" s="134"/>
      <c r="G434" s="134"/>
      <c r="H434" s="134"/>
      <c r="I434" s="134"/>
      <c r="J434" s="134"/>
      <c r="K434" s="134"/>
      <c r="L434" s="134"/>
      <c r="M434" s="134"/>
      <c r="N434" s="134"/>
      <c r="O434" s="134"/>
      <c r="P434" s="134"/>
      <c r="Q434" s="134"/>
      <c r="R434" s="134"/>
      <c r="S434" s="134"/>
      <c r="T434" s="134"/>
      <c r="U434" s="134"/>
      <c r="V434" s="134"/>
      <c r="W434" s="134"/>
      <c r="X434" s="134"/>
      <c r="Y434" s="134"/>
    </row>
    <row r="435" spans="1:25" ht="12.75">
      <c r="A435" s="147"/>
      <c r="B435" s="133"/>
      <c r="C435" s="134"/>
      <c r="D435" s="135"/>
      <c r="E435" s="134"/>
      <c r="F435" s="134"/>
      <c r="G435" s="134"/>
      <c r="H435" s="134"/>
      <c r="I435" s="134"/>
      <c r="J435" s="134"/>
      <c r="K435" s="134"/>
      <c r="L435" s="134"/>
      <c r="M435" s="134"/>
      <c r="N435" s="134"/>
      <c r="O435" s="134"/>
      <c r="P435" s="134"/>
      <c r="Q435" s="134"/>
      <c r="R435" s="134"/>
      <c r="S435" s="134"/>
      <c r="T435" s="134"/>
      <c r="U435" s="134"/>
      <c r="V435" s="134"/>
      <c r="W435" s="134"/>
      <c r="X435" s="134"/>
      <c r="Y435" s="134"/>
    </row>
    <row r="436" spans="1:25" ht="12.75">
      <c r="A436" s="147"/>
      <c r="B436" s="133"/>
      <c r="C436" s="134"/>
      <c r="D436" s="135"/>
      <c r="E436" s="134"/>
      <c r="F436" s="134"/>
      <c r="G436" s="134"/>
      <c r="H436" s="134"/>
      <c r="I436" s="134"/>
      <c r="J436" s="134"/>
      <c r="K436" s="134"/>
      <c r="L436" s="134"/>
      <c r="M436" s="134"/>
      <c r="N436" s="134"/>
      <c r="O436" s="134"/>
      <c r="P436" s="134"/>
      <c r="Q436" s="134"/>
      <c r="R436" s="134"/>
      <c r="S436" s="134"/>
      <c r="T436" s="134"/>
      <c r="U436" s="134"/>
      <c r="V436" s="134"/>
      <c r="W436" s="134"/>
      <c r="X436" s="134"/>
      <c r="Y436" s="134"/>
    </row>
    <row r="437" spans="1:25" ht="12.75">
      <c r="A437" s="147"/>
      <c r="B437" s="133"/>
      <c r="C437" s="134"/>
      <c r="D437" s="135"/>
      <c r="E437" s="134"/>
      <c r="F437" s="134"/>
      <c r="G437" s="134"/>
      <c r="H437" s="134"/>
      <c r="I437" s="134"/>
      <c r="J437" s="134"/>
      <c r="K437" s="134"/>
      <c r="L437" s="134"/>
      <c r="M437" s="134"/>
      <c r="N437" s="134"/>
      <c r="O437" s="134"/>
      <c r="P437" s="134"/>
      <c r="Q437" s="134"/>
      <c r="R437" s="134"/>
      <c r="S437" s="134"/>
      <c r="T437" s="134"/>
      <c r="U437" s="134"/>
      <c r="V437" s="134"/>
      <c r="W437" s="134"/>
      <c r="X437" s="134"/>
      <c r="Y437" s="134"/>
    </row>
    <row r="438" spans="1:25" ht="12.75">
      <c r="A438" s="147"/>
      <c r="B438" s="133"/>
      <c r="C438" s="134"/>
      <c r="D438" s="135"/>
      <c r="E438" s="134"/>
      <c r="F438" s="134"/>
      <c r="G438" s="134"/>
      <c r="H438" s="134"/>
      <c r="I438" s="134"/>
      <c r="J438" s="134"/>
      <c r="K438" s="134"/>
      <c r="L438" s="134"/>
      <c r="M438" s="134"/>
      <c r="N438" s="134"/>
      <c r="O438" s="134"/>
      <c r="P438" s="134"/>
      <c r="Q438" s="134"/>
      <c r="R438" s="134"/>
      <c r="S438" s="134"/>
      <c r="T438" s="134"/>
      <c r="U438" s="134"/>
      <c r="V438" s="134"/>
      <c r="W438" s="134"/>
      <c r="X438" s="134"/>
      <c r="Y438" s="134"/>
    </row>
    <row r="439" spans="1:25" ht="12.75">
      <c r="A439" s="147"/>
      <c r="B439" s="133"/>
      <c r="C439" s="134"/>
      <c r="D439" s="135"/>
      <c r="E439" s="134"/>
      <c r="F439" s="134"/>
      <c r="G439" s="134"/>
      <c r="H439" s="134"/>
      <c r="I439" s="134"/>
      <c r="J439" s="134"/>
      <c r="K439" s="134"/>
      <c r="L439" s="134"/>
      <c r="M439" s="134"/>
      <c r="N439" s="134"/>
      <c r="O439" s="134"/>
      <c r="P439" s="134"/>
      <c r="Q439" s="134"/>
      <c r="R439" s="134"/>
      <c r="S439" s="134"/>
      <c r="T439" s="134"/>
      <c r="U439" s="134"/>
      <c r="V439" s="134"/>
      <c r="W439" s="134"/>
      <c r="X439" s="134"/>
      <c r="Y439" s="134"/>
    </row>
    <row r="440" spans="1:25" ht="12.75">
      <c r="A440" s="147"/>
      <c r="B440" s="133"/>
      <c r="C440" s="134"/>
      <c r="D440" s="135"/>
      <c r="E440" s="134"/>
      <c r="F440" s="134"/>
      <c r="G440" s="134"/>
      <c r="H440" s="134"/>
      <c r="I440" s="134"/>
      <c r="J440" s="134"/>
      <c r="K440" s="134"/>
      <c r="L440" s="134"/>
      <c r="M440" s="134"/>
      <c r="N440" s="134"/>
      <c r="O440" s="134"/>
      <c r="P440" s="134"/>
      <c r="Q440" s="134"/>
      <c r="R440" s="134"/>
      <c r="S440" s="134"/>
      <c r="T440" s="134"/>
      <c r="U440" s="134"/>
      <c r="V440" s="134"/>
      <c r="W440" s="134"/>
      <c r="X440" s="134"/>
      <c r="Y440" s="134"/>
    </row>
    <row r="441" spans="1:25" ht="12.75">
      <c r="A441" s="147"/>
      <c r="B441" s="133"/>
      <c r="C441" s="134"/>
      <c r="D441" s="135"/>
      <c r="E441" s="134"/>
      <c r="F441" s="134"/>
      <c r="G441" s="134"/>
      <c r="H441" s="134"/>
      <c r="I441" s="134"/>
      <c r="J441" s="134"/>
      <c r="K441" s="134"/>
      <c r="L441" s="134"/>
      <c r="M441" s="134"/>
      <c r="N441" s="134"/>
      <c r="O441" s="134"/>
      <c r="P441" s="134"/>
      <c r="Q441" s="134"/>
      <c r="R441" s="134"/>
      <c r="S441" s="134"/>
      <c r="T441" s="134"/>
      <c r="U441" s="134"/>
      <c r="V441" s="134"/>
      <c r="W441" s="134"/>
      <c r="X441" s="134"/>
      <c r="Y441" s="134"/>
    </row>
    <row r="442" spans="1:25" ht="12.75">
      <c r="A442" s="147"/>
      <c r="B442" s="133"/>
      <c r="C442" s="134"/>
      <c r="D442" s="135"/>
      <c r="E442" s="134"/>
      <c r="F442" s="134"/>
      <c r="G442" s="134"/>
      <c r="H442" s="134"/>
      <c r="I442" s="134"/>
      <c r="J442" s="134"/>
      <c r="K442" s="134"/>
      <c r="L442" s="134"/>
      <c r="M442" s="134"/>
      <c r="N442" s="134"/>
      <c r="O442" s="134"/>
      <c r="P442" s="134"/>
      <c r="Q442" s="134"/>
      <c r="R442" s="134"/>
      <c r="S442" s="134"/>
      <c r="T442" s="134"/>
      <c r="U442" s="134"/>
      <c r="V442" s="134"/>
      <c r="W442" s="134"/>
      <c r="X442" s="134"/>
      <c r="Y442" s="134"/>
    </row>
    <row r="443" spans="1:25" ht="12.75">
      <c r="A443" s="147"/>
      <c r="B443" s="133"/>
      <c r="C443" s="134"/>
      <c r="D443" s="135"/>
      <c r="E443" s="134"/>
      <c r="F443" s="134"/>
      <c r="G443" s="134"/>
      <c r="H443" s="134"/>
      <c r="I443" s="134"/>
      <c r="J443" s="134"/>
      <c r="K443" s="134"/>
      <c r="L443" s="134"/>
      <c r="M443" s="134"/>
      <c r="N443" s="134"/>
      <c r="O443" s="134"/>
      <c r="P443" s="134"/>
      <c r="Q443" s="134"/>
      <c r="R443" s="134"/>
      <c r="S443" s="134"/>
      <c r="T443" s="134"/>
      <c r="U443" s="134"/>
      <c r="V443" s="134"/>
      <c r="W443" s="134"/>
      <c r="X443" s="134"/>
      <c r="Y443" s="134"/>
    </row>
    <row r="444" spans="1:25" ht="12.75">
      <c r="A444" s="147"/>
      <c r="B444" s="133"/>
      <c r="C444" s="134"/>
      <c r="D444" s="135"/>
      <c r="E444" s="134"/>
      <c r="F444" s="134"/>
      <c r="G444" s="134"/>
      <c r="H444" s="134"/>
      <c r="I444" s="134"/>
      <c r="J444" s="134"/>
      <c r="K444" s="134"/>
      <c r="L444" s="134"/>
      <c r="M444" s="134"/>
      <c r="N444" s="134"/>
      <c r="O444" s="134"/>
      <c r="P444" s="134"/>
      <c r="Q444" s="134"/>
      <c r="R444" s="134"/>
      <c r="S444" s="134"/>
      <c r="T444" s="134"/>
      <c r="U444" s="134"/>
      <c r="V444" s="134"/>
      <c r="W444" s="134"/>
      <c r="X444" s="134"/>
      <c r="Y444" s="134"/>
    </row>
    <row r="445" spans="1:25" ht="12.75">
      <c r="A445" s="147"/>
      <c r="B445" s="133"/>
      <c r="C445" s="134"/>
      <c r="D445" s="135"/>
      <c r="E445" s="134"/>
      <c r="F445" s="134"/>
      <c r="G445" s="134"/>
      <c r="H445" s="134"/>
      <c r="I445" s="134"/>
      <c r="J445" s="134"/>
      <c r="K445" s="134"/>
      <c r="L445" s="134"/>
      <c r="M445" s="134"/>
      <c r="N445" s="134"/>
      <c r="O445" s="134"/>
      <c r="P445" s="134"/>
      <c r="Q445" s="134"/>
      <c r="R445" s="134"/>
      <c r="S445" s="134"/>
      <c r="T445" s="134"/>
      <c r="U445" s="134"/>
      <c r="V445" s="134"/>
      <c r="W445" s="134"/>
      <c r="X445" s="134"/>
      <c r="Y445" s="134"/>
    </row>
    <row r="446" spans="1:25" ht="12.75">
      <c r="A446" s="147"/>
      <c r="B446" s="133"/>
      <c r="C446" s="134"/>
      <c r="D446" s="135"/>
      <c r="E446" s="134"/>
      <c r="F446" s="134"/>
      <c r="G446" s="134"/>
      <c r="H446" s="134"/>
      <c r="I446" s="134"/>
      <c r="J446" s="134"/>
      <c r="K446" s="134"/>
      <c r="L446" s="134"/>
      <c r="M446" s="134"/>
      <c r="N446" s="134"/>
      <c r="O446" s="134"/>
      <c r="P446" s="134"/>
      <c r="Q446" s="134"/>
      <c r="R446" s="134"/>
      <c r="S446" s="134"/>
      <c r="T446" s="134"/>
      <c r="U446" s="134"/>
      <c r="V446" s="134"/>
      <c r="W446" s="134"/>
      <c r="X446" s="134"/>
      <c r="Y446" s="134"/>
    </row>
    <row r="447" spans="1:25" ht="12.75">
      <c r="A447" s="147"/>
      <c r="B447" s="133"/>
      <c r="C447" s="134"/>
      <c r="D447" s="135"/>
      <c r="E447" s="134"/>
      <c r="F447" s="134"/>
      <c r="G447" s="134"/>
      <c r="H447" s="134"/>
      <c r="I447" s="134"/>
      <c r="J447" s="134"/>
      <c r="K447" s="134"/>
      <c r="L447" s="134"/>
      <c r="M447" s="134"/>
      <c r="N447" s="134"/>
      <c r="O447" s="134"/>
      <c r="P447" s="134"/>
      <c r="Q447" s="134"/>
      <c r="R447" s="134"/>
      <c r="S447" s="134"/>
      <c r="T447" s="134"/>
      <c r="U447" s="134"/>
      <c r="V447" s="134"/>
      <c r="W447" s="134"/>
      <c r="X447" s="134"/>
      <c r="Y447" s="134"/>
    </row>
    <row r="448" spans="1:25" ht="12.75">
      <c r="A448" s="147"/>
      <c r="B448" s="133"/>
      <c r="C448" s="134"/>
      <c r="D448" s="135"/>
      <c r="E448" s="134"/>
      <c r="F448" s="134"/>
      <c r="G448" s="134"/>
      <c r="H448" s="134"/>
      <c r="I448" s="134"/>
      <c r="J448" s="134"/>
      <c r="K448" s="134"/>
      <c r="L448" s="134"/>
      <c r="M448" s="134"/>
      <c r="N448" s="134"/>
      <c r="O448" s="134"/>
      <c r="P448" s="134"/>
      <c r="Q448" s="134"/>
      <c r="R448" s="134"/>
      <c r="S448" s="134"/>
      <c r="T448" s="134"/>
      <c r="U448" s="134"/>
      <c r="V448" s="134"/>
      <c r="W448" s="134"/>
      <c r="X448" s="134"/>
      <c r="Y448" s="134"/>
    </row>
    <row r="449" spans="1:25" ht="12.75">
      <c r="A449" s="147"/>
      <c r="B449" s="133"/>
      <c r="C449" s="134"/>
      <c r="D449" s="135"/>
      <c r="E449" s="134"/>
      <c r="F449" s="134"/>
      <c r="G449" s="134"/>
      <c r="H449" s="134"/>
      <c r="I449" s="134"/>
      <c r="J449" s="134"/>
      <c r="K449" s="134"/>
      <c r="L449" s="134"/>
      <c r="M449" s="134"/>
      <c r="N449" s="134"/>
      <c r="O449" s="134"/>
      <c r="P449" s="134"/>
      <c r="Q449" s="134"/>
      <c r="R449" s="134"/>
      <c r="S449" s="134"/>
      <c r="T449" s="134"/>
      <c r="U449" s="134"/>
      <c r="V449" s="134"/>
      <c r="W449" s="134"/>
      <c r="X449" s="134"/>
      <c r="Y449" s="134"/>
    </row>
    <row r="450" spans="1:25" ht="12.75">
      <c r="A450" s="147"/>
      <c r="B450" s="133"/>
      <c r="C450" s="134"/>
      <c r="D450" s="135"/>
      <c r="E450" s="134"/>
      <c r="F450" s="134"/>
      <c r="G450" s="134"/>
      <c r="H450" s="134"/>
      <c r="I450" s="134"/>
      <c r="J450" s="134"/>
      <c r="K450" s="134"/>
      <c r="L450" s="134"/>
      <c r="M450" s="134"/>
      <c r="N450" s="134"/>
      <c r="O450" s="134"/>
      <c r="P450" s="134"/>
      <c r="Q450" s="134"/>
      <c r="R450" s="134"/>
      <c r="S450" s="134"/>
      <c r="T450" s="134"/>
      <c r="U450" s="134"/>
      <c r="V450" s="134"/>
      <c r="W450" s="134"/>
      <c r="X450" s="134"/>
      <c r="Y450" s="134"/>
    </row>
    <row r="451" spans="1:25" ht="12.75">
      <c r="A451" s="147"/>
      <c r="B451" s="133"/>
      <c r="C451" s="134"/>
      <c r="D451" s="135"/>
      <c r="E451" s="134"/>
      <c r="F451" s="134"/>
      <c r="G451" s="134"/>
      <c r="H451" s="134"/>
      <c r="I451" s="134"/>
      <c r="J451" s="134"/>
      <c r="K451" s="134"/>
      <c r="L451" s="134"/>
      <c r="M451" s="134"/>
      <c r="N451" s="134"/>
      <c r="O451" s="134"/>
      <c r="P451" s="134"/>
      <c r="Q451" s="134"/>
      <c r="R451" s="134"/>
      <c r="S451" s="134"/>
      <c r="T451" s="134"/>
      <c r="U451" s="134"/>
      <c r="V451" s="134"/>
      <c r="W451" s="134"/>
      <c r="X451" s="134"/>
      <c r="Y451" s="134"/>
    </row>
    <row r="452" spans="1:25" ht="12.75">
      <c r="A452" s="147"/>
      <c r="B452" s="133"/>
      <c r="C452" s="134"/>
      <c r="D452" s="135"/>
      <c r="E452" s="134"/>
      <c r="F452" s="134"/>
      <c r="G452" s="134"/>
      <c r="H452" s="134"/>
      <c r="I452" s="134"/>
      <c r="J452" s="134"/>
      <c r="K452" s="134"/>
      <c r="L452" s="134"/>
      <c r="M452" s="134"/>
      <c r="N452" s="134"/>
      <c r="O452" s="134"/>
      <c r="P452" s="134"/>
      <c r="Q452" s="134"/>
      <c r="R452" s="134"/>
      <c r="S452" s="134"/>
      <c r="T452" s="134"/>
      <c r="U452" s="134"/>
      <c r="V452" s="134"/>
      <c r="W452" s="134"/>
      <c r="X452" s="134"/>
      <c r="Y452" s="134"/>
    </row>
    <row r="453" spans="1:25" ht="12.75">
      <c r="A453" s="147"/>
      <c r="B453" s="133"/>
      <c r="C453" s="134"/>
      <c r="D453" s="135"/>
      <c r="E453" s="134"/>
      <c r="F453" s="134"/>
      <c r="G453" s="134"/>
      <c r="H453" s="134"/>
      <c r="I453" s="134"/>
      <c r="J453" s="134"/>
      <c r="K453" s="134"/>
      <c r="L453" s="134"/>
      <c r="M453" s="134"/>
      <c r="N453" s="134"/>
      <c r="O453" s="134"/>
      <c r="P453" s="134"/>
      <c r="Q453" s="134"/>
      <c r="R453" s="134"/>
      <c r="S453" s="134"/>
      <c r="T453" s="134"/>
      <c r="U453" s="134"/>
      <c r="V453" s="134"/>
      <c r="W453" s="134"/>
      <c r="X453" s="134"/>
      <c r="Y453" s="134"/>
    </row>
    <row r="454" spans="1:25" ht="12.75">
      <c r="A454" s="147"/>
      <c r="B454" s="133"/>
      <c r="C454" s="134"/>
      <c r="D454" s="135"/>
      <c r="E454" s="134"/>
      <c r="F454" s="134"/>
      <c r="G454" s="134"/>
      <c r="H454" s="134"/>
      <c r="I454" s="134"/>
      <c r="J454" s="134"/>
      <c r="K454" s="134"/>
      <c r="L454" s="134"/>
      <c r="M454" s="134"/>
      <c r="N454" s="134"/>
      <c r="O454" s="134"/>
      <c r="P454" s="134"/>
      <c r="Q454" s="134"/>
      <c r="R454" s="134"/>
      <c r="S454" s="134"/>
      <c r="T454" s="134"/>
      <c r="U454" s="134"/>
      <c r="V454" s="134"/>
      <c r="W454" s="134"/>
      <c r="X454" s="134"/>
      <c r="Y454" s="134"/>
    </row>
    <row r="455" spans="1:25" ht="12.75">
      <c r="A455" s="147"/>
      <c r="B455" s="133"/>
      <c r="C455" s="134"/>
      <c r="D455" s="135"/>
      <c r="E455" s="134"/>
      <c r="F455" s="134"/>
      <c r="G455" s="134"/>
      <c r="H455" s="134"/>
      <c r="I455" s="134"/>
      <c r="J455" s="134"/>
      <c r="K455" s="134"/>
      <c r="L455" s="134"/>
      <c r="M455" s="134"/>
      <c r="N455" s="134"/>
      <c r="O455" s="134"/>
      <c r="P455" s="134"/>
      <c r="Q455" s="134"/>
      <c r="R455" s="134"/>
      <c r="S455" s="134"/>
      <c r="T455" s="134"/>
      <c r="U455" s="134"/>
      <c r="V455" s="134"/>
      <c r="W455" s="134"/>
      <c r="X455" s="134"/>
      <c r="Y455" s="134"/>
    </row>
    <row r="456" spans="1:25" ht="12.75">
      <c r="A456" s="147"/>
      <c r="B456" s="133"/>
      <c r="C456" s="134"/>
      <c r="D456" s="135"/>
      <c r="E456" s="134"/>
      <c r="F456" s="134"/>
      <c r="G456" s="134"/>
      <c r="H456" s="134"/>
      <c r="I456" s="134"/>
      <c r="J456" s="134"/>
      <c r="K456" s="134"/>
      <c r="L456" s="134"/>
      <c r="M456" s="134"/>
      <c r="N456" s="134"/>
      <c r="O456" s="134"/>
      <c r="P456" s="134"/>
      <c r="Q456" s="134"/>
      <c r="R456" s="134"/>
      <c r="S456" s="134"/>
      <c r="T456" s="134"/>
      <c r="U456" s="134"/>
      <c r="V456" s="134"/>
      <c r="W456" s="134"/>
      <c r="X456" s="134"/>
      <c r="Y456" s="134"/>
    </row>
    <row r="457" spans="1:25" ht="12.75">
      <c r="A457" s="147"/>
      <c r="B457" s="133"/>
      <c r="C457" s="134"/>
      <c r="D457" s="135"/>
      <c r="E457" s="134"/>
      <c r="F457" s="134"/>
      <c r="G457" s="134"/>
      <c r="H457" s="134"/>
      <c r="I457" s="134"/>
      <c r="J457" s="134"/>
      <c r="K457" s="134"/>
      <c r="L457" s="134"/>
      <c r="M457" s="134"/>
      <c r="N457" s="134"/>
      <c r="O457" s="134"/>
      <c r="P457" s="134"/>
      <c r="Q457" s="134"/>
      <c r="R457" s="134"/>
      <c r="S457" s="134"/>
      <c r="T457" s="134"/>
      <c r="U457" s="134"/>
      <c r="V457" s="134"/>
      <c r="W457" s="134"/>
      <c r="X457" s="134"/>
      <c r="Y457" s="134"/>
    </row>
    <row r="458" spans="1:25" ht="12.75">
      <c r="A458" s="147"/>
      <c r="B458" s="133"/>
      <c r="C458" s="134"/>
      <c r="D458" s="135"/>
      <c r="E458" s="134"/>
      <c r="F458" s="134"/>
      <c r="G458" s="134"/>
      <c r="H458" s="134"/>
      <c r="I458" s="134"/>
      <c r="J458" s="134"/>
      <c r="K458" s="134"/>
      <c r="L458" s="134"/>
      <c r="M458" s="134"/>
      <c r="N458" s="134"/>
      <c r="O458" s="134"/>
      <c r="P458" s="134"/>
      <c r="Q458" s="134"/>
      <c r="R458" s="134"/>
      <c r="S458" s="134"/>
      <c r="T458" s="134"/>
      <c r="U458" s="134"/>
      <c r="V458" s="134"/>
      <c r="W458" s="134"/>
      <c r="X458" s="134"/>
      <c r="Y458" s="134"/>
    </row>
    <row r="459" spans="1:25" ht="12.75">
      <c r="A459" s="147"/>
      <c r="B459" s="133"/>
      <c r="C459" s="134"/>
      <c r="D459" s="135"/>
      <c r="E459" s="134"/>
      <c r="F459" s="134"/>
      <c r="G459" s="134"/>
      <c r="H459" s="134"/>
      <c r="I459" s="134"/>
      <c r="J459" s="134"/>
      <c r="K459" s="134"/>
      <c r="L459" s="134"/>
      <c r="M459" s="134"/>
      <c r="N459" s="134"/>
      <c r="O459" s="134"/>
      <c r="P459" s="134"/>
      <c r="Q459" s="134"/>
      <c r="R459" s="134"/>
      <c r="S459" s="134"/>
      <c r="T459" s="134"/>
      <c r="U459" s="134"/>
      <c r="V459" s="134"/>
      <c r="W459" s="134"/>
      <c r="X459" s="134"/>
      <c r="Y459" s="134"/>
    </row>
    <row r="460" spans="1:25" ht="12.75">
      <c r="A460" s="147"/>
      <c r="B460" s="133"/>
      <c r="C460" s="134"/>
      <c r="D460" s="135"/>
      <c r="E460" s="134"/>
      <c r="F460" s="134"/>
      <c r="G460" s="134"/>
      <c r="H460" s="134"/>
      <c r="I460" s="134"/>
      <c r="J460" s="134"/>
      <c r="K460" s="134"/>
      <c r="L460" s="134"/>
      <c r="M460" s="134"/>
      <c r="N460" s="134"/>
      <c r="O460" s="134"/>
      <c r="P460" s="134"/>
      <c r="Q460" s="134"/>
      <c r="R460" s="134"/>
      <c r="S460" s="134"/>
      <c r="T460" s="134"/>
      <c r="U460" s="134"/>
      <c r="V460" s="134"/>
      <c r="W460" s="134"/>
      <c r="X460" s="134"/>
      <c r="Y460" s="134"/>
    </row>
    <row r="461" spans="1:25" ht="12.75">
      <c r="A461" s="147"/>
      <c r="B461" s="133"/>
      <c r="C461" s="134"/>
      <c r="D461" s="135"/>
      <c r="E461" s="134"/>
      <c r="F461" s="134"/>
      <c r="G461" s="134"/>
      <c r="H461" s="134"/>
      <c r="I461" s="134"/>
      <c r="J461" s="134"/>
      <c r="K461" s="134"/>
      <c r="L461" s="134"/>
      <c r="M461" s="134"/>
      <c r="N461" s="134"/>
      <c r="O461" s="134"/>
      <c r="P461" s="134"/>
      <c r="Q461" s="134"/>
      <c r="R461" s="134"/>
      <c r="S461" s="134"/>
      <c r="T461" s="134"/>
      <c r="U461" s="134"/>
      <c r="V461" s="134"/>
      <c r="W461" s="134"/>
      <c r="X461" s="134"/>
      <c r="Y461" s="134"/>
    </row>
    <row r="462" spans="1:25" ht="12.75">
      <c r="A462" s="147"/>
      <c r="B462" s="133"/>
      <c r="C462" s="134"/>
      <c r="D462" s="135"/>
      <c r="E462" s="134"/>
      <c r="F462" s="134"/>
      <c r="G462" s="134"/>
      <c r="H462" s="134"/>
      <c r="I462" s="134"/>
      <c r="J462" s="134"/>
      <c r="K462" s="134"/>
      <c r="L462" s="134"/>
      <c r="M462" s="134"/>
      <c r="N462" s="134"/>
      <c r="O462" s="134"/>
      <c r="P462" s="134"/>
      <c r="Q462" s="134"/>
      <c r="R462" s="134"/>
      <c r="S462" s="134"/>
      <c r="T462" s="134"/>
      <c r="U462" s="134"/>
      <c r="V462" s="134"/>
      <c r="W462" s="134"/>
      <c r="X462" s="134"/>
      <c r="Y462" s="134"/>
    </row>
    <row r="463" spans="1:25" ht="12.75">
      <c r="A463" s="147"/>
      <c r="B463" s="133"/>
      <c r="C463" s="134"/>
      <c r="D463" s="135"/>
      <c r="E463" s="134"/>
      <c r="F463" s="134"/>
      <c r="G463" s="134"/>
      <c r="H463" s="134"/>
      <c r="I463" s="134"/>
      <c r="J463" s="134"/>
      <c r="K463" s="134"/>
      <c r="L463" s="134"/>
      <c r="M463" s="134"/>
      <c r="N463" s="134"/>
      <c r="O463" s="134"/>
      <c r="P463" s="134"/>
      <c r="Q463" s="134"/>
      <c r="R463" s="134"/>
      <c r="S463" s="134"/>
      <c r="T463" s="134"/>
      <c r="U463" s="134"/>
      <c r="V463" s="134"/>
      <c r="W463" s="134"/>
      <c r="X463" s="134"/>
      <c r="Y463" s="134"/>
    </row>
    <row r="464" spans="1:25" ht="12.75">
      <c r="A464" s="147"/>
      <c r="B464" s="133"/>
      <c r="C464" s="134"/>
      <c r="D464" s="135"/>
      <c r="E464" s="134"/>
      <c r="F464" s="134"/>
      <c r="G464" s="134"/>
      <c r="H464" s="134"/>
      <c r="I464" s="134"/>
      <c r="J464" s="134"/>
      <c r="K464" s="134"/>
      <c r="L464" s="134"/>
      <c r="M464" s="134"/>
      <c r="N464" s="134"/>
      <c r="O464" s="134"/>
      <c r="P464" s="134"/>
      <c r="Q464" s="134"/>
      <c r="R464" s="134"/>
      <c r="S464" s="134"/>
      <c r="T464" s="134"/>
      <c r="U464" s="134"/>
      <c r="V464" s="134"/>
      <c r="W464" s="134"/>
      <c r="X464" s="134"/>
      <c r="Y464" s="134"/>
    </row>
    <row r="465" spans="1:25" ht="12.75">
      <c r="A465" s="147"/>
      <c r="B465" s="133"/>
      <c r="C465" s="134"/>
      <c r="D465" s="135"/>
      <c r="E465" s="134"/>
      <c r="F465" s="134"/>
      <c r="G465" s="134"/>
      <c r="H465" s="134"/>
      <c r="I465" s="134"/>
      <c r="J465" s="134"/>
      <c r="K465" s="134"/>
      <c r="L465" s="134"/>
      <c r="M465" s="134"/>
      <c r="N465" s="134"/>
      <c r="O465" s="134"/>
      <c r="P465" s="134"/>
      <c r="Q465" s="134"/>
      <c r="R465" s="134"/>
      <c r="S465" s="134"/>
      <c r="T465" s="134"/>
      <c r="U465" s="134"/>
      <c r="V465" s="134"/>
      <c r="W465" s="134"/>
      <c r="X465" s="134"/>
      <c r="Y465" s="134"/>
    </row>
    <row r="466" spans="1:25" ht="12.75">
      <c r="A466" s="147"/>
      <c r="B466" s="133"/>
      <c r="C466" s="134"/>
      <c r="D466" s="135"/>
      <c r="E466" s="134"/>
      <c r="F466" s="134"/>
      <c r="G466" s="134"/>
      <c r="H466" s="134"/>
      <c r="I466" s="134"/>
      <c r="J466" s="134"/>
      <c r="K466" s="134"/>
      <c r="L466" s="134"/>
      <c r="M466" s="134"/>
      <c r="N466" s="134"/>
      <c r="O466" s="134"/>
      <c r="P466" s="134"/>
      <c r="Q466" s="134"/>
      <c r="R466" s="134"/>
      <c r="S466" s="134"/>
      <c r="T466" s="134"/>
      <c r="U466" s="134"/>
      <c r="V466" s="134"/>
      <c r="W466" s="134"/>
      <c r="X466" s="134"/>
      <c r="Y466" s="134"/>
    </row>
    <row r="467" spans="1:25" ht="12.75">
      <c r="A467" s="147"/>
      <c r="B467" s="133"/>
      <c r="C467" s="134"/>
      <c r="D467" s="135"/>
      <c r="E467" s="134"/>
      <c r="F467" s="134"/>
      <c r="G467" s="134"/>
      <c r="H467" s="134"/>
      <c r="I467" s="134"/>
      <c r="J467" s="134"/>
      <c r="K467" s="134"/>
      <c r="L467" s="134"/>
      <c r="M467" s="134"/>
      <c r="N467" s="134"/>
      <c r="O467" s="134"/>
      <c r="P467" s="134"/>
      <c r="Q467" s="134"/>
      <c r="R467" s="134"/>
      <c r="S467" s="134"/>
      <c r="T467" s="134"/>
      <c r="U467" s="134"/>
      <c r="V467" s="134"/>
      <c r="W467" s="134"/>
      <c r="X467" s="134"/>
      <c r="Y467" s="134"/>
    </row>
    <row r="468" spans="1:25" ht="12.75">
      <c r="A468" s="147"/>
      <c r="B468" s="133"/>
      <c r="C468" s="134"/>
      <c r="D468" s="135"/>
      <c r="E468" s="134"/>
      <c r="F468" s="134"/>
      <c r="G468" s="134"/>
      <c r="H468" s="134"/>
      <c r="I468" s="134"/>
      <c r="J468" s="134"/>
      <c r="K468" s="134"/>
      <c r="L468" s="134"/>
      <c r="M468" s="134"/>
      <c r="N468" s="134"/>
      <c r="O468" s="134"/>
      <c r="P468" s="134"/>
      <c r="Q468" s="134"/>
      <c r="R468" s="134"/>
      <c r="S468" s="134"/>
      <c r="T468" s="134"/>
      <c r="U468" s="134"/>
      <c r="V468" s="134"/>
      <c r="W468" s="134"/>
      <c r="X468" s="134"/>
      <c r="Y468" s="134"/>
    </row>
    <row r="469" spans="1:25" ht="12.75">
      <c r="A469" s="147"/>
      <c r="B469" s="133"/>
      <c r="C469" s="134"/>
      <c r="D469" s="135"/>
      <c r="E469" s="134"/>
      <c r="F469" s="134"/>
      <c r="G469" s="134"/>
      <c r="H469" s="134"/>
      <c r="I469" s="134"/>
      <c r="J469" s="134"/>
      <c r="K469" s="134"/>
      <c r="L469" s="134"/>
      <c r="M469" s="134"/>
      <c r="N469" s="134"/>
      <c r="O469" s="134"/>
      <c r="P469" s="134"/>
      <c r="Q469" s="134"/>
      <c r="R469" s="134"/>
      <c r="S469" s="134"/>
      <c r="T469" s="134"/>
      <c r="U469" s="134"/>
      <c r="V469" s="134"/>
      <c r="W469" s="134"/>
      <c r="X469" s="134"/>
      <c r="Y469" s="134"/>
    </row>
    <row r="470" spans="1:25" ht="12.75">
      <c r="A470" s="147"/>
      <c r="B470" s="133"/>
      <c r="C470" s="134"/>
      <c r="D470" s="135"/>
      <c r="E470" s="134"/>
      <c r="F470" s="134"/>
      <c r="G470" s="134"/>
      <c r="H470" s="134"/>
      <c r="I470" s="134"/>
      <c r="J470" s="134"/>
      <c r="K470" s="134"/>
      <c r="L470" s="134"/>
      <c r="M470" s="134"/>
      <c r="N470" s="134"/>
      <c r="O470" s="134"/>
      <c r="P470" s="134"/>
      <c r="Q470" s="134"/>
      <c r="R470" s="134"/>
      <c r="S470" s="134"/>
      <c r="T470" s="134"/>
      <c r="U470" s="134"/>
      <c r="V470" s="134"/>
      <c r="W470" s="134"/>
      <c r="X470" s="134"/>
      <c r="Y470" s="134"/>
    </row>
    <row r="471" spans="1:25" ht="12.75">
      <c r="A471" s="147"/>
      <c r="B471" s="133"/>
      <c r="C471" s="134"/>
      <c r="D471" s="135"/>
      <c r="E471" s="134"/>
      <c r="F471" s="134"/>
      <c r="G471" s="134"/>
      <c r="H471" s="134"/>
      <c r="I471" s="134"/>
      <c r="J471" s="134"/>
      <c r="K471" s="134"/>
      <c r="L471" s="134"/>
      <c r="M471" s="134"/>
      <c r="N471" s="134"/>
      <c r="O471" s="134"/>
      <c r="P471" s="134"/>
      <c r="Q471" s="134"/>
      <c r="R471" s="134"/>
      <c r="S471" s="134"/>
      <c r="T471" s="134"/>
      <c r="U471" s="134"/>
      <c r="V471" s="134"/>
      <c r="W471" s="134"/>
      <c r="X471" s="134"/>
      <c r="Y471" s="134"/>
    </row>
    <row r="472" spans="1:25" ht="12.75">
      <c r="A472" s="147"/>
      <c r="B472" s="133"/>
      <c r="C472" s="134"/>
      <c r="D472" s="135"/>
      <c r="E472" s="134"/>
      <c r="F472" s="134"/>
      <c r="G472" s="134"/>
      <c r="H472" s="134"/>
      <c r="I472" s="134"/>
      <c r="J472" s="134"/>
      <c r="K472" s="134"/>
      <c r="L472" s="134"/>
      <c r="M472" s="134"/>
      <c r="N472" s="134"/>
      <c r="O472" s="134"/>
      <c r="P472" s="134"/>
      <c r="Q472" s="134"/>
      <c r="R472" s="134"/>
      <c r="S472" s="134"/>
      <c r="T472" s="134"/>
      <c r="U472" s="134"/>
      <c r="V472" s="134"/>
      <c r="W472" s="134"/>
      <c r="X472" s="134"/>
      <c r="Y472" s="134"/>
    </row>
    <row r="473" spans="1:25" ht="12.75">
      <c r="A473" s="147"/>
      <c r="B473" s="133"/>
      <c r="C473" s="134"/>
      <c r="D473" s="135"/>
      <c r="E473" s="134"/>
      <c r="F473" s="134"/>
      <c r="G473" s="134"/>
      <c r="H473" s="134"/>
      <c r="I473" s="134"/>
      <c r="J473" s="134"/>
      <c r="K473" s="134"/>
      <c r="L473" s="134"/>
      <c r="M473" s="134"/>
      <c r="N473" s="134"/>
      <c r="O473" s="134"/>
      <c r="P473" s="134"/>
      <c r="Q473" s="134"/>
      <c r="R473" s="134"/>
      <c r="S473" s="134"/>
      <c r="T473" s="134"/>
      <c r="U473" s="134"/>
      <c r="V473" s="134"/>
      <c r="W473" s="134"/>
      <c r="X473" s="134"/>
      <c r="Y473" s="134"/>
    </row>
    <row r="474" spans="1:25" ht="12.75">
      <c r="A474" s="147"/>
      <c r="B474" s="133"/>
      <c r="C474" s="134"/>
      <c r="D474" s="135"/>
      <c r="E474" s="134"/>
      <c r="F474" s="134"/>
      <c r="G474" s="134"/>
      <c r="H474" s="134"/>
      <c r="I474" s="134"/>
      <c r="J474" s="134"/>
      <c r="K474" s="134"/>
      <c r="L474" s="134"/>
      <c r="M474" s="134"/>
      <c r="N474" s="134"/>
      <c r="O474" s="134"/>
      <c r="P474" s="134"/>
      <c r="Q474" s="134"/>
      <c r="R474" s="134"/>
      <c r="S474" s="134"/>
      <c r="T474" s="134"/>
      <c r="U474" s="134"/>
      <c r="V474" s="134"/>
      <c r="W474" s="134"/>
      <c r="X474" s="134"/>
      <c r="Y474" s="134"/>
    </row>
    <row r="475" spans="1:25" ht="12.75">
      <c r="A475" s="147"/>
      <c r="B475" s="133"/>
      <c r="C475" s="134"/>
      <c r="D475" s="135"/>
      <c r="E475" s="134"/>
      <c r="F475" s="134"/>
      <c r="G475" s="134"/>
      <c r="H475" s="134"/>
      <c r="I475" s="134"/>
      <c r="J475" s="134"/>
      <c r="K475" s="134"/>
      <c r="L475" s="134"/>
      <c r="M475" s="134"/>
      <c r="N475" s="134"/>
      <c r="O475" s="134"/>
      <c r="P475" s="134"/>
      <c r="Q475" s="134"/>
      <c r="R475" s="134"/>
      <c r="S475" s="134"/>
      <c r="T475" s="134"/>
      <c r="U475" s="134"/>
      <c r="V475" s="134"/>
      <c r="W475" s="134"/>
      <c r="X475" s="134"/>
      <c r="Y475" s="134"/>
    </row>
    <row r="476" spans="1:25" ht="12.75">
      <c r="A476" s="147"/>
      <c r="B476" s="133"/>
      <c r="C476" s="134"/>
      <c r="D476" s="135"/>
      <c r="E476" s="134"/>
      <c r="F476" s="134"/>
      <c r="G476" s="134"/>
      <c r="H476" s="134"/>
      <c r="I476" s="134"/>
      <c r="J476" s="134"/>
      <c r="K476" s="134"/>
      <c r="L476" s="134"/>
      <c r="M476" s="134"/>
      <c r="N476" s="134"/>
      <c r="O476" s="134"/>
      <c r="P476" s="134"/>
      <c r="Q476" s="134"/>
      <c r="R476" s="134"/>
      <c r="S476" s="134"/>
      <c r="T476" s="134"/>
      <c r="U476" s="134"/>
      <c r="V476" s="134"/>
      <c r="W476" s="134"/>
      <c r="X476" s="134"/>
      <c r="Y476" s="134"/>
    </row>
    <row r="477" spans="1:25" ht="12.75">
      <c r="A477" s="147"/>
      <c r="B477" s="133"/>
      <c r="C477" s="134"/>
      <c r="D477" s="135"/>
      <c r="E477" s="134"/>
      <c r="F477" s="134"/>
      <c r="G477" s="134"/>
      <c r="H477" s="134"/>
      <c r="I477" s="134"/>
      <c r="J477" s="134"/>
      <c r="K477" s="134"/>
      <c r="L477" s="134"/>
      <c r="M477" s="134"/>
      <c r="N477" s="134"/>
      <c r="O477" s="134"/>
      <c r="P477" s="134"/>
      <c r="Q477" s="134"/>
      <c r="R477" s="134"/>
      <c r="S477" s="134"/>
      <c r="T477" s="134"/>
      <c r="U477" s="134"/>
      <c r="V477" s="134"/>
      <c r="W477" s="134"/>
      <c r="X477" s="134"/>
      <c r="Y477" s="134"/>
    </row>
    <row r="478" spans="1:25" ht="12.75">
      <c r="A478" s="147"/>
      <c r="B478" s="133"/>
      <c r="C478" s="134"/>
      <c r="D478" s="135"/>
      <c r="E478" s="134"/>
      <c r="F478" s="134"/>
      <c r="G478" s="134"/>
      <c r="H478" s="134"/>
      <c r="I478" s="134"/>
      <c r="J478" s="134"/>
      <c r="K478" s="134"/>
      <c r="L478" s="134"/>
      <c r="M478" s="134"/>
      <c r="N478" s="134"/>
      <c r="O478" s="134"/>
      <c r="P478" s="134"/>
      <c r="Q478" s="134"/>
      <c r="R478" s="134"/>
      <c r="S478" s="134"/>
      <c r="T478" s="134"/>
      <c r="U478" s="134"/>
      <c r="V478" s="134"/>
      <c r="W478" s="134"/>
      <c r="X478" s="134"/>
      <c r="Y478" s="134"/>
    </row>
    <row r="479" spans="1:25" ht="12.75">
      <c r="A479" s="147"/>
      <c r="B479" s="133"/>
      <c r="C479" s="134"/>
      <c r="D479" s="135"/>
      <c r="E479" s="134"/>
      <c r="F479" s="134"/>
      <c r="G479" s="134"/>
      <c r="H479" s="134"/>
      <c r="I479" s="134"/>
      <c r="J479" s="134"/>
      <c r="K479" s="134"/>
      <c r="L479" s="134"/>
      <c r="M479" s="134"/>
      <c r="N479" s="134"/>
      <c r="O479" s="134"/>
      <c r="P479" s="134"/>
      <c r="Q479" s="134"/>
      <c r="R479" s="134"/>
      <c r="S479" s="134"/>
      <c r="T479" s="134"/>
      <c r="U479" s="134"/>
      <c r="V479" s="134"/>
      <c r="W479" s="134"/>
      <c r="X479" s="134"/>
      <c r="Y479" s="134"/>
    </row>
    <row r="480" spans="1:25" ht="12.75">
      <c r="A480" s="147"/>
      <c r="B480" s="133"/>
      <c r="C480" s="134"/>
      <c r="D480" s="135"/>
      <c r="E480" s="134"/>
      <c r="F480" s="134"/>
      <c r="G480" s="134"/>
      <c r="H480" s="134"/>
      <c r="I480" s="134"/>
      <c r="J480" s="134"/>
      <c r="K480" s="134"/>
      <c r="L480" s="134"/>
      <c r="M480" s="134"/>
      <c r="N480" s="134"/>
      <c r="O480" s="134"/>
      <c r="P480" s="134"/>
      <c r="Q480" s="134"/>
      <c r="R480" s="134"/>
      <c r="S480" s="134"/>
      <c r="T480" s="134"/>
      <c r="U480" s="134"/>
      <c r="V480" s="134"/>
      <c r="W480" s="134"/>
      <c r="X480" s="134"/>
      <c r="Y480" s="134"/>
    </row>
    <row r="481" spans="1:25" ht="12.75">
      <c r="A481" s="147"/>
      <c r="B481" s="133"/>
      <c r="C481" s="134"/>
      <c r="D481" s="135"/>
      <c r="E481" s="134"/>
      <c r="F481" s="134"/>
      <c r="G481" s="134"/>
      <c r="H481" s="134"/>
      <c r="I481" s="134"/>
      <c r="J481" s="134"/>
      <c r="K481" s="134"/>
      <c r="L481" s="134"/>
      <c r="M481" s="134"/>
      <c r="N481" s="134"/>
      <c r="O481" s="134"/>
      <c r="P481" s="134"/>
      <c r="Q481" s="134"/>
      <c r="R481" s="134"/>
      <c r="S481" s="134"/>
      <c r="T481" s="134"/>
      <c r="U481" s="134"/>
      <c r="V481" s="134"/>
      <c r="W481" s="134"/>
      <c r="X481" s="134"/>
      <c r="Y481" s="134"/>
    </row>
    <row r="482" spans="1:25" ht="12.75">
      <c r="A482" s="147"/>
      <c r="B482" s="133"/>
      <c r="C482" s="134"/>
      <c r="D482" s="135"/>
      <c r="E482" s="134"/>
      <c r="F482" s="134"/>
      <c r="G482" s="134"/>
      <c r="H482" s="134"/>
      <c r="I482" s="134"/>
      <c r="J482" s="134"/>
      <c r="K482" s="134"/>
      <c r="L482" s="134"/>
      <c r="M482" s="134"/>
      <c r="N482" s="134"/>
      <c r="O482" s="134"/>
      <c r="P482" s="134"/>
      <c r="Q482" s="134"/>
      <c r="R482" s="134"/>
      <c r="S482" s="134"/>
      <c r="T482" s="134"/>
      <c r="U482" s="134"/>
      <c r="V482" s="134"/>
      <c r="W482" s="134"/>
      <c r="X482" s="134"/>
      <c r="Y482" s="134"/>
    </row>
    <row r="483" spans="1:25" ht="12.75">
      <c r="A483" s="147"/>
      <c r="B483" s="133"/>
      <c r="C483" s="134"/>
      <c r="D483" s="135"/>
      <c r="E483" s="134"/>
      <c r="F483" s="134"/>
      <c r="G483" s="134"/>
      <c r="H483" s="134"/>
      <c r="I483" s="134"/>
      <c r="J483" s="134"/>
      <c r="K483" s="134"/>
      <c r="L483" s="134"/>
      <c r="M483" s="134"/>
      <c r="N483" s="134"/>
      <c r="O483" s="134"/>
      <c r="P483" s="134"/>
      <c r="Q483" s="134"/>
      <c r="R483" s="134"/>
      <c r="S483" s="134"/>
      <c r="T483" s="134"/>
      <c r="U483" s="134"/>
      <c r="V483" s="134"/>
      <c r="W483" s="134"/>
      <c r="X483" s="134"/>
      <c r="Y483" s="134"/>
    </row>
    <row r="484" spans="1:25" ht="12.75">
      <c r="A484" s="147"/>
      <c r="B484" s="133"/>
      <c r="C484" s="134"/>
      <c r="D484" s="135"/>
      <c r="E484" s="134"/>
      <c r="F484" s="134"/>
      <c r="G484" s="134"/>
      <c r="H484" s="134"/>
      <c r="I484" s="134"/>
      <c r="J484" s="134"/>
      <c r="K484" s="134"/>
      <c r="L484" s="134"/>
      <c r="M484" s="134"/>
      <c r="N484" s="134"/>
      <c r="O484" s="134"/>
      <c r="P484" s="134"/>
      <c r="Q484" s="134"/>
      <c r="R484" s="134"/>
      <c r="S484" s="134"/>
      <c r="T484" s="134"/>
      <c r="U484" s="134"/>
      <c r="V484" s="134"/>
      <c r="W484" s="134"/>
      <c r="X484" s="134"/>
      <c r="Y484" s="134"/>
    </row>
    <row r="485" spans="1:25" ht="12.75">
      <c r="A485" s="147"/>
      <c r="B485" s="133"/>
      <c r="C485" s="134"/>
      <c r="D485" s="135"/>
      <c r="E485" s="134"/>
      <c r="F485" s="134"/>
      <c r="G485" s="134"/>
      <c r="H485" s="134"/>
      <c r="I485" s="134"/>
      <c r="J485" s="134"/>
      <c r="K485" s="134"/>
      <c r="L485" s="134"/>
      <c r="M485" s="134"/>
      <c r="N485" s="134"/>
      <c r="O485" s="134"/>
      <c r="P485" s="134"/>
      <c r="Q485" s="134"/>
      <c r="R485" s="134"/>
      <c r="S485" s="134"/>
      <c r="T485" s="134"/>
      <c r="U485" s="134"/>
      <c r="V485" s="134"/>
      <c r="W485" s="134"/>
      <c r="X485" s="134"/>
      <c r="Y485" s="134"/>
    </row>
    <row r="486" spans="1:25" ht="12.75">
      <c r="A486" s="147"/>
      <c r="B486" s="133"/>
      <c r="C486" s="134"/>
      <c r="D486" s="135"/>
      <c r="E486" s="134"/>
      <c r="F486" s="134"/>
      <c r="G486" s="134"/>
      <c r="H486" s="134"/>
      <c r="I486" s="134"/>
      <c r="J486" s="134"/>
      <c r="K486" s="134"/>
      <c r="L486" s="134"/>
      <c r="M486" s="134"/>
      <c r="N486" s="134"/>
      <c r="O486" s="134"/>
      <c r="P486" s="134"/>
      <c r="Q486" s="134"/>
      <c r="R486" s="134"/>
      <c r="S486" s="134"/>
      <c r="T486" s="134"/>
      <c r="U486" s="134"/>
      <c r="V486" s="134"/>
      <c r="W486" s="134"/>
      <c r="X486" s="134"/>
      <c r="Y486" s="134"/>
    </row>
    <row r="487" spans="1:25" ht="12.75">
      <c r="A487" s="147"/>
      <c r="B487" s="133"/>
      <c r="C487" s="134"/>
      <c r="D487" s="135"/>
      <c r="E487" s="134"/>
      <c r="F487" s="134"/>
      <c r="G487" s="134"/>
      <c r="H487" s="134"/>
      <c r="I487" s="134"/>
      <c r="J487" s="134"/>
      <c r="K487" s="134"/>
      <c r="L487" s="134"/>
      <c r="M487" s="134"/>
      <c r="N487" s="134"/>
      <c r="O487" s="134"/>
      <c r="P487" s="134"/>
      <c r="Q487" s="134"/>
      <c r="R487" s="134"/>
      <c r="S487" s="134"/>
      <c r="T487" s="134"/>
      <c r="U487" s="134"/>
      <c r="V487" s="134"/>
      <c r="W487" s="134"/>
      <c r="X487" s="134"/>
      <c r="Y487" s="134"/>
    </row>
    <row r="488" spans="1:25" ht="12.75">
      <c r="A488" s="147"/>
      <c r="B488" s="133"/>
      <c r="C488" s="134"/>
      <c r="D488" s="135"/>
      <c r="E488" s="134"/>
      <c r="F488" s="134"/>
      <c r="G488" s="134"/>
      <c r="H488" s="134"/>
      <c r="I488" s="134"/>
      <c r="J488" s="134"/>
      <c r="K488" s="134"/>
      <c r="L488" s="134"/>
      <c r="M488" s="134"/>
      <c r="N488" s="134"/>
      <c r="O488" s="134"/>
      <c r="P488" s="134"/>
      <c r="Q488" s="134"/>
      <c r="R488" s="134"/>
      <c r="S488" s="134"/>
      <c r="T488" s="134"/>
      <c r="U488" s="134"/>
      <c r="V488" s="134"/>
      <c r="W488" s="134"/>
      <c r="X488" s="134"/>
      <c r="Y488" s="134"/>
    </row>
    <row r="489" spans="1:25" ht="12.75">
      <c r="A489" s="147"/>
      <c r="B489" s="133"/>
      <c r="C489" s="134"/>
      <c r="D489" s="135"/>
      <c r="E489" s="134"/>
      <c r="F489" s="134"/>
      <c r="G489" s="134"/>
      <c r="H489" s="134"/>
      <c r="I489" s="134"/>
      <c r="J489" s="134"/>
      <c r="K489" s="134"/>
      <c r="L489" s="134"/>
      <c r="M489" s="134"/>
      <c r="N489" s="134"/>
      <c r="O489" s="134"/>
      <c r="P489" s="134"/>
      <c r="Q489" s="134"/>
      <c r="R489" s="134"/>
      <c r="S489" s="134"/>
      <c r="T489" s="134"/>
      <c r="U489" s="134"/>
      <c r="V489" s="134"/>
      <c r="W489" s="134"/>
      <c r="X489" s="134"/>
      <c r="Y489" s="134"/>
    </row>
    <row r="490" spans="1:25" ht="12.75">
      <c r="A490" s="147"/>
      <c r="B490" s="133"/>
      <c r="C490" s="134"/>
      <c r="D490" s="135"/>
      <c r="E490" s="134"/>
      <c r="F490" s="134"/>
      <c r="G490" s="134"/>
      <c r="H490" s="134"/>
      <c r="I490" s="134"/>
      <c r="J490" s="134"/>
      <c r="K490" s="134"/>
      <c r="L490" s="134"/>
      <c r="M490" s="134"/>
      <c r="N490" s="134"/>
      <c r="O490" s="134"/>
      <c r="P490" s="134"/>
      <c r="Q490" s="134"/>
      <c r="R490" s="134"/>
      <c r="S490" s="134"/>
      <c r="T490" s="134"/>
      <c r="U490" s="134"/>
      <c r="V490" s="134"/>
      <c r="W490" s="134"/>
      <c r="X490" s="134"/>
      <c r="Y490" s="134"/>
    </row>
    <row r="491" spans="1:25" ht="12.75">
      <c r="A491" s="147"/>
      <c r="B491" s="133"/>
      <c r="C491" s="134"/>
      <c r="D491" s="135"/>
      <c r="E491" s="134"/>
      <c r="F491" s="134"/>
      <c r="G491" s="134"/>
      <c r="H491" s="134"/>
      <c r="I491" s="134"/>
      <c r="J491" s="134"/>
      <c r="K491" s="134"/>
      <c r="L491" s="134"/>
      <c r="M491" s="134"/>
      <c r="N491" s="134"/>
      <c r="O491" s="134"/>
      <c r="P491" s="134"/>
      <c r="Q491" s="134"/>
      <c r="R491" s="134"/>
      <c r="S491" s="134"/>
      <c r="T491" s="134"/>
      <c r="U491" s="134"/>
      <c r="V491" s="134"/>
      <c r="W491" s="134"/>
      <c r="X491" s="134"/>
      <c r="Y491" s="134"/>
    </row>
    <row r="492" spans="1:25" ht="12.75">
      <c r="A492" s="147"/>
      <c r="B492" s="133"/>
      <c r="C492" s="134"/>
      <c r="D492" s="135"/>
      <c r="E492" s="134"/>
      <c r="F492" s="134"/>
      <c r="G492" s="134"/>
      <c r="H492" s="134"/>
      <c r="I492" s="134"/>
      <c r="J492" s="134"/>
      <c r="K492" s="134"/>
      <c r="L492" s="134"/>
      <c r="M492" s="134"/>
      <c r="N492" s="134"/>
      <c r="O492" s="134"/>
      <c r="P492" s="134"/>
      <c r="Q492" s="134"/>
      <c r="R492" s="134"/>
      <c r="S492" s="134"/>
      <c r="T492" s="134"/>
      <c r="U492" s="134"/>
      <c r="V492" s="134"/>
      <c r="W492" s="134"/>
      <c r="X492" s="134"/>
      <c r="Y492" s="134"/>
    </row>
    <row r="493" spans="1:25" ht="12.75">
      <c r="A493" s="147"/>
      <c r="B493" s="133"/>
      <c r="C493" s="134"/>
      <c r="D493" s="135"/>
      <c r="E493" s="134"/>
      <c r="F493" s="134"/>
      <c r="G493" s="134"/>
      <c r="H493" s="134"/>
      <c r="I493" s="134"/>
      <c r="J493" s="134"/>
      <c r="K493" s="134"/>
      <c r="L493" s="134"/>
      <c r="M493" s="134"/>
      <c r="N493" s="134"/>
      <c r="O493" s="134"/>
      <c r="P493" s="134"/>
      <c r="Q493" s="134"/>
      <c r="R493" s="134"/>
      <c r="S493" s="134"/>
      <c r="T493" s="134"/>
      <c r="U493" s="134"/>
      <c r="V493" s="134"/>
      <c r="W493" s="134"/>
      <c r="X493" s="134"/>
      <c r="Y493" s="134"/>
    </row>
    <row r="494" spans="1:25" ht="12.75">
      <c r="A494" s="147"/>
      <c r="B494" s="133"/>
      <c r="C494" s="134"/>
      <c r="D494" s="135"/>
      <c r="E494" s="134"/>
      <c r="F494" s="134"/>
      <c r="G494" s="134"/>
      <c r="H494" s="134"/>
      <c r="I494" s="134"/>
      <c r="J494" s="134"/>
      <c r="K494" s="134"/>
      <c r="L494" s="134"/>
      <c r="M494" s="134"/>
      <c r="N494" s="134"/>
      <c r="O494" s="134"/>
      <c r="P494" s="134"/>
      <c r="Q494" s="134"/>
      <c r="R494" s="134"/>
      <c r="S494" s="134"/>
      <c r="T494" s="134"/>
      <c r="U494" s="134"/>
      <c r="V494" s="134"/>
      <c r="W494" s="134"/>
      <c r="X494" s="134"/>
      <c r="Y494" s="134"/>
    </row>
    <row r="495" spans="1:25" ht="12.75">
      <c r="A495" s="147"/>
      <c r="B495" s="133"/>
      <c r="C495" s="134"/>
      <c r="D495" s="135"/>
      <c r="E495" s="134"/>
      <c r="F495" s="134"/>
      <c r="G495" s="134"/>
      <c r="H495" s="134"/>
      <c r="I495" s="134"/>
      <c r="J495" s="134"/>
      <c r="K495" s="134"/>
      <c r="L495" s="134"/>
      <c r="M495" s="134"/>
      <c r="N495" s="134"/>
      <c r="O495" s="134"/>
      <c r="P495" s="134"/>
      <c r="Q495" s="134"/>
      <c r="R495" s="134"/>
      <c r="S495" s="134"/>
      <c r="T495" s="134"/>
      <c r="U495" s="134"/>
      <c r="V495" s="134"/>
      <c r="W495" s="134"/>
      <c r="X495" s="134"/>
      <c r="Y495" s="134"/>
    </row>
    <row r="496" spans="1:25" ht="12.75">
      <c r="A496" s="147"/>
      <c r="B496" s="133"/>
      <c r="C496" s="134"/>
      <c r="D496" s="135"/>
      <c r="E496" s="134"/>
      <c r="F496" s="134"/>
      <c r="G496" s="134"/>
      <c r="H496" s="134"/>
      <c r="I496" s="134"/>
      <c r="J496" s="134"/>
      <c r="K496" s="134"/>
      <c r="L496" s="134"/>
      <c r="M496" s="134"/>
      <c r="N496" s="134"/>
      <c r="O496" s="134"/>
      <c r="P496" s="134"/>
      <c r="Q496" s="134"/>
      <c r="R496" s="134"/>
      <c r="S496" s="134"/>
      <c r="T496" s="134"/>
      <c r="U496" s="134"/>
      <c r="V496" s="134"/>
      <c r="W496" s="134"/>
      <c r="X496" s="134"/>
      <c r="Y496" s="134"/>
    </row>
    <row r="497" spans="1:25" ht="12.75">
      <c r="A497" s="147"/>
      <c r="B497" s="133"/>
      <c r="C497" s="134"/>
      <c r="D497" s="135"/>
      <c r="E497" s="134"/>
      <c r="F497" s="134"/>
      <c r="G497" s="134"/>
      <c r="H497" s="134"/>
      <c r="I497" s="134"/>
      <c r="J497" s="134"/>
      <c r="K497" s="134"/>
      <c r="L497" s="134"/>
      <c r="M497" s="134"/>
      <c r="N497" s="134"/>
      <c r="O497" s="134"/>
      <c r="P497" s="134"/>
      <c r="Q497" s="134"/>
      <c r="R497" s="134"/>
      <c r="S497" s="134"/>
      <c r="T497" s="134"/>
      <c r="U497" s="134"/>
      <c r="V497" s="134"/>
      <c r="W497" s="134"/>
      <c r="X497" s="134"/>
      <c r="Y497" s="134"/>
    </row>
    <row r="498" spans="1:25" ht="12.75">
      <c r="A498" s="147"/>
      <c r="B498" s="133"/>
      <c r="C498" s="134"/>
      <c r="D498" s="135"/>
      <c r="E498" s="134"/>
      <c r="F498" s="134"/>
      <c r="G498" s="134"/>
      <c r="H498" s="134"/>
      <c r="I498" s="134"/>
      <c r="J498" s="134"/>
      <c r="K498" s="134"/>
      <c r="L498" s="134"/>
      <c r="M498" s="134"/>
      <c r="N498" s="134"/>
      <c r="O498" s="134"/>
      <c r="P498" s="134"/>
      <c r="Q498" s="134"/>
      <c r="R498" s="134"/>
      <c r="S498" s="134"/>
      <c r="T498" s="134"/>
      <c r="U498" s="134"/>
      <c r="V498" s="134"/>
      <c r="W498" s="134"/>
      <c r="X498" s="134"/>
      <c r="Y498" s="134"/>
    </row>
    <row r="499" spans="1:25" ht="12.75">
      <c r="A499" s="147"/>
      <c r="B499" s="133"/>
      <c r="C499" s="134"/>
      <c r="D499" s="135"/>
      <c r="E499" s="134"/>
      <c r="F499" s="134"/>
      <c r="G499" s="134"/>
      <c r="H499" s="134"/>
      <c r="I499" s="134"/>
      <c r="J499" s="134"/>
      <c r="K499" s="134"/>
      <c r="L499" s="134"/>
      <c r="M499" s="134"/>
      <c r="N499" s="134"/>
      <c r="O499" s="134"/>
      <c r="P499" s="134"/>
      <c r="Q499" s="134"/>
      <c r="R499" s="134"/>
      <c r="S499" s="134"/>
      <c r="T499" s="134"/>
      <c r="U499" s="134"/>
      <c r="V499" s="134"/>
      <c r="W499" s="134"/>
      <c r="X499" s="134"/>
      <c r="Y499" s="134"/>
    </row>
    <row r="500" spans="1:25" ht="12.75">
      <c r="A500" s="147"/>
      <c r="B500" s="133"/>
      <c r="C500" s="134"/>
      <c r="D500" s="135"/>
      <c r="E500" s="134"/>
      <c r="F500" s="134"/>
      <c r="G500" s="134"/>
      <c r="H500" s="134"/>
      <c r="I500" s="134"/>
      <c r="J500" s="134"/>
      <c r="K500" s="134"/>
      <c r="L500" s="134"/>
      <c r="M500" s="134"/>
      <c r="N500" s="134"/>
      <c r="O500" s="134"/>
      <c r="P500" s="134"/>
      <c r="Q500" s="134"/>
      <c r="R500" s="134"/>
      <c r="S500" s="134"/>
      <c r="T500" s="134"/>
      <c r="U500" s="134"/>
      <c r="V500" s="134"/>
      <c r="W500" s="134"/>
      <c r="X500" s="134"/>
      <c r="Y500" s="134"/>
    </row>
    <row r="501" spans="1:25" ht="12.75">
      <c r="A501" s="147"/>
      <c r="B501" s="133"/>
      <c r="C501" s="134"/>
      <c r="D501" s="135"/>
      <c r="E501" s="134"/>
      <c r="F501" s="134"/>
      <c r="G501" s="134"/>
      <c r="H501" s="134"/>
      <c r="I501" s="134"/>
      <c r="J501" s="134"/>
      <c r="K501" s="134"/>
      <c r="L501" s="134"/>
      <c r="M501" s="134"/>
      <c r="N501" s="134"/>
      <c r="O501" s="134"/>
      <c r="P501" s="134"/>
      <c r="Q501" s="134"/>
      <c r="R501" s="134"/>
      <c r="S501" s="134"/>
      <c r="T501" s="134"/>
      <c r="U501" s="134"/>
      <c r="V501" s="134"/>
      <c r="W501" s="134"/>
      <c r="X501" s="134"/>
      <c r="Y501" s="134"/>
    </row>
    <row r="502" spans="1:25" ht="12.75">
      <c r="A502" s="147"/>
      <c r="B502" s="133"/>
      <c r="C502" s="134"/>
      <c r="D502" s="135"/>
      <c r="E502" s="134"/>
      <c r="F502" s="134"/>
      <c r="G502" s="134"/>
      <c r="H502" s="134"/>
      <c r="I502" s="134"/>
      <c r="J502" s="134"/>
      <c r="K502" s="134"/>
      <c r="L502" s="134"/>
      <c r="M502" s="134"/>
      <c r="N502" s="134"/>
      <c r="O502" s="134"/>
      <c r="P502" s="134"/>
      <c r="Q502" s="134"/>
      <c r="R502" s="134"/>
      <c r="S502" s="134"/>
      <c r="T502" s="134"/>
      <c r="U502" s="134"/>
      <c r="V502" s="134"/>
      <c r="W502" s="134"/>
      <c r="X502" s="134"/>
      <c r="Y502" s="134"/>
    </row>
    <row r="503" spans="1:25" ht="12.75">
      <c r="A503" s="147"/>
      <c r="B503" s="133"/>
      <c r="C503" s="134"/>
      <c r="D503" s="135"/>
      <c r="E503" s="134"/>
      <c r="F503" s="134"/>
      <c r="G503" s="134"/>
      <c r="H503" s="134"/>
      <c r="I503" s="134"/>
      <c r="J503" s="134"/>
      <c r="K503" s="134"/>
      <c r="L503" s="134"/>
      <c r="M503" s="134"/>
      <c r="N503" s="134"/>
      <c r="O503" s="134"/>
      <c r="P503" s="134"/>
      <c r="Q503" s="134"/>
      <c r="R503" s="134"/>
      <c r="S503" s="134"/>
      <c r="T503" s="134"/>
      <c r="U503" s="134"/>
      <c r="V503" s="134"/>
      <c r="W503" s="134"/>
      <c r="X503" s="134"/>
      <c r="Y503" s="134"/>
    </row>
    <row r="504" spans="1:25" ht="12.75">
      <c r="A504" s="147"/>
      <c r="B504" s="133"/>
      <c r="C504" s="134"/>
      <c r="D504" s="135"/>
      <c r="E504" s="134"/>
      <c r="F504" s="134"/>
      <c r="G504" s="134"/>
      <c r="H504" s="134"/>
      <c r="I504" s="134"/>
      <c r="J504" s="134"/>
      <c r="K504" s="134"/>
      <c r="L504" s="134"/>
      <c r="M504" s="134"/>
      <c r="N504" s="134"/>
      <c r="O504" s="134"/>
      <c r="P504" s="134"/>
      <c r="Q504" s="134"/>
      <c r="R504" s="134"/>
      <c r="S504" s="134"/>
      <c r="T504" s="134"/>
      <c r="U504" s="134"/>
      <c r="V504" s="134"/>
      <c r="W504" s="134"/>
      <c r="X504" s="134"/>
      <c r="Y504" s="134"/>
    </row>
    <row r="505" spans="1:25" ht="12.75">
      <c r="A505" s="147"/>
      <c r="B505" s="133"/>
      <c r="C505" s="134"/>
      <c r="D505" s="135"/>
      <c r="E505" s="134"/>
      <c r="F505" s="134"/>
      <c r="G505" s="134"/>
      <c r="H505" s="134"/>
      <c r="I505" s="134"/>
      <c r="J505" s="134"/>
      <c r="K505" s="134"/>
      <c r="L505" s="134"/>
      <c r="M505" s="134"/>
      <c r="N505" s="134"/>
      <c r="O505" s="134"/>
      <c r="P505" s="134"/>
      <c r="Q505" s="134"/>
      <c r="R505" s="134"/>
      <c r="S505" s="134"/>
      <c r="T505" s="134"/>
      <c r="U505" s="134"/>
      <c r="V505" s="134"/>
      <c r="W505" s="134"/>
      <c r="X505" s="134"/>
      <c r="Y505" s="134"/>
    </row>
    <row r="506" spans="1:25" ht="12.75">
      <c r="A506" s="147"/>
      <c r="B506" s="133"/>
      <c r="C506" s="134"/>
      <c r="D506" s="135"/>
      <c r="E506" s="134"/>
      <c r="F506" s="134"/>
      <c r="G506" s="134"/>
      <c r="H506" s="134"/>
      <c r="I506" s="134"/>
      <c r="J506" s="134"/>
      <c r="K506" s="134"/>
      <c r="L506" s="134"/>
      <c r="M506" s="134"/>
      <c r="N506" s="134"/>
      <c r="O506" s="134"/>
      <c r="P506" s="134"/>
      <c r="Q506" s="134"/>
      <c r="R506" s="134"/>
      <c r="S506" s="134"/>
      <c r="T506" s="134"/>
      <c r="U506" s="134"/>
      <c r="V506" s="134"/>
      <c r="W506" s="134"/>
      <c r="X506" s="134"/>
      <c r="Y506" s="134"/>
    </row>
    <row r="507" spans="1:25" ht="12.75">
      <c r="A507" s="147"/>
      <c r="B507" s="133"/>
      <c r="C507" s="134"/>
      <c r="D507" s="135"/>
      <c r="E507" s="134"/>
      <c r="F507" s="134"/>
      <c r="G507" s="134"/>
      <c r="H507" s="134"/>
      <c r="I507" s="134"/>
      <c r="J507" s="134"/>
      <c r="K507" s="134"/>
      <c r="L507" s="134"/>
      <c r="M507" s="134"/>
      <c r="N507" s="134"/>
      <c r="O507" s="134"/>
      <c r="P507" s="134"/>
      <c r="Q507" s="134"/>
      <c r="R507" s="134"/>
      <c r="S507" s="134"/>
      <c r="T507" s="134"/>
      <c r="U507" s="134"/>
      <c r="V507" s="134"/>
      <c r="W507" s="134"/>
      <c r="X507" s="134"/>
      <c r="Y507" s="134"/>
    </row>
    <row r="508" spans="1:25" ht="12.75">
      <c r="A508" s="147"/>
      <c r="B508" s="133"/>
      <c r="C508" s="134"/>
      <c r="D508" s="135"/>
      <c r="E508" s="134"/>
      <c r="F508" s="134"/>
      <c r="G508" s="134"/>
      <c r="H508" s="134"/>
      <c r="I508" s="134"/>
      <c r="J508" s="134"/>
      <c r="K508" s="134"/>
      <c r="L508" s="134"/>
      <c r="M508" s="134"/>
      <c r="N508" s="134"/>
      <c r="O508" s="134"/>
      <c r="P508" s="134"/>
      <c r="Q508" s="134"/>
      <c r="R508" s="134"/>
      <c r="S508" s="134"/>
      <c r="T508" s="134"/>
      <c r="U508" s="134"/>
      <c r="V508" s="134"/>
      <c r="W508" s="134"/>
      <c r="X508" s="134"/>
      <c r="Y508" s="134"/>
    </row>
    <row r="509" spans="1:25" ht="12.75">
      <c r="A509" s="147"/>
      <c r="B509" s="133"/>
      <c r="C509" s="134"/>
      <c r="D509" s="135"/>
      <c r="E509" s="134"/>
      <c r="F509" s="134"/>
      <c r="G509" s="134"/>
      <c r="H509" s="134"/>
      <c r="I509" s="134"/>
      <c r="J509" s="134"/>
      <c r="K509" s="134"/>
      <c r="L509" s="134"/>
      <c r="M509" s="134"/>
      <c r="N509" s="134"/>
      <c r="O509" s="134"/>
      <c r="P509" s="134"/>
      <c r="Q509" s="134"/>
      <c r="R509" s="134"/>
      <c r="S509" s="134"/>
      <c r="T509" s="134"/>
      <c r="U509" s="134"/>
      <c r="V509" s="134"/>
      <c r="W509" s="134"/>
      <c r="X509" s="134"/>
      <c r="Y509" s="134"/>
    </row>
    <row r="510" spans="1:25" ht="12.75">
      <c r="A510" s="147"/>
      <c r="B510" s="133"/>
      <c r="C510" s="134"/>
      <c r="D510" s="135"/>
      <c r="E510" s="134"/>
      <c r="F510" s="134"/>
      <c r="G510" s="134"/>
      <c r="H510" s="134"/>
      <c r="I510" s="134"/>
      <c r="J510" s="134"/>
      <c r="K510" s="134"/>
      <c r="L510" s="134"/>
      <c r="M510" s="134"/>
      <c r="N510" s="134"/>
      <c r="O510" s="134"/>
      <c r="P510" s="134"/>
      <c r="Q510" s="134"/>
      <c r="R510" s="134"/>
      <c r="S510" s="134"/>
      <c r="T510" s="134"/>
      <c r="U510" s="134"/>
      <c r="V510" s="134"/>
      <c r="W510" s="134"/>
      <c r="X510" s="134"/>
      <c r="Y510" s="134"/>
    </row>
    <row r="511" spans="1:25" ht="12.75">
      <c r="A511" s="147"/>
      <c r="B511" s="133"/>
      <c r="C511" s="134"/>
      <c r="D511" s="135"/>
      <c r="E511" s="134"/>
      <c r="F511" s="134"/>
      <c r="G511" s="134"/>
      <c r="H511" s="134"/>
      <c r="I511" s="134"/>
      <c r="J511" s="134"/>
      <c r="K511" s="134"/>
      <c r="L511" s="134"/>
      <c r="M511" s="134"/>
      <c r="N511" s="134"/>
      <c r="O511" s="134"/>
      <c r="P511" s="134"/>
      <c r="Q511" s="134"/>
      <c r="R511" s="134"/>
      <c r="S511" s="134"/>
      <c r="T511" s="134"/>
      <c r="U511" s="134"/>
      <c r="V511" s="134"/>
      <c r="W511" s="134"/>
      <c r="X511" s="134"/>
      <c r="Y511" s="134"/>
    </row>
    <row r="512" spans="1:25" ht="12.75">
      <c r="A512" s="147"/>
      <c r="B512" s="133"/>
      <c r="C512" s="134"/>
      <c r="D512" s="135"/>
      <c r="E512" s="134"/>
      <c r="F512" s="134"/>
      <c r="G512" s="134"/>
      <c r="H512" s="134"/>
      <c r="I512" s="134"/>
      <c r="J512" s="134"/>
      <c r="K512" s="134"/>
      <c r="L512" s="134"/>
      <c r="M512" s="134"/>
      <c r="N512" s="134"/>
      <c r="O512" s="134"/>
      <c r="P512" s="134"/>
      <c r="Q512" s="134"/>
      <c r="R512" s="134"/>
      <c r="S512" s="134"/>
      <c r="T512" s="134"/>
      <c r="U512" s="134"/>
      <c r="V512" s="134"/>
      <c r="W512" s="134"/>
      <c r="X512" s="134"/>
      <c r="Y512" s="134"/>
    </row>
    <row r="513" spans="1:25" ht="12.75">
      <c r="A513" s="147"/>
      <c r="B513" s="133"/>
      <c r="C513" s="134"/>
      <c r="D513" s="135"/>
      <c r="E513" s="134"/>
      <c r="F513" s="134"/>
      <c r="G513" s="134"/>
      <c r="H513" s="134"/>
      <c r="I513" s="134"/>
      <c r="J513" s="134"/>
      <c r="K513" s="134"/>
      <c r="L513" s="134"/>
      <c r="M513" s="134"/>
      <c r="N513" s="134"/>
      <c r="O513" s="134"/>
      <c r="P513" s="134"/>
      <c r="Q513" s="134"/>
      <c r="R513" s="134"/>
      <c r="S513" s="134"/>
      <c r="T513" s="134"/>
      <c r="U513" s="134"/>
      <c r="V513" s="134"/>
      <c r="W513" s="134"/>
      <c r="X513" s="134"/>
      <c r="Y513" s="134"/>
    </row>
    <row r="514" spans="1:25" ht="12.75">
      <c r="A514" s="147"/>
      <c r="B514" s="133"/>
      <c r="C514" s="134"/>
      <c r="D514" s="135"/>
      <c r="E514" s="134"/>
      <c r="F514" s="134"/>
      <c r="G514" s="134"/>
      <c r="H514" s="134"/>
      <c r="I514" s="134"/>
      <c r="J514" s="134"/>
      <c r="K514" s="134"/>
      <c r="L514" s="134"/>
      <c r="M514" s="134"/>
      <c r="N514" s="134"/>
      <c r="O514" s="134"/>
      <c r="P514" s="134"/>
      <c r="Q514" s="134"/>
      <c r="R514" s="134"/>
      <c r="S514" s="134"/>
      <c r="T514" s="134"/>
      <c r="U514" s="134"/>
      <c r="V514" s="134"/>
      <c r="W514" s="134"/>
      <c r="X514" s="134"/>
      <c r="Y514" s="134"/>
    </row>
    <row r="515" spans="1:25" ht="12.75">
      <c r="A515" s="147"/>
      <c r="B515" s="133"/>
      <c r="C515" s="134"/>
      <c r="D515" s="135"/>
      <c r="E515" s="134"/>
      <c r="F515" s="134"/>
      <c r="G515" s="134"/>
      <c r="H515" s="134"/>
      <c r="I515" s="134"/>
      <c r="J515" s="134"/>
      <c r="K515" s="134"/>
      <c r="L515" s="134"/>
      <c r="M515" s="134"/>
      <c r="N515" s="134"/>
      <c r="O515" s="134"/>
      <c r="P515" s="134"/>
      <c r="Q515" s="134"/>
      <c r="R515" s="134"/>
      <c r="S515" s="134"/>
      <c r="T515" s="134"/>
      <c r="U515" s="134"/>
      <c r="V515" s="134"/>
      <c r="W515" s="134"/>
      <c r="X515" s="134"/>
      <c r="Y515" s="134"/>
    </row>
    <row r="516" spans="1:25" ht="12.75">
      <c r="A516" s="147"/>
      <c r="B516" s="133"/>
      <c r="C516" s="134"/>
      <c r="D516" s="135"/>
      <c r="E516" s="134"/>
      <c r="F516" s="134"/>
      <c r="G516" s="134"/>
      <c r="H516" s="134"/>
      <c r="I516" s="134"/>
      <c r="J516" s="134"/>
      <c r="K516" s="134"/>
      <c r="L516" s="134"/>
      <c r="M516" s="134"/>
      <c r="N516" s="134"/>
      <c r="O516" s="134"/>
      <c r="P516" s="134"/>
      <c r="Q516" s="134"/>
      <c r="R516" s="134"/>
      <c r="S516" s="134"/>
      <c r="T516" s="134"/>
      <c r="U516" s="134"/>
      <c r="V516" s="134"/>
      <c r="W516" s="134"/>
      <c r="X516" s="134"/>
      <c r="Y516" s="134"/>
    </row>
    <row r="517" spans="1:25" ht="12.75">
      <c r="A517" s="147"/>
      <c r="B517" s="133"/>
      <c r="C517" s="134"/>
      <c r="D517" s="135"/>
      <c r="E517" s="134"/>
      <c r="F517" s="134"/>
      <c r="G517" s="134"/>
      <c r="H517" s="134"/>
      <c r="I517" s="134"/>
      <c r="J517" s="134"/>
      <c r="K517" s="134"/>
      <c r="L517" s="134"/>
      <c r="M517" s="134"/>
      <c r="N517" s="134"/>
      <c r="O517" s="134"/>
      <c r="P517" s="134"/>
      <c r="Q517" s="134"/>
      <c r="R517" s="134"/>
      <c r="S517" s="134"/>
      <c r="T517" s="134"/>
      <c r="U517" s="134"/>
      <c r="V517" s="134"/>
      <c r="W517" s="134"/>
      <c r="X517" s="134"/>
      <c r="Y517" s="134"/>
    </row>
    <row r="518" spans="1:25" ht="12.75">
      <c r="A518" s="147"/>
      <c r="B518" s="133"/>
      <c r="C518" s="134"/>
      <c r="D518" s="135"/>
      <c r="E518" s="134"/>
      <c r="F518" s="134"/>
      <c r="G518" s="134"/>
      <c r="H518" s="134"/>
      <c r="I518" s="134"/>
      <c r="J518" s="134"/>
      <c r="K518" s="134"/>
      <c r="L518" s="134"/>
      <c r="M518" s="134"/>
      <c r="N518" s="134"/>
      <c r="O518" s="134"/>
      <c r="P518" s="134"/>
      <c r="Q518" s="134"/>
      <c r="R518" s="134"/>
      <c r="S518" s="134"/>
      <c r="T518" s="134"/>
      <c r="U518" s="134"/>
      <c r="V518" s="134"/>
      <c r="W518" s="134"/>
      <c r="X518" s="134"/>
      <c r="Y518" s="134"/>
    </row>
    <row r="519" spans="1:25" ht="12.75">
      <c r="A519" s="147"/>
      <c r="B519" s="133"/>
      <c r="C519" s="134"/>
      <c r="D519" s="135"/>
      <c r="E519" s="134"/>
      <c r="F519" s="134"/>
      <c r="G519" s="134"/>
      <c r="H519" s="134"/>
      <c r="I519" s="134"/>
      <c r="J519" s="134"/>
      <c r="K519" s="134"/>
      <c r="L519" s="134"/>
      <c r="M519" s="134"/>
      <c r="N519" s="134"/>
      <c r="O519" s="134"/>
      <c r="P519" s="134"/>
      <c r="Q519" s="134"/>
      <c r="R519" s="134"/>
      <c r="S519" s="134"/>
      <c r="T519" s="134"/>
      <c r="U519" s="134"/>
      <c r="V519" s="134"/>
      <c r="W519" s="134"/>
      <c r="X519" s="134"/>
      <c r="Y519" s="134"/>
    </row>
    <row r="520" spans="1:25" ht="12.75">
      <c r="A520" s="147"/>
      <c r="B520" s="133"/>
      <c r="C520" s="134"/>
      <c r="D520" s="135"/>
      <c r="E520" s="134"/>
      <c r="F520" s="134"/>
      <c r="G520" s="134"/>
      <c r="H520" s="134"/>
      <c r="I520" s="134"/>
      <c r="J520" s="134"/>
      <c r="K520" s="134"/>
      <c r="L520" s="134"/>
      <c r="M520" s="134"/>
      <c r="N520" s="134"/>
      <c r="O520" s="134"/>
      <c r="P520" s="134"/>
      <c r="Q520" s="134"/>
      <c r="R520" s="134"/>
      <c r="S520" s="134"/>
      <c r="T520" s="134"/>
      <c r="U520" s="134"/>
      <c r="V520" s="134"/>
      <c r="W520" s="134"/>
      <c r="X520" s="134"/>
      <c r="Y520" s="134"/>
    </row>
    <row r="521" spans="1:25" ht="12.75">
      <c r="A521" s="147"/>
      <c r="B521" s="133"/>
      <c r="C521" s="134"/>
      <c r="D521" s="135"/>
      <c r="E521" s="134"/>
      <c r="F521" s="134"/>
      <c r="G521" s="134"/>
      <c r="H521" s="134"/>
      <c r="I521" s="134"/>
      <c r="J521" s="134"/>
      <c r="K521" s="134"/>
      <c r="L521" s="134"/>
      <c r="M521" s="134"/>
      <c r="N521" s="134"/>
      <c r="O521" s="134"/>
      <c r="P521" s="134"/>
      <c r="Q521" s="134"/>
      <c r="R521" s="134"/>
      <c r="S521" s="134"/>
      <c r="T521" s="134"/>
      <c r="U521" s="134"/>
      <c r="V521" s="134"/>
      <c r="W521" s="134"/>
      <c r="X521" s="134"/>
      <c r="Y521" s="134"/>
    </row>
    <row r="522" spans="1:25" ht="12.75">
      <c r="A522" s="147"/>
      <c r="B522" s="133"/>
      <c r="C522" s="134"/>
      <c r="D522" s="135"/>
      <c r="E522" s="134"/>
      <c r="F522" s="134"/>
      <c r="G522" s="134"/>
      <c r="H522" s="134"/>
      <c r="I522" s="134"/>
      <c r="J522" s="134"/>
      <c r="K522" s="134"/>
      <c r="L522" s="134"/>
      <c r="M522" s="134"/>
      <c r="N522" s="134"/>
      <c r="O522" s="134"/>
      <c r="P522" s="134"/>
      <c r="Q522" s="134"/>
      <c r="R522" s="134"/>
      <c r="S522" s="134"/>
      <c r="T522" s="134"/>
      <c r="U522" s="134"/>
      <c r="V522" s="134"/>
      <c r="W522" s="134"/>
      <c r="X522" s="134"/>
      <c r="Y522" s="134"/>
    </row>
    <row r="523" spans="1:25" ht="12.75">
      <c r="A523" s="147"/>
      <c r="B523" s="133"/>
      <c r="C523" s="134"/>
      <c r="D523" s="135"/>
      <c r="E523" s="134"/>
      <c r="F523" s="134"/>
      <c r="G523" s="134"/>
      <c r="H523" s="134"/>
      <c r="I523" s="134"/>
      <c r="J523" s="134"/>
      <c r="K523" s="134"/>
      <c r="L523" s="134"/>
      <c r="M523" s="134"/>
      <c r="N523" s="134"/>
      <c r="O523" s="134"/>
      <c r="P523" s="134"/>
      <c r="Q523" s="134"/>
      <c r="R523" s="134"/>
      <c r="S523" s="134"/>
      <c r="T523" s="134"/>
      <c r="U523" s="134"/>
      <c r="V523" s="134"/>
      <c r="W523" s="134"/>
      <c r="X523" s="134"/>
      <c r="Y523" s="134"/>
    </row>
    <row r="524" spans="1:25" ht="12.75">
      <c r="A524" s="147"/>
      <c r="B524" s="133"/>
      <c r="C524" s="134"/>
      <c r="D524" s="135"/>
      <c r="E524" s="134"/>
      <c r="F524" s="134"/>
      <c r="G524" s="134"/>
      <c r="H524" s="134"/>
      <c r="I524" s="134"/>
      <c r="J524" s="134"/>
      <c r="K524" s="134"/>
      <c r="L524" s="134"/>
      <c r="M524" s="134"/>
      <c r="N524" s="134"/>
      <c r="O524" s="134"/>
      <c r="P524" s="134"/>
      <c r="Q524" s="134"/>
      <c r="R524" s="134"/>
      <c r="S524" s="134"/>
      <c r="T524" s="134"/>
      <c r="U524" s="134"/>
      <c r="V524" s="134"/>
      <c r="W524" s="134"/>
      <c r="X524" s="134"/>
      <c r="Y524" s="134"/>
    </row>
    <row r="525" spans="1:25" ht="12.75">
      <c r="A525" s="147"/>
      <c r="B525" s="133"/>
      <c r="C525" s="134"/>
      <c r="D525" s="135"/>
      <c r="E525" s="134"/>
      <c r="F525" s="134"/>
      <c r="G525" s="134"/>
      <c r="H525" s="134"/>
      <c r="I525" s="134"/>
      <c r="J525" s="134"/>
      <c r="K525" s="134"/>
      <c r="L525" s="134"/>
      <c r="M525" s="134"/>
      <c r="N525" s="134"/>
      <c r="O525" s="134"/>
      <c r="P525" s="134"/>
      <c r="Q525" s="134"/>
      <c r="R525" s="134"/>
      <c r="S525" s="134"/>
      <c r="T525" s="134"/>
      <c r="U525" s="134"/>
      <c r="V525" s="134"/>
      <c r="W525" s="134"/>
      <c r="X525" s="134"/>
      <c r="Y525" s="134"/>
    </row>
    <row r="526" spans="1:25" ht="12.75">
      <c r="A526" s="147"/>
      <c r="B526" s="133"/>
      <c r="C526" s="134"/>
      <c r="D526" s="135"/>
      <c r="E526" s="134"/>
      <c r="F526" s="134"/>
      <c r="G526" s="134"/>
      <c r="H526" s="134"/>
      <c r="I526" s="134"/>
      <c r="J526" s="134"/>
      <c r="K526" s="134"/>
      <c r="L526" s="134"/>
      <c r="M526" s="134"/>
      <c r="N526" s="134"/>
      <c r="O526" s="134"/>
      <c r="P526" s="134"/>
      <c r="Q526" s="134"/>
      <c r="R526" s="134"/>
      <c r="S526" s="134"/>
      <c r="T526" s="134"/>
      <c r="U526" s="134"/>
      <c r="V526" s="134"/>
      <c r="W526" s="134"/>
      <c r="X526" s="134"/>
      <c r="Y526" s="134"/>
    </row>
    <row r="527" spans="1:25" ht="12.75">
      <c r="A527" s="147"/>
      <c r="B527" s="133"/>
      <c r="C527" s="134"/>
      <c r="D527" s="135"/>
      <c r="E527" s="134"/>
      <c r="F527" s="134"/>
      <c r="G527" s="134"/>
      <c r="H527" s="134"/>
      <c r="I527" s="134"/>
      <c r="J527" s="134"/>
      <c r="K527" s="134"/>
      <c r="L527" s="134"/>
      <c r="M527" s="134"/>
      <c r="N527" s="134"/>
      <c r="O527" s="134"/>
      <c r="P527" s="134"/>
      <c r="Q527" s="134"/>
      <c r="R527" s="134"/>
      <c r="S527" s="134"/>
      <c r="T527" s="134"/>
      <c r="U527" s="134"/>
      <c r="V527" s="134"/>
      <c r="W527" s="134"/>
      <c r="X527" s="134"/>
      <c r="Y527" s="134"/>
    </row>
    <row r="528" spans="1:25" ht="12.75">
      <c r="A528" s="147"/>
      <c r="B528" s="133"/>
      <c r="C528" s="134"/>
      <c r="D528" s="135"/>
      <c r="E528" s="134"/>
      <c r="F528" s="134"/>
      <c r="G528" s="134"/>
      <c r="H528" s="134"/>
      <c r="I528" s="134"/>
      <c r="J528" s="134"/>
      <c r="K528" s="134"/>
      <c r="L528" s="134"/>
      <c r="M528" s="134"/>
      <c r="N528" s="134"/>
      <c r="O528" s="134"/>
      <c r="P528" s="134"/>
      <c r="Q528" s="134"/>
      <c r="R528" s="134"/>
      <c r="S528" s="134"/>
      <c r="T528" s="134"/>
      <c r="U528" s="134"/>
      <c r="V528" s="134"/>
      <c r="W528" s="134"/>
      <c r="X528" s="134"/>
      <c r="Y528" s="134"/>
    </row>
    <row r="529" spans="1:25" ht="12.75">
      <c r="A529" s="147"/>
      <c r="B529" s="133"/>
      <c r="C529" s="134"/>
      <c r="D529" s="135"/>
      <c r="E529" s="134"/>
      <c r="F529" s="134"/>
      <c r="G529" s="134"/>
      <c r="H529" s="134"/>
      <c r="I529" s="134"/>
      <c r="J529" s="134"/>
      <c r="K529" s="134"/>
      <c r="L529" s="134"/>
      <c r="M529" s="134"/>
      <c r="N529" s="134"/>
      <c r="O529" s="134"/>
      <c r="P529" s="134"/>
      <c r="Q529" s="134"/>
      <c r="R529" s="134"/>
      <c r="S529" s="134"/>
      <c r="T529" s="134"/>
      <c r="U529" s="134"/>
      <c r="V529" s="134"/>
      <c r="W529" s="134"/>
      <c r="X529" s="134"/>
      <c r="Y529" s="134"/>
    </row>
    <row r="530" spans="1:25" ht="12.75">
      <c r="A530" s="147"/>
      <c r="B530" s="133"/>
      <c r="C530" s="134"/>
      <c r="D530" s="135"/>
      <c r="E530" s="134"/>
      <c r="F530" s="134"/>
      <c r="G530" s="134"/>
      <c r="H530" s="134"/>
      <c r="I530" s="134"/>
      <c r="J530" s="134"/>
      <c r="K530" s="134"/>
      <c r="L530" s="134"/>
      <c r="M530" s="134"/>
      <c r="N530" s="134"/>
      <c r="O530" s="134"/>
      <c r="P530" s="134"/>
      <c r="Q530" s="134"/>
      <c r="R530" s="134"/>
      <c r="S530" s="134"/>
      <c r="T530" s="134"/>
      <c r="U530" s="134"/>
      <c r="V530" s="134"/>
      <c r="W530" s="134"/>
      <c r="X530" s="134"/>
      <c r="Y530" s="134"/>
    </row>
    <row r="531" spans="1:25" ht="12.75">
      <c r="A531" s="147"/>
      <c r="B531" s="133"/>
      <c r="C531" s="134"/>
      <c r="D531" s="135"/>
      <c r="E531" s="134"/>
      <c r="F531" s="134"/>
      <c r="G531" s="134"/>
      <c r="H531" s="134"/>
      <c r="I531" s="134"/>
      <c r="J531" s="134"/>
      <c r="K531" s="134"/>
      <c r="L531" s="134"/>
      <c r="M531" s="134"/>
      <c r="N531" s="134"/>
      <c r="O531" s="134"/>
      <c r="P531" s="134"/>
      <c r="Q531" s="134"/>
      <c r="R531" s="134"/>
      <c r="S531" s="134"/>
      <c r="T531" s="134"/>
      <c r="U531" s="134"/>
      <c r="V531" s="134"/>
      <c r="W531" s="134"/>
      <c r="X531" s="134"/>
      <c r="Y531" s="134"/>
    </row>
    <row r="532" spans="1:25" ht="12.75">
      <c r="A532" s="147"/>
      <c r="B532" s="133"/>
      <c r="C532" s="134"/>
      <c r="D532" s="135"/>
      <c r="E532" s="134"/>
      <c r="F532" s="134"/>
      <c r="G532" s="134"/>
      <c r="H532" s="134"/>
      <c r="I532" s="134"/>
      <c r="J532" s="134"/>
      <c r="K532" s="134"/>
      <c r="L532" s="134"/>
      <c r="M532" s="134"/>
      <c r="N532" s="134"/>
      <c r="O532" s="134"/>
      <c r="P532" s="134"/>
      <c r="Q532" s="134"/>
      <c r="R532" s="134"/>
      <c r="S532" s="134"/>
      <c r="T532" s="134"/>
      <c r="U532" s="134"/>
      <c r="V532" s="134"/>
      <c r="W532" s="134"/>
      <c r="X532" s="134"/>
      <c r="Y532" s="134"/>
    </row>
    <row r="533" spans="1:25" ht="12.75">
      <c r="A533" s="147"/>
      <c r="B533" s="133"/>
      <c r="C533" s="134"/>
      <c r="D533" s="135"/>
      <c r="E533" s="134"/>
      <c r="F533" s="134"/>
      <c r="G533" s="134"/>
      <c r="H533" s="134"/>
      <c r="I533" s="134"/>
      <c r="J533" s="134"/>
      <c r="K533" s="134"/>
      <c r="L533" s="134"/>
      <c r="M533" s="134"/>
      <c r="N533" s="134"/>
      <c r="O533" s="134"/>
      <c r="P533" s="134"/>
      <c r="Q533" s="134"/>
      <c r="R533" s="134"/>
      <c r="S533" s="134"/>
      <c r="T533" s="134"/>
      <c r="U533" s="134"/>
      <c r="V533" s="134"/>
      <c r="W533" s="134"/>
      <c r="X533" s="134"/>
      <c r="Y533" s="134"/>
    </row>
    <row r="534" spans="1:25" ht="12.75">
      <c r="A534" s="147"/>
      <c r="B534" s="133"/>
      <c r="C534" s="134"/>
      <c r="D534" s="135"/>
      <c r="E534" s="134"/>
      <c r="F534" s="134"/>
      <c r="G534" s="134"/>
      <c r="H534" s="134"/>
      <c r="I534" s="134"/>
      <c r="J534" s="134"/>
      <c r="K534" s="134"/>
      <c r="L534" s="134"/>
      <c r="M534" s="134"/>
      <c r="N534" s="134"/>
      <c r="O534" s="134"/>
      <c r="P534" s="134"/>
      <c r="Q534" s="134"/>
      <c r="R534" s="134"/>
      <c r="S534" s="134"/>
      <c r="T534" s="134"/>
      <c r="U534" s="134"/>
      <c r="V534" s="134"/>
      <c r="W534" s="134"/>
      <c r="X534" s="134"/>
      <c r="Y534" s="134"/>
    </row>
    <row r="535" spans="1:25" ht="12.75">
      <c r="A535" s="147"/>
      <c r="B535" s="133"/>
      <c r="C535" s="134"/>
      <c r="D535" s="135"/>
      <c r="E535" s="134"/>
      <c r="F535" s="134"/>
      <c r="G535" s="134"/>
      <c r="H535" s="134"/>
      <c r="I535" s="134"/>
      <c r="J535" s="134"/>
      <c r="K535" s="134"/>
      <c r="L535" s="134"/>
      <c r="M535" s="134"/>
      <c r="N535" s="134"/>
      <c r="O535" s="134"/>
      <c r="P535" s="134"/>
      <c r="Q535" s="134"/>
      <c r="R535" s="134"/>
      <c r="S535" s="134"/>
      <c r="T535" s="134"/>
      <c r="U535" s="134"/>
      <c r="V535" s="134"/>
      <c r="W535" s="134"/>
      <c r="X535" s="134"/>
      <c r="Y535" s="134"/>
    </row>
    <row r="536" spans="1:25" ht="12.75">
      <c r="A536" s="147"/>
      <c r="B536" s="133"/>
      <c r="C536" s="134"/>
      <c r="D536" s="135"/>
      <c r="E536" s="134"/>
      <c r="F536" s="134"/>
      <c r="G536" s="134"/>
      <c r="H536" s="134"/>
      <c r="I536" s="134"/>
      <c r="J536" s="134"/>
      <c r="K536" s="134"/>
      <c r="L536" s="134"/>
      <c r="M536" s="134"/>
      <c r="N536" s="134"/>
      <c r="O536" s="134"/>
      <c r="P536" s="134"/>
      <c r="Q536" s="134"/>
      <c r="R536" s="134"/>
      <c r="S536" s="134"/>
      <c r="T536" s="134"/>
      <c r="U536" s="134"/>
      <c r="V536" s="134"/>
      <c r="W536" s="134"/>
      <c r="X536" s="134"/>
      <c r="Y536" s="134"/>
    </row>
    <row r="537" spans="1:25" ht="12.75">
      <c r="A537" s="147"/>
      <c r="B537" s="133"/>
      <c r="C537" s="134"/>
      <c r="D537" s="135"/>
      <c r="E537" s="134"/>
      <c r="F537" s="134"/>
      <c r="G537" s="134"/>
      <c r="H537" s="134"/>
      <c r="I537" s="134"/>
      <c r="J537" s="134"/>
      <c r="K537" s="134"/>
      <c r="L537" s="134"/>
      <c r="M537" s="134"/>
      <c r="N537" s="134"/>
      <c r="O537" s="134"/>
      <c r="P537" s="134"/>
      <c r="Q537" s="134"/>
      <c r="R537" s="134"/>
      <c r="S537" s="134"/>
      <c r="T537" s="134"/>
      <c r="U537" s="134"/>
      <c r="V537" s="134"/>
      <c r="W537" s="134"/>
      <c r="X537" s="134"/>
      <c r="Y537" s="134"/>
    </row>
    <row r="538" spans="1:25" ht="12.75">
      <c r="A538" s="147"/>
      <c r="B538" s="133"/>
      <c r="C538" s="134"/>
      <c r="D538" s="135"/>
      <c r="E538" s="134"/>
      <c r="F538" s="134"/>
      <c r="G538" s="134"/>
      <c r="H538" s="134"/>
      <c r="I538" s="134"/>
      <c r="J538" s="134"/>
      <c r="K538" s="134"/>
      <c r="L538" s="134"/>
      <c r="M538" s="134"/>
      <c r="N538" s="134"/>
      <c r="O538" s="134"/>
      <c r="P538" s="134"/>
      <c r="Q538" s="134"/>
      <c r="R538" s="134"/>
      <c r="S538" s="134"/>
      <c r="T538" s="134"/>
      <c r="U538" s="134"/>
      <c r="V538" s="134"/>
      <c r="W538" s="134"/>
      <c r="X538" s="134"/>
      <c r="Y538" s="134"/>
    </row>
    <row r="539" spans="1:25" ht="12.75">
      <c r="A539" s="147"/>
      <c r="B539" s="133"/>
      <c r="C539" s="134"/>
      <c r="D539" s="135"/>
      <c r="E539" s="134"/>
      <c r="F539" s="134"/>
      <c r="G539" s="134"/>
      <c r="H539" s="134"/>
      <c r="I539" s="134"/>
      <c r="J539" s="134"/>
      <c r="K539" s="134"/>
      <c r="L539" s="134"/>
      <c r="M539" s="134"/>
      <c r="N539" s="134"/>
      <c r="O539" s="134"/>
      <c r="P539" s="134"/>
      <c r="Q539" s="134"/>
      <c r="R539" s="134"/>
      <c r="S539" s="134"/>
      <c r="T539" s="134"/>
      <c r="U539" s="134"/>
      <c r="V539" s="134"/>
      <c r="W539" s="134"/>
      <c r="X539" s="134"/>
      <c r="Y539" s="134"/>
    </row>
    <row r="540" spans="1:25" ht="12.75">
      <c r="A540" s="147"/>
      <c r="B540" s="133"/>
      <c r="C540" s="134"/>
      <c r="D540" s="135"/>
      <c r="E540" s="134"/>
      <c r="F540" s="134"/>
      <c r="G540" s="134"/>
      <c r="H540" s="134"/>
      <c r="I540" s="134"/>
      <c r="J540" s="134"/>
      <c r="K540" s="134"/>
      <c r="L540" s="134"/>
      <c r="M540" s="134"/>
      <c r="N540" s="134"/>
      <c r="O540" s="134"/>
      <c r="P540" s="134"/>
      <c r="Q540" s="134"/>
      <c r="R540" s="134"/>
      <c r="S540" s="134"/>
      <c r="T540" s="134"/>
      <c r="U540" s="134"/>
      <c r="V540" s="134"/>
      <c r="W540" s="134"/>
      <c r="X540" s="134"/>
      <c r="Y540" s="134"/>
    </row>
    <row r="541" spans="1:25" ht="12.75">
      <c r="A541" s="147"/>
      <c r="B541" s="133"/>
      <c r="C541" s="134"/>
      <c r="D541" s="135"/>
      <c r="E541" s="134"/>
      <c r="F541" s="134"/>
      <c r="G541" s="134"/>
      <c r="H541" s="134"/>
      <c r="I541" s="134"/>
      <c r="J541" s="134"/>
      <c r="K541" s="134"/>
      <c r="L541" s="134"/>
      <c r="M541" s="134"/>
      <c r="N541" s="134"/>
      <c r="O541" s="134"/>
      <c r="P541" s="134"/>
      <c r="Q541" s="134"/>
      <c r="R541" s="134"/>
      <c r="S541" s="134"/>
      <c r="T541" s="134"/>
      <c r="U541" s="134"/>
      <c r="V541" s="134"/>
      <c r="W541" s="134"/>
      <c r="X541" s="134"/>
      <c r="Y541" s="134"/>
    </row>
    <row r="542" spans="1:25" ht="12.75">
      <c r="A542" s="147"/>
      <c r="B542" s="133"/>
      <c r="C542" s="134"/>
      <c r="D542" s="135"/>
      <c r="E542" s="134"/>
      <c r="F542" s="134"/>
      <c r="G542" s="134"/>
      <c r="H542" s="134"/>
      <c r="I542" s="134"/>
      <c r="J542" s="134"/>
      <c r="K542" s="134"/>
      <c r="L542" s="134"/>
      <c r="M542" s="134"/>
      <c r="N542" s="134"/>
      <c r="O542" s="134"/>
      <c r="P542" s="134"/>
      <c r="Q542" s="134"/>
      <c r="R542" s="134"/>
      <c r="S542" s="134"/>
      <c r="T542" s="134"/>
      <c r="U542" s="134"/>
      <c r="V542" s="134"/>
      <c r="W542" s="134"/>
      <c r="X542" s="134"/>
      <c r="Y542" s="134"/>
    </row>
    <row r="543" spans="1:25" ht="12.75">
      <c r="A543" s="147"/>
      <c r="B543" s="133"/>
      <c r="C543" s="134"/>
      <c r="D543" s="135"/>
      <c r="E543" s="134"/>
      <c r="F543" s="134"/>
      <c r="G543" s="134"/>
      <c r="H543" s="134"/>
      <c r="I543" s="134"/>
      <c r="J543" s="134"/>
      <c r="K543" s="134"/>
      <c r="L543" s="134"/>
      <c r="M543" s="134"/>
      <c r="N543" s="134"/>
      <c r="O543" s="134"/>
      <c r="P543" s="134"/>
      <c r="Q543" s="134"/>
      <c r="R543" s="134"/>
      <c r="S543" s="134"/>
      <c r="T543" s="134"/>
      <c r="U543" s="134"/>
      <c r="V543" s="134"/>
      <c r="W543" s="134"/>
      <c r="X543" s="134"/>
      <c r="Y543" s="134"/>
    </row>
    <row r="544" spans="1:25" ht="12.75">
      <c r="A544" s="147"/>
      <c r="B544" s="133"/>
      <c r="C544" s="134"/>
      <c r="D544" s="135"/>
      <c r="E544" s="134"/>
      <c r="F544" s="134"/>
      <c r="G544" s="134"/>
      <c r="H544" s="134"/>
      <c r="I544" s="134"/>
      <c r="J544" s="134"/>
      <c r="K544" s="134"/>
      <c r="L544" s="134"/>
      <c r="M544" s="134"/>
      <c r="N544" s="134"/>
      <c r="O544" s="134"/>
      <c r="P544" s="134"/>
      <c r="Q544" s="134"/>
      <c r="R544" s="134"/>
      <c r="S544" s="134"/>
      <c r="T544" s="134"/>
      <c r="U544" s="134"/>
      <c r="V544" s="134"/>
      <c r="W544" s="134"/>
      <c r="X544" s="134"/>
      <c r="Y544" s="134"/>
    </row>
    <row r="545" spans="1:25" ht="12.75">
      <c r="A545" s="147"/>
      <c r="B545" s="133"/>
      <c r="C545" s="134"/>
      <c r="D545" s="135"/>
      <c r="E545" s="134"/>
      <c r="F545" s="134"/>
      <c r="G545" s="134"/>
      <c r="H545" s="134"/>
      <c r="I545" s="134"/>
      <c r="J545" s="134"/>
      <c r="K545" s="134"/>
      <c r="L545" s="134"/>
      <c r="M545" s="134"/>
      <c r="N545" s="134"/>
      <c r="O545" s="134"/>
      <c r="P545" s="134"/>
      <c r="Q545" s="134"/>
      <c r="R545" s="134"/>
      <c r="S545" s="134"/>
      <c r="T545" s="134"/>
      <c r="U545" s="134"/>
      <c r="V545" s="134"/>
      <c r="W545" s="134"/>
      <c r="X545" s="134"/>
      <c r="Y545" s="134"/>
    </row>
    <row r="546" spans="1:25" ht="12.75">
      <c r="A546" s="147"/>
      <c r="B546" s="133"/>
      <c r="C546" s="134"/>
      <c r="D546" s="135"/>
      <c r="E546" s="134"/>
      <c r="F546" s="134"/>
      <c r="G546" s="134"/>
      <c r="H546" s="134"/>
      <c r="I546" s="134"/>
      <c r="J546" s="134"/>
      <c r="K546" s="134"/>
      <c r="L546" s="134"/>
      <c r="M546" s="134"/>
      <c r="N546" s="134"/>
      <c r="O546" s="134"/>
      <c r="P546" s="134"/>
      <c r="Q546" s="134"/>
      <c r="R546" s="134"/>
      <c r="S546" s="134"/>
      <c r="T546" s="134"/>
      <c r="U546" s="134"/>
      <c r="V546" s="134"/>
      <c r="W546" s="134"/>
      <c r="X546" s="134"/>
      <c r="Y546" s="134"/>
    </row>
    <row r="547" spans="1:25" ht="12.75">
      <c r="A547" s="147"/>
      <c r="B547" s="133"/>
      <c r="C547" s="134"/>
      <c r="D547" s="135"/>
      <c r="E547" s="134"/>
      <c r="F547" s="134"/>
      <c r="G547" s="134"/>
      <c r="H547" s="134"/>
      <c r="I547" s="134"/>
      <c r="J547" s="134"/>
      <c r="K547" s="134"/>
      <c r="L547" s="134"/>
      <c r="M547" s="134"/>
      <c r="N547" s="134"/>
      <c r="O547" s="134"/>
      <c r="P547" s="134"/>
      <c r="Q547" s="134"/>
      <c r="R547" s="134"/>
      <c r="S547" s="134"/>
      <c r="T547" s="134"/>
      <c r="U547" s="134"/>
      <c r="V547" s="134"/>
      <c r="W547" s="134"/>
      <c r="X547" s="134"/>
      <c r="Y547" s="134"/>
    </row>
    <row r="548" spans="1:25" ht="12.75">
      <c r="A548" s="147"/>
      <c r="B548" s="133"/>
      <c r="C548" s="134"/>
      <c r="D548" s="135"/>
      <c r="E548" s="134"/>
      <c r="F548" s="134"/>
      <c r="G548" s="134"/>
      <c r="H548" s="134"/>
      <c r="I548" s="134"/>
      <c r="J548" s="134"/>
      <c r="K548" s="134"/>
      <c r="L548" s="134"/>
      <c r="M548" s="134"/>
      <c r="N548" s="134"/>
      <c r="O548" s="134"/>
      <c r="P548" s="134"/>
      <c r="Q548" s="134"/>
      <c r="R548" s="134"/>
      <c r="S548" s="134"/>
      <c r="T548" s="134"/>
      <c r="U548" s="134"/>
      <c r="V548" s="134"/>
      <c r="W548" s="134"/>
      <c r="X548" s="134"/>
      <c r="Y548" s="134"/>
    </row>
    <row r="549" spans="1:25" ht="12.75">
      <c r="A549" s="147"/>
      <c r="B549" s="133"/>
      <c r="C549" s="134"/>
      <c r="D549" s="135"/>
      <c r="E549" s="134"/>
      <c r="F549" s="134"/>
      <c r="G549" s="134"/>
      <c r="H549" s="134"/>
      <c r="I549" s="134"/>
      <c r="J549" s="134"/>
      <c r="K549" s="134"/>
      <c r="L549" s="134"/>
      <c r="M549" s="134"/>
      <c r="N549" s="134"/>
      <c r="O549" s="134"/>
      <c r="P549" s="134"/>
      <c r="Q549" s="134"/>
      <c r="R549" s="134"/>
      <c r="S549" s="134"/>
      <c r="T549" s="134"/>
      <c r="U549" s="134"/>
      <c r="V549" s="134"/>
      <c r="W549" s="134"/>
      <c r="X549" s="134"/>
      <c r="Y549" s="134"/>
    </row>
    <row r="550" spans="1:25" ht="12.75">
      <c r="A550" s="147"/>
      <c r="B550" s="133"/>
      <c r="C550" s="134"/>
      <c r="D550" s="135"/>
      <c r="E550" s="134"/>
      <c r="F550" s="134"/>
      <c r="G550" s="134"/>
      <c r="H550" s="134"/>
      <c r="I550" s="134"/>
      <c r="J550" s="134"/>
      <c r="K550" s="134"/>
      <c r="L550" s="134"/>
      <c r="M550" s="134"/>
      <c r="N550" s="134"/>
      <c r="O550" s="134"/>
      <c r="P550" s="134"/>
      <c r="Q550" s="134"/>
      <c r="R550" s="134"/>
      <c r="S550" s="134"/>
      <c r="T550" s="134"/>
      <c r="U550" s="134"/>
      <c r="V550" s="134"/>
      <c r="W550" s="134"/>
      <c r="X550" s="134"/>
      <c r="Y550" s="134"/>
    </row>
    <row r="551" spans="1:25" ht="12.75">
      <c r="A551" s="147"/>
      <c r="B551" s="133"/>
      <c r="C551" s="134"/>
      <c r="D551" s="135"/>
      <c r="E551" s="134"/>
      <c r="F551" s="134"/>
      <c r="G551" s="134"/>
      <c r="H551" s="134"/>
      <c r="I551" s="134"/>
      <c r="J551" s="134"/>
      <c r="K551" s="134"/>
      <c r="L551" s="134"/>
      <c r="M551" s="134"/>
      <c r="N551" s="134"/>
      <c r="O551" s="134"/>
      <c r="P551" s="134"/>
      <c r="Q551" s="134"/>
      <c r="R551" s="134"/>
      <c r="S551" s="134"/>
      <c r="T551" s="134"/>
      <c r="U551" s="134"/>
      <c r="V551" s="134"/>
      <c r="W551" s="134"/>
      <c r="X551" s="134"/>
      <c r="Y551" s="134"/>
    </row>
    <row r="552" spans="1:25" ht="12.75">
      <c r="A552" s="147"/>
      <c r="B552" s="133"/>
      <c r="C552" s="134"/>
      <c r="D552" s="135"/>
      <c r="E552" s="134"/>
      <c r="F552" s="134"/>
      <c r="G552" s="134"/>
      <c r="H552" s="134"/>
      <c r="I552" s="134"/>
      <c r="J552" s="134"/>
      <c r="K552" s="134"/>
      <c r="L552" s="134"/>
      <c r="M552" s="134"/>
      <c r="N552" s="134"/>
      <c r="O552" s="134"/>
      <c r="P552" s="134"/>
      <c r="Q552" s="134"/>
      <c r="R552" s="134"/>
      <c r="S552" s="134"/>
      <c r="T552" s="134"/>
      <c r="U552" s="134"/>
      <c r="V552" s="134"/>
      <c r="W552" s="134"/>
      <c r="X552" s="134"/>
      <c r="Y552" s="134"/>
    </row>
    <row r="553" spans="1:25" ht="12.75">
      <c r="A553" s="147"/>
      <c r="B553" s="133"/>
      <c r="C553" s="134"/>
      <c r="D553" s="135"/>
      <c r="E553" s="134"/>
      <c r="F553" s="134"/>
      <c r="G553" s="134"/>
      <c r="H553" s="134"/>
      <c r="I553" s="134"/>
      <c r="J553" s="134"/>
      <c r="K553" s="134"/>
      <c r="L553" s="134"/>
      <c r="M553" s="134"/>
      <c r="N553" s="134"/>
      <c r="O553" s="134"/>
      <c r="P553" s="134"/>
      <c r="Q553" s="134"/>
      <c r="R553" s="134"/>
      <c r="S553" s="134"/>
      <c r="T553" s="134"/>
      <c r="U553" s="134"/>
      <c r="V553" s="134"/>
      <c r="W553" s="134"/>
      <c r="X553" s="134"/>
      <c r="Y553" s="134"/>
    </row>
    <row r="554" spans="1:25" ht="12.75">
      <c r="A554" s="147"/>
      <c r="B554" s="133"/>
      <c r="C554" s="134"/>
      <c r="D554" s="135"/>
      <c r="E554" s="134"/>
      <c r="F554" s="134"/>
      <c r="G554" s="134"/>
      <c r="H554" s="134"/>
      <c r="I554" s="134"/>
      <c r="J554" s="134"/>
      <c r="K554" s="134"/>
      <c r="L554" s="134"/>
      <c r="M554" s="134"/>
      <c r="N554" s="134"/>
      <c r="O554" s="134"/>
      <c r="P554" s="134"/>
      <c r="Q554" s="134"/>
      <c r="R554" s="134"/>
      <c r="S554" s="134"/>
      <c r="T554" s="134"/>
      <c r="U554" s="134"/>
      <c r="V554" s="134"/>
      <c r="W554" s="134"/>
      <c r="X554" s="134"/>
      <c r="Y554" s="134"/>
    </row>
    <row r="555" spans="1:25" ht="12.75">
      <c r="A555" s="147"/>
      <c r="B555" s="133"/>
      <c r="C555" s="134"/>
      <c r="D555" s="135"/>
      <c r="E555" s="134"/>
      <c r="F555" s="134"/>
      <c r="G555" s="134"/>
      <c r="H555" s="134"/>
      <c r="I555" s="134"/>
      <c r="J555" s="134"/>
      <c r="K555" s="134"/>
      <c r="L555" s="134"/>
      <c r="M555" s="134"/>
      <c r="N555" s="134"/>
      <c r="O555" s="134"/>
      <c r="P555" s="134"/>
      <c r="Q555" s="134"/>
      <c r="R555" s="134"/>
      <c r="S555" s="134"/>
      <c r="T555" s="134"/>
      <c r="U555" s="134"/>
      <c r="V555" s="134"/>
      <c r="W555" s="134"/>
      <c r="X555" s="134"/>
      <c r="Y555" s="134"/>
    </row>
    <row r="556" spans="1:25" ht="12.75">
      <c r="A556" s="147"/>
      <c r="B556" s="133"/>
      <c r="C556" s="134"/>
      <c r="D556" s="135"/>
      <c r="E556" s="134"/>
      <c r="F556" s="134"/>
      <c r="G556" s="134"/>
      <c r="H556" s="134"/>
      <c r="I556" s="134"/>
      <c r="J556" s="134"/>
      <c r="K556" s="134"/>
      <c r="L556" s="134"/>
      <c r="M556" s="134"/>
      <c r="N556" s="134"/>
      <c r="O556" s="134"/>
      <c r="P556" s="134"/>
      <c r="Q556" s="134"/>
      <c r="R556" s="134"/>
      <c r="S556" s="134"/>
      <c r="T556" s="134"/>
      <c r="U556" s="134"/>
      <c r="V556" s="134"/>
      <c r="W556" s="134"/>
      <c r="X556" s="134"/>
      <c r="Y556" s="134"/>
    </row>
    <row r="557" spans="1:25" ht="12.75">
      <c r="A557" s="147"/>
      <c r="B557" s="133"/>
      <c r="C557" s="134"/>
      <c r="D557" s="135"/>
      <c r="E557" s="134"/>
      <c r="F557" s="134"/>
      <c r="G557" s="134"/>
      <c r="H557" s="134"/>
      <c r="I557" s="134"/>
      <c r="J557" s="134"/>
      <c r="K557" s="134"/>
      <c r="L557" s="134"/>
      <c r="M557" s="134"/>
      <c r="N557" s="134"/>
      <c r="O557" s="134"/>
      <c r="P557" s="134"/>
      <c r="Q557" s="134"/>
      <c r="R557" s="134"/>
      <c r="S557" s="134"/>
      <c r="T557" s="134"/>
      <c r="U557" s="134"/>
      <c r="V557" s="134"/>
      <c r="W557" s="134"/>
      <c r="X557" s="134"/>
      <c r="Y557" s="134"/>
    </row>
    <row r="558" spans="1:25" ht="12.75">
      <c r="A558" s="147"/>
      <c r="B558" s="133"/>
      <c r="C558" s="134"/>
      <c r="D558" s="135"/>
      <c r="E558" s="134"/>
      <c r="F558" s="134"/>
      <c r="G558" s="134"/>
      <c r="H558" s="134"/>
      <c r="I558" s="134"/>
      <c r="J558" s="134"/>
      <c r="K558" s="134"/>
      <c r="L558" s="134"/>
      <c r="M558" s="134"/>
      <c r="N558" s="134"/>
      <c r="O558" s="134"/>
      <c r="P558" s="134"/>
      <c r="Q558" s="134"/>
      <c r="R558" s="134"/>
      <c r="S558" s="134"/>
      <c r="T558" s="134"/>
      <c r="U558" s="134"/>
      <c r="V558" s="134"/>
      <c r="W558" s="134"/>
      <c r="X558" s="134"/>
      <c r="Y558" s="134"/>
    </row>
    <row r="559" spans="1:25" ht="12.75">
      <c r="A559" s="147"/>
      <c r="B559" s="133"/>
      <c r="C559" s="134"/>
      <c r="D559" s="135"/>
      <c r="E559" s="134"/>
      <c r="F559" s="134"/>
      <c r="G559" s="134"/>
      <c r="H559" s="134"/>
      <c r="I559" s="134"/>
      <c r="J559" s="134"/>
      <c r="K559" s="134"/>
      <c r="L559" s="134"/>
      <c r="M559" s="134"/>
      <c r="N559" s="134"/>
      <c r="O559" s="134"/>
      <c r="P559" s="134"/>
      <c r="Q559" s="134"/>
      <c r="R559" s="134"/>
      <c r="S559" s="134"/>
      <c r="T559" s="134"/>
      <c r="U559" s="134"/>
      <c r="V559" s="134"/>
      <c r="W559" s="134"/>
      <c r="X559" s="134"/>
      <c r="Y559" s="134"/>
    </row>
    <row r="560" spans="1:25" ht="12.75">
      <c r="A560" s="147"/>
      <c r="B560" s="133"/>
      <c r="C560" s="134"/>
      <c r="D560" s="135"/>
      <c r="E560" s="134"/>
      <c r="F560" s="134"/>
      <c r="G560" s="134"/>
      <c r="H560" s="134"/>
      <c r="I560" s="134"/>
      <c r="J560" s="134"/>
      <c r="K560" s="134"/>
      <c r="L560" s="134"/>
      <c r="M560" s="134"/>
      <c r="N560" s="134"/>
      <c r="O560" s="134"/>
      <c r="P560" s="134"/>
      <c r="Q560" s="134"/>
      <c r="R560" s="134"/>
      <c r="S560" s="134"/>
      <c r="T560" s="134"/>
      <c r="U560" s="134"/>
      <c r="V560" s="134"/>
      <c r="W560" s="134"/>
      <c r="X560" s="134"/>
      <c r="Y560" s="134"/>
    </row>
    <row r="561" spans="1:25" ht="12.75">
      <c r="A561" s="147"/>
      <c r="B561" s="133"/>
      <c r="C561" s="134"/>
      <c r="D561" s="135"/>
      <c r="E561" s="134"/>
      <c r="F561" s="134"/>
      <c r="G561" s="134"/>
      <c r="H561" s="134"/>
      <c r="I561" s="134"/>
      <c r="J561" s="134"/>
      <c r="K561" s="134"/>
      <c r="L561" s="134"/>
      <c r="M561" s="134"/>
      <c r="N561" s="134"/>
      <c r="O561" s="134"/>
      <c r="P561" s="134"/>
      <c r="Q561" s="134"/>
      <c r="R561" s="134"/>
      <c r="S561" s="134"/>
      <c r="T561" s="134"/>
      <c r="U561" s="134"/>
      <c r="V561" s="134"/>
      <c r="W561" s="134"/>
      <c r="X561" s="134"/>
      <c r="Y561" s="134"/>
    </row>
    <row r="562" spans="1:25" ht="12.75">
      <c r="A562" s="147"/>
      <c r="B562" s="133"/>
      <c r="C562" s="134"/>
      <c r="D562" s="135"/>
      <c r="E562" s="134"/>
      <c r="F562" s="134"/>
      <c r="G562" s="134"/>
      <c r="H562" s="134"/>
      <c r="I562" s="134"/>
      <c r="J562" s="134"/>
      <c r="K562" s="134"/>
      <c r="L562" s="134"/>
      <c r="M562" s="134"/>
      <c r="N562" s="134"/>
      <c r="O562" s="134"/>
      <c r="P562" s="134"/>
      <c r="Q562" s="134"/>
      <c r="R562" s="134"/>
      <c r="S562" s="134"/>
      <c r="T562" s="134"/>
      <c r="U562" s="134"/>
      <c r="V562" s="134"/>
      <c r="W562" s="134"/>
      <c r="X562" s="134"/>
      <c r="Y562" s="134"/>
    </row>
    <row r="563" spans="1:25" ht="12.75">
      <c r="A563" s="147"/>
      <c r="B563" s="133"/>
      <c r="C563" s="134"/>
      <c r="D563" s="135"/>
      <c r="E563" s="134"/>
      <c r="F563" s="134"/>
      <c r="G563" s="134"/>
      <c r="H563" s="134"/>
      <c r="I563" s="134"/>
      <c r="J563" s="134"/>
      <c r="K563" s="134"/>
      <c r="L563" s="134"/>
      <c r="M563" s="134"/>
      <c r="N563" s="134"/>
      <c r="O563" s="134"/>
      <c r="P563" s="134"/>
      <c r="Q563" s="134"/>
      <c r="R563" s="134"/>
      <c r="S563" s="134"/>
      <c r="T563" s="134"/>
      <c r="U563" s="134"/>
      <c r="V563" s="134"/>
      <c r="W563" s="134"/>
      <c r="X563" s="134"/>
      <c r="Y563" s="134"/>
    </row>
    <row r="564" spans="1:25" ht="12.75">
      <c r="A564" s="147"/>
      <c r="B564" s="133"/>
      <c r="C564" s="134"/>
      <c r="D564" s="135"/>
      <c r="E564" s="134"/>
      <c r="F564" s="134"/>
      <c r="G564" s="134"/>
      <c r="H564" s="134"/>
      <c r="I564" s="134"/>
      <c r="J564" s="134"/>
      <c r="K564" s="134"/>
      <c r="L564" s="134"/>
      <c r="M564" s="134"/>
      <c r="N564" s="134"/>
      <c r="O564" s="134"/>
      <c r="P564" s="134"/>
      <c r="Q564" s="134"/>
      <c r="R564" s="134"/>
      <c r="S564" s="134"/>
      <c r="T564" s="134"/>
      <c r="U564" s="134"/>
      <c r="V564" s="134"/>
      <c r="W564" s="134"/>
      <c r="X564" s="134"/>
      <c r="Y564" s="134"/>
    </row>
    <row r="565" spans="1:25" ht="12.75">
      <c r="A565" s="147"/>
      <c r="B565" s="133"/>
      <c r="C565" s="134"/>
      <c r="D565" s="135"/>
      <c r="E565" s="134"/>
      <c r="F565" s="134"/>
      <c r="G565" s="134"/>
      <c r="H565" s="134"/>
      <c r="I565" s="134"/>
      <c r="J565" s="134"/>
      <c r="K565" s="134"/>
      <c r="L565" s="134"/>
      <c r="M565" s="134"/>
      <c r="N565" s="134"/>
      <c r="O565" s="134"/>
      <c r="P565" s="134"/>
      <c r="Q565" s="134"/>
      <c r="R565" s="134"/>
      <c r="S565" s="134"/>
      <c r="T565" s="134"/>
      <c r="U565" s="134"/>
      <c r="V565" s="134"/>
      <c r="W565" s="134"/>
      <c r="X565" s="134"/>
      <c r="Y565" s="134"/>
    </row>
    <row r="566" spans="1:25" ht="12.75">
      <c r="A566" s="147"/>
      <c r="B566" s="133"/>
      <c r="C566" s="134"/>
      <c r="D566" s="135"/>
      <c r="E566" s="134"/>
      <c r="F566" s="134"/>
      <c r="G566" s="134"/>
      <c r="H566" s="134"/>
      <c r="I566" s="134"/>
      <c r="J566" s="134"/>
      <c r="K566" s="134"/>
      <c r="L566" s="134"/>
      <c r="M566" s="134"/>
      <c r="N566" s="134"/>
      <c r="O566" s="134"/>
      <c r="P566" s="134"/>
      <c r="Q566" s="134"/>
      <c r="R566" s="134"/>
      <c r="S566" s="134"/>
      <c r="T566" s="134"/>
      <c r="U566" s="134"/>
      <c r="V566" s="134"/>
      <c r="W566" s="134"/>
      <c r="X566" s="134"/>
      <c r="Y566" s="134"/>
    </row>
    <row r="567" spans="1:25" ht="12.75">
      <c r="A567" s="147"/>
      <c r="B567" s="133"/>
      <c r="C567" s="134"/>
      <c r="D567" s="135"/>
      <c r="E567" s="134"/>
      <c r="F567" s="134"/>
      <c r="G567" s="134"/>
      <c r="H567" s="134"/>
      <c r="I567" s="134"/>
      <c r="J567" s="134"/>
      <c r="K567" s="134"/>
      <c r="L567" s="134"/>
      <c r="M567" s="134"/>
      <c r="N567" s="134"/>
      <c r="O567" s="134"/>
      <c r="P567" s="134"/>
      <c r="Q567" s="134"/>
      <c r="R567" s="134"/>
      <c r="S567" s="134"/>
      <c r="T567" s="134"/>
      <c r="U567" s="134"/>
      <c r="V567" s="134"/>
      <c r="W567" s="134"/>
      <c r="X567" s="134"/>
      <c r="Y567" s="134"/>
    </row>
    <row r="568" spans="1:25" ht="12.75">
      <c r="A568" s="147"/>
      <c r="B568" s="133"/>
      <c r="C568" s="134"/>
      <c r="D568" s="135"/>
      <c r="E568" s="134"/>
      <c r="F568" s="134"/>
      <c r="G568" s="134"/>
      <c r="H568" s="134"/>
      <c r="I568" s="134"/>
      <c r="J568" s="134"/>
      <c r="K568" s="134"/>
      <c r="L568" s="134"/>
      <c r="M568" s="134"/>
      <c r="N568" s="134"/>
      <c r="O568" s="134"/>
      <c r="P568" s="134"/>
      <c r="Q568" s="134"/>
      <c r="R568" s="134"/>
      <c r="S568" s="134"/>
      <c r="T568" s="134"/>
      <c r="U568" s="134"/>
      <c r="V568" s="134"/>
      <c r="W568" s="134"/>
      <c r="X568" s="134"/>
      <c r="Y568" s="134"/>
    </row>
    <row r="569" spans="1:25" ht="12.75">
      <c r="A569" s="147"/>
      <c r="B569" s="133"/>
      <c r="C569" s="134"/>
      <c r="D569" s="135"/>
      <c r="E569" s="134"/>
      <c r="F569" s="134"/>
      <c r="G569" s="134"/>
      <c r="H569" s="134"/>
      <c r="I569" s="134"/>
      <c r="J569" s="134"/>
      <c r="K569" s="134"/>
      <c r="L569" s="134"/>
      <c r="M569" s="134"/>
      <c r="N569" s="134"/>
      <c r="O569" s="134"/>
      <c r="P569" s="134"/>
      <c r="Q569" s="134"/>
      <c r="R569" s="134"/>
      <c r="S569" s="134"/>
      <c r="T569" s="134"/>
      <c r="U569" s="134"/>
      <c r="V569" s="134"/>
      <c r="W569" s="134"/>
      <c r="X569" s="134"/>
      <c r="Y569" s="134"/>
    </row>
    <row r="570" spans="1:25" ht="12.75">
      <c r="A570" s="147"/>
      <c r="B570" s="133"/>
      <c r="C570" s="134"/>
      <c r="D570" s="135"/>
      <c r="E570" s="134"/>
      <c r="F570" s="134"/>
      <c r="G570" s="134"/>
      <c r="H570" s="134"/>
      <c r="I570" s="134"/>
      <c r="J570" s="134"/>
      <c r="K570" s="134"/>
      <c r="L570" s="134"/>
      <c r="M570" s="134"/>
      <c r="N570" s="134"/>
      <c r="O570" s="134"/>
      <c r="P570" s="134"/>
      <c r="Q570" s="134"/>
      <c r="R570" s="134"/>
      <c r="S570" s="134"/>
      <c r="T570" s="134"/>
      <c r="U570" s="134"/>
      <c r="V570" s="134"/>
      <c r="W570" s="134"/>
      <c r="X570" s="134"/>
      <c r="Y570" s="134"/>
    </row>
    <row r="571" spans="1:25" ht="12.75">
      <c r="A571" s="147"/>
      <c r="B571" s="133"/>
      <c r="C571" s="134"/>
      <c r="D571" s="135"/>
      <c r="E571" s="134"/>
      <c r="F571" s="134"/>
      <c r="G571" s="134"/>
      <c r="H571" s="134"/>
      <c r="I571" s="134"/>
      <c r="J571" s="134"/>
      <c r="K571" s="134"/>
      <c r="L571" s="134"/>
      <c r="M571" s="134"/>
      <c r="N571" s="134"/>
      <c r="O571" s="134"/>
      <c r="P571" s="134"/>
      <c r="Q571" s="134"/>
      <c r="R571" s="134"/>
      <c r="S571" s="134"/>
      <c r="T571" s="134"/>
      <c r="U571" s="134"/>
      <c r="V571" s="134"/>
      <c r="W571" s="134"/>
      <c r="X571" s="134"/>
      <c r="Y571" s="134"/>
    </row>
    <row r="572" spans="1:25" ht="12.75">
      <c r="A572" s="147"/>
      <c r="B572" s="133"/>
      <c r="C572" s="134"/>
      <c r="D572" s="135"/>
      <c r="E572" s="134"/>
      <c r="F572" s="134"/>
      <c r="G572" s="134"/>
      <c r="H572" s="134"/>
      <c r="I572" s="134"/>
      <c r="J572" s="134"/>
      <c r="K572" s="134"/>
      <c r="L572" s="134"/>
      <c r="M572" s="134"/>
      <c r="N572" s="134"/>
      <c r="O572" s="134"/>
      <c r="P572" s="134"/>
      <c r="Q572" s="134"/>
      <c r="R572" s="134"/>
      <c r="S572" s="134"/>
      <c r="T572" s="134"/>
      <c r="U572" s="134"/>
      <c r="V572" s="134"/>
      <c r="W572" s="134"/>
      <c r="X572" s="134"/>
      <c r="Y572" s="134"/>
    </row>
    <row r="573" spans="1:25" ht="12.75">
      <c r="A573" s="147"/>
      <c r="B573" s="133"/>
      <c r="C573" s="134"/>
      <c r="D573" s="135"/>
      <c r="E573" s="134"/>
      <c r="F573" s="134"/>
      <c r="G573" s="134"/>
      <c r="H573" s="134"/>
      <c r="I573" s="134"/>
      <c r="J573" s="134"/>
      <c r="K573" s="134"/>
      <c r="L573" s="134"/>
      <c r="M573" s="134"/>
      <c r="N573" s="134"/>
      <c r="O573" s="134"/>
      <c r="P573" s="134"/>
      <c r="Q573" s="134"/>
      <c r="R573" s="134"/>
      <c r="S573" s="134"/>
      <c r="T573" s="134"/>
      <c r="U573" s="134"/>
      <c r="V573" s="134"/>
      <c r="W573" s="134"/>
      <c r="X573" s="134"/>
      <c r="Y573" s="134"/>
    </row>
    <row r="574" spans="1:25" ht="12.75">
      <c r="A574" s="147"/>
      <c r="B574" s="133"/>
      <c r="C574" s="134"/>
      <c r="D574" s="135"/>
      <c r="E574" s="134"/>
      <c r="F574" s="134"/>
      <c r="G574" s="134"/>
      <c r="H574" s="134"/>
      <c r="I574" s="134"/>
      <c r="J574" s="134"/>
      <c r="K574" s="134"/>
      <c r="L574" s="134"/>
      <c r="M574" s="134"/>
      <c r="N574" s="134"/>
      <c r="O574" s="134"/>
      <c r="P574" s="134"/>
      <c r="Q574" s="134"/>
      <c r="R574" s="134"/>
      <c r="S574" s="134"/>
      <c r="T574" s="134"/>
      <c r="U574" s="134"/>
      <c r="V574" s="134"/>
      <c r="W574" s="134"/>
      <c r="X574" s="134"/>
      <c r="Y574" s="134"/>
    </row>
    <row r="575" spans="1:25" ht="12.75">
      <c r="A575" s="147"/>
      <c r="B575" s="133"/>
      <c r="C575" s="134"/>
      <c r="D575" s="135"/>
      <c r="E575" s="134"/>
      <c r="F575" s="134"/>
      <c r="G575" s="134"/>
      <c r="H575" s="134"/>
      <c r="I575" s="134"/>
      <c r="J575" s="134"/>
      <c r="K575" s="134"/>
      <c r="L575" s="134"/>
      <c r="M575" s="134"/>
      <c r="N575" s="134"/>
      <c r="O575" s="134"/>
      <c r="P575" s="134"/>
      <c r="Q575" s="134"/>
      <c r="R575" s="134"/>
      <c r="S575" s="134"/>
      <c r="T575" s="134"/>
      <c r="U575" s="134"/>
      <c r="V575" s="134"/>
      <c r="W575" s="134"/>
      <c r="X575" s="134"/>
      <c r="Y575" s="134"/>
    </row>
    <row r="576" spans="1:25" ht="12.75">
      <c r="A576" s="147"/>
      <c r="B576" s="133"/>
      <c r="C576" s="134"/>
      <c r="D576" s="135"/>
      <c r="E576" s="134"/>
      <c r="F576" s="134"/>
      <c r="G576" s="134"/>
      <c r="H576" s="134"/>
      <c r="I576" s="134"/>
      <c r="J576" s="134"/>
      <c r="K576" s="134"/>
      <c r="L576" s="134"/>
      <c r="M576" s="134"/>
      <c r="N576" s="134"/>
      <c r="O576" s="134"/>
      <c r="P576" s="134"/>
      <c r="Q576" s="134"/>
      <c r="R576" s="134"/>
      <c r="S576" s="134"/>
      <c r="T576" s="134"/>
      <c r="U576" s="134"/>
      <c r="V576" s="134"/>
      <c r="W576" s="134"/>
      <c r="X576" s="134"/>
      <c r="Y576" s="134"/>
    </row>
    <row r="577" spans="1:25" ht="12.75">
      <c r="A577" s="147"/>
      <c r="B577" s="133"/>
      <c r="C577" s="134"/>
      <c r="D577" s="135"/>
      <c r="E577" s="134"/>
      <c r="F577" s="134"/>
      <c r="G577" s="134"/>
      <c r="H577" s="134"/>
      <c r="I577" s="134"/>
      <c r="J577" s="134"/>
      <c r="K577" s="134"/>
      <c r="L577" s="134"/>
      <c r="M577" s="134"/>
      <c r="N577" s="134"/>
      <c r="O577" s="134"/>
      <c r="P577" s="134"/>
      <c r="Q577" s="134"/>
      <c r="R577" s="134"/>
      <c r="S577" s="134"/>
      <c r="T577" s="134"/>
      <c r="U577" s="134"/>
      <c r="V577" s="134"/>
      <c r="W577" s="134"/>
      <c r="X577" s="134"/>
      <c r="Y577" s="134"/>
    </row>
    <row r="578" spans="1:25" ht="12.75">
      <c r="A578" s="147"/>
      <c r="B578" s="133"/>
      <c r="C578" s="134"/>
      <c r="D578" s="135"/>
      <c r="E578" s="134"/>
      <c r="F578" s="134"/>
      <c r="G578" s="134"/>
      <c r="H578" s="134"/>
      <c r="I578" s="134"/>
      <c r="J578" s="134"/>
      <c r="K578" s="134"/>
      <c r="L578" s="134"/>
      <c r="M578" s="134"/>
      <c r="N578" s="134"/>
      <c r="O578" s="134"/>
      <c r="P578" s="134"/>
      <c r="Q578" s="134"/>
      <c r="R578" s="134"/>
      <c r="S578" s="134"/>
      <c r="T578" s="134"/>
      <c r="U578" s="134"/>
      <c r="V578" s="134"/>
      <c r="W578" s="134"/>
      <c r="X578" s="134"/>
      <c r="Y578" s="134"/>
    </row>
    <row r="579" spans="1:25" ht="12.75">
      <c r="A579" s="147"/>
      <c r="B579" s="133"/>
      <c r="C579" s="134"/>
      <c r="D579" s="135"/>
      <c r="E579" s="134"/>
      <c r="F579" s="134"/>
      <c r="G579" s="134"/>
      <c r="H579" s="134"/>
      <c r="I579" s="134"/>
      <c r="J579" s="134"/>
      <c r="K579" s="134"/>
      <c r="L579" s="134"/>
      <c r="M579" s="134"/>
      <c r="N579" s="134"/>
      <c r="O579" s="134"/>
      <c r="P579" s="134"/>
      <c r="Q579" s="134"/>
      <c r="R579" s="134"/>
      <c r="S579" s="134"/>
      <c r="T579" s="134"/>
      <c r="U579" s="134"/>
      <c r="V579" s="134"/>
      <c r="W579" s="134"/>
      <c r="X579" s="134"/>
      <c r="Y579" s="134"/>
    </row>
    <row r="580" spans="1:25" ht="12.75">
      <c r="A580" s="147"/>
      <c r="B580" s="133"/>
      <c r="C580" s="134"/>
      <c r="D580" s="135"/>
      <c r="E580" s="134"/>
      <c r="F580" s="134"/>
      <c r="G580" s="134"/>
      <c r="H580" s="134"/>
      <c r="I580" s="134"/>
      <c r="J580" s="134"/>
      <c r="K580" s="134"/>
      <c r="L580" s="134"/>
      <c r="M580" s="134"/>
      <c r="N580" s="134"/>
      <c r="O580" s="134"/>
      <c r="P580" s="134"/>
      <c r="Q580" s="134"/>
      <c r="R580" s="134"/>
      <c r="S580" s="134"/>
      <c r="T580" s="134"/>
      <c r="U580" s="134"/>
      <c r="V580" s="134"/>
      <c r="W580" s="134"/>
      <c r="X580" s="134"/>
      <c r="Y580" s="134"/>
    </row>
    <row r="581" spans="1:25" ht="12.75">
      <c r="A581" s="147"/>
      <c r="B581" s="133"/>
      <c r="C581" s="134"/>
      <c r="D581" s="135"/>
      <c r="E581" s="134"/>
      <c r="F581" s="134"/>
      <c r="G581" s="134"/>
      <c r="H581" s="134"/>
      <c r="I581" s="134"/>
      <c r="J581" s="134"/>
      <c r="K581" s="134"/>
      <c r="L581" s="134"/>
      <c r="M581" s="134"/>
      <c r="N581" s="134"/>
      <c r="O581" s="134"/>
      <c r="P581" s="134"/>
      <c r="Q581" s="134"/>
      <c r="R581" s="134"/>
      <c r="S581" s="134"/>
      <c r="T581" s="134"/>
      <c r="U581" s="134"/>
      <c r="V581" s="134"/>
      <c r="W581" s="134"/>
      <c r="X581" s="134"/>
      <c r="Y581" s="134"/>
    </row>
    <row r="582" spans="1:25" ht="12.75">
      <c r="A582" s="147"/>
      <c r="B582" s="133"/>
      <c r="C582" s="134"/>
      <c r="D582" s="135"/>
      <c r="E582" s="134"/>
      <c r="F582" s="134"/>
      <c r="G582" s="134"/>
      <c r="H582" s="134"/>
      <c r="I582" s="134"/>
      <c r="J582" s="134"/>
      <c r="K582" s="134"/>
      <c r="L582" s="134"/>
      <c r="M582" s="134"/>
      <c r="N582" s="134"/>
      <c r="O582" s="134"/>
      <c r="P582" s="134"/>
      <c r="Q582" s="134"/>
      <c r="R582" s="134"/>
      <c r="S582" s="134"/>
      <c r="T582" s="134"/>
      <c r="U582" s="134"/>
      <c r="V582" s="134"/>
      <c r="W582" s="134"/>
      <c r="X582" s="134"/>
      <c r="Y582" s="134"/>
    </row>
    <row r="583" spans="1:25" ht="12.75">
      <c r="A583" s="147"/>
      <c r="B583" s="133"/>
      <c r="C583" s="134"/>
      <c r="D583" s="135"/>
      <c r="E583" s="134"/>
      <c r="F583" s="134"/>
      <c r="G583" s="134"/>
      <c r="H583" s="134"/>
      <c r="I583" s="134"/>
      <c r="J583" s="134"/>
      <c r="K583" s="134"/>
      <c r="L583" s="134"/>
      <c r="M583" s="134"/>
      <c r="N583" s="134"/>
      <c r="O583" s="134"/>
      <c r="P583" s="134"/>
      <c r="Q583" s="134"/>
      <c r="R583" s="134"/>
      <c r="S583" s="134"/>
      <c r="T583" s="134"/>
      <c r="U583" s="134"/>
      <c r="V583" s="134"/>
      <c r="W583" s="134"/>
      <c r="X583" s="134"/>
      <c r="Y583" s="134"/>
    </row>
    <row r="584" spans="1:25" ht="12.75">
      <c r="A584" s="147"/>
      <c r="B584" s="133"/>
      <c r="C584" s="134"/>
      <c r="D584" s="135"/>
      <c r="E584" s="134"/>
      <c r="F584" s="134"/>
      <c r="G584" s="134"/>
      <c r="H584" s="134"/>
      <c r="I584" s="134"/>
      <c r="J584" s="134"/>
      <c r="K584" s="134"/>
      <c r="L584" s="134"/>
      <c r="M584" s="134"/>
      <c r="N584" s="134"/>
      <c r="O584" s="134"/>
      <c r="P584" s="134"/>
      <c r="Q584" s="134"/>
      <c r="R584" s="134"/>
      <c r="S584" s="134"/>
      <c r="T584" s="134"/>
      <c r="U584" s="134"/>
      <c r="V584" s="134"/>
      <c r="W584" s="134"/>
      <c r="X584" s="134"/>
      <c r="Y584" s="134"/>
    </row>
    <row r="585" spans="1:25" ht="12.75">
      <c r="A585" s="147"/>
      <c r="B585" s="133"/>
      <c r="C585" s="134"/>
      <c r="D585" s="135"/>
      <c r="E585" s="134"/>
      <c r="F585" s="134"/>
      <c r="G585" s="134"/>
      <c r="H585" s="134"/>
      <c r="I585" s="134"/>
      <c r="J585" s="134"/>
      <c r="K585" s="134"/>
      <c r="L585" s="134"/>
      <c r="M585" s="134"/>
      <c r="N585" s="134"/>
      <c r="O585" s="134"/>
      <c r="P585" s="134"/>
      <c r="Q585" s="134"/>
      <c r="R585" s="134"/>
      <c r="S585" s="134"/>
      <c r="T585" s="134"/>
      <c r="U585" s="134"/>
      <c r="V585" s="134"/>
      <c r="W585" s="134"/>
      <c r="X585" s="134"/>
      <c r="Y585" s="134"/>
    </row>
    <row r="586" spans="1:25" ht="12.75">
      <c r="A586" s="147"/>
      <c r="B586" s="133"/>
      <c r="C586" s="134"/>
      <c r="D586" s="135"/>
      <c r="E586" s="134"/>
      <c r="F586" s="134"/>
      <c r="G586" s="134"/>
      <c r="H586" s="134"/>
      <c r="I586" s="134"/>
      <c r="J586" s="134"/>
      <c r="K586" s="134"/>
      <c r="L586" s="134"/>
      <c r="M586" s="134"/>
      <c r="N586" s="134"/>
      <c r="O586" s="134"/>
      <c r="P586" s="134"/>
      <c r="Q586" s="134"/>
      <c r="R586" s="134"/>
      <c r="S586" s="134"/>
      <c r="T586" s="134"/>
      <c r="U586" s="134"/>
      <c r="V586" s="134"/>
      <c r="W586" s="134"/>
      <c r="X586" s="134"/>
      <c r="Y586" s="134"/>
    </row>
    <row r="587" spans="1:25" ht="12.75">
      <c r="A587" s="147"/>
      <c r="B587" s="133"/>
      <c r="C587" s="134"/>
      <c r="D587" s="135"/>
      <c r="E587" s="134"/>
      <c r="F587" s="134"/>
      <c r="G587" s="134"/>
      <c r="H587" s="134"/>
      <c r="I587" s="134"/>
      <c r="J587" s="134"/>
      <c r="K587" s="134"/>
      <c r="L587" s="134"/>
      <c r="M587" s="134"/>
      <c r="N587" s="134"/>
      <c r="O587" s="134"/>
      <c r="P587" s="134"/>
      <c r="Q587" s="134"/>
      <c r="R587" s="134"/>
      <c r="S587" s="134"/>
      <c r="T587" s="134"/>
      <c r="U587" s="134"/>
      <c r="V587" s="134"/>
      <c r="W587" s="134"/>
      <c r="X587" s="134"/>
      <c r="Y587" s="134"/>
    </row>
    <row r="588" spans="1:25" ht="12.75">
      <c r="A588" s="147"/>
      <c r="B588" s="133"/>
      <c r="C588" s="134"/>
      <c r="D588" s="135"/>
      <c r="E588" s="134"/>
      <c r="F588" s="134"/>
      <c r="G588" s="134"/>
      <c r="H588" s="134"/>
      <c r="I588" s="134"/>
      <c r="J588" s="134"/>
      <c r="K588" s="134"/>
      <c r="L588" s="134"/>
      <c r="M588" s="134"/>
      <c r="N588" s="134"/>
      <c r="O588" s="134"/>
      <c r="P588" s="134"/>
      <c r="Q588" s="134"/>
      <c r="R588" s="134"/>
      <c r="S588" s="134"/>
      <c r="T588" s="134"/>
      <c r="U588" s="134"/>
      <c r="V588" s="134"/>
      <c r="W588" s="134"/>
      <c r="X588" s="134"/>
      <c r="Y588" s="134"/>
    </row>
    <row r="589" spans="1:25" ht="12.75">
      <c r="A589" s="147"/>
      <c r="B589" s="133"/>
      <c r="C589" s="134"/>
      <c r="D589" s="135"/>
      <c r="E589" s="134"/>
      <c r="F589" s="134"/>
      <c r="G589" s="134"/>
      <c r="H589" s="134"/>
      <c r="I589" s="134"/>
      <c r="J589" s="134"/>
      <c r="K589" s="134"/>
      <c r="L589" s="134"/>
      <c r="M589" s="134"/>
      <c r="N589" s="134"/>
      <c r="O589" s="134"/>
      <c r="P589" s="134"/>
      <c r="Q589" s="134"/>
      <c r="R589" s="134"/>
      <c r="S589" s="134"/>
      <c r="T589" s="134"/>
      <c r="U589" s="134"/>
      <c r="V589" s="134"/>
      <c r="W589" s="134"/>
      <c r="X589" s="134"/>
      <c r="Y589" s="134"/>
    </row>
    <row r="590" spans="1:25" ht="12.75">
      <c r="A590" s="147"/>
      <c r="B590" s="133"/>
      <c r="C590" s="134"/>
      <c r="D590" s="135"/>
      <c r="E590" s="134"/>
      <c r="F590" s="134"/>
      <c r="G590" s="134"/>
      <c r="H590" s="134"/>
      <c r="I590" s="134"/>
      <c r="J590" s="134"/>
      <c r="K590" s="134"/>
      <c r="L590" s="134"/>
      <c r="M590" s="134"/>
      <c r="N590" s="134"/>
      <c r="O590" s="134"/>
      <c r="P590" s="134"/>
      <c r="Q590" s="134"/>
      <c r="R590" s="134"/>
      <c r="S590" s="134"/>
      <c r="T590" s="134"/>
      <c r="U590" s="134"/>
      <c r="V590" s="134"/>
      <c r="W590" s="134"/>
      <c r="X590" s="134"/>
      <c r="Y590" s="134"/>
    </row>
    <row r="591" spans="1:25" ht="12.75">
      <c r="A591" s="147"/>
      <c r="B591" s="133"/>
      <c r="C591" s="134"/>
      <c r="D591" s="135"/>
      <c r="E591" s="134"/>
      <c r="F591" s="134"/>
      <c r="G591" s="134"/>
      <c r="H591" s="134"/>
      <c r="I591" s="134"/>
      <c r="J591" s="134"/>
      <c r="K591" s="134"/>
      <c r="L591" s="134"/>
      <c r="M591" s="134"/>
      <c r="N591" s="134"/>
      <c r="O591" s="134"/>
      <c r="P591" s="134"/>
      <c r="Q591" s="134"/>
      <c r="R591" s="134"/>
      <c r="S591" s="134"/>
      <c r="T591" s="134"/>
      <c r="U591" s="134"/>
      <c r="V591" s="134"/>
      <c r="W591" s="134"/>
      <c r="X591" s="134"/>
      <c r="Y591" s="134"/>
    </row>
    <row r="592" spans="1:25" ht="12.75">
      <c r="A592" s="147"/>
      <c r="B592" s="133"/>
      <c r="C592" s="134"/>
      <c r="D592" s="135"/>
      <c r="E592" s="134"/>
      <c r="F592" s="134"/>
      <c r="G592" s="134"/>
      <c r="H592" s="134"/>
      <c r="I592" s="134"/>
      <c r="J592" s="134"/>
      <c r="K592" s="134"/>
      <c r="L592" s="134"/>
      <c r="M592" s="134"/>
      <c r="N592" s="134"/>
      <c r="O592" s="134"/>
      <c r="P592" s="134"/>
      <c r="Q592" s="134"/>
      <c r="R592" s="134"/>
      <c r="S592" s="134"/>
      <c r="T592" s="134"/>
      <c r="U592" s="134"/>
      <c r="V592" s="134"/>
      <c r="W592" s="134"/>
      <c r="X592" s="134"/>
      <c r="Y592" s="134"/>
    </row>
    <row r="593" spans="1:25" ht="12.75">
      <c r="A593" s="147"/>
      <c r="B593" s="133"/>
      <c r="C593" s="134"/>
      <c r="D593" s="135"/>
      <c r="E593" s="134"/>
      <c r="F593" s="134"/>
      <c r="G593" s="134"/>
      <c r="H593" s="134"/>
      <c r="I593" s="134"/>
      <c r="J593" s="134"/>
      <c r="K593" s="134"/>
      <c r="L593" s="134"/>
      <c r="M593" s="134"/>
      <c r="N593" s="134"/>
      <c r="O593" s="134"/>
      <c r="P593" s="134"/>
      <c r="Q593" s="134"/>
      <c r="R593" s="134"/>
      <c r="S593" s="134"/>
      <c r="T593" s="134"/>
      <c r="U593" s="134"/>
      <c r="V593" s="134"/>
      <c r="W593" s="134"/>
      <c r="X593" s="134"/>
      <c r="Y593" s="134"/>
    </row>
    <row r="594" spans="1:25" ht="12.75">
      <c r="A594" s="147"/>
      <c r="B594" s="133"/>
      <c r="C594" s="134"/>
      <c r="D594" s="135"/>
      <c r="E594" s="134"/>
      <c r="F594" s="134"/>
      <c r="G594" s="134"/>
      <c r="H594" s="134"/>
      <c r="I594" s="134"/>
      <c r="J594" s="134"/>
      <c r="K594" s="134"/>
      <c r="L594" s="134"/>
      <c r="M594" s="134"/>
      <c r="N594" s="134"/>
      <c r="O594" s="134"/>
      <c r="P594" s="134"/>
      <c r="Q594" s="134"/>
      <c r="R594" s="134"/>
      <c r="S594" s="134"/>
      <c r="T594" s="134"/>
      <c r="U594" s="134"/>
      <c r="V594" s="134"/>
      <c r="W594" s="134"/>
      <c r="X594" s="134"/>
      <c r="Y594" s="134"/>
    </row>
    <row r="595" spans="1:25" ht="12.75">
      <c r="A595" s="147"/>
      <c r="B595" s="133"/>
      <c r="C595" s="134"/>
      <c r="D595" s="135"/>
      <c r="E595" s="134"/>
      <c r="F595" s="134"/>
      <c r="G595" s="134"/>
      <c r="H595" s="134"/>
      <c r="I595" s="134"/>
      <c r="J595" s="134"/>
      <c r="K595" s="134"/>
      <c r="L595" s="134"/>
      <c r="M595" s="134"/>
      <c r="N595" s="134"/>
      <c r="O595" s="134"/>
      <c r="P595" s="134"/>
      <c r="Q595" s="134"/>
      <c r="R595" s="134"/>
      <c r="S595" s="134"/>
      <c r="T595" s="134"/>
      <c r="U595" s="134"/>
      <c r="V595" s="134"/>
      <c r="W595" s="134"/>
      <c r="X595" s="134"/>
      <c r="Y595" s="134"/>
    </row>
    <row r="596" spans="1:25" ht="12.75">
      <c r="A596" s="147"/>
      <c r="B596" s="133"/>
      <c r="C596" s="134"/>
      <c r="D596" s="135"/>
      <c r="E596" s="134"/>
      <c r="F596" s="134"/>
      <c r="G596" s="134"/>
      <c r="H596" s="134"/>
      <c r="I596" s="134"/>
      <c r="J596" s="134"/>
      <c r="K596" s="134"/>
      <c r="L596" s="134"/>
      <c r="M596" s="134"/>
      <c r="N596" s="134"/>
      <c r="O596" s="134"/>
      <c r="P596" s="134"/>
      <c r="Q596" s="134"/>
      <c r="R596" s="134"/>
      <c r="S596" s="134"/>
      <c r="T596" s="134"/>
      <c r="U596" s="134"/>
      <c r="V596" s="134"/>
      <c r="W596" s="134"/>
      <c r="X596" s="134"/>
      <c r="Y596" s="134"/>
    </row>
    <row r="597" spans="1:25" ht="12.75">
      <c r="A597" s="147"/>
      <c r="B597" s="133"/>
      <c r="C597" s="134"/>
      <c r="D597" s="135"/>
      <c r="E597" s="134"/>
      <c r="F597" s="134"/>
      <c r="G597" s="134"/>
      <c r="H597" s="134"/>
      <c r="I597" s="134"/>
      <c r="J597" s="134"/>
      <c r="K597" s="134"/>
      <c r="L597" s="134"/>
      <c r="M597" s="134"/>
      <c r="N597" s="134"/>
      <c r="O597" s="134"/>
      <c r="P597" s="134"/>
      <c r="Q597" s="134"/>
      <c r="R597" s="134"/>
      <c r="S597" s="134"/>
      <c r="T597" s="134"/>
      <c r="U597" s="134"/>
      <c r="V597" s="134"/>
      <c r="W597" s="134"/>
      <c r="X597" s="134"/>
      <c r="Y597" s="134"/>
    </row>
    <row r="598" spans="1:25" ht="12.75">
      <c r="A598" s="147"/>
      <c r="B598" s="133"/>
      <c r="C598" s="134"/>
      <c r="D598" s="135"/>
      <c r="E598" s="134"/>
      <c r="F598" s="134"/>
      <c r="G598" s="134"/>
      <c r="H598" s="134"/>
      <c r="I598" s="134"/>
      <c r="J598" s="134"/>
      <c r="K598" s="134"/>
      <c r="L598" s="134"/>
      <c r="M598" s="134"/>
      <c r="N598" s="134"/>
      <c r="O598" s="134"/>
      <c r="P598" s="134"/>
      <c r="Q598" s="134"/>
      <c r="R598" s="134"/>
      <c r="S598" s="134"/>
      <c r="T598" s="134"/>
      <c r="U598" s="134"/>
      <c r="V598" s="134"/>
      <c r="W598" s="134"/>
      <c r="X598" s="134"/>
      <c r="Y598" s="134"/>
    </row>
    <row r="599" spans="1:25" ht="12.75">
      <c r="A599" s="147"/>
      <c r="B599" s="133"/>
      <c r="C599" s="134"/>
      <c r="D599" s="135"/>
      <c r="E599" s="134"/>
      <c r="F599" s="134"/>
      <c r="G599" s="134"/>
      <c r="H599" s="134"/>
      <c r="I599" s="134"/>
      <c r="J599" s="134"/>
      <c r="K599" s="134"/>
      <c r="L599" s="134"/>
      <c r="M599" s="134"/>
      <c r="N599" s="134"/>
      <c r="O599" s="134"/>
      <c r="P599" s="134"/>
      <c r="Q599" s="134"/>
      <c r="R599" s="134"/>
      <c r="S599" s="134"/>
      <c r="T599" s="134"/>
      <c r="U599" s="134"/>
      <c r="V599" s="134"/>
      <c r="W599" s="134"/>
      <c r="X599" s="134"/>
      <c r="Y599" s="134"/>
    </row>
    <row r="600" spans="1:25" ht="12.75">
      <c r="A600" s="147"/>
      <c r="B600" s="133"/>
      <c r="C600" s="134"/>
      <c r="D600" s="135"/>
      <c r="E600" s="134"/>
      <c r="F600" s="134"/>
      <c r="G600" s="134"/>
      <c r="H600" s="134"/>
      <c r="I600" s="134"/>
      <c r="J600" s="134"/>
      <c r="K600" s="134"/>
      <c r="L600" s="134"/>
      <c r="M600" s="134"/>
      <c r="N600" s="134"/>
      <c r="O600" s="134"/>
      <c r="P600" s="134"/>
      <c r="Q600" s="134"/>
      <c r="R600" s="134"/>
      <c r="S600" s="134"/>
      <c r="T600" s="134"/>
      <c r="U600" s="134"/>
      <c r="V600" s="134"/>
      <c r="W600" s="134"/>
      <c r="X600" s="134"/>
      <c r="Y600" s="134"/>
    </row>
    <row r="601" spans="1:25" ht="12.75">
      <c r="A601" s="147"/>
      <c r="B601" s="133"/>
      <c r="C601" s="134"/>
      <c r="D601" s="135"/>
      <c r="E601" s="134"/>
      <c r="F601" s="134"/>
      <c r="G601" s="134"/>
      <c r="H601" s="134"/>
      <c r="I601" s="134"/>
      <c r="J601" s="134"/>
      <c r="K601" s="134"/>
      <c r="L601" s="134"/>
      <c r="M601" s="134"/>
      <c r="N601" s="134"/>
      <c r="O601" s="134"/>
      <c r="P601" s="134"/>
      <c r="Q601" s="134"/>
      <c r="R601" s="134"/>
      <c r="S601" s="134"/>
      <c r="T601" s="134"/>
      <c r="U601" s="134"/>
      <c r="V601" s="134"/>
      <c r="W601" s="134"/>
      <c r="X601" s="134"/>
      <c r="Y601" s="134"/>
    </row>
    <row r="602" spans="1:25" ht="12.75">
      <c r="A602" s="147"/>
      <c r="B602" s="133"/>
      <c r="C602" s="134"/>
      <c r="D602" s="135"/>
      <c r="E602" s="134"/>
      <c r="F602" s="134"/>
      <c r="G602" s="134"/>
      <c r="H602" s="134"/>
      <c r="I602" s="134"/>
      <c r="J602" s="134"/>
      <c r="K602" s="134"/>
      <c r="L602" s="134"/>
      <c r="M602" s="134"/>
      <c r="N602" s="134"/>
      <c r="O602" s="134"/>
      <c r="P602" s="134"/>
      <c r="Q602" s="134"/>
      <c r="R602" s="134"/>
      <c r="S602" s="134"/>
      <c r="T602" s="134"/>
      <c r="U602" s="134"/>
      <c r="V602" s="134"/>
      <c r="W602" s="134"/>
      <c r="X602" s="134"/>
      <c r="Y602" s="134"/>
    </row>
    <row r="603" spans="1:25" ht="12.75">
      <c r="A603" s="147"/>
      <c r="B603" s="133"/>
      <c r="C603" s="134"/>
      <c r="D603" s="135"/>
      <c r="E603" s="134"/>
      <c r="F603" s="134"/>
      <c r="G603" s="134"/>
      <c r="H603" s="134"/>
      <c r="I603" s="134"/>
      <c r="J603" s="134"/>
      <c r="K603" s="134"/>
      <c r="L603" s="134"/>
      <c r="M603" s="134"/>
      <c r="N603" s="134"/>
      <c r="O603" s="134"/>
      <c r="P603" s="134"/>
      <c r="Q603" s="134"/>
      <c r="R603" s="134"/>
      <c r="S603" s="134"/>
      <c r="T603" s="134"/>
      <c r="U603" s="134"/>
      <c r="V603" s="134"/>
      <c r="W603" s="134"/>
      <c r="X603" s="134"/>
      <c r="Y603" s="134"/>
    </row>
    <row r="604" spans="1:25" ht="12.75">
      <c r="A604" s="147"/>
      <c r="B604" s="133"/>
      <c r="C604" s="134"/>
      <c r="D604" s="135"/>
      <c r="E604" s="134"/>
      <c r="F604" s="134"/>
      <c r="G604" s="134"/>
      <c r="H604" s="134"/>
      <c r="I604" s="134"/>
      <c r="J604" s="134"/>
      <c r="K604" s="134"/>
      <c r="L604" s="134"/>
      <c r="M604" s="134"/>
      <c r="N604" s="134"/>
      <c r="O604" s="134"/>
      <c r="P604" s="134"/>
      <c r="Q604" s="134"/>
      <c r="R604" s="134"/>
      <c r="S604" s="134"/>
      <c r="T604" s="134"/>
      <c r="U604" s="134"/>
      <c r="V604" s="134"/>
      <c r="W604" s="134"/>
      <c r="X604" s="134"/>
      <c r="Y604" s="134"/>
    </row>
    <row r="605" spans="1:25" ht="12.75">
      <c r="A605" s="147"/>
      <c r="B605" s="133"/>
      <c r="C605" s="134"/>
      <c r="D605" s="135"/>
      <c r="E605" s="134"/>
      <c r="F605" s="134"/>
      <c r="G605" s="134"/>
      <c r="H605" s="134"/>
      <c r="I605" s="134"/>
      <c r="J605" s="134"/>
      <c r="K605" s="134"/>
      <c r="L605" s="134"/>
      <c r="M605" s="134"/>
      <c r="N605" s="134"/>
      <c r="O605" s="134"/>
      <c r="P605" s="134"/>
      <c r="Q605" s="134"/>
      <c r="R605" s="134"/>
      <c r="S605" s="134"/>
      <c r="T605" s="134"/>
      <c r="U605" s="134"/>
      <c r="V605" s="134"/>
      <c r="W605" s="134"/>
      <c r="X605" s="134"/>
      <c r="Y605" s="134"/>
    </row>
    <row r="606" spans="1:25" ht="12.75">
      <c r="A606" s="147"/>
      <c r="B606" s="133"/>
      <c r="C606" s="134"/>
      <c r="D606" s="135"/>
      <c r="E606" s="134"/>
      <c r="F606" s="134"/>
      <c r="G606" s="134"/>
      <c r="H606" s="134"/>
      <c r="I606" s="134"/>
      <c r="J606" s="134"/>
      <c r="K606" s="134"/>
      <c r="L606" s="134"/>
      <c r="M606" s="134"/>
      <c r="N606" s="134"/>
      <c r="O606" s="134"/>
      <c r="P606" s="134"/>
      <c r="Q606" s="134"/>
      <c r="R606" s="134"/>
      <c r="S606" s="134"/>
      <c r="T606" s="134"/>
      <c r="U606" s="134"/>
      <c r="V606" s="134"/>
      <c r="W606" s="134"/>
      <c r="X606" s="134"/>
      <c r="Y606" s="134"/>
    </row>
    <row r="607" spans="1:25" ht="12.75">
      <c r="A607" s="147"/>
      <c r="B607" s="133"/>
      <c r="C607" s="134"/>
      <c r="D607" s="135"/>
      <c r="E607" s="134"/>
      <c r="F607" s="134"/>
      <c r="G607" s="134"/>
      <c r="H607" s="134"/>
      <c r="I607" s="134"/>
      <c r="J607" s="134"/>
      <c r="K607" s="134"/>
      <c r="L607" s="134"/>
      <c r="M607" s="134"/>
      <c r="N607" s="134"/>
      <c r="O607" s="134"/>
      <c r="P607" s="134"/>
      <c r="Q607" s="134"/>
      <c r="R607" s="134"/>
      <c r="S607" s="134"/>
      <c r="T607" s="134"/>
      <c r="U607" s="134"/>
      <c r="V607" s="134"/>
      <c r="W607" s="134"/>
      <c r="X607" s="134"/>
      <c r="Y607" s="134"/>
    </row>
    <row r="608" spans="1:25" ht="12.75">
      <c r="A608" s="147"/>
      <c r="B608" s="133"/>
      <c r="C608" s="134"/>
      <c r="D608" s="135"/>
      <c r="E608" s="134"/>
      <c r="F608" s="134"/>
      <c r="G608" s="134"/>
      <c r="H608" s="134"/>
      <c r="I608" s="134"/>
      <c r="J608" s="134"/>
      <c r="K608" s="134"/>
      <c r="L608" s="134"/>
      <c r="M608" s="134"/>
      <c r="N608" s="134"/>
      <c r="O608" s="134"/>
      <c r="P608" s="134"/>
      <c r="Q608" s="134"/>
      <c r="R608" s="134"/>
      <c r="S608" s="134"/>
      <c r="T608" s="134"/>
      <c r="U608" s="134"/>
      <c r="V608" s="134"/>
      <c r="W608" s="134"/>
      <c r="X608" s="134"/>
      <c r="Y608" s="134"/>
    </row>
    <row r="609" spans="1:25" ht="12.75">
      <c r="A609" s="147"/>
      <c r="B609" s="133"/>
      <c r="C609" s="134"/>
      <c r="D609" s="135"/>
      <c r="E609" s="134"/>
      <c r="F609" s="134"/>
      <c r="G609" s="134"/>
      <c r="H609" s="134"/>
      <c r="I609" s="134"/>
      <c r="J609" s="134"/>
      <c r="K609" s="134"/>
      <c r="L609" s="134"/>
      <c r="M609" s="134"/>
      <c r="N609" s="134"/>
      <c r="O609" s="134"/>
      <c r="P609" s="134"/>
      <c r="Q609" s="134"/>
      <c r="R609" s="134"/>
      <c r="S609" s="134"/>
      <c r="T609" s="134"/>
      <c r="U609" s="134"/>
      <c r="V609" s="134"/>
      <c r="W609" s="134"/>
      <c r="X609" s="134"/>
      <c r="Y609" s="134"/>
    </row>
    <row r="610" spans="1:25" ht="12.75">
      <c r="A610" s="147"/>
      <c r="B610" s="133"/>
      <c r="C610" s="134"/>
      <c r="D610" s="135"/>
      <c r="E610" s="134"/>
      <c r="F610" s="134"/>
      <c r="G610" s="134"/>
      <c r="H610" s="134"/>
      <c r="I610" s="134"/>
      <c r="J610" s="134"/>
      <c r="K610" s="134"/>
      <c r="L610" s="134"/>
      <c r="M610" s="134"/>
      <c r="N610" s="134"/>
      <c r="O610" s="134"/>
      <c r="P610" s="134"/>
      <c r="Q610" s="134"/>
      <c r="R610" s="134"/>
      <c r="S610" s="134"/>
      <c r="T610" s="134"/>
      <c r="U610" s="134"/>
      <c r="V610" s="134"/>
      <c r="W610" s="134"/>
      <c r="X610" s="134"/>
      <c r="Y610" s="134"/>
    </row>
    <row r="611" spans="1:25" ht="12.75">
      <c r="A611" s="147"/>
      <c r="B611" s="133"/>
      <c r="C611" s="134"/>
      <c r="D611" s="135"/>
      <c r="E611" s="134"/>
      <c r="F611" s="134"/>
      <c r="G611" s="134"/>
      <c r="H611" s="134"/>
      <c r="I611" s="134"/>
      <c r="J611" s="134"/>
      <c r="K611" s="134"/>
      <c r="L611" s="134"/>
      <c r="M611" s="134"/>
      <c r="N611" s="134"/>
      <c r="O611" s="134"/>
      <c r="P611" s="134"/>
      <c r="Q611" s="134"/>
      <c r="R611" s="134"/>
      <c r="S611" s="134"/>
      <c r="T611" s="134"/>
      <c r="U611" s="134"/>
      <c r="V611" s="134"/>
      <c r="W611" s="134"/>
      <c r="X611" s="134"/>
      <c r="Y611" s="134"/>
    </row>
    <row r="612" spans="1:25" ht="12.75">
      <c r="A612" s="147"/>
      <c r="B612" s="133"/>
      <c r="C612" s="134"/>
      <c r="D612" s="135"/>
      <c r="E612" s="134"/>
      <c r="F612" s="134"/>
      <c r="G612" s="134"/>
      <c r="H612" s="134"/>
      <c r="I612" s="134"/>
      <c r="J612" s="134"/>
      <c r="K612" s="134"/>
      <c r="L612" s="134"/>
      <c r="M612" s="134"/>
      <c r="N612" s="134"/>
      <c r="O612" s="134"/>
      <c r="P612" s="134"/>
      <c r="Q612" s="134"/>
      <c r="R612" s="134"/>
      <c r="S612" s="134"/>
      <c r="T612" s="134"/>
      <c r="U612" s="134"/>
      <c r="V612" s="134"/>
      <c r="W612" s="134"/>
      <c r="X612" s="134"/>
      <c r="Y612" s="134"/>
    </row>
    <row r="613" spans="1:25" ht="12.75">
      <c r="A613" s="147"/>
      <c r="B613" s="133"/>
      <c r="C613" s="134"/>
      <c r="D613" s="135"/>
      <c r="E613" s="134"/>
      <c r="F613" s="134"/>
      <c r="G613" s="134"/>
      <c r="H613" s="134"/>
      <c r="I613" s="134"/>
      <c r="J613" s="134"/>
      <c r="K613" s="134"/>
      <c r="L613" s="134"/>
      <c r="M613" s="134"/>
      <c r="N613" s="134"/>
      <c r="O613" s="134"/>
      <c r="P613" s="134"/>
      <c r="Q613" s="134"/>
      <c r="R613" s="134"/>
      <c r="S613" s="134"/>
      <c r="T613" s="134"/>
      <c r="U613" s="134"/>
      <c r="V613" s="134"/>
      <c r="W613" s="134"/>
      <c r="X613" s="134"/>
      <c r="Y613" s="134"/>
    </row>
    <row r="614" spans="1:25" ht="12.75">
      <c r="A614" s="147"/>
      <c r="B614" s="133"/>
      <c r="C614" s="134"/>
      <c r="D614" s="135"/>
      <c r="E614" s="134"/>
      <c r="F614" s="134"/>
      <c r="G614" s="134"/>
      <c r="H614" s="134"/>
      <c r="I614" s="134"/>
      <c r="J614" s="134"/>
      <c r="K614" s="134"/>
      <c r="L614" s="134"/>
      <c r="M614" s="134"/>
      <c r="N614" s="134"/>
      <c r="O614" s="134"/>
      <c r="P614" s="134"/>
      <c r="Q614" s="134"/>
      <c r="R614" s="134"/>
      <c r="S614" s="134"/>
      <c r="T614" s="134"/>
      <c r="U614" s="134"/>
      <c r="V614" s="134"/>
      <c r="W614" s="134"/>
      <c r="X614" s="134"/>
      <c r="Y614" s="134"/>
    </row>
    <row r="615" spans="1:25" ht="12.75">
      <c r="A615" s="147"/>
      <c r="B615" s="133"/>
      <c r="C615" s="134"/>
      <c r="D615" s="135"/>
      <c r="E615" s="134"/>
      <c r="F615" s="134"/>
      <c r="G615" s="134"/>
      <c r="H615" s="134"/>
      <c r="I615" s="134"/>
      <c r="J615" s="134"/>
      <c r="K615" s="134"/>
      <c r="L615" s="134"/>
      <c r="M615" s="134"/>
      <c r="N615" s="134"/>
      <c r="O615" s="134"/>
      <c r="P615" s="134"/>
      <c r="Q615" s="134"/>
      <c r="R615" s="134"/>
      <c r="S615" s="134"/>
      <c r="T615" s="134"/>
      <c r="U615" s="134"/>
      <c r="V615" s="134"/>
      <c r="W615" s="134"/>
      <c r="X615" s="134"/>
      <c r="Y615" s="134"/>
    </row>
    <row r="616" spans="1:25" ht="12.75">
      <c r="A616" s="147"/>
      <c r="B616" s="133"/>
      <c r="C616" s="134"/>
      <c r="D616" s="135"/>
      <c r="E616" s="134"/>
      <c r="F616" s="134"/>
      <c r="G616" s="134"/>
      <c r="H616" s="134"/>
      <c r="I616" s="134"/>
      <c r="J616" s="134"/>
      <c r="K616" s="134"/>
      <c r="L616" s="134"/>
      <c r="M616" s="134"/>
      <c r="N616" s="134"/>
      <c r="O616" s="134"/>
      <c r="P616" s="134"/>
      <c r="Q616" s="134"/>
      <c r="R616" s="134"/>
      <c r="S616" s="134"/>
      <c r="T616" s="134"/>
      <c r="U616" s="134"/>
      <c r="V616" s="134"/>
      <c r="W616" s="134"/>
      <c r="X616" s="134"/>
      <c r="Y616" s="134"/>
    </row>
    <row r="617" spans="1:25" ht="12.75">
      <c r="A617" s="147"/>
      <c r="B617" s="133"/>
      <c r="C617" s="134"/>
      <c r="D617" s="135"/>
      <c r="E617" s="134"/>
      <c r="F617" s="134"/>
      <c r="G617" s="134"/>
      <c r="H617" s="134"/>
      <c r="I617" s="134"/>
      <c r="J617" s="134"/>
      <c r="K617" s="134"/>
      <c r="L617" s="134"/>
      <c r="M617" s="134"/>
      <c r="N617" s="134"/>
      <c r="O617" s="134"/>
      <c r="P617" s="134"/>
      <c r="Q617" s="134"/>
      <c r="R617" s="134"/>
      <c r="S617" s="134"/>
      <c r="T617" s="134"/>
      <c r="U617" s="134"/>
      <c r="V617" s="134"/>
      <c r="W617" s="134"/>
      <c r="X617" s="134"/>
      <c r="Y617" s="134"/>
    </row>
    <row r="618" spans="1:25" ht="12.75">
      <c r="A618" s="147"/>
      <c r="B618" s="133"/>
      <c r="C618" s="134"/>
      <c r="D618" s="135"/>
      <c r="E618" s="134"/>
      <c r="F618" s="134"/>
      <c r="G618" s="134"/>
      <c r="H618" s="134"/>
      <c r="I618" s="134"/>
      <c r="J618" s="134"/>
      <c r="K618" s="134"/>
      <c r="L618" s="134"/>
      <c r="M618" s="134"/>
      <c r="N618" s="134"/>
      <c r="O618" s="134"/>
      <c r="P618" s="134"/>
      <c r="Q618" s="134"/>
      <c r="R618" s="134"/>
      <c r="S618" s="134"/>
      <c r="T618" s="134"/>
      <c r="U618" s="134"/>
      <c r="V618" s="134"/>
      <c r="W618" s="134"/>
      <c r="X618" s="134"/>
      <c r="Y618" s="134"/>
    </row>
    <row r="619" spans="1:25" ht="12.75">
      <c r="A619" s="147"/>
      <c r="B619" s="133"/>
      <c r="C619" s="134"/>
      <c r="D619" s="135"/>
      <c r="E619" s="134"/>
      <c r="F619" s="134"/>
      <c r="G619" s="134"/>
      <c r="H619" s="134"/>
      <c r="I619" s="134"/>
      <c r="J619" s="134"/>
      <c r="K619" s="134"/>
      <c r="L619" s="134"/>
      <c r="M619" s="134"/>
      <c r="N619" s="134"/>
      <c r="O619" s="134"/>
      <c r="P619" s="134"/>
      <c r="Q619" s="134"/>
      <c r="R619" s="134"/>
      <c r="S619" s="134"/>
      <c r="T619" s="134"/>
      <c r="U619" s="134"/>
      <c r="V619" s="134"/>
      <c r="W619" s="134"/>
      <c r="X619" s="134"/>
      <c r="Y619" s="134"/>
    </row>
    <row r="620" spans="1:25" ht="12.75">
      <c r="A620" s="147"/>
      <c r="B620" s="133"/>
      <c r="C620" s="134"/>
      <c r="D620" s="135"/>
      <c r="E620" s="134"/>
      <c r="F620" s="134"/>
      <c r="G620" s="134"/>
      <c r="H620" s="134"/>
      <c r="I620" s="134"/>
      <c r="J620" s="134"/>
      <c r="K620" s="134"/>
      <c r="L620" s="134"/>
      <c r="M620" s="134"/>
      <c r="N620" s="134"/>
      <c r="O620" s="134"/>
      <c r="P620" s="134"/>
      <c r="Q620" s="134"/>
      <c r="R620" s="134"/>
      <c r="S620" s="134"/>
      <c r="T620" s="134"/>
      <c r="U620" s="134"/>
      <c r="V620" s="134"/>
      <c r="W620" s="134"/>
      <c r="X620" s="134"/>
      <c r="Y620" s="134"/>
    </row>
    <row r="621" spans="1:25" ht="12.75">
      <c r="A621" s="147"/>
      <c r="B621" s="133"/>
      <c r="C621" s="134"/>
      <c r="D621" s="135"/>
      <c r="E621" s="134"/>
      <c r="F621" s="134"/>
      <c r="G621" s="134"/>
      <c r="H621" s="134"/>
      <c r="I621" s="134"/>
      <c r="J621" s="134"/>
      <c r="K621" s="134"/>
      <c r="L621" s="134"/>
      <c r="M621" s="134"/>
      <c r="N621" s="134"/>
      <c r="O621" s="134"/>
      <c r="P621" s="134"/>
      <c r="Q621" s="134"/>
      <c r="R621" s="134"/>
      <c r="S621" s="134"/>
      <c r="T621" s="134"/>
      <c r="U621" s="134"/>
      <c r="V621" s="134"/>
      <c r="W621" s="134"/>
      <c r="X621" s="134"/>
      <c r="Y621" s="134"/>
    </row>
    <row r="622" spans="1:25" ht="12.75">
      <c r="A622" s="147"/>
      <c r="B622" s="133"/>
      <c r="C622" s="134"/>
      <c r="D622" s="135"/>
      <c r="E622" s="134"/>
      <c r="F622" s="134"/>
      <c r="G622" s="134"/>
      <c r="H622" s="134"/>
      <c r="I622" s="134"/>
      <c r="J622" s="134"/>
      <c r="K622" s="134"/>
      <c r="L622" s="134"/>
      <c r="M622" s="134"/>
      <c r="N622" s="134"/>
      <c r="O622" s="134"/>
      <c r="P622" s="134"/>
      <c r="Q622" s="134"/>
      <c r="R622" s="134"/>
      <c r="S622" s="134"/>
      <c r="T622" s="134"/>
      <c r="U622" s="134"/>
      <c r="V622" s="134"/>
      <c r="W622" s="134"/>
      <c r="X622" s="134"/>
      <c r="Y622" s="134"/>
    </row>
    <row r="623" spans="1:25" ht="12.75">
      <c r="A623" s="147"/>
      <c r="B623" s="133"/>
      <c r="C623" s="134"/>
      <c r="D623" s="135"/>
      <c r="E623" s="134"/>
      <c r="F623" s="134"/>
      <c r="G623" s="134"/>
      <c r="H623" s="134"/>
      <c r="I623" s="134"/>
      <c r="J623" s="134"/>
      <c r="K623" s="134"/>
      <c r="L623" s="134"/>
      <c r="M623" s="134"/>
      <c r="N623" s="134"/>
      <c r="O623" s="134"/>
      <c r="P623" s="134"/>
      <c r="Q623" s="134"/>
      <c r="R623" s="134"/>
      <c r="S623" s="134"/>
      <c r="T623" s="134"/>
      <c r="U623" s="134"/>
      <c r="V623" s="134"/>
      <c r="W623" s="134"/>
      <c r="X623" s="134"/>
      <c r="Y623" s="134"/>
    </row>
    <row r="624" spans="1:25" ht="12.75">
      <c r="A624" s="147"/>
      <c r="B624" s="133"/>
      <c r="C624" s="134"/>
      <c r="D624" s="135"/>
      <c r="E624" s="134"/>
      <c r="F624" s="134"/>
      <c r="G624" s="134"/>
      <c r="H624" s="134"/>
      <c r="I624" s="134"/>
      <c r="J624" s="134"/>
      <c r="K624" s="134"/>
      <c r="L624" s="134"/>
      <c r="M624" s="134"/>
      <c r="N624" s="134"/>
      <c r="O624" s="134"/>
      <c r="P624" s="134"/>
      <c r="Q624" s="134"/>
      <c r="R624" s="134"/>
      <c r="S624" s="134"/>
      <c r="T624" s="134"/>
      <c r="U624" s="134"/>
      <c r="V624" s="134"/>
      <c r="W624" s="134"/>
      <c r="X624" s="134"/>
      <c r="Y624" s="134"/>
    </row>
    <row r="625" spans="1:25" ht="12.75">
      <c r="A625" s="147"/>
      <c r="B625" s="133"/>
      <c r="C625" s="134"/>
      <c r="D625" s="135"/>
      <c r="E625" s="134"/>
      <c r="F625" s="134"/>
      <c r="G625" s="134"/>
      <c r="H625" s="134"/>
      <c r="I625" s="134"/>
      <c r="J625" s="134"/>
      <c r="K625" s="134"/>
      <c r="L625" s="134"/>
      <c r="M625" s="134"/>
      <c r="N625" s="134"/>
      <c r="O625" s="134"/>
      <c r="P625" s="134"/>
      <c r="Q625" s="134"/>
      <c r="R625" s="134"/>
      <c r="S625" s="134"/>
      <c r="T625" s="134"/>
      <c r="U625" s="134"/>
      <c r="V625" s="134"/>
      <c r="W625" s="134"/>
      <c r="X625" s="134"/>
      <c r="Y625" s="134"/>
    </row>
    <row r="626" spans="1:25" ht="12.75">
      <c r="A626" s="147"/>
      <c r="B626" s="133"/>
      <c r="C626" s="134"/>
      <c r="D626" s="135"/>
      <c r="E626" s="134"/>
      <c r="F626" s="134"/>
      <c r="G626" s="134"/>
      <c r="H626" s="134"/>
      <c r="I626" s="134"/>
      <c r="J626" s="134"/>
      <c r="K626" s="134"/>
      <c r="L626" s="134"/>
      <c r="M626" s="134"/>
      <c r="N626" s="134"/>
      <c r="O626" s="134"/>
      <c r="P626" s="134"/>
      <c r="Q626" s="134"/>
      <c r="R626" s="134"/>
      <c r="S626" s="134"/>
      <c r="T626" s="134"/>
      <c r="U626" s="134"/>
      <c r="V626" s="134"/>
      <c r="W626" s="134"/>
      <c r="X626" s="134"/>
      <c r="Y626" s="134"/>
    </row>
    <row r="627" spans="1:25" ht="12.75">
      <c r="A627" s="147"/>
      <c r="B627" s="133"/>
      <c r="C627" s="134"/>
      <c r="D627" s="135"/>
      <c r="E627" s="134"/>
      <c r="F627" s="134"/>
      <c r="G627" s="134"/>
      <c r="H627" s="134"/>
      <c r="I627" s="134"/>
      <c r="J627" s="134"/>
      <c r="K627" s="134"/>
      <c r="L627" s="134"/>
      <c r="M627" s="134"/>
      <c r="N627" s="134"/>
      <c r="O627" s="134"/>
      <c r="P627" s="134"/>
      <c r="Q627" s="134"/>
      <c r="R627" s="134"/>
      <c r="S627" s="134"/>
      <c r="T627" s="134"/>
      <c r="U627" s="134"/>
      <c r="V627" s="134"/>
      <c r="W627" s="134"/>
      <c r="X627" s="134"/>
      <c r="Y627" s="134"/>
    </row>
    <row r="628" spans="1:25" ht="12.75">
      <c r="A628" s="147"/>
      <c r="B628" s="133"/>
      <c r="C628" s="134"/>
      <c r="D628" s="135"/>
      <c r="E628" s="134"/>
      <c r="F628" s="134"/>
      <c r="G628" s="134"/>
      <c r="H628" s="134"/>
      <c r="I628" s="134"/>
      <c r="J628" s="134"/>
      <c r="K628" s="134"/>
      <c r="L628" s="134"/>
      <c r="M628" s="134"/>
      <c r="N628" s="134"/>
      <c r="O628" s="134"/>
      <c r="P628" s="134"/>
      <c r="Q628" s="134"/>
      <c r="R628" s="134"/>
      <c r="S628" s="134"/>
      <c r="T628" s="134"/>
      <c r="U628" s="134"/>
      <c r="V628" s="134"/>
      <c r="W628" s="134"/>
      <c r="X628" s="134"/>
      <c r="Y628" s="134"/>
    </row>
    <row r="629" spans="1:25" ht="12.75">
      <c r="A629" s="147"/>
      <c r="B629" s="133"/>
      <c r="C629" s="134"/>
      <c r="D629" s="135"/>
      <c r="E629" s="134"/>
      <c r="F629" s="134"/>
      <c r="G629" s="134"/>
      <c r="H629" s="134"/>
      <c r="I629" s="134"/>
      <c r="J629" s="134"/>
      <c r="K629" s="134"/>
      <c r="L629" s="134"/>
      <c r="M629" s="134"/>
      <c r="N629" s="134"/>
      <c r="O629" s="134"/>
      <c r="P629" s="134"/>
      <c r="Q629" s="134"/>
      <c r="R629" s="134"/>
      <c r="S629" s="134"/>
      <c r="T629" s="134"/>
      <c r="U629" s="134"/>
      <c r="V629" s="134"/>
      <c r="W629" s="134"/>
      <c r="X629" s="134"/>
      <c r="Y629" s="134"/>
    </row>
    <row r="630" spans="1:25" ht="12.75">
      <c r="A630" s="147"/>
      <c r="B630" s="133"/>
      <c r="C630" s="134"/>
      <c r="D630" s="135"/>
      <c r="E630" s="134"/>
      <c r="F630" s="134"/>
      <c r="G630" s="134"/>
      <c r="H630" s="134"/>
      <c r="I630" s="134"/>
      <c r="J630" s="134"/>
      <c r="K630" s="134"/>
      <c r="L630" s="134"/>
      <c r="M630" s="134"/>
      <c r="N630" s="134"/>
      <c r="O630" s="134"/>
      <c r="P630" s="134"/>
      <c r="Q630" s="134"/>
      <c r="R630" s="134"/>
      <c r="S630" s="134"/>
      <c r="T630" s="134"/>
      <c r="U630" s="134"/>
      <c r="V630" s="134"/>
      <c r="W630" s="134"/>
      <c r="X630" s="134"/>
      <c r="Y630" s="134"/>
    </row>
    <row r="631" spans="1:25" ht="12.75">
      <c r="A631" s="147"/>
      <c r="B631" s="133"/>
      <c r="C631" s="134"/>
      <c r="D631" s="135"/>
      <c r="E631" s="134"/>
      <c r="F631" s="134"/>
      <c r="G631" s="134"/>
      <c r="H631" s="134"/>
      <c r="I631" s="134"/>
      <c r="J631" s="134"/>
      <c r="K631" s="134"/>
      <c r="L631" s="134"/>
      <c r="M631" s="134"/>
      <c r="N631" s="134"/>
      <c r="O631" s="134"/>
      <c r="P631" s="134"/>
      <c r="Q631" s="134"/>
      <c r="R631" s="134"/>
      <c r="S631" s="134"/>
      <c r="T631" s="134"/>
      <c r="U631" s="134"/>
      <c r="V631" s="134"/>
      <c r="W631" s="134"/>
      <c r="X631" s="134"/>
      <c r="Y631" s="134"/>
    </row>
    <row r="632" spans="1:25" ht="12.75">
      <c r="A632" s="147"/>
      <c r="B632" s="133"/>
      <c r="C632" s="134"/>
      <c r="D632" s="135"/>
      <c r="E632" s="134"/>
      <c r="F632" s="134"/>
      <c r="G632" s="134"/>
      <c r="H632" s="134"/>
      <c r="I632" s="134"/>
      <c r="J632" s="134"/>
      <c r="K632" s="134"/>
      <c r="L632" s="134"/>
      <c r="M632" s="134"/>
      <c r="N632" s="134"/>
      <c r="O632" s="134"/>
      <c r="P632" s="134"/>
      <c r="Q632" s="134"/>
      <c r="R632" s="134"/>
      <c r="S632" s="134"/>
      <c r="T632" s="134"/>
      <c r="U632" s="134"/>
      <c r="V632" s="134"/>
      <c r="W632" s="134"/>
      <c r="X632" s="134"/>
      <c r="Y632" s="134"/>
    </row>
    <row r="633" spans="1:25" ht="12.75">
      <c r="A633" s="147"/>
      <c r="B633" s="133"/>
      <c r="C633" s="134"/>
      <c r="D633" s="135"/>
      <c r="E633" s="134"/>
      <c r="F633" s="134"/>
      <c r="G633" s="134"/>
      <c r="H633" s="134"/>
      <c r="I633" s="134"/>
      <c r="J633" s="134"/>
      <c r="K633" s="134"/>
      <c r="L633" s="134"/>
      <c r="M633" s="134"/>
      <c r="N633" s="134"/>
      <c r="O633" s="134"/>
      <c r="P633" s="134"/>
      <c r="Q633" s="134"/>
      <c r="R633" s="134"/>
      <c r="S633" s="134"/>
      <c r="T633" s="134"/>
      <c r="U633" s="134"/>
      <c r="V633" s="134"/>
      <c r="W633" s="134"/>
      <c r="X633" s="134"/>
      <c r="Y633" s="134"/>
    </row>
    <row r="634" spans="1:25" ht="12.75">
      <c r="A634" s="147"/>
      <c r="B634" s="133"/>
      <c r="C634" s="134"/>
      <c r="D634" s="135"/>
      <c r="E634" s="134"/>
      <c r="F634" s="134"/>
      <c r="G634" s="134"/>
      <c r="H634" s="134"/>
      <c r="I634" s="134"/>
      <c r="J634" s="134"/>
      <c r="K634" s="134"/>
      <c r="L634" s="134"/>
      <c r="M634" s="134"/>
      <c r="N634" s="134"/>
      <c r="O634" s="134"/>
      <c r="P634" s="134"/>
      <c r="Q634" s="134"/>
      <c r="R634" s="134"/>
      <c r="S634" s="134"/>
      <c r="T634" s="134"/>
      <c r="U634" s="134"/>
      <c r="V634" s="134"/>
      <c r="W634" s="134"/>
      <c r="X634" s="134"/>
      <c r="Y634" s="134"/>
    </row>
    <row r="635" spans="1:25" ht="12.75">
      <c r="A635" s="147"/>
      <c r="B635" s="133"/>
      <c r="C635" s="134"/>
      <c r="D635" s="135"/>
      <c r="E635" s="134"/>
      <c r="F635" s="134"/>
      <c r="G635" s="134"/>
      <c r="H635" s="134"/>
      <c r="I635" s="134"/>
      <c r="J635" s="134"/>
      <c r="K635" s="134"/>
      <c r="L635" s="134"/>
      <c r="M635" s="134"/>
      <c r="N635" s="134"/>
      <c r="O635" s="134"/>
      <c r="P635" s="134"/>
      <c r="Q635" s="134"/>
      <c r="R635" s="134"/>
      <c r="S635" s="134"/>
      <c r="T635" s="134"/>
      <c r="U635" s="134"/>
      <c r="V635" s="134"/>
      <c r="W635" s="134"/>
      <c r="X635" s="134"/>
      <c r="Y635" s="134"/>
    </row>
    <row r="636" spans="1:25" ht="12.75">
      <c r="A636" s="147"/>
      <c r="B636" s="133"/>
      <c r="C636" s="134"/>
      <c r="D636" s="135"/>
      <c r="E636" s="134"/>
      <c r="F636" s="134"/>
      <c r="G636" s="134"/>
      <c r="H636" s="134"/>
      <c r="I636" s="134"/>
      <c r="J636" s="134"/>
      <c r="K636" s="134"/>
      <c r="L636" s="134"/>
      <c r="M636" s="134"/>
      <c r="N636" s="134"/>
      <c r="O636" s="134"/>
      <c r="P636" s="134"/>
      <c r="Q636" s="134"/>
      <c r="R636" s="134"/>
      <c r="S636" s="134"/>
      <c r="T636" s="134"/>
      <c r="U636" s="134"/>
      <c r="V636" s="134"/>
      <c r="W636" s="134"/>
      <c r="X636" s="134"/>
      <c r="Y636" s="134"/>
    </row>
    <row r="637" spans="1:25" ht="12.75">
      <c r="A637" s="147"/>
      <c r="B637" s="133"/>
      <c r="C637" s="134"/>
      <c r="D637" s="135"/>
      <c r="E637" s="134"/>
      <c r="F637" s="134"/>
      <c r="G637" s="134"/>
      <c r="H637" s="134"/>
      <c r="I637" s="134"/>
      <c r="J637" s="134"/>
      <c r="K637" s="134"/>
      <c r="L637" s="134"/>
      <c r="M637" s="134"/>
      <c r="N637" s="134"/>
      <c r="O637" s="134"/>
      <c r="P637" s="134"/>
      <c r="Q637" s="134"/>
      <c r="R637" s="134"/>
      <c r="S637" s="134"/>
      <c r="T637" s="134"/>
      <c r="U637" s="134"/>
      <c r="V637" s="134"/>
      <c r="W637" s="134"/>
      <c r="X637" s="134"/>
      <c r="Y637" s="134"/>
    </row>
    <row r="638" spans="1:25" ht="12.75">
      <c r="A638" s="147"/>
      <c r="B638" s="133"/>
      <c r="C638" s="134"/>
      <c r="D638" s="135"/>
      <c r="E638" s="134"/>
      <c r="F638" s="134"/>
      <c r="G638" s="134"/>
      <c r="H638" s="134"/>
      <c r="I638" s="134"/>
      <c r="J638" s="134"/>
      <c r="K638" s="134"/>
      <c r="L638" s="134"/>
      <c r="M638" s="134"/>
      <c r="N638" s="134"/>
      <c r="O638" s="134"/>
      <c r="P638" s="134"/>
      <c r="Q638" s="134"/>
      <c r="R638" s="134"/>
      <c r="S638" s="134"/>
      <c r="T638" s="134"/>
      <c r="U638" s="134"/>
      <c r="V638" s="134"/>
      <c r="W638" s="134"/>
      <c r="X638" s="134"/>
      <c r="Y638" s="134"/>
    </row>
    <row r="639" spans="1:25" ht="12.75">
      <c r="A639" s="147"/>
      <c r="B639" s="133"/>
      <c r="C639" s="134"/>
      <c r="D639" s="135"/>
      <c r="E639" s="134"/>
      <c r="F639" s="134"/>
      <c r="G639" s="134"/>
      <c r="H639" s="134"/>
      <c r="I639" s="134"/>
      <c r="J639" s="134"/>
      <c r="K639" s="134"/>
      <c r="L639" s="134"/>
      <c r="M639" s="134"/>
      <c r="N639" s="134"/>
      <c r="O639" s="134"/>
      <c r="P639" s="134"/>
      <c r="Q639" s="134"/>
      <c r="R639" s="134"/>
      <c r="S639" s="134"/>
      <c r="T639" s="134"/>
      <c r="U639" s="134"/>
      <c r="V639" s="134"/>
      <c r="W639" s="134"/>
      <c r="X639" s="134"/>
      <c r="Y639" s="134"/>
    </row>
    <row r="640" spans="1:25" ht="12.75">
      <c r="A640" s="147"/>
      <c r="B640" s="133"/>
      <c r="C640" s="134"/>
      <c r="D640" s="135"/>
      <c r="E640" s="134"/>
      <c r="F640" s="134"/>
      <c r="G640" s="134"/>
      <c r="H640" s="134"/>
      <c r="I640" s="134"/>
      <c r="J640" s="134"/>
      <c r="K640" s="134"/>
      <c r="L640" s="134"/>
      <c r="M640" s="134"/>
      <c r="N640" s="134"/>
      <c r="O640" s="134"/>
      <c r="P640" s="134"/>
      <c r="Q640" s="134"/>
      <c r="R640" s="134"/>
      <c r="S640" s="134"/>
      <c r="T640" s="134"/>
      <c r="U640" s="134"/>
      <c r="V640" s="134"/>
      <c r="W640" s="134"/>
      <c r="X640" s="134"/>
      <c r="Y640" s="134"/>
    </row>
    <row r="641" spans="1:25" ht="12.75">
      <c r="A641" s="147"/>
      <c r="B641" s="133"/>
      <c r="C641" s="134"/>
      <c r="D641" s="135"/>
      <c r="E641" s="134"/>
      <c r="F641" s="134"/>
      <c r="G641" s="134"/>
      <c r="H641" s="134"/>
      <c r="I641" s="134"/>
      <c r="J641" s="134"/>
      <c r="K641" s="134"/>
      <c r="L641" s="134"/>
      <c r="M641" s="134"/>
      <c r="N641" s="134"/>
      <c r="O641" s="134"/>
      <c r="P641" s="134"/>
      <c r="Q641" s="134"/>
      <c r="R641" s="134"/>
      <c r="S641" s="134"/>
      <c r="T641" s="134"/>
      <c r="U641" s="134"/>
      <c r="V641" s="134"/>
      <c r="W641" s="134"/>
      <c r="X641" s="134"/>
      <c r="Y641" s="134"/>
    </row>
    <row r="642" spans="1:25" ht="12.75">
      <c r="A642" s="147"/>
      <c r="B642" s="133"/>
      <c r="C642" s="134"/>
      <c r="D642" s="135"/>
      <c r="E642" s="134"/>
      <c r="F642" s="134"/>
      <c r="G642" s="134"/>
      <c r="H642" s="134"/>
      <c r="I642" s="134"/>
      <c r="J642" s="134"/>
      <c r="K642" s="134"/>
      <c r="L642" s="134"/>
      <c r="M642" s="134"/>
      <c r="N642" s="134"/>
      <c r="O642" s="134"/>
      <c r="P642" s="134"/>
      <c r="Q642" s="134"/>
      <c r="R642" s="134"/>
      <c r="S642" s="134"/>
      <c r="T642" s="134"/>
      <c r="U642" s="134"/>
      <c r="V642" s="134"/>
      <c r="W642" s="134"/>
      <c r="X642" s="134"/>
      <c r="Y642" s="134"/>
    </row>
    <row r="643" spans="1:25" ht="12.75">
      <c r="A643" s="147"/>
      <c r="B643" s="133"/>
      <c r="C643" s="134"/>
      <c r="D643" s="135"/>
      <c r="E643" s="134"/>
      <c r="F643" s="134"/>
      <c r="G643" s="134"/>
      <c r="H643" s="134"/>
      <c r="I643" s="134"/>
      <c r="J643" s="134"/>
      <c r="K643" s="134"/>
      <c r="L643" s="134"/>
      <c r="M643" s="134"/>
      <c r="N643" s="134"/>
      <c r="O643" s="134"/>
      <c r="P643" s="134"/>
      <c r="Q643" s="134"/>
      <c r="R643" s="134"/>
      <c r="S643" s="134"/>
      <c r="T643" s="134"/>
      <c r="U643" s="134"/>
      <c r="V643" s="134"/>
      <c r="W643" s="134"/>
      <c r="X643" s="134"/>
      <c r="Y643" s="134"/>
    </row>
    <row r="644" spans="1:25" ht="12.75">
      <c r="A644" s="147"/>
      <c r="B644" s="133"/>
      <c r="C644" s="134"/>
      <c r="D644" s="135"/>
      <c r="E644" s="134"/>
      <c r="F644" s="134"/>
      <c r="G644" s="134"/>
      <c r="H644" s="134"/>
      <c r="I644" s="134"/>
      <c r="J644" s="134"/>
      <c r="K644" s="134"/>
      <c r="L644" s="134"/>
      <c r="M644" s="134"/>
      <c r="N644" s="134"/>
      <c r="O644" s="134"/>
      <c r="P644" s="134"/>
      <c r="Q644" s="134"/>
      <c r="R644" s="134"/>
      <c r="S644" s="134"/>
      <c r="T644" s="134"/>
      <c r="U644" s="134"/>
      <c r="V644" s="134"/>
      <c r="W644" s="134"/>
      <c r="X644" s="134"/>
      <c r="Y644" s="134"/>
    </row>
    <row r="645" spans="1:25" ht="12.75">
      <c r="A645" s="147"/>
      <c r="B645" s="133"/>
      <c r="C645" s="134"/>
      <c r="D645" s="135"/>
      <c r="E645" s="134"/>
      <c r="F645" s="134"/>
      <c r="G645" s="134"/>
      <c r="H645" s="134"/>
      <c r="I645" s="134"/>
      <c r="J645" s="134"/>
      <c r="K645" s="134"/>
      <c r="L645" s="134"/>
      <c r="M645" s="134"/>
      <c r="N645" s="134"/>
      <c r="O645" s="134"/>
      <c r="P645" s="134"/>
      <c r="Q645" s="134"/>
      <c r="R645" s="134"/>
      <c r="S645" s="134"/>
      <c r="T645" s="134"/>
      <c r="U645" s="134"/>
      <c r="V645" s="134"/>
      <c r="W645" s="134"/>
      <c r="X645" s="134"/>
      <c r="Y645" s="134"/>
    </row>
    <row r="646" spans="1:25" ht="12.75">
      <c r="A646" s="147"/>
      <c r="B646" s="133"/>
      <c r="C646" s="134"/>
      <c r="D646" s="135"/>
      <c r="E646" s="134"/>
      <c r="F646" s="134"/>
      <c r="G646" s="134"/>
      <c r="H646" s="134"/>
      <c r="I646" s="134"/>
      <c r="J646" s="134"/>
      <c r="K646" s="134"/>
      <c r="L646" s="134"/>
      <c r="M646" s="134"/>
      <c r="N646" s="134"/>
      <c r="O646" s="134"/>
      <c r="P646" s="134"/>
      <c r="Q646" s="134"/>
      <c r="R646" s="134"/>
      <c r="S646" s="134"/>
      <c r="T646" s="134"/>
      <c r="U646" s="134"/>
      <c r="V646" s="134"/>
      <c r="W646" s="134"/>
      <c r="X646" s="134"/>
      <c r="Y646" s="134"/>
    </row>
    <row r="647" spans="1:25" ht="12.75">
      <c r="A647" s="147"/>
      <c r="B647" s="133"/>
      <c r="C647" s="134"/>
      <c r="D647" s="135"/>
      <c r="E647" s="134"/>
      <c r="F647" s="134"/>
      <c r="G647" s="134"/>
      <c r="H647" s="134"/>
      <c r="I647" s="134"/>
      <c r="J647" s="134"/>
      <c r="K647" s="134"/>
      <c r="L647" s="134"/>
      <c r="M647" s="134"/>
      <c r="N647" s="134"/>
      <c r="O647" s="134"/>
      <c r="P647" s="134"/>
      <c r="Q647" s="134"/>
      <c r="R647" s="134"/>
      <c r="S647" s="134"/>
      <c r="T647" s="134"/>
      <c r="U647" s="134"/>
      <c r="V647" s="134"/>
      <c r="W647" s="134"/>
      <c r="X647" s="134"/>
      <c r="Y647" s="134"/>
    </row>
    <row r="648" spans="1:25" ht="12.75">
      <c r="A648" s="147"/>
      <c r="B648" s="133"/>
      <c r="C648" s="134"/>
      <c r="D648" s="135"/>
      <c r="E648" s="134"/>
      <c r="F648" s="134"/>
      <c r="G648" s="134"/>
      <c r="H648" s="134"/>
      <c r="I648" s="134"/>
      <c r="J648" s="134"/>
      <c r="K648" s="134"/>
      <c r="L648" s="134"/>
      <c r="M648" s="134"/>
      <c r="N648" s="134"/>
      <c r="O648" s="134"/>
      <c r="P648" s="134"/>
      <c r="Q648" s="134"/>
      <c r="R648" s="134"/>
      <c r="S648" s="134"/>
      <c r="T648" s="134"/>
      <c r="U648" s="134"/>
      <c r="V648" s="134"/>
      <c r="W648" s="134"/>
      <c r="X648" s="134"/>
      <c r="Y648" s="134"/>
    </row>
    <row r="649" spans="1:25" ht="12.75">
      <c r="A649" s="147"/>
      <c r="B649" s="133"/>
      <c r="C649" s="134"/>
      <c r="D649" s="135"/>
      <c r="E649" s="134"/>
      <c r="F649" s="134"/>
      <c r="G649" s="134"/>
      <c r="H649" s="134"/>
      <c r="I649" s="134"/>
      <c r="J649" s="134"/>
      <c r="K649" s="134"/>
      <c r="L649" s="134"/>
      <c r="M649" s="134"/>
      <c r="N649" s="134"/>
      <c r="O649" s="134"/>
      <c r="P649" s="134"/>
      <c r="Q649" s="134"/>
      <c r="R649" s="134"/>
      <c r="S649" s="134"/>
      <c r="T649" s="134"/>
      <c r="U649" s="134"/>
      <c r="V649" s="134"/>
      <c r="W649" s="134"/>
      <c r="X649" s="134"/>
      <c r="Y649" s="134"/>
    </row>
    <row r="650" spans="1:25" ht="12.75">
      <c r="A650" s="147"/>
      <c r="B650" s="133"/>
      <c r="C650" s="134"/>
      <c r="D650" s="135"/>
      <c r="E650" s="134"/>
      <c r="F650" s="134"/>
      <c r="G650" s="134"/>
      <c r="H650" s="134"/>
      <c r="I650" s="134"/>
      <c r="J650" s="134"/>
      <c r="K650" s="134"/>
      <c r="L650" s="134"/>
      <c r="M650" s="134"/>
      <c r="N650" s="134"/>
      <c r="O650" s="134"/>
      <c r="P650" s="134"/>
      <c r="Q650" s="134"/>
      <c r="R650" s="134"/>
      <c r="S650" s="134"/>
      <c r="T650" s="134"/>
      <c r="U650" s="134"/>
      <c r="V650" s="134"/>
      <c r="W650" s="134"/>
      <c r="X650" s="134"/>
      <c r="Y650" s="134"/>
    </row>
    <row r="651" spans="1:25" ht="12.75">
      <c r="A651" s="147"/>
      <c r="B651" s="133"/>
      <c r="C651" s="134"/>
      <c r="D651" s="135"/>
      <c r="E651" s="134"/>
      <c r="F651" s="134"/>
      <c r="G651" s="134"/>
      <c r="H651" s="134"/>
      <c r="I651" s="134"/>
      <c r="J651" s="134"/>
      <c r="K651" s="134"/>
      <c r="L651" s="134"/>
      <c r="M651" s="134"/>
      <c r="N651" s="134"/>
      <c r="O651" s="134"/>
      <c r="P651" s="134"/>
      <c r="Q651" s="134"/>
      <c r="R651" s="134"/>
      <c r="S651" s="134"/>
      <c r="T651" s="134"/>
      <c r="U651" s="134"/>
      <c r="V651" s="134"/>
      <c r="W651" s="134"/>
      <c r="X651" s="134"/>
      <c r="Y651" s="134"/>
    </row>
    <row r="652" spans="1:25" ht="12.75">
      <c r="A652" s="147"/>
      <c r="B652" s="133"/>
      <c r="C652" s="134"/>
      <c r="D652" s="135"/>
      <c r="E652" s="134"/>
      <c r="F652" s="134"/>
      <c r="G652" s="134"/>
      <c r="H652" s="134"/>
      <c r="I652" s="134"/>
      <c r="J652" s="134"/>
      <c r="K652" s="134"/>
      <c r="L652" s="134"/>
      <c r="M652" s="134"/>
      <c r="N652" s="134"/>
      <c r="O652" s="134"/>
      <c r="P652" s="134"/>
      <c r="Q652" s="134"/>
      <c r="R652" s="134"/>
      <c r="S652" s="134"/>
      <c r="T652" s="134"/>
      <c r="U652" s="134"/>
      <c r="V652" s="134"/>
      <c r="W652" s="134"/>
      <c r="X652" s="134"/>
      <c r="Y652" s="134"/>
    </row>
    <row r="653" spans="1:25" ht="12.75">
      <c r="A653" s="147"/>
      <c r="B653" s="133"/>
      <c r="C653" s="134"/>
      <c r="D653" s="135"/>
      <c r="E653" s="134"/>
      <c r="F653" s="134"/>
      <c r="G653" s="134"/>
      <c r="H653" s="134"/>
      <c r="I653" s="134"/>
      <c r="J653" s="134"/>
      <c r="K653" s="134"/>
      <c r="L653" s="134"/>
      <c r="M653" s="134"/>
      <c r="N653" s="134"/>
      <c r="O653" s="134"/>
      <c r="P653" s="134"/>
      <c r="Q653" s="134"/>
      <c r="R653" s="134"/>
      <c r="S653" s="134"/>
      <c r="T653" s="134"/>
      <c r="U653" s="134"/>
      <c r="V653" s="134"/>
      <c r="W653" s="134"/>
      <c r="X653" s="134"/>
      <c r="Y653" s="134"/>
    </row>
    <row r="654" spans="1:25" ht="12.75">
      <c r="A654" s="147"/>
      <c r="B654" s="133"/>
      <c r="C654" s="134"/>
      <c r="D654" s="135"/>
      <c r="E654" s="134"/>
      <c r="F654" s="134"/>
      <c r="G654" s="134"/>
      <c r="H654" s="134"/>
      <c r="I654" s="134"/>
      <c r="J654" s="134"/>
      <c r="K654" s="134"/>
      <c r="L654" s="134"/>
      <c r="M654" s="134"/>
      <c r="N654" s="134"/>
      <c r="O654" s="134"/>
      <c r="P654" s="134"/>
      <c r="Q654" s="134"/>
      <c r="R654" s="134"/>
      <c r="S654" s="134"/>
      <c r="T654" s="134"/>
      <c r="U654" s="134"/>
      <c r="V654" s="134"/>
      <c r="W654" s="134"/>
      <c r="X654" s="134"/>
      <c r="Y654" s="134"/>
    </row>
    <row r="655" spans="1:25" ht="12.75">
      <c r="A655" s="147"/>
      <c r="B655" s="133"/>
      <c r="C655" s="134"/>
      <c r="D655" s="135"/>
      <c r="E655" s="134"/>
      <c r="F655" s="134"/>
      <c r="G655" s="134"/>
      <c r="H655" s="134"/>
      <c r="I655" s="134"/>
      <c r="J655" s="134"/>
      <c r="K655" s="134"/>
      <c r="L655" s="134"/>
      <c r="M655" s="134"/>
      <c r="N655" s="134"/>
      <c r="O655" s="134"/>
      <c r="P655" s="134"/>
      <c r="Q655" s="134"/>
      <c r="R655" s="134"/>
      <c r="S655" s="134"/>
      <c r="T655" s="134"/>
      <c r="U655" s="134"/>
      <c r="V655" s="134"/>
      <c r="W655" s="134"/>
      <c r="X655" s="134"/>
      <c r="Y655" s="134"/>
    </row>
    <row r="656" spans="1:25" ht="12.75">
      <c r="A656" s="147"/>
      <c r="B656" s="133"/>
      <c r="C656" s="134"/>
      <c r="D656" s="135"/>
      <c r="E656" s="134"/>
      <c r="F656" s="134"/>
      <c r="G656" s="134"/>
      <c r="H656" s="134"/>
      <c r="I656" s="134"/>
      <c r="J656" s="134"/>
      <c r="K656" s="134"/>
      <c r="L656" s="134"/>
      <c r="M656" s="134"/>
      <c r="N656" s="134"/>
      <c r="O656" s="134"/>
      <c r="P656" s="134"/>
      <c r="Q656" s="134"/>
      <c r="R656" s="134"/>
      <c r="S656" s="134"/>
      <c r="T656" s="134"/>
      <c r="U656" s="134"/>
      <c r="V656" s="134"/>
      <c r="W656" s="134"/>
      <c r="X656" s="134"/>
      <c r="Y656" s="134"/>
    </row>
    <row r="657" spans="1:25" ht="12.75">
      <c r="A657" s="147"/>
      <c r="B657" s="133"/>
      <c r="C657" s="134"/>
      <c r="D657" s="135"/>
      <c r="E657" s="134"/>
      <c r="F657" s="134"/>
      <c r="G657" s="134"/>
      <c r="H657" s="134"/>
      <c r="I657" s="134"/>
      <c r="J657" s="134"/>
      <c r="K657" s="134"/>
      <c r="L657" s="134"/>
      <c r="M657" s="134"/>
      <c r="N657" s="134"/>
      <c r="O657" s="134"/>
      <c r="P657" s="134"/>
      <c r="Q657" s="134"/>
      <c r="R657" s="134"/>
      <c r="S657" s="134"/>
      <c r="T657" s="134"/>
      <c r="U657" s="134"/>
      <c r="V657" s="134"/>
      <c r="W657" s="134"/>
      <c r="X657" s="134"/>
      <c r="Y657" s="134"/>
    </row>
    <row r="658" spans="1:25" ht="12.75">
      <c r="A658" s="147"/>
      <c r="B658" s="133"/>
      <c r="C658" s="134"/>
      <c r="D658" s="135"/>
      <c r="E658" s="134"/>
      <c r="F658" s="134"/>
      <c r="G658" s="134"/>
      <c r="H658" s="134"/>
      <c r="I658" s="134"/>
      <c r="J658" s="134"/>
      <c r="K658" s="134"/>
      <c r="L658" s="134"/>
      <c r="M658" s="134"/>
      <c r="N658" s="134"/>
      <c r="O658" s="134"/>
      <c r="P658" s="134"/>
      <c r="Q658" s="134"/>
      <c r="R658" s="134"/>
      <c r="S658" s="134"/>
      <c r="T658" s="134"/>
      <c r="U658" s="134"/>
      <c r="V658" s="134"/>
      <c r="W658" s="134"/>
      <c r="X658" s="134"/>
      <c r="Y658" s="134"/>
    </row>
    <row r="659" spans="1:25" ht="12.75">
      <c r="A659" s="147"/>
      <c r="B659" s="133"/>
      <c r="C659" s="134"/>
      <c r="D659" s="135"/>
      <c r="E659" s="134"/>
      <c r="F659" s="134"/>
      <c r="G659" s="134"/>
      <c r="H659" s="134"/>
      <c r="I659" s="134"/>
      <c r="J659" s="134"/>
      <c r="K659" s="134"/>
      <c r="L659" s="134"/>
      <c r="M659" s="134"/>
      <c r="N659" s="134"/>
      <c r="O659" s="134"/>
      <c r="P659" s="134"/>
      <c r="Q659" s="134"/>
      <c r="R659" s="134"/>
      <c r="S659" s="134"/>
      <c r="T659" s="134"/>
      <c r="U659" s="134"/>
      <c r="V659" s="134"/>
      <c r="W659" s="134"/>
      <c r="X659" s="134"/>
      <c r="Y659" s="134"/>
    </row>
    <row r="660" spans="1:25" ht="12.75">
      <c r="A660" s="147"/>
      <c r="B660" s="133"/>
      <c r="C660" s="134"/>
      <c r="D660" s="135"/>
      <c r="E660" s="134"/>
      <c r="F660" s="134"/>
      <c r="G660" s="134"/>
      <c r="H660" s="134"/>
      <c r="I660" s="134"/>
      <c r="J660" s="134"/>
      <c r="K660" s="134"/>
      <c r="L660" s="134"/>
      <c r="M660" s="134"/>
      <c r="N660" s="134"/>
      <c r="O660" s="134"/>
      <c r="P660" s="134"/>
      <c r="Q660" s="134"/>
      <c r="R660" s="134"/>
      <c r="S660" s="134"/>
      <c r="T660" s="134"/>
      <c r="U660" s="134"/>
      <c r="V660" s="134"/>
      <c r="W660" s="134"/>
      <c r="X660" s="134"/>
      <c r="Y660" s="134"/>
    </row>
    <row r="661" spans="1:25" ht="12.75">
      <c r="A661" s="147"/>
      <c r="B661" s="133"/>
      <c r="C661" s="134"/>
      <c r="D661" s="135"/>
      <c r="E661" s="134"/>
      <c r="F661" s="134"/>
      <c r="G661" s="134"/>
      <c r="H661" s="134"/>
      <c r="I661" s="134"/>
      <c r="J661" s="134"/>
      <c r="K661" s="134"/>
      <c r="L661" s="134"/>
      <c r="M661" s="134"/>
      <c r="N661" s="134"/>
      <c r="O661" s="134"/>
      <c r="P661" s="134"/>
      <c r="Q661" s="134"/>
      <c r="R661" s="134"/>
      <c r="S661" s="134"/>
      <c r="T661" s="134"/>
      <c r="U661" s="134"/>
      <c r="V661" s="134"/>
      <c r="W661" s="134"/>
      <c r="X661" s="134"/>
      <c r="Y661" s="134"/>
    </row>
    <row r="662" spans="1:25" ht="12.75">
      <c r="A662" s="147"/>
      <c r="B662" s="133"/>
      <c r="C662" s="134"/>
      <c r="D662" s="135"/>
      <c r="E662" s="134"/>
      <c r="F662" s="134"/>
      <c r="G662" s="134"/>
      <c r="H662" s="134"/>
      <c r="I662" s="134"/>
      <c r="J662" s="134"/>
      <c r="K662" s="134"/>
      <c r="L662" s="134"/>
      <c r="M662" s="134"/>
      <c r="N662" s="134"/>
      <c r="O662" s="134"/>
      <c r="P662" s="134"/>
      <c r="Q662" s="134"/>
      <c r="R662" s="134"/>
      <c r="S662" s="134"/>
      <c r="T662" s="134"/>
      <c r="U662" s="134"/>
      <c r="V662" s="134"/>
      <c r="W662" s="134"/>
      <c r="X662" s="134"/>
      <c r="Y662" s="134"/>
    </row>
    <row r="663" spans="1:25" ht="12.75">
      <c r="A663" s="147"/>
      <c r="B663" s="133"/>
      <c r="C663" s="134"/>
      <c r="D663" s="135"/>
      <c r="E663" s="134"/>
      <c r="F663" s="134"/>
      <c r="G663" s="134"/>
      <c r="H663" s="134"/>
      <c r="I663" s="134"/>
      <c r="J663" s="134"/>
      <c r="K663" s="134"/>
      <c r="L663" s="134"/>
      <c r="M663" s="134"/>
      <c r="N663" s="134"/>
      <c r="O663" s="134"/>
      <c r="P663" s="134"/>
      <c r="Q663" s="134"/>
      <c r="R663" s="134"/>
      <c r="S663" s="134"/>
      <c r="T663" s="134"/>
      <c r="U663" s="134"/>
      <c r="V663" s="134"/>
      <c r="W663" s="134"/>
      <c r="X663" s="134"/>
      <c r="Y663" s="134"/>
    </row>
    <row r="664" spans="1:25" ht="12.75">
      <c r="A664" s="147"/>
      <c r="B664" s="133"/>
      <c r="C664" s="134"/>
      <c r="D664" s="135"/>
      <c r="E664" s="134"/>
      <c r="F664" s="134"/>
      <c r="G664" s="134"/>
      <c r="H664" s="134"/>
      <c r="I664" s="134"/>
      <c r="J664" s="134"/>
      <c r="K664" s="134"/>
      <c r="L664" s="134"/>
      <c r="M664" s="134"/>
      <c r="N664" s="134"/>
      <c r="O664" s="134"/>
      <c r="P664" s="134"/>
      <c r="Q664" s="134"/>
      <c r="R664" s="134"/>
      <c r="S664" s="134"/>
      <c r="T664" s="134"/>
      <c r="U664" s="134"/>
      <c r="V664" s="134"/>
      <c r="W664" s="134"/>
      <c r="X664" s="134"/>
      <c r="Y664" s="134"/>
    </row>
    <row r="665" spans="1:25" ht="12.75">
      <c r="A665" s="147"/>
      <c r="B665" s="133"/>
      <c r="C665" s="134"/>
      <c r="D665" s="135"/>
      <c r="E665" s="134"/>
      <c r="F665" s="134"/>
      <c r="G665" s="134"/>
      <c r="H665" s="134"/>
      <c r="I665" s="134"/>
      <c r="J665" s="134"/>
      <c r="K665" s="134"/>
      <c r="L665" s="134"/>
      <c r="M665" s="134"/>
      <c r="N665" s="134"/>
      <c r="O665" s="134"/>
      <c r="P665" s="134"/>
      <c r="Q665" s="134"/>
      <c r="R665" s="134"/>
      <c r="S665" s="134"/>
      <c r="T665" s="134"/>
      <c r="U665" s="134"/>
      <c r="V665" s="134"/>
      <c r="W665" s="134"/>
      <c r="X665" s="134"/>
      <c r="Y665" s="134"/>
    </row>
    <row r="666" spans="1:25" ht="12.75">
      <c r="A666" s="147"/>
      <c r="B666" s="133"/>
      <c r="C666" s="134"/>
      <c r="D666" s="135"/>
      <c r="E666" s="134"/>
      <c r="F666" s="134"/>
      <c r="G666" s="134"/>
      <c r="H666" s="134"/>
      <c r="I666" s="134"/>
      <c r="J666" s="134"/>
      <c r="K666" s="134"/>
      <c r="L666" s="134"/>
      <c r="M666" s="134"/>
      <c r="N666" s="134"/>
      <c r="O666" s="134"/>
      <c r="P666" s="134"/>
      <c r="Q666" s="134"/>
      <c r="R666" s="134"/>
      <c r="S666" s="134"/>
      <c r="T666" s="134"/>
      <c r="U666" s="134"/>
      <c r="V666" s="134"/>
      <c r="W666" s="134"/>
      <c r="X666" s="134"/>
      <c r="Y666" s="134"/>
    </row>
    <row r="667" spans="1:25" ht="12.75">
      <c r="A667" s="147"/>
      <c r="B667" s="133"/>
      <c r="C667" s="134"/>
      <c r="D667" s="135"/>
      <c r="E667" s="134"/>
      <c r="F667" s="134"/>
      <c r="G667" s="134"/>
      <c r="H667" s="134"/>
      <c r="I667" s="134"/>
      <c r="J667" s="134"/>
      <c r="K667" s="134"/>
      <c r="L667" s="134"/>
      <c r="M667" s="134"/>
      <c r="N667" s="134"/>
      <c r="O667" s="134"/>
      <c r="P667" s="134"/>
      <c r="Q667" s="134"/>
      <c r="R667" s="134"/>
      <c r="S667" s="134"/>
      <c r="T667" s="134"/>
      <c r="U667" s="134"/>
      <c r="V667" s="134"/>
      <c r="W667" s="134"/>
      <c r="X667" s="134"/>
      <c r="Y667" s="134"/>
    </row>
    <row r="668" spans="1:25" ht="12.75">
      <c r="A668" s="147"/>
      <c r="B668" s="133"/>
      <c r="C668" s="134"/>
      <c r="D668" s="135"/>
      <c r="E668" s="134"/>
      <c r="F668" s="134"/>
      <c r="G668" s="134"/>
      <c r="H668" s="134"/>
      <c r="I668" s="134"/>
      <c r="J668" s="134"/>
      <c r="K668" s="134"/>
      <c r="L668" s="134"/>
      <c r="M668" s="134"/>
      <c r="N668" s="134"/>
      <c r="O668" s="134"/>
      <c r="P668" s="134"/>
      <c r="Q668" s="134"/>
      <c r="R668" s="134"/>
      <c r="S668" s="134"/>
      <c r="T668" s="134"/>
      <c r="U668" s="134"/>
      <c r="V668" s="134"/>
      <c r="W668" s="134"/>
      <c r="X668" s="134"/>
      <c r="Y668" s="134"/>
    </row>
    <row r="669" spans="1:25" ht="12.75">
      <c r="A669" s="147"/>
      <c r="B669" s="133"/>
      <c r="C669" s="134"/>
      <c r="D669" s="135"/>
      <c r="E669" s="134"/>
      <c r="F669" s="134"/>
      <c r="G669" s="134"/>
      <c r="H669" s="134"/>
      <c r="I669" s="134"/>
      <c r="J669" s="134"/>
      <c r="K669" s="134"/>
      <c r="L669" s="134"/>
      <c r="M669" s="134"/>
      <c r="N669" s="134"/>
      <c r="O669" s="134"/>
      <c r="P669" s="134"/>
      <c r="Q669" s="134"/>
      <c r="R669" s="134"/>
      <c r="S669" s="134"/>
      <c r="T669" s="134"/>
      <c r="U669" s="134"/>
      <c r="V669" s="134"/>
      <c r="W669" s="134"/>
      <c r="X669" s="134"/>
      <c r="Y669" s="134"/>
    </row>
    <row r="670" spans="1:25" ht="12.75">
      <c r="A670" s="147"/>
      <c r="B670" s="133"/>
      <c r="C670" s="134"/>
      <c r="D670" s="135"/>
      <c r="E670" s="134"/>
      <c r="F670" s="134"/>
      <c r="G670" s="134"/>
      <c r="H670" s="134"/>
      <c r="I670" s="134"/>
      <c r="J670" s="134"/>
      <c r="K670" s="134"/>
      <c r="L670" s="134"/>
      <c r="M670" s="134"/>
      <c r="N670" s="134"/>
      <c r="O670" s="134"/>
      <c r="P670" s="134"/>
      <c r="Q670" s="134"/>
      <c r="R670" s="134"/>
      <c r="S670" s="134"/>
      <c r="T670" s="134"/>
      <c r="U670" s="134"/>
      <c r="V670" s="134"/>
      <c r="W670" s="134"/>
      <c r="X670" s="134"/>
      <c r="Y670" s="134"/>
    </row>
    <row r="671" spans="1:25" ht="12.75">
      <c r="A671" s="147"/>
      <c r="B671" s="133"/>
      <c r="C671" s="134"/>
      <c r="D671" s="135"/>
      <c r="E671" s="134"/>
      <c r="F671" s="134"/>
      <c r="G671" s="134"/>
      <c r="H671" s="134"/>
      <c r="I671" s="134"/>
      <c r="J671" s="134"/>
      <c r="K671" s="134"/>
      <c r="L671" s="134"/>
      <c r="M671" s="134"/>
      <c r="N671" s="134"/>
      <c r="O671" s="134"/>
      <c r="P671" s="134"/>
      <c r="Q671" s="134"/>
      <c r="R671" s="134"/>
      <c r="S671" s="134"/>
      <c r="T671" s="134"/>
      <c r="U671" s="134"/>
      <c r="V671" s="134"/>
      <c r="W671" s="134"/>
      <c r="X671" s="134"/>
      <c r="Y671" s="134"/>
    </row>
    <row r="672" spans="1:25" ht="12.75">
      <c r="A672" s="147"/>
      <c r="B672" s="133"/>
      <c r="C672" s="134"/>
      <c r="D672" s="135"/>
      <c r="E672" s="134"/>
      <c r="F672" s="134"/>
      <c r="G672" s="134"/>
      <c r="H672" s="134"/>
      <c r="I672" s="134"/>
      <c r="J672" s="134"/>
      <c r="K672" s="134"/>
      <c r="L672" s="134"/>
      <c r="M672" s="134"/>
      <c r="N672" s="134"/>
      <c r="O672" s="134"/>
      <c r="P672" s="134"/>
      <c r="Q672" s="134"/>
      <c r="R672" s="134"/>
      <c r="S672" s="134"/>
      <c r="T672" s="134"/>
      <c r="U672" s="134"/>
      <c r="V672" s="134"/>
      <c r="W672" s="134"/>
      <c r="X672" s="134"/>
      <c r="Y672" s="134"/>
    </row>
    <row r="673" spans="1:25" ht="12.75">
      <c r="A673" s="147"/>
      <c r="B673" s="133"/>
      <c r="C673" s="134"/>
      <c r="D673" s="135"/>
      <c r="E673" s="134"/>
      <c r="F673" s="134"/>
      <c r="G673" s="134"/>
      <c r="H673" s="134"/>
      <c r="I673" s="134"/>
      <c r="J673" s="134"/>
      <c r="K673" s="134"/>
      <c r="L673" s="134"/>
      <c r="M673" s="134"/>
      <c r="N673" s="134"/>
      <c r="O673" s="134"/>
      <c r="P673" s="134"/>
      <c r="Q673" s="134"/>
      <c r="R673" s="134"/>
      <c r="S673" s="134"/>
      <c r="T673" s="134"/>
      <c r="U673" s="134"/>
      <c r="V673" s="134"/>
      <c r="W673" s="134"/>
      <c r="X673" s="134"/>
      <c r="Y673" s="134"/>
    </row>
    <row r="674" spans="1:25" ht="12.75">
      <c r="A674" s="147"/>
      <c r="B674" s="133"/>
      <c r="C674" s="134"/>
      <c r="D674" s="135"/>
      <c r="E674" s="134"/>
      <c r="F674" s="134"/>
      <c r="G674" s="134"/>
      <c r="H674" s="134"/>
      <c r="I674" s="134"/>
      <c r="J674" s="134"/>
      <c r="K674" s="134"/>
      <c r="L674" s="134"/>
      <c r="M674" s="134"/>
      <c r="N674" s="134"/>
      <c r="O674" s="134"/>
      <c r="P674" s="134"/>
      <c r="Q674" s="134"/>
      <c r="R674" s="134"/>
      <c r="S674" s="134"/>
      <c r="T674" s="134"/>
      <c r="U674" s="134"/>
      <c r="V674" s="134"/>
      <c r="W674" s="134"/>
      <c r="X674" s="134"/>
      <c r="Y674" s="134"/>
    </row>
    <row r="675" spans="1:25" ht="12.75">
      <c r="A675" s="147"/>
      <c r="B675" s="133"/>
      <c r="C675" s="134"/>
      <c r="D675" s="135"/>
      <c r="E675" s="134"/>
      <c r="F675" s="134"/>
      <c r="G675" s="134"/>
      <c r="H675" s="134"/>
      <c r="I675" s="134"/>
      <c r="J675" s="134"/>
      <c r="K675" s="134"/>
      <c r="L675" s="134"/>
      <c r="M675" s="134"/>
      <c r="N675" s="134"/>
      <c r="O675" s="134"/>
      <c r="P675" s="134"/>
      <c r="Q675" s="134"/>
      <c r="R675" s="134"/>
      <c r="S675" s="134"/>
      <c r="T675" s="134"/>
      <c r="U675" s="134"/>
      <c r="V675" s="134"/>
      <c r="W675" s="134"/>
      <c r="X675" s="134"/>
      <c r="Y675" s="134"/>
    </row>
    <row r="676" spans="1:25" ht="12.75">
      <c r="A676" s="147"/>
      <c r="B676" s="133"/>
      <c r="C676" s="134"/>
      <c r="D676" s="135"/>
      <c r="E676" s="134"/>
      <c r="F676" s="134"/>
      <c r="G676" s="134"/>
      <c r="H676" s="134"/>
      <c r="I676" s="134"/>
      <c r="J676" s="134"/>
      <c r="K676" s="134"/>
      <c r="L676" s="134"/>
      <c r="M676" s="134"/>
      <c r="N676" s="134"/>
      <c r="O676" s="134"/>
      <c r="P676" s="134"/>
      <c r="Q676" s="134"/>
      <c r="R676" s="134"/>
      <c r="S676" s="134"/>
      <c r="T676" s="134"/>
      <c r="U676" s="134"/>
      <c r="V676" s="134"/>
      <c r="W676" s="134"/>
      <c r="X676" s="134"/>
      <c r="Y676" s="134"/>
    </row>
    <row r="677" spans="1:25" ht="12.75">
      <c r="A677" s="147"/>
      <c r="B677" s="133"/>
      <c r="C677" s="134"/>
      <c r="D677" s="135"/>
      <c r="E677" s="134"/>
      <c r="F677" s="134"/>
      <c r="G677" s="134"/>
      <c r="H677" s="134"/>
      <c r="I677" s="134"/>
      <c r="J677" s="134"/>
      <c r="K677" s="134"/>
      <c r="L677" s="134"/>
      <c r="M677" s="134"/>
      <c r="N677" s="134"/>
      <c r="O677" s="134"/>
      <c r="P677" s="134"/>
      <c r="Q677" s="134"/>
      <c r="R677" s="134"/>
      <c r="S677" s="134"/>
      <c r="T677" s="134"/>
      <c r="U677" s="134"/>
      <c r="V677" s="134"/>
      <c r="W677" s="134"/>
      <c r="X677" s="134"/>
      <c r="Y677" s="134"/>
    </row>
    <row r="678" spans="1:25" ht="12.75">
      <c r="A678" s="147"/>
      <c r="B678" s="133"/>
      <c r="C678" s="134"/>
      <c r="D678" s="135"/>
      <c r="E678" s="134"/>
      <c r="F678" s="134"/>
      <c r="G678" s="134"/>
      <c r="H678" s="134"/>
      <c r="I678" s="134"/>
      <c r="J678" s="134"/>
      <c r="K678" s="134"/>
      <c r="L678" s="134"/>
      <c r="M678" s="134"/>
      <c r="N678" s="134"/>
      <c r="O678" s="134"/>
      <c r="P678" s="134"/>
      <c r="Q678" s="134"/>
      <c r="R678" s="134"/>
      <c r="S678" s="134"/>
      <c r="T678" s="134"/>
      <c r="U678" s="134"/>
      <c r="V678" s="134"/>
      <c r="W678" s="134"/>
      <c r="X678" s="134"/>
      <c r="Y678" s="134"/>
    </row>
    <row r="679" spans="1:25" ht="12.75">
      <c r="A679" s="147"/>
      <c r="B679" s="133"/>
      <c r="C679" s="134"/>
      <c r="D679" s="135"/>
      <c r="E679" s="134"/>
      <c r="F679" s="134"/>
      <c r="G679" s="134"/>
      <c r="H679" s="134"/>
      <c r="I679" s="134"/>
      <c r="J679" s="134"/>
      <c r="K679" s="134"/>
      <c r="L679" s="134"/>
      <c r="M679" s="134"/>
      <c r="N679" s="134"/>
      <c r="O679" s="134"/>
      <c r="P679" s="134"/>
      <c r="Q679" s="134"/>
      <c r="R679" s="134"/>
      <c r="S679" s="134"/>
      <c r="T679" s="134"/>
      <c r="U679" s="134"/>
      <c r="V679" s="134"/>
      <c r="W679" s="134"/>
      <c r="X679" s="134"/>
      <c r="Y679" s="134"/>
    </row>
    <row r="680" spans="1:25" ht="12.75">
      <c r="A680" s="147"/>
      <c r="B680" s="133"/>
      <c r="C680" s="134"/>
      <c r="D680" s="135"/>
      <c r="E680" s="134"/>
      <c r="F680" s="134"/>
      <c r="G680" s="134"/>
      <c r="H680" s="134"/>
      <c r="I680" s="134"/>
      <c r="J680" s="134"/>
      <c r="K680" s="134"/>
      <c r="L680" s="134"/>
      <c r="M680" s="134"/>
      <c r="N680" s="134"/>
      <c r="O680" s="134"/>
      <c r="P680" s="134"/>
      <c r="Q680" s="134"/>
      <c r="R680" s="134"/>
      <c r="S680" s="134"/>
      <c r="T680" s="134"/>
      <c r="U680" s="134"/>
      <c r="V680" s="134"/>
      <c r="W680" s="134"/>
      <c r="X680" s="134"/>
      <c r="Y680" s="134"/>
    </row>
    <row r="681" spans="1:25" ht="12.75">
      <c r="A681" s="147"/>
      <c r="B681" s="133"/>
      <c r="C681" s="134"/>
      <c r="D681" s="135"/>
      <c r="E681" s="134"/>
      <c r="F681" s="134"/>
      <c r="G681" s="134"/>
      <c r="H681" s="134"/>
      <c r="I681" s="134"/>
      <c r="J681" s="134"/>
      <c r="K681" s="134"/>
      <c r="L681" s="134"/>
      <c r="M681" s="134"/>
      <c r="N681" s="134"/>
      <c r="O681" s="134"/>
      <c r="P681" s="134"/>
      <c r="Q681" s="134"/>
      <c r="R681" s="134"/>
      <c r="S681" s="134"/>
      <c r="T681" s="134"/>
      <c r="U681" s="134"/>
      <c r="V681" s="134"/>
      <c r="W681" s="134"/>
      <c r="X681" s="134"/>
      <c r="Y681" s="134"/>
    </row>
    <row r="682" spans="1:25" ht="12.75">
      <c r="A682" s="147"/>
      <c r="B682" s="133"/>
      <c r="C682" s="134"/>
      <c r="D682" s="135"/>
      <c r="E682" s="134"/>
      <c r="F682" s="134"/>
      <c r="G682" s="134"/>
      <c r="H682" s="134"/>
      <c r="I682" s="134"/>
      <c r="J682" s="134"/>
      <c r="K682" s="134"/>
      <c r="L682" s="134"/>
      <c r="M682" s="134"/>
      <c r="N682" s="134"/>
      <c r="O682" s="134"/>
      <c r="P682" s="134"/>
      <c r="Q682" s="134"/>
      <c r="R682" s="134"/>
      <c r="S682" s="134"/>
      <c r="T682" s="134"/>
      <c r="U682" s="134"/>
      <c r="V682" s="134"/>
      <c r="W682" s="134"/>
      <c r="X682" s="134"/>
      <c r="Y682" s="134"/>
    </row>
    <row r="683" spans="1:25" ht="12.75">
      <c r="A683" s="147"/>
      <c r="B683" s="133"/>
      <c r="C683" s="134"/>
      <c r="D683" s="135"/>
      <c r="E683" s="134"/>
      <c r="F683" s="134"/>
      <c r="G683" s="134"/>
      <c r="H683" s="134"/>
      <c r="I683" s="134"/>
      <c r="J683" s="134"/>
      <c r="K683" s="134"/>
      <c r="L683" s="134"/>
      <c r="M683" s="134"/>
      <c r="N683" s="134"/>
      <c r="O683" s="134"/>
      <c r="P683" s="134"/>
      <c r="Q683" s="134"/>
      <c r="R683" s="134"/>
      <c r="S683" s="134"/>
      <c r="T683" s="134"/>
      <c r="U683" s="134"/>
      <c r="V683" s="134"/>
      <c r="W683" s="134"/>
      <c r="X683" s="134"/>
      <c r="Y683" s="134"/>
    </row>
    <row r="684" spans="1:25" ht="12.75">
      <c r="A684" s="147"/>
      <c r="B684" s="133"/>
      <c r="C684" s="134"/>
      <c r="D684" s="135"/>
      <c r="E684" s="134"/>
      <c r="F684" s="134"/>
      <c r="G684" s="134"/>
      <c r="H684" s="134"/>
      <c r="I684" s="134"/>
      <c r="J684" s="134"/>
      <c r="K684" s="134"/>
      <c r="L684" s="134"/>
      <c r="M684" s="134"/>
      <c r="N684" s="134"/>
      <c r="O684" s="134"/>
      <c r="P684" s="134"/>
      <c r="Q684" s="134"/>
      <c r="R684" s="134"/>
      <c r="S684" s="134"/>
      <c r="T684" s="134"/>
      <c r="U684" s="134"/>
      <c r="V684" s="134"/>
      <c r="W684" s="134"/>
      <c r="X684" s="134"/>
      <c r="Y684" s="134"/>
    </row>
    <row r="685" spans="1:25" ht="12.75">
      <c r="A685" s="147"/>
      <c r="B685" s="133"/>
      <c r="C685" s="134"/>
      <c r="D685" s="135"/>
      <c r="E685" s="134"/>
      <c r="F685" s="134"/>
      <c r="G685" s="134"/>
      <c r="H685" s="134"/>
      <c r="I685" s="134"/>
      <c r="J685" s="134"/>
      <c r="K685" s="134"/>
      <c r="L685" s="134"/>
      <c r="M685" s="134"/>
      <c r="N685" s="134"/>
      <c r="O685" s="134"/>
      <c r="P685" s="134"/>
      <c r="Q685" s="134"/>
      <c r="R685" s="134"/>
      <c r="S685" s="134"/>
      <c r="T685" s="134"/>
      <c r="U685" s="134"/>
      <c r="V685" s="134"/>
      <c r="W685" s="134"/>
      <c r="X685" s="134"/>
      <c r="Y685" s="134"/>
    </row>
    <row r="686" spans="1:25" ht="12.75">
      <c r="A686" s="147"/>
      <c r="B686" s="133"/>
      <c r="C686" s="134"/>
      <c r="D686" s="135"/>
      <c r="E686" s="134"/>
      <c r="F686" s="134"/>
      <c r="G686" s="134"/>
      <c r="H686" s="134"/>
      <c r="I686" s="134"/>
      <c r="J686" s="134"/>
      <c r="K686" s="134"/>
      <c r="L686" s="134"/>
      <c r="M686" s="134"/>
      <c r="N686" s="134"/>
      <c r="O686" s="134"/>
      <c r="P686" s="134"/>
      <c r="Q686" s="134"/>
      <c r="R686" s="134"/>
      <c r="S686" s="134"/>
      <c r="T686" s="134"/>
      <c r="U686" s="134"/>
      <c r="V686" s="134"/>
      <c r="W686" s="134"/>
      <c r="X686" s="134"/>
      <c r="Y686" s="134"/>
    </row>
    <row r="687" spans="1:25" ht="12.75">
      <c r="A687" s="147"/>
      <c r="B687" s="133"/>
      <c r="C687" s="134"/>
      <c r="D687" s="135"/>
      <c r="E687" s="134"/>
      <c r="F687" s="134"/>
      <c r="G687" s="134"/>
      <c r="H687" s="134"/>
      <c r="I687" s="134"/>
      <c r="J687" s="134"/>
      <c r="K687" s="134"/>
      <c r="L687" s="134"/>
      <c r="M687" s="134"/>
      <c r="N687" s="134"/>
      <c r="O687" s="134"/>
      <c r="P687" s="134"/>
      <c r="Q687" s="134"/>
      <c r="R687" s="134"/>
      <c r="S687" s="134"/>
      <c r="T687" s="134"/>
      <c r="U687" s="134"/>
      <c r="V687" s="134"/>
      <c r="W687" s="134"/>
      <c r="X687" s="134"/>
      <c r="Y687" s="134"/>
    </row>
    <row r="688" spans="1:25" ht="12.75">
      <c r="A688" s="147"/>
      <c r="B688" s="133"/>
      <c r="C688" s="134"/>
      <c r="D688" s="135"/>
      <c r="E688" s="134"/>
      <c r="F688" s="134"/>
      <c r="G688" s="134"/>
      <c r="H688" s="134"/>
      <c r="I688" s="134"/>
      <c r="J688" s="134"/>
      <c r="K688" s="134"/>
      <c r="L688" s="134"/>
      <c r="M688" s="134"/>
      <c r="N688" s="134"/>
      <c r="O688" s="134"/>
      <c r="P688" s="134"/>
      <c r="Q688" s="134"/>
      <c r="R688" s="134"/>
      <c r="S688" s="134"/>
      <c r="T688" s="134"/>
      <c r="U688" s="134"/>
      <c r="V688" s="134"/>
      <c r="W688" s="134"/>
      <c r="X688" s="134"/>
      <c r="Y688" s="134"/>
    </row>
    <row r="689" spans="1:25" ht="12.75">
      <c r="A689" s="147"/>
      <c r="B689" s="133"/>
      <c r="C689" s="134"/>
      <c r="D689" s="135"/>
      <c r="E689" s="134"/>
      <c r="F689" s="134"/>
      <c r="G689" s="134"/>
      <c r="H689" s="134"/>
      <c r="I689" s="134"/>
      <c r="J689" s="134"/>
      <c r="K689" s="134"/>
      <c r="L689" s="134"/>
      <c r="M689" s="134"/>
      <c r="N689" s="134"/>
      <c r="O689" s="134"/>
      <c r="P689" s="134"/>
      <c r="Q689" s="134"/>
      <c r="R689" s="134"/>
      <c r="S689" s="134"/>
      <c r="T689" s="134"/>
      <c r="U689" s="134"/>
      <c r="V689" s="134"/>
      <c r="W689" s="134"/>
      <c r="X689" s="134"/>
      <c r="Y689" s="134"/>
    </row>
    <row r="690" spans="1:25" ht="12.75">
      <c r="A690" s="147"/>
      <c r="B690" s="133"/>
      <c r="C690" s="134"/>
      <c r="D690" s="135"/>
      <c r="E690" s="134"/>
      <c r="F690" s="134"/>
      <c r="G690" s="134"/>
      <c r="H690" s="134"/>
      <c r="I690" s="134"/>
      <c r="J690" s="134"/>
      <c r="K690" s="134"/>
      <c r="L690" s="134"/>
      <c r="M690" s="134"/>
      <c r="N690" s="134"/>
      <c r="O690" s="134"/>
      <c r="P690" s="134"/>
      <c r="Q690" s="134"/>
      <c r="R690" s="134"/>
      <c r="S690" s="134"/>
      <c r="T690" s="134"/>
      <c r="U690" s="134"/>
      <c r="V690" s="134"/>
      <c r="W690" s="134"/>
      <c r="X690" s="134"/>
      <c r="Y690" s="134"/>
    </row>
    <row r="691" spans="1:25" ht="12.75">
      <c r="A691" s="147"/>
      <c r="B691" s="133"/>
      <c r="C691" s="134"/>
      <c r="D691" s="135"/>
      <c r="E691" s="134"/>
      <c r="F691" s="134"/>
      <c r="G691" s="134"/>
      <c r="H691" s="134"/>
      <c r="I691" s="134"/>
      <c r="J691" s="134"/>
      <c r="K691" s="134"/>
      <c r="L691" s="134"/>
      <c r="M691" s="134"/>
      <c r="N691" s="134"/>
      <c r="O691" s="134"/>
      <c r="P691" s="134"/>
      <c r="Q691" s="134"/>
      <c r="R691" s="134"/>
      <c r="S691" s="134"/>
      <c r="T691" s="134"/>
      <c r="U691" s="134"/>
      <c r="V691" s="134"/>
      <c r="W691" s="134"/>
      <c r="X691" s="134"/>
      <c r="Y691" s="134"/>
    </row>
    <row r="692" spans="1:25" ht="12.75">
      <c r="A692" s="147"/>
      <c r="B692" s="133"/>
      <c r="C692" s="134"/>
      <c r="D692" s="135"/>
      <c r="E692" s="134"/>
      <c r="F692" s="134"/>
      <c r="G692" s="134"/>
      <c r="H692" s="134"/>
      <c r="I692" s="134"/>
      <c r="J692" s="134"/>
      <c r="K692" s="134"/>
      <c r="L692" s="134"/>
      <c r="M692" s="134"/>
      <c r="N692" s="134"/>
      <c r="O692" s="134"/>
      <c r="P692" s="134"/>
      <c r="Q692" s="134"/>
      <c r="R692" s="134"/>
      <c r="S692" s="134"/>
      <c r="T692" s="134"/>
      <c r="U692" s="134"/>
      <c r="V692" s="134"/>
      <c r="W692" s="134"/>
      <c r="X692" s="134"/>
      <c r="Y692" s="134"/>
    </row>
    <row r="693" spans="1:25" ht="12.75">
      <c r="A693" s="147"/>
      <c r="B693" s="133"/>
      <c r="C693" s="134"/>
      <c r="D693" s="135"/>
      <c r="E693" s="134"/>
      <c r="F693" s="134"/>
      <c r="G693" s="134"/>
      <c r="H693" s="134"/>
      <c r="I693" s="134"/>
      <c r="J693" s="134"/>
      <c r="K693" s="134"/>
      <c r="L693" s="134"/>
      <c r="M693" s="134"/>
      <c r="N693" s="134"/>
      <c r="O693" s="134"/>
      <c r="P693" s="134"/>
      <c r="Q693" s="134"/>
      <c r="R693" s="134"/>
      <c r="S693" s="134"/>
      <c r="T693" s="134"/>
      <c r="U693" s="134"/>
      <c r="V693" s="134"/>
      <c r="W693" s="134"/>
      <c r="X693" s="134"/>
      <c r="Y693" s="134"/>
    </row>
    <row r="694" spans="1:25" ht="12.75">
      <c r="A694" s="147"/>
      <c r="B694" s="133"/>
      <c r="C694" s="134"/>
      <c r="D694" s="135"/>
      <c r="E694" s="134"/>
      <c r="F694" s="134"/>
      <c r="G694" s="134"/>
      <c r="H694" s="134"/>
      <c r="I694" s="134"/>
      <c r="J694" s="134"/>
      <c r="K694" s="134"/>
      <c r="L694" s="134"/>
      <c r="M694" s="134"/>
      <c r="N694" s="134"/>
      <c r="O694" s="134"/>
      <c r="P694" s="134"/>
      <c r="Q694" s="134"/>
      <c r="R694" s="134"/>
      <c r="S694" s="134"/>
      <c r="T694" s="134"/>
      <c r="U694" s="134"/>
      <c r="V694" s="134"/>
      <c r="W694" s="134"/>
      <c r="X694" s="134"/>
      <c r="Y694" s="134"/>
    </row>
    <row r="695" spans="1:25" ht="12.75">
      <c r="A695" s="147"/>
      <c r="B695" s="133"/>
      <c r="C695" s="134"/>
      <c r="D695" s="135"/>
      <c r="E695" s="134"/>
      <c r="F695" s="134"/>
      <c r="G695" s="134"/>
      <c r="H695" s="134"/>
      <c r="I695" s="134"/>
      <c r="J695" s="134"/>
      <c r="K695" s="134"/>
      <c r="L695" s="134"/>
      <c r="M695" s="134"/>
      <c r="N695" s="134"/>
      <c r="O695" s="134"/>
      <c r="P695" s="134"/>
      <c r="Q695" s="134"/>
      <c r="R695" s="134"/>
      <c r="S695" s="134"/>
      <c r="T695" s="134"/>
      <c r="U695" s="134"/>
      <c r="V695" s="134"/>
      <c r="W695" s="134"/>
      <c r="X695" s="134"/>
      <c r="Y695" s="134"/>
    </row>
    <row r="696" spans="1:25" ht="12.75">
      <c r="A696" s="147"/>
      <c r="B696" s="133"/>
      <c r="C696" s="134"/>
      <c r="D696" s="135"/>
      <c r="E696" s="134"/>
      <c r="F696" s="134"/>
      <c r="G696" s="134"/>
      <c r="H696" s="134"/>
      <c r="I696" s="134"/>
      <c r="J696" s="134"/>
      <c r="K696" s="134"/>
      <c r="L696" s="134"/>
      <c r="M696" s="134"/>
      <c r="N696" s="134"/>
      <c r="O696" s="134"/>
      <c r="P696" s="134"/>
      <c r="Q696" s="134"/>
      <c r="R696" s="134"/>
      <c r="S696" s="134"/>
      <c r="T696" s="134"/>
      <c r="U696" s="134"/>
      <c r="V696" s="134"/>
      <c r="W696" s="134"/>
      <c r="X696" s="134"/>
      <c r="Y696" s="134"/>
    </row>
    <row r="697" spans="1:25" ht="12.75">
      <c r="A697" s="147"/>
      <c r="B697" s="133"/>
      <c r="C697" s="134"/>
      <c r="D697" s="135"/>
      <c r="E697" s="134"/>
      <c r="F697" s="134"/>
      <c r="G697" s="134"/>
      <c r="H697" s="134"/>
      <c r="I697" s="134"/>
      <c r="J697" s="134"/>
      <c r="K697" s="134"/>
      <c r="L697" s="134"/>
      <c r="M697" s="134"/>
      <c r="N697" s="134"/>
      <c r="O697" s="134"/>
      <c r="P697" s="134"/>
      <c r="Q697" s="134"/>
      <c r="R697" s="134"/>
      <c r="S697" s="134"/>
      <c r="T697" s="134"/>
      <c r="U697" s="134"/>
      <c r="V697" s="134"/>
      <c r="W697" s="134"/>
      <c r="X697" s="134"/>
      <c r="Y697" s="134"/>
    </row>
    <row r="698" spans="1:25" ht="12.75">
      <c r="A698" s="147"/>
      <c r="B698" s="133"/>
      <c r="C698" s="134"/>
      <c r="D698" s="135"/>
      <c r="E698" s="134"/>
      <c r="F698" s="134"/>
      <c r="G698" s="134"/>
      <c r="H698" s="134"/>
      <c r="I698" s="134"/>
      <c r="J698" s="134"/>
      <c r="K698" s="134"/>
      <c r="L698" s="134"/>
      <c r="M698" s="134"/>
      <c r="N698" s="134"/>
      <c r="O698" s="134"/>
      <c r="P698" s="134"/>
      <c r="Q698" s="134"/>
      <c r="R698" s="134"/>
      <c r="S698" s="134"/>
      <c r="T698" s="134"/>
      <c r="U698" s="134"/>
      <c r="V698" s="134"/>
      <c r="W698" s="134"/>
      <c r="X698" s="134"/>
      <c r="Y698" s="134"/>
    </row>
    <row r="699" spans="1:25" ht="12.75">
      <c r="A699" s="147"/>
      <c r="B699" s="133"/>
      <c r="C699" s="134"/>
      <c r="D699" s="135"/>
      <c r="E699" s="134"/>
      <c r="F699" s="134"/>
      <c r="G699" s="134"/>
      <c r="H699" s="134"/>
      <c r="I699" s="134"/>
      <c r="J699" s="134"/>
      <c r="K699" s="134"/>
      <c r="L699" s="134"/>
      <c r="M699" s="134"/>
      <c r="N699" s="134"/>
      <c r="O699" s="134"/>
      <c r="P699" s="134"/>
      <c r="Q699" s="134"/>
      <c r="R699" s="134"/>
      <c r="S699" s="134"/>
      <c r="T699" s="134"/>
      <c r="U699" s="134"/>
      <c r="V699" s="134"/>
      <c r="W699" s="134"/>
      <c r="X699" s="134"/>
      <c r="Y699" s="134"/>
    </row>
    <row r="700" spans="1:25" ht="12.75">
      <c r="A700" s="147"/>
      <c r="B700" s="133"/>
      <c r="C700" s="134"/>
      <c r="D700" s="135"/>
      <c r="E700" s="134"/>
      <c r="F700" s="134"/>
      <c r="G700" s="134"/>
      <c r="H700" s="134"/>
      <c r="I700" s="134"/>
      <c r="J700" s="134"/>
      <c r="K700" s="134"/>
      <c r="L700" s="134"/>
      <c r="M700" s="134"/>
      <c r="N700" s="134"/>
      <c r="O700" s="134"/>
      <c r="P700" s="134"/>
      <c r="Q700" s="134"/>
      <c r="R700" s="134"/>
      <c r="S700" s="134"/>
      <c r="T700" s="134"/>
      <c r="U700" s="134"/>
      <c r="V700" s="134"/>
      <c r="W700" s="134"/>
      <c r="X700" s="134"/>
      <c r="Y700" s="134"/>
    </row>
    <row r="701" spans="1:25" ht="12.75">
      <c r="A701" s="147"/>
      <c r="B701" s="133"/>
      <c r="C701" s="134"/>
      <c r="D701" s="135"/>
      <c r="E701" s="134"/>
      <c r="F701" s="134"/>
      <c r="G701" s="134"/>
      <c r="H701" s="134"/>
      <c r="I701" s="134"/>
      <c r="J701" s="134"/>
      <c r="K701" s="134"/>
      <c r="L701" s="134"/>
      <c r="M701" s="134"/>
      <c r="N701" s="134"/>
      <c r="O701" s="134"/>
      <c r="P701" s="134"/>
      <c r="Q701" s="134"/>
      <c r="R701" s="134"/>
      <c r="S701" s="134"/>
      <c r="T701" s="134"/>
      <c r="U701" s="134"/>
      <c r="V701" s="134"/>
      <c r="W701" s="134"/>
      <c r="X701" s="134"/>
      <c r="Y701" s="134"/>
    </row>
    <row r="702" spans="1:25" ht="12.75">
      <c r="A702" s="147"/>
      <c r="B702" s="133"/>
      <c r="C702" s="134"/>
      <c r="D702" s="135"/>
      <c r="E702" s="134"/>
      <c r="F702" s="134"/>
      <c r="G702" s="134"/>
      <c r="H702" s="134"/>
      <c r="I702" s="134"/>
      <c r="J702" s="134"/>
      <c r="K702" s="134"/>
      <c r="L702" s="134"/>
      <c r="M702" s="134"/>
      <c r="N702" s="134"/>
      <c r="O702" s="134"/>
      <c r="P702" s="134"/>
      <c r="Q702" s="134"/>
      <c r="R702" s="134"/>
      <c r="S702" s="134"/>
      <c r="T702" s="134"/>
      <c r="U702" s="134"/>
      <c r="V702" s="134"/>
      <c r="W702" s="134"/>
      <c r="X702" s="134"/>
      <c r="Y702" s="134"/>
    </row>
    <row r="703" spans="1:25" ht="12.75">
      <c r="A703" s="147"/>
      <c r="B703" s="133"/>
      <c r="C703" s="134"/>
      <c r="D703" s="135"/>
      <c r="E703" s="134"/>
      <c r="F703" s="134"/>
      <c r="G703" s="134"/>
      <c r="H703" s="134"/>
      <c r="I703" s="134"/>
      <c r="J703" s="134"/>
      <c r="K703" s="134"/>
      <c r="L703" s="134"/>
      <c r="M703" s="134"/>
      <c r="N703" s="134"/>
      <c r="O703" s="134"/>
      <c r="P703" s="134"/>
      <c r="Q703" s="134"/>
      <c r="R703" s="134"/>
      <c r="S703" s="134"/>
      <c r="T703" s="134"/>
      <c r="U703" s="134"/>
      <c r="V703" s="134"/>
      <c r="W703" s="134"/>
      <c r="X703" s="134"/>
      <c r="Y703" s="134"/>
    </row>
    <row r="704" spans="1:25" ht="12.75">
      <c r="A704" s="147"/>
      <c r="B704" s="133"/>
      <c r="C704" s="134"/>
      <c r="D704" s="135"/>
      <c r="E704" s="134"/>
      <c r="F704" s="134"/>
      <c r="G704" s="134"/>
      <c r="H704" s="134"/>
      <c r="I704" s="134"/>
      <c r="J704" s="134"/>
      <c r="K704" s="134"/>
      <c r="L704" s="134"/>
      <c r="M704" s="134"/>
      <c r="N704" s="134"/>
      <c r="O704" s="134"/>
      <c r="P704" s="134"/>
      <c r="Q704" s="134"/>
      <c r="R704" s="134"/>
      <c r="S704" s="134"/>
      <c r="T704" s="134"/>
      <c r="U704" s="134"/>
      <c r="V704" s="134"/>
      <c r="W704" s="134"/>
      <c r="X704" s="134"/>
      <c r="Y704" s="134"/>
    </row>
    <row r="705" spans="1:25" ht="12.75">
      <c r="A705" s="147"/>
      <c r="B705" s="133"/>
      <c r="C705" s="134"/>
      <c r="D705" s="135"/>
      <c r="E705" s="134"/>
      <c r="F705" s="134"/>
      <c r="G705" s="134"/>
      <c r="H705" s="134"/>
      <c r="I705" s="134"/>
      <c r="J705" s="134"/>
      <c r="K705" s="134"/>
      <c r="L705" s="134"/>
      <c r="M705" s="134"/>
      <c r="N705" s="134"/>
      <c r="O705" s="134"/>
      <c r="P705" s="134"/>
      <c r="Q705" s="134"/>
      <c r="R705" s="134"/>
      <c r="S705" s="134"/>
      <c r="T705" s="134"/>
      <c r="U705" s="134"/>
      <c r="V705" s="134"/>
      <c r="W705" s="134"/>
      <c r="X705" s="134"/>
      <c r="Y705" s="134"/>
    </row>
    <row r="706" spans="1:25" ht="12.75">
      <c r="A706" s="147"/>
      <c r="B706" s="133"/>
      <c r="C706" s="134"/>
      <c r="D706" s="135"/>
      <c r="E706" s="134"/>
      <c r="F706" s="134"/>
      <c r="G706" s="134"/>
      <c r="H706" s="134"/>
      <c r="I706" s="134"/>
      <c r="J706" s="134"/>
      <c r="K706" s="134"/>
      <c r="L706" s="134"/>
      <c r="M706" s="134"/>
      <c r="N706" s="134"/>
      <c r="O706" s="134"/>
      <c r="P706" s="134"/>
      <c r="Q706" s="134"/>
      <c r="R706" s="134"/>
      <c r="S706" s="134"/>
      <c r="T706" s="134"/>
      <c r="U706" s="134"/>
      <c r="V706" s="134"/>
      <c r="W706" s="134"/>
      <c r="X706" s="134"/>
      <c r="Y706" s="134"/>
    </row>
    <row r="707" spans="1:25" ht="12.75">
      <c r="A707" s="147"/>
      <c r="B707" s="133"/>
      <c r="C707" s="134"/>
      <c r="D707" s="135"/>
      <c r="E707" s="134"/>
      <c r="F707" s="134"/>
      <c r="G707" s="134"/>
      <c r="H707" s="134"/>
      <c r="I707" s="134"/>
      <c r="J707" s="134"/>
      <c r="K707" s="134"/>
      <c r="L707" s="134"/>
      <c r="M707" s="134"/>
      <c r="N707" s="134"/>
      <c r="O707" s="134"/>
      <c r="P707" s="134"/>
      <c r="Q707" s="134"/>
      <c r="R707" s="134"/>
      <c r="S707" s="134"/>
      <c r="T707" s="134"/>
      <c r="U707" s="134"/>
      <c r="V707" s="134"/>
      <c r="W707" s="134"/>
      <c r="X707" s="134"/>
      <c r="Y707" s="134"/>
    </row>
    <row r="708" spans="1:25" ht="12.75">
      <c r="A708" s="147"/>
      <c r="B708" s="133"/>
      <c r="C708" s="134"/>
      <c r="D708" s="135"/>
      <c r="E708" s="134"/>
      <c r="F708" s="134"/>
      <c r="G708" s="134"/>
      <c r="H708" s="134"/>
      <c r="I708" s="134"/>
      <c r="J708" s="134"/>
      <c r="K708" s="134"/>
      <c r="L708" s="134"/>
      <c r="M708" s="134"/>
      <c r="N708" s="134"/>
      <c r="O708" s="134"/>
      <c r="P708" s="134"/>
      <c r="Q708" s="134"/>
      <c r="R708" s="134"/>
      <c r="S708" s="134"/>
      <c r="T708" s="134"/>
      <c r="U708" s="134"/>
      <c r="V708" s="134"/>
      <c r="W708" s="134"/>
      <c r="X708" s="134"/>
      <c r="Y708" s="134"/>
    </row>
    <row r="709" spans="1:25" ht="12.75">
      <c r="A709" s="147"/>
      <c r="B709" s="133"/>
      <c r="C709" s="134"/>
      <c r="D709" s="135"/>
      <c r="E709" s="134"/>
      <c r="F709" s="134"/>
      <c r="G709" s="134"/>
      <c r="H709" s="134"/>
      <c r="I709" s="134"/>
      <c r="J709" s="134"/>
      <c r="K709" s="134"/>
      <c r="L709" s="134"/>
      <c r="M709" s="134"/>
      <c r="N709" s="134"/>
      <c r="O709" s="134"/>
      <c r="P709" s="134"/>
      <c r="Q709" s="134"/>
      <c r="R709" s="134"/>
      <c r="S709" s="134"/>
      <c r="T709" s="134"/>
      <c r="U709" s="134"/>
      <c r="V709" s="134"/>
      <c r="W709" s="134"/>
      <c r="X709" s="134"/>
      <c r="Y709" s="134"/>
    </row>
    <row r="710" spans="1:25" ht="12.75">
      <c r="A710" s="147"/>
      <c r="B710" s="133"/>
      <c r="C710" s="134"/>
      <c r="D710" s="135"/>
      <c r="E710" s="134"/>
      <c r="F710" s="134"/>
      <c r="G710" s="134"/>
      <c r="H710" s="134"/>
      <c r="I710" s="134"/>
      <c r="J710" s="134"/>
      <c r="K710" s="134"/>
      <c r="L710" s="134"/>
      <c r="M710" s="134"/>
      <c r="N710" s="134"/>
      <c r="O710" s="134"/>
      <c r="P710" s="134"/>
      <c r="Q710" s="134"/>
      <c r="R710" s="134"/>
      <c r="S710" s="134"/>
      <c r="T710" s="134"/>
      <c r="U710" s="134"/>
      <c r="V710" s="134"/>
      <c r="W710" s="134"/>
      <c r="X710" s="134"/>
      <c r="Y710" s="134"/>
    </row>
    <row r="711" spans="1:25" ht="12.75">
      <c r="A711" s="147"/>
      <c r="B711" s="133"/>
      <c r="C711" s="134"/>
      <c r="D711" s="135"/>
      <c r="E711" s="134"/>
      <c r="F711" s="134"/>
      <c r="G711" s="134"/>
      <c r="H711" s="134"/>
      <c r="I711" s="134"/>
      <c r="J711" s="134"/>
      <c r="K711" s="134"/>
      <c r="L711" s="134"/>
      <c r="M711" s="134"/>
      <c r="N711" s="134"/>
      <c r="O711" s="134"/>
      <c r="P711" s="134"/>
      <c r="Q711" s="134"/>
      <c r="R711" s="134"/>
      <c r="S711" s="134"/>
      <c r="T711" s="134"/>
      <c r="U711" s="134"/>
      <c r="V711" s="134"/>
      <c r="W711" s="134"/>
      <c r="X711" s="134"/>
      <c r="Y711" s="134"/>
    </row>
    <row r="712" spans="1:25" ht="12.75">
      <c r="A712" s="147"/>
      <c r="B712" s="133"/>
      <c r="C712" s="134"/>
      <c r="D712" s="135"/>
      <c r="E712" s="134"/>
      <c r="F712" s="134"/>
      <c r="G712" s="134"/>
      <c r="H712" s="134"/>
      <c r="I712" s="134"/>
      <c r="J712" s="134"/>
      <c r="K712" s="134"/>
      <c r="L712" s="134"/>
      <c r="M712" s="134"/>
      <c r="N712" s="134"/>
      <c r="O712" s="134"/>
      <c r="P712" s="134"/>
      <c r="Q712" s="134"/>
      <c r="R712" s="134"/>
      <c r="S712" s="134"/>
      <c r="T712" s="134"/>
      <c r="U712" s="134"/>
      <c r="V712" s="134"/>
      <c r="W712" s="134"/>
      <c r="X712" s="134"/>
      <c r="Y712" s="134"/>
    </row>
    <row r="713" spans="1:25" ht="12.75">
      <c r="A713" s="147"/>
      <c r="B713" s="133"/>
      <c r="C713" s="134"/>
      <c r="D713" s="135"/>
      <c r="E713" s="134"/>
      <c r="F713" s="134"/>
      <c r="G713" s="134"/>
      <c r="H713" s="134"/>
      <c r="I713" s="134"/>
      <c r="J713" s="134"/>
      <c r="K713" s="134"/>
      <c r="L713" s="134"/>
      <c r="M713" s="134"/>
      <c r="N713" s="134"/>
      <c r="O713" s="134"/>
      <c r="P713" s="134"/>
      <c r="Q713" s="134"/>
      <c r="R713" s="134"/>
      <c r="S713" s="134"/>
      <c r="T713" s="134"/>
      <c r="U713" s="134"/>
      <c r="V713" s="134"/>
      <c r="W713" s="134"/>
      <c r="X713" s="134"/>
      <c r="Y713" s="134"/>
    </row>
    <row r="714" spans="1:25" ht="12.75">
      <c r="A714" s="147"/>
      <c r="B714" s="133"/>
      <c r="C714" s="134"/>
      <c r="D714" s="135"/>
      <c r="E714" s="134"/>
      <c r="F714" s="134"/>
      <c r="G714" s="134"/>
      <c r="H714" s="134"/>
      <c r="I714" s="134"/>
      <c r="J714" s="134"/>
      <c r="K714" s="134"/>
      <c r="L714" s="134"/>
      <c r="M714" s="134"/>
      <c r="N714" s="134"/>
      <c r="O714" s="134"/>
      <c r="P714" s="134"/>
      <c r="Q714" s="134"/>
      <c r="R714" s="134"/>
      <c r="S714" s="134"/>
      <c r="T714" s="134"/>
      <c r="U714" s="134"/>
      <c r="V714" s="134"/>
      <c r="W714" s="134"/>
      <c r="X714" s="134"/>
      <c r="Y714" s="134"/>
    </row>
    <row r="715" spans="1:25" ht="12.75">
      <c r="A715" s="147"/>
      <c r="B715" s="133"/>
      <c r="C715" s="134"/>
      <c r="D715" s="135"/>
      <c r="E715" s="134"/>
      <c r="F715" s="134"/>
      <c r="G715" s="134"/>
      <c r="H715" s="134"/>
      <c r="I715" s="134"/>
      <c r="J715" s="134"/>
      <c r="K715" s="134"/>
      <c r="L715" s="134"/>
      <c r="M715" s="134"/>
      <c r="N715" s="134"/>
      <c r="O715" s="134"/>
      <c r="P715" s="134"/>
      <c r="Q715" s="134"/>
      <c r="R715" s="134"/>
      <c r="S715" s="134"/>
      <c r="T715" s="134"/>
      <c r="U715" s="134"/>
      <c r="V715" s="134"/>
      <c r="W715" s="134"/>
      <c r="X715" s="134"/>
      <c r="Y715" s="134"/>
    </row>
    <row r="716" spans="1:25" ht="12.75">
      <c r="A716" s="147"/>
      <c r="B716" s="133"/>
      <c r="C716" s="134"/>
      <c r="D716" s="135"/>
      <c r="E716" s="134"/>
      <c r="F716" s="134"/>
      <c r="G716" s="134"/>
      <c r="H716" s="134"/>
      <c r="I716" s="134"/>
      <c r="J716" s="134"/>
      <c r="K716" s="134"/>
      <c r="L716" s="134"/>
      <c r="M716" s="134"/>
      <c r="N716" s="134"/>
      <c r="O716" s="134"/>
      <c r="P716" s="134"/>
      <c r="Q716" s="134"/>
      <c r="R716" s="134"/>
      <c r="S716" s="134"/>
      <c r="T716" s="134"/>
      <c r="U716" s="134"/>
      <c r="V716" s="134"/>
      <c r="W716" s="134"/>
      <c r="X716" s="134"/>
      <c r="Y716" s="134"/>
    </row>
    <row r="717" spans="1:25" ht="12.75">
      <c r="A717" s="147"/>
      <c r="B717" s="133"/>
      <c r="C717" s="134"/>
      <c r="D717" s="135"/>
      <c r="E717" s="134"/>
      <c r="F717" s="134"/>
      <c r="G717" s="134"/>
      <c r="H717" s="134"/>
      <c r="I717" s="134"/>
      <c r="J717" s="134"/>
      <c r="K717" s="134"/>
      <c r="L717" s="134"/>
      <c r="M717" s="134"/>
      <c r="N717" s="134"/>
      <c r="O717" s="134"/>
      <c r="P717" s="134"/>
      <c r="Q717" s="134"/>
      <c r="R717" s="134"/>
      <c r="S717" s="134"/>
      <c r="T717" s="134"/>
      <c r="U717" s="134"/>
      <c r="V717" s="134"/>
      <c r="W717" s="134"/>
      <c r="X717" s="134"/>
      <c r="Y717" s="134"/>
    </row>
    <row r="718" spans="1:25" ht="12.75">
      <c r="A718" s="147"/>
      <c r="B718" s="133"/>
      <c r="C718" s="134"/>
      <c r="D718" s="135"/>
      <c r="E718" s="134"/>
      <c r="F718" s="134"/>
      <c r="G718" s="134"/>
      <c r="H718" s="134"/>
      <c r="I718" s="134"/>
      <c r="J718" s="134"/>
      <c r="K718" s="134"/>
      <c r="L718" s="134"/>
      <c r="M718" s="134"/>
      <c r="N718" s="134"/>
      <c r="O718" s="134"/>
      <c r="P718" s="134"/>
      <c r="Q718" s="134"/>
      <c r="R718" s="134"/>
      <c r="S718" s="134"/>
      <c r="T718" s="134"/>
      <c r="U718" s="134"/>
      <c r="V718" s="134"/>
      <c r="W718" s="134"/>
      <c r="X718" s="134"/>
      <c r="Y718" s="134"/>
    </row>
    <row r="719" spans="1:25" ht="12.75">
      <c r="A719" s="147"/>
      <c r="B719" s="133"/>
      <c r="C719" s="134"/>
      <c r="D719" s="135"/>
      <c r="E719" s="134"/>
      <c r="F719" s="134"/>
      <c r="G719" s="134"/>
      <c r="H719" s="134"/>
      <c r="I719" s="134"/>
      <c r="J719" s="134"/>
      <c r="K719" s="134"/>
      <c r="L719" s="134"/>
      <c r="M719" s="134"/>
      <c r="N719" s="134"/>
      <c r="O719" s="134"/>
      <c r="P719" s="134"/>
      <c r="Q719" s="134"/>
      <c r="R719" s="134"/>
      <c r="S719" s="134"/>
      <c r="T719" s="134"/>
      <c r="U719" s="134"/>
      <c r="V719" s="134"/>
      <c r="W719" s="134"/>
      <c r="X719" s="134"/>
      <c r="Y719" s="134"/>
    </row>
    <row r="720" spans="1:25" ht="12.75">
      <c r="A720" s="147"/>
      <c r="B720" s="133"/>
      <c r="C720" s="134"/>
      <c r="D720" s="135"/>
      <c r="E720" s="134"/>
      <c r="F720" s="134"/>
      <c r="G720" s="134"/>
      <c r="H720" s="134"/>
      <c r="I720" s="134"/>
      <c r="J720" s="134"/>
      <c r="K720" s="134"/>
      <c r="L720" s="134"/>
      <c r="M720" s="134"/>
      <c r="N720" s="134"/>
      <c r="O720" s="134"/>
      <c r="P720" s="134"/>
      <c r="Q720" s="134"/>
      <c r="R720" s="134"/>
      <c r="S720" s="134"/>
      <c r="T720" s="134"/>
      <c r="U720" s="134"/>
      <c r="V720" s="134"/>
      <c r="W720" s="134"/>
      <c r="X720" s="134"/>
      <c r="Y720" s="134"/>
    </row>
    <row r="721" spans="1:25" ht="12.75">
      <c r="A721" s="147"/>
      <c r="B721" s="133"/>
      <c r="C721" s="134"/>
      <c r="D721" s="135"/>
      <c r="E721" s="134"/>
      <c r="F721" s="134"/>
      <c r="G721" s="134"/>
      <c r="H721" s="134"/>
      <c r="I721" s="134"/>
      <c r="J721" s="134"/>
      <c r="K721" s="134"/>
      <c r="L721" s="134"/>
      <c r="M721" s="134"/>
      <c r="N721" s="134"/>
      <c r="O721" s="134"/>
      <c r="P721" s="134"/>
      <c r="Q721" s="134"/>
      <c r="R721" s="134"/>
      <c r="S721" s="134"/>
      <c r="T721" s="134"/>
      <c r="U721" s="134"/>
      <c r="V721" s="134"/>
      <c r="W721" s="134"/>
      <c r="X721" s="134"/>
      <c r="Y721" s="134"/>
    </row>
    <row r="722" spans="1:25" ht="12.75">
      <c r="A722" s="147"/>
      <c r="B722" s="133"/>
      <c r="C722" s="134"/>
      <c r="D722" s="135"/>
      <c r="E722" s="134"/>
      <c r="F722" s="134"/>
      <c r="G722" s="134"/>
      <c r="H722" s="134"/>
      <c r="I722" s="134"/>
      <c r="J722" s="134"/>
      <c r="K722" s="134"/>
      <c r="L722" s="134"/>
      <c r="M722" s="134"/>
      <c r="N722" s="134"/>
      <c r="O722" s="134"/>
      <c r="P722" s="134"/>
      <c r="Q722" s="134"/>
      <c r="R722" s="134"/>
      <c r="S722" s="134"/>
      <c r="T722" s="134"/>
      <c r="U722" s="134"/>
      <c r="V722" s="134"/>
      <c r="W722" s="134"/>
      <c r="X722" s="134"/>
      <c r="Y722" s="134"/>
    </row>
    <row r="723" spans="1:25" ht="12.75">
      <c r="A723" s="147"/>
      <c r="B723" s="133"/>
      <c r="C723" s="134"/>
      <c r="D723" s="135"/>
      <c r="E723" s="134"/>
      <c r="F723" s="134"/>
      <c r="G723" s="134"/>
      <c r="H723" s="134"/>
      <c r="I723" s="134"/>
      <c r="J723" s="134"/>
      <c r="K723" s="134"/>
      <c r="L723" s="134"/>
      <c r="M723" s="134"/>
      <c r="N723" s="134"/>
      <c r="O723" s="134"/>
      <c r="P723" s="134"/>
      <c r="Q723" s="134"/>
      <c r="R723" s="134"/>
      <c r="S723" s="134"/>
      <c r="T723" s="134"/>
      <c r="U723" s="134"/>
      <c r="V723" s="134"/>
      <c r="W723" s="134"/>
      <c r="X723" s="134"/>
      <c r="Y723" s="134"/>
    </row>
    <row r="724" spans="1:25" ht="12.75">
      <c r="A724" s="147"/>
      <c r="B724" s="133"/>
      <c r="C724" s="134"/>
      <c r="D724" s="135"/>
      <c r="E724" s="134"/>
      <c r="F724" s="134"/>
      <c r="G724" s="134"/>
      <c r="H724" s="134"/>
      <c r="I724" s="134"/>
      <c r="J724" s="134"/>
      <c r="K724" s="134"/>
      <c r="L724" s="134"/>
      <c r="M724" s="134"/>
      <c r="N724" s="134"/>
      <c r="O724" s="134"/>
      <c r="P724" s="134"/>
      <c r="Q724" s="134"/>
      <c r="R724" s="134"/>
      <c r="S724" s="134"/>
      <c r="T724" s="134"/>
      <c r="U724" s="134"/>
      <c r="V724" s="134"/>
      <c r="W724" s="134"/>
      <c r="X724" s="134"/>
      <c r="Y724" s="134"/>
    </row>
    <row r="725" spans="1:25" ht="12.75">
      <c r="A725" s="147"/>
      <c r="B725" s="133"/>
      <c r="C725" s="134"/>
      <c r="D725" s="135"/>
      <c r="E725" s="134"/>
      <c r="F725" s="134"/>
      <c r="G725" s="134"/>
      <c r="H725" s="134"/>
      <c r="I725" s="134"/>
      <c r="J725" s="134"/>
      <c r="K725" s="134"/>
      <c r="L725" s="134"/>
      <c r="M725" s="134"/>
      <c r="N725" s="134"/>
      <c r="O725" s="134"/>
      <c r="P725" s="134"/>
      <c r="Q725" s="134"/>
      <c r="R725" s="134"/>
      <c r="S725" s="134"/>
      <c r="T725" s="134"/>
      <c r="U725" s="134"/>
      <c r="V725" s="134"/>
      <c r="W725" s="134"/>
      <c r="X725" s="134"/>
      <c r="Y725" s="134"/>
    </row>
    <row r="726" spans="1:25" ht="12.75">
      <c r="A726" s="147"/>
      <c r="B726" s="133"/>
      <c r="C726" s="134"/>
      <c r="D726" s="135"/>
      <c r="E726" s="134"/>
      <c r="F726" s="134"/>
      <c r="G726" s="134"/>
      <c r="H726" s="134"/>
      <c r="I726" s="134"/>
      <c r="J726" s="134"/>
      <c r="K726" s="134"/>
      <c r="L726" s="134"/>
      <c r="M726" s="134"/>
      <c r="N726" s="134"/>
      <c r="O726" s="134"/>
      <c r="P726" s="134"/>
      <c r="Q726" s="134"/>
      <c r="R726" s="134"/>
      <c r="S726" s="134"/>
      <c r="T726" s="134"/>
      <c r="U726" s="134"/>
      <c r="V726" s="134"/>
      <c r="W726" s="134"/>
      <c r="X726" s="134"/>
      <c r="Y726" s="134"/>
    </row>
    <row r="727" spans="1:25" ht="12.75">
      <c r="A727" s="147"/>
      <c r="B727" s="133"/>
      <c r="C727" s="134"/>
      <c r="D727" s="135"/>
      <c r="E727" s="134"/>
      <c r="F727" s="134"/>
      <c r="G727" s="134"/>
      <c r="H727" s="134"/>
      <c r="I727" s="134"/>
      <c r="J727" s="134"/>
      <c r="K727" s="134"/>
      <c r="L727" s="134"/>
      <c r="M727" s="134"/>
      <c r="N727" s="134"/>
      <c r="O727" s="134"/>
      <c r="P727" s="134"/>
      <c r="Q727" s="134"/>
      <c r="R727" s="134"/>
      <c r="S727" s="134"/>
      <c r="T727" s="134"/>
      <c r="U727" s="134"/>
      <c r="V727" s="134"/>
      <c r="W727" s="134"/>
      <c r="X727" s="134"/>
      <c r="Y727" s="134"/>
    </row>
    <row r="728" spans="1:25" ht="12.75">
      <c r="A728" s="147"/>
      <c r="B728" s="133"/>
      <c r="C728" s="134"/>
      <c r="D728" s="135"/>
      <c r="E728" s="134"/>
      <c r="F728" s="134"/>
      <c r="G728" s="134"/>
      <c r="H728" s="134"/>
      <c r="I728" s="134"/>
      <c r="J728" s="134"/>
      <c r="K728" s="134"/>
      <c r="L728" s="134"/>
      <c r="M728" s="134"/>
      <c r="N728" s="134"/>
      <c r="O728" s="134"/>
      <c r="P728" s="134"/>
      <c r="Q728" s="134"/>
      <c r="R728" s="134"/>
      <c r="S728" s="134"/>
      <c r="T728" s="134"/>
      <c r="U728" s="134"/>
      <c r="V728" s="134"/>
      <c r="W728" s="134"/>
      <c r="X728" s="134"/>
      <c r="Y728" s="134"/>
    </row>
    <row r="729" spans="1:25" ht="12.75">
      <c r="A729" s="147"/>
      <c r="B729" s="133"/>
      <c r="C729" s="134"/>
      <c r="D729" s="135"/>
      <c r="E729" s="134"/>
      <c r="F729" s="134"/>
      <c r="G729" s="134"/>
      <c r="H729" s="134"/>
      <c r="I729" s="134"/>
      <c r="J729" s="134"/>
      <c r="K729" s="134"/>
      <c r="L729" s="134"/>
      <c r="M729" s="134"/>
      <c r="N729" s="134"/>
      <c r="O729" s="134"/>
      <c r="P729" s="134"/>
      <c r="Q729" s="134"/>
      <c r="R729" s="134"/>
      <c r="S729" s="134"/>
      <c r="T729" s="134"/>
      <c r="U729" s="134"/>
      <c r="V729" s="134"/>
      <c r="W729" s="134"/>
      <c r="X729" s="134"/>
      <c r="Y729" s="134"/>
    </row>
    <row r="730" spans="1:25" ht="12.75">
      <c r="A730" s="147"/>
      <c r="B730" s="133"/>
      <c r="C730" s="134"/>
      <c r="D730" s="135"/>
      <c r="E730" s="134"/>
      <c r="F730" s="134"/>
      <c r="G730" s="134"/>
      <c r="H730" s="134"/>
      <c r="I730" s="134"/>
      <c r="J730" s="134"/>
      <c r="K730" s="134"/>
      <c r="L730" s="134"/>
      <c r="M730" s="134"/>
      <c r="N730" s="134"/>
      <c r="O730" s="134"/>
      <c r="P730" s="134"/>
      <c r="Q730" s="134"/>
      <c r="R730" s="134"/>
      <c r="S730" s="134"/>
      <c r="T730" s="134"/>
      <c r="U730" s="134"/>
      <c r="V730" s="134"/>
      <c r="W730" s="134"/>
      <c r="X730" s="134"/>
      <c r="Y730" s="134"/>
    </row>
    <row r="731" spans="1:25" ht="12.75">
      <c r="A731" s="147"/>
      <c r="B731" s="133"/>
      <c r="C731" s="134"/>
      <c r="D731" s="135"/>
      <c r="E731" s="134"/>
      <c r="F731" s="134"/>
      <c r="G731" s="134"/>
      <c r="H731" s="134"/>
      <c r="I731" s="134"/>
      <c r="J731" s="134"/>
      <c r="K731" s="134"/>
      <c r="L731" s="134"/>
      <c r="M731" s="134"/>
      <c r="N731" s="134"/>
      <c r="O731" s="134"/>
      <c r="P731" s="134"/>
      <c r="Q731" s="134"/>
      <c r="R731" s="134"/>
      <c r="S731" s="134"/>
      <c r="T731" s="134"/>
      <c r="U731" s="134"/>
      <c r="V731" s="134"/>
      <c r="W731" s="134"/>
      <c r="X731" s="134"/>
      <c r="Y731" s="134"/>
    </row>
    <row r="732" spans="1:25" ht="12.75">
      <c r="A732" s="147"/>
      <c r="B732" s="133"/>
      <c r="C732" s="134"/>
      <c r="D732" s="135"/>
      <c r="E732" s="134"/>
      <c r="F732" s="134"/>
      <c r="G732" s="134"/>
      <c r="H732" s="134"/>
      <c r="I732" s="134"/>
      <c r="J732" s="134"/>
      <c r="K732" s="134"/>
      <c r="L732" s="134"/>
      <c r="M732" s="134"/>
      <c r="N732" s="134"/>
      <c r="O732" s="134"/>
      <c r="P732" s="134"/>
      <c r="Q732" s="134"/>
      <c r="R732" s="134"/>
      <c r="S732" s="134"/>
      <c r="T732" s="134"/>
      <c r="U732" s="134"/>
      <c r="V732" s="134"/>
      <c r="W732" s="134"/>
      <c r="X732" s="134"/>
      <c r="Y732" s="134"/>
    </row>
    <row r="733" spans="1:25" ht="12.75">
      <c r="A733" s="147"/>
      <c r="B733" s="133"/>
      <c r="C733" s="134"/>
      <c r="D733" s="135"/>
      <c r="E733" s="134"/>
      <c r="F733" s="134"/>
      <c r="G733" s="134"/>
      <c r="H733" s="134"/>
      <c r="I733" s="134"/>
      <c r="J733" s="134"/>
      <c r="K733" s="134"/>
      <c r="L733" s="134"/>
      <c r="M733" s="134"/>
      <c r="N733" s="134"/>
      <c r="O733" s="134"/>
      <c r="P733" s="134"/>
      <c r="Q733" s="134"/>
      <c r="R733" s="134"/>
      <c r="S733" s="134"/>
      <c r="T733" s="134"/>
      <c r="U733" s="134"/>
      <c r="V733" s="134"/>
      <c r="W733" s="134"/>
      <c r="X733" s="134"/>
      <c r="Y733" s="134"/>
    </row>
    <row r="734" spans="1:25" ht="12.75">
      <c r="A734" s="147"/>
      <c r="B734" s="133"/>
      <c r="C734" s="134"/>
      <c r="D734" s="135"/>
      <c r="E734" s="134"/>
      <c r="F734" s="134"/>
      <c r="G734" s="134"/>
      <c r="H734" s="134"/>
      <c r="I734" s="134"/>
      <c r="J734" s="134"/>
      <c r="K734" s="134"/>
      <c r="L734" s="134"/>
      <c r="M734" s="134"/>
      <c r="N734" s="134"/>
      <c r="O734" s="134"/>
      <c r="P734" s="134"/>
      <c r="Q734" s="134"/>
      <c r="R734" s="134"/>
      <c r="S734" s="134"/>
      <c r="T734" s="134"/>
      <c r="U734" s="134"/>
      <c r="V734" s="134"/>
      <c r="W734" s="134"/>
      <c r="X734" s="134"/>
      <c r="Y734" s="134"/>
    </row>
    <row r="735" spans="1:25" ht="12.75">
      <c r="A735" s="147"/>
      <c r="B735" s="133"/>
      <c r="C735" s="134"/>
      <c r="D735" s="135"/>
      <c r="E735" s="134"/>
      <c r="F735" s="134"/>
      <c r="G735" s="134"/>
      <c r="H735" s="134"/>
      <c r="I735" s="134"/>
      <c r="J735" s="134"/>
      <c r="K735" s="134"/>
      <c r="L735" s="134"/>
      <c r="M735" s="134"/>
      <c r="N735" s="134"/>
      <c r="O735" s="134"/>
      <c r="P735" s="134"/>
      <c r="Q735" s="134"/>
      <c r="R735" s="134"/>
      <c r="S735" s="134"/>
      <c r="T735" s="134"/>
      <c r="U735" s="134"/>
      <c r="V735" s="134"/>
      <c r="W735" s="134"/>
      <c r="X735" s="134"/>
      <c r="Y735" s="134"/>
    </row>
    <row r="736" spans="1:25" ht="12.75">
      <c r="A736" s="147"/>
      <c r="B736" s="133"/>
      <c r="C736" s="134"/>
      <c r="D736" s="135"/>
      <c r="E736" s="134"/>
      <c r="F736" s="134"/>
      <c r="G736" s="134"/>
      <c r="H736" s="134"/>
      <c r="I736" s="134"/>
      <c r="J736" s="134"/>
      <c r="K736" s="134"/>
      <c r="L736" s="134"/>
      <c r="M736" s="134"/>
      <c r="N736" s="134"/>
      <c r="O736" s="134"/>
      <c r="P736" s="134"/>
      <c r="Q736" s="134"/>
      <c r="R736" s="134"/>
      <c r="S736" s="134"/>
      <c r="T736" s="134"/>
      <c r="U736" s="134"/>
      <c r="V736" s="134"/>
      <c r="W736" s="134"/>
      <c r="X736" s="134"/>
      <c r="Y736" s="134"/>
    </row>
    <row r="737" spans="1:25" ht="12.75">
      <c r="A737" s="147"/>
      <c r="B737" s="133"/>
      <c r="C737" s="134"/>
      <c r="D737" s="135"/>
      <c r="E737" s="134"/>
      <c r="F737" s="134"/>
      <c r="G737" s="134"/>
      <c r="H737" s="134"/>
      <c r="I737" s="134"/>
      <c r="J737" s="134"/>
      <c r="K737" s="134"/>
      <c r="L737" s="134"/>
      <c r="M737" s="134"/>
      <c r="N737" s="134"/>
      <c r="O737" s="134"/>
      <c r="P737" s="134"/>
      <c r="Q737" s="134"/>
      <c r="R737" s="134"/>
      <c r="S737" s="134"/>
      <c r="T737" s="134"/>
      <c r="U737" s="134"/>
      <c r="V737" s="134"/>
      <c r="W737" s="134"/>
      <c r="X737" s="134"/>
      <c r="Y737" s="134"/>
    </row>
    <row r="738" spans="1:25" ht="12.75">
      <c r="A738" s="147"/>
      <c r="B738" s="133"/>
      <c r="C738" s="134"/>
      <c r="D738" s="135"/>
      <c r="E738" s="134"/>
      <c r="F738" s="134"/>
      <c r="G738" s="134"/>
      <c r="H738" s="134"/>
      <c r="I738" s="134"/>
      <c r="J738" s="134"/>
      <c r="K738" s="134"/>
      <c r="L738" s="134"/>
      <c r="M738" s="134"/>
      <c r="N738" s="134"/>
      <c r="O738" s="134"/>
      <c r="P738" s="134"/>
      <c r="Q738" s="134"/>
      <c r="R738" s="134"/>
      <c r="S738" s="134"/>
      <c r="T738" s="134"/>
      <c r="U738" s="134"/>
      <c r="V738" s="134"/>
      <c r="W738" s="134"/>
      <c r="X738" s="134"/>
      <c r="Y738" s="134"/>
    </row>
    <row r="739" spans="1:25" ht="12.75">
      <c r="A739" s="147"/>
      <c r="B739" s="133"/>
      <c r="C739" s="134"/>
      <c r="D739" s="135"/>
      <c r="E739" s="134"/>
      <c r="F739" s="134"/>
      <c r="G739" s="134"/>
      <c r="H739" s="134"/>
      <c r="I739" s="134"/>
      <c r="J739" s="134"/>
      <c r="K739" s="134"/>
      <c r="L739" s="134"/>
      <c r="M739" s="134"/>
      <c r="N739" s="134"/>
      <c r="O739" s="134"/>
      <c r="P739" s="134"/>
      <c r="Q739" s="134"/>
      <c r="R739" s="134"/>
      <c r="S739" s="134"/>
      <c r="T739" s="134"/>
      <c r="U739" s="134"/>
      <c r="V739" s="134"/>
      <c r="W739" s="134"/>
      <c r="X739" s="134"/>
      <c r="Y739" s="134"/>
    </row>
    <row r="740" spans="1:25" ht="12.75">
      <c r="A740" s="147"/>
      <c r="B740" s="133"/>
      <c r="C740" s="134"/>
      <c r="D740" s="135"/>
      <c r="E740" s="134"/>
      <c r="F740" s="134"/>
      <c r="G740" s="134"/>
      <c r="H740" s="134"/>
      <c r="I740" s="134"/>
      <c r="J740" s="134"/>
      <c r="K740" s="134"/>
      <c r="L740" s="134"/>
      <c r="M740" s="134"/>
      <c r="N740" s="134"/>
      <c r="O740" s="134"/>
      <c r="P740" s="134"/>
      <c r="Q740" s="134"/>
      <c r="R740" s="134"/>
      <c r="S740" s="134"/>
      <c r="T740" s="134"/>
      <c r="U740" s="134"/>
      <c r="V740" s="134"/>
      <c r="W740" s="134"/>
      <c r="X740" s="134"/>
      <c r="Y740" s="134"/>
    </row>
    <row r="741" spans="1:25" ht="12.75">
      <c r="A741" s="147"/>
      <c r="B741" s="133"/>
      <c r="C741" s="134"/>
      <c r="D741" s="135"/>
      <c r="E741" s="134"/>
      <c r="F741" s="134"/>
      <c r="G741" s="134"/>
      <c r="H741" s="134"/>
      <c r="I741" s="134"/>
      <c r="J741" s="134"/>
      <c r="K741" s="134"/>
      <c r="L741" s="134"/>
      <c r="M741" s="134"/>
      <c r="N741" s="134"/>
      <c r="O741" s="134"/>
      <c r="P741" s="134"/>
      <c r="Q741" s="134"/>
      <c r="R741" s="134"/>
      <c r="S741" s="134"/>
      <c r="T741" s="134"/>
      <c r="U741" s="134"/>
      <c r="V741" s="134"/>
      <c r="W741" s="134"/>
      <c r="X741" s="134"/>
      <c r="Y741" s="134"/>
    </row>
    <row r="742" spans="1:25" ht="12.75">
      <c r="A742" s="147"/>
      <c r="B742" s="133"/>
      <c r="C742" s="134"/>
      <c r="D742" s="135"/>
      <c r="E742" s="134"/>
      <c r="F742" s="134"/>
      <c r="G742" s="134"/>
      <c r="H742" s="134"/>
      <c r="I742" s="134"/>
      <c r="J742" s="134"/>
      <c r="K742" s="134"/>
      <c r="L742" s="134"/>
      <c r="M742" s="134"/>
      <c r="N742" s="134"/>
      <c r="O742" s="134"/>
      <c r="P742" s="134"/>
      <c r="Q742" s="134"/>
      <c r="R742" s="134"/>
      <c r="S742" s="134"/>
      <c r="T742" s="134"/>
      <c r="U742" s="134"/>
      <c r="V742" s="134"/>
      <c r="W742" s="134"/>
      <c r="X742" s="134"/>
      <c r="Y742" s="134"/>
    </row>
    <row r="743" spans="1:25" ht="12.75">
      <c r="A743" s="147"/>
      <c r="B743" s="133"/>
      <c r="C743" s="134"/>
      <c r="D743" s="135"/>
      <c r="E743" s="134"/>
      <c r="F743" s="134"/>
      <c r="G743" s="134"/>
      <c r="H743" s="134"/>
      <c r="I743" s="134"/>
      <c r="J743" s="134"/>
      <c r="K743" s="134"/>
      <c r="L743" s="134"/>
      <c r="M743" s="134"/>
      <c r="N743" s="134"/>
      <c r="O743" s="134"/>
      <c r="P743" s="134"/>
      <c r="Q743" s="134"/>
      <c r="R743" s="134"/>
      <c r="S743" s="134"/>
      <c r="T743" s="134"/>
      <c r="U743" s="134"/>
      <c r="V743" s="134"/>
      <c r="W743" s="134"/>
      <c r="X743" s="134"/>
      <c r="Y743" s="134"/>
    </row>
    <row r="744" spans="1:25" ht="12.75">
      <c r="A744" s="147"/>
      <c r="B744" s="133"/>
      <c r="C744" s="134"/>
      <c r="D744" s="135"/>
      <c r="E744" s="134"/>
      <c r="F744" s="134"/>
      <c r="G744" s="134"/>
      <c r="H744" s="134"/>
      <c r="I744" s="134"/>
      <c r="J744" s="134"/>
      <c r="K744" s="134"/>
      <c r="L744" s="134"/>
      <c r="M744" s="134"/>
      <c r="N744" s="134"/>
      <c r="O744" s="134"/>
      <c r="P744" s="134"/>
      <c r="Q744" s="134"/>
      <c r="R744" s="134"/>
      <c r="S744" s="134"/>
      <c r="T744" s="134"/>
      <c r="U744" s="134"/>
      <c r="V744" s="134"/>
      <c r="W744" s="134"/>
      <c r="X744" s="134"/>
      <c r="Y744" s="134"/>
    </row>
    <row r="745" spans="1:25" ht="12.75">
      <c r="A745" s="147"/>
      <c r="B745" s="133"/>
      <c r="C745" s="134"/>
      <c r="D745" s="135"/>
      <c r="E745" s="134"/>
      <c r="F745" s="134"/>
      <c r="G745" s="134"/>
      <c r="H745" s="134"/>
      <c r="I745" s="134"/>
      <c r="J745" s="134"/>
      <c r="K745" s="134"/>
      <c r="L745" s="134"/>
      <c r="M745" s="134"/>
      <c r="N745" s="134"/>
      <c r="O745" s="134"/>
      <c r="P745" s="134"/>
      <c r="Q745" s="134"/>
      <c r="R745" s="134"/>
      <c r="S745" s="134"/>
      <c r="T745" s="134"/>
      <c r="U745" s="134"/>
      <c r="V745" s="134"/>
      <c r="W745" s="134"/>
      <c r="X745" s="134"/>
      <c r="Y745" s="134"/>
    </row>
    <row r="746" spans="1:25" ht="12.75">
      <c r="A746" s="147"/>
      <c r="B746" s="133"/>
      <c r="C746" s="134"/>
      <c r="D746" s="135"/>
      <c r="E746" s="134"/>
      <c r="F746" s="134"/>
      <c r="G746" s="134"/>
      <c r="H746" s="134"/>
      <c r="I746" s="134"/>
      <c r="J746" s="134"/>
      <c r="K746" s="134"/>
      <c r="L746" s="134"/>
      <c r="M746" s="134"/>
      <c r="N746" s="134"/>
      <c r="O746" s="134"/>
      <c r="P746" s="134"/>
      <c r="Q746" s="134"/>
      <c r="R746" s="134"/>
      <c r="S746" s="134"/>
      <c r="T746" s="134"/>
      <c r="U746" s="134"/>
      <c r="V746" s="134"/>
      <c r="W746" s="134"/>
      <c r="X746" s="134"/>
      <c r="Y746" s="134"/>
    </row>
    <row r="747" spans="1:25" ht="12.75">
      <c r="A747" s="147"/>
      <c r="B747" s="133"/>
      <c r="C747" s="134"/>
      <c r="D747" s="135"/>
      <c r="E747" s="134"/>
      <c r="F747" s="134"/>
      <c r="G747" s="134"/>
      <c r="H747" s="134"/>
      <c r="I747" s="134"/>
      <c r="J747" s="134"/>
      <c r="K747" s="134"/>
      <c r="L747" s="134"/>
      <c r="M747" s="134"/>
      <c r="N747" s="134"/>
      <c r="O747" s="134"/>
      <c r="P747" s="134"/>
      <c r="Q747" s="134"/>
      <c r="R747" s="134"/>
      <c r="S747" s="134"/>
      <c r="T747" s="134"/>
      <c r="U747" s="134"/>
      <c r="V747" s="134"/>
      <c r="W747" s="134"/>
      <c r="X747" s="134"/>
      <c r="Y747" s="134"/>
    </row>
    <row r="748" spans="1:25" ht="12.75">
      <c r="A748" s="147"/>
      <c r="B748" s="133"/>
      <c r="C748" s="134"/>
      <c r="D748" s="135"/>
      <c r="E748" s="134"/>
      <c r="F748" s="134"/>
      <c r="G748" s="134"/>
      <c r="H748" s="134"/>
      <c r="I748" s="134"/>
      <c r="J748" s="134"/>
      <c r="K748" s="134"/>
      <c r="L748" s="134"/>
      <c r="M748" s="134"/>
      <c r="N748" s="134"/>
      <c r="O748" s="134"/>
      <c r="P748" s="134"/>
      <c r="Q748" s="134"/>
      <c r="R748" s="134"/>
      <c r="S748" s="134"/>
      <c r="T748" s="134"/>
      <c r="U748" s="134"/>
      <c r="V748" s="134"/>
      <c r="W748" s="134"/>
      <c r="X748" s="134"/>
      <c r="Y748" s="134"/>
    </row>
    <row r="749" spans="1:25" ht="12.75">
      <c r="A749" s="147"/>
      <c r="B749" s="133"/>
      <c r="C749" s="134"/>
      <c r="D749" s="135"/>
      <c r="E749" s="134"/>
      <c r="F749" s="134"/>
      <c r="G749" s="134"/>
      <c r="H749" s="134"/>
      <c r="I749" s="134"/>
      <c r="J749" s="134"/>
      <c r="K749" s="134"/>
      <c r="L749" s="134"/>
      <c r="M749" s="134"/>
      <c r="N749" s="134"/>
      <c r="O749" s="134"/>
      <c r="P749" s="134"/>
      <c r="Q749" s="134"/>
      <c r="R749" s="134"/>
      <c r="S749" s="134"/>
      <c r="T749" s="134"/>
      <c r="U749" s="134"/>
      <c r="V749" s="134"/>
      <c r="W749" s="134"/>
      <c r="X749" s="134"/>
      <c r="Y749" s="134"/>
    </row>
    <row r="750" spans="1:25" ht="12.75">
      <c r="A750" s="147"/>
      <c r="B750" s="133"/>
      <c r="C750" s="134"/>
      <c r="D750" s="135"/>
      <c r="E750" s="134"/>
      <c r="F750" s="134"/>
      <c r="G750" s="134"/>
      <c r="H750" s="134"/>
      <c r="I750" s="134"/>
      <c r="J750" s="134"/>
      <c r="K750" s="134"/>
      <c r="L750" s="134"/>
      <c r="M750" s="134"/>
      <c r="N750" s="134"/>
      <c r="O750" s="134"/>
      <c r="P750" s="134"/>
      <c r="Q750" s="134"/>
      <c r="R750" s="134"/>
      <c r="S750" s="134"/>
      <c r="T750" s="134"/>
      <c r="U750" s="134"/>
      <c r="V750" s="134"/>
      <c r="W750" s="134"/>
      <c r="X750" s="134"/>
      <c r="Y750" s="134"/>
    </row>
    <row r="751" spans="1:25" ht="12.75">
      <c r="A751" s="147"/>
      <c r="B751" s="133"/>
      <c r="C751" s="134"/>
      <c r="D751" s="135"/>
      <c r="E751" s="134"/>
      <c r="F751" s="134"/>
      <c r="G751" s="134"/>
      <c r="H751" s="134"/>
      <c r="I751" s="134"/>
      <c r="J751" s="134"/>
      <c r="K751" s="134"/>
      <c r="L751" s="134"/>
      <c r="M751" s="134"/>
      <c r="N751" s="134"/>
      <c r="O751" s="134"/>
      <c r="P751" s="134"/>
      <c r="Q751" s="134"/>
      <c r="R751" s="134"/>
      <c r="S751" s="134"/>
      <c r="T751" s="134"/>
      <c r="U751" s="134"/>
      <c r="V751" s="134"/>
      <c r="W751" s="134"/>
      <c r="X751" s="134"/>
      <c r="Y751" s="134"/>
    </row>
    <row r="752" spans="1:25" ht="12.75">
      <c r="A752" s="147"/>
      <c r="B752" s="133"/>
      <c r="C752" s="134"/>
      <c r="D752" s="135"/>
      <c r="E752" s="134"/>
      <c r="F752" s="134"/>
      <c r="G752" s="134"/>
      <c r="H752" s="134"/>
      <c r="I752" s="134"/>
      <c r="J752" s="134"/>
      <c r="K752" s="134"/>
      <c r="L752" s="134"/>
      <c r="M752" s="134"/>
      <c r="N752" s="134"/>
      <c r="O752" s="134"/>
      <c r="P752" s="134"/>
      <c r="Q752" s="134"/>
      <c r="R752" s="134"/>
      <c r="S752" s="134"/>
      <c r="T752" s="134"/>
      <c r="U752" s="134"/>
      <c r="V752" s="134"/>
      <c r="W752" s="134"/>
      <c r="X752" s="134"/>
      <c r="Y752" s="134"/>
    </row>
    <row r="753" spans="1:25" ht="12.75">
      <c r="A753" s="147"/>
      <c r="B753" s="133"/>
      <c r="C753" s="134"/>
      <c r="D753" s="135"/>
      <c r="E753" s="134"/>
      <c r="F753" s="134"/>
      <c r="G753" s="134"/>
      <c r="H753" s="134"/>
      <c r="I753" s="134"/>
      <c r="J753" s="134"/>
      <c r="K753" s="134"/>
      <c r="L753" s="134"/>
      <c r="M753" s="134"/>
      <c r="N753" s="134"/>
      <c r="O753" s="134"/>
      <c r="P753" s="134"/>
      <c r="Q753" s="134"/>
      <c r="R753" s="134"/>
      <c r="S753" s="134"/>
      <c r="T753" s="134"/>
      <c r="U753" s="134"/>
      <c r="V753" s="134"/>
      <c r="W753" s="134"/>
      <c r="X753" s="134"/>
      <c r="Y753" s="134"/>
    </row>
    <row r="754" spans="1:25" ht="12.75">
      <c r="A754" s="147"/>
      <c r="B754" s="133"/>
      <c r="C754" s="134"/>
      <c r="D754" s="135"/>
      <c r="E754" s="134"/>
      <c r="F754" s="134"/>
      <c r="G754" s="134"/>
      <c r="H754" s="134"/>
      <c r="I754" s="134"/>
      <c r="J754" s="134"/>
      <c r="K754" s="134"/>
      <c r="L754" s="134"/>
      <c r="M754" s="134"/>
      <c r="N754" s="134"/>
      <c r="O754" s="134"/>
      <c r="P754" s="134"/>
      <c r="Q754" s="134"/>
      <c r="R754" s="134"/>
      <c r="S754" s="134"/>
      <c r="T754" s="134"/>
      <c r="U754" s="134"/>
      <c r="V754" s="134"/>
      <c r="W754" s="134"/>
      <c r="X754" s="134"/>
      <c r="Y754" s="134"/>
    </row>
    <row r="755" spans="1:25" ht="12.75">
      <c r="A755" s="147"/>
      <c r="B755" s="133"/>
      <c r="C755" s="134"/>
      <c r="D755" s="135"/>
      <c r="E755" s="134"/>
      <c r="F755" s="134"/>
      <c r="G755" s="134"/>
      <c r="H755" s="134"/>
      <c r="I755" s="134"/>
      <c r="J755" s="134"/>
      <c r="K755" s="134"/>
      <c r="L755" s="134"/>
      <c r="M755" s="134"/>
      <c r="N755" s="134"/>
      <c r="O755" s="134"/>
      <c r="P755" s="134"/>
      <c r="Q755" s="134"/>
      <c r="R755" s="134"/>
      <c r="S755" s="134"/>
      <c r="T755" s="134"/>
      <c r="U755" s="134"/>
      <c r="V755" s="134"/>
      <c r="W755" s="134"/>
      <c r="X755" s="134"/>
      <c r="Y755" s="134"/>
    </row>
    <row r="756" spans="1:25" ht="12.75">
      <c r="A756" s="147"/>
      <c r="B756" s="133"/>
      <c r="C756" s="134"/>
      <c r="D756" s="135"/>
      <c r="E756" s="134"/>
      <c r="F756" s="134"/>
      <c r="G756" s="134"/>
      <c r="H756" s="134"/>
      <c r="I756" s="134"/>
      <c r="J756" s="134"/>
      <c r="K756" s="134"/>
      <c r="L756" s="134"/>
      <c r="M756" s="134"/>
      <c r="N756" s="134"/>
      <c r="O756" s="134"/>
      <c r="P756" s="134"/>
      <c r="Q756" s="134"/>
      <c r="R756" s="134"/>
      <c r="S756" s="134"/>
      <c r="T756" s="134"/>
      <c r="U756" s="134"/>
      <c r="V756" s="134"/>
      <c r="W756" s="134"/>
      <c r="X756" s="134"/>
      <c r="Y756" s="134"/>
    </row>
    <row r="757" spans="1:25" ht="12.75">
      <c r="A757" s="147"/>
      <c r="B757" s="133"/>
      <c r="C757" s="134"/>
      <c r="D757" s="135"/>
      <c r="E757" s="134"/>
      <c r="F757" s="134"/>
      <c r="G757" s="134"/>
      <c r="H757" s="134"/>
      <c r="I757" s="134"/>
      <c r="J757" s="134"/>
      <c r="K757" s="134"/>
      <c r="L757" s="134"/>
      <c r="M757" s="134"/>
      <c r="N757" s="134"/>
      <c r="O757" s="134"/>
      <c r="P757" s="134"/>
      <c r="Q757" s="134"/>
      <c r="R757" s="134"/>
      <c r="S757" s="134"/>
      <c r="T757" s="134"/>
      <c r="U757" s="134"/>
      <c r="V757" s="134"/>
      <c r="W757" s="134"/>
      <c r="X757" s="134"/>
      <c r="Y757" s="134"/>
    </row>
    <row r="758" spans="1:25" ht="12.75">
      <c r="A758" s="147"/>
      <c r="B758" s="133"/>
      <c r="C758" s="134"/>
      <c r="D758" s="135"/>
      <c r="E758" s="134"/>
      <c r="F758" s="134"/>
      <c r="G758" s="134"/>
      <c r="H758" s="134"/>
      <c r="I758" s="134"/>
      <c r="J758" s="134"/>
      <c r="K758" s="134"/>
      <c r="L758" s="134"/>
      <c r="M758" s="134"/>
      <c r="N758" s="134"/>
      <c r="O758" s="134"/>
      <c r="P758" s="134"/>
      <c r="Q758" s="134"/>
      <c r="R758" s="134"/>
      <c r="S758" s="134"/>
      <c r="T758" s="134"/>
      <c r="U758" s="134"/>
      <c r="V758" s="134"/>
      <c r="W758" s="134"/>
      <c r="X758" s="134"/>
      <c r="Y758" s="134"/>
    </row>
    <row r="759" spans="1:25" ht="12.75">
      <c r="A759" s="147"/>
      <c r="B759" s="133"/>
      <c r="C759" s="134"/>
      <c r="D759" s="135"/>
      <c r="E759" s="134"/>
      <c r="F759" s="134"/>
      <c r="G759" s="134"/>
      <c r="H759" s="134"/>
      <c r="I759" s="134"/>
      <c r="J759" s="134"/>
      <c r="K759" s="134"/>
      <c r="L759" s="134"/>
      <c r="M759" s="134"/>
      <c r="N759" s="134"/>
      <c r="O759" s="134"/>
      <c r="P759" s="134"/>
      <c r="Q759" s="134"/>
      <c r="R759" s="134"/>
      <c r="S759" s="134"/>
      <c r="T759" s="134"/>
      <c r="U759" s="134"/>
      <c r="V759" s="134"/>
      <c r="W759" s="134"/>
      <c r="X759" s="134"/>
      <c r="Y759" s="134"/>
    </row>
    <row r="760" spans="1:25" ht="12.75">
      <c r="A760" s="147"/>
      <c r="B760" s="133"/>
      <c r="C760" s="134"/>
      <c r="D760" s="135"/>
      <c r="E760" s="134"/>
      <c r="F760" s="134"/>
      <c r="G760" s="134"/>
      <c r="H760" s="134"/>
      <c r="I760" s="134"/>
      <c r="J760" s="134"/>
      <c r="K760" s="134"/>
      <c r="L760" s="134"/>
      <c r="M760" s="134"/>
      <c r="N760" s="134"/>
      <c r="O760" s="134"/>
      <c r="P760" s="134"/>
      <c r="Q760" s="134"/>
      <c r="R760" s="134"/>
      <c r="S760" s="134"/>
      <c r="T760" s="134"/>
      <c r="U760" s="134"/>
      <c r="V760" s="134"/>
      <c r="W760" s="134"/>
      <c r="X760" s="134"/>
      <c r="Y760" s="134"/>
    </row>
    <row r="761" spans="1:25" ht="12.75">
      <c r="A761" s="147"/>
      <c r="B761" s="133"/>
      <c r="C761" s="134"/>
      <c r="D761" s="135"/>
      <c r="E761" s="134"/>
      <c r="F761" s="134"/>
      <c r="G761" s="134"/>
      <c r="H761" s="134"/>
      <c r="I761" s="134"/>
      <c r="J761" s="134"/>
      <c r="K761" s="134"/>
      <c r="L761" s="134"/>
      <c r="M761" s="134"/>
      <c r="N761" s="134"/>
      <c r="O761" s="134"/>
      <c r="P761" s="134"/>
      <c r="Q761" s="134"/>
      <c r="R761" s="134"/>
      <c r="S761" s="134"/>
      <c r="T761" s="134"/>
      <c r="U761" s="134"/>
      <c r="V761" s="134"/>
      <c r="W761" s="134"/>
      <c r="X761" s="134"/>
      <c r="Y761" s="134"/>
    </row>
    <row r="762" spans="1:25" ht="12.75">
      <c r="A762" s="147"/>
      <c r="B762" s="133"/>
      <c r="C762" s="134"/>
      <c r="D762" s="135"/>
      <c r="E762" s="134"/>
      <c r="F762" s="134"/>
      <c r="G762" s="134"/>
      <c r="H762" s="134"/>
      <c r="I762" s="134"/>
      <c r="J762" s="134"/>
      <c r="K762" s="134"/>
      <c r="L762" s="134"/>
      <c r="M762" s="134"/>
      <c r="N762" s="134"/>
      <c r="O762" s="134"/>
      <c r="P762" s="134"/>
      <c r="Q762" s="134"/>
      <c r="R762" s="134"/>
      <c r="S762" s="134"/>
      <c r="T762" s="134"/>
      <c r="U762" s="134"/>
      <c r="V762" s="134"/>
      <c r="W762" s="134"/>
      <c r="X762" s="134"/>
      <c r="Y762" s="134"/>
    </row>
    <row r="763" spans="1:25" ht="12.75">
      <c r="A763" s="147"/>
      <c r="B763" s="133"/>
      <c r="C763" s="134"/>
      <c r="D763" s="135"/>
      <c r="E763" s="134"/>
      <c r="F763" s="134"/>
      <c r="G763" s="134"/>
      <c r="H763" s="134"/>
      <c r="I763" s="134"/>
      <c r="J763" s="134"/>
      <c r="K763" s="134"/>
      <c r="L763" s="134"/>
      <c r="M763" s="134"/>
      <c r="N763" s="134"/>
      <c r="O763" s="134"/>
      <c r="P763" s="134"/>
      <c r="Q763" s="134"/>
      <c r="R763" s="134"/>
      <c r="S763" s="134"/>
      <c r="T763" s="134"/>
      <c r="U763" s="134"/>
      <c r="V763" s="134"/>
      <c r="W763" s="134"/>
      <c r="X763" s="134"/>
      <c r="Y763" s="134"/>
    </row>
    <row r="764" spans="1:25" ht="12.75">
      <c r="A764" s="147"/>
      <c r="B764" s="133"/>
      <c r="C764" s="134"/>
      <c r="D764" s="135"/>
      <c r="E764" s="134"/>
      <c r="F764" s="134"/>
      <c r="G764" s="134"/>
      <c r="H764" s="134"/>
      <c r="I764" s="134"/>
      <c r="J764" s="134"/>
      <c r="K764" s="134"/>
      <c r="L764" s="134"/>
      <c r="M764" s="134"/>
      <c r="N764" s="134"/>
      <c r="O764" s="134"/>
      <c r="P764" s="134"/>
      <c r="Q764" s="134"/>
      <c r="R764" s="134"/>
      <c r="S764" s="134"/>
      <c r="T764" s="134"/>
      <c r="U764" s="134"/>
      <c r="V764" s="134"/>
      <c r="W764" s="134"/>
      <c r="X764" s="134"/>
      <c r="Y764" s="134"/>
    </row>
    <row r="765" spans="1:25" ht="12.75">
      <c r="A765" s="147"/>
      <c r="B765" s="133"/>
      <c r="C765" s="134"/>
      <c r="D765" s="135"/>
      <c r="E765" s="134"/>
      <c r="F765" s="134"/>
      <c r="G765" s="134"/>
      <c r="H765" s="134"/>
      <c r="I765" s="134"/>
      <c r="J765" s="134"/>
      <c r="K765" s="134"/>
      <c r="L765" s="134"/>
      <c r="M765" s="134"/>
      <c r="N765" s="134"/>
      <c r="O765" s="134"/>
      <c r="P765" s="134"/>
      <c r="Q765" s="134"/>
      <c r="R765" s="134"/>
      <c r="S765" s="134"/>
      <c r="T765" s="134"/>
      <c r="U765" s="134"/>
      <c r="V765" s="134"/>
      <c r="W765" s="134"/>
      <c r="X765" s="134"/>
      <c r="Y765" s="134"/>
    </row>
    <row r="766" spans="1:25" ht="12.75">
      <c r="A766" s="147"/>
      <c r="B766" s="133"/>
      <c r="C766" s="134"/>
      <c r="D766" s="135"/>
      <c r="E766" s="134"/>
      <c r="F766" s="134"/>
      <c r="G766" s="134"/>
      <c r="H766" s="134"/>
      <c r="I766" s="134"/>
      <c r="J766" s="134"/>
      <c r="K766" s="134"/>
      <c r="L766" s="134"/>
      <c r="M766" s="134"/>
      <c r="N766" s="134"/>
      <c r="O766" s="134"/>
      <c r="P766" s="134"/>
      <c r="Q766" s="134"/>
      <c r="R766" s="134"/>
      <c r="S766" s="134"/>
      <c r="T766" s="134"/>
      <c r="U766" s="134"/>
      <c r="V766" s="134"/>
      <c r="W766" s="134"/>
      <c r="X766" s="134"/>
      <c r="Y766" s="134"/>
    </row>
    <row r="767" spans="1:25" ht="12.75">
      <c r="A767" s="147"/>
      <c r="B767" s="133"/>
      <c r="C767" s="134"/>
      <c r="D767" s="135"/>
      <c r="E767" s="134"/>
      <c r="F767" s="134"/>
      <c r="G767" s="134"/>
      <c r="H767" s="134"/>
      <c r="I767" s="134"/>
      <c r="J767" s="134"/>
      <c r="K767" s="134"/>
      <c r="L767" s="134"/>
      <c r="M767" s="134"/>
      <c r="N767" s="134"/>
      <c r="O767" s="134"/>
      <c r="P767" s="134"/>
      <c r="Q767" s="134"/>
      <c r="R767" s="134"/>
      <c r="S767" s="134"/>
      <c r="T767" s="134"/>
      <c r="U767" s="134"/>
      <c r="V767" s="134"/>
      <c r="W767" s="134"/>
      <c r="X767" s="134"/>
      <c r="Y767" s="134"/>
    </row>
    <row r="768" spans="1:25" ht="12.75">
      <c r="A768" s="147"/>
      <c r="B768" s="133"/>
      <c r="C768" s="134"/>
      <c r="D768" s="135"/>
      <c r="E768" s="134"/>
      <c r="F768" s="134"/>
      <c r="G768" s="134"/>
      <c r="H768" s="134"/>
      <c r="I768" s="134"/>
      <c r="J768" s="134"/>
      <c r="K768" s="134"/>
      <c r="L768" s="134"/>
      <c r="M768" s="134"/>
      <c r="N768" s="134"/>
      <c r="O768" s="134"/>
      <c r="P768" s="134"/>
      <c r="Q768" s="134"/>
      <c r="R768" s="134"/>
      <c r="S768" s="134"/>
      <c r="T768" s="134"/>
      <c r="U768" s="134"/>
      <c r="V768" s="134"/>
      <c r="W768" s="134"/>
      <c r="X768" s="134"/>
      <c r="Y768" s="134"/>
    </row>
    <row r="769" spans="1:25" ht="12.75">
      <c r="A769" s="147"/>
      <c r="B769" s="133"/>
      <c r="C769" s="134"/>
      <c r="D769" s="135"/>
      <c r="E769" s="134"/>
      <c r="F769" s="134"/>
      <c r="G769" s="134"/>
      <c r="H769" s="134"/>
      <c r="I769" s="134"/>
      <c r="J769" s="134"/>
      <c r="K769" s="134"/>
      <c r="L769" s="134"/>
      <c r="M769" s="134"/>
      <c r="N769" s="134"/>
      <c r="O769" s="134"/>
      <c r="P769" s="134"/>
      <c r="Q769" s="134"/>
      <c r="R769" s="134"/>
      <c r="S769" s="134"/>
      <c r="T769" s="134"/>
      <c r="U769" s="134"/>
      <c r="V769" s="134"/>
      <c r="W769" s="134"/>
      <c r="X769" s="134"/>
      <c r="Y769" s="134"/>
    </row>
    <row r="770" spans="1:25" ht="12.75">
      <c r="A770" s="147"/>
      <c r="B770" s="133"/>
      <c r="C770" s="134"/>
      <c r="D770" s="135"/>
      <c r="E770" s="134"/>
      <c r="F770" s="134"/>
      <c r="G770" s="134"/>
      <c r="H770" s="134"/>
      <c r="I770" s="134"/>
      <c r="J770" s="134"/>
      <c r="K770" s="134"/>
      <c r="L770" s="134"/>
      <c r="M770" s="134"/>
      <c r="N770" s="134"/>
      <c r="O770" s="134"/>
      <c r="P770" s="134"/>
      <c r="Q770" s="134"/>
      <c r="R770" s="134"/>
      <c r="S770" s="134"/>
      <c r="T770" s="134"/>
      <c r="U770" s="134"/>
      <c r="V770" s="134"/>
      <c r="W770" s="134"/>
      <c r="X770" s="134"/>
      <c r="Y770" s="134"/>
    </row>
    <row r="771" spans="1:25" ht="12.75">
      <c r="A771" s="147"/>
      <c r="B771" s="133"/>
      <c r="C771" s="134"/>
      <c r="D771" s="135"/>
      <c r="E771" s="134"/>
      <c r="F771" s="134"/>
      <c r="G771" s="134"/>
      <c r="H771" s="134"/>
      <c r="I771" s="134"/>
      <c r="J771" s="134"/>
      <c r="K771" s="134"/>
      <c r="L771" s="134"/>
      <c r="M771" s="134"/>
      <c r="N771" s="134"/>
      <c r="O771" s="134"/>
      <c r="P771" s="134"/>
      <c r="Q771" s="134"/>
      <c r="R771" s="134"/>
      <c r="S771" s="134"/>
      <c r="T771" s="134"/>
      <c r="U771" s="134"/>
      <c r="V771" s="134"/>
      <c r="W771" s="134"/>
      <c r="X771" s="134"/>
      <c r="Y771" s="134"/>
    </row>
    <row r="772" spans="1:25" ht="12.75">
      <c r="A772" s="147"/>
      <c r="B772" s="133"/>
      <c r="C772" s="134"/>
      <c r="D772" s="135"/>
      <c r="E772" s="134"/>
      <c r="F772" s="134"/>
      <c r="G772" s="134"/>
      <c r="H772" s="134"/>
      <c r="I772" s="134"/>
      <c r="J772" s="134"/>
      <c r="K772" s="134"/>
      <c r="L772" s="134"/>
      <c r="M772" s="134"/>
      <c r="N772" s="134"/>
      <c r="O772" s="134"/>
      <c r="P772" s="134"/>
      <c r="Q772" s="134"/>
      <c r="R772" s="134"/>
      <c r="S772" s="134"/>
      <c r="T772" s="134"/>
      <c r="U772" s="134"/>
      <c r="V772" s="134"/>
      <c r="W772" s="134"/>
      <c r="X772" s="134"/>
      <c r="Y772" s="134"/>
    </row>
    <row r="773" spans="1:25" ht="12.75">
      <c r="A773" s="147"/>
      <c r="B773" s="133"/>
      <c r="C773" s="134"/>
      <c r="D773" s="135"/>
      <c r="E773" s="134"/>
      <c r="F773" s="134"/>
      <c r="G773" s="134"/>
      <c r="H773" s="134"/>
      <c r="I773" s="134"/>
      <c r="J773" s="134"/>
      <c r="K773" s="134"/>
      <c r="L773" s="134"/>
      <c r="M773" s="134"/>
      <c r="N773" s="134"/>
      <c r="O773" s="134"/>
      <c r="P773" s="134"/>
      <c r="Q773" s="134"/>
      <c r="R773" s="134"/>
      <c r="S773" s="134"/>
      <c r="T773" s="134"/>
      <c r="U773" s="134"/>
      <c r="V773" s="134"/>
      <c r="W773" s="134"/>
      <c r="X773" s="134"/>
      <c r="Y773" s="134"/>
    </row>
    <row r="774" spans="1:25" ht="12.75">
      <c r="A774" s="147"/>
      <c r="B774" s="133"/>
      <c r="C774" s="134"/>
      <c r="D774" s="135"/>
      <c r="E774" s="134"/>
      <c r="F774" s="134"/>
      <c r="G774" s="134"/>
      <c r="H774" s="134"/>
      <c r="I774" s="134"/>
      <c r="J774" s="134"/>
      <c r="K774" s="134"/>
      <c r="L774" s="134"/>
      <c r="M774" s="134"/>
      <c r="N774" s="134"/>
      <c r="O774" s="134"/>
      <c r="P774" s="134"/>
      <c r="Q774" s="134"/>
      <c r="R774" s="134"/>
      <c r="S774" s="134"/>
      <c r="T774" s="134"/>
      <c r="U774" s="134"/>
      <c r="V774" s="134"/>
      <c r="W774" s="134"/>
      <c r="X774" s="134"/>
      <c r="Y774" s="134"/>
    </row>
    <row r="775" spans="1:25" ht="12.75">
      <c r="A775" s="147"/>
      <c r="B775" s="133"/>
      <c r="C775" s="134"/>
      <c r="D775" s="135"/>
      <c r="E775" s="134"/>
      <c r="F775" s="134"/>
      <c r="G775" s="134"/>
      <c r="H775" s="134"/>
      <c r="I775" s="134"/>
      <c r="J775" s="134"/>
      <c r="K775" s="134"/>
      <c r="L775" s="134"/>
      <c r="M775" s="134"/>
      <c r="N775" s="134"/>
      <c r="O775" s="134"/>
      <c r="P775" s="134"/>
      <c r="Q775" s="134"/>
      <c r="R775" s="134"/>
      <c r="S775" s="134"/>
      <c r="T775" s="134"/>
      <c r="U775" s="134"/>
      <c r="V775" s="134"/>
      <c r="W775" s="134"/>
      <c r="X775" s="134"/>
      <c r="Y775" s="134"/>
    </row>
    <row r="776" spans="1:25" ht="12.75">
      <c r="A776" s="147"/>
      <c r="B776" s="133"/>
      <c r="C776" s="134"/>
      <c r="D776" s="135"/>
      <c r="E776" s="134"/>
      <c r="F776" s="134"/>
      <c r="G776" s="134"/>
      <c r="H776" s="134"/>
      <c r="I776" s="134"/>
      <c r="J776" s="134"/>
      <c r="K776" s="134"/>
      <c r="L776" s="134"/>
      <c r="M776" s="134"/>
      <c r="N776" s="134"/>
      <c r="O776" s="134"/>
      <c r="P776" s="134"/>
      <c r="Q776" s="134"/>
      <c r="R776" s="134"/>
      <c r="S776" s="134"/>
      <c r="T776" s="134"/>
      <c r="U776" s="134"/>
      <c r="V776" s="134"/>
      <c r="W776" s="134"/>
      <c r="X776" s="134"/>
      <c r="Y776" s="134"/>
    </row>
    <row r="777" spans="1:25" ht="12.75">
      <c r="A777" s="147"/>
      <c r="B777" s="133"/>
      <c r="C777" s="134"/>
      <c r="D777" s="135"/>
      <c r="E777" s="134"/>
      <c r="F777" s="134"/>
      <c r="G777" s="134"/>
      <c r="H777" s="134"/>
      <c r="I777" s="134"/>
      <c r="J777" s="134"/>
      <c r="K777" s="134"/>
      <c r="L777" s="134"/>
      <c r="M777" s="134"/>
      <c r="N777" s="134"/>
      <c r="O777" s="134"/>
      <c r="P777" s="134"/>
      <c r="Q777" s="134"/>
      <c r="R777" s="134"/>
      <c r="S777" s="134"/>
      <c r="T777" s="134"/>
      <c r="U777" s="134"/>
      <c r="V777" s="134"/>
      <c r="W777" s="134"/>
      <c r="X777" s="134"/>
      <c r="Y777" s="134"/>
    </row>
    <row r="778" spans="1:25" ht="12.75">
      <c r="A778" s="147"/>
      <c r="B778" s="133"/>
      <c r="C778" s="134"/>
      <c r="D778" s="135"/>
      <c r="E778" s="134"/>
      <c r="F778" s="134"/>
      <c r="G778" s="134"/>
      <c r="H778" s="134"/>
      <c r="I778" s="134"/>
      <c r="J778" s="134"/>
      <c r="K778" s="134"/>
      <c r="L778" s="134"/>
      <c r="M778" s="134"/>
      <c r="N778" s="134"/>
      <c r="O778" s="134"/>
      <c r="P778" s="134"/>
      <c r="Q778" s="134"/>
      <c r="R778" s="134"/>
      <c r="S778" s="134"/>
      <c r="T778" s="134"/>
      <c r="U778" s="134"/>
      <c r="V778" s="134"/>
      <c r="W778" s="134"/>
      <c r="X778" s="134"/>
      <c r="Y778" s="134"/>
    </row>
    <row r="779" spans="1:25" ht="12.75">
      <c r="A779" s="147"/>
      <c r="B779" s="133"/>
      <c r="C779" s="134"/>
      <c r="D779" s="135"/>
      <c r="E779" s="134"/>
      <c r="F779" s="134"/>
      <c r="G779" s="134"/>
      <c r="H779" s="134"/>
      <c r="I779" s="134"/>
      <c r="J779" s="134"/>
      <c r="K779" s="134"/>
      <c r="L779" s="134"/>
      <c r="M779" s="134"/>
      <c r="N779" s="134"/>
      <c r="O779" s="134"/>
      <c r="P779" s="134"/>
      <c r="Q779" s="134"/>
      <c r="R779" s="134"/>
      <c r="S779" s="134"/>
      <c r="T779" s="134"/>
      <c r="U779" s="134"/>
      <c r="V779" s="134"/>
      <c r="W779" s="134"/>
      <c r="X779" s="134"/>
      <c r="Y779" s="134"/>
    </row>
    <row r="780" spans="1:25" ht="12.75">
      <c r="A780" s="147"/>
      <c r="B780" s="133"/>
      <c r="C780" s="134"/>
      <c r="D780" s="135"/>
      <c r="E780" s="134"/>
      <c r="F780" s="134"/>
      <c r="G780" s="134"/>
      <c r="H780" s="134"/>
      <c r="I780" s="134"/>
      <c r="J780" s="134"/>
      <c r="K780" s="134"/>
      <c r="L780" s="134"/>
      <c r="M780" s="134"/>
      <c r="N780" s="134"/>
      <c r="O780" s="134"/>
      <c r="P780" s="134"/>
      <c r="Q780" s="134"/>
      <c r="R780" s="134"/>
      <c r="S780" s="134"/>
      <c r="T780" s="134"/>
      <c r="U780" s="134"/>
      <c r="V780" s="134"/>
      <c r="W780" s="134"/>
      <c r="X780" s="134"/>
      <c r="Y780" s="134"/>
    </row>
    <row r="781" spans="1:25" ht="12.75">
      <c r="A781" s="147"/>
      <c r="B781" s="133"/>
      <c r="C781" s="134"/>
      <c r="D781" s="135"/>
      <c r="E781" s="134"/>
      <c r="F781" s="134"/>
      <c r="G781" s="134"/>
      <c r="H781" s="134"/>
      <c r="I781" s="134"/>
      <c r="J781" s="134"/>
      <c r="K781" s="134"/>
      <c r="L781" s="134"/>
      <c r="M781" s="134"/>
      <c r="N781" s="134"/>
      <c r="O781" s="134"/>
      <c r="P781" s="134"/>
      <c r="Q781" s="134"/>
      <c r="R781" s="134"/>
      <c r="S781" s="134"/>
      <c r="T781" s="134"/>
      <c r="U781" s="134"/>
      <c r="V781" s="134"/>
      <c r="W781" s="134"/>
      <c r="X781" s="134"/>
      <c r="Y781" s="134"/>
    </row>
    <row r="782" spans="1:25" ht="12.75">
      <c r="A782" s="147"/>
      <c r="B782" s="133"/>
      <c r="C782" s="134"/>
      <c r="D782" s="135"/>
      <c r="E782" s="134"/>
      <c r="F782" s="134"/>
      <c r="G782" s="134"/>
      <c r="H782" s="134"/>
      <c r="I782" s="134"/>
      <c r="J782" s="134"/>
      <c r="K782" s="134"/>
      <c r="L782" s="134"/>
      <c r="M782" s="134"/>
      <c r="N782" s="134"/>
      <c r="O782" s="134"/>
      <c r="P782" s="134"/>
      <c r="Q782" s="134"/>
      <c r="R782" s="134"/>
      <c r="S782" s="134"/>
      <c r="T782" s="134"/>
      <c r="U782" s="134"/>
      <c r="V782" s="134"/>
      <c r="W782" s="134"/>
      <c r="X782" s="134"/>
      <c r="Y782" s="134"/>
    </row>
    <row r="783" spans="1:25" ht="12.75">
      <c r="A783" s="147"/>
      <c r="B783" s="133"/>
      <c r="C783" s="134"/>
      <c r="D783" s="135"/>
      <c r="E783" s="134"/>
      <c r="F783" s="134"/>
      <c r="G783" s="134"/>
      <c r="H783" s="134"/>
      <c r="I783" s="134"/>
      <c r="J783" s="134"/>
      <c r="K783" s="134"/>
      <c r="L783" s="134"/>
      <c r="M783" s="134"/>
      <c r="N783" s="134"/>
      <c r="O783" s="134"/>
      <c r="P783" s="134"/>
      <c r="Q783" s="134"/>
      <c r="R783" s="134"/>
      <c r="S783" s="134"/>
      <c r="T783" s="134"/>
      <c r="U783" s="134"/>
      <c r="V783" s="134"/>
      <c r="W783" s="134"/>
      <c r="X783" s="134"/>
      <c r="Y783" s="134"/>
    </row>
    <row r="784" spans="1:25" ht="12.75">
      <c r="A784" s="147"/>
      <c r="B784" s="133"/>
      <c r="C784" s="134"/>
      <c r="D784" s="135"/>
      <c r="E784" s="134"/>
      <c r="F784" s="134"/>
      <c r="G784" s="134"/>
      <c r="H784" s="134"/>
      <c r="I784" s="134"/>
      <c r="J784" s="134"/>
      <c r="K784" s="134"/>
      <c r="L784" s="134"/>
      <c r="M784" s="134"/>
      <c r="N784" s="134"/>
      <c r="O784" s="134"/>
      <c r="P784" s="134"/>
      <c r="Q784" s="134"/>
      <c r="R784" s="134"/>
      <c r="S784" s="134"/>
      <c r="T784" s="134"/>
      <c r="U784" s="134"/>
      <c r="V784" s="134"/>
      <c r="W784" s="134"/>
      <c r="X784" s="134"/>
      <c r="Y784" s="134"/>
    </row>
    <row r="785" spans="1:25" ht="12.75">
      <c r="A785" s="147"/>
      <c r="B785" s="133"/>
      <c r="C785" s="134"/>
      <c r="D785" s="135"/>
      <c r="E785" s="134"/>
      <c r="F785" s="134"/>
      <c r="G785" s="134"/>
      <c r="H785" s="134"/>
      <c r="I785" s="134"/>
      <c r="J785" s="134"/>
      <c r="K785" s="134"/>
      <c r="L785" s="134"/>
      <c r="M785" s="134"/>
      <c r="N785" s="134"/>
      <c r="O785" s="134"/>
      <c r="P785" s="134"/>
      <c r="Q785" s="134"/>
      <c r="R785" s="134"/>
      <c r="S785" s="134"/>
      <c r="T785" s="134"/>
      <c r="U785" s="134"/>
      <c r="V785" s="134"/>
      <c r="W785" s="134"/>
      <c r="X785" s="134"/>
      <c r="Y785" s="134"/>
    </row>
    <row r="786" spans="1:25" ht="12.75">
      <c r="A786" s="147"/>
      <c r="B786" s="133"/>
      <c r="C786" s="134"/>
      <c r="D786" s="135"/>
      <c r="E786" s="134"/>
      <c r="F786" s="134"/>
      <c r="G786" s="134"/>
      <c r="H786" s="134"/>
      <c r="I786" s="134"/>
      <c r="J786" s="134"/>
      <c r="K786" s="134"/>
      <c r="L786" s="134"/>
      <c r="M786" s="134"/>
      <c r="N786" s="134"/>
      <c r="O786" s="134"/>
      <c r="P786" s="134"/>
      <c r="Q786" s="134"/>
      <c r="R786" s="134"/>
      <c r="S786" s="134"/>
      <c r="T786" s="134"/>
      <c r="U786" s="134"/>
      <c r="V786" s="134"/>
      <c r="W786" s="134"/>
      <c r="X786" s="134"/>
      <c r="Y786" s="134"/>
    </row>
    <row r="787" spans="1:25" ht="12.75">
      <c r="A787" s="147"/>
      <c r="B787" s="133"/>
      <c r="C787" s="134"/>
      <c r="D787" s="135"/>
      <c r="E787" s="134"/>
      <c r="F787" s="134"/>
      <c r="G787" s="134"/>
      <c r="H787" s="134"/>
      <c r="I787" s="134"/>
      <c r="J787" s="134"/>
      <c r="K787" s="134"/>
      <c r="L787" s="134"/>
      <c r="M787" s="134"/>
      <c r="N787" s="134"/>
      <c r="O787" s="134"/>
      <c r="P787" s="134"/>
      <c r="Q787" s="134"/>
      <c r="R787" s="134"/>
      <c r="S787" s="134"/>
      <c r="T787" s="134"/>
      <c r="U787" s="134"/>
      <c r="V787" s="134"/>
      <c r="W787" s="134"/>
      <c r="X787" s="134"/>
      <c r="Y787" s="134"/>
    </row>
    <row r="788" spans="1:25" ht="12.75">
      <c r="A788" s="147"/>
      <c r="B788" s="133"/>
      <c r="C788" s="134"/>
      <c r="D788" s="135"/>
      <c r="E788" s="134"/>
      <c r="F788" s="134"/>
      <c r="G788" s="134"/>
      <c r="H788" s="134"/>
      <c r="I788" s="134"/>
      <c r="J788" s="134"/>
      <c r="K788" s="134"/>
      <c r="L788" s="134"/>
      <c r="M788" s="134"/>
      <c r="N788" s="134"/>
      <c r="O788" s="134"/>
      <c r="P788" s="134"/>
      <c r="Q788" s="134"/>
      <c r="R788" s="134"/>
      <c r="S788" s="134"/>
      <c r="T788" s="134"/>
      <c r="U788" s="134"/>
      <c r="V788" s="134"/>
      <c r="W788" s="134"/>
      <c r="X788" s="134"/>
      <c r="Y788" s="134"/>
    </row>
    <row r="789" spans="1:25" ht="12.75">
      <c r="A789" s="147"/>
      <c r="B789" s="133"/>
      <c r="C789" s="134"/>
      <c r="D789" s="135"/>
      <c r="E789" s="134"/>
      <c r="F789" s="134"/>
      <c r="G789" s="134"/>
      <c r="H789" s="134"/>
      <c r="I789" s="134"/>
      <c r="J789" s="134"/>
      <c r="K789" s="134"/>
      <c r="L789" s="134"/>
      <c r="M789" s="134"/>
      <c r="N789" s="134"/>
      <c r="O789" s="134"/>
      <c r="P789" s="134"/>
      <c r="Q789" s="134"/>
      <c r="R789" s="134"/>
      <c r="S789" s="134"/>
      <c r="T789" s="134"/>
      <c r="U789" s="134"/>
      <c r="V789" s="134"/>
      <c r="W789" s="134"/>
      <c r="X789" s="134"/>
      <c r="Y789" s="134"/>
    </row>
    <row r="790" spans="1:25" ht="12.75">
      <c r="A790" s="147"/>
      <c r="B790" s="133"/>
      <c r="C790" s="134"/>
      <c r="D790" s="135"/>
      <c r="E790" s="134"/>
      <c r="F790" s="134"/>
      <c r="G790" s="134"/>
      <c r="H790" s="134"/>
      <c r="I790" s="134"/>
      <c r="J790" s="134"/>
      <c r="K790" s="134"/>
      <c r="L790" s="134"/>
      <c r="M790" s="134"/>
      <c r="N790" s="134"/>
      <c r="O790" s="134"/>
      <c r="P790" s="134"/>
      <c r="Q790" s="134"/>
      <c r="R790" s="134"/>
      <c r="S790" s="134"/>
      <c r="T790" s="134"/>
      <c r="U790" s="134"/>
      <c r="V790" s="134"/>
      <c r="W790" s="134"/>
      <c r="X790" s="134"/>
      <c r="Y790" s="134"/>
    </row>
    <row r="791" spans="1:25" ht="12.75">
      <c r="A791" s="147"/>
      <c r="B791" s="133"/>
      <c r="C791" s="134"/>
      <c r="D791" s="135"/>
      <c r="E791" s="134"/>
      <c r="F791" s="134"/>
      <c r="G791" s="134"/>
      <c r="H791" s="134"/>
      <c r="I791" s="134"/>
      <c r="J791" s="134"/>
      <c r="K791" s="134"/>
      <c r="L791" s="134"/>
      <c r="M791" s="134"/>
      <c r="N791" s="134"/>
      <c r="O791" s="134"/>
      <c r="P791" s="134"/>
      <c r="Q791" s="134"/>
      <c r="R791" s="134"/>
      <c r="S791" s="134"/>
      <c r="T791" s="134"/>
      <c r="U791" s="134"/>
      <c r="V791" s="134"/>
      <c r="W791" s="134"/>
      <c r="X791" s="134"/>
      <c r="Y791" s="134"/>
    </row>
    <row r="792" spans="1:25" ht="12.75">
      <c r="A792" s="147"/>
      <c r="B792" s="133"/>
      <c r="C792" s="134"/>
      <c r="D792" s="135"/>
      <c r="E792" s="134"/>
      <c r="F792" s="134"/>
      <c r="G792" s="134"/>
      <c r="H792" s="134"/>
      <c r="I792" s="134"/>
      <c r="J792" s="134"/>
      <c r="K792" s="134"/>
      <c r="L792" s="134"/>
      <c r="M792" s="134"/>
      <c r="N792" s="134"/>
      <c r="O792" s="134"/>
      <c r="P792" s="134"/>
      <c r="Q792" s="134"/>
      <c r="R792" s="134"/>
      <c r="S792" s="134"/>
      <c r="T792" s="134"/>
      <c r="U792" s="134"/>
      <c r="V792" s="134"/>
      <c r="W792" s="134"/>
      <c r="X792" s="134"/>
      <c r="Y792" s="134"/>
    </row>
    <row r="793" spans="1:25" ht="12.75">
      <c r="A793" s="147"/>
      <c r="B793" s="133"/>
      <c r="C793" s="134"/>
      <c r="D793" s="135"/>
      <c r="E793" s="134"/>
      <c r="F793" s="134"/>
      <c r="G793" s="134"/>
      <c r="H793" s="134"/>
      <c r="I793" s="134"/>
      <c r="J793" s="134"/>
      <c r="K793" s="134"/>
      <c r="L793" s="134"/>
      <c r="M793" s="134"/>
      <c r="N793" s="134"/>
      <c r="O793" s="134"/>
      <c r="P793" s="134"/>
      <c r="Q793" s="134"/>
      <c r="R793" s="134"/>
      <c r="S793" s="134"/>
      <c r="T793" s="134"/>
      <c r="U793" s="134"/>
      <c r="V793" s="134"/>
      <c r="W793" s="134"/>
      <c r="X793" s="134"/>
      <c r="Y793" s="134"/>
    </row>
    <row r="794" spans="1:25" ht="12.75">
      <c r="A794" s="147"/>
      <c r="B794" s="133"/>
      <c r="C794" s="134"/>
      <c r="D794" s="135"/>
      <c r="E794" s="134"/>
      <c r="F794" s="134"/>
      <c r="G794" s="134"/>
      <c r="H794" s="134"/>
      <c r="I794" s="134"/>
      <c r="J794" s="134"/>
      <c r="K794" s="134"/>
      <c r="L794" s="134"/>
      <c r="M794" s="134"/>
      <c r="N794" s="134"/>
      <c r="O794" s="134"/>
      <c r="P794" s="134"/>
      <c r="Q794" s="134"/>
      <c r="R794" s="134"/>
      <c r="S794" s="134"/>
      <c r="T794" s="134"/>
      <c r="U794" s="134"/>
      <c r="V794" s="134"/>
      <c r="W794" s="134"/>
      <c r="X794" s="134"/>
      <c r="Y794" s="134"/>
    </row>
    <row r="795" spans="1:25" ht="12.75">
      <c r="A795" s="147"/>
      <c r="B795" s="133"/>
      <c r="C795" s="134"/>
      <c r="D795" s="135"/>
      <c r="E795" s="134"/>
      <c r="F795" s="134"/>
      <c r="G795" s="134"/>
      <c r="H795" s="134"/>
      <c r="I795" s="134"/>
      <c r="J795" s="134"/>
      <c r="K795" s="134"/>
      <c r="L795" s="134"/>
      <c r="M795" s="134"/>
      <c r="N795" s="134"/>
      <c r="O795" s="134"/>
      <c r="P795" s="134"/>
      <c r="Q795" s="134"/>
      <c r="R795" s="134"/>
      <c r="S795" s="134"/>
      <c r="T795" s="134"/>
      <c r="U795" s="134"/>
      <c r="V795" s="134"/>
      <c r="W795" s="134"/>
      <c r="X795" s="134"/>
      <c r="Y795" s="134"/>
    </row>
    <row r="796" spans="1:25" ht="12.75">
      <c r="A796" s="147"/>
      <c r="B796" s="133"/>
      <c r="C796" s="134"/>
      <c r="D796" s="135"/>
      <c r="E796" s="134"/>
      <c r="F796" s="134"/>
      <c r="G796" s="134"/>
      <c r="H796" s="134"/>
      <c r="I796" s="134"/>
      <c r="J796" s="134"/>
      <c r="K796" s="134"/>
      <c r="L796" s="134"/>
      <c r="M796" s="134"/>
      <c r="N796" s="134"/>
      <c r="O796" s="134"/>
      <c r="P796" s="134"/>
      <c r="Q796" s="134"/>
      <c r="R796" s="134"/>
      <c r="S796" s="134"/>
      <c r="T796" s="134"/>
      <c r="U796" s="134"/>
      <c r="V796" s="134"/>
      <c r="W796" s="134"/>
      <c r="X796" s="134"/>
      <c r="Y796" s="134"/>
    </row>
    <row r="797" spans="1:25" ht="12.75">
      <c r="A797" s="147"/>
      <c r="B797" s="133"/>
      <c r="C797" s="134"/>
      <c r="D797" s="135"/>
      <c r="E797" s="134"/>
      <c r="F797" s="134"/>
      <c r="G797" s="134"/>
      <c r="H797" s="134"/>
      <c r="I797" s="134"/>
      <c r="J797" s="134"/>
      <c r="K797" s="134"/>
      <c r="L797" s="134"/>
      <c r="M797" s="134"/>
      <c r="N797" s="134"/>
      <c r="O797" s="134"/>
      <c r="P797" s="134"/>
      <c r="Q797" s="134"/>
      <c r="R797" s="134"/>
      <c r="S797" s="134"/>
      <c r="T797" s="134"/>
      <c r="U797" s="134"/>
      <c r="V797" s="134"/>
      <c r="W797" s="134"/>
      <c r="X797" s="134"/>
      <c r="Y797" s="134"/>
    </row>
    <row r="798" spans="1:25" ht="12.75">
      <c r="A798" s="147"/>
      <c r="B798" s="133"/>
      <c r="C798" s="134"/>
      <c r="D798" s="135"/>
      <c r="E798" s="134"/>
      <c r="F798" s="134"/>
      <c r="G798" s="134"/>
      <c r="H798" s="134"/>
      <c r="I798" s="134"/>
      <c r="J798" s="134"/>
      <c r="K798" s="134"/>
      <c r="L798" s="134"/>
      <c r="M798" s="134"/>
      <c r="N798" s="134"/>
      <c r="O798" s="134"/>
      <c r="P798" s="134"/>
      <c r="Q798" s="134"/>
      <c r="R798" s="134"/>
      <c r="S798" s="134"/>
      <c r="T798" s="134"/>
      <c r="U798" s="134"/>
      <c r="V798" s="134"/>
      <c r="W798" s="134"/>
      <c r="X798" s="134"/>
      <c r="Y798" s="134"/>
    </row>
    <row r="799" spans="1:25" ht="12.75">
      <c r="A799" s="147"/>
      <c r="B799" s="133"/>
      <c r="C799" s="134"/>
      <c r="D799" s="135"/>
      <c r="E799" s="134"/>
      <c r="F799" s="134"/>
      <c r="G799" s="134"/>
      <c r="H799" s="134"/>
      <c r="I799" s="134"/>
      <c r="J799" s="134"/>
      <c r="K799" s="134"/>
      <c r="L799" s="134"/>
      <c r="M799" s="134"/>
      <c r="N799" s="134"/>
      <c r="O799" s="134"/>
      <c r="P799" s="134"/>
      <c r="Q799" s="134"/>
      <c r="R799" s="134"/>
      <c r="S799" s="134"/>
      <c r="T799" s="134"/>
      <c r="U799" s="134"/>
      <c r="V799" s="134"/>
      <c r="W799" s="134"/>
      <c r="X799" s="134"/>
      <c r="Y799" s="134"/>
    </row>
    <row r="800" spans="1:25" ht="12.75">
      <c r="A800" s="147"/>
      <c r="B800" s="133"/>
      <c r="C800" s="134"/>
      <c r="D800" s="135"/>
      <c r="E800" s="134"/>
      <c r="F800" s="134"/>
      <c r="G800" s="134"/>
      <c r="H800" s="134"/>
      <c r="I800" s="134"/>
      <c r="J800" s="134"/>
      <c r="K800" s="134"/>
      <c r="L800" s="134"/>
      <c r="M800" s="134"/>
      <c r="N800" s="134"/>
      <c r="O800" s="134"/>
      <c r="P800" s="134"/>
      <c r="Q800" s="134"/>
      <c r="R800" s="134"/>
      <c r="S800" s="134"/>
      <c r="T800" s="134"/>
      <c r="U800" s="134"/>
      <c r="V800" s="134"/>
      <c r="W800" s="134"/>
      <c r="X800" s="134"/>
      <c r="Y800" s="134"/>
    </row>
    <row r="801" spans="1:25" ht="12.75">
      <c r="A801" s="147"/>
      <c r="B801" s="133"/>
      <c r="C801" s="134"/>
      <c r="D801" s="135"/>
      <c r="E801" s="134"/>
      <c r="F801" s="134"/>
      <c r="G801" s="134"/>
      <c r="H801" s="134"/>
      <c r="I801" s="134"/>
      <c r="J801" s="134"/>
      <c r="K801" s="134"/>
      <c r="L801" s="134"/>
      <c r="M801" s="134"/>
      <c r="N801" s="134"/>
      <c r="O801" s="134"/>
      <c r="P801" s="134"/>
      <c r="Q801" s="134"/>
      <c r="R801" s="134"/>
      <c r="S801" s="134"/>
      <c r="T801" s="134"/>
      <c r="U801" s="134"/>
      <c r="V801" s="134"/>
      <c r="W801" s="134"/>
      <c r="X801" s="134"/>
      <c r="Y801" s="134"/>
    </row>
    <row r="802" spans="1:25" ht="12.75">
      <c r="A802" s="147"/>
      <c r="B802" s="133"/>
      <c r="C802" s="134"/>
      <c r="D802" s="135"/>
      <c r="E802" s="134"/>
      <c r="F802" s="134"/>
      <c r="G802" s="134"/>
      <c r="H802" s="134"/>
      <c r="I802" s="134"/>
      <c r="J802" s="134"/>
      <c r="K802" s="134"/>
      <c r="L802" s="134"/>
      <c r="M802" s="134"/>
      <c r="N802" s="134"/>
      <c r="O802" s="134"/>
      <c r="P802" s="134"/>
      <c r="Q802" s="134"/>
      <c r="R802" s="134"/>
      <c r="S802" s="134"/>
      <c r="T802" s="134"/>
      <c r="U802" s="134"/>
      <c r="V802" s="134"/>
      <c r="W802" s="134"/>
      <c r="X802" s="134"/>
      <c r="Y802" s="134"/>
    </row>
    <row r="803" spans="1:25" ht="12.75">
      <c r="A803" s="147"/>
      <c r="B803" s="133"/>
      <c r="C803" s="134"/>
      <c r="D803" s="135"/>
      <c r="E803" s="134"/>
      <c r="F803" s="134"/>
      <c r="G803" s="134"/>
      <c r="H803" s="134"/>
      <c r="I803" s="134"/>
      <c r="J803" s="134"/>
      <c r="K803" s="134"/>
      <c r="L803" s="134"/>
      <c r="M803" s="134"/>
      <c r="N803" s="134"/>
      <c r="O803" s="134"/>
      <c r="P803" s="134"/>
      <c r="Q803" s="134"/>
      <c r="R803" s="134"/>
      <c r="S803" s="134"/>
      <c r="T803" s="134"/>
      <c r="U803" s="134"/>
      <c r="V803" s="134"/>
      <c r="W803" s="134"/>
      <c r="X803" s="134"/>
      <c r="Y803" s="134"/>
    </row>
    <row r="804" spans="1:25" ht="12.75">
      <c r="A804" s="147"/>
      <c r="B804" s="133"/>
      <c r="C804" s="134"/>
      <c r="D804" s="135"/>
      <c r="E804" s="134"/>
      <c r="F804" s="134"/>
      <c r="G804" s="134"/>
      <c r="H804" s="134"/>
      <c r="I804" s="134"/>
      <c r="J804" s="134"/>
      <c r="K804" s="134"/>
      <c r="L804" s="134"/>
      <c r="M804" s="134"/>
      <c r="N804" s="134"/>
      <c r="O804" s="134"/>
      <c r="P804" s="134"/>
      <c r="Q804" s="134"/>
      <c r="R804" s="134"/>
      <c r="S804" s="134"/>
      <c r="T804" s="134"/>
      <c r="U804" s="134"/>
      <c r="V804" s="134"/>
      <c r="W804" s="134"/>
      <c r="X804" s="134"/>
      <c r="Y804" s="134"/>
    </row>
    <row r="805" spans="1:25" ht="12.75">
      <c r="A805" s="147"/>
      <c r="B805" s="133"/>
      <c r="C805" s="134"/>
      <c r="D805" s="135"/>
      <c r="E805" s="134"/>
      <c r="F805" s="134"/>
      <c r="G805" s="134"/>
      <c r="H805" s="134"/>
      <c r="I805" s="134"/>
      <c r="J805" s="134"/>
      <c r="K805" s="134"/>
      <c r="L805" s="134"/>
      <c r="M805" s="134"/>
      <c r="N805" s="134"/>
      <c r="O805" s="134"/>
      <c r="P805" s="134"/>
      <c r="Q805" s="134"/>
      <c r="R805" s="134"/>
      <c r="S805" s="134"/>
      <c r="T805" s="134"/>
      <c r="U805" s="134"/>
      <c r="V805" s="134"/>
      <c r="W805" s="134"/>
      <c r="X805" s="134"/>
      <c r="Y805" s="134"/>
    </row>
    <row r="806" spans="1:25" ht="12.75">
      <c r="A806" s="147"/>
      <c r="B806" s="133"/>
      <c r="C806" s="134"/>
      <c r="D806" s="135"/>
      <c r="E806" s="134"/>
      <c r="F806" s="134"/>
      <c r="G806" s="134"/>
      <c r="H806" s="134"/>
      <c r="I806" s="134"/>
      <c r="J806" s="134"/>
      <c r="K806" s="134"/>
      <c r="L806" s="134"/>
      <c r="M806" s="134"/>
      <c r="N806" s="134"/>
      <c r="O806" s="134"/>
      <c r="P806" s="134"/>
      <c r="Q806" s="134"/>
      <c r="R806" s="134"/>
      <c r="S806" s="134"/>
      <c r="T806" s="134"/>
      <c r="U806" s="134"/>
      <c r="V806" s="134"/>
      <c r="W806" s="134"/>
      <c r="X806" s="134"/>
      <c r="Y806" s="134"/>
    </row>
    <row r="807" spans="1:25" ht="12.75">
      <c r="A807" s="147"/>
      <c r="B807" s="133"/>
      <c r="C807" s="134"/>
      <c r="D807" s="135"/>
      <c r="E807" s="134"/>
      <c r="F807" s="134"/>
      <c r="G807" s="134"/>
      <c r="H807" s="134"/>
      <c r="I807" s="134"/>
      <c r="J807" s="134"/>
      <c r="K807" s="134"/>
      <c r="L807" s="134"/>
      <c r="M807" s="134"/>
      <c r="N807" s="134"/>
      <c r="O807" s="134"/>
      <c r="P807" s="134"/>
      <c r="Q807" s="134"/>
      <c r="R807" s="134"/>
      <c r="S807" s="134"/>
      <c r="T807" s="134"/>
      <c r="U807" s="134"/>
      <c r="V807" s="134"/>
      <c r="W807" s="134"/>
      <c r="X807" s="134"/>
      <c r="Y807" s="134"/>
    </row>
    <row r="808" spans="1:25" ht="12.75">
      <c r="A808" s="147"/>
      <c r="B808" s="133"/>
      <c r="C808" s="134"/>
      <c r="D808" s="135"/>
      <c r="E808" s="134"/>
      <c r="F808" s="134"/>
      <c r="G808" s="134"/>
      <c r="H808" s="134"/>
      <c r="I808" s="134"/>
      <c r="J808" s="134"/>
      <c r="K808" s="134"/>
      <c r="L808" s="134"/>
      <c r="M808" s="134"/>
      <c r="N808" s="134"/>
      <c r="O808" s="134"/>
      <c r="P808" s="134"/>
      <c r="Q808" s="134"/>
      <c r="R808" s="134"/>
      <c r="S808" s="134"/>
      <c r="T808" s="134"/>
      <c r="U808" s="134"/>
      <c r="V808" s="134"/>
      <c r="W808" s="134"/>
      <c r="X808" s="134"/>
      <c r="Y808" s="134"/>
    </row>
    <row r="809" spans="1:25" ht="12.75">
      <c r="A809" s="147"/>
      <c r="B809" s="133"/>
      <c r="C809" s="134"/>
      <c r="D809" s="135"/>
      <c r="E809" s="134"/>
      <c r="F809" s="134"/>
      <c r="G809" s="134"/>
      <c r="H809" s="134"/>
      <c r="I809" s="134"/>
      <c r="J809" s="134"/>
      <c r="K809" s="134"/>
      <c r="L809" s="134"/>
      <c r="M809" s="134"/>
      <c r="N809" s="134"/>
      <c r="O809" s="134"/>
      <c r="P809" s="134"/>
      <c r="Q809" s="134"/>
      <c r="R809" s="134"/>
      <c r="S809" s="134"/>
      <c r="T809" s="134"/>
      <c r="U809" s="134"/>
      <c r="V809" s="134"/>
      <c r="W809" s="134"/>
      <c r="X809" s="134"/>
      <c r="Y809" s="134"/>
    </row>
    <row r="810" spans="1:25" ht="12.75">
      <c r="A810" s="147"/>
      <c r="B810" s="133"/>
      <c r="C810" s="134"/>
      <c r="D810" s="135"/>
      <c r="E810" s="134"/>
      <c r="F810" s="134"/>
      <c r="G810" s="134"/>
      <c r="H810" s="134"/>
      <c r="I810" s="134"/>
      <c r="J810" s="134"/>
      <c r="K810" s="134"/>
      <c r="L810" s="134"/>
      <c r="M810" s="134"/>
      <c r="N810" s="134"/>
      <c r="O810" s="134"/>
      <c r="P810" s="134"/>
      <c r="Q810" s="134"/>
      <c r="R810" s="134"/>
      <c r="S810" s="134"/>
      <c r="T810" s="134"/>
      <c r="U810" s="134"/>
      <c r="V810" s="134"/>
      <c r="W810" s="134"/>
      <c r="X810" s="134"/>
      <c r="Y810" s="134"/>
    </row>
    <row r="811" spans="1:25" ht="12.75">
      <c r="A811" s="147"/>
      <c r="B811" s="133"/>
      <c r="C811" s="134"/>
      <c r="D811" s="135"/>
      <c r="E811" s="134"/>
      <c r="F811" s="134"/>
      <c r="G811" s="134"/>
      <c r="H811" s="134"/>
      <c r="I811" s="134"/>
      <c r="J811" s="134"/>
      <c r="K811" s="134"/>
      <c r="L811" s="134"/>
      <c r="M811" s="134"/>
      <c r="N811" s="134"/>
      <c r="O811" s="134"/>
      <c r="P811" s="134"/>
      <c r="Q811" s="134"/>
      <c r="R811" s="134"/>
      <c r="S811" s="134"/>
      <c r="T811" s="134"/>
      <c r="U811" s="134"/>
      <c r="V811" s="134"/>
      <c r="W811" s="134"/>
      <c r="X811" s="134"/>
      <c r="Y811" s="134"/>
    </row>
    <row r="812" spans="1:25" ht="12.75">
      <c r="A812" s="147"/>
      <c r="B812" s="133"/>
      <c r="C812" s="134"/>
      <c r="D812" s="135"/>
      <c r="E812" s="134"/>
      <c r="F812" s="134"/>
      <c r="G812" s="134"/>
      <c r="H812" s="134"/>
      <c r="I812" s="134"/>
      <c r="J812" s="134"/>
      <c r="K812" s="134"/>
      <c r="L812" s="134"/>
      <c r="M812" s="134"/>
      <c r="N812" s="134"/>
      <c r="O812" s="134"/>
      <c r="P812" s="134"/>
      <c r="Q812" s="134"/>
      <c r="R812" s="134"/>
      <c r="S812" s="134"/>
      <c r="T812" s="134"/>
      <c r="U812" s="134"/>
      <c r="V812" s="134"/>
      <c r="W812" s="134"/>
      <c r="X812" s="134"/>
      <c r="Y812" s="134"/>
    </row>
    <row r="813" spans="1:25" ht="12.75">
      <c r="A813" s="147"/>
      <c r="B813" s="133"/>
      <c r="C813" s="134"/>
      <c r="D813" s="135"/>
      <c r="E813" s="134"/>
      <c r="F813" s="134"/>
      <c r="G813" s="134"/>
      <c r="H813" s="134"/>
      <c r="I813" s="134"/>
      <c r="J813" s="134"/>
      <c r="K813" s="134"/>
      <c r="L813" s="134"/>
      <c r="M813" s="134"/>
      <c r="N813" s="134"/>
      <c r="O813" s="134"/>
      <c r="P813" s="134"/>
      <c r="Q813" s="134"/>
      <c r="R813" s="134"/>
      <c r="S813" s="134"/>
      <c r="T813" s="134"/>
      <c r="U813" s="134"/>
      <c r="V813" s="134"/>
      <c r="W813" s="134"/>
      <c r="X813" s="134"/>
      <c r="Y813" s="134"/>
    </row>
    <row r="814" spans="1:25" ht="12.75">
      <c r="A814" s="147"/>
      <c r="B814" s="133"/>
      <c r="C814" s="134"/>
      <c r="D814" s="135"/>
      <c r="E814" s="134"/>
      <c r="F814" s="134"/>
      <c r="G814" s="134"/>
      <c r="H814" s="134"/>
      <c r="I814" s="134"/>
      <c r="J814" s="134"/>
      <c r="K814" s="134"/>
      <c r="L814" s="134"/>
      <c r="M814" s="134"/>
      <c r="N814" s="134"/>
      <c r="O814" s="134"/>
      <c r="P814" s="134"/>
      <c r="Q814" s="134"/>
      <c r="R814" s="134"/>
      <c r="S814" s="134"/>
      <c r="T814" s="134"/>
      <c r="U814" s="134"/>
      <c r="V814" s="134"/>
      <c r="W814" s="134"/>
      <c r="X814" s="134"/>
      <c r="Y814" s="134"/>
    </row>
    <row r="815" spans="1:25" ht="12.75">
      <c r="A815" s="147"/>
      <c r="B815" s="133"/>
      <c r="C815" s="134"/>
      <c r="D815" s="135"/>
      <c r="E815" s="134"/>
      <c r="F815" s="134"/>
      <c r="G815" s="134"/>
      <c r="H815" s="134"/>
      <c r="I815" s="134"/>
      <c r="J815" s="134"/>
      <c r="K815" s="134"/>
      <c r="L815" s="134"/>
      <c r="M815" s="134"/>
      <c r="N815" s="134"/>
      <c r="O815" s="134"/>
      <c r="P815" s="134"/>
      <c r="Q815" s="134"/>
      <c r="R815" s="134"/>
      <c r="S815" s="134"/>
      <c r="T815" s="134"/>
      <c r="U815" s="134"/>
      <c r="V815" s="134"/>
      <c r="W815" s="134"/>
      <c r="X815" s="134"/>
      <c r="Y815" s="134"/>
    </row>
    <row r="816" spans="1:25" ht="12.75">
      <c r="A816" s="147"/>
      <c r="B816" s="133"/>
      <c r="C816" s="134"/>
      <c r="D816" s="135"/>
      <c r="E816" s="134"/>
      <c r="F816" s="134"/>
      <c r="G816" s="134"/>
      <c r="H816" s="134"/>
      <c r="I816" s="134"/>
      <c r="J816" s="134"/>
      <c r="K816" s="134"/>
      <c r="L816" s="134"/>
      <c r="M816" s="134"/>
      <c r="N816" s="134"/>
      <c r="O816" s="134"/>
      <c r="P816" s="134"/>
      <c r="Q816" s="134"/>
      <c r="R816" s="134"/>
      <c r="S816" s="134"/>
      <c r="T816" s="134"/>
      <c r="U816" s="134"/>
      <c r="V816" s="134"/>
      <c r="W816" s="134"/>
      <c r="X816" s="134"/>
      <c r="Y816" s="134"/>
    </row>
    <row r="817" spans="1:25" ht="12.75">
      <c r="A817" s="147"/>
      <c r="B817" s="133"/>
      <c r="C817" s="134"/>
      <c r="D817" s="135"/>
      <c r="E817" s="134"/>
      <c r="F817" s="134"/>
      <c r="G817" s="134"/>
      <c r="H817" s="134"/>
      <c r="I817" s="134"/>
      <c r="J817" s="134"/>
      <c r="K817" s="134"/>
      <c r="L817" s="134"/>
      <c r="M817" s="134"/>
      <c r="N817" s="134"/>
      <c r="O817" s="134"/>
      <c r="P817" s="134"/>
      <c r="Q817" s="134"/>
      <c r="R817" s="134"/>
      <c r="S817" s="134"/>
      <c r="T817" s="134"/>
      <c r="U817" s="134"/>
      <c r="V817" s="134"/>
      <c r="W817" s="134"/>
      <c r="X817" s="134"/>
      <c r="Y817" s="134"/>
    </row>
    <row r="818" spans="1:25" ht="12.75">
      <c r="A818" s="147"/>
      <c r="B818" s="133"/>
      <c r="C818" s="134"/>
      <c r="D818" s="135"/>
      <c r="E818" s="134"/>
      <c r="F818" s="134"/>
      <c r="G818" s="134"/>
      <c r="H818" s="134"/>
      <c r="I818" s="134"/>
      <c r="J818" s="134"/>
      <c r="K818" s="134"/>
      <c r="L818" s="134"/>
      <c r="M818" s="134"/>
      <c r="N818" s="134"/>
      <c r="O818" s="134"/>
      <c r="P818" s="134"/>
      <c r="Q818" s="134"/>
      <c r="R818" s="134"/>
      <c r="S818" s="134"/>
      <c r="T818" s="134"/>
      <c r="U818" s="134"/>
      <c r="V818" s="134"/>
      <c r="W818" s="134"/>
      <c r="X818" s="134"/>
      <c r="Y818" s="134"/>
    </row>
    <row r="819" spans="1:25" ht="12.75">
      <c r="A819" s="147"/>
      <c r="B819" s="133"/>
      <c r="C819" s="134"/>
      <c r="D819" s="135"/>
      <c r="E819" s="134"/>
      <c r="F819" s="134"/>
      <c r="G819" s="134"/>
      <c r="H819" s="134"/>
      <c r="I819" s="134"/>
      <c r="J819" s="134"/>
      <c r="K819" s="134"/>
      <c r="L819" s="134"/>
      <c r="M819" s="134"/>
      <c r="N819" s="134"/>
      <c r="O819" s="134"/>
      <c r="P819" s="134"/>
      <c r="Q819" s="134"/>
      <c r="R819" s="134"/>
      <c r="S819" s="134"/>
      <c r="T819" s="134"/>
      <c r="U819" s="134"/>
      <c r="V819" s="134"/>
      <c r="W819" s="134"/>
      <c r="X819" s="134"/>
      <c r="Y819" s="134"/>
    </row>
    <row r="820" spans="1:25" ht="12.75">
      <c r="A820" s="147"/>
      <c r="B820" s="133"/>
      <c r="C820" s="134"/>
      <c r="D820" s="135"/>
      <c r="E820" s="134"/>
      <c r="F820" s="134"/>
      <c r="G820" s="134"/>
      <c r="H820" s="134"/>
      <c r="I820" s="134"/>
      <c r="J820" s="134"/>
      <c r="K820" s="134"/>
      <c r="L820" s="134"/>
      <c r="M820" s="134"/>
      <c r="N820" s="134"/>
      <c r="O820" s="134"/>
      <c r="P820" s="134"/>
      <c r="Q820" s="134"/>
      <c r="R820" s="134"/>
      <c r="S820" s="134"/>
      <c r="T820" s="134"/>
      <c r="U820" s="134"/>
      <c r="V820" s="134"/>
      <c r="W820" s="134"/>
      <c r="X820" s="134"/>
      <c r="Y820" s="134"/>
    </row>
    <row r="821" spans="1:25" ht="12.75">
      <c r="A821" s="147"/>
      <c r="B821" s="133"/>
      <c r="C821" s="134"/>
      <c r="D821" s="135"/>
      <c r="E821" s="134"/>
      <c r="F821" s="134"/>
      <c r="G821" s="134"/>
      <c r="H821" s="134"/>
      <c r="I821" s="134"/>
      <c r="J821" s="134"/>
      <c r="K821" s="134"/>
      <c r="L821" s="134"/>
      <c r="M821" s="134"/>
      <c r="N821" s="134"/>
      <c r="O821" s="134"/>
      <c r="P821" s="134"/>
      <c r="Q821" s="134"/>
      <c r="R821" s="134"/>
      <c r="S821" s="134"/>
      <c r="T821" s="134"/>
      <c r="U821" s="134"/>
      <c r="V821" s="134"/>
      <c r="W821" s="134"/>
      <c r="X821" s="134"/>
      <c r="Y821" s="134"/>
    </row>
    <row r="822" spans="1:25" ht="12.75">
      <c r="A822" s="147"/>
      <c r="B822" s="133"/>
      <c r="C822" s="134"/>
      <c r="D822" s="135"/>
      <c r="E822" s="134"/>
      <c r="F822" s="134"/>
      <c r="G822" s="134"/>
      <c r="H822" s="134"/>
      <c r="I822" s="134"/>
      <c r="J822" s="134"/>
      <c r="K822" s="134"/>
      <c r="L822" s="134"/>
      <c r="M822" s="134"/>
      <c r="N822" s="134"/>
      <c r="O822" s="134"/>
      <c r="P822" s="134"/>
      <c r="Q822" s="134"/>
      <c r="R822" s="134"/>
      <c r="S822" s="134"/>
      <c r="T822" s="134"/>
      <c r="U822" s="134"/>
      <c r="V822" s="134"/>
      <c r="W822" s="134"/>
      <c r="X822" s="134"/>
      <c r="Y822" s="134"/>
    </row>
    <row r="823" spans="1:25" ht="12.75">
      <c r="A823" s="147"/>
      <c r="B823" s="133"/>
      <c r="C823" s="134"/>
      <c r="D823" s="135"/>
      <c r="E823" s="134"/>
      <c r="F823" s="134"/>
      <c r="G823" s="134"/>
      <c r="H823" s="134"/>
      <c r="I823" s="134"/>
      <c r="J823" s="134"/>
      <c r="K823" s="134"/>
      <c r="L823" s="134"/>
      <c r="M823" s="134"/>
      <c r="N823" s="134"/>
      <c r="O823" s="134"/>
      <c r="P823" s="134"/>
      <c r="Q823" s="134"/>
      <c r="R823" s="134"/>
      <c r="S823" s="134"/>
      <c r="T823" s="134"/>
      <c r="U823" s="134"/>
      <c r="V823" s="134"/>
      <c r="W823" s="134"/>
      <c r="X823" s="134"/>
      <c r="Y823" s="134"/>
    </row>
    <row r="824" spans="1:25" ht="12.75">
      <c r="A824" s="147"/>
      <c r="B824" s="133"/>
      <c r="C824" s="134"/>
      <c r="D824" s="135"/>
      <c r="E824" s="134"/>
      <c r="F824" s="134"/>
      <c r="G824" s="134"/>
      <c r="H824" s="134"/>
      <c r="I824" s="134"/>
      <c r="J824" s="134"/>
      <c r="K824" s="134"/>
      <c r="L824" s="134"/>
      <c r="M824" s="134"/>
      <c r="N824" s="134"/>
      <c r="O824" s="134"/>
      <c r="P824" s="134"/>
      <c r="Q824" s="134"/>
      <c r="R824" s="134"/>
      <c r="S824" s="134"/>
      <c r="T824" s="134"/>
      <c r="U824" s="134"/>
      <c r="V824" s="134"/>
      <c r="W824" s="134"/>
      <c r="X824" s="134"/>
      <c r="Y824" s="134"/>
    </row>
    <row r="825" spans="1:25" ht="12.75">
      <c r="A825" s="147"/>
      <c r="B825" s="133"/>
      <c r="C825" s="134"/>
      <c r="D825" s="135"/>
      <c r="E825" s="134"/>
      <c r="F825" s="134"/>
      <c r="G825" s="134"/>
      <c r="H825" s="134"/>
      <c r="I825" s="134"/>
      <c r="J825" s="134"/>
      <c r="K825" s="134"/>
      <c r="L825" s="134"/>
      <c r="M825" s="134"/>
      <c r="N825" s="134"/>
      <c r="O825" s="134"/>
      <c r="P825" s="134"/>
      <c r="Q825" s="134"/>
      <c r="R825" s="134"/>
      <c r="S825" s="134"/>
      <c r="T825" s="134"/>
      <c r="U825" s="134"/>
      <c r="V825" s="134"/>
      <c r="W825" s="134"/>
      <c r="X825" s="134"/>
      <c r="Y825" s="134"/>
    </row>
    <row r="826" spans="1:25" ht="12.75">
      <c r="A826" s="147"/>
      <c r="B826" s="133"/>
      <c r="C826" s="134"/>
      <c r="D826" s="135"/>
      <c r="E826" s="134"/>
      <c r="F826" s="134"/>
      <c r="G826" s="134"/>
      <c r="H826" s="134"/>
      <c r="I826" s="134"/>
      <c r="J826" s="134"/>
      <c r="K826" s="134"/>
      <c r="L826" s="134"/>
      <c r="M826" s="134"/>
      <c r="N826" s="134"/>
      <c r="O826" s="134"/>
      <c r="P826" s="134"/>
      <c r="Q826" s="134"/>
      <c r="R826" s="134"/>
      <c r="S826" s="134"/>
      <c r="T826" s="134"/>
      <c r="U826" s="134"/>
      <c r="V826" s="134"/>
      <c r="W826" s="134"/>
      <c r="X826" s="134"/>
      <c r="Y826" s="134"/>
    </row>
    <row r="827" spans="1:25" ht="12.75">
      <c r="A827" s="147"/>
      <c r="B827" s="133"/>
      <c r="C827" s="134"/>
      <c r="D827" s="135"/>
      <c r="E827" s="134"/>
      <c r="F827" s="134"/>
      <c r="G827" s="134"/>
      <c r="H827" s="134"/>
      <c r="I827" s="134"/>
      <c r="J827" s="134"/>
      <c r="K827" s="134"/>
      <c r="L827" s="134"/>
      <c r="M827" s="134"/>
      <c r="N827" s="134"/>
      <c r="O827" s="134"/>
      <c r="P827" s="134"/>
      <c r="Q827" s="134"/>
      <c r="R827" s="134"/>
      <c r="S827" s="134"/>
      <c r="T827" s="134"/>
      <c r="U827" s="134"/>
      <c r="V827" s="134"/>
      <c r="W827" s="134"/>
      <c r="X827" s="134"/>
      <c r="Y827" s="134"/>
    </row>
    <row r="828" spans="1:25" ht="12.75">
      <c r="A828" s="147"/>
      <c r="B828" s="133"/>
      <c r="C828" s="134"/>
      <c r="D828" s="135"/>
      <c r="E828" s="134"/>
      <c r="F828" s="134"/>
      <c r="G828" s="134"/>
      <c r="H828" s="134"/>
      <c r="I828" s="134"/>
      <c r="J828" s="134"/>
      <c r="K828" s="134"/>
      <c r="L828" s="134"/>
      <c r="M828" s="134"/>
      <c r="N828" s="134"/>
      <c r="O828" s="134"/>
      <c r="P828" s="134"/>
      <c r="Q828" s="134"/>
      <c r="R828" s="134"/>
      <c r="S828" s="134"/>
      <c r="T828" s="134"/>
      <c r="U828" s="134"/>
      <c r="V828" s="134"/>
      <c r="W828" s="134"/>
      <c r="X828" s="134"/>
      <c r="Y828" s="134"/>
    </row>
    <row r="829" spans="1:25" ht="12.75">
      <c r="A829" s="147"/>
      <c r="B829" s="133"/>
      <c r="C829" s="134"/>
      <c r="D829" s="135"/>
      <c r="E829" s="134"/>
      <c r="F829" s="134"/>
      <c r="G829" s="134"/>
      <c r="H829" s="134"/>
      <c r="I829" s="134"/>
      <c r="J829" s="134"/>
      <c r="K829" s="134"/>
      <c r="L829" s="134"/>
      <c r="M829" s="134"/>
      <c r="N829" s="134"/>
      <c r="O829" s="134"/>
      <c r="P829" s="134"/>
      <c r="Q829" s="134"/>
      <c r="R829" s="134"/>
      <c r="S829" s="134"/>
      <c r="T829" s="134"/>
      <c r="U829" s="134"/>
      <c r="V829" s="134"/>
      <c r="W829" s="134"/>
      <c r="X829" s="134"/>
      <c r="Y829" s="134"/>
    </row>
    <row r="830" spans="1:25" ht="12.75">
      <c r="A830" s="147"/>
      <c r="B830" s="133"/>
      <c r="C830" s="134"/>
      <c r="D830" s="135"/>
      <c r="E830" s="134"/>
      <c r="F830" s="134"/>
      <c r="G830" s="134"/>
      <c r="H830" s="134"/>
      <c r="I830" s="134"/>
      <c r="J830" s="134"/>
      <c r="K830" s="134"/>
      <c r="L830" s="134"/>
      <c r="M830" s="134"/>
      <c r="N830" s="134"/>
      <c r="O830" s="134"/>
      <c r="P830" s="134"/>
      <c r="Q830" s="134"/>
      <c r="R830" s="134"/>
      <c r="S830" s="134"/>
      <c r="T830" s="134"/>
      <c r="U830" s="134"/>
      <c r="V830" s="134"/>
      <c r="W830" s="134"/>
      <c r="X830" s="134"/>
      <c r="Y830" s="134"/>
    </row>
    <row r="831" spans="1:25" ht="12.75">
      <c r="A831" s="147"/>
      <c r="B831" s="133"/>
      <c r="C831" s="134"/>
      <c r="D831" s="135"/>
      <c r="E831" s="134"/>
      <c r="F831" s="134"/>
      <c r="G831" s="134"/>
      <c r="H831" s="134"/>
      <c r="I831" s="134"/>
      <c r="J831" s="134"/>
      <c r="K831" s="134"/>
      <c r="L831" s="134"/>
      <c r="M831" s="134"/>
      <c r="N831" s="134"/>
      <c r="O831" s="134"/>
      <c r="P831" s="134"/>
      <c r="Q831" s="134"/>
      <c r="R831" s="134"/>
      <c r="S831" s="134"/>
      <c r="T831" s="134"/>
      <c r="U831" s="134"/>
      <c r="V831" s="134"/>
      <c r="W831" s="134"/>
      <c r="X831" s="134"/>
      <c r="Y831" s="134"/>
    </row>
    <row r="832" spans="1:25" ht="12.75">
      <c r="A832" s="147"/>
      <c r="B832" s="133"/>
      <c r="C832" s="134"/>
      <c r="D832" s="135"/>
      <c r="E832" s="134"/>
      <c r="F832" s="134"/>
      <c r="G832" s="134"/>
      <c r="H832" s="134"/>
      <c r="I832" s="134"/>
      <c r="J832" s="134"/>
      <c r="K832" s="134"/>
      <c r="L832" s="134"/>
      <c r="M832" s="134"/>
      <c r="N832" s="134"/>
      <c r="O832" s="134"/>
      <c r="P832" s="134"/>
      <c r="Q832" s="134"/>
      <c r="R832" s="134"/>
      <c r="S832" s="134"/>
      <c r="T832" s="134"/>
      <c r="U832" s="134"/>
      <c r="V832" s="134"/>
      <c r="W832" s="134"/>
      <c r="X832" s="134"/>
      <c r="Y832" s="134"/>
    </row>
    <row r="833" spans="1:25" ht="12.75">
      <c r="A833" s="147"/>
      <c r="B833" s="133"/>
      <c r="C833" s="134"/>
      <c r="D833" s="135"/>
      <c r="E833" s="134"/>
      <c r="F833" s="134"/>
      <c r="G833" s="134"/>
      <c r="H833" s="134"/>
      <c r="I833" s="134"/>
      <c r="J833" s="134"/>
      <c r="K833" s="134"/>
      <c r="L833" s="134"/>
      <c r="M833" s="134"/>
      <c r="N833" s="134"/>
      <c r="O833" s="134"/>
      <c r="P833" s="134"/>
      <c r="Q833" s="134"/>
      <c r="R833" s="134"/>
      <c r="S833" s="134"/>
      <c r="T833" s="134"/>
      <c r="U833" s="134"/>
      <c r="V833" s="134"/>
      <c r="W833" s="134"/>
      <c r="X833" s="134"/>
      <c r="Y833" s="134"/>
    </row>
    <row r="834" spans="1:25" ht="12.75">
      <c r="A834" s="147"/>
      <c r="B834" s="133"/>
      <c r="C834" s="134"/>
      <c r="D834" s="135"/>
      <c r="E834" s="134"/>
      <c r="F834" s="134"/>
      <c r="G834" s="134"/>
      <c r="H834" s="134"/>
      <c r="I834" s="134"/>
      <c r="J834" s="134"/>
      <c r="K834" s="134"/>
      <c r="L834" s="134"/>
      <c r="M834" s="134"/>
      <c r="N834" s="134"/>
      <c r="O834" s="134"/>
      <c r="P834" s="134"/>
      <c r="Q834" s="134"/>
      <c r="R834" s="134"/>
      <c r="S834" s="134"/>
      <c r="T834" s="134"/>
      <c r="U834" s="134"/>
      <c r="V834" s="134"/>
      <c r="W834" s="134"/>
      <c r="X834" s="134"/>
      <c r="Y834" s="134"/>
    </row>
    <row r="835" spans="1:25" ht="12.75">
      <c r="A835" s="147"/>
      <c r="B835" s="133"/>
      <c r="C835" s="134"/>
      <c r="D835" s="135"/>
      <c r="E835" s="134"/>
      <c r="F835" s="134"/>
      <c r="G835" s="134"/>
      <c r="H835" s="134"/>
      <c r="I835" s="134"/>
      <c r="J835" s="134"/>
      <c r="K835" s="134"/>
      <c r="L835" s="134"/>
      <c r="M835" s="134"/>
      <c r="N835" s="134"/>
      <c r="O835" s="134"/>
      <c r="P835" s="134"/>
      <c r="Q835" s="134"/>
      <c r="R835" s="134"/>
      <c r="S835" s="134"/>
      <c r="T835" s="134"/>
      <c r="U835" s="134"/>
      <c r="V835" s="134"/>
      <c r="W835" s="134"/>
      <c r="X835" s="134"/>
      <c r="Y835" s="134"/>
    </row>
    <row r="836" spans="1:25" ht="12.75">
      <c r="A836" s="147"/>
      <c r="B836" s="133"/>
      <c r="C836" s="134"/>
      <c r="D836" s="135"/>
      <c r="E836" s="134"/>
      <c r="F836" s="134"/>
      <c r="G836" s="134"/>
      <c r="H836" s="134"/>
      <c r="I836" s="134"/>
      <c r="J836" s="134"/>
      <c r="K836" s="134"/>
      <c r="L836" s="134"/>
      <c r="M836" s="134"/>
      <c r="N836" s="134"/>
      <c r="O836" s="134"/>
      <c r="P836" s="134"/>
      <c r="Q836" s="134"/>
      <c r="R836" s="134"/>
      <c r="S836" s="134"/>
      <c r="T836" s="134"/>
      <c r="U836" s="134"/>
      <c r="V836" s="134"/>
      <c r="W836" s="134"/>
      <c r="X836" s="134"/>
      <c r="Y836" s="134"/>
    </row>
    <row r="837" spans="1:25" ht="12.75">
      <c r="A837" s="147"/>
      <c r="B837" s="133"/>
      <c r="C837" s="134"/>
      <c r="D837" s="135"/>
      <c r="E837" s="134"/>
      <c r="F837" s="134"/>
      <c r="G837" s="134"/>
      <c r="H837" s="134"/>
      <c r="I837" s="134"/>
      <c r="J837" s="134"/>
      <c r="K837" s="134"/>
      <c r="L837" s="134"/>
      <c r="M837" s="134"/>
      <c r="N837" s="134"/>
      <c r="O837" s="134"/>
      <c r="P837" s="134"/>
      <c r="Q837" s="134"/>
      <c r="R837" s="134"/>
      <c r="S837" s="134"/>
      <c r="T837" s="134"/>
      <c r="U837" s="134"/>
      <c r="V837" s="134"/>
      <c r="W837" s="134"/>
      <c r="X837" s="134"/>
      <c r="Y837" s="134"/>
    </row>
    <row r="838" spans="1:25" ht="12.75">
      <c r="A838" s="147"/>
      <c r="B838" s="133"/>
      <c r="C838" s="134"/>
      <c r="D838" s="135"/>
      <c r="E838" s="134"/>
      <c r="F838" s="134"/>
      <c r="G838" s="134"/>
      <c r="H838" s="134"/>
      <c r="I838" s="134"/>
      <c r="J838" s="134"/>
      <c r="K838" s="134"/>
      <c r="L838" s="134"/>
      <c r="M838" s="134"/>
      <c r="N838" s="134"/>
      <c r="O838" s="134"/>
      <c r="P838" s="134"/>
      <c r="Q838" s="134"/>
      <c r="R838" s="134"/>
      <c r="S838" s="134"/>
      <c r="T838" s="134"/>
      <c r="U838" s="134"/>
      <c r="V838" s="134"/>
      <c r="W838" s="134"/>
      <c r="X838" s="134"/>
      <c r="Y838" s="134"/>
    </row>
    <row r="839" spans="1:25" ht="12.75">
      <c r="A839" s="147"/>
      <c r="B839" s="133"/>
      <c r="C839" s="134"/>
      <c r="D839" s="135"/>
      <c r="E839" s="134"/>
      <c r="F839" s="134"/>
      <c r="G839" s="134"/>
      <c r="H839" s="134"/>
      <c r="I839" s="134"/>
      <c r="J839" s="134"/>
      <c r="K839" s="134"/>
      <c r="L839" s="134"/>
      <c r="M839" s="134"/>
      <c r="N839" s="134"/>
      <c r="O839" s="134"/>
      <c r="P839" s="134"/>
      <c r="Q839" s="134"/>
      <c r="R839" s="134"/>
      <c r="S839" s="134"/>
      <c r="T839" s="134"/>
      <c r="U839" s="134"/>
      <c r="V839" s="134"/>
      <c r="W839" s="134"/>
      <c r="X839" s="134"/>
      <c r="Y839" s="134"/>
    </row>
    <row r="840" spans="1:25" ht="12.75">
      <c r="A840" s="147"/>
      <c r="B840" s="133"/>
      <c r="C840" s="134"/>
      <c r="D840" s="135"/>
      <c r="E840" s="134"/>
      <c r="F840" s="134"/>
      <c r="G840" s="134"/>
      <c r="H840" s="134"/>
      <c r="I840" s="134"/>
      <c r="J840" s="134"/>
      <c r="K840" s="134"/>
      <c r="L840" s="134"/>
      <c r="M840" s="134"/>
      <c r="N840" s="134"/>
      <c r="O840" s="134"/>
      <c r="P840" s="134"/>
      <c r="Q840" s="134"/>
      <c r="R840" s="134"/>
      <c r="S840" s="134"/>
      <c r="T840" s="134"/>
      <c r="U840" s="134"/>
      <c r="V840" s="134"/>
      <c r="W840" s="134"/>
      <c r="X840" s="134"/>
      <c r="Y840" s="134"/>
    </row>
    <row r="841" spans="1:25" ht="12.75">
      <c r="A841" s="147"/>
      <c r="B841" s="133"/>
      <c r="C841" s="134"/>
      <c r="D841" s="135"/>
      <c r="E841" s="134"/>
      <c r="F841" s="134"/>
      <c r="G841" s="134"/>
      <c r="H841" s="134"/>
      <c r="I841" s="134"/>
      <c r="J841" s="134"/>
      <c r="K841" s="134"/>
      <c r="L841" s="134"/>
      <c r="M841" s="134"/>
      <c r="N841" s="134"/>
      <c r="O841" s="134"/>
      <c r="P841" s="134"/>
      <c r="Q841" s="134"/>
      <c r="R841" s="134"/>
      <c r="S841" s="134"/>
      <c r="T841" s="134"/>
      <c r="U841" s="134"/>
      <c r="V841" s="134"/>
      <c r="W841" s="134"/>
      <c r="X841" s="134"/>
      <c r="Y841" s="134"/>
    </row>
    <row r="842" spans="1:25" ht="12.75">
      <c r="A842" s="147"/>
      <c r="B842" s="133"/>
      <c r="C842" s="134"/>
      <c r="D842" s="135"/>
      <c r="E842" s="134"/>
      <c r="F842" s="134"/>
      <c r="G842" s="134"/>
      <c r="H842" s="134"/>
      <c r="I842" s="134"/>
      <c r="J842" s="134"/>
      <c r="K842" s="134"/>
      <c r="L842" s="134"/>
      <c r="M842" s="134"/>
      <c r="N842" s="134"/>
      <c r="O842" s="134"/>
      <c r="P842" s="134"/>
      <c r="Q842" s="134"/>
      <c r="R842" s="134"/>
      <c r="S842" s="134"/>
      <c r="T842" s="134"/>
      <c r="U842" s="134"/>
      <c r="V842" s="134"/>
      <c r="W842" s="134"/>
      <c r="X842" s="134"/>
      <c r="Y842" s="134"/>
    </row>
  </sheetData>
  <mergeCells count="22">
    <mergeCell ref="A9:A11"/>
    <mergeCell ref="B9:B11"/>
    <mergeCell ref="A12:A15"/>
    <mergeCell ref="B12:B15"/>
    <mergeCell ref="A16:A17"/>
    <mergeCell ref="B16:B17"/>
    <mergeCell ref="A18:A21"/>
    <mergeCell ref="B18:B21"/>
    <mergeCell ref="A22:A25"/>
    <mergeCell ref="B22:B25"/>
    <mergeCell ref="A26:A29"/>
    <mergeCell ref="B26:B29"/>
    <mergeCell ref="A44:A45"/>
    <mergeCell ref="B44:B45"/>
    <mergeCell ref="A46:A49"/>
    <mergeCell ref="B46:B49"/>
    <mergeCell ref="A30:A35"/>
    <mergeCell ref="B30:B35"/>
    <mergeCell ref="A36:A39"/>
    <mergeCell ref="B36:B39"/>
    <mergeCell ref="A40:A43"/>
    <mergeCell ref="B40:B43"/>
  </mergeCells>
  <hyperlinks>
    <hyperlink ref="A3" r:id="rId1" xr:uid="{00000000-0004-0000-0500-000000000000}"/>
    <hyperlink ref="A5" r:id="rId2" xr:uid="{00000000-0004-0000-0500-000001000000}"/>
  </hyperlinks>
  <printOptions horizontalCentered="1" gridLines="1"/>
  <pageMargins left="0.25" right="0.25" top="0.75" bottom="0.75" header="0" footer="0"/>
  <pageSetup paperSize="9" pageOrder="overThenDown" orientation="landscape" cellComments="atEnd"/>
  <rowBreaks count="2" manualBreakCount="2">
    <brk id="48" man="1"/>
    <brk id="25" man="1"/>
  </rowBreaks>
  <colBreaks count="2" manualBreakCount="2">
    <brk man="1"/>
    <brk id="4"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3"/>
  <sheetViews>
    <sheetView topLeftCell="A2" workbookViewId="0">
      <selection activeCell="G2" sqref="G2"/>
    </sheetView>
  </sheetViews>
  <sheetFormatPr defaultColWidth="8.5703125" defaultRowHeight="15"/>
  <cols>
    <col min="2" max="2" width="26.85546875" customWidth="1"/>
    <col min="8" max="8" width="40.140625" customWidth="1"/>
  </cols>
  <sheetData>
    <row r="1" spans="1:8" ht="45">
      <c r="A1" s="125" t="s">
        <v>1559</v>
      </c>
      <c r="D1" t="s">
        <v>1560</v>
      </c>
      <c r="G1" s="139" t="s">
        <v>1489</v>
      </c>
      <c r="H1" s="141" t="s">
        <v>1491</v>
      </c>
    </row>
    <row r="2" spans="1:8">
      <c r="A2">
        <v>0</v>
      </c>
      <c r="B2" s="146" t="s">
        <v>1475</v>
      </c>
      <c r="D2" t="s">
        <v>60</v>
      </c>
      <c r="G2" s="143">
        <v>0</v>
      </c>
      <c r="H2" s="143" t="s">
        <v>1475</v>
      </c>
    </row>
    <row r="3" spans="1:8" ht="14.45" customHeight="1">
      <c r="A3">
        <v>2</v>
      </c>
      <c r="B3" s="146" t="s">
        <v>1493</v>
      </c>
      <c r="D3" t="s">
        <v>65</v>
      </c>
      <c r="G3" s="142">
        <v>1.1000000000000001</v>
      </c>
      <c r="H3" s="143" t="s">
        <v>1494</v>
      </c>
    </row>
    <row r="4" spans="1:8">
      <c r="A4">
        <v>3</v>
      </c>
      <c r="B4" s="146" t="s">
        <v>1480</v>
      </c>
      <c r="D4" t="s">
        <v>94</v>
      </c>
      <c r="G4" s="142">
        <v>1.2</v>
      </c>
      <c r="H4" s="143" t="s">
        <v>1496</v>
      </c>
    </row>
    <row r="5" spans="1:8">
      <c r="A5">
        <v>4</v>
      </c>
      <c r="B5" s="146" t="s">
        <v>1505</v>
      </c>
      <c r="G5" s="142">
        <v>1.3</v>
      </c>
      <c r="H5" s="143" t="s">
        <v>1497</v>
      </c>
    </row>
    <row r="6" spans="1:8" ht="14.45" customHeight="1">
      <c r="A6">
        <v>5</v>
      </c>
      <c r="B6" s="146" t="s">
        <v>1482</v>
      </c>
      <c r="G6" s="142">
        <v>2.1</v>
      </c>
      <c r="H6" s="143" t="s">
        <v>1499</v>
      </c>
    </row>
    <row r="7" spans="1:8">
      <c r="A7">
        <v>6</v>
      </c>
      <c r="B7" s="146" t="s">
        <v>1479</v>
      </c>
      <c r="G7" s="142">
        <v>2.2000000000000002</v>
      </c>
      <c r="H7" s="143" t="s">
        <v>1501</v>
      </c>
    </row>
    <row r="8" spans="1:8">
      <c r="A8">
        <v>7</v>
      </c>
      <c r="B8" s="146" t="s">
        <v>1521</v>
      </c>
      <c r="G8" s="142">
        <v>2.2999999999999998</v>
      </c>
      <c r="H8" s="143" t="s">
        <v>75</v>
      </c>
    </row>
    <row r="9" spans="1:8" ht="25.5">
      <c r="A9">
        <v>8</v>
      </c>
      <c r="B9" s="146" t="s">
        <v>1477</v>
      </c>
      <c r="G9" s="142">
        <v>2.4</v>
      </c>
      <c r="H9" s="143" t="s">
        <v>1503</v>
      </c>
    </row>
    <row r="10" spans="1:8" ht="14.45" customHeight="1">
      <c r="A10">
        <v>9</v>
      </c>
      <c r="B10" s="146" t="s">
        <v>1476</v>
      </c>
      <c r="G10" s="142">
        <v>3.1</v>
      </c>
      <c r="H10" s="143" t="s">
        <v>1506</v>
      </c>
    </row>
    <row r="11" spans="1:8">
      <c r="A11">
        <v>10</v>
      </c>
      <c r="B11" s="146" t="s">
        <v>1483</v>
      </c>
      <c r="G11" s="142">
        <v>3.2</v>
      </c>
      <c r="H11" s="143" t="s">
        <v>1508</v>
      </c>
    </row>
    <row r="12" spans="1:8" ht="14.45" customHeight="1">
      <c r="A12">
        <v>11</v>
      </c>
      <c r="B12" s="146" t="s">
        <v>1481</v>
      </c>
      <c r="G12" s="142">
        <v>4.0999999999999996</v>
      </c>
      <c r="H12" s="143" t="s">
        <v>154</v>
      </c>
    </row>
    <row r="13" spans="1:8">
      <c r="B13" s="146" t="s">
        <v>1478</v>
      </c>
      <c r="G13" s="142">
        <v>4.2</v>
      </c>
      <c r="H13" s="143" t="s">
        <v>123</v>
      </c>
    </row>
    <row r="14" spans="1:8">
      <c r="G14" s="142">
        <v>4.3</v>
      </c>
      <c r="H14" s="143" t="s">
        <v>1512</v>
      </c>
    </row>
    <row r="15" spans="1:8">
      <c r="G15" s="142">
        <v>4.4000000000000004</v>
      </c>
      <c r="H15" s="143" t="s">
        <v>1514</v>
      </c>
    </row>
    <row r="16" spans="1:8" ht="14.45" customHeight="1">
      <c r="G16" s="142">
        <v>5.0999999999999996</v>
      </c>
      <c r="H16" s="143" t="s">
        <v>142</v>
      </c>
    </row>
    <row r="17" spans="7:8">
      <c r="G17" s="145">
        <v>5.2</v>
      </c>
      <c r="H17" s="143" t="s">
        <v>127</v>
      </c>
    </row>
    <row r="18" spans="7:8">
      <c r="G18" s="142">
        <v>5.3</v>
      </c>
      <c r="H18" s="143" t="s">
        <v>113</v>
      </c>
    </row>
    <row r="19" spans="7:8">
      <c r="G19" s="142">
        <v>5.4</v>
      </c>
      <c r="H19" s="143" t="s">
        <v>1519</v>
      </c>
    </row>
    <row r="20" spans="7:8">
      <c r="G20" s="142">
        <v>6.1</v>
      </c>
      <c r="H20" s="143" t="s">
        <v>92</v>
      </c>
    </row>
    <row r="21" spans="7:8">
      <c r="G21" s="142">
        <v>6.2</v>
      </c>
      <c r="H21" s="143" t="s">
        <v>1523</v>
      </c>
    </row>
    <row r="22" spans="7:8">
      <c r="G22" s="142">
        <v>6.3</v>
      </c>
      <c r="H22" s="143" t="s">
        <v>1525</v>
      </c>
    </row>
    <row r="23" spans="7:8">
      <c r="G23" s="142">
        <v>6.4</v>
      </c>
      <c r="H23" s="143" t="s">
        <v>1527</v>
      </c>
    </row>
    <row r="24" spans="7:8" ht="14.45" customHeight="1">
      <c r="G24" s="142">
        <v>7.1</v>
      </c>
      <c r="H24" s="143" t="s">
        <v>1529</v>
      </c>
    </row>
    <row r="25" spans="7:8">
      <c r="G25" s="142">
        <v>7.2</v>
      </c>
      <c r="H25" s="143" t="s">
        <v>131</v>
      </c>
    </row>
    <row r="26" spans="7:8">
      <c r="G26" s="142">
        <v>7.3</v>
      </c>
      <c r="H26" s="143" t="s">
        <v>1532</v>
      </c>
    </row>
    <row r="27" spans="7:8">
      <c r="G27" s="142">
        <v>7.4</v>
      </c>
      <c r="H27" s="143" t="s">
        <v>1534</v>
      </c>
    </row>
    <row r="28" spans="7:8">
      <c r="G28" s="142">
        <v>7.5</v>
      </c>
      <c r="H28" s="143" t="s">
        <v>135</v>
      </c>
    </row>
    <row r="29" spans="7:8">
      <c r="G29" s="142">
        <v>7.6</v>
      </c>
      <c r="H29" s="143" t="s">
        <v>78</v>
      </c>
    </row>
    <row r="30" spans="7:8" ht="14.45" customHeight="1">
      <c r="G30" s="142">
        <v>8.1</v>
      </c>
      <c r="H30" s="143" t="s">
        <v>130</v>
      </c>
    </row>
    <row r="31" spans="7:8">
      <c r="G31" s="142">
        <v>8.1999999999999993</v>
      </c>
      <c r="H31" s="143" t="s">
        <v>153</v>
      </c>
    </row>
    <row r="32" spans="7:8">
      <c r="G32" s="142">
        <v>8.3000000000000007</v>
      </c>
      <c r="H32" s="143" t="s">
        <v>1540</v>
      </c>
    </row>
    <row r="33" spans="7:8">
      <c r="G33" s="142">
        <v>8.4</v>
      </c>
      <c r="H33" s="143" t="s">
        <v>1542</v>
      </c>
    </row>
    <row r="34" spans="7:8">
      <c r="G34" s="142">
        <v>9.1</v>
      </c>
      <c r="H34" s="143" t="s">
        <v>140</v>
      </c>
    </row>
    <row r="35" spans="7:8">
      <c r="G35" s="142">
        <v>9.1999999999999993</v>
      </c>
      <c r="H35" s="143" t="s">
        <v>124</v>
      </c>
    </row>
    <row r="36" spans="7:8">
      <c r="G36" s="142">
        <v>9.3000000000000007</v>
      </c>
      <c r="H36" s="143" t="s">
        <v>1546</v>
      </c>
    </row>
    <row r="37" spans="7:8">
      <c r="G37" s="142">
        <v>9.4</v>
      </c>
      <c r="H37" s="143" t="s">
        <v>1548</v>
      </c>
    </row>
    <row r="38" spans="7:8" ht="14.45" customHeight="1">
      <c r="G38" s="142">
        <v>10.1</v>
      </c>
      <c r="H38" s="143" t="s">
        <v>1550</v>
      </c>
    </row>
    <row r="39" spans="7:8">
      <c r="G39" s="142">
        <v>10.199999999999999</v>
      </c>
      <c r="H39" s="143" t="s">
        <v>1552</v>
      </c>
    </row>
    <row r="40" spans="7:8" ht="14.45" customHeight="1">
      <c r="G40" s="142">
        <v>11.1</v>
      </c>
      <c r="H40" s="143" t="s">
        <v>1554</v>
      </c>
    </row>
    <row r="41" spans="7:8" ht="25.5">
      <c r="G41" s="142">
        <v>11.2</v>
      </c>
      <c r="H41" s="143" t="s">
        <v>62</v>
      </c>
    </row>
    <row r="42" spans="7:8" ht="25.5">
      <c r="G42" s="142">
        <v>11.3</v>
      </c>
      <c r="H42" s="143" t="s">
        <v>61</v>
      </c>
    </row>
    <row r="43" spans="7:8">
      <c r="G43" s="142">
        <v>11.4</v>
      </c>
      <c r="H43" s="143" t="s">
        <v>1558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6"/>
  <sheetViews>
    <sheetView topLeftCell="A2" workbookViewId="0">
      <selection activeCell="D9" sqref="D9"/>
    </sheetView>
  </sheetViews>
  <sheetFormatPr defaultColWidth="8.5703125" defaultRowHeight="15"/>
  <cols>
    <col min="1" max="1" width="13.140625" customWidth="1"/>
    <col min="2" max="2" width="16" customWidth="1"/>
  </cols>
  <sheetData>
    <row r="1" spans="1:5" ht="30">
      <c r="A1" s="4" t="s">
        <v>297</v>
      </c>
      <c r="B1" s="4" t="s">
        <v>298</v>
      </c>
      <c r="C1" s="2" t="s">
        <v>302</v>
      </c>
      <c r="E1" t="s">
        <v>1561</v>
      </c>
    </row>
    <row r="2" spans="1:5">
      <c r="A2" t="s">
        <v>322</v>
      </c>
      <c r="B2" t="s">
        <v>348</v>
      </c>
      <c r="C2" t="s">
        <v>324</v>
      </c>
      <c r="E2" t="s">
        <v>60</v>
      </c>
    </row>
    <row r="3" spans="1:5">
      <c r="A3" t="s">
        <v>376</v>
      </c>
      <c r="B3" t="s">
        <v>469</v>
      </c>
      <c r="C3" t="s">
        <v>337</v>
      </c>
      <c r="E3" t="s">
        <v>65</v>
      </c>
    </row>
    <row r="4" spans="1:5">
      <c r="C4" t="s">
        <v>378</v>
      </c>
    </row>
    <row r="5" spans="1:5">
      <c r="C5" t="s">
        <v>429</v>
      </c>
    </row>
    <row r="6" spans="1:5">
      <c r="C6" t="s">
        <v>407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81f7b61-b72b-4a21-bb24-e43f40679a49" xsi:nil="true"/>
    <lcf76f155ced4ddcb4097134ff3c332f xmlns="f26037a3-376c-4e35-9673-91218b302fb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205CEEF5B67654BB99FA91F3D8DF3AD" ma:contentTypeVersion="14" ma:contentTypeDescription="Crea un document nou" ma:contentTypeScope="" ma:versionID="e04f8550011c0fa287ef4aa6a3ecaa4a">
  <xsd:schema xmlns:xsd="http://www.w3.org/2001/XMLSchema" xmlns:xs="http://www.w3.org/2001/XMLSchema" xmlns:p="http://schemas.microsoft.com/office/2006/metadata/properties" xmlns:ns2="f26037a3-376c-4e35-9673-91218b302fbb" xmlns:ns3="281f7b61-b72b-4a21-bb24-e43f40679a49" targetNamespace="http://schemas.microsoft.com/office/2006/metadata/properties" ma:root="true" ma:fieldsID="062f520033c58143061b60085d9c524e" ns2:_="" ns3:_="">
    <xsd:import namespace="f26037a3-376c-4e35-9673-91218b302fbb"/>
    <xsd:import namespace="281f7b61-b72b-4a21-bb24-e43f40679a4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6037a3-376c-4e35-9673-91218b302f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Etiquetes de la imatge" ma:readOnly="false" ma:fieldId="{5cf76f15-5ced-4ddc-b409-7134ff3c332f}" ma:taxonomyMulti="true" ma:sspId="d19f90c4-00d9-45b7-bc62-04f95cbe7a8b"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81f7b61-b72b-4a21-bb24-e43f40679a49" elementFormDefault="qualified">
    <xsd:import namespace="http://schemas.microsoft.com/office/2006/documentManagement/types"/>
    <xsd:import namespace="http://schemas.microsoft.com/office/infopath/2007/PartnerControls"/>
    <xsd:element name="SharedWithUsers" ma:index="10" nillable="true" ma:displayName="Compartit amb"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 compartit amb detalls" ma:internalName="SharedWithDetails" ma:readOnly="true">
      <xsd:simpleType>
        <xsd:restriction base="dms:Note">
          <xsd:maxLength value="255"/>
        </xsd:restriction>
      </xsd:simpleType>
    </xsd:element>
    <xsd:element name="TaxCatchAll" ma:index="16" nillable="true" ma:displayName="Taxonomy Catch All Column" ma:hidden="true" ma:list="{f7e9ec61-e504-403b-b6cf-d739475b8ab3}" ma:internalName="TaxCatchAll" ma:showField="CatchAllData" ma:web="281f7b61-b72b-4a21-bb24-e43f40679a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C3BBD1B-D8EB-4F55-AA85-1B39798B5B8A}"/>
</file>

<file path=customXml/itemProps2.xml><?xml version="1.0" encoding="utf-8"?>
<ds:datastoreItem xmlns:ds="http://schemas.openxmlformats.org/officeDocument/2006/customXml" ds:itemID="{F0687FF4-492A-4708-A78D-9596ABEEFD47}"/>
</file>

<file path=customXml/itemProps3.xml><?xml version="1.0" encoding="utf-8"?>
<ds:datastoreItem xmlns:ds="http://schemas.openxmlformats.org/officeDocument/2006/customXml" ds:itemID="{F35738A2-37D5-4A3C-8968-AF79291297B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Nuria Asensio Salvador</dc:creator>
  <cp:keywords/>
  <dc:description/>
  <cp:lastModifiedBy>Safont Artal, Gemma</cp:lastModifiedBy>
  <cp:revision/>
  <dcterms:created xsi:type="dcterms:W3CDTF">2015-06-05T18:17:20Z</dcterms:created>
  <dcterms:modified xsi:type="dcterms:W3CDTF">2025-12-05T13:30:53Z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0x010100F205CEEF5B67654BB99FA91F3D8DF3AD</vt:lpwstr>
  </property>
  <property fmtid="{D5CDD505-2E9C-101B-9397-08002B2CF9AE}" pid="3" name="_dlc_DocIdItemGuid">
    <vt:lpwstr>05d19521-6c4a-4f5b-baf9-58584c5e40b7</vt:lpwstr>
  </property>
  <property fmtid="{D5CDD505-2E9C-101B-9397-08002B2CF9AE}" pid="4" name="MediaServiceImageTags">
    <vt:lpwstr/>
  </property>
  <property fmtid="{D5CDD505-2E9C-101B-9397-08002B2CF9AE}" pid="5" name="Order">
    <vt:r8>1500</vt:r8>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ies>
</file>